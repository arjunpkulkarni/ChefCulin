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ables/table7.xml" ContentType="application/vnd.openxmlformats-officedocument.spreadsheetml.table+xml"/>
  <Override PartName="/xl/worksheets/sheet44.xml" ContentType="application/vnd.openxmlformats-officedocument.spreadsheetml.worksheet+xml"/>
  <Override PartName="/xl/tables/table8.xml" ContentType="application/vnd.openxmlformats-officedocument.spreadsheetml.table+xml"/>
  <Override PartName="/xl/worksheets/sheet45.xml" ContentType="application/vnd.openxmlformats-officedocument.spreadsheetml.worksheet+xml"/>
  <Override PartName="/xl/tables/table9.xml" ContentType="application/vnd.openxmlformats-officedocument.spreadsheetml.table+xml"/>
  <Override PartName="/xl/worksheets/sheet46.xml" ContentType="application/vnd.openxmlformats-officedocument.spreadsheetml.worksheet+xml"/>
  <Override PartName="/xl/tables/table10.xml" ContentType="application/vnd.openxmlformats-officedocument.spreadsheetml.table+xml"/>
  <Override PartName="/xl/worksheets/sheet47.xml" ContentType="application/vnd.openxmlformats-officedocument.spreadsheetml.worksheet+xml"/>
  <Override PartName="/xl/tables/table11.xml" ContentType="application/vnd.openxmlformats-officedocument.spreadsheetml.table+xml"/>
  <Override PartName="/xl/worksheets/sheet48.xml" ContentType="application/vnd.openxmlformats-officedocument.spreadsheetml.worksheet+xml"/>
  <Override PartName="/xl/tables/table12.xml" ContentType="application/vnd.openxmlformats-officedocument.spreadsheetml.table+xml"/>
  <Override PartName="/xl/worksheets/sheet49.xml" ContentType="application/vnd.openxmlformats-officedocument.spreadsheetml.worksheet+xml"/>
  <Override PartName="/xl/tables/table13.xml" ContentType="application/vnd.openxmlformats-officedocument.spreadsheetml.table+xml"/>
  <Override PartName="/xl/worksheets/sheet50.xml" ContentType="application/vnd.openxmlformats-officedocument.spreadsheetml.worksheet+xml"/>
  <Override PartName="/xl/tables/table14.xml" ContentType="application/vnd.openxmlformats-officedocument.spreadsheetml.table+xml"/>
  <Override PartName="/xl/worksheets/sheet51.xml" ContentType="application/vnd.openxmlformats-officedocument.spreadsheetml.worksheet+xml"/>
  <Override PartName="/xl/tables/table15.xml" ContentType="application/vnd.openxmlformats-officedocument.spreadsheetml.table+xml"/>
  <Override PartName="/xl/worksheets/sheet52.xml" ContentType="application/vnd.openxmlformats-officedocument.spreadsheetml.worksheet+xml"/>
  <Override PartName="/xl/tables/table16.xml" ContentType="application/vnd.openxmlformats-officedocument.spreadsheetml.table+xml"/>
  <Override PartName="/xl/worksheets/sheet53.xml" ContentType="application/vnd.openxmlformats-officedocument.spreadsheetml.worksheet+xml"/>
  <Override PartName="/xl/tables/table17.xml" ContentType="application/vnd.openxmlformats-officedocument.spreadsheetml.table+xml"/>
  <Override PartName="/xl/worksheets/sheet54.xml" ContentType="application/vnd.openxmlformats-officedocument.spreadsheetml.worksheet+xml"/>
  <Override PartName="/xl/tables/table18.xml" ContentType="application/vnd.openxmlformats-officedocument.spreadsheetml.table+xml"/>
  <Override PartName="/xl/worksheets/sheet55.xml" ContentType="application/vnd.openxmlformats-officedocument.spreadsheetml.worksheet+xml"/>
  <Override PartName="/xl/tables/table19.xml" ContentType="application/vnd.openxmlformats-officedocument.spreadsheetml.table+xml"/>
  <Override PartName="/xl/worksheets/sheet56.xml" ContentType="application/vnd.openxmlformats-officedocument.spreadsheetml.worksheet+xml"/>
  <Override PartName="/xl/tables/table20.xml" ContentType="application/vnd.openxmlformats-officedocument.spreadsheetml.table+xml"/>
  <Override PartName="/xl/worksheets/sheet57.xml" ContentType="application/vnd.openxmlformats-officedocument.spreadsheetml.worksheet+xml"/>
  <Override PartName="/xl/tables/table21.xml" ContentType="application/vnd.openxmlformats-officedocument.spreadsheetml.table+xml"/>
  <Override PartName="/xl/worksheets/sheet58.xml" ContentType="application/vnd.openxmlformats-officedocument.spreadsheetml.worksheet+xml"/>
  <Override PartName="/xl/tables/table22.xml" ContentType="application/vnd.openxmlformats-officedocument.spreadsheetml.table+xml"/>
  <Override PartName="/xl/worksheets/sheet59.xml" ContentType="application/vnd.openxmlformats-officedocument.spreadsheetml.worksheet+xml"/>
  <Override PartName="/xl/tables/table23.xml" ContentType="application/vnd.openxmlformats-officedocument.spreadsheetml.table+xml"/>
  <Override PartName="/xl/worksheets/sheet60.xml" ContentType="application/vnd.openxmlformats-officedocument.spreadsheetml.worksheet+xml"/>
  <Override PartName="/xl/tables/table24.xml" ContentType="application/vnd.openxmlformats-officedocument.spreadsheetml.table+xml"/>
  <Override PartName="/xl/worksheets/sheet61.xml" ContentType="application/vnd.openxmlformats-officedocument.spreadsheetml.worksheet+xml"/>
  <Override PartName="/xl/tables/table25.xml" ContentType="application/vnd.openxmlformats-officedocument.spreadsheetml.table+xml"/>
  <Override PartName="/xl/worksheets/sheet62.xml" ContentType="application/vnd.openxmlformats-officedocument.spreadsheetml.worksheet+xml"/>
  <Override PartName="/xl/tables/table26.xml" ContentType="application/vnd.openxmlformats-officedocument.spreadsheetml.table+xml"/>
  <Override PartName="/xl/worksheets/sheet63.xml" ContentType="application/vnd.openxmlformats-officedocument.spreadsheetml.worksheet+xml"/>
  <Override PartName="/xl/tables/table27.xml" ContentType="application/vnd.openxmlformats-officedocument.spreadsheetml.table+xml"/>
  <Override PartName="/xl/worksheets/sheet64.xml" ContentType="application/vnd.openxmlformats-officedocument.spreadsheetml.worksheet+xml"/>
  <Override PartName="/xl/tables/table28.xml" ContentType="application/vnd.openxmlformats-officedocument.spreadsheetml.table+xml"/>
  <Override PartName="/xl/worksheets/sheet65.xml" ContentType="application/vnd.openxmlformats-officedocument.spreadsheetml.worksheet+xml"/>
  <Override PartName="/xl/tables/table29.xml" ContentType="application/vnd.openxmlformats-officedocument.spreadsheetml.table+xml"/>
  <Override PartName="/xl/worksheets/sheet66.xml" ContentType="application/vnd.openxmlformats-officedocument.spreadsheetml.worksheet+xml"/>
  <Override PartName="/xl/tables/table30.xml" ContentType="application/vnd.openxmlformats-officedocument.spreadsheetml.table+xml"/>
  <Override PartName="/xl/worksheets/sheet67.xml" ContentType="application/vnd.openxmlformats-officedocument.spreadsheetml.worksheet+xml"/>
  <Override PartName="/xl/tables/table31.xml" ContentType="application/vnd.openxmlformats-officedocument.spreadsheetml.table+xml"/>
  <Override PartName="/xl/worksheets/sheet68.xml" ContentType="application/vnd.openxmlformats-officedocument.spreadsheetml.worksheet+xml"/>
  <Override PartName="/xl/tables/table32.xml" ContentType="application/vnd.openxmlformats-officedocument.spreadsheetml.table+xml"/>
  <Override PartName="/xl/worksheets/sheet69.xml" ContentType="application/vnd.openxmlformats-officedocument.spreadsheetml.worksheet+xml"/>
  <Override PartName="/xl/tables/table33.xml" ContentType="application/vnd.openxmlformats-officedocument.spreadsheetml.table+xml"/>
  <Override PartName="/xl/worksheets/sheet70.xml" ContentType="application/vnd.openxmlformats-officedocument.spreadsheetml.worksheet+xml"/>
  <Override PartName="/xl/tables/table34.xml" ContentType="application/vnd.openxmlformats-officedocument.spreadsheetml.table+xml"/>
  <Override PartName="/xl/worksheets/sheet71.xml" ContentType="application/vnd.openxmlformats-officedocument.spreadsheetml.worksheet+xml"/>
  <Override PartName="/xl/tables/table35.xml" ContentType="application/vnd.openxmlformats-officedocument.spreadsheetml.table+xml"/>
  <Override PartName="/xl/worksheets/sheet72.xml" ContentType="application/vnd.openxmlformats-officedocument.spreadsheetml.worksheet+xml"/>
  <Override PartName="/xl/tables/table36.xml" ContentType="application/vnd.openxmlformats-officedocument.spreadsheetml.table+xml"/>
  <Override PartName="/xl/worksheets/sheet73.xml" ContentType="application/vnd.openxmlformats-officedocument.spreadsheetml.worksheet+xml"/>
  <Override PartName="/xl/tables/table37.xml" ContentType="application/vnd.openxmlformats-officedocument.spreadsheetml.table+xml"/>
  <Override PartName="/xl/worksheets/sheet74.xml" ContentType="application/vnd.openxmlformats-officedocument.spreadsheetml.worksheet+xml"/>
  <Override PartName="/xl/tables/table38.xml" ContentType="application/vnd.openxmlformats-officedocument.spreadsheetml.table+xml"/>
  <Override PartName="/xl/worksheets/sheet75.xml" ContentType="application/vnd.openxmlformats-officedocument.spreadsheetml.worksheet+xml"/>
  <Override PartName="/xl/tables/table39.xml" ContentType="application/vnd.openxmlformats-officedocument.spreadsheetml.table+xml"/>
  <Override PartName="/xl/worksheets/sheet76.xml" ContentType="application/vnd.openxmlformats-officedocument.spreadsheetml.worksheet+xml"/>
  <Override PartName="/xl/tables/table40.xml" ContentType="application/vnd.openxmlformats-officedocument.spreadsheetml.table+xml"/>
  <Override PartName="/xl/worksheets/sheet77.xml" ContentType="application/vnd.openxmlformats-officedocument.spreadsheetml.worksheet+xml"/>
  <Override PartName="/xl/tables/table41.xml" ContentType="application/vnd.openxmlformats-officedocument.spreadsheetml.table+xml"/>
  <Override PartName="/xl/worksheets/sheet78.xml" ContentType="application/vnd.openxmlformats-officedocument.spreadsheetml.worksheet+xml"/>
  <Override PartName="/xl/tables/table42.xml" ContentType="application/vnd.openxmlformats-officedocument.spreadsheetml.table+xml"/>
  <Override PartName="/xl/worksheets/sheet79.xml" ContentType="application/vnd.openxmlformats-officedocument.spreadsheetml.worksheet+xml"/>
  <Override PartName="/xl/tables/table43.xml" ContentType="application/vnd.openxmlformats-officedocument.spreadsheetml.table+xml"/>
  <Override PartName="/xl/worksheets/sheet80.xml" ContentType="application/vnd.openxmlformats-officedocument.spreadsheetml.worksheet+xml"/>
  <Override PartName="/xl/tables/table44.xml" ContentType="application/vnd.openxmlformats-officedocument.spreadsheetml.table+xml"/>
  <Override PartName="/xl/worksheets/sheet81.xml" ContentType="application/vnd.openxmlformats-officedocument.spreadsheetml.worksheet+xml"/>
  <Override PartName="/xl/tables/table45.xml" ContentType="application/vnd.openxmlformats-officedocument.spreadsheetml.table+xml"/>
  <Override PartName="/xl/worksheets/sheet82.xml" ContentType="application/vnd.openxmlformats-officedocument.spreadsheetml.worksheet+xml"/>
  <Override PartName="/xl/tables/table46.xml" ContentType="application/vnd.openxmlformats-officedocument.spreadsheetml.table+xml"/>
  <Override PartName="/xl/worksheets/sheet83.xml" ContentType="application/vnd.openxmlformats-officedocument.spreadsheetml.worksheet+xml"/>
  <Override PartName="/xl/tables/table47.xml" ContentType="application/vnd.openxmlformats-officedocument.spreadsheetml.table+xml"/>
  <Override PartName="/xl/worksheets/sheet84.xml" ContentType="application/vnd.openxmlformats-officedocument.spreadsheetml.worksheet+xml"/>
  <Override PartName="/xl/tables/table48.xml" ContentType="application/vnd.openxmlformats-officedocument.spreadsheetml.table+xml"/>
  <Override PartName="/xl/worksheets/sheet85.xml" ContentType="application/vnd.openxmlformats-officedocument.spreadsheetml.worksheet+xml"/>
  <Override PartName="/xl/tables/table49.xml" ContentType="application/vnd.openxmlformats-officedocument.spreadsheetml.table+xml"/>
  <Override PartName="/xl/worksheets/sheet86.xml" ContentType="application/vnd.openxmlformats-officedocument.spreadsheetml.worksheet+xml"/>
  <Override PartName="/xl/tables/table50.xml" ContentType="application/vnd.openxmlformats-officedocument.spreadsheetml.table+xml"/>
  <Override PartName="/xl/worksheets/sheet87.xml" ContentType="application/vnd.openxmlformats-officedocument.spreadsheetml.worksheet+xml"/>
  <Override PartName="/xl/tables/table51.xml" ContentType="application/vnd.openxmlformats-officedocument.spreadsheetml.table+xml"/>
  <Override PartName="/xl/worksheets/sheet88.xml" ContentType="application/vnd.openxmlformats-officedocument.spreadsheetml.worksheet+xml"/>
  <Override PartName="/xl/tables/table52.xml" ContentType="application/vnd.openxmlformats-officedocument.spreadsheetml.table+xml"/>
  <Override PartName="/xl/worksheets/sheet89.xml" ContentType="application/vnd.openxmlformats-officedocument.spreadsheetml.worksheet+xml"/>
  <Override PartName="/xl/tables/table53.xml" ContentType="application/vnd.openxmlformats-officedocument.spreadsheetml.table+xml"/>
  <Override PartName="/xl/worksheets/sheet90.xml" ContentType="application/vnd.openxmlformats-officedocument.spreadsheetml.worksheet+xml"/>
  <Override PartName="/xl/tables/table54.xml" ContentType="application/vnd.openxmlformats-officedocument.spreadsheetml.table+xml"/>
  <Override PartName="/xl/worksheets/sheet91.xml" ContentType="application/vnd.openxmlformats-officedocument.spreadsheetml.worksheet+xml"/>
  <Override PartName="/xl/tables/table55.xml" ContentType="application/vnd.openxmlformats-officedocument.spreadsheetml.table+xml"/>
  <Override PartName="/xl/worksheets/sheet92.xml" ContentType="application/vnd.openxmlformats-officedocument.spreadsheetml.worksheet+xml"/>
  <Override PartName="/xl/tables/table56.xml" ContentType="application/vnd.openxmlformats-officedocument.spreadsheetml.table+xml"/>
  <Override PartName="/xl/worksheets/sheet93.xml" ContentType="application/vnd.openxmlformats-officedocument.spreadsheetml.worksheet+xml"/>
  <Override PartName="/xl/tables/table57.xml" ContentType="application/vnd.openxmlformats-officedocument.spreadsheetml.table+xml"/>
  <Override PartName="/xl/worksheets/sheet94.xml" ContentType="application/vnd.openxmlformats-officedocument.spreadsheetml.worksheet+xml"/>
  <Override PartName="/xl/tables/table58.xml" ContentType="application/vnd.openxmlformats-officedocument.spreadsheetml.table+xml"/>
  <Override PartName="/xl/worksheets/sheet95.xml" ContentType="application/vnd.openxmlformats-officedocument.spreadsheetml.worksheet+xml"/>
  <Override PartName="/xl/tables/table59.xml" ContentType="application/vnd.openxmlformats-officedocument.spreadsheetml.table+xml"/>
  <Override PartName="/xl/worksheets/sheet96.xml" ContentType="application/vnd.openxmlformats-officedocument.spreadsheetml.worksheet+xml"/>
  <Override PartName="/xl/tables/table60.xml" ContentType="application/vnd.openxmlformats-officedocument.spreadsheetml.table+xml"/>
  <Override PartName="/xl/worksheets/sheet97.xml" ContentType="application/vnd.openxmlformats-officedocument.spreadsheetml.worksheet+xml"/>
  <Override PartName="/xl/tables/table61.xml" ContentType="application/vnd.openxmlformats-officedocument.spreadsheetml.table+xml"/>
  <Override PartName="/xl/worksheets/sheet98.xml" ContentType="application/vnd.openxmlformats-officedocument.spreadsheetml.worksheet+xml"/>
  <Override PartName="/xl/tables/table62.xml" ContentType="application/vnd.openxmlformats-officedocument.spreadsheetml.table+xml"/>
  <Override PartName="/xl/worksheets/sheet99.xml" ContentType="application/vnd.openxmlformats-officedocument.spreadsheetml.worksheet+xml"/>
  <Override PartName="/xl/tables/table63.xml" ContentType="application/vnd.openxmlformats-officedocument.spreadsheetml.table+xml"/>
  <Override PartName="/xl/worksheets/sheet100.xml" ContentType="application/vnd.openxmlformats-officedocument.spreadsheetml.worksheet+xml"/>
  <Override PartName="/xl/tables/table64.xml" ContentType="application/vnd.openxmlformats-officedocument.spreadsheetml.table+xml"/>
  <Override PartName="/xl/worksheets/sheet101.xml" ContentType="application/vnd.openxmlformats-officedocument.spreadsheetml.worksheet+xml"/>
  <Override PartName="/xl/tables/table65.xml" ContentType="application/vnd.openxmlformats-officedocument.spreadsheetml.table+xml"/>
  <Override PartName="/xl/worksheets/sheet102.xml" ContentType="application/vnd.openxmlformats-officedocument.spreadsheetml.worksheet+xml"/>
  <Override PartName="/xl/tables/table66.xml" ContentType="application/vnd.openxmlformats-officedocument.spreadsheetml.table+xml"/>
  <Override PartName="/xl/worksheets/sheet103.xml" ContentType="application/vnd.openxmlformats-officedocument.spreadsheetml.worksheet+xml"/>
  <Override PartName="/xl/tables/table67.xml" ContentType="application/vnd.openxmlformats-officedocument.spreadsheetml.table+xml"/>
  <Override PartName="/xl/worksheets/sheet104.xml" ContentType="application/vnd.openxmlformats-officedocument.spreadsheetml.worksheet+xml"/>
  <Override PartName="/xl/tables/table68.xml" ContentType="application/vnd.openxmlformats-officedocument.spreadsheetml.table+xml"/>
  <Override PartName="/xl/worksheets/sheet105.xml" ContentType="application/vnd.openxmlformats-officedocument.spreadsheetml.worksheet+xml"/>
  <Override PartName="/xl/tables/table69.xml" ContentType="application/vnd.openxmlformats-officedocument.spreadsheetml.table+xml"/>
  <Override PartName="/xl/worksheets/sheet106.xml" ContentType="application/vnd.openxmlformats-officedocument.spreadsheetml.worksheet+xml"/>
  <Override PartName="/xl/tables/table70.xml" ContentType="application/vnd.openxmlformats-officedocument.spreadsheetml.table+xml"/>
  <Override PartName="/xl/worksheets/sheet107.xml" ContentType="application/vnd.openxmlformats-officedocument.spreadsheetml.worksheet+xml"/>
  <Override PartName="/xl/tables/table71.xml" ContentType="application/vnd.openxmlformats-officedocument.spreadsheetml.table+xml"/>
  <Override PartName="/xl/worksheets/sheet108.xml" ContentType="application/vnd.openxmlformats-officedocument.spreadsheetml.worksheet+xml"/>
  <Override PartName="/xl/worksheets/sheet10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4f22f440ee48a0" /></Relationships>
</file>

<file path=xl/workbook.xml><?xml version="1.0" encoding="utf-8"?>
<x:workbook xmlns:x="http://schemas.openxmlformats.org/spreadsheetml/2006/main">
  <x:sheets>
    <x:sheet xmlns:r="http://schemas.openxmlformats.org/officeDocument/2006/relationships" name="Read Me" sheetId="1" r:id="R904a9e4d5aae4582"/>
    <x:sheet xmlns:r="http://schemas.openxmlformats.org/officeDocument/2006/relationships" name="Migration Rules" sheetId="2" r:id="Rcd13cb9dba6f4e02"/>
    <x:sheet xmlns:r="http://schemas.openxmlformats.org/officeDocument/2006/relationships" name="Legacy Compounds" sheetId="3" r:id="R389b428d6688431d"/>
    <x:sheet xmlns:r="http://schemas.openxmlformats.org/officeDocument/2006/relationships" name="Pairing Regression" sheetId="4" r:id="R35500f648b354dc4"/>
    <x:sheet xmlns:r="http://schemas.openxmlformats.org/officeDocument/2006/relationships" name="Pairing Compound Leads" sheetId="5" r:id="R3e8e3802fa1b40f4"/>
    <x:sheet xmlns:r="http://schemas.openxmlformats.org/officeDocument/2006/relationships" name="Research Queue" sheetId="6" r:id="Ra2313689e1e34490"/>
    <x:sheet xmlns:r="http://schemas.openxmlformats.org/officeDocument/2006/relationships" name="Data Issues" sheetId="7" r:id="R835fa722cf7f478a"/>
    <x:sheet xmlns:r="http://schemas.openxmlformats.org/officeDocument/2006/relationships" name="Expansion Plan" sheetId="8" r:id="Rde36a6ceb72d4de9"/>
    <x:sheet xmlns:r="http://schemas.openxmlformats.org/officeDocument/2006/relationships" name="Verified Sources" sheetId="9" r:id="R1d0d2a0b934949ef"/>
    <x:sheet xmlns:r="http://schemas.openxmlformats.org/officeDocument/2006/relationships" name="Duck Equivalence Rules" sheetId="10" r:id="R7e8621abb9464fe5"/>
    <x:sheet xmlns:r="http://schemas.openxmlformats.org/officeDocument/2006/relationships" name="Canonical Registry - Duck" sheetId="11" r:id="Rae881e6885534a3e"/>
    <x:sheet xmlns:r="http://schemas.openxmlformats.org/officeDocument/2006/relationships" name="Verified Duck Profiles" sheetId="12" r:id="R9f8694bd8cd047b3"/>
    <x:sheet xmlns:r="http://schemas.openxmlformats.org/officeDocument/2006/relationships" name="Canonical Registry - Chicken" sheetId="13" r:id="R60bb3f59905a4480"/>
    <x:sheet xmlns:r="http://schemas.openxmlformats.org/officeDocument/2006/relationships" name="Verified Chicken Profiles" sheetId="14" r:id="R7da2e1dde07a4f25"/>
    <x:sheet xmlns:r="http://schemas.openxmlformats.org/officeDocument/2006/relationships" name="Chicken State Coverage" sheetId="15" r:id="R0050081c69d94a99"/>
    <x:sheet xmlns:r="http://schemas.openxmlformats.org/officeDocument/2006/relationships" name="Poultry Cross-Member" sheetId="16" r:id="Rc9cd6b21ab1744ce"/>
    <x:sheet xmlns:r="http://schemas.openxmlformats.org/officeDocument/2006/relationships" name="Canonical Registry - Turkey" sheetId="17" r:id="Rb30a8153049342cb"/>
    <x:sheet xmlns:r="http://schemas.openxmlformats.org/officeDocument/2006/relationships" name="Verified Turkey Profiles" sheetId="18" r:id="R0821847c386c4f78"/>
    <x:sheet xmlns:r="http://schemas.openxmlformats.org/officeDocument/2006/relationships" name="Turkey State Coverage" sheetId="19" r:id="Rf4285fa3df4e4e7a"/>
    <x:sheet xmlns:r="http://schemas.openxmlformats.org/officeDocument/2006/relationships" name="Turkey Species Signature" sheetId="20" r:id="Raa2e1fa5989f496b"/>
    <x:sheet xmlns:r="http://schemas.openxmlformats.org/officeDocument/2006/relationships" name="Founder Verification Queue" sheetId="21" r:id="R77124304d7b84461"/>
    <x:sheet xmlns:r="http://schemas.openxmlformats.org/officeDocument/2006/relationships" name="Canonical Registry - Goose" sheetId="22" r:id="R99a478ec28b946d9"/>
    <x:sheet xmlns:r="http://schemas.openxmlformats.org/officeDocument/2006/relationships" name="Verified Goose Profiles" sheetId="23" r:id="R7090833f274b4737"/>
    <x:sheet xmlns:r="http://schemas.openxmlformats.org/officeDocument/2006/relationships" name="Goose State Coverage" sheetId="24" r:id="R04c2423b4af64014"/>
    <x:sheet xmlns:r="http://schemas.openxmlformats.org/officeDocument/2006/relationships" name="Bird Pattern Evidence" sheetId="25" r:id="Rb48e06602cc04688"/>
    <x:sheet xmlns:r="http://schemas.openxmlformats.org/officeDocument/2006/relationships" name="Roasted Landfowl Shared Base" sheetId="26" r:id="Ra95129a580084f60"/>
    <x:sheet xmlns:r="http://schemas.openxmlformats.org/officeDocument/2006/relationships" name="Roasted Landfowl Deltas" sheetId="27" r:id="R2beb5d4857ee4dc8"/>
    <x:sheet xmlns:r="http://schemas.openxmlformats.org/officeDocument/2006/relationships" name="Landfowl Quantitative Deltas" sheetId="28" r:id="Rb895cce726cc49c0"/>
    <x:sheet xmlns:r="http://schemas.openxmlformats.org/officeDocument/2006/relationships" name="Approved Avian Patterns" sheetId="29" r:id="R89ecfa7965ce44c1"/>
    <x:sheet xmlns:r="http://schemas.openxmlformats.org/officeDocument/2006/relationships" name="Landfowl Table17 Matrix" sheetId="30" r:id="R0096c6695e794956"/>
    <x:sheet xmlns:r="http://schemas.openxmlformats.org/officeDocument/2006/relationships" name="Governed Landfowl Profiles" sheetId="31" r:id="R0213958d102f498c"/>
    <x:sheet xmlns:r="http://schemas.openxmlformats.org/officeDocument/2006/relationships" name="Landfowl Profile Summary" sheetId="32" r:id="Re3aa2ad18b104c63"/>
    <x:sheet xmlns:r="http://schemas.openxmlformats.org/officeDocument/2006/relationships" name="Landfowl Quant Raw Archive v7" sheetId="33" r:id="Reb6e4704c8594e85"/>
    <x:sheet xmlns:r="http://schemas.openxmlformats.org/officeDocument/2006/relationships" name="Canonical Registry - Pigeon" sheetId="34" r:id="R72cd68d7a8104767"/>
    <x:sheet xmlns:r="http://schemas.openxmlformats.org/officeDocument/2006/relationships" name="Governed Pigeon Squab Profiles" sheetId="35" r:id="R19dd23db62794b1f"/>
    <x:sheet xmlns:r="http://schemas.openxmlformats.org/officeDocument/2006/relationships" name="Pigeon Squab State Coverage" sheetId="36" r:id="R573e45c4b78840b9"/>
    <x:sheet xmlns:r="http://schemas.openxmlformats.org/officeDocument/2006/relationships" name="Pigeon Squab Source Roles" sheetId="37" r:id="R3554cb9c9df04680"/>
    <x:sheet xmlns:r="http://schemas.openxmlformats.org/officeDocument/2006/relationships" name="Landfowl Quant Evidence Conflict" sheetId="38" r:id="R6b86c1850c3e46f7"/>
    <x:sheet xmlns:r="http://schemas.openxmlformats.org/officeDocument/2006/relationships" name="Modern Quail Validation" sheetId="39" r:id="R4a97c357655c436c"/>
    <x:sheet xmlns:r="http://schemas.openxmlformats.org/officeDocument/2006/relationships" name="Quail Roast Time Dynamics" sheetId="40" r:id="R26d99e50ffa94a2c"/>
    <x:sheet xmlns:r="http://schemas.openxmlformats.org/officeDocument/2006/relationships" name="Pheasant Partridge Modern Review" sheetId="41" r:id="R0df1b377fd114b12"/>
    <x:sheet xmlns:r="http://schemas.openxmlformats.org/officeDocument/2006/relationships" name="Avian Completion Audit" sheetId="42" r:id="R553c9cf613134140"/>
    <x:sheet xmlns:r="http://schemas.openxmlformats.org/officeDocument/2006/relationships" name="Beef Legacy Reconciliation" sheetId="43" r:id="Re4be9d11f0314dd9"/>
    <x:sheet xmlns:r="http://schemas.openxmlformats.org/officeDocument/2006/relationships" name="Canonical Registry - Beef" sheetId="44" r:id="R5fe30b90ca7d4dfa"/>
    <x:sheet xmlns:r="http://schemas.openxmlformats.org/officeDocument/2006/relationships" name="Verified Beef Profiles" sheetId="45" r:id="R7119e524c4664bf0"/>
    <x:sheet xmlns:r="http://schemas.openxmlformats.org/officeDocument/2006/relationships" name="Beef Quantitative Deltas" sheetId="46" r:id="Rc3d668f2de0f43c3"/>
    <x:sheet xmlns:r="http://schemas.openxmlformats.org/officeDocument/2006/relationships" name="Beef State Coverage" sheetId="47" r:id="R81ccdd6e5c2546c1"/>
    <x:sheet xmlns:r="http://schemas.openxmlformats.org/officeDocument/2006/relationships" name="Beef Pattern Evidence" sheetId="48" r:id="Ra71016e8fc27493b"/>
    <x:sheet xmlns:r="http://schemas.openxmlformats.org/officeDocument/2006/relationships" name="Beef Completion Audit" sheetId="49" r:id="Rb18de70f06714f45"/>
    <x:sheet xmlns:r="http://schemas.openxmlformats.org/officeDocument/2006/relationships" name="Detected Beef Muscle" sheetId="50" r:id="R7d2585c79aac474e"/>
    <x:sheet xmlns:r="http://schemas.openxmlformats.org/officeDocument/2006/relationships" name="Detected Beef Fat" sheetId="51" r:id="Rd3c88ba289bc421e"/>
    <x:sheet xmlns:r="http://schemas.openxmlformats.org/officeDocument/2006/relationships" name="Detected Beef Cure-Smoke" sheetId="52" r:id="Rf34e35dad6854808"/>
    <x:sheet xmlns:r="http://schemas.openxmlformats.org/officeDocument/2006/relationships" name="Detected Beef Aging" sheetId="53" r:id="Ra998c08ebf454fa4"/>
    <x:sheet xmlns:r="http://schemas.openxmlformats.org/officeDocument/2006/relationships" name="Verified Beef Fat Profile" sheetId="54" r:id="R720fa8dea5904b8a"/>
    <x:sheet xmlns:r="http://schemas.openxmlformats.org/officeDocument/2006/relationships" name="Beef Identification QA" sheetId="55" r:id="R361ec732d4784366"/>
    <x:sheet xmlns:r="http://schemas.openxmlformats.org/officeDocument/2006/relationships" name="Beef MR Addendum Audit" sheetId="56" r:id="Re7e50fca6a5e4ea5"/>
    <x:sheet xmlns:r="http://schemas.openxmlformats.org/officeDocument/2006/relationships" name="Detected Finfish Salmon" sheetId="57" r:id="R6229c3f0a2a04b49"/>
    <x:sheet xmlns:r="http://schemas.openxmlformats.org/officeDocument/2006/relationships" name="Detected Finfish Sea Bass" sheetId="58" r:id="R881edefe48174aaa"/>
    <x:sheet xmlns:r="http://schemas.openxmlformats.org/officeDocument/2006/relationships" name="Finfish Identification QA" sheetId="59" r:id="R77be5e7698ca4e50"/>
    <x:sheet xmlns:r="http://schemas.openxmlformats.org/officeDocument/2006/relationships" name="Finfish Architecture Test" sheetId="60" r:id="R2dcef4d8ee47444a"/>
    <x:sheet xmlns:r="http://schemas.openxmlformats.org/officeDocument/2006/relationships" name="Finfish Legacy Reconciliation" sheetId="61" r:id="R72080b1eb9294e0d"/>
    <x:sheet xmlns:r="http://schemas.openxmlformats.org/officeDocument/2006/relationships" name="Detected Finfish Mackerel" sheetId="62" r:id="R784659ed87844874"/>
    <x:sheet xmlns:r="http://schemas.openxmlformats.org/officeDocument/2006/relationships" name="Mackerel Class Deltas" sheetId="63" r:id="R9808a32fcf3a4791"/>
    <x:sheet xmlns:r="http://schemas.openxmlformats.org/officeDocument/2006/relationships" name="Mackerel Key Interpretation" sheetId="64" r:id="Rf1e90701af014da4"/>
    <x:sheet xmlns:r="http://schemas.openxmlformats.org/officeDocument/2006/relationships" name="Finfish Cod-Salmon Sensory" sheetId="65" r:id="Rc4df62c5d9324316"/>
    <x:sheet xmlns:r="http://schemas.openxmlformats.org/officeDocument/2006/relationships" name="Finfish Completion Audit" sheetId="66" r:id="Ra80dac4009d94d03"/>
    <x:sheet xmlns:r="http://schemas.openxmlformats.org/officeDocument/2006/relationships" name="Detected Finfish Cod Raw" sheetId="67" r:id="R2525964d06fb4e11"/>
    <x:sheet xmlns:r="http://schemas.openxmlformats.org/officeDocument/2006/relationships" name="Detected Finfish Cod Baked" sheetId="68" r:id="R38d2f9c5ed414546"/>
    <x:sheet xmlns:r="http://schemas.openxmlformats.org/officeDocument/2006/relationships" name="Finfish Salmon QA Crosscheck" sheetId="69" r:id="Rfd31521c702d4a6e"/>
    <x:sheet xmlns:r="http://schemas.openxmlformats.org/officeDocument/2006/relationships" name="Detected Dairy Butter" sheetId="70" r:id="R6fc42d6c53784357"/>
    <x:sheet xmlns:r="http://schemas.openxmlformats.org/officeDocument/2006/relationships" name="Dairy Carrier Lactones" sheetId="71" r:id="R8332dffa58d941a9"/>
    <x:sheet xmlns:r="http://schemas.openxmlformats.org/officeDocument/2006/relationships" name="Dairy Cream Profiles" sheetId="72" r:id="Ra0545e7071264eb2"/>
    <x:sheet xmlns:r="http://schemas.openxmlformats.org/officeDocument/2006/relationships" name="Dairy Butter Heat" sheetId="73" r:id="R6622cf01ff9849b6"/>
    <x:sheet xmlns:r="http://schemas.openxmlformats.org/officeDocument/2006/relationships" name="Dairy Carrier Architecture" sheetId="74" r:id="R6eefb4018c6d420f"/>
    <x:sheet xmlns:r="http://schemas.openxmlformats.org/officeDocument/2006/relationships" name="Dairy Identification QA" sheetId="75" r:id="R8dfc8c7396a34de3"/>
    <x:sheet xmlns:r="http://schemas.openxmlformats.org/officeDocument/2006/relationships" name="Dairy Carrier Completion Audit" sheetId="76" r:id="R2e384316f37a47f0"/>
    <x:sheet xmlns:r="http://schemas.openxmlformats.org/officeDocument/2006/relationships" name="Detected Shellfish Scallop" sheetId="77" r:id="R91d19e5e95484511"/>
    <x:sheet xmlns:r="http://schemas.openxmlformats.org/officeDocument/2006/relationships" name="Shellfish Legacy Scope" sheetId="78" r:id="R3c4b1855ed774098"/>
    <x:sheet xmlns:r="http://schemas.openxmlformats.org/officeDocument/2006/relationships" name="Shellfish Shrimp OAV" sheetId="79" r:id="Re1b97b4024764d07"/>
    <x:sheet xmlns:r="http://schemas.openxmlformats.org/officeDocument/2006/relationships" name="Shellfish Key Compounds" sheetId="80" r:id="Ra35f3fe52cd048be"/>
    <x:sheet xmlns:r="http://schemas.openxmlformats.org/officeDocument/2006/relationships" name="Shellfish Member Coverage" sheetId="81" r:id="R4256d8003a804229"/>
    <x:sheet xmlns:r="http://schemas.openxmlformats.org/officeDocument/2006/relationships" name="Shellfish Identification QA" sheetId="82" r:id="R5155fa3af9e64b43"/>
    <x:sheet xmlns:r="http://schemas.openxmlformats.org/officeDocument/2006/relationships" name="Shellfish Pattern Evidence" sheetId="83" r:id="R15944887c2094608"/>
    <x:sheet xmlns:r="http://schemas.openxmlformats.org/officeDocument/2006/relationships" name="Detected Shellfish Crab" sheetId="84" r:id="Rae55a43fde5844bd"/>
    <x:sheet xmlns:r="http://schemas.openxmlformats.org/officeDocument/2006/relationships" name="Shellfish Completion Audit" sheetId="85" r:id="R3c33b9d775404ffe"/>
    <x:sheet xmlns:r="http://schemas.openxmlformats.org/officeDocument/2006/relationships" name="Governance Compliance Audit" sheetId="86" r:id="Rafb8c7efec6a4252"/>
    <x:sheet xmlns:r="http://schemas.openxmlformats.org/officeDocument/2006/relationships" name="Legacy Scope Preflight" sheetId="87" r:id="Rb1a84fc9f43141b6"/>
    <x:sheet xmlns:r="http://schemas.openxmlformats.org/officeDocument/2006/relationships" name="Data Collection Gate" sheetId="88" r:id="R07b105c7d10d4d40"/>
    <x:sheet xmlns:r="http://schemas.openxmlformats.org/officeDocument/2006/relationships" name="Detected Egg Salted Yolk" sheetId="89" r:id="R081778d97f484eab"/>
    <x:sheet xmlns:r="http://schemas.openxmlformats.org/officeDocument/2006/relationships" name="Egg Scrambled Sensomics" sheetId="90" r:id="R95b69ee152234745"/>
    <x:sheet xmlns:r="http://schemas.openxmlformats.org/officeDocument/2006/relationships" name="Egg State Evidence" sheetId="91" r:id="Raeb4f5ab0b94486f"/>
    <x:sheet xmlns:r="http://schemas.openxmlformats.org/officeDocument/2006/relationships" name="Egg Product Architecture" sheetId="92" r:id="R85bea382ad554fcf"/>
    <x:sheet xmlns:r="http://schemas.openxmlformats.org/officeDocument/2006/relationships" name="Detected Egg Boiled Yolk" sheetId="93" r:id="R00b7070c987d4714"/>
    <x:sheet xmlns:r="http://schemas.openxmlformats.org/officeDocument/2006/relationships" name="Egg Identification QA" sheetId="94" r:id="Ra5a15a7fcc354585"/>
    <x:sheet xmlns:r="http://schemas.openxmlformats.org/officeDocument/2006/relationships" name="Egg Product Coverage" sheetId="95" r:id="R69b4d7f2ef6f478a"/>
    <x:sheet xmlns:r="http://schemas.openxmlformats.org/officeDocument/2006/relationships" name="Egg Completion Audit" sheetId="96" r:id="Rf329af43f1924d41"/>
    <x:sheet xmlns:r="http://schemas.openxmlformats.org/officeDocument/2006/relationships" name="Detected Shellfish Crayfish" sheetId="97" r:id="R8c43ba8bd602443e"/>
    <x:sheet xmlns:r="http://schemas.openxmlformats.org/officeDocument/2006/relationships" name="Brown Butter Aroma Active" sheetId="98" r:id="R952c431b66e54437"/>
    <x:sheet xmlns:r="http://schemas.openxmlformats.org/officeDocument/2006/relationships" name="Detected Shellfish Shrimp 54" sheetId="99" r:id="R046251ce75824485"/>
    <x:sheet xmlns:r="http://schemas.openxmlformats.org/officeDocument/2006/relationships" name="Named Gap Acquisition Audit" sheetId="100" r:id="R28bc1ccc45d943b6"/>
    <x:sheet xmlns:r="http://schemas.openxmlformats.org/officeDocument/2006/relationships" name="Detected Game Rabbit" sheetId="101" r:id="R8b846f8c7c9646ff"/>
    <x:sheet xmlns:r="http://schemas.openxmlformats.org/officeDocument/2006/relationships" name="Game Identification QA" sheetId="102" r:id="R2adab7f3c23340ff"/>
    <x:sheet xmlns:r="http://schemas.openxmlformats.org/officeDocument/2006/relationships" name="Game Deer Evidence" sheetId="103" r:id="R1a5322529026466c"/>
    <x:sheet xmlns:r="http://schemas.openxmlformats.org/officeDocument/2006/relationships" name="Game Product Coverage" sheetId="104" r:id="Rf405aec595d54644"/>
    <x:sheet xmlns:r="http://schemas.openxmlformats.org/officeDocument/2006/relationships" name="Game Pattern Evidence" sheetId="105" r:id="R20b0c154556045ec"/>
    <x:sheet xmlns:r="http://schemas.openxmlformats.org/officeDocument/2006/relationships" name="Game Acquisition Audit" sheetId="106" r:id="R9a3bee14958d4a30"/>
    <x:sheet xmlns:r="http://schemas.openxmlformats.org/officeDocument/2006/relationships" name="Game Completion Audit" sheetId="107" r:id="R34ff0b7b4eae4320"/>
    <x:sheet xmlns:r="http://schemas.openxmlformats.org/officeDocument/2006/relationships" name="Egg Pre-Ingestion Audit" sheetId="108" r:id="Raaab30a5b3514c5c"/>
    <x:sheet xmlns:r="http://schemas.openxmlformats.org/officeDocument/2006/relationships" name="Exclusion Routing Audit" sheetId="109" r:id="R3db313507fc2474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x"/>
    <x:numFmt numFmtId="202" formatCode="0.0%"/>
  </x:numFmts>
  <x:fonts count="15">
    <x:font>
      <x:sz val="11"/>
      <x:name val="Carlito"/>
    </x:font>
    <x:font>
      <x:b/>
      <x:sz val="16"/>
      <x:color rgb="FFFFFFFF"/>
      <x:name val="Carlito"/>
    </x:font>
    <x:font>
      <x:sz val="11"/>
      <x:color rgb="FF7F6000"/>
      <x:name val="Carlito"/>
    </x:font>
    <x:font>
      <x:b/>
      <x:sz val="11"/>
      <x:color rgb="FFFFFFFF"/>
      <x:name val="Carlito"/>
    </x:font>
    <x:font>
      <x:b/>
      <x:sz val="11"/>
      <x:color rgb="FF17365D"/>
      <x:name val="Carlito"/>
    </x:font>
    <x:font>
      <x:b/>
      <x:sz val="14"/>
      <x:color rgb="FFFFFFFF"/>
      <x:name val="Carlito"/>
    </x:font>
    <x:font>
      <x:b/>
      <x:sz val="11"/>
      <x:color rgb="FFFFFDF8"/>
      <x:name val="Carlito"/>
    </x:font>
    <x:font>
      <x:sz val="11"/>
      <x:color rgb="FF375623"/>
      <x:name val="Carlito"/>
    </x:font>
    <x:font>
      <x:sz val="11"/>
      <x:color rgb="FF9C0006"/>
      <x:name val="Carlito"/>
    </x:font>
    <x:font>
      <x:b/>
      <x:sz val="11"/>
      <x:color rgb="FF1F1F1F"/>
      <x:name val="Carlito"/>
    </x:font>
    <x:font>
      <x:b/>
      <x:sz val="11"/>
      <x:name val="Carlito"/>
    </x:font>
    <x:font>
      <x:i/>
      <x:sz val="11"/>
      <x:name val="Carlito"/>
    </x:font>
    <x:font>
      <x:b/>
      <x:sz val="11"/>
      <x:color rgb="FF2F472B"/>
      <x:name val="Carlito"/>
    </x:font>
    <x:font>
      <x:i/>
      <x:sz val="11"/>
      <x:color rgb="FF1E1714"/>
      <x:name val="Carlito"/>
    </x:font>
    <x:font>
      <x:b/>
      <x:sz val="11"/>
      <x:color rgb="FF2A211E"/>
      <x:name val="Carlito"/>
    </x:font>
  </x:fonts>
  <x:fills count="84">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B0552A"/>
      </x:patternFill>
    </x:fill>
    <x:fill>
      <x:patternFill patternType="solid">
        <x:fgColor rgb="FF1E1714"/>
      </x:patternFill>
    </x:fill>
    <x:fill>
      <x:patternFill patternType="solid">
        <x:fgColor rgb="FF64714F"/>
      </x:patternFill>
    </x:fill>
    <x:fill>
      <x:patternFill patternType="solid">
        <x:fgColor rgb="FF24323A"/>
      </x:patternFill>
    </x:fill>
    <x:fill>
      <x:patternFill patternType="solid">
        <x:fgColor rgb="FFFFF4D6"/>
      </x:patternFill>
    </x:fill>
    <x:fill>
      <x:patternFill patternType="solid">
        <x:fgColor rgb="FFE8EEF3"/>
      </x:patternFill>
    </x:fill>
    <x:fill>
      <x:patternFill patternType="solid">
        <x:fgColor rgb="FFE8EEF3"/>
      </x:patternFill>
    </x:fill>
    <x:fill>
      <x:patternFill patternType="solid">
        <x:fgColor rgb="FF24323A"/>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24323A"/>
      </x:patternFill>
    </x:fill>
    <x:fill>
      <x:patternFill patternType="solid">
        <x:fgColor rgb="FFE8EEF3"/>
      </x:patternFill>
    </x:fill>
    <x:fill>
      <x:patternFill patternType="solid">
        <x:fgColor rgb="FFEAF4EA"/>
      </x:patternFill>
    </x:fill>
    <x:fill>
      <x:patternFill patternType="solid">
        <x:fgColor rgb="FFFFF4D6"/>
      </x:patternFill>
    </x:fill>
    <x:fill>
      <x:patternFill patternType="solid">
        <x:fgColor rgb="FF24323A"/>
      </x:patternFill>
    </x:fill>
    <x:fill>
      <x:patternFill patternType="solid">
        <x:fgColor rgb="FFFBE9E7"/>
      </x:patternFill>
    </x:fill>
    <x:fill>
      <x:patternFill patternType="solid">
        <x:fgColor rgb="FFFFF4D6"/>
      </x:patternFill>
    </x:fill>
    <x:fill>
      <x:patternFill patternType="solid">
        <x:fgColor rgb="FFEAF4EA"/>
      </x:patternFill>
    </x:fill>
    <x:fill>
      <x:patternFill patternType="solid">
        <x:fgColor rgb="FF24323A"/>
      </x:patternFill>
    </x:fill>
    <x:fill>
      <x:patternFill patternType="solid">
        <x:fgColor rgb="FFE8EEF3"/>
      </x:patternFill>
    </x:fill>
    <x:fill>
      <x:patternFill patternType="solid">
        <x:fgColor rgb="FFFFF4D6"/>
      </x:patternFill>
    </x:fill>
    <x:fill>
      <x:patternFill patternType="solid">
        <x:fgColor rgb="FFEAF4EA"/>
      </x:patternFill>
    </x:fill>
    <x:fill>
      <x:patternFill patternType="solid">
        <x:fgColor rgb="FFE8EEF3"/>
      </x:patternFill>
    </x:fill>
    <x:fill>
      <x:patternFill patternType="solid">
        <x:fgColor rgb="FF24323A"/>
      </x:patternFill>
    </x:fill>
    <x:fill>
      <x:patternFill patternType="solid">
        <x:fgColor rgb="FFEAF4EA"/>
      </x:patternFill>
    </x:fill>
    <x:fill>
      <x:patternFill patternType="solid">
        <x:fgColor rgb="FF24323A"/>
      </x:patternFill>
    </x:fill>
    <x:fill>
      <x:patternFill patternType="solid">
        <x:fgColor rgb="FFEAF4EA"/>
      </x:patternFill>
    </x:fill>
    <x:fill>
      <x:patternFill patternType="solid">
        <x:fgColor rgb="FFFFF4D6"/>
      </x:patternFill>
    </x:fill>
    <x:fill>
      <x:patternFill patternType="solid">
        <x:fgColor rgb="FFE8EEF3"/>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E1714"/>
      </x:patternFill>
    </x:fill>
    <x:fill>
      <x:patternFill patternType="solid">
        <x:fgColor rgb="FFECE3D5"/>
      </x:patternFill>
    </x:fill>
    <x:fill>
      <x:patternFill patternType="solid">
        <x:fgColor rgb="FFFFF9F1"/>
      </x:patternFill>
    </x:fill>
    <x:fill>
      <x:patternFill patternType="solid">
        <x:fgColor rgb="FF574A42"/>
      </x:patternFill>
    </x:fill>
    <x:fill>
      <x:patternFill patternType="solid">
        <x:fgColor rgb="FFE9F0E4"/>
      </x:patternFill>
    </x:fill>
    <x:fill>
      <x:patternFill patternType="solid">
        <x:fgColor rgb="FF3D2F2A"/>
      </x:patternFill>
    </x:fill>
    <x:fill>
      <x:patternFill patternType="solid">
        <x:fgColor rgb="FFD9C8B8"/>
      </x:patternFill>
    </x:fill>
  </x:fills>
  <x:borders count="4">
    <x:border/>
    <x:border/>
    <x:border/>
    <x:border/>
  </x:borders>
  <x:cellStyleXfs count="1">
    <x:xf numFmtId="0" fontId="0" fillId="0" borderId="0"/>
  </x:cellStyleXfs>
  <x:cellXfs count="3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8" borderId="0" xfId="0" applyNumberFormat="1" applyFont="1" applyFill="1" applyBorder="1"/>
    <x:xf numFmtId="0" fontId="3" fillId="8" borderId="0" xfId="0" applyNumberFormat="1" applyFont="1" applyFill="1" applyBorder="1"/>
    <x:xf numFmtId="0" fontId="6" fillId="7" borderId="0" xfId="0" applyNumberFormat="1" applyFont="1" applyFill="1" applyBorder="1" applyAlignment="1">
      <x:alignment horizontal="left" vertical="center" wrapText="1"/>
    </x:xf>
    <x:xf numFmtId="0" fontId="0" fillId="9"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3" fillId="13"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0" fillId="14" borderId="0" xfId="0" applyNumberFormat="1" applyFont="1" applyFill="1" applyBorder="1" applyAlignment="1">
      <x:alignment vertical="top" wrapText="1"/>
    </x:xf>
    <x:xf numFmtId="0" fontId="0" fillId="9" borderId="0" xfId="0" applyNumberFormat="1" applyFont="1" applyFill="1" applyBorder="1"/>
    <x:xf numFmtId="0" fontId="3" fillId="9" borderId="0" xfId="0" applyNumberFormat="1" applyFont="1" applyFill="1" applyBorder="1"/>
    <x:xf numFmtId="0" fontId="0" fillId="15" borderId="0" xfId="0" applyNumberFormat="1" applyFont="1" applyFill="1" applyBorder="1"/>
    <x:xf numFmtId="0" fontId="3" fillId="15" borderId="0" xfId="0" applyNumberFormat="1" applyFont="1" applyFill="1" applyBorder="1"/>
    <x:xf numFmtId="0" fontId="0" fillId="16" borderId="0" xfId="0" applyNumberFormat="1" applyFont="1" applyFill="1" applyBorder="1" applyAlignment="1">
      <x:alignment vertical="top" wrapText="1"/>
    </x:xf>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17" borderId="0" xfId="0" applyNumberFormat="1" applyFont="1" applyFill="1" applyBorder="1" applyAlignment="1">
      <x:alignment vertical="top" wrapText="1"/>
    </x:xf>
    <x:xf numFmtId="0" fontId="0" fillId="18" borderId="0" xfId="0" applyNumberFormat="1" applyFont="1" applyFill="1" applyBorder="1"/>
    <x:xf numFmtId="0" fontId="3" fillId="18" borderId="0" xfId="0" applyNumberFormat="1" applyFont="1" applyFill="1" applyBorder="1"/>
    <x:xf numFmtId="0" fontId="0" fillId="19" borderId="0" xfId="0" applyNumberFormat="1" applyFont="1" applyFill="1" applyBorder="1" applyAlignment="1">
      <x:alignment vertical="top"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vertical="center" wrapText="1"/>
    </x:xf>
    <x:xf numFmtId="0" fontId="0" fillId="20" borderId="0"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0" fillId="22" borderId="0" xfId="0" applyNumberFormat="1" applyFont="1" applyFill="1" applyBorder="1" applyAlignment="1">
      <x:alignment vertical="top" wrapText="1"/>
    </x:xf>
    <x:xf numFmtId="0" fontId="3" fillId="21" borderId="0" xfId="0" applyNumberFormat="1" applyFont="1" applyFill="1" applyBorder="1" applyAlignment="1">
      <x:alignment wrapText="1"/>
    </x:xf>
    <x:xf numFmtId="0" fontId="3" fillId="21" borderId="0" xfId="0" applyNumberFormat="1" applyFont="1" applyFill="1" applyBorder="1" applyAlignment="1">
      <x:alignment vertical="center"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vertical="center" wrapText="1"/>
    </x:xf>
    <x:xf numFmtId="0" fontId="3" fillId="26" borderId="0" xfId="0" applyNumberFormat="1" applyFont="1" applyFill="1" applyBorder="1" applyAlignment="1">
      <x:alignment vertical="center" wrapText="1"/>
    </x:xf>
    <x:xf numFmtId="0" fontId="0" fillId="26"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27" borderId="0" xfId="0" applyNumberFormat="1" applyFont="1" applyFill="1" applyBorder="1" applyAlignment="1">
      <x:alignment vertical="top" wrapText="1"/>
    </x:xf>
    <x:xf numFmtId="0" fontId="0" fillId="28" borderId="0" xfId="0" applyNumberFormat="1" applyFont="1" applyFill="1" applyBorder="1" applyAlignment="1">
      <x:alignment vertical="top" wrapText="1"/>
    </x:xf>
    <x:xf numFmtId="0" fontId="0" fillId="27" borderId="0" xfId="0" applyNumberFormat="1" applyFont="1" applyFill="1" applyBorder="1"/>
    <x:xf numFmtId="0" fontId="0" fillId="10" borderId="0" xfId="0" applyNumberFormat="1" applyFont="1" applyFill="1" applyBorder="1"/>
    <x:xf numFmtId="0" fontId="0" fillId="29" borderId="0" xfId="0" applyNumberFormat="1" applyFont="1" applyFill="1" applyBorder="1"/>
    <x:xf numFmtId="0" fontId="3" fillId="29" borderId="0" xfId="0" applyNumberFormat="1" applyFont="1" applyFill="1" applyBorder="1"/>
    <x:xf numFmtId="0" fontId="0" fillId="30" borderId="0" xfId="0" applyNumberFormat="1" applyFont="1" applyFill="1" applyBorder="1" applyAlignment="1">
      <x:alignment vertical="top" wrapText="1"/>
    </x:xf>
    <x:xf numFmtId="0" fontId="3" fillId="29" borderId="0" xfId="0" applyNumberFormat="1" applyFont="1" applyFill="1" applyBorder="1" applyAlignment="1">
      <x:alignment wrapText="1"/>
    </x:xf>
    <x:xf numFmtId="0" fontId="3" fillId="29" borderId="0" xfId="0" applyNumberFormat="1" applyFont="1" applyFill="1" applyBorder="1" applyAlignment="1">
      <x:alignment vertical="center"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1" borderId="0" xfId="0" applyNumberFormat="1" applyFont="1" applyFill="1" applyBorder="1"/>
    <x:xf numFmtId="0" fontId="0" fillId="33" borderId="0" xfId="0" applyNumberFormat="1" applyFont="1" applyFill="1" applyBorder="1" applyAlignment="1">
      <x:alignment vertical="top"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3" fillId="34" borderId="0" xfId="0" applyNumberFormat="1" applyFont="1" applyFill="1" applyBorder="1" applyAlignment="1">
      <x:alignment vertical="center"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3" fillId="36" borderId="0" xfId="0" applyNumberFormat="1" applyFont="1" applyFill="1" applyBorder="1"/>
    <x:xf numFmtId="0" fontId="3" fillId="36" borderId="0" xfId="0" applyNumberFormat="1" applyFont="1" applyFill="1" applyBorder="1" applyAlignment="1">
      <x:alignment wrapText="1"/>
    </x:xf>
    <x:xf numFmtId="0" fontId="3" fillId="36" borderId="0" xfId="0" applyNumberFormat="1" applyFont="1" applyFill="1" applyBorder="1" applyAlignment="1">
      <x:alignment vertical="center" wrapText="1"/>
    </x:xf>
    <x:xf numFmtId="0" fontId="0" fillId="37" borderId="0" xfId="0" applyNumberFormat="1" applyFont="1" applyFill="1" applyBorder="1" applyAlignment="1">
      <x:alignment vertical="top" wrapText="1"/>
    </x:xf>
    <x:xf numFmtId="0" fontId="0" fillId="38" borderId="0" xfId="0" applyNumberFormat="1" applyFont="1" applyFill="1" applyBorder="1" applyAlignment="1">
      <x:alignment vertical="top" wrapText="1"/>
    </x:xf>
    <x:xf numFmtId="0" fontId="0" fillId="39" borderId="0" xfId="0" applyNumberFormat="1" applyFont="1" applyFill="1" applyBorder="1" applyAlignment="1">
      <x:alignment vertical="top"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wrapText="1"/>
    </x:xf>
    <x:xf numFmtId="0" fontId="3" fillId="40" borderId="0" xfId="0" applyNumberFormat="1" applyFont="1" applyFill="1" applyBorder="1" applyAlignment="1">
      <x:alignment horizontal="center" wrapText="1"/>
    </x:xf>
    <x:xf numFmtId="0" fontId="3" fillId="40" borderId="0" xfId="0" applyNumberFormat="1" applyFont="1" applyFill="1" applyBorder="1" applyAlignment="1">
      <x:alignment horizontal="center" vertical="center" wrapText="1"/>
    </x:xf>
    <x:xf numFmtId="0" fontId="3" fillId="40" borderId="0" xfId="0" applyNumberFormat="1" applyFont="1" applyFill="1" applyBorder="1" applyAlignment="1">
      <x:alignment horizontal="center" vertical="top" wrapText="1"/>
    </x:xf>
    <x:xf numFmtId="0" fontId="0" fillId="41" borderId="0" xfId="0" applyNumberFormat="1" applyFont="1" applyFill="1" applyBorder="1" applyAlignment="1">
      <x:alignment vertical="top" wrapText="1"/>
    </x:xf>
    <x:xf numFmtId="0" fontId="2" fillId="41" borderId="0" xfId="0" applyNumberFormat="1" applyFont="1" applyFill="1" applyBorder="1" applyAlignment="1">
      <x:alignment vertical="top" wrapText="1"/>
    </x:xf>
    <x:xf numFmtId="0" fontId="0" fillId="42" borderId="0" xfId="0" applyNumberFormat="1" applyFont="1" applyFill="1" applyBorder="1" applyAlignment="1">
      <x:alignment vertical="top" wrapText="1"/>
    </x:xf>
    <x:xf numFmtId="0" fontId="7" fillId="42" borderId="0" xfId="0" applyNumberFormat="1" applyFont="1" applyFill="1" applyBorder="1" applyAlignment="1">
      <x:alignment vertical="top" wrapText="1"/>
    </x:xf>
    <x:xf numFmtId="0" fontId="0" fillId="43" borderId="0" xfId="0" applyNumberFormat="1" applyFont="1" applyFill="1" applyBorder="1" applyAlignment="1">
      <x:alignment vertical="top" wrapText="1"/>
    </x:xf>
    <x:xf numFmtId="0" fontId="8" fillId="43" borderId="0" xfId="0" applyNumberFormat="1" applyFont="1" applyFill="1" applyBorder="1" applyAlignment="1">
      <x:alignment vertical="top" wrapText="1"/>
    </x:xf>
    <x:xf numFmtId="0" fontId="0" fillId="44" borderId="0" xfId="0" applyNumberFormat="1" applyFont="1" applyFill="1" applyBorder="1"/>
    <x:xf numFmtId="0" fontId="9" fillId="44" borderId="0" xfId="0" applyNumberFormat="1" applyFont="1" applyFill="1" applyBorder="1"/>
    <x:xf numFmtId="0" fontId="9" fillId="44" borderId="0" xfId="0" applyNumberFormat="1" applyFont="1" applyFill="1" applyBorder="1" applyAlignment="1">
      <x:alignment vertical="center"/>
    </x:xf>
    <x:xf numFmtId="0" fontId="9" fillId="44"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vertical="center"/>
    </x:xf>
    <x:xf numFmtId="0" fontId="9" fillId="5" borderId="0" xfId="0" applyNumberFormat="1" applyFont="1" applyFill="1" applyBorder="1" applyAlignment="1">
      <x:alignment vertical="center" wrapText="1"/>
    </x:xf>
    <x:xf numFmtId="0" fontId="0" fillId="45" borderId="0" xfId="0" applyNumberFormat="1" applyFont="1" applyFill="1" applyBorder="1"/>
    <x:xf numFmtId="0" fontId="3" fillId="45" borderId="0" xfId="0" applyNumberFormat="1" applyFont="1" applyFill="1" applyBorder="1"/>
    <x:xf numFmtId="0" fontId="3" fillId="45" borderId="0" xfId="0" applyNumberFormat="1" applyFont="1" applyFill="1" applyBorder="1" applyAlignment="1">
      <x:alignment wrapText="1"/>
    </x:xf>
    <x:xf numFmtId="0" fontId="3" fillId="45" borderId="0" xfId="0" applyNumberFormat="1" applyFont="1" applyFill="1" applyBorder="1" applyAlignment="1">
      <x:alignment horizontal="center" wrapText="1"/>
    </x:xf>
    <x:xf numFmtId="0" fontId="3" fillId="45" borderId="0" xfId="0" applyNumberFormat="1" applyFont="1" applyFill="1" applyBorder="1" applyAlignment="1">
      <x:alignment horizontal="center" vertical="center" wrapText="1"/>
    </x:xf>
    <x:xf numFmtId="0" fontId="3" fillId="45" borderId="0" xfId="0" applyNumberFormat="1" applyFont="1" applyFill="1" applyBorder="1" applyAlignment="1">
      <x:alignment horizontal="center" vertical="top" wrapText="1"/>
    </x:xf>
    <x:xf numFmtId="0" fontId="0" fillId="46" borderId="0" xfId="0" applyNumberFormat="1" applyFont="1" applyFill="1" applyBorder="1" applyAlignment="1">
      <x:alignment vertical="top" wrapText="1"/>
    </x:xf>
    <x:xf numFmtId="0" fontId="2" fillId="46" borderId="0" xfId="0" applyNumberFormat="1" applyFont="1" applyFill="1" applyBorder="1" applyAlignment="1">
      <x:alignment vertical="top" wrapText="1"/>
    </x:xf>
    <x:xf numFmtId="0" fontId="0" fillId="47" borderId="0" xfId="0" applyNumberFormat="1" applyFont="1" applyFill="1" applyBorder="1" applyAlignment="1">
      <x:alignment vertical="top" wrapText="1"/>
    </x:xf>
    <x:xf numFmtId="0" fontId="7" fillId="47" borderId="0" xfId="0" applyNumberFormat="1" applyFont="1" applyFill="1" applyBorder="1" applyAlignment="1">
      <x:alignment vertical="top" wrapText="1"/>
    </x:xf>
    <x:xf numFmtId="0" fontId="2" fillId="47" borderId="0" xfId="0" applyNumberFormat="1" applyFont="1" applyFill="1" applyBorder="1" applyAlignment="1">
      <x:alignment vertical="top" wrapText="1"/>
    </x:xf>
    <x:xf numFmtId="0" fontId="0" fillId="47" borderId="0" xfId="0" applyNumberFormat="1" applyFont="1" applyFill="1" applyBorder="1" applyAlignment="1">
      <x:alignment wrapText="1"/>
    </x:xf>
    <x:xf numFmtId="0" fontId="7" fillId="47" borderId="0" xfId="0" applyNumberFormat="1" applyFont="1" applyFill="1" applyBorder="1" applyAlignment="1">
      <x:alignment wrapText="1"/>
    </x:xf>
    <x:xf numFmtId="0" fontId="0" fillId="47" borderId="0" xfId="0" applyNumberFormat="1" applyFont="1" applyFill="1" applyBorder="1"/>
    <x:xf numFmtId="0" fontId="7" fillId="47" borderId="0" xfId="0" applyNumberFormat="1" applyFont="1" applyFill="1" applyBorder="1"/>
    <x:xf numFmtId="0" fontId="0" fillId="48" borderId="0" xfId="0" applyNumberFormat="1" applyFont="1" applyFill="1" applyBorder="1"/>
    <x:xf numFmtId="0" fontId="9" fillId="48" borderId="0" xfId="0" applyNumberFormat="1" applyFont="1" applyFill="1" applyBorder="1"/>
    <x:xf numFmtId="0" fontId="9" fillId="48" borderId="0" xfId="0" applyNumberFormat="1" applyFont="1" applyFill="1" applyBorder="1" applyAlignment="1">
      <x:alignment vertical="center"/>
    </x:xf>
    <x:xf numFmtId="0" fontId="9" fillId="48" borderId="0" xfId="0" applyNumberFormat="1" applyFont="1" applyFill="1" applyBorder="1" applyAlignment="1">
      <x:alignment vertical="center" wrapText="1"/>
    </x:xf>
    <x:xf numFmtId="0" fontId="2" fillId="42" borderId="0" xfId="0" applyNumberFormat="1" applyFont="1" applyFill="1" applyBorder="1" applyAlignment="1">
      <x:alignment vertical="top" wrapText="1"/>
    </x:xf>
    <x:xf numFmtId="0" fontId="0" fillId="42" borderId="0" xfId="0" applyNumberFormat="1" applyFont="1" applyFill="1" applyBorder="1" applyAlignment="1">
      <x:alignment wrapText="1"/>
    </x:xf>
    <x:xf numFmtId="0" fontId="7" fillId="42" borderId="0" xfId="0" applyNumberFormat="1" applyFont="1" applyFill="1" applyBorder="1" applyAlignment="1">
      <x:alignment wrapText="1"/>
    </x:xf>
    <x:xf numFmtId="0" fontId="0" fillId="42" borderId="0" xfId="0" applyNumberFormat="1" applyFont="1" applyFill="1" applyBorder="1"/>
    <x:xf numFmtId="0" fontId="7" fillId="42"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9" fillId="49" borderId="0" xfId="0" applyNumberFormat="1" applyFont="1" applyFill="1" applyBorder="1" applyAlignment="1">
      <x:alignment vertical="center"/>
    </x:xf>
    <x:xf numFmtId="0" fontId="0" fillId="50" borderId="0" xfId="0" applyNumberFormat="1" applyFont="1" applyFill="1" applyBorder="1"/>
    <x:xf numFmtId="0" fontId="3" fillId="50" borderId="0" xfId="0" applyNumberFormat="1" applyFont="1" applyFill="1" applyBorder="1"/>
    <x:xf numFmtId="0" fontId="3" fillId="50" borderId="0" xfId="0" applyNumberFormat="1" applyFont="1" applyFill="1" applyBorder="1" applyAlignment="1">
      <x:alignment wrapText="1"/>
    </x:xf>
    <x:xf numFmtId="0" fontId="3" fillId="50" borderId="0" xfId="0" applyNumberFormat="1" applyFont="1" applyFill="1" applyBorder="1" applyAlignment="1">
      <x:alignment horizontal="center" wrapText="1"/>
    </x:xf>
    <x:xf numFmtId="0" fontId="3" fillId="50" borderId="0" xfId="0" applyNumberFormat="1" applyFont="1" applyFill="1" applyBorder="1" applyAlignment="1">
      <x:alignment horizontal="center" vertical="center" wrapText="1"/>
    </x:xf>
    <x:xf numFmtId="0" fontId="3" fillId="50" borderId="0" xfId="0" applyNumberFormat="1" applyFont="1" applyFill="1" applyBorder="1" applyAlignment="1">
      <x:alignment horizontal="center" vertical="top" wrapText="1"/>
    </x:xf>
    <x:xf numFmtId="0" fontId="0" fillId="51" borderId="0" xfId="0" applyNumberFormat="1" applyFont="1" applyFill="1" applyBorder="1" applyAlignment="1">
      <x:alignment vertical="top" wrapText="1"/>
    </x:xf>
    <x:xf numFmtId="0" fontId="2"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7" fillId="52" borderId="0" xfId="0" applyNumberFormat="1" applyFont="1" applyFill="1" applyBorder="1" applyAlignment="1">
      <x:alignment vertical="top" wrapText="1"/>
    </x:xf>
    <x:xf numFmtId="0" fontId="9" fillId="49" borderId="0" xfId="0" applyNumberFormat="1" applyFont="1" applyFill="1" applyBorder="1" applyAlignment="1">
      <x:alignment vertical="center" wrapText="1"/>
    </x:xf>
    <x:xf numFmtId="0" fontId="0" fillId="53" borderId="0" xfId="0" applyNumberFormat="1" applyFont="1" applyFill="1" applyBorder="1"/>
    <x:xf numFmtId="0" fontId="3" fillId="53" borderId="0" xfId="0" applyNumberFormat="1" applyFont="1" applyFill="1" applyBorder="1"/>
    <x:xf numFmtId="0" fontId="3" fillId="53" borderId="0" xfId="0" applyNumberFormat="1" applyFont="1" applyFill="1" applyBorder="1" applyAlignment="1">
      <x:alignment wrapText="1"/>
    </x:xf>
    <x:xf numFmtId="0" fontId="3" fillId="53" borderId="0" xfId="0" applyNumberFormat="1" applyFont="1" applyFill="1" applyBorder="1" applyAlignment="1">
      <x:alignment horizontal="center" wrapText="1"/>
    </x:xf>
    <x:xf numFmtId="0" fontId="3" fillId="53" borderId="0" xfId="0" applyNumberFormat="1" applyFont="1" applyFill="1" applyBorder="1" applyAlignment="1">
      <x:alignment horizontal="center" vertical="center" wrapText="1"/>
    </x:xf>
    <x:xf numFmtId="0" fontId="3" fillId="53" borderId="0" xfId="0" applyNumberFormat="1" applyFont="1" applyFill="1" applyBorder="1" applyAlignment="1">
      <x:alignment horizontal="center" vertical="top" wrapText="1"/>
    </x:xf>
    <x:xf numFmtId="0" fontId="2" fillId="54" borderId="0" xfId="0" applyNumberFormat="1" applyFont="1" applyFill="1" applyBorder="1" applyAlignment="1">
      <x:alignment vertical="top" wrapText="1"/>
    </x:xf>
    <x:xf numFmtId="0" fontId="0" fillId="54" borderId="0" xfId="0" applyNumberFormat="1" applyFont="1" applyFill="1" applyBorder="1"/>
    <x:xf numFmtId="0" fontId="2" fillId="54" borderId="0" xfId="0" applyNumberFormat="1" applyFont="1" applyFill="1" applyBorder="1"/>
    <x:xf numFmtId="0" fontId="7" fillId="55" borderId="0" xfId="0" applyNumberFormat="1" applyFont="1" applyFill="1" applyBorder="1" applyAlignment="1">
      <x:alignment vertical="top" wrapText="1"/>
    </x:xf>
    <x:xf numFmtId="0" fontId="2" fillId="55" borderId="0" xfId="0" applyNumberFormat="1" applyFont="1" applyFill="1" applyBorder="1" applyAlignment="1">
      <x:alignment vertical="top" wrapText="1"/>
    </x:xf>
    <x:xf numFmtId="0" fontId="0" fillId="55" borderId="0" xfId="0" applyNumberFormat="1" applyFont="1" applyFill="1" applyBorder="1"/>
    <x:xf numFmtId="0" fontId="7" fillId="55" borderId="0" xfId="0" applyNumberFormat="1" applyFont="1" applyFill="1" applyBorder="1"/>
    <x:xf numFmtId="0" fontId="7" fillId="54" borderId="0" xfId="0" applyNumberFormat="1" applyFont="1" applyFill="1" applyBorder="1"/>
    <x:xf numFmtId="0" fontId="2" fillId="55" borderId="0" xfId="0" applyNumberFormat="1" applyFont="1" applyFill="1" applyBorder="1"/>
    <x:xf numFmtId="0" fontId="7" fillId="54"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6" borderId="0" xfId="0" applyNumberFormat="1" applyFont="1" applyFill="1" applyBorder="1"/>
    <x:xf numFmtId="0" fontId="9" fillId="56" borderId="0" xfId="0" applyNumberFormat="1" applyFont="1" applyFill="1" applyBorder="1"/>
    <x:xf numFmtId="0" fontId="9" fillId="56" borderId="0" xfId="0" applyNumberFormat="1" applyFont="1" applyFill="1" applyBorder="1" applyAlignment="1">
      <x:alignment vertical="center"/>
    </x:xf>
    <x:xf numFmtId="0" fontId="9" fillId="56" borderId="0" xfId="0" applyNumberFormat="1" applyFont="1" applyFill="1" applyBorder="1" applyAlignment="1">
      <x:alignment vertical="center" wrapText="1"/>
    </x:xf>
    <x:xf numFmtId="0" fontId="7" fillId="3" borderId="0" xfId="0" applyNumberFormat="1" applyFont="1" applyFill="1" applyBorder="1"/>
    <x:xf numFmtId="0" fontId="2" fillId="42" borderId="0" xfId="0" applyNumberFormat="1" applyFont="1" applyFill="1" applyBorder="1"/>
    <x:xf numFmtId="0" fontId="7" fillId="3" borderId="0" xfId="0" applyNumberFormat="1" applyFont="1" applyFill="1" applyBorder="1" applyAlignment="1">
      <x:alignment vertical="top" wrapText="1"/>
    </x:xf>
    <x:xf numFmtId="0" fontId="0" fillId="57" borderId="0" xfId="0" applyNumberFormat="1" applyFont="1" applyFill="1" applyBorder="1"/>
    <x:xf numFmtId="0" fontId="3" fillId="57" borderId="0" xfId="0" applyNumberFormat="1" applyFont="1" applyFill="1" applyBorder="1"/>
    <x:xf numFmtId="0" fontId="3" fillId="57" borderId="0" xfId="0" applyNumberFormat="1" applyFont="1" applyFill="1" applyBorder="1" applyAlignment="1">
      <x:alignment wrapText="1"/>
    </x:xf>
    <x:xf numFmtId="0" fontId="3" fillId="57" borderId="0" xfId="0" applyNumberFormat="1" applyFont="1" applyFill="1" applyBorder="1" applyAlignment="1">
      <x:alignment horizontal="center" wrapText="1"/>
    </x:xf>
    <x:xf numFmtId="0" fontId="3" fillId="57" borderId="0" xfId="0" applyNumberFormat="1" applyFont="1" applyFill="1" applyBorder="1" applyAlignment="1">
      <x:alignment horizontal="center" vertical="center" wrapText="1"/>
    </x:xf>
    <x:xf numFmtId="0" fontId="3" fillId="57" borderId="0" xfId="0" applyNumberFormat="1" applyFont="1" applyFill="1" applyBorder="1" applyAlignment="1">
      <x:alignment horizontal="center" vertical="top" wrapText="1"/>
    </x:xf>
    <x:xf numFmtId="0" fontId="2" fillId="58" borderId="0" xfId="0" applyNumberFormat="1" applyFont="1" applyFill="1" applyBorder="1" applyAlignment="1">
      <x:alignment vertical="top" wrapText="1"/>
    </x:xf>
    <x:xf numFmtId="0" fontId="2" fillId="58" borderId="0" xfId="0" applyNumberFormat="1" applyFont="1" applyFill="1" applyBorder="1"/>
    <x:xf numFmtId="0" fontId="7" fillId="58" borderId="0" xfId="0" applyNumberFormat="1" applyFont="1" applyFill="1" applyBorder="1"/>
    <x:xf numFmtId="0" fontId="0" fillId="58" borderId="0" xfId="0" applyNumberFormat="1" applyFont="1" applyFill="1" applyBorder="1"/>
    <x:xf numFmtId="0" fontId="2" fillId="59" borderId="0" xfId="0" applyNumberFormat="1" applyFont="1" applyFill="1" applyBorder="1"/>
    <x:xf numFmtId="0" fontId="7" fillId="59" borderId="0" xfId="0" applyNumberFormat="1" applyFont="1" applyFill="1" applyBorder="1"/>
    <x:xf numFmtId="0" fontId="7" fillId="59" borderId="0" xfId="0" applyNumberFormat="1" applyFont="1" applyFill="1" applyBorder="1" applyAlignment="1">
      <x:alignment vertical="top" wrapText="1"/>
    </x:xf>
    <x:xf numFmtId="0" fontId="2" fillId="59" borderId="0" xfId="0" applyNumberFormat="1" applyFont="1" applyFill="1" applyBorder="1" applyAlignment="1">
      <x:alignment vertical="top" wrapText="1"/>
    </x:xf>
    <x:xf numFmtId="0" fontId="0" fillId="59" borderId="0" xfId="0" applyNumberFormat="1" applyFont="1" applyFill="1" applyBorder="1"/>
    <x:xf numFmtId="0" fontId="0" fillId="60" borderId="0" xfId="0" applyNumberFormat="1" applyFont="1" applyFill="1" applyBorder="1"/>
    <x:xf numFmtId="0" fontId="9" fillId="60" borderId="0" xfId="0" applyNumberFormat="1" applyFont="1" applyFill="1" applyBorder="1"/>
    <x:xf numFmtId="0" fontId="9" fillId="60" borderId="0" xfId="0" applyNumberFormat="1" applyFont="1" applyFill="1" applyBorder="1" applyAlignment="1">
      <x:alignment vertical="center"/>
    </x:xf>
    <x:xf numFmtId="0" fontId="9" fillId="60" borderId="0" xfId="0" applyNumberFormat="1" applyFont="1" applyFill="1" applyBorder="1" applyAlignment="1">
      <x:alignment vertical="center" wrapText="1"/>
    </x:xf>
    <x:xf numFmtId="0" fontId="0" fillId="58" borderId="0" xfId="0" applyNumberFormat="1" applyFont="1" applyFill="1" applyBorder="1" applyAlignment="1">
      <x:alignment vertical="top" wrapText="1"/>
    </x:xf>
    <x:xf numFmtId="0" fontId="0" fillId="59" borderId="0" xfId="0" applyNumberFormat="1" applyFont="1" applyFill="1" applyBorder="1" applyAlignment="1">
      <x:alignment vertical="top" wrapText="1"/>
    </x:xf>
    <x:xf numFmtId="0" fontId="7" fillId="58" borderId="0" xfId="0" applyNumberFormat="1" applyFont="1" applyFill="1" applyBorder="1" applyAlignment="1">
      <x:alignment vertical="top" wrapText="1"/>
    </x:xf>
    <x:xf numFmtId="0" fontId="0" fillId="61" borderId="0" xfId="0" applyNumberFormat="1" applyFont="1" applyFill="1" applyBorder="1" applyAlignment="1">
      <x:alignment wrapText="1"/>
    </x:xf>
    <x:xf numFmtId="0" fontId="3" fillId="61" borderId="0" xfId="0" applyNumberFormat="1" applyFont="1" applyFill="1" applyBorder="1" applyAlignment="1">
      <x:alignment wrapText="1"/>
    </x:xf>
    <x:xf numFmtId="0" fontId="3" fillId="61" borderId="0" xfId="0" applyNumberFormat="1" applyFont="1" applyFill="1" applyBorder="1" applyAlignment="1">
      <x:alignment horizontal="center" wrapText="1"/>
    </x:xf>
    <x:xf numFmtId="0" fontId="3" fillId="61" borderId="0" xfId="0" applyNumberFormat="1" applyFont="1" applyFill="1" applyBorder="1" applyAlignment="1">
      <x:alignment horizontal="center" vertical="center" wrapText="1"/>
    </x:xf>
    <x:xf numFmtId="0" fontId="0" fillId="61" borderId="0" xfId="0" applyNumberFormat="1" applyFont="1" applyFill="1" applyBorder="1"/>
    <x:xf numFmtId="0" fontId="3" fillId="61" borderId="0" xfId="0" applyNumberFormat="1" applyFont="1" applyFill="1" applyBorder="1"/>
    <x:xf numFmtId="0" fontId="3" fillId="61" borderId="0" xfId="0" applyNumberFormat="1" applyFont="1" applyFill="1" applyBorder="1" applyAlignment="1">
      <x:alignment horizontal="center" vertical="top" wrapText="1"/>
    </x:xf>
    <x:xf numFmtId="0" fontId="0" fillId="62" borderId="0" xfId="0" applyNumberFormat="1" applyFont="1" applyFill="1" applyBorder="1" applyAlignment="1">
      <x:alignment vertical="top" wrapText="1"/>
    </x:xf>
    <x:xf numFmtId="0" fontId="7" fillId="62" borderId="0" xfId="0" applyNumberFormat="1" applyFont="1" applyFill="1" applyBorder="1" applyAlignment="1">
      <x:alignment vertical="top" wrapText="1"/>
    </x:xf>
    <x:xf numFmtId="0" fontId="7" fillId="63" borderId="0" xfId="0" applyNumberFormat="1" applyFont="1" applyFill="1" applyBorder="1" applyAlignment="1">
      <x:alignment vertical="top" wrapText="1"/>
    </x:xf>
    <x:xf numFmtId="0" fontId="2" fillId="63" borderId="0" xfId="0" applyNumberFormat="1" applyFont="1" applyFill="1" applyBorder="1" applyAlignment="1">
      <x:alignment vertical="top" wrapText="1"/>
    </x:xf>
    <x:xf numFmtId="0" fontId="0" fillId="63" borderId="0" xfId="0" applyNumberFormat="1" applyFont="1" applyFill="1" applyBorder="1" applyAlignment="1">
      <x:alignment vertical="top" wrapText="1"/>
    </x:xf>
    <x:xf numFmtId="0" fontId="0" fillId="64" borderId="0" xfId="0" applyNumberFormat="1" applyFont="1" applyFill="1" applyBorder="1" applyAlignment="1">
      <x:alignment vertical="top" wrapText="1"/>
    </x:xf>
    <x:xf numFmtId="0" fontId="8" fillId="64" borderId="0" xfId="0" applyNumberFormat="1" applyFont="1" applyFill="1" applyBorder="1" applyAlignment="1">
      <x:alignment vertical="top" wrapText="1"/>
    </x:xf>
    <x:xf numFmtId="0" fontId="0" fillId="65" borderId="0" xfId="0" applyNumberFormat="1" applyFont="1" applyFill="1" applyBorder="1"/>
    <x:xf numFmtId="0" fontId="9" fillId="65" borderId="0" xfId="0" applyNumberFormat="1" applyFont="1" applyFill="1" applyBorder="1"/>
    <x:xf numFmtId="0" fontId="9" fillId="65" borderId="0" xfId="0" applyNumberFormat="1" applyFont="1" applyFill="1" applyBorder="1" applyAlignment="1">
      <x:alignment vertical="center"/>
    </x:xf>
    <x:xf numFmtId="0" fontId="9" fillId="65" borderId="0" xfId="0" applyNumberFormat="1" applyFont="1" applyFill="1" applyBorder="1" applyAlignment="1">
      <x:alignment vertical="center" wrapText="1"/>
    </x:xf>
    <x:xf numFmtId="0" fontId="0" fillId="4" borderId="0" xfId="0" applyNumberFormat="1" applyFont="1" applyFill="1" applyBorder="1" applyAlignment="1">
      <x:alignment wrapText="1"/>
    </x:xf>
    <x:xf numFmtId="0" fontId="8" fillId="66" borderId="0" xfId="0" applyNumberFormat="1" applyFont="1" applyFill="1" applyBorder="1" applyAlignment="1">
      <x:alignment vertical="top" wrapText="1"/>
    </x:xf>
    <x:xf numFmtId="0" fontId="7" fillId="66" borderId="0" xfId="0" applyNumberFormat="1" applyFont="1" applyFill="1" applyBorder="1" applyAlignment="1">
      <x:alignment vertical="top" wrapText="1"/>
    </x:xf>
    <x:xf numFmtId="0" fontId="2" fillId="66" borderId="0" xfId="0" applyNumberFormat="1" applyFont="1" applyFill="1" applyBorder="1" applyAlignment="1">
      <x:alignment vertical="top" wrapText="1"/>
    </x:xf>
    <x:xf numFmtId="0" fontId="0" fillId="67" borderId="0" xfId="0" applyNumberFormat="1" applyFont="1" applyFill="1" applyBorder="1"/>
    <x:xf numFmtId="0" fontId="3" fillId="67" borderId="0" xfId="0" applyNumberFormat="1" applyFont="1" applyFill="1" applyBorder="1"/>
    <x:xf numFmtId="0" fontId="3" fillId="67" borderId="0" xfId="0" applyNumberFormat="1" applyFont="1" applyFill="1" applyBorder="1" applyAlignment="1">
      <x:alignment wrapText="1"/>
    </x:xf>
    <x:xf numFmtId="0" fontId="3" fillId="67" borderId="0" xfId="0" applyNumberFormat="1" applyFont="1" applyFill="1" applyBorder="1" applyAlignment="1">
      <x:alignment horizontal="center" wrapText="1"/>
    </x:xf>
    <x:xf numFmtId="0" fontId="3" fillId="67" borderId="0" xfId="0" applyNumberFormat="1" applyFont="1" applyFill="1" applyBorder="1" applyAlignment="1">
      <x:alignment horizontal="center" vertical="center" wrapText="1"/>
    </x:xf>
    <x:xf numFmtId="0" fontId="3" fillId="67" borderId="0" xfId="0" applyNumberFormat="1" applyFont="1" applyFill="1" applyBorder="1" applyAlignment="1">
      <x:alignment horizontal="center" vertical="top" wrapText="1"/>
    </x:xf>
    <x:xf numFmtId="0" fontId="0" fillId="68" borderId="0" xfId="0" applyNumberFormat="1" applyFont="1" applyFill="1" applyBorder="1" applyAlignment="1">
      <x:alignment vertical="top" wrapText="1"/>
    </x:xf>
    <x:xf numFmtId="0" fontId="2" fillId="68" borderId="0" xfId="0" applyNumberFormat="1" applyFont="1" applyFill="1" applyBorder="1" applyAlignment="1">
      <x:alignment vertical="top" wrapText="1"/>
    </x:xf>
    <x:xf numFmtId="0" fontId="0" fillId="66" borderId="0" xfId="0" applyNumberFormat="1" applyFont="1" applyFill="1" applyBorder="1" applyAlignment="1">
      <x:alignment vertical="top" wrapText="1"/>
    </x:xf>
    <x:xf numFmtId="0" fontId="7" fillId="68" borderId="0" xfId="0" applyNumberFormat="1" applyFont="1" applyFill="1" applyBorder="1" applyAlignment="1">
      <x:alignment vertical="top" wrapText="1"/>
    </x:xf>
    <x:xf numFmtId="0" fontId="0" fillId="69" borderId="0" xfId="0" applyNumberFormat="1" applyFont="1" applyFill="1" applyBorder="1"/>
    <x:xf numFmtId="0" fontId="9" fillId="69" borderId="0" xfId="0" applyNumberFormat="1" applyFont="1" applyFill="1" applyBorder="1"/>
    <x:xf numFmtId="0" fontId="9" fillId="69" borderId="0" xfId="0" applyNumberFormat="1" applyFont="1" applyFill="1" applyBorder="1" applyAlignment="1">
      <x:alignment vertical="center"/>
    </x:xf>
    <x:xf numFmtId="0" fontId="9" fillId="69" borderId="0" xfId="0" applyNumberFormat="1" applyFont="1" applyFill="1" applyBorder="1" applyAlignment="1">
      <x:alignment vertical="center" wrapText="1"/>
    </x:xf>
    <x:xf numFmtId="0" fontId="8" fillId="42" borderId="0" xfId="0" applyNumberFormat="1" applyFont="1" applyFill="1" applyBorder="1" applyAlignment="1">
      <x:alignment vertical="top" wrapText="1"/>
    </x:xf>
    <x:xf numFmtId="0" fontId="0" fillId="70" borderId="0" xfId="0" applyNumberFormat="1" applyFont="1" applyFill="1" applyBorder="1"/>
    <x:xf numFmtId="0" fontId="3" fillId="70" borderId="0" xfId="0" applyNumberFormat="1" applyFont="1" applyFill="1" applyBorder="1"/>
    <x:xf numFmtId="0" fontId="3" fillId="70" borderId="0" xfId="0" applyNumberFormat="1" applyFont="1" applyFill="1" applyBorder="1" applyAlignment="1">
      <x:alignment wrapText="1"/>
    </x:xf>
    <x:xf numFmtId="0" fontId="3" fillId="70" borderId="0" xfId="0" applyNumberFormat="1" applyFont="1" applyFill="1" applyBorder="1" applyAlignment="1">
      <x:alignment horizontal="center" wrapText="1"/>
    </x:xf>
    <x:xf numFmtId="0" fontId="3" fillId="70" borderId="0" xfId="0" applyNumberFormat="1" applyFont="1" applyFill="1" applyBorder="1" applyAlignment="1">
      <x:alignment horizontal="center" vertical="center" wrapText="1"/>
    </x:xf>
    <x:xf numFmtId="0" fontId="3" fillId="70" borderId="0" xfId="0" applyNumberFormat="1" applyFont="1" applyFill="1" applyBorder="1" applyAlignment="1">
      <x:alignment horizontal="center" vertical="top" wrapText="1"/>
    </x:xf>
    <x:xf numFmtId="0" fontId="2" fillId="71" borderId="0" xfId="0" applyNumberFormat="1" applyFont="1" applyFill="1" applyBorder="1" applyAlignment="1">
      <x:alignment vertical="top" wrapText="1"/>
    </x:xf>
    <x:xf numFmtId="0" fontId="7" fillId="71" borderId="0" xfId="0" applyNumberFormat="1" applyFont="1" applyFill="1" applyBorder="1" applyAlignment="1">
      <x:alignment vertical="top" wrapText="1"/>
    </x:xf>
    <x:xf numFmtId="0" fontId="0" fillId="71" borderId="0" xfId="0" applyNumberFormat="1" applyFont="1" applyFill="1" applyBorder="1"/>
    <x:xf numFmtId="0" fontId="7" fillId="71" borderId="0" xfId="0" applyNumberFormat="1" applyFont="1" applyFill="1" applyBorder="1"/>
    <x:xf numFmtId="0" fontId="0" fillId="72" borderId="0" xfId="0" applyNumberFormat="1" applyFont="1" applyFill="1" applyBorder="1"/>
    <x:xf numFmtId="0" fontId="10" fillId="72" borderId="0" xfId="0" applyNumberFormat="1" applyFont="1" applyFill="1" applyBorder="1"/>
    <x:xf numFmtId="0" fontId="10" fillId="72" borderId="0" xfId="0" applyNumberFormat="1" applyFont="1" applyFill="1" applyBorder="1" applyAlignment="1">
      <x:alignment wrapText="1"/>
    </x:xf>
    <x:xf numFmtId="0" fontId="10" fillId="5" borderId="0" xfId="0" applyNumberFormat="1" applyFont="1" applyFill="1" applyBorder="1"/>
    <x:xf numFmtId="0" fontId="10" fillId="5" borderId="0" xfId="0" applyNumberFormat="1" applyFont="1" applyFill="1" applyBorder="1" applyAlignment="1">
      <x:alignment wrapText="1"/>
    </x:xf>
    <x:xf numFmtId="0" fontId="0" fillId="73" borderId="0" xfId="0" applyNumberFormat="1" applyFont="1" applyFill="1" applyBorder="1"/>
    <x:xf numFmtId="0" fontId="3" fillId="73" borderId="0" xfId="0" applyNumberFormat="1" applyFont="1" applyFill="1" applyBorder="1"/>
    <x:xf numFmtId="0" fontId="3" fillId="73" borderId="0" xfId="0" applyNumberFormat="1" applyFont="1" applyFill="1" applyBorder="1" applyAlignment="1">
      <x:alignment wrapText="1"/>
    </x:xf>
    <x:xf numFmtId="0" fontId="3" fillId="73" borderId="0" xfId="0" applyNumberFormat="1" applyFont="1" applyFill="1" applyBorder="1" applyAlignment="1">
      <x:alignment horizontal="center" wrapText="1"/>
    </x:xf>
    <x:xf numFmtId="0" fontId="3" fillId="73" borderId="0" xfId="0" applyNumberFormat="1" applyFont="1" applyFill="1" applyBorder="1" applyAlignment="1">
      <x:alignment horizontal="center" vertical="center" wrapText="1"/>
    </x:xf>
    <x:xf numFmtId="0" fontId="3" fillId="73" borderId="0" xfId="0" applyNumberFormat="1" applyFont="1" applyFill="1" applyBorder="1" applyAlignment="1">
      <x:alignment horizontal="center" vertical="top" wrapText="1"/>
    </x:xf>
    <x:xf numFmtId="0" fontId="0" fillId="74" borderId="0" xfId="0" applyNumberFormat="1" applyFont="1" applyFill="1" applyBorder="1"/>
    <x:xf numFmtId="0" fontId="2" fillId="74" borderId="0" xfId="0" applyNumberFormat="1" applyFont="1" applyFill="1" applyBorder="1"/>
    <x:xf numFmtId="0" fontId="2" fillId="75" borderId="0" xfId="0" applyNumberFormat="1" applyFont="1" applyFill="1" applyBorder="1" applyAlignment="1">
      <x:alignment vertical="top" wrapText="1"/>
    </x:xf>
    <x:xf numFmtId="0" fontId="7" fillId="75" borderId="0" xfId="0" applyNumberFormat="1" applyFont="1" applyFill="1" applyBorder="1" applyAlignment="1">
      <x:alignment vertical="top" wrapText="1"/>
    </x:xf>
    <x:xf numFmtId="0" fontId="0" fillId="74" borderId="0" xfId="0" applyNumberFormat="1" applyFont="1" applyFill="1" applyBorder="1" applyAlignment="1">
      <x:alignment vertical="top" wrapText="1"/>
    </x:xf>
    <x:xf numFmtId="0" fontId="2" fillId="74" borderId="0" xfId="0" applyNumberFormat="1" applyFont="1" applyFill="1" applyBorder="1" applyAlignment="1">
      <x:alignment vertical="top" wrapText="1"/>
    </x:xf>
    <x:xf numFmtId="0" fontId="0" fillId="76" borderId="0" xfId="0" applyNumberFormat="1" applyFont="1" applyFill="1" applyBorder="1"/>
    <x:xf numFmtId="0" fontId="9" fillId="76" borderId="0" xfId="0" applyNumberFormat="1" applyFont="1" applyFill="1" applyBorder="1"/>
    <x:xf numFmtId="0" fontId="9" fillId="76" borderId="0" xfId="0" applyNumberFormat="1" applyFont="1" applyFill="1" applyBorder="1" applyAlignment="1">
      <x:alignment vertical="center"/>
    </x:xf>
    <x:xf numFmtId="0" fontId="9" fillId="76" borderId="0" xfId="0" applyNumberFormat="1" applyFont="1" applyFill="1" applyBorder="1" applyAlignment="1">
      <x:alignment vertical="center" wrapText="1"/>
    </x:xf>
    <x:xf numFmtId="0" fontId="0" fillId="75" borderId="0" xfId="0" applyNumberFormat="1" applyFont="1" applyFill="1" applyBorder="1" applyAlignment="1">
      <x:alignment vertical="top" wrapText="1"/>
    </x:xf>
    <x:xf numFmtId="0" fontId="7" fillId="74" borderId="0" xfId="0" applyNumberFormat="1" applyFont="1" applyFill="1" applyBorder="1" applyAlignment="1">
      <x:alignment vertical="top" wrapText="1"/>
    </x:xf>
    <x:xf numFmtId="0" fontId="0" fillId="77" borderId="0" xfId="0" applyNumberFormat="1" applyFont="1" applyFill="1" applyBorder="1"/>
    <x:xf numFmtId="0" fontId="1" fillId="77" borderId="0" xfId="0" applyNumberFormat="1" applyFont="1" applyFill="1" applyBorder="1"/>
    <x:xf numFmtId="0" fontId="1" fillId="77" borderId="0" xfId="0" applyNumberFormat="1" applyFont="1" applyFill="1" applyBorder="1" applyAlignment="1">
      <x:alignment horizontal="left"/>
    </x:xf>
    <x:xf numFmtId="0" fontId="1" fillId="77" borderId="0" xfId="0" applyNumberFormat="1" applyFont="1" applyFill="1" applyBorder="1" applyAlignment="1">
      <x:alignment horizontal="left" vertical="center"/>
    </x:xf>
    <x:xf numFmtId="0" fontId="0" fillId="78" borderId="0" xfId="0" applyNumberFormat="1" applyFont="1" applyFill="1" applyBorder="1"/>
    <x:xf numFmtId="0" fontId="10" fillId="78" borderId="0" xfId="0" applyNumberFormat="1" applyFont="1" applyFill="1" applyBorder="1"/>
    <x:xf numFmtId="0" fontId="10" fillId="78" borderId="0" xfId="0" applyNumberFormat="1" applyFont="1" applyFill="1" applyBorder="1" applyAlignment="1">
      <x:alignment wrapText="1"/>
    </x:xf>
    <x:xf numFmtId="0" fontId="0" fillId="79" borderId="0" xfId="0" applyNumberFormat="1" applyFont="1" applyFill="1" applyBorder="1"/>
    <x:xf numFmtId="0" fontId="11" fillId="79" borderId="0" xfId="0" applyNumberFormat="1" applyFont="1" applyFill="1" applyBorder="1"/>
    <x:xf numFmtId="0" fontId="11" fillId="79" borderId="0" xfId="0" applyNumberFormat="1" applyFont="1" applyFill="1" applyBorder="1" applyAlignment="1">
      <x:alignment wrapText="1"/>
    </x:xf>
    <x:xf numFmtId="0" fontId="0" fillId="80" borderId="0" xfId="0" applyNumberFormat="1" applyFont="1" applyFill="1" applyBorder="1"/>
    <x:xf numFmtId="0" fontId="3" fillId="80" borderId="0" xfId="0" applyNumberFormat="1" applyFont="1" applyFill="1" applyBorder="1"/>
    <x:xf numFmtId="0" fontId="3" fillId="80" borderId="0" xfId="0" applyNumberFormat="1" applyFont="1" applyFill="1" applyBorder="1" applyAlignment="1">
      <x:alignment wrapText="1"/>
    </x:xf>
    <x:xf numFmtId="0" fontId="3" fillId="80" borderId="0" xfId="0" applyNumberFormat="1" applyFont="1" applyFill="1" applyBorder="1" applyAlignment="1">
      <x:alignment vertical="center" wrapText="1"/>
    </x:xf>
    <x:xf numFmtId="0" fontId="0" fillId="81" borderId="0" xfId="0" applyNumberFormat="1" applyFont="1" applyFill="1" applyBorder="1"/>
    <x:xf numFmtId="0" fontId="12" fillId="81" borderId="0" xfId="0" applyNumberFormat="1" applyFont="1" applyFill="1" applyBorder="1"/>
    <x:xf numFmtId="0" fontId="12" fillId="81" borderId="0" xfId="0" applyNumberFormat="1" applyFont="1" applyFill="1" applyBorder="1" applyAlignment="1">
      <x:alignment wrapText="1"/>
    </x:xf>
    <x:xf numFmtId="0" fontId="1" fillId="77" borderId="0" xfId="0" applyNumberFormat="1" applyFont="1" applyFill="1" applyBorder="1" applyAlignment="1">
      <x:alignment horizontal="left" vertical="center" wrapText="1"/>
    </x:xf>
    <x:xf numFmtId="0" fontId="13" fillId="79" borderId="0" xfId="0" applyNumberFormat="1" applyFont="1" applyFill="1" applyBorder="1" applyAlignment="1">
      <x:alignment wrapText="1"/>
    </x:xf>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1" fillId="7" borderId="0" xfId="0" applyNumberFormat="1" applyFont="1" applyFill="1" applyBorder="1" applyAlignment="1">
      <x:alignment horizontal="left" vertical="center" wrapText="1"/>
    </x:xf>
    <x:xf numFmtId="0" fontId="0" fillId="82" borderId="0" xfId="0" applyNumberFormat="1" applyFont="1" applyFill="1" applyBorder="1"/>
    <x:xf numFmtId="0" fontId="5" fillId="82" borderId="0" xfId="0" applyNumberFormat="1" applyFont="1" applyFill="1" applyBorder="1"/>
    <x:xf numFmtId="0" fontId="5" fillId="82" borderId="0" xfId="0" applyNumberFormat="1" applyFont="1" applyFill="1" applyBorder="1" applyAlignment="1">
      <x:alignment horizontal="left"/>
    </x:xf>
    <x:xf numFmtId="0" fontId="5" fillId="82" borderId="0" xfId="0" applyNumberFormat="1" applyFont="1" applyFill="1" applyBorder="1" applyAlignment="1">
      <x:alignment horizontal="left" vertical="center"/>
    </x:xf>
    <x:xf numFmtId="0" fontId="0" fillId="83" borderId="0" xfId="0" applyNumberFormat="1" applyFont="1" applyFill="1" applyBorder="1"/>
    <x:xf numFmtId="0" fontId="14" fillId="83" borderId="0" xfId="0" applyNumberFormat="1" applyFont="1" applyFill="1" applyBorder="1"/>
    <x:xf numFmtId="0" fontId="14" fillId="83" borderId="0" xfId="0" applyNumberFormat="1" applyFont="1" applyFill="1" applyBorder="1" applyAlignment="1">
      <x:alignment wrapText="1"/>
    </x:xf>
    <x:xf numFmtId="0" fontId="14" fillId="83" borderId="0" xfId="0" applyNumberFormat="1" applyFont="1" applyFill="1" applyBorder="1" applyAlignment="1">
      <x:alignment vertical="center" wrapText="1"/>
    </x:xf>
    <x:xf numFmtId="0" fontId="14" fillId="83" xfId="0" applyNumberFormat="1" applyFont="1" applyFill="1" applyBorder="0" applyAlignment="1">
      <x:alignment vertical="center" wrapText="1"/>
    </x:xf>
    <x:xf numFmtId="0" fontId="0" fillId="0" xfId="0" applyNumberFormat="1" applyFont="1" applyFill="1" applyBorder="0" applyAlignment="1">
      <x:alignment wrapText="1"/>
    </x:xf>
    <x:xf numFmtId="0" fontId="0" fillId="0" borderId="2" xfId="0" applyNumberFormat="1" applyFont="1" applyFill="1" applyBorder="1" applyAlignment="1">
      <x:alignment wrapText="1"/>
    </x:xf>
    <x:xf numFmtId="0" fontId="0" fillId="10"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3" fillId="8" borderId="0" xfId="0" applyNumberFormat="1" applyFont="1" applyFill="1" applyBorder="1" applyAlignment="1">
      <x:alignment wrapText="1"/>
    </x:xf>
    <x:xf numFmtId="0" fontId="0" fillId="0" borderId="3" xfId="0" applyNumberFormat="1" applyFont="1" applyFill="1" applyBorder="1" applyAlignment="1">
      <x:alignment wrapText="1"/>
    </x:xf>
  </x:cellXfs>
  <x:cellStyles count="1">
    <x:cellStyle name="Normal" xfId="0"/>
  </x:cellStyles>
  <x:dxfs count="16">
    <x:dxf>
      <x:fill>
        <x:patternFill>
          <x:bgColor rgb="FFFFF2CC"/>
        </x:patternFill>
      </x:fill>
    </x:dxf>
    <x:dxf>
      <x:fill>
        <x:patternFill>
          <x:bgColor rgb="FFE2F0D9"/>
        </x:patternFill>
      </x:fill>
    </x:dxf>
    <x:dxf>
      <x:fill>
        <x:patternFill>
          <x:bgColor rgb="FFF4CCCC"/>
        </x:patternFill>
      </x:fill>
    </x:dxf>
    <x:dxf>
      <x:fill>
        <x:patternFill>
          <x:bgColor rgb="FFFCE4D6"/>
        </x:patternFill>
      </x:fill>
    </x:dxf>
    <x:dxf>
      <x:fill>
        <x:patternFill>
          <x:bgColor rgb="FFFCE4D6"/>
        </x:patternFill>
      </x:fill>
    </x:dxf>
    <x:dxf>
      <x:fill>
        <x:patternFill>
          <x:bgColor rgb="FFFCE4D6"/>
        </x:patternFill>
      </x:fill>
    </x:dxf>
    <x:dxf>
      <x:fill>
        <x:patternFill>
          <x:bgColor rgb="FFEAF4EA"/>
        </x:patternFill>
      </x:fill>
    </x:dxf>
    <x:dxf>
      <x:fill>
        <x:patternFill>
          <x:bgColor rgb="FFFFF4D6"/>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
      <x:fill>
        <x:patternFill>
          <x:bgColor rgb="FFFBE9E7"/>
        </x:patternFill>
      </x:fill>
    </x:dxf>
    <x:dxf>
      <x:fill>
        <x:patternFill>
          <x:bgColor rgb="FFEAF4EA"/>
        </x:patternFill>
      </x:fill>
    </x:dxf>
    <x:dxf>
      <x:fill>
        <x:patternFill>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7fb666296b4d74" /><Relationship Type="http://schemas.openxmlformats.org/officeDocument/2006/relationships/theme" Target="/xl/theme/theme1.xml" Id="R83294ff099ee4c38" /><Relationship Type="http://schemas.openxmlformats.org/officeDocument/2006/relationships/sharedStrings" Target="/xl/sharedStrings.xml" Id="R647170c851304286" /><Relationship Type="http://schemas.openxmlformats.org/officeDocument/2006/relationships/worksheet" Target="/xl/worksheets/sheet1.xml" Id="R904a9e4d5aae4582" /><Relationship Type="http://schemas.openxmlformats.org/officeDocument/2006/relationships/worksheet" Target="/xl/worksheets/sheet2.xml" Id="Rcd13cb9dba6f4e02" /><Relationship Type="http://schemas.openxmlformats.org/officeDocument/2006/relationships/worksheet" Target="/xl/worksheets/sheet3.xml" Id="R389b428d6688431d" /><Relationship Type="http://schemas.openxmlformats.org/officeDocument/2006/relationships/worksheet" Target="/xl/worksheets/sheet4.xml" Id="R35500f648b354dc4" /><Relationship Type="http://schemas.openxmlformats.org/officeDocument/2006/relationships/worksheet" Target="/xl/worksheets/sheet5.xml" Id="R3e8e3802fa1b40f4" /><Relationship Type="http://schemas.openxmlformats.org/officeDocument/2006/relationships/worksheet" Target="/xl/worksheets/sheet6.xml" Id="Ra2313689e1e34490" /><Relationship Type="http://schemas.openxmlformats.org/officeDocument/2006/relationships/worksheet" Target="/xl/worksheets/sheet7.xml" Id="R835fa722cf7f478a" /><Relationship Type="http://schemas.openxmlformats.org/officeDocument/2006/relationships/worksheet" Target="/xl/worksheets/sheet8.xml" Id="Rde36a6ceb72d4de9" /><Relationship Type="http://schemas.openxmlformats.org/officeDocument/2006/relationships/worksheet" Target="/xl/worksheets/sheet9.xml" Id="R1d0d2a0b934949ef" /><Relationship Type="http://schemas.openxmlformats.org/officeDocument/2006/relationships/worksheet" Target="/xl/worksheets/sheet10.xml" Id="R7e8621abb9464fe5" /><Relationship Type="http://schemas.openxmlformats.org/officeDocument/2006/relationships/worksheet" Target="/xl/worksheets/sheet11.xml" Id="Rae881e6885534a3e" /><Relationship Type="http://schemas.openxmlformats.org/officeDocument/2006/relationships/worksheet" Target="/xl/worksheets/sheet12.xml" Id="R9f8694bd8cd047b3" /><Relationship Type="http://schemas.openxmlformats.org/officeDocument/2006/relationships/worksheet" Target="/xl/worksheets/sheet13.xml" Id="R60bb3f59905a4480" /><Relationship Type="http://schemas.openxmlformats.org/officeDocument/2006/relationships/worksheet" Target="/xl/worksheets/sheet14.xml" Id="R7da2e1dde07a4f25" /><Relationship Type="http://schemas.openxmlformats.org/officeDocument/2006/relationships/worksheet" Target="/xl/worksheets/sheet15.xml" Id="R0050081c69d94a99" /><Relationship Type="http://schemas.openxmlformats.org/officeDocument/2006/relationships/worksheet" Target="/xl/worksheets/sheet16.xml" Id="Rc9cd6b21ab1744ce" /><Relationship Type="http://schemas.openxmlformats.org/officeDocument/2006/relationships/worksheet" Target="/xl/worksheets/sheet17.xml" Id="Rb30a8153049342cb" /><Relationship Type="http://schemas.openxmlformats.org/officeDocument/2006/relationships/worksheet" Target="/xl/worksheets/sheet18.xml" Id="R0821847c386c4f78" /><Relationship Type="http://schemas.openxmlformats.org/officeDocument/2006/relationships/worksheet" Target="/xl/worksheets/sheet19.xml" Id="Rf4285fa3df4e4e7a" /><Relationship Type="http://schemas.openxmlformats.org/officeDocument/2006/relationships/worksheet" Target="/xl/worksheets/sheet20.xml" Id="Raa2e1fa5989f496b" /><Relationship Type="http://schemas.openxmlformats.org/officeDocument/2006/relationships/worksheet" Target="/xl/worksheets/sheet21.xml" Id="R77124304d7b84461" /><Relationship Type="http://schemas.openxmlformats.org/officeDocument/2006/relationships/worksheet" Target="/xl/worksheets/sheet22.xml" Id="R99a478ec28b946d9" /><Relationship Type="http://schemas.openxmlformats.org/officeDocument/2006/relationships/worksheet" Target="/xl/worksheets/sheet23.xml" Id="R7090833f274b4737" /><Relationship Type="http://schemas.openxmlformats.org/officeDocument/2006/relationships/worksheet" Target="/xl/worksheets/sheet24.xml" Id="R04c2423b4af64014" /><Relationship Type="http://schemas.openxmlformats.org/officeDocument/2006/relationships/worksheet" Target="/xl/worksheets/sheet25.xml" Id="Rb48e06602cc04688" /><Relationship Type="http://schemas.openxmlformats.org/officeDocument/2006/relationships/worksheet" Target="/xl/worksheets/sheet26.xml" Id="Ra95129a580084f60" /><Relationship Type="http://schemas.openxmlformats.org/officeDocument/2006/relationships/worksheet" Target="/xl/worksheets/sheet27.xml" Id="R2beb5d4857ee4dc8" /><Relationship Type="http://schemas.openxmlformats.org/officeDocument/2006/relationships/worksheet" Target="/xl/worksheets/sheet28.xml" Id="Rb895cce726cc49c0" /><Relationship Type="http://schemas.openxmlformats.org/officeDocument/2006/relationships/worksheet" Target="/xl/worksheets/sheet29.xml" Id="R89ecfa7965ce44c1" /><Relationship Type="http://schemas.openxmlformats.org/officeDocument/2006/relationships/worksheet" Target="/xl/worksheets/sheet30.xml" Id="R0096c6695e794956" /><Relationship Type="http://schemas.openxmlformats.org/officeDocument/2006/relationships/worksheet" Target="/xl/worksheets/sheet31.xml" Id="R0213958d102f498c" /><Relationship Type="http://schemas.openxmlformats.org/officeDocument/2006/relationships/worksheet" Target="/xl/worksheets/sheet32.xml" Id="Re3aa2ad18b104c63" /><Relationship Type="http://schemas.openxmlformats.org/officeDocument/2006/relationships/worksheet" Target="/xl/worksheets/sheet33.xml" Id="Reb6e4704c8594e85" /><Relationship Type="http://schemas.openxmlformats.org/officeDocument/2006/relationships/worksheet" Target="/xl/worksheets/sheet34.xml" Id="R72cd68d7a8104767" /><Relationship Type="http://schemas.openxmlformats.org/officeDocument/2006/relationships/worksheet" Target="/xl/worksheets/sheet35.xml" Id="R19dd23db62794b1f" /><Relationship Type="http://schemas.openxmlformats.org/officeDocument/2006/relationships/worksheet" Target="/xl/worksheets/sheet36.xml" Id="R573e45c4b78840b9" /><Relationship Type="http://schemas.openxmlformats.org/officeDocument/2006/relationships/worksheet" Target="/xl/worksheets/sheet37.xml" Id="R3554cb9c9df04680" /><Relationship Type="http://schemas.openxmlformats.org/officeDocument/2006/relationships/worksheet" Target="/xl/worksheets/sheet38.xml" Id="R6b86c1850c3e46f7" /><Relationship Type="http://schemas.openxmlformats.org/officeDocument/2006/relationships/worksheet" Target="/xl/worksheets/sheet39.xml" Id="R4a97c357655c436c" /><Relationship Type="http://schemas.openxmlformats.org/officeDocument/2006/relationships/worksheet" Target="/xl/worksheets/sheet40.xml" Id="R26d99e50ffa94a2c" /><Relationship Type="http://schemas.openxmlformats.org/officeDocument/2006/relationships/worksheet" Target="/xl/worksheets/sheet41.xml" Id="R0df1b377fd114b12" /><Relationship Type="http://schemas.openxmlformats.org/officeDocument/2006/relationships/worksheet" Target="/xl/worksheets/sheet42.xml" Id="R553c9cf613134140" /><Relationship Type="http://schemas.openxmlformats.org/officeDocument/2006/relationships/worksheet" Target="/xl/worksheets/sheet43.xml" Id="Re4be9d11f0314dd9" /><Relationship Type="http://schemas.openxmlformats.org/officeDocument/2006/relationships/worksheet" Target="/xl/worksheets/sheet44.xml" Id="R5fe30b90ca7d4dfa" /><Relationship Type="http://schemas.openxmlformats.org/officeDocument/2006/relationships/worksheet" Target="/xl/worksheets/sheet45.xml" Id="R7119e524c4664bf0" /><Relationship Type="http://schemas.openxmlformats.org/officeDocument/2006/relationships/worksheet" Target="/xl/worksheets/sheet46.xml" Id="Rc3d668f2de0f43c3" /><Relationship Type="http://schemas.openxmlformats.org/officeDocument/2006/relationships/worksheet" Target="/xl/worksheets/sheet47.xml" Id="R81ccdd6e5c2546c1" /><Relationship Type="http://schemas.openxmlformats.org/officeDocument/2006/relationships/worksheet" Target="/xl/worksheets/sheet48.xml" Id="Ra71016e8fc27493b" /><Relationship Type="http://schemas.openxmlformats.org/officeDocument/2006/relationships/worksheet" Target="/xl/worksheets/sheet49.xml" Id="Rb18de70f06714f45" /><Relationship Type="http://schemas.openxmlformats.org/officeDocument/2006/relationships/worksheet" Target="/xl/worksheets/sheet50.xml" Id="R7d2585c79aac474e" /><Relationship Type="http://schemas.openxmlformats.org/officeDocument/2006/relationships/worksheet" Target="/xl/worksheets/sheet51.xml" Id="Rd3c88ba289bc421e" /><Relationship Type="http://schemas.openxmlformats.org/officeDocument/2006/relationships/worksheet" Target="/xl/worksheets/sheet52.xml" Id="Rf34e35dad6854808" /><Relationship Type="http://schemas.openxmlformats.org/officeDocument/2006/relationships/worksheet" Target="/xl/worksheets/sheet53.xml" Id="Ra998c08ebf454fa4" /><Relationship Type="http://schemas.openxmlformats.org/officeDocument/2006/relationships/worksheet" Target="/xl/worksheets/sheet54.xml" Id="R720fa8dea5904b8a" /><Relationship Type="http://schemas.openxmlformats.org/officeDocument/2006/relationships/worksheet" Target="/xl/worksheets/sheet55.xml" Id="R361ec732d4784366" /><Relationship Type="http://schemas.openxmlformats.org/officeDocument/2006/relationships/worksheet" Target="/xl/worksheets/sheet56.xml" Id="Re7e50fca6a5e4ea5" /><Relationship Type="http://schemas.openxmlformats.org/officeDocument/2006/relationships/worksheet" Target="/xl/worksheets/sheet57.xml" Id="R6229c3f0a2a04b49" /><Relationship Type="http://schemas.openxmlformats.org/officeDocument/2006/relationships/worksheet" Target="/xl/worksheets/sheet58.xml" Id="R881edefe48174aaa" /><Relationship Type="http://schemas.openxmlformats.org/officeDocument/2006/relationships/worksheet" Target="/xl/worksheets/sheet59.xml" Id="R77be5e7698ca4e50" /><Relationship Type="http://schemas.openxmlformats.org/officeDocument/2006/relationships/worksheet" Target="/xl/worksheets/sheet60.xml" Id="R2dcef4d8ee47444a" /><Relationship Type="http://schemas.openxmlformats.org/officeDocument/2006/relationships/worksheet" Target="/xl/worksheets/sheet61.xml" Id="R72080b1eb9294e0d" /><Relationship Type="http://schemas.openxmlformats.org/officeDocument/2006/relationships/worksheet" Target="/xl/worksheets/sheet62.xml" Id="R784659ed87844874" /><Relationship Type="http://schemas.openxmlformats.org/officeDocument/2006/relationships/worksheet" Target="/xl/worksheets/sheet63.xml" Id="R9808a32fcf3a4791" /><Relationship Type="http://schemas.openxmlformats.org/officeDocument/2006/relationships/worksheet" Target="/xl/worksheets/sheet64.xml" Id="Rf1e90701af014da4" /><Relationship Type="http://schemas.openxmlformats.org/officeDocument/2006/relationships/worksheet" Target="/xl/worksheets/sheet65.xml" Id="Rc4df62c5d9324316" /><Relationship Type="http://schemas.openxmlformats.org/officeDocument/2006/relationships/worksheet" Target="/xl/worksheets/sheet66.xml" Id="Ra80dac4009d94d03" /><Relationship Type="http://schemas.openxmlformats.org/officeDocument/2006/relationships/worksheet" Target="/xl/worksheets/sheet67.xml" Id="R2525964d06fb4e11" /><Relationship Type="http://schemas.openxmlformats.org/officeDocument/2006/relationships/worksheet" Target="/xl/worksheets/sheet68.xml" Id="R38d2f9c5ed414546" /><Relationship Type="http://schemas.openxmlformats.org/officeDocument/2006/relationships/worksheet" Target="/xl/worksheets/sheet69.xml" Id="Rfd31521c702d4a6e" /><Relationship Type="http://schemas.openxmlformats.org/officeDocument/2006/relationships/worksheet" Target="/xl/worksheets/sheet70.xml" Id="R6fc42d6c53784357" /><Relationship Type="http://schemas.openxmlformats.org/officeDocument/2006/relationships/worksheet" Target="/xl/worksheets/sheet71.xml" Id="R8332dffa58d941a9" /><Relationship Type="http://schemas.openxmlformats.org/officeDocument/2006/relationships/worksheet" Target="/xl/worksheets/sheet72.xml" Id="Ra0545e7071264eb2" /><Relationship Type="http://schemas.openxmlformats.org/officeDocument/2006/relationships/worksheet" Target="/xl/worksheets/sheet73.xml" Id="R6622cf01ff9849b6" /><Relationship Type="http://schemas.openxmlformats.org/officeDocument/2006/relationships/worksheet" Target="/xl/worksheets/sheet74.xml" Id="R6eefb4018c6d420f" /><Relationship Type="http://schemas.openxmlformats.org/officeDocument/2006/relationships/worksheet" Target="/xl/worksheets/sheet75.xml" Id="R8dfc8c7396a34de3" /><Relationship Type="http://schemas.openxmlformats.org/officeDocument/2006/relationships/worksheet" Target="/xl/worksheets/sheet76.xml" Id="R2e384316f37a47f0" /><Relationship Type="http://schemas.openxmlformats.org/officeDocument/2006/relationships/worksheet" Target="/xl/worksheets/sheet77.xml" Id="R91d19e5e95484511" /><Relationship Type="http://schemas.openxmlformats.org/officeDocument/2006/relationships/worksheet" Target="/xl/worksheets/sheet78.xml" Id="R3c4b1855ed774098" /><Relationship Type="http://schemas.openxmlformats.org/officeDocument/2006/relationships/worksheet" Target="/xl/worksheets/sheet79.xml" Id="Re1b97b4024764d07" /><Relationship Type="http://schemas.openxmlformats.org/officeDocument/2006/relationships/worksheet" Target="/xl/worksheets/sheet80.xml" Id="Ra35f3fe52cd048be" /><Relationship Type="http://schemas.openxmlformats.org/officeDocument/2006/relationships/worksheet" Target="/xl/worksheets/sheet81.xml" Id="R4256d8003a804229" /><Relationship Type="http://schemas.openxmlformats.org/officeDocument/2006/relationships/worksheet" Target="/xl/worksheets/sheet82.xml" Id="R5155fa3af9e64b43" /><Relationship Type="http://schemas.openxmlformats.org/officeDocument/2006/relationships/worksheet" Target="/xl/worksheets/sheet83.xml" Id="R15944887c2094608" /><Relationship Type="http://schemas.openxmlformats.org/officeDocument/2006/relationships/worksheet" Target="/xl/worksheets/sheet84.xml" Id="Rae55a43fde5844bd" /><Relationship Type="http://schemas.openxmlformats.org/officeDocument/2006/relationships/worksheet" Target="/xl/worksheets/sheet85.xml" Id="R3c33b9d775404ffe" /><Relationship Type="http://schemas.openxmlformats.org/officeDocument/2006/relationships/worksheet" Target="/xl/worksheets/sheet86.xml" Id="Rafb8c7efec6a4252" /><Relationship Type="http://schemas.openxmlformats.org/officeDocument/2006/relationships/worksheet" Target="/xl/worksheets/sheet87.xml" Id="Rb1a84fc9f43141b6" /><Relationship Type="http://schemas.openxmlformats.org/officeDocument/2006/relationships/worksheet" Target="/xl/worksheets/sheet88.xml" Id="R07b105c7d10d4d40" /><Relationship Type="http://schemas.openxmlformats.org/officeDocument/2006/relationships/worksheet" Target="/xl/worksheets/sheet89.xml" Id="R081778d97f484eab" /><Relationship Type="http://schemas.openxmlformats.org/officeDocument/2006/relationships/worksheet" Target="/xl/worksheets/sheet90.xml" Id="R95b69ee152234745" /><Relationship Type="http://schemas.openxmlformats.org/officeDocument/2006/relationships/worksheet" Target="/xl/worksheets/sheet91.xml" Id="Raeb4f5ab0b94486f" /><Relationship Type="http://schemas.openxmlformats.org/officeDocument/2006/relationships/worksheet" Target="/xl/worksheets/sheet92.xml" Id="R85bea382ad554fcf" /><Relationship Type="http://schemas.openxmlformats.org/officeDocument/2006/relationships/worksheet" Target="/xl/worksheets/sheet93.xml" Id="R00b7070c987d4714" /><Relationship Type="http://schemas.openxmlformats.org/officeDocument/2006/relationships/worksheet" Target="/xl/worksheets/sheet94.xml" Id="Ra5a15a7fcc354585" /><Relationship Type="http://schemas.openxmlformats.org/officeDocument/2006/relationships/worksheet" Target="/xl/worksheets/sheet95.xml" Id="R69b4d7f2ef6f478a" /><Relationship Type="http://schemas.openxmlformats.org/officeDocument/2006/relationships/worksheet" Target="/xl/worksheets/sheet96.xml" Id="Rf329af43f1924d41" /><Relationship Type="http://schemas.openxmlformats.org/officeDocument/2006/relationships/worksheet" Target="/xl/worksheets/sheet97.xml" Id="R8c43ba8bd602443e" /><Relationship Type="http://schemas.openxmlformats.org/officeDocument/2006/relationships/worksheet" Target="/xl/worksheets/sheet98.xml" Id="R952c431b66e54437" /><Relationship Type="http://schemas.openxmlformats.org/officeDocument/2006/relationships/worksheet" Target="/xl/worksheets/sheet99.xml" Id="R046251ce75824485" /><Relationship Type="http://schemas.openxmlformats.org/officeDocument/2006/relationships/worksheet" Target="/xl/worksheets/sheet100.xml" Id="R28bc1ccc45d943b6" /><Relationship Type="http://schemas.openxmlformats.org/officeDocument/2006/relationships/worksheet" Target="/xl/worksheets/sheet101.xml" Id="R8b846f8c7c9646ff" /><Relationship Type="http://schemas.openxmlformats.org/officeDocument/2006/relationships/worksheet" Target="/xl/worksheets/sheet102.xml" Id="R2adab7f3c23340ff" /><Relationship Type="http://schemas.openxmlformats.org/officeDocument/2006/relationships/worksheet" Target="/xl/worksheets/sheet103.xml" Id="R1a5322529026466c" /><Relationship Type="http://schemas.openxmlformats.org/officeDocument/2006/relationships/worksheet" Target="/xl/worksheets/sheet104.xml" Id="Rf405aec595d54644" /><Relationship Type="http://schemas.openxmlformats.org/officeDocument/2006/relationships/worksheet" Target="/xl/worksheets/sheet105.xml" Id="R20b0c154556045ec" /><Relationship Type="http://schemas.openxmlformats.org/officeDocument/2006/relationships/worksheet" Target="/xl/worksheets/sheet106.xml" Id="R9a3bee14958d4a30" /><Relationship Type="http://schemas.openxmlformats.org/officeDocument/2006/relationships/worksheet" Target="/xl/worksheets/sheet107.xml" Id="R34ff0b7b4eae4320" /><Relationship Type="http://schemas.openxmlformats.org/officeDocument/2006/relationships/worksheet" Target="/xl/worksheets/sheet108.xml" Id="Raaab30a5b3514c5c" /><Relationship Type="http://schemas.openxmlformats.org/officeDocument/2006/relationships/worksheet" Target="/xl/worksheets/sheet109.xml" Id="R3db313507fc24744" /></Relationships>
</file>

<file path=xl/tables/table1.xml><?xml version="1.0" encoding="utf-8"?>
<x:table xmlns:x="http://schemas.openxmlformats.org/spreadsheetml/2006/main" id="1" name="MigrationRulesTable" displayName="MigrationRulesTable" ref="A1:D9" headerRowCount="1" totalsRowCount="0" totalsRowShown="0">
  <x:tableColumns count="4">
    <x:tableColumn id="1" name="rule_id"/>
    <x:tableColumn id="2" name="rule"/>
    <x:tableColumn id="3" name="implementation"/>
    <x:tableColumn id="4" name="reason"/>
  </x:tableColumns>
  <x:tableStyleInfo name="TableStyleMedium2" showFirstColumn="0" showLastColumn="0" showRowStripes="1" showColumnStripes="0"/>
</x:table>
</file>

<file path=xl/tables/table2.xml><?xml version="1.0" encoding="utf-8"?>
<x:table xmlns:x="http://schemas.openxmlformats.org/spreadsheetml/2006/main" id="2" name="LegacyCompoundsTable" displayName="LegacyCompoundsTable" ref="A1:W86" headerRowCount="1" totalsRowCount="0" totalsRowShown="0">
  <x:tableColumns count="23">
    <x:tableColumn id="1" name="legacy_record_id"/>
    <x:tableColumn id="2" name="source_workbook"/>
    <x:tableColumn id="3" name="source_sheet"/>
    <x:tableColumn id="4" name="source_category_raw"/>
    <x:tableColumn id="5" name="interpreted_scope"/>
    <x:tableColumn id="6" name="family_hint"/>
    <x:tableColumn id="7" name="member_hint"/>
    <x:tableColumn id="8" name="excluded_member_hint"/>
    <x:tableColumn id="9" name="scope_note_raw"/>
    <x:tableColumn id="10" name="compound_name_raw"/>
    <x:tableColumn id="11" name="aroma_descriptor_raw"/>
    <x:tableColumn id="12" name="other_foods_raw"/>
    <x:tableColumn id="13" name="legacy_status"/>
    <x:tableColumn id="14" name="migration_route"/>
    <x:tableColumn id="15" name="canonical_name"/>
    <x:tableColumn id="16" name="cas"/>
    <x:tableColumn id="17" name="compound_group"/>
    <x:tableColumn id="18" name="preparation_state"/>
    <x:tableColumn id="19" name="cut_or_part"/>
    <x:tableColumn id="20" name="evidence_status"/>
    <x:tableColumn id="21" name="source_citation"/>
    <x:tableColumn id="22" name="promotion_target"/>
    <x:tableColumn id="23" name="review_notes"/>
  </x:tableColumns>
  <x:tableStyleInfo name="TableStyleMedium2" showFirstColumn="0" showLastColumn="0" showRowStripes="1" showColumnStripes="0"/>
</x:table>
</file>

<file path=xl/tables/table3.xml><?xml version="1.0" encoding="utf-8"?>
<x:table xmlns:x="http://schemas.openxmlformats.org/spreadsheetml/2006/main" id="3" name="PairingRegressionTable" displayName="PairingRegressionTable" ref="A1:M693" headerRowCount="1" totalsRowCount="0" totalsRowShown="0">
  <x:tableColumns count="13">
    <x:tableColumn id="1" name="test_id"/>
    <x:tableColumn id="2" name="source_workbook"/>
    <x:tableColumn id="3" name="source_sheet"/>
    <x:tableColumn id="4" name="source_scope_raw"/>
    <x:tableColumn id="5" name="interpreted_scope"/>
    <x:tableColumn id="6" name="family_hint"/>
    <x:tableColumn id="7" name="pairing_target_raw"/>
    <x:tableColumn id="8" name="aroma_category_raw"/>
    <x:tableColumn id="9" name="shared_compounds_pct_raw"/>
    <x:tableColumn id="10" name="test_role"/>
    <x:tableColumn id="11" name="legacy_status"/>
    <x:tableColumn id="12" name="expected_behavior"/>
    <x:tableColumn id="13" name="review_notes"/>
  </x:tableColumns>
  <x:tableStyleInfo name="TableStyleMedium2" showFirstColumn="0" showLastColumn="0" showRowStripes="1" showColumnStripes="0"/>
</x:table>
</file>

<file path=xl/tables/table4.xml><?xml version="1.0" encoding="utf-8"?>
<x:table xmlns:x="http://schemas.openxmlformats.org/spreadsheetml/2006/main" id="4" name="PairingCompoundLeadsTable" displayName="PairingCompoundLeadsTable" ref="A1:M60" headerRowCount="1" totalsRowCount="0" totalsRowShown="0">
  <x:tableColumns count="13">
    <x:tableColumn id="1" name="example_id"/>
    <x:tableColumn id="2" name="source_workbook"/>
    <x:tableColumn id="3" name="source_scope_raw"/>
    <x:tableColumn id="4" name="interpreted_scope"/>
    <x:tableColumn id="5" name="pairing_label_raw"/>
    <x:tableColumn id="6" name="common_compound_raw"/>
    <x:tableColumn id="7" name="aroma_raw"/>
    <x:tableColumn id="8" name="also_shared_with_raw"/>
    <x:tableColumn id="9" name="use_role"/>
    <x:tableColumn id="10" name="legacy_status"/>
    <x:tableColumn id="11" name="canonical_compound_name"/>
    <x:tableColumn id="12" name="cas"/>
    <x:tableColumn id="13" name="review_notes"/>
  </x:tableColumns>
  <x:tableStyleInfo name="TableStyleMedium2" showFirstColumn="0" showLastColumn="0" showRowStripes="1" showColumnStripes="0"/>
</x:table>
</file>

<file path=xl/tables/table5.xml><?xml version="1.0" encoding="utf-8"?>
<x:table xmlns:x="http://schemas.openxmlformats.org/spreadsheetml/2006/main" id="89" name="ResearchQueueTable" displayName="ResearchQueueTable" ref="A1:L63" headerRowCount="1" totalsRowCount="0" totalsRowShown="0">
  <x:tableColumns count="12">
    <x:tableColumn id="1" name="queue_id"/>
    <x:tableColumn id="2" name="priority_order"/>
    <x:tableColumn id="3" name="protein_raw"/>
    <x:tableColumn id="4" name="family_id_raw"/>
    <x:tableColumn id="5" name="preparation_raw"/>
    <x:tableColumn id="6" name="why_it_matters_raw"/>
    <x:tableColumn id="7" name="legacy_seed"/>
    <x:tableColumn id="8" name="recommended_first_action"/>
    <x:tableColumn id="9" name="status"/>
    <x:tableColumn id="10" name="researcher"/>
    <x:tableColumn id="11" name="source_found"/>
    <x:tableColumn id="12" name="notes"/>
  </x:tableColumns>
  <x:tableStyleInfo name="TableStyleMedium2" showFirstColumn="0" showLastColumn="0" showRowStripes="1" showColumnStripes="0"/>
</x:table>
</file>

<file path=xl/tables/table6.xml><?xml version="1.0" encoding="utf-8"?>
<x:table xmlns:x="http://schemas.openxmlformats.org/spreadsheetml/2006/main" id="88" name="DataIssuesTable" displayName="DataIssuesTable" ref="A1:H22" headerRowCount="1" totalsRowCount="0" totalsRowShown="0">
  <x:tableColumns count="8">
    <x:tableColumn id="1" name="issue_id"/>
    <x:tableColumn id="2" name="source"/>
    <x:tableColumn id="3" name="severity"/>
    <x:tableColumn id="4" name="issue"/>
    <x:tableColumn id="5" name="required_action"/>
    <x:tableColumn id="6" name="status"/>
    <x:tableColumn id="7" name="Column7"/>
    <x:tableColumn id="8" name="Column8"/>
  </x:tableColumns>
  <x:tableStyleInfo name="TableStyleMedium2" showFirstColumn="0" showLastColumn="0" showRowStripes="1" showColumnStripes="0"/>
</x:table>
</file>

<file path=xl/tables/table7.xml><?xml version="1.0" encoding="utf-8"?>
<x:table xmlns:x="http://schemas.openxmlformats.org/spreadsheetml/2006/main" id="7" name="BeefLegacyReconTable" displayName="BeefLegacyReconTable" ref="A1:O25" headerRowCount="1" totalsRowCount="0" totalsRowShown="0">
  <x:tableColumns count="15">
    <x:tableColumn id="1" name="legacy_id"/>
    <x:tableColumn id="2" name="lead_type"/>
    <x:tableColumn id="3" name="legacy_context"/>
    <x:tableColumn id="4" name="compound_name_raw"/>
    <x:tableColumn id="5" name="canonical_name"/>
    <x:tableColumn id="6" name="cas"/>
    <x:tableColumn id="7" name="compound_group"/>
    <x:tableColumn id="8" name="identity_status"/>
    <x:tableColumn id="9" name="primary_beef_evidence"/>
    <x:tableColumn id="10" name="verified_state_or_context"/>
    <x:tableColumn id="11" name="sensory_status"/>
    <x:tableColumn id="12" name="source_ids"/>
    <x:tableColumn id="13" name="reconciliation_outcome"/>
    <x:tableColumn id="14" name="runtime_implication"/>
    <x:tableColumn id="15" name="notes"/>
  </x:tableColumns>
  <x:tableStyleInfo name="TableStyleMedium2" showFirstColumn="0" showLastColumn="0" showRowStripes="1" showColumnStripes="0"/>
</x:table>
</file>

<file path=xl/tables/table8.xml><?xml version="1.0" encoding="utf-8"?>
<x:table xmlns:x="http://schemas.openxmlformats.org/spreadsheetml/2006/main" id="15" name="BeefCanonicalTable" displayName="BeefCanonicalTable" ref="A1:N45" headerRowCount="1" totalsRowCount="0" totalsRowShown="0">
  <x:tableColumns count="14">
    <x:tableColumn id="1" name="compound_id"/>
    <x:tableColumn id="2" name="canonical_name"/>
    <x:tableColumn id="3" name="cas"/>
    <x:tableColumn id="4" name="compound_group"/>
    <x:tableColumn id="5" name="identity_source_type"/>
    <x:tableColumn id="6" name="identity_source_url"/>
    <x:tableColumn id="7" name="identity_status"/>
    <x:tableColumn id="8" name="raw_state"/>
    <x:tableColumn id="9" name="roasted_state"/>
    <x:tableColumn id="10" name="moist_heat_state"/>
    <x:tableColumn id="11" name="dry_aged_state"/>
    <x:tableColumn id="12" name="beef_fat_state"/>
    <x:tableColumn id="13" name="legacy_link"/>
    <x:tableColumn id="14" name="registry_notes"/>
  </x:tableColumns>
  <x:tableStyleInfo name="TableStyleMedium2" showFirstColumn="0" showLastColumn="0" showRowStripes="1" showColumnStripes="0"/>
</x:table>
</file>

<file path=xl/tables/table9.xml><?xml version="1.0" encoding="utf-8"?>
<x:table xmlns:x="http://schemas.openxmlformats.org/spreadsheetml/2006/main" id="23" name="VerifiedBeefProfilesTable" displayName="VerifiedBeefProfilesTable" ref="A1:Z80" headerRowCount="1" totalsRowCount="0" totalsRowShown="0">
  <x:tableColumns count="26">
    <x:tableColumn id="1" name="profile_record_id"/>
    <x:tableColumn id="2" name="protein"/>
    <x:tableColumn id="3" name="family_id"/>
    <x:tableColumn id="4" name="preparation_state"/>
    <x:tableColumn id="5" name="cut_or_part"/>
    <x:tableColumn id="6" name="compound_name"/>
    <x:tableColumn id="7" name="cas"/>
    <x:tableColumn id="8" name="compound_group"/>
    <x:tableColumn id="9" name="evidence_mode"/>
    <x:tableColumn id="10" name="sensory_validation_mode"/>
    <x:tableColumn id="11" name="direct_source_state"/>
    <x:tableColumn id="12" name="importance_class"/>
    <x:tableColumn id="13" name="importance_detail"/>
    <x:tableColumn id="14" name="concentration"/>
    <x:tableColumn id="15" name="concentration_unit"/>
    <x:tableColumn id="16" name="sensory_metric_type"/>
    <x:tableColumn id="17" name="sensory_metric_value"/>
    <x:tableColumn id="18" name="odor_descriptor"/>
    <x:tableColumn id="19" name="source_id"/>
    <x:tableColumn id="20" name="source_url"/>
    <x:tableColumn id="21" name="source_context_confounded"/>
    <x:tableColumn id="22" name="promotion_status"/>
    <x:tableColumn id="23" name="notes"/>
    <x:tableColumn id="24" name="product_id"/>
    <x:tableColumn id="25" name="material_scope"/>
    <x:tableColumn id="26" name="mr13_product_status"/>
  </x:tableColumns>
  <x:tableStyleInfo name="TableStyleMedium2" showFirstColumn="0" showLastColumn="0" showRowStripes="1" showColumnStripes="0"/>
</x:table>
</file>

<file path=xl/tables/table10.xml><?xml version="1.0" encoding="utf-8"?>
<x:table xmlns:x="http://schemas.openxmlformats.org/spreadsheetml/2006/main" id="17" name="BeefQuantitativeDeltasTable" displayName="BeefQuantitativeDeltasTable" ref="A1:O23" headerRowCount="1" totalsRowCount="0" totalsRowShown="0">
  <x:tableColumns count="15">
    <x:tableColumn id="1" name="delta_id"/>
    <x:tableColumn id="2" name="source_id"/>
    <x:tableColumn id="3" name="comparison_type"/>
    <x:tableColumn id="4" name="compound_name"/>
    <x:tableColumn id="5" name="cas"/>
    <x:tableColumn id="6" name="state_a"/>
    <x:tableColumn id="7" name="state_b"/>
    <x:tableColumn id="8" name="value_a"/>
    <x:tableColumn id="9" name="value_b"/>
    <x:tableColumn id="10" name="value_unit"/>
    <x:tableColumn id="11" name="oav_a"/>
    <x:tableColumn id="12" name="oav_b"/>
    <x:tableColumn id="13" name="direct_finding"/>
    <x:tableColumn id="14" name="interpretation"/>
    <x:tableColumn id="15" name="notes"/>
  </x:tableColumns>
  <x:tableStyleInfo name="TableStyleMedium2" showFirstColumn="0" showLastColumn="0" showRowStripes="1" showColumnStripes="0"/>
</x:table>
</file>

<file path=xl/tables/table11.xml><?xml version="1.0" encoding="utf-8"?>
<x:table xmlns:x="http://schemas.openxmlformats.org/spreadsheetml/2006/main" id="27" name="BeefStateCoverageTable" displayName="BeefStateCoverageTable" ref="A1:I10" headerRowCount="1" totalsRowCount="0" totalsRowShown="0">
  <x:tableColumns count="9">
    <x:tableColumn id="1" name="state_or_question"/>
    <x:tableColumn id="2" name="direct_source_ids"/>
    <x:tableColumn id="3" name="direct_evidence_available"/>
    <x:tableColumn id="4" name="coverage_strength"/>
    <x:tableColumn id="5" name="what_is_supported"/>
    <x:tableColumn id="6" name="what_is_not_yet_supported"/>
    <x:tableColumn id="7" name="current_status"/>
    <x:tableColumn id="8" name="next_evidence_action"/>
    <x:tableColumn id="9" name="architecture_consequence"/>
  </x:tableColumns>
  <x:tableStyleInfo name="TableStyleMedium2" showFirstColumn="0" showLastColumn="0" showRowStripes="1" showColumnStripes="0"/>
</x:table>
</file>

<file path=xl/tables/table12.xml><?xml version="1.0" encoding="utf-8"?>
<x:table xmlns:x="http://schemas.openxmlformats.org/spreadsheetml/2006/main" id="28" name="BeefPatternEvidenceTable" displayName="BeefPatternEvidenceTable" ref="A1:K8" headerRowCount="1" totalsRowCount="0" totalsRowShown="0">
  <x:tableColumns count="11">
    <x:tableColumn id="1" name="pattern_id"/>
    <x:tableColumn id="2" name="pattern_domain"/>
    <x:tableColumn id="3" name="proposed_pattern"/>
    <x:tableColumn id="4" name="evidence_type"/>
    <x:tableColumn id="5" name="direct_evidence_refs"/>
    <x:tableColumn id="6" name="support_strength"/>
    <x:tableColumn id="7" name="what_direct_evidence_supports"/>
    <x:tableColumn id="8" name="inference_boundary"/>
    <x:tableColumn id="9" name="culinary_runtime_value"/>
    <x:tableColumn id="10" name="founder_review_required"/>
    <x:tableColumn id="11" name="status"/>
  </x:tableColumns>
  <x:tableStyleInfo name="TableStyleMedium2" showFirstColumn="0" showLastColumn="0" showRowStripes="1" showColumnStripes="0"/>
</x:table>
</file>

<file path=xl/tables/table13.xml><?xml version="1.0" encoding="utf-8"?>
<x:table xmlns:x="http://schemas.openxmlformats.org/spreadsheetml/2006/main" id="29" name="BeefCompletionAuditTable" displayName="BeefCompletionAuditTable" ref="A1:H16"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completion"/>
    <x:tableColumn id="8" name="recommended_action"/>
  </x:tableColumns>
  <x:tableStyleInfo name="TableStyleMedium2" showFirstColumn="0" showLastColumn="0" showRowStripes="1" showColumnStripes="0"/>
</x:table>
</file>

<file path=xl/tables/table14.xml><?xml version="1.0" encoding="utf-8"?>
<x:table xmlns:x="http://schemas.openxmlformats.org/spreadsheetml/2006/main" id="19" name="DetectedBeefMuscleTable" displayName="DetectedBeefMuscleTable" ref="A1:X137" headerRowCount="1" totalsRowCount="0" totalsRowShown="0">
  <x:tableColumns count="24">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lri_observed"/>
    <x:tableColumn id="11" name="lri_reference"/>
    <x:tableColumn id="12" name="identification_method"/>
    <x:tableColumn id="13" name="numeric_match_factor"/>
    <x:tableColumn id="14" name="source_match_quality_floor_pct"/>
    <x:tableColumn id="15" name="mr09_identification_status"/>
    <x:tableColumn id="16" name="raw_pct"/>
    <x:tableColumn id="17" name="grill55_pct"/>
    <x:tableColumn id="18" name="grill60_pct"/>
    <x:tableColumn id="19" name="grill71_pct"/>
    <x:tableColumn id="20" name="grill77_pct"/>
    <x:tableColumn id="21" name="grill85_pct"/>
    <x:tableColumn id="22" name="p_value"/>
    <x:tableColumn id="23" name="source_metric_or_value"/>
    <x:tableColumn id="24" name="notes"/>
  </x:tableColumns>
  <x:tableStyleInfo name="TableStyleMedium2" showFirstColumn="0" showLastColumn="0" showRowStripes="1" showColumnStripes="0"/>
</x:table>
</file>

<file path=xl/tables/table15.xml><?xml version="1.0" encoding="utf-8"?>
<x:table xmlns:x="http://schemas.openxmlformats.org/spreadsheetml/2006/main" id="20" name="DetectedBeefFatTable" displayName="DetectedBeefFatTable" ref="A1:AA97" headerRowCount="1" totalsRowCount="0" totalsRowShown="0">
  <x:tableColumns count="27">
    <x:tableColumn id="1" name="detected_record_id"/>
    <x:tableColumn id="2" name="product_id"/>
    <x:tableColumn id="3" name="protein"/>
    <x:tableColumn id="4" name="anatomical_material"/>
    <x:tableColumn id="5" name="preparation_state"/>
    <x:tableColumn id="6" name="source_id"/>
    <x:tableColumn id="7" name="source_compound_group"/>
    <x:tableColumn id="8" name="normalized_compound_group"/>
    <x:tableColumn id="9" name="compound_name"/>
    <x:tableColumn id="10" name="cas"/>
    <x:tableColumn id="11" name="ri_observed_db_wax"/>
    <x:tableColumn id="12" name="identification_method"/>
    <x:tableColumn id="13" name="authentic_standard_confirmed"/>
    <x:tableColumn id="14" name="numeric_match_factor"/>
    <x:tableColumn id="15" name="source_match_quality_floor_pct"/>
    <x:tableColumn id="16" name="mr09_identification_status"/>
    <x:tableColumn id="17" name="pentane_source_value"/>
    <x:tableColumn id="18" name="pentane_mean_pct"/>
    <x:tableColumn id="19" name="ethyl_ether_source_value"/>
    <x:tableColumn id="20" name="ethyl_ether_mean_pct"/>
    <x:tableColumn id="21" name="dcm_source_value"/>
    <x:tableColumn id="22" name="dcm_mean_pct"/>
    <x:tableColumn id="23" name="methanol_source_value"/>
    <x:tableColumn id="24" name="methanol_mean_pct"/>
    <x:tableColumn id="25" name="quantified_in_any_solvent"/>
    <x:tableColumn id="26" name="metric"/>
    <x:tableColumn id="27" name="notes"/>
  </x:tableColumns>
  <x:tableStyleInfo name="TableStyleMedium2" showFirstColumn="0" showLastColumn="0" showRowStripes="1" showColumnStripes="0"/>
</x:table>
</file>

<file path=xl/tables/table16.xml><?xml version="1.0" encoding="utf-8"?>
<x:table xmlns:x="http://schemas.openxmlformats.org/spreadsheetml/2006/main" id="21" name="DetectedBeefCureSmokeTable" displayName="DetectedBeefCureSmokeTable" ref="A1:W87" headerRowCount="1" totalsRowCount="0" totalsRowShown="0">
  <x:tableColumns count="23">
    <x:tableColumn id="1" name="detected_record_id"/>
    <x:tableColumn id="2" name="product_id"/>
    <x:tableColumn id="3" name="protein"/>
    <x:tableColumn id="4" name="material"/>
    <x:tableColumn id="5" name="processing_comparison"/>
    <x:tableColumn id="6" name="source_id"/>
    <x:tableColumn id="7" name="compound_group"/>
    <x:tableColumn id="8" name="compound_name"/>
    <x:tableColumn id="9" name="cas"/>
    <x:tableColumn id="10" name="ri_db_wax"/>
    <x:tableColumn id="11" name="identification_method"/>
    <x:tableColumn id="12" name="numeric_match_factor"/>
    <x:tableColumn id="13" name="source_match_quality_floor_pct"/>
    <x:tableColumn id="14" name="mr09_identification_status"/>
    <x:tableColumn id="15" name="t1_smoked_spiced_ng_g"/>
    <x:tableColumn id="16" name="t2_unsmoked_unspiced_ng_g"/>
    <x:tableColumn id="17" name="sem"/>
    <x:tableColumn id="18" name="p_level"/>
    <x:tableColumn id="19" name="t1_detected"/>
    <x:tableColumn id="20" name="t2_detected"/>
    <x:tableColumn id="21" name="processing_role"/>
    <x:tableColumn id="22" name="unit"/>
    <x:tableColumn id="23" name="notes"/>
  </x:tableColumns>
  <x:tableStyleInfo name="TableStyleMedium2" showFirstColumn="0" showLastColumn="0" showRowStripes="1" showColumnStripes="0"/>
</x:table>
</file>

<file path=xl/tables/table17.xml><?xml version="1.0" encoding="utf-8"?>
<x:table xmlns:x="http://schemas.openxmlformats.org/spreadsheetml/2006/main" id="22" name="DetectedBeefAgingTable" displayName="DetectedBeefAgingTable" ref="A1:R38" headerRowCount="1" totalsRowCount="0" totalsRowShown="0">
  <x:tableColumns count="18">
    <x:tableColumn id="1" name="detected_record_id"/>
    <x:tableColumn id="2" name="product_id"/>
    <x:tableColumn id="3" name="protein"/>
    <x:tableColumn id="4" name="material"/>
    <x:tableColumn id="5" name="state_scope"/>
    <x:tableColumn id="6" name="source_id"/>
    <x:tableColumn id="7" name="compound_group"/>
    <x:tableColumn id="8" name="compound_name"/>
    <x:tableColumn id="9" name="cas"/>
    <x:tableColumn id="10" name="retention_time_min"/>
    <x:tableColumn id="11" name="source_relevance_match_pct"/>
    <x:tableColumn id="12" name="source_identification_field_definition"/>
    <x:tableColumn id="13" name="numeric_mass_match_factor"/>
    <x:tableColumn id="14" name="chromatographic_lri_observed"/>
    <x:tableColumn id="15" name="mr09_identification_status"/>
    <x:tableColumn id="16" name="odor_descriptor"/>
    <x:tableColumn id="17" name="odor_threshold_ppm"/>
    <x:tableColumn id="18" name="notes"/>
  </x:tableColumns>
  <x:tableStyleInfo name="TableStyleMedium2" showFirstColumn="0" showLastColumn="0" showRowStripes="1" showColumnStripes="0"/>
</x:table>
</file>

<file path=xl/tables/table18.xml><?xml version="1.0" encoding="utf-8"?>
<x:table xmlns:x="http://schemas.openxmlformats.org/spreadsheetml/2006/main" id="24" name="VerifiedBeefFatProfileTable" displayName="VerifiedBeefFatProfileTable" ref="A1:P2" headerRowCount="1" totalsRowCount="0" totalsRowShown="0">
  <x:tableColumns count="16">
    <x:tableColumn id="1" name="profile_record_id"/>
    <x:tableColumn id="2" name="product_id"/>
    <x:tableColumn id="3" name="protein"/>
    <x:tableColumn id="4" name="preparation_state"/>
    <x:tableColumn id="5" name="anatomical_material"/>
    <x:tableColumn id="6" name="compound_name"/>
    <x:tableColumn id="7" name="cas"/>
    <x:tableColumn id="8" name="compound_group"/>
    <x:tableColumn id="9" name="evidence_mode"/>
    <x:tableColumn id="10" name="sensory_validation_mode"/>
    <x:tableColumn id="11" name="importance_class"/>
    <x:tableColumn id="12" name="importance_detail"/>
    <x:tableColumn id="13" name="source_id"/>
    <x:tableColumn id="14" name="source_url"/>
    <x:tableColumn id="15" name="promotion_status"/>
    <x:tableColumn id="16" name="notes"/>
  </x:tableColumns>
  <x:tableStyleInfo name="TableStyleMedium2" showFirstColumn="0" showLastColumn="0" showRowStripes="1" showColumnStripes="0"/>
</x:table>
</file>

<file path=xl/tables/table19.xml><?xml version="1.0" encoding="utf-8"?>
<x:table xmlns:x="http://schemas.openxmlformats.org/spreadsheetml/2006/main" id="25" name="BeefIdentificationQATable" displayName="BeefIdentificationQATable" ref="A1:M6" headerRowCount="1" totalsRowCount="0" totalsRowShown="0">
  <x:tableColumns count="13">
    <x:tableColumn id="1" name="source_id"/>
    <x:tableColumn id="2" name="product_id"/>
    <x:tableColumn id="3" name="source_reported_compounds"/>
    <x:tableColumn id="4" name="rows_extracted_v16"/>
    <x:tableColumn id="5" name="count_reconciliation"/>
    <x:tableColumn id="6" name="cas_coverage"/>
    <x:tableColumn id="7" name="observed_lri_or_ri_coverage"/>
    <x:tableColumn id="8" name="reference_lri_coverage"/>
    <x:tableColumn id="9" name="exact_numeric_match_factor_coverage"/>
    <x:tableColumn id="10" name="source_match_quality_floor_pct"/>
    <x:tableColumn id="11" name="authentic_standard_support"/>
    <x:tableColumn id="12" name="mr09_status"/>
    <x:tableColumn id="13" name="notes"/>
  </x:tableColumns>
  <x:tableStyleInfo name="TableStyleMedium2" showFirstColumn="0" showLastColumn="0" showRowStripes="1" showColumnStripes="0"/>
</x:table>
</file>

<file path=xl/tables/table20.xml><?xml version="1.0" encoding="utf-8"?>
<x:table xmlns:x="http://schemas.openxmlformats.org/spreadsheetml/2006/main" id="26" name="BeefMRAddendumAuditTable" displayName="BeefMRAddendumAuditTable" ref="A1:G9" headerRowCount="1" totalsRowCount="0" totalsRowShown="0">
  <x:tableColumns count="7">
    <x:tableColumn id="1" name="requirement"/>
    <x:tableColumn id="2" name="benchmark_or_rule"/>
    <x:tableColumn id="3" name="observed_result"/>
    <x:tableColumn id="4" name="status"/>
    <x:tableColumn id="5" name="evidence_refs"/>
    <x:tableColumn id="6" name="interpretation"/>
    <x:tableColumn id="7" name="blocks_beef_completion"/>
  </x:tableColumns>
  <x:tableStyleInfo name="TableStyleMedium2" showFirstColumn="0" showLastColumn="0" showRowStripes="1" showColumnStripes="0"/>
</x:table>
</file>

<file path=xl/tables/table21.xml><?xml version="1.0" encoding="utf-8"?>
<x:table xmlns:x="http://schemas.openxmlformats.org/spreadsheetml/2006/main" id="30" name="DetectedFinfishSalmonTable" displayName="DetectedFinfishSalmonTable" ref="A1:V49" headerRowCount="1" totalsRowCount="0" totalsRowShown="0">
  <x:tableColumns count="22">
    <x:tableColumn id="1" name="detected_record_id"/>
    <x:tableColumn id="2" name="product_id"/>
    <x:tableColumn id="3" name="family_id"/>
    <x:tableColumn id="4" name="fat_class_role"/>
    <x:tableColumn id="5" name="material"/>
    <x:tableColumn id="6" name="source_id"/>
    <x:tableColumn id="7" name="compound_group"/>
    <x:tableColumn id="8" name="compound_name"/>
    <x:tableColumn id="9" name="cas"/>
    <x:tableColumn id="10" name="retention_time_min"/>
    <x:tableColumn id="11" name="identification_method"/>
    <x:tableColumn id="12" name="retention_index"/>
    <x:tableColumn id="13" name="numeric_match_factor"/>
    <x:tableColumn id="14" name="mr09_identification_status"/>
    <x:tableColumn id="15" name="odor_descriptor"/>
    <x:tableColumn id="16" name="raw_ng_g"/>
    <x:tableColumn id="17" name="boiled_ng_g"/>
    <x:tableColumn id="18" name="steamed_ng_g"/>
    <x:tableColumn id="19" name="oven_ng_g"/>
    <x:tableColumn id="20" name="culinary_relevance_route"/>
    <x:tableColumn id="21" name="metric"/>
    <x:tableColumn id="22" name="notes"/>
  </x:tableColumns>
  <x:tableStyleInfo name="TableStyleMedium2" showFirstColumn="0" showLastColumn="0" showRowStripes="1" showColumnStripes="0"/>
</x:table>
</file>

<file path=xl/tables/table22.xml><?xml version="1.0" encoding="utf-8"?>
<x:table xmlns:x="http://schemas.openxmlformats.org/spreadsheetml/2006/main" id="31" name="DetectedFinfishSeaBassTable" displayName="DetectedFinfishSeaBassTable" ref="A1:AA45" headerRowCount="1" totalsRowCount="0" totalsRowShown="0">
  <x:tableColumns count="27">
    <x:tableColumn id="1" name="detected_record_id"/>
    <x:tableColumn id="2" name="product_id"/>
    <x:tableColumn id="3" name="family_id"/>
    <x:tableColumn id="4" name="fat_class_role"/>
    <x:tableColumn id="5" name="material"/>
    <x:tableColumn id="6" name="source_id"/>
    <x:tableColumn id="7" name="source_group"/>
    <x:tableColumn id="8" name="compound_name"/>
    <x:tableColumn id="9" name="feature_form"/>
    <x:tableColumn id="10" name="cas"/>
    <x:tableColumn id="11" name="ri"/>
    <x:tableColumn id="12" name="retention_time_s"/>
    <x:tableColumn id="13" name="drift_time_ms"/>
    <x:tableColumn id="14" name="identification_method"/>
    <x:tableColumn id="15" name="numeric_match_factor"/>
    <x:tableColumn id="16" name="mr09_identification_status"/>
    <x:tableColumn id="17" name="raw_HSD"/>
    <x:tableColumn id="18" name="raw_IFD"/>
    <x:tableColumn id="19" name="raw_BDS"/>
    <x:tableColumn id="20" name="raw_EAD"/>
    <x:tableColumn id="21" name="steamed_EAD"/>
    <x:tableColumn id="22" name="steamed_HSD"/>
    <x:tableColumn id="23" name="steamed_BDS"/>
    <x:tableColumn id="24" name="steamed_IFD"/>
    <x:tableColumn id="25" name="metric"/>
    <x:tableColumn id="26" name="notes"/>
    <x:tableColumn id="27" name="normalized_compound_group"/>
  </x:tableColumns>
  <x:tableStyleInfo name="TableStyleMedium2" showFirstColumn="0" showLastColumn="0" showRowStripes="1" showColumnStripes="0"/>
</x:table>
</file>

<file path=xl/tables/table23.xml><?xml version="1.0" encoding="utf-8"?>
<x:table xmlns:x="http://schemas.openxmlformats.org/spreadsheetml/2006/main" id="46" name="FinfishIdentificationQATable" displayName="FinfishIdentificationQATable" ref="A1:L10" headerRowCount="1" totalsRowCount="0" totalsRowShown="0">
  <x:tableColumns count="12">
    <x:tableColumn id="1" name="source_id"/>
    <x:tableColumn id="2" name="product_id"/>
    <x:tableColumn id="3" name="source_reported_scope"/>
    <x:tableColumn id="4" name="rows_extracted_current"/>
    <x:tableColumn id="5" name="count_reconciliation"/>
    <x:tableColumn id="6" name="cas_coverage"/>
    <x:tableColumn id="7" name="retention_time_coverage"/>
    <x:tableColumn id="8" name="retention_index_coverage"/>
    <x:tableColumn id="9" name="numeric_match_factor_coverage"/>
    <x:tableColumn id="10" name="identification_basis"/>
    <x:tableColumn id="11" name="mr09_status"/>
    <x:tableColumn id="12" name="notes"/>
  </x:tableColumns>
  <x:tableStyleInfo name="TableStyleMedium2" showFirstColumn="0" showLastColumn="0" showRowStripes="1" showColumnStripes="0"/>
</x:table>
</file>

<file path=xl/tables/table24.xml><?xml version="1.0" encoding="utf-8"?>
<x:table xmlns:x="http://schemas.openxmlformats.org/spreadsheetml/2006/main" id="47" name="FinfishArchitectureTestTable" displayName="FinfishArchitectureTestTable" ref="A1:H11" headerRowCount="1" totalsRowCount="0" totalsRowShown="0">
  <x:tableColumns count="8">
    <x:tableColumn id="1" name="test_id"/>
    <x:tableColumn id="2" name="question"/>
    <x:tableColumn id="3" name="evidence"/>
    <x:tableColumn id="4" name="result"/>
    <x:tableColumn id="5" name="strength"/>
    <x:tableColumn id="6" name="interpretation"/>
    <x:tableColumn id="7" name="boundary"/>
    <x:tableColumn id="8" name="status"/>
  </x:tableColumns>
  <x:tableStyleInfo name="TableStyleMedium2" showFirstColumn="0" showLastColumn="0" showRowStripes="1" showColumnStripes="0"/>
</x:table>
</file>

<file path=xl/tables/table25.xml><?xml version="1.0" encoding="utf-8"?>
<x:table xmlns:x="http://schemas.openxmlformats.org/spreadsheetml/2006/main" id="34" name="FinfishLegacyReconciliationTable" displayName="FinfishLegacyReconciliationTable" ref="A1:H16" headerRowCount="1" totalsRowCount="0" totalsRowShown="0">
  <x:tableColumns count="8">
    <x:tableColumn id="1" name="legacy_record_id"/>
    <x:tableColumn id="2" name="legacy_compound"/>
    <x:tableColumn id="3" name="v17_result"/>
    <x:tableColumn id="4" name="direct_source_refs"/>
    <x:tableColumn id="5" name="verified_member_or_context"/>
    <x:tableColumn id="6" name="positive_pairing_promotion"/>
    <x:tableColumn id="7" name="identity_or_state_issue"/>
    <x:tableColumn id="8" name="notes"/>
  </x:tableColumns>
  <x:tableStyleInfo name="TableStyleMedium2" showFirstColumn="0" showLastColumn="0" showRowStripes="1" showColumnStripes="0"/>
</x:table>
</file>

<file path=xl/tables/table26.xml><?xml version="1.0" encoding="utf-8"?>
<x:table xmlns:x="http://schemas.openxmlformats.org/spreadsheetml/2006/main" id="35" name="DetectedFinfishMackerelTable" displayName="DetectedFinfishMackerelTable" ref="A1:S44" headerRowCount="1" totalsRowCount="0" totalsRowShown="0">
  <x:tableColumns count="19">
    <x:tableColumn id="1" name="detected_record_id"/>
    <x:tableColumn id="2" name="product_id"/>
    <x:tableColumn id="3" name="family_id"/>
    <x:tableColumn id="4" name="material"/>
    <x:tableColumn id="5" name="compound_group"/>
    <x:tableColumn id="6" name="compound_name_source"/>
    <x:tableColumn id="7" name="compound_name_normalized_if_unambiguous"/>
    <x:tableColumn id="8" name="cas"/>
    <x:tableColumn id="9" name="retention_time_min"/>
    <x:tableColumn id="10" name="library_similarity_pct"/>
    <x:tableColumn id="11" name="source_similarity_floor_pct"/>
    <x:tableColumn id="12" name="identification_method"/>
    <x:tableColumn id="13" name="raw_white_pct"/>
    <x:tableColumn id="14" name="heated_white_pct"/>
    <x:tableColumn id="15" name="raw_red_pct"/>
    <x:tableColumn id="16" name="heated_red_pct"/>
    <x:tableColumn id="17" name="metric"/>
    <x:tableColumn id="18" name="extraction_status"/>
    <x:tableColumn id="19" name="notes"/>
  </x:tableColumns>
  <x:tableStyleInfo name="TableStyleMedium2" showFirstColumn="0" showLastColumn="0" showRowStripes="1" showColumnStripes="0"/>
</x:table>
</file>

<file path=xl/tables/table27.xml><?xml version="1.0" encoding="utf-8"?>
<x:table xmlns:x="http://schemas.openxmlformats.org/spreadsheetml/2006/main" id="36" name="MackerelClassDeltasTable" displayName="MackerelClassDeltasTable" ref="A1:I8" headerRowCount="1" totalsRowCount="0" totalsRowShown="0">
  <x:tableColumns count="9">
    <x:tableColumn id="1" name="compound_class"/>
    <x:tableColumn id="2" name="raw_white_count"/>
    <x:tableColumn id="3" name="raw_white_pct"/>
    <x:tableColumn id="4" name="heated_white_count"/>
    <x:tableColumn id="5" name="heated_white_pct"/>
    <x:tableColumn id="6" name="raw_red_count"/>
    <x:tableColumn id="7" name="raw_red_pct"/>
    <x:tableColumn id="8" name="heated_red_count"/>
    <x:tableColumn id="9" name="heated_red_pct"/>
  </x:tableColumns>
  <x:tableStyleInfo name="TableStyleMedium2" showFirstColumn="0" showLastColumn="0" showRowStripes="1" showColumnStripes="0"/>
</x:table>
</file>

<file path=xl/tables/table28.xml><?xml version="1.0" encoding="utf-8"?>
<x:table xmlns:x="http://schemas.openxmlformats.org/spreadsheetml/2006/main" id="37" name="MackerelKeyInterpretationTable" displayName="MackerelKeyInterpretationTable" ref="A1:G8" headerRowCount="1" totalsRowCount="0" totalsRowShown="0">
  <x:tableColumns count="7">
    <x:tableColumn id="1" name="compound_name"/>
    <x:tableColumn id="2" name="source_observation"/>
    <x:tableColumn id="3" name="state_scope"/>
    <x:tableColumn id="4" name="architecture_role"/>
    <x:tableColumn id="5" name="evidence_quality"/>
    <x:tableColumn id="6" name="source_id"/>
    <x:tableColumn id="7" name="notes"/>
  </x:tableColumns>
  <x:tableStyleInfo name="TableStyleMedium2" showFirstColumn="0" showLastColumn="0" showRowStripes="1" showColumnStripes="0"/>
</x:table>
</file>

<file path=xl/tables/table29.xml><?xml version="1.0" encoding="utf-8"?>
<x:table xmlns:x="http://schemas.openxmlformats.org/spreadsheetml/2006/main" id="40" name="FinfishCodSalmonSensoryTable" displayName="FinfishCodSalmonSensoryTable" ref="A1:J7" headerRowCount="1" totalsRowCount="0" totalsRowShown="0">
  <x:tableColumns count="10">
    <x:tableColumn id="1" name="record_id"/>
    <x:tableColumn id="2" name="product_id"/>
    <x:tableColumn id="3" name="species_role"/>
    <x:tableColumn id="4" name="compound_name"/>
    <x:tableColumn id="5" name="fresh_boiled_salmon_character_impact"/>
    <x:tableColumn id="6" name="fresh_boiled_cod_character_impact"/>
    <x:tableColumn id="7" name="cross_member_status"/>
    <x:tableColumn id="8" name="sensory_evidence"/>
    <x:tableColumn id="9" name="source_id"/>
    <x:tableColumn id="10" name="notes"/>
  </x:tableColumns>
  <x:tableStyleInfo name="TableStyleMedium2" showFirstColumn="0" showLastColumn="0" showRowStripes="1" showColumnStripes="0"/>
</x:table>
</file>

<file path=xl/tables/table30.xml><?xml version="1.0" encoding="utf-8"?>
<x:table xmlns:x="http://schemas.openxmlformats.org/spreadsheetml/2006/main" id="48" name="FinfishCompletionAuditTable" displayName="FinfishCompletionAuditTable" ref="A1:H11" headerRowCount="1" totalsRowCount="0" totalsRowShown="0">
  <x:tableColumns count="8">
    <x:tableColumn id="1" name="criterion"/>
    <x:tableColumn id="2" name="status"/>
    <x:tableColumn id="3" name="evidence_refs"/>
    <x:tableColumn id="4" name="evidence_strength"/>
    <x:tableColumn id="5" name="what_is_complete"/>
    <x:tableColumn id="6" name="residual_uncertainty"/>
    <x:tableColumn id="7" name="blocks_family_architecture"/>
    <x:tableColumn id="8" name="recommended_action"/>
  </x:tableColumns>
  <x:tableStyleInfo name="TableStyleMedium2" showFirstColumn="0" showLastColumn="0" showRowStripes="1" showColumnStripes="0"/>
</x:table>
</file>

<file path=xl/tables/table31.xml><?xml version="1.0" encoding="utf-8"?>
<x:table xmlns:x="http://schemas.openxmlformats.org/spreadsheetml/2006/main" id="43" name="DetectedFinfishCodRawTable" displayName="DetectedFinfishCodRawTable" ref="A1:S102" headerRowCount="1" totalsRowCount="0" totalsRowShown="0">
  <x:tableColumns count="19">
    <x:tableColumn id="1" name="detected_record_id"/>
    <x:tableColumn id="2" name="product_id"/>
    <x:tableColumn id="3" name="family_id"/>
    <x:tableColumn id="4" name="state"/>
    <x:tableColumn id="5" name="source_id"/>
    <x:tableColumn id="6" name="compound_group"/>
    <x:tableColumn id="7" name="compound_name_source"/>
    <x:tableColumn id="8" name="canonical_name_if_safe"/>
    <x:tableColumn id="9" name="source_code"/>
    <x:tableColumn id="10" name="lri_source_text"/>
    <x:tableColumn id="11" name="lri_numeric"/>
    <x:tableColumn id="12" name="specific_ion_mz"/>
    <x:tableColumn id="13" name="identification_method"/>
    <x:tableColumn id="14" name="authentic_standard_confirmed"/>
    <x:tableColumn id="15" name="numeric_match_factor"/>
    <x:tableColumn id="16" name="mr09_basis"/>
    <x:tableColumn id="17" name="identity_status"/>
    <x:tableColumn id="18" name="presence_interpretation"/>
    <x:tableColumn id="19" name="notes"/>
  </x:tableColumns>
  <x:tableStyleInfo name="TableStyleMedium2" showFirstColumn="0" showLastColumn="0" showRowStripes="1" showColumnStripes="0"/>
</x:table>
</file>

<file path=xl/tables/table32.xml><?xml version="1.0" encoding="utf-8"?>
<x:table xmlns:x="http://schemas.openxmlformats.org/spreadsheetml/2006/main" id="44" name="DetectedFinfishCodBakedTable" displayName="DetectedFinfishCodBakedTable" ref="A1:W73" headerRowCount="1" totalsRowCount="0" totalsRowShown="0">
  <x:tableColumns count="23">
    <x:tableColumn id="1" name="detected_record_id"/>
    <x:tableColumn id="2" name="product_id"/>
    <x:tableColumn id="3" name="family_id"/>
    <x:tableColumn id="4" name="state"/>
    <x:tableColumn id="5" name="material_and_added_ingredients"/>
    <x:tableColumn id="6" name="source_id"/>
    <x:tableColumn id="7" name="source_compound_group"/>
    <x:tableColumn id="8" name="normalized_compound_group"/>
    <x:tableColumn id="9" name="compound_name_source_zh"/>
    <x:tableColumn id="10" name="canonical_name"/>
    <x:tableColumn id="11" name="cas"/>
    <x:tableColumn id="12" name="retention_index_db_wax"/>
    <x:tableColumn id="13" name="gc_retention_time_s"/>
    <x:tableColumn id="14" name="ims_drift_time_ms"/>
    <x:tableColumn id="15" name="identification_method"/>
    <x:tableColumn id="16" name="numeric_match_factor"/>
    <x:tableColumn id="17" name="mr09_identification_status"/>
    <x:tableColumn id="18" name="cod_source_value"/>
    <x:tableColumn id="19" name="cod_mean_raw_numeric"/>
    <x:tableColumn id="20" name="source_metric_label"/>
    <x:tableColumn id="21" name="importance_role"/>
    <x:tableColumn id="22" name="culinary_relevance_route"/>
    <x:tableColumn id="23" name="notes"/>
  </x:tableColumns>
  <x:tableStyleInfo name="TableStyleMedium2" showFirstColumn="0" showLastColumn="0" showRowStripes="1" showColumnStripes="0"/>
</x:table>
</file>

<file path=xl/tables/table33.xml><?xml version="1.0" encoding="utf-8"?>
<x:table xmlns:x="http://schemas.openxmlformats.org/spreadsheetml/2006/main" id="45" name="FinfishSalmonQACrosscheckTable" displayName="FinfishSalmonQACrosscheckTable" ref="A1:K22" headerRowCount="1" totalsRowCount="0" totalsRowShown="0">
  <x:tableColumns count="11">
    <x:tableColumn id="1" name="crosscheck_record_id"/>
    <x:tableColumn id="2" name="culinary_salmon_compound"/>
    <x:tableColumn id="3" name="culinary_source_id"/>
    <x:tableColumn id="4" name="independent_qa_source_id"/>
    <x:tableColumn id="5" name="independent_source_name"/>
    <x:tableColumn id="6" name="independent_lri_source_text"/>
    <x:tableColumn id="7" name="specific_ion_mz"/>
    <x:tableColumn id="8" name="independent_identification_method"/>
    <x:tableColumn id="9" name="authentic_standard_confirmed"/>
    <x:tableColumn id="10" name="crosscheck_status"/>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49" name="DetectedDairyButterTable" displayName="DetectedDairyButterTable" ref="A1:W34" headerRowCount="1" totalsRowCount="0" totalsRowShown="0">
  <x:tableColumns count="23">
    <x:tableColumn id="1" name="record_id"/>
    <x:tableColumn id="2" name="product_id"/>
    <x:tableColumn id="3" name="family_id"/>
    <x:tableColumn id="4" name="state_scope"/>
    <x:tableColumn id="5" name="source_id"/>
    <x:tableColumn id="6" name="compound_group"/>
    <x:tableColumn id="7" name="compound_name"/>
    <x:tableColumn id="8" name="cas"/>
    <x:tableColumn id="9" name="ri_reference"/>
    <x:tableColumn id="10" name="ri_calculated"/>
    <x:tableColumn id="11" name="identification_method"/>
    <x:tableColumn id="12" name="numeric_match_factor"/>
    <x:tableColumn id="13" name="mr09_status"/>
    <x:tableColumn id="14" name="SCB1_ug_g"/>
    <x:tableColumn id="15" name="SCB2_ug_g"/>
    <x:tableColumn id="16" name="SCB3_ug_g"/>
    <x:tableColumn id="17" name="CB1_ug_g"/>
    <x:tableColumn id="18" name="CB2_ug_g"/>
    <x:tableColumn id="19" name="CB3_ug_g"/>
    <x:tableColumn id="20" name="CB4_ug_g"/>
    <x:tableColumn id="21" name="unit"/>
    <x:tableColumn id="22" name="lactone_flag"/>
    <x:tableColumn id="23" name="type_pattern"/>
  </x:tableColumns>
  <x:tableStyleInfo name="TableStyleMedium2" showFirstColumn="0" showLastColumn="0" showRowStripes="1" showColumnStripes="0"/>
</x:table>
</file>

<file path=xl/tables/table35.xml><?xml version="1.0" encoding="utf-8"?>
<x:table xmlns:x="http://schemas.openxmlformats.org/spreadsheetml/2006/main" id="50" name="DairyCarrierLactonesTable" displayName="DairyCarrierLactonesTable" ref="A1:I10" headerRowCount="1" totalsRowCount="0" totalsRowShown="0">
  <x:tableColumns count="9">
    <x:tableColumn id="1" name="evidence_id"/>
    <x:tableColumn id="2" name="product_id"/>
    <x:tableColumn id="3" name="state"/>
    <x:tableColumn id="4" name="lactone_or_class"/>
    <x:tableColumn id="5" name="evidence_type"/>
    <x:tableColumn id="6" name="source_id"/>
    <x:tableColumn id="7" name="measured_or_reported_result"/>
    <x:tableColumn id="8" name="culinary_runtime_role"/>
    <x:tableColumn id="9" name="boundary"/>
  </x:tableColumns>
  <x:tableStyleInfo name="TableStyleMedium2" showFirstColumn="0" showLastColumn="0" showRowStripes="1" showColumnStripes="0"/>
</x:table>
</file>

<file path=xl/tables/table36.xml><?xml version="1.0" encoding="utf-8"?>
<x:table xmlns:x="http://schemas.openxmlformats.org/spreadsheetml/2006/main" id="51" name="DairyCreamProfilesTable" displayName="DairyCreamProfilesTable" ref="A1:J9" headerRowCount="1" totalsRowCount="0" totalsRowShown="0">
  <x:tableColumns count="10">
    <x:tableColumn id="1" name="record_id"/>
    <x:tableColumn id="2" name="product_id"/>
    <x:tableColumn id="3" name="state"/>
    <x:tableColumn id="4" name="compound_or_class"/>
    <x:tableColumn id="5" name="evidence_mode"/>
    <x:tableColumn id="6" name="source_id"/>
    <x:tableColumn id="7" name="identification_quality"/>
    <x:tableColumn id="8" name="role"/>
    <x:tableColumn id="9" name="result"/>
    <x:tableColumn id="10" name="product_equivalence_boundary"/>
  </x:tableColumns>
  <x:tableStyleInfo name="TableStyleMedium2" showFirstColumn="0" showLastColumn="0" showRowStripes="1" showColumnStripes="0"/>
</x:table>
</file>

<file path=xl/tables/table37.xml><?xml version="1.0" encoding="utf-8"?>
<x:table xmlns:x="http://schemas.openxmlformats.org/spreadsheetml/2006/main" id="52" name="DairyButterHeatTable" displayName="DairyButterHeatTable" ref="A1:H3" headerRowCount="1" totalsRowCount="0" totalsRowShown="0">
  <x:tableColumns count="8">
    <x:tableColumn id="1" name="record_id"/>
    <x:tableColumn id="2" name="product_id"/>
    <x:tableColumn id="3" name="state"/>
    <x:tableColumn id="4" name="transformation"/>
    <x:tableColumn id="5" name="source_refs"/>
    <x:tableColumn id="6" name="direct_evidence"/>
    <x:tableColumn id="7" name="runtime_interpretation"/>
    <x:tableColumn id="8" name="do_not_infer"/>
  </x:tableColumns>
  <x:tableStyleInfo name="TableStyleMedium2" showFirstColumn="0" showLastColumn="0" showRowStripes="1" showColumnStripes="0"/>
</x:table>
</file>

<file path=xl/tables/table38.xml><?xml version="1.0" encoding="utf-8"?>
<x:table xmlns:x="http://schemas.openxmlformats.org/spreadsheetml/2006/main" id="53" name="DairyCarrierArchitectureTable" displayName="DairyCarrierArchitectureTable" ref="A1:H5" headerRowCount="1" totalsRowCount="0" totalsRowShown="0">
  <x:tableColumns count="8">
    <x:tableColumn id="1" name="pattern_id"/>
    <x:tableColumn id="2" name="domain"/>
    <x:tableColumn id="3" name="proposed_pattern"/>
    <x:tableColumn id="4" name="evidence_refs"/>
    <x:tableColumn id="5" name="support"/>
    <x:tableColumn id="6" name="what_evidence_supports"/>
    <x:tableColumn id="7" name="boundary"/>
    <x:tableColumn id="8" name="status"/>
  </x:tableColumns>
  <x:tableStyleInfo name="TableStyleMedium2" showFirstColumn="0" showLastColumn="0" showRowStripes="1" showColumnStripes="0"/>
</x:table>
</file>

<file path=xl/tables/table39.xml><?xml version="1.0" encoding="utf-8"?>
<x:table xmlns:x="http://schemas.openxmlformats.org/spreadsheetml/2006/main" id="54" name="DairyIdentificationQATable" displayName="DairyIdentificationQATable" ref="A1:J5" headerRowCount="1" totalsRowCount="0" totalsRowShown="0">
  <x:tableColumns count="10">
    <x:tableColumn id="1" name="source_id"/>
    <x:tableColumn id="2" name="product_scope"/>
    <x:tableColumn id="3" name="source_reported_scope"/>
    <x:tableColumn id="4" name="rows_extracted"/>
    <x:tableColumn id="5" name="mr10_status"/>
    <x:tableColumn id="6" name="retention_index_quality"/>
    <x:tableColumn id="7" name="numeric_match_factor_quality"/>
    <x:tableColumn id="8" name="other_ID_support"/>
    <x:tableColumn id="9" name="mr09_status"/>
    <x:tableColumn id="10" name="notes"/>
  </x:tableColumns>
  <x:tableStyleInfo name="TableStyleMedium2" showFirstColumn="0" showLastColumn="0" showRowStripes="1" showColumnStripes="0"/>
</x:table>
</file>

<file path=xl/tables/table40.xml><?xml version="1.0" encoding="utf-8"?>
<x:table xmlns:x="http://schemas.openxmlformats.org/spreadsheetml/2006/main" id="55" name="DairyCarrierCompletionAuditTable" displayName="DairyCarrierCompletionAuditTable" ref="A1:G7" headerRowCount="1" totalsRowCount="0" totalsRowShown="0">
  <x:tableColumns count="7">
    <x:tableColumn id="1" name="criterion"/>
    <x:tableColumn id="2" name="status"/>
    <x:tableColumn id="3" name="evidence_refs"/>
    <x:tableColumn id="4" name="what_is_complete"/>
    <x:tableColumn id="5" name="residual_gap"/>
    <x:tableColumn id="6" name="blocks_carrier_phase"/>
    <x:tableColumn id="7" name="recommended_action"/>
  </x:tableColumns>
  <x:tableStyleInfo name="TableStyleMedium2" showFirstColumn="0" showLastColumn="0" showRowStripes="1" showColumnStripes="0"/>
</x:table>
</file>

<file path=xl/tables/table41.xml><?xml version="1.0" encoding="utf-8"?>
<x:table xmlns:x="http://schemas.openxmlformats.org/spreadsheetml/2006/main" id="56" name="DetectedShellfishScallopTable" displayName="DetectedShellfishScallopTable" ref="A1:X60" headerRowCount="1" totalsRowCount="0" totalsRowShown="0">
  <x:tableColumns count="24">
    <x:tableColumn id="1" name="record_id"/>
    <x:tableColumn id="2" name="product_id"/>
    <x:tableColumn id="3" name="family_id"/>
    <x:tableColumn id="4" name="material"/>
    <x:tableColumn id="5" name="source_id"/>
    <x:tableColumn id="6" name="compound_group"/>
    <x:tableColumn id="7" name="feature_name"/>
    <x:tableColumn id="8" name="compound_name_base"/>
    <x:tableColumn id="9" name="feature_form"/>
    <x:tableColumn id="10" name="cas_source"/>
    <x:tableColumn id="11" name="formula"/>
    <x:tableColumn id="12" name="retention_index"/>
    <x:tableColumn id="13" name="retention_time_s"/>
    <x:tableColumn id="14" name="drift_time_au"/>
    <x:tableColumn id="15" name="identification_method"/>
    <x:tableColumn id="16" name="numeric_match_factor"/>
    <x:tableColumn id="17" name="mr09_status"/>
    <x:tableColumn id="18" name="raw_peak"/>
    <x:tableColumn id="19" name="boiled_peak"/>
    <x:tableColumn id="20" name="roasted_peak"/>
    <x:tableColumn id="21" name="fried_peak"/>
    <x:tableColumn id="22" name="microwaved_peak"/>
    <x:tableColumn id="23" name="metric"/>
    <x:tableColumn id="24" name="notes"/>
  </x:tableColumns>
  <x:tableStyleInfo name="TableStyleMedium2" showFirstColumn="0" showLastColumn="0" showRowStripes="1" showColumnStripes="0"/>
</x:table>
</file>

<file path=xl/tables/table42.xml><?xml version="1.0" encoding="utf-8"?>
<x:table xmlns:x="http://schemas.openxmlformats.org/spreadsheetml/2006/main" id="57" name="ShellfishLegacyScopeTable" displayName="ShellfishLegacyScopeTable" ref="A1:H6" headerRowCount="1" totalsRowCount="0" totalsRowShown="0">
  <x:tableColumns count="8">
    <x:tableColumn id="1" name="scope_id"/>
    <x:tableColumn id="2" name="member_or_cluster"/>
    <x:tableColumn id="3" name="family_parent"/>
    <x:tableColumn id="4" name="legacy_file_basis"/>
    <x:tableColumn id="5" name="legacy_compound_leads"/>
    <x:tableColumn id="6" name="legacy_pairing_example"/>
    <x:tableColumn id="7" name="migration_interpretation"/>
    <x:tableColumn id="8" name="evidence_status"/>
  </x:tableColumns>
  <x:tableStyleInfo name="TableStyleMedium2" showFirstColumn="0" showLastColumn="0" showRowStripes="1" showColumnStripes="0"/>
</x:table>
</file>

<file path=xl/tables/table43.xml><?xml version="1.0" encoding="utf-8"?>
<x:table xmlns:x="http://schemas.openxmlformats.org/spreadsheetml/2006/main" id="58" name="ShellfishShrimpOAVTable" displayName="ShellfishShrimpOAVTable" ref="A1:T7" headerRowCount="1" totalsRowCount="0" totalsRowShown="0">
  <x:tableColumns count="20">
    <x:tableColumn id="1" name="record_id"/>
    <x:tableColumn id="2" name="product_id"/>
    <x:tableColumn id="3" name="family_id"/>
    <x:tableColumn id="4" name="state_scope"/>
    <x:tableColumn id="5" name="source_id"/>
    <x:tableColumn id="6" name="compound_group"/>
    <x:tableColumn id="7" name="compound_name"/>
    <x:tableColumn id="8" name="identification_method"/>
    <x:tableColumn id="9" name="source_match_floor_pct"/>
    <x:tableColumn id="10" name="retention_index"/>
    <x:tableColumn id="11" name="mr09_status"/>
    <x:tableColumn id="12" name="raw_ng_g"/>
    <x:tableColumn id="13" name="cooked_ng_g"/>
    <x:tableColumn id="14" name="water_ng_g"/>
    <x:tableColumn id="15" name="raw_OAV"/>
    <x:tableColumn id="16" name="cooked_OAV"/>
    <x:tableColumn id="17" name="water_OAV"/>
    <x:tableColumn id="18" name="unit"/>
    <x:tableColumn id="19" name="descriptor"/>
    <x:tableColumn id="20" name="notes"/>
  </x:tableColumns>
  <x:tableStyleInfo name="TableStyleMedium2" showFirstColumn="0" showLastColumn="0" showRowStripes="1" showColumnStripes="0"/>
</x:table>
</file>

<file path=xl/tables/table44.xml><?xml version="1.0" encoding="utf-8"?>
<x:table xmlns:x="http://schemas.openxmlformats.org/spreadsheetml/2006/main" id="59" name="ShellfishKeyCompoundsTable" displayName="ShellfishKeyCompoundsTable" ref="A1:J12" headerRowCount="1" totalsRowCount="0" totalsRowShown="0">
  <x:tableColumns count="10">
    <x:tableColumn id="1" name="record_id"/>
    <x:tableColumn id="2" name="member"/>
    <x:tableColumn id="3" name="family_parent"/>
    <x:tableColumn id="4" name="state"/>
    <x:tableColumn id="5" name="compound_or_signal"/>
    <x:tableColumn id="6" name="evidence_role"/>
    <x:tableColumn id="7" name="source_id"/>
    <x:tableColumn id="8" name="direct_result"/>
    <x:tableColumn id="9" name="positive_culinary_use"/>
    <x:tableColumn id="10" name="boundary"/>
  </x:tableColumns>
  <x:tableStyleInfo name="TableStyleMedium2" showFirstColumn="0" showLastColumn="0" showRowStripes="1" showColumnStripes="0"/>
</x:table>
</file>

<file path=xl/tables/table45.xml><?xml version="1.0" encoding="utf-8"?>
<x:table xmlns:x="http://schemas.openxmlformats.org/spreadsheetml/2006/main" id="60" name="ShellfishMemberCoverageTable" displayName="ShellfishMemberCoverageTable" ref="A1:K6" headerRowCount="1" totalsRowCount="0" totalsRowShown="0">
  <x:tableColumns count="11">
    <x:tableColumn id="1" name="coverage_id"/>
    <x:tableColumn id="2" name="member_or_cluster"/>
    <x:tableColumn id="3" name="family_parent"/>
    <x:tableColumn id="4" name="primary_member_source"/>
    <x:tableColumn id="5" name="direct_member_scope"/>
    <x:tableColumn id="6" name="source_reported_detection_breadth"/>
    <x:tableColumn id="7" name="sensory_or_OAV_layer"/>
    <x:tableColumn id="8" name="row_level_ingestion_v21"/>
    <x:tableColumn id="9" name="mr09_strength"/>
    <x:tableColumn id="10" name="current_status"/>
    <x:tableColumn id="11" name="remaining_gap"/>
  </x:tableColumns>
  <x:tableStyleInfo name="TableStyleMedium2" showFirstColumn="0" showLastColumn="0" showRowStripes="1" showColumnStripes="0"/>
</x:table>
</file>

<file path=xl/tables/table46.xml><?xml version="1.0" encoding="utf-8"?>
<x:table xmlns:x="http://schemas.openxmlformats.org/spreadsheetml/2006/main" id="79" name="ShellfishIdentificationQATable" displayName="ShellfishIdentificationQATable" ref="A1:J11" headerRowCount="1" totalsRowCount="0" totalsRowShown="0">
  <x:tableColumns count="10">
    <x:tableColumn id="1" name="source_id"/>
    <x:tableColumn id="2" name="member"/>
    <x:tableColumn id="3" name="reported_rows_or_scope"/>
    <x:tableColumn id="4" name="rows_ingested_current"/>
    <x:tableColumn id="5" name="count_reconciliation"/>
    <x:tableColumn id="6" name="RI_or_retention_support"/>
    <x:tableColumn id="7" name="numeric_match_factor"/>
    <x:tableColumn id="8" name="standard_or_library_support"/>
    <x:tableColumn id="9" name="mr09_status"/>
    <x:tableColumn id="10" name="notes"/>
  </x:tableColumns>
  <x:tableStyleInfo name="TableStyleMedium2" showFirstColumn="0" showLastColumn="0" showRowStripes="1" showColumnStripes="0"/>
</x:table>
</file>

<file path=xl/tables/table47.xml><?xml version="1.0" encoding="utf-8"?>
<x:table xmlns:x="http://schemas.openxmlformats.org/spreadsheetml/2006/main" id="62" name="ShellfishPatternEvidenceTable" displayName="ShellfishPatternEvidenceTable" ref="A1:J5" headerRowCount="1" totalsRowCount="0" totalsRowShown="0">
  <x:tableColumns count="10">
    <x:tableColumn id="1" name="pattern_id"/>
    <x:tableColumn id="2" name="domain"/>
    <x:tableColumn id="3" name="proposed_pattern"/>
    <x:tableColumn id="4" name="evidence_refs"/>
    <x:tableColumn id="5" name="support"/>
    <x:tableColumn id="6" name="direct_evidence"/>
    <x:tableColumn id="7" name="inference_boundary"/>
    <x:tableColumn id="8" name="runtime_value"/>
    <x:tableColumn id="9" name="founder_review_required"/>
    <x:tableColumn id="10" name="status"/>
  </x:tableColumns>
  <x:tableStyleInfo name="TableStyleMedium2" showFirstColumn="0" showLastColumn="0" showRowStripes="1" showColumnStripes="0"/>
</x:table>
</file>

<file path=xl/tables/table48.xml><?xml version="1.0" encoding="utf-8"?>
<x:table xmlns:x="http://schemas.openxmlformats.org/spreadsheetml/2006/main" id="63" name="DetectedShellfishCrabTable" displayName="DetectedShellfishCrabTable" ref="A1:W35" headerRowCount="1" totalsRowCount="0" totalsRowShown="0">
  <x:tableColumns count="23">
    <x:tableColumn id="1" name="record_id"/>
    <x:tableColumn id="2" name="product_id"/>
    <x:tableColumn id="3" name="family_id"/>
    <x:tableColumn id="4" name="material"/>
    <x:tableColumn id="5" name="source_id"/>
    <x:tableColumn id="6" name="source_group"/>
    <x:tableColumn id="7" name="normalized_group"/>
    <x:tableColumn id="8" name="feature_name"/>
    <x:tableColumn id="9" name="compound_name_base"/>
    <x:tableColumn id="10" name="feature_form"/>
    <x:tableColumn id="11" name="cas_source"/>
    <x:tableColumn id="12" name="formula"/>
    <x:tableColumn id="13" name="retention_index"/>
    <x:tableColumn id="14" name="retention_time_s"/>
    <x:tableColumn id="15" name="drift_time_ms"/>
    <x:tableColumn id="16" name="identification_method"/>
    <x:tableColumn id="17" name="numeric_match_factor"/>
    <x:tableColumn id="18" name="mr09_status"/>
    <x:tableColumn id="19" name="FMM_intensity"/>
    <x:tableColumn id="20" name="IMM_intensity"/>
    <x:tableColumn id="21" name="metric"/>
    <x:tableColumn id="22" name="diet_delta_flag"/>
    <x:tableColumn id="23" name="notes"/>
  </x:tableColumns>
  <x:tableStyleInfo name="TableStyleMedium2" showFirstColumn="0" showLastColumn="0" showRowStripes="1" showColumnStripes="0"/>
</x:table>
</file>

<file path=xl/tables/table49.xml><?xml version="1.0" encoding="utf-8"?>
<x:table xmlns:x="http://schemas.openxmlformats.org/spreadsheetml/2006/main" id="64" name="ShellfishCompletionAuditTable" displayName="ShellfishCompletionAuditTable" ref="A1:H9" headerRowCount="1" totalsRowCount="0" totalsRowShown="0">
  <x:tableColumns count="8">
    <x:tableColumn id="1" name="criterion"/>
    <x:tableColumn id="2" name="status"/>
    <x:tableColumn id="3" name="evidence_refs"/>
    <x:tableColumn id="4" name="what_is_complete"/>
    <x:tableColumn id="5" name="mr10_row_level_status"/>
    <x:tableColumn id="6" name="residual_gap"/>
    <x:tableColumn id="7" name="blocks_targeted_phase"/>
    <x:tableColumn id="8" name="recommended_action"/>
  </x:tableColumns>
  <x:tableStyleInfo name="TableStyleMedium2" showFirstColumn="0" showLastColumn="0" showRowStripes="1" showColumnStripes="0"/>
</x:table>
</file>

<file path=xl/tables/table50.xml><?xml version="1.0" encoding="utf-8"?>
<x:table xmlns:x="http://schemas.openxmlformats.org/spreadsheetml/2006/main" id="65" name="GovernanceComplianceAuditTable" displayName="GovernanceComplianceAuditTable" ref="A1:G9" headerRowCount="1" totalsRowCount="0" totalsRowShown="0">
  <x:tableColumns count="7">
    <x:tableColumn id="1" name="control_id"/>
    <x:tableColumn id="2" name="rule_or_issue"/>
    <x:tableColumn id="3" name="workbook_check"/>
    <x:tableColumn id="4" name="observed_result"/>
    <x:tableColumn id="5" name="status"/>
    <x:tableColumn id="6" name="pipeline_effect"/>
    <x:tableColumn id="7" name="follow_up"/>
  </x:tableColumns>
  <x:tableStyleInfo name="TableStyleMedium2" showFirstColumn="0" showLastColumn="0" showRowStripes="1" showColumnStripes="0"/>
</x:table>
</file>

<file path=xl/tables/table51.xml><?xml version="1.0" encoding="utf-8"?>
<x:table xmlns:x="http://schemas.openxmlformats.org/spreadsheetml/2006/main" id="66" name="LegacyScopePreflightTable" displayName="LegacyScopePreflightTable" ref="A1:G3" headerRowCount="1" totalsRowCount="0" totalsRowShown="0">
  <x:tableColumns count="7">
    <x:tableColumn id="1" name="preflight_id"/>
    <x:tableColumn id="2" name="legacy_scope"/>
    <x:tableColumn id="3" name="files_reviewed"/>
    <x:tableColumn id="4" name="raw_legacy_structure"/>
    <x:tableColumn id="5" name="governance_interpretation"/>
    <x:tableColumn id="6" name="collection_status"/>
    <x:tableColumn id="7" name="next_allowed_action"/>
  </x:tableColumns>
  <x:tableStyleInfo name="TableStyleMedium2" showFirstColumn="0" showLastColumn="0" showRowStripes="1" showColumnStripes="0"/>
</x:table>
</file>

<file path=xl/tables/table52.xml><?xml version="1.0" encoding="utf-8"?>
<x:table xmlns:x="http://schemas.openxmlformats.org/spreadsheetml/2006/main" id="67" name="DataCollectionGateTable" displayName="DataCollectionGateTable" ref="A1:F2" headerRowCount="1" totalsRowCount="0" totalsRowShown="0">
  <x:tableColumns count="6">
    <x:tableColumn id="1" name="gate_id"/>
    <x:tableColumn id="2" name="dependency"/>
    <x:tableColumn id="3" name="status"/>
    <x:tableColumn id="4" name="why_it_blocks_collection"/>
    <x:tableColumn id="5" name="decision_after_result"/>
    <x:tableColumn id="6" name="workbook_preparation_complete"/>
  </x:tableColumns>
  <x:tableStyleInfo name="TableStyleMedium2" showFirstColumn="0" showLastColumn="0" showRowStripes="1" showColumnStripes="0"/>
</x:table>
</file>

<file path=xl/tables/table53.xml><?xml version="1.0" encoding="utf-8"?>
<x:table xmlns:x="http://schemas.openxmlformats.org/spreadsheetml/2006/main" id="68" name="DetectedEggSaltedYolkTable" displayName="DetectedEggSaltedYolkTable" ref="A1:S46" headerRowCount="1" totalsRowCount="0" totalsRowShown="0">
  <x:tableColumns count="19">
    <x:tableColumn id="1" name="record_id"/>
    <x:tableColumn id="2" name="product_id"/>
    <x:tableColumn id="3" name="family_id"/>
    <x:tableColumn id="4" name="material_role"/>
    <x:tableColumn id="5" name="state_scope"/>
    <x:tableColumn id="6" name="source_id"/>
    <x:tableColumn id="7" name="compound_group"/>
    <x:tableColumn id="8" name="compound_name"/>
    <x:tableColumn id="9" name="cas"/>
    <x:tableColumn id="10" name="ri_db_wax"/>
    <x:tableColumn id="11" name="ri_hp5"/>
    <x:tableColumn id="12" name="salted_yolk_detected"/>
    <x:tableColumn id="13" name="roasted_salted_yolk_detected"/>
    <x:tableColumn id="14" name="identification_method"/>
    <x:tableColumn id="15" name="authentic_standard_confirmed"/>
    <x:tableColumn id="16" name="numeric_match_factor"/>
    <x:tableColumn id="17" name="mr09_status"/>
    <x:tableColumn id="18" name="evidence_mode"/>
    <x:tableColumn id="19" name="notes"/>
  </x:tableColumns>
  <x:tableStyleInfo name="TableStyleMedium2" showFirstColumn="0" showLastColumn="0" showRowStripes="1" showColumnStripes="0"/>
</x:table>
</file>

<file path=xl/tables/table54.xml><?xml version="1.0" encoding="utf-8"?>
<x:table xmlns:x="http://schemas.openxmlformats.org/spreadsheetml/2006/main" id="69" name="EggScrambledSensomicsTable" displayName="EggScrambledSensomicsTable" ref="A1:T23" headerRowCount="1" totalsRowCount="0" totalsRowShown="0">
  <x:tableColumns count="20">
    <x:tableColumn id="1" name="record_id"/>
    <x:tableColumn id="2" name="product_id"/>
    <x:tableColumn id="3" name="family_id"/>
    <x:tableColumn id="4" name="material_role"/>
    <x:tableColumn id="5" name="preparation_state"/>
    <x:tableColumn id="6" name="source_id"/>
    <x:tableColumn id="7" name="compound_group"/>
    <x:tableColumn id="8" name="compound_name"/>
    <x:tableColumn id="9" name="odor_quality"/>
    <x:tableColumn id="10" name="detected_in_scrambled_chicken"/>
    <x:tableColumn id="11" name="concentration_ug_kg"/>
    <x:tableColumn id="12" name="odor_threshold_ug_kg"/>
    <x:tableColumn id="13" name="DoT_factor"/>
    <x:tableColumn id="14" name="ri_db_ffap"/>
    <x:tableColumn id="15" name="ri_db5"/>
    <x:tableColumn id="16" name="AEDA_FD_factor"/>
    <x:tableColumn id="17" name="quantitation_layer"/>
    <x:tableColumn id="18" name="mr10_role"/>
    <x:tableColumn id="19" name="culinary_relevance"/>
    <x:tableColumn id="20" name="notes"/>
  </x:tableColumns>
  <x:tableStyleInfo name="TableStyleMedium2" showFirstColumn="0" showLastColumn="0" showRowStripes="1" showColumnStripes="0"/>
</x:table>
</file>

<file path=xl/tables/table55.xml><?xml version="1.0" encoding="utf-8"?>
<x:table xmlns:x="http://schemas.openxmlformats.org/spreadsheetml/2006/main" id="70" name="EggStateEvidenceTable" displayName="EggStateEvidenceTable" ref="A1:K12" headerRowCount="1" totalsRowCount="0" totalsRowShown="0">
  <x:tableColumns count="11">
    <x:tableColumn id="1" name="evidence_id"/>
    <x:tableColumn id="2" name="product_id"/>
    <x:tableColumn id="3" name="material_role"/>
    <x:tableColumn id="4" name="state"/>
    <x:tableColumn id="5" name="source_id"/>
    <x:tableColumn id="6" name="source_scope"/>
    <x:tableColumn id="7" name="compound_or_class"/>
    <x:tableColumn id="8" name="direct_result"/>
    <x:tableColumn id="9" name="identification_quality"/>
    <x:tableColumn id="10" name="mr10_status"/>
    <x:tableColumn id="11" name="notes"/>
  </x:tableColumns>
  <x:tableStyleInfo name="TableStyleMedium2" showFirstColumn="0" showLastColumn="0" showRowStripes="1" showColumnStripes="0"/>
</x:table>
</file>

<file path=xl/tables/table56.xml><?xml version="1.0" encoding="utf-8"?>
<x:table xmlns:x="http://schemas.openxmlformats.org/spreadsheetml/2006/main" id="71" name="EggProductArchitectureTable" displayName="EggProductArchitectureTable" ref="A1:I6" headerRowCount="1" totalsRowCount="0" totalsRowShown="0">
  <x:tableColumns count="9">
    <x:tableColumn id="1" name="pattern_id"/>
    <x:tableColumn id="2" name="domain"/>
    <x:tableColumn id="3" name="proposed_pattern"/>
    <x:tableColumn id="4" name="evidence_refs"/>
    <x:tableColumn id="5" name="support"/>
    <x:tableColumn id="6" name="direct_evidence"/>
    <x:tableColumn id="7" name="ingestion_rule"/>
    <x:tableColumn id="8" name="runtime_value"/>
    <x:tableColumn id="9" name="status"/>
  </x:tableColumns>
  <x:tableStyleInfo name="TableStyleMedium2" showFirstColumn="0" showLastColumn="0" showRowStripes="1" showColumnStripes="0"/>
</x:table>
</file>

<file path=xl/tables/table57.xml><?xml version="1.0" encoding="utf-8"?>
<x:table xmlns:x="http://schemas.openxmlformats.org/spreadsheetml/2006/main" id="72" name="DetectedEggBoiledYolkTable" displayName="DetectedEggBoiledYolkTable" ref="A1:W124" headerRowCount="1" totalsRowCount="0" totalsRowShown="0">
  <x:tableColumns count="23">
    <x:tableColumn id="1" name="record_id"/>
    <x:tableColumn id="2" name="product_id"/>
    <x:tableColumn id="3" name="family_id"/>
    <x:tableColumn id="4" name="material_role"/>
    <x:tableColumn id="5" name="preparation_state"/>
    <x:tableColumn id="6" name="source_id"/>
    <x:tableColumn id="7" name="source_group"/>
    <x:tableColumn id="8" name="normalized_group"/>
    <x:tableColumn id="9" name="compound_name_source"/>
    <x:tableColumn id="10" name="specific_ion_mz"/>
    <x:tableColumn id="11" name="lri"/>
    <x:tableColumn id="12" name="commercial_egg_CE"/>
    <x:tableColumn id="13" name="blue_shell_BSE"/>
    <x:tableColumn id="14" name="woorimatdag1"/>
    <x:tableColumn id="15" name="woorimatdag2"/>
    <x:tableColumn id="16" name="sem"/>
    <x:tableColumn id="17" name="metric"/>
    <x:tableColumn id="18" name="identification_method"/>
    <x:tableColumn id="19" name="numeric_match_factor"/>
    <x:tableColumn id="20" name="mr09_status"/>
    <x:tableColumn id="21" name="commercial_egg_detected"/>
    <x:tableColumn id="22" name="culinary_relevance_route"/>
    <x:tableColumn id="23" name="notes"/>
  </x:tableColumns>
  <x:tableStyleInfo name="TableStyleMedium2" showFirstColumn="0" showLastColumn="0" showRowStripes="1" showColumnStripes="0"/>
</x:table>
</file>

<file path=xl/tables/table58.xml><?xml version="1.0" encoding="utf-8"?>
<x:table xmlns:x="http://schemas.openxmlformats.org/spreadsheetml/2006/main" id="73" name="EggIdentificationQATable" displayName="EggIdentificationQATable" ref="A1:K13" headerRowCount="1" totalsRowCount="0" totalsRowShown="0">
  <x:tableColumns count="11">
    <x:tableColumn id="1" name="source_id"/>
    <x:tableColumn id="2" name="product_scope"/>
    <x:tableColumn id="3" name="reported_scope"/>
    <x:tableColumn id="4" name="rows_ingested_v23"/>
    <x:tableColumn id="5" name="count_reconciliation"/>
    <x:tableColumn id="6" name="retention_index_support"/>
    <x:tableColumn id="7" name="numeric_match_factor_support"/>
    <x:tableColumn id="8" name="other_identification_support"/>
    <x:tableColumn id="9" name="mr09_status"/>
    <x:tableColumn id="10" name="mr10_status"/>
    <x:tableColumn id="11" name="notes"/>
  </x:tableColumns>
  <x:tableStyleInfo name="TableStyleMedium2" showFirstColumn="0" showLastColumn="0" showRowStripes="1" showColumnStripes="0"/>
</x:table>
</file>

<file path=xl/tables/table59.xml><?xml version="1.0" encoding="utf-8"?>
<x:table xmlns:x="http://schemas.openxmlformats.org/spreadsheetml/2006/main" id="74" name="EggProductCoverageTable" displayName="EggProductCoverageTable" ref="A1:J11" headerRowCount="1" totalsRowCount="0" totalsRowShown="0">
  <x:tableColumns count="10">
    <x:tableColumn id="1" name="coverage_id"/>
    <x:tableColumn id="2" name="product_id"/>
    <x:tableColumn id="3" name="material_role"/>
    <x:tableColumn id="4" name="state"/>
    <x:tableColumn id="5" name="best_direct_sources"/>
    <x:tableColumn id="6" name="direct_coverage"/>
    <x:tableColumn id="7" name="mr10_status"/>
    <x:tableColumn id="8" name="mr09_status"/>
    <x:tableColumn id="9" name="culinary_use"/>
    <x:tableColumn id="10" name="remaining_gap"/>
  </x:tableColumns>
  <x:tableStyleInfo name="TableStyleMedium2" showFirstColumn="0" showLastColumn="0" showRowStripes="1" showColumnStripes="0"/>
</x:table>
</file>

<file path=xl/tables/table60.xml><?xml version="1.0" encoding="utf-8"?>
<x:table xmlns:x="http://schemas.openxmlformats.org/spreadsheetml/2006/main" id="75" name="EggCompletionAuditTable" displayName="EggCompletionAuditTable" ref="A1:G10" headerRowCount="1" totalsRowCount="0" totalsRowShown="0">
  <x:tableColumns count="7">
    <x:tableColumn id="1" name="criterion"/>
    <x:tableColumn id="2" name="status"/>
    <x:tableColumn id="3" name="evidence_refs"/>
    <x:tableColumn id="4" name="what_is_complete"/>
    <x:tableColumn id="5" name="residual_gap"/>
    <x:tableColumn id="6" name="blocks_current_egg_phase"/>
    <x:tableColumn id="7" name="recommended_action"/>
  </x:tableColumns>
  <x:tableStyleInfo name="TableStyleMedium2" showFirstColumn="0" showLastColumn="0" showRowStripes="1" showColumnStripes="0"/>
</x:table>
</file>

<file path=xl/tables/table61.xml><?xml version="1.0" encoding="utf-8"?>
<x:table xmlns:x="http://schemas.openxmlformats.org/spreadsheetml/2006/main" id="76" name="DetectedShellfishCrayfishTable" displayName="DetectedShellfishCrayfishTable" ref="A1:W69" headerRowCount="1" totalsRowCount="0" totalsRowShown="0">
  <x:tableColumns count="23">
    <x:tableColumn id="1" name="record_id"/>
    <x:tableColumn id="2" name="product_id"/>
    <x:tableColumn id="3" name="family_id"/>
    <x:tableColumn id="4" name="material"/>
    <x:tableColumn id="5" name="state_scope"/>
    <x:tableColumn id="6" name="source_id"/>
    <x:tableColumn id="7" name="source_category"/>
    <x:tableColumn id="8" name="source_code"/>
    <x:tableColumn id="9" name="compound_name"/>
    <x:tableColumn id="10" name="cas"/>
    <x:tableColumn id="11" name="retention_time_s"/>
    <x:tableColumn id="12" name="retention_index"/>
    <x:tableColumn id="13" name="drift_time"/>
    <x:tableColumn id="14" name="HW_mean"/>
    <x:tableColumn id="15" name="NHW_mean"/>
    <x:tableColumn id="16" name="HB_mean"/>
    <x:tableColumn id="17" name="NHB_mean"/>
    <x:tableColumn id="18" name="metric"/>
    <x:tableColumn id="19" name="identification_method"/>
    <x:tableColumn id="20" name="numeric_match_factor"/>
    <x:tableColumn id="21" name="mr09_status"/>
    <x:tableColumn id="22" name="overlay_context"/>
    <x:tableColumn id="23" name="notes"/>
  </x:tableColumns>
  <x:tableStyleInfo name="TableStyleMedium2" showFirstColumn="0" showLastColumn="0" showRowStripes="1" showColumnStripes="0"/>
</x:table>
</file>

<file path=xl/tables/table62.xml><?xml version="1.0" encoding="utf-8"?>
<x:table xmlns:x="http://schemas.openxmlformats.org/spreadsheetml/2006/main" id="77" name="BrownButterAromaActiveTable" displayName="BrownButterAromaActiveTable" ref="A1:S78" headerRowCount="1" totalsRowCount="0" totalsRowShown="0">
  <x:tableColumns count="19">
    <x:tableColumn id="1" name="record_id"/>
    <x:tableColumn id="2" name="product_id"/>
    <x:tableColumn id="3" name="family_id"/>
    <x:tableColumn id="4" name="state"/>
    <x:tableColumn id="5" name="source_id"/>
    <x:tableColumn id="6" name="source_row"/>
    <x:tableColumn id="7" name="odor_descriptor"/>
    <x:tableColumn id="8" name="compound_name"/>
    <x:tableColumn id="9" name="column"/>
    <x:tableColumn id="10" name="average_RI_DB5"/>
    <x:tableColumn id="11" name="average_RI_WAX"/>
    <x:tableColumn id="12" name="NIST_RI_DB5"/>
    <x:tableColumn id="13" name="NIST_RI_WAX"/>
    <x:tableColumn id="14" name="source_presence_pattern"/>
    <x:tableColumn id="15" name="identification_basis"/>
    <x:tableColumn id="16" name="numeric_match_factor"/>
    <x:tableColumn id="17" name="mr09_status"/>
    <x:tableColumn id="18" name="table_role"/>
    <x:tableColumn id="19" name="notes"/>
  </x:tableColumns>
  <x:tableStyleInfo name="TableStyleMedium2" showFirstColumn="0" showLastColumn="0" showRowStripes="1" showColumnStripes="0"/>
</x:table>
</file>

<file path=xl/tables/table63.xml><?xml version="1.0" encoding="utf-8"?>
<x:table xmlns:x="http://schemas.openxmlformats.org/spreadsheetml/2006/main" id="78" name="DetectedShellfishShrimp54Table" displayName="DetectedShellfishShrimp54Table" ref="A1:V55" headerRowCount="1" totalsRowCount="0" totalsRowShown="0">
  <x:tableColumns count="22">
    <x:tableColumn id="1" name="record_id"/>
    <x:tableColumn id="2" name="product_id"/>
    <x:tableColumn id="3" name="family_id"/>
    <x:tableColumn id="4" name="material"/>
    <x:tableColumn id="5" name="state_scope"/>
    <x:tableColumn id="6" name="source_id"/>
    <x:tableColumn id="7" name="source_code"/>
    <x:tableColumn id="8" name="source_group"/>
    <x:tableColumn id="9" name="normalized_group"/>
    <x:tableColumn id="10" name="compound_name_source_zh"/>
    <x:tableColumn id="11" name="canonical_name"/>
    <x:tableColumn id="12" name="cas"/>
    <x:tableColumn id="13" name="raw_RS_ng_g"/>
    <x:tableColumn id="14" name="sous_vide_SV_ng_g"/>
    <x:tableColumn id="15" name="steamed_ST_ng_g"/>
    <x:tableColumn id="16" name="unit"/>
    <x:tableColumn id="17" name="identification_method"/>
    <x:tableColumn id="18" name="retention_index"/>
    <x:tableColumn id="19" name="numeric_match_factor"/>
    <x:tableColumn id="20" name="mr09_status"/>
    <x:tableColumn id="21" name="culinary_relevance_route"/>
    <x:tableColumn id="22" name="notes"/>
  </x:tableColumns>
  <x:tableStyleInfo name="TableStyleMedium2" showFirstColumn="0" showLastColumn="0" showRowStripes="1" showColumnStripes="0"/>
</x:table>
</file>

<file path=xl/tables/table64.xml><?xml version="1.0" encoding="utf-8"?>
<x:table xmlns:x="http://schemas.openxmlformats.org/spreadsheetml/2006/main" id="80" name="NamedGapAcquisitionAuditTable" displayName="NamedGapAcquisitionAuditTable" ref="A1:K8" headerRowCount="1" totalsRowCount="0" totalsRowShown="0">
  <x:tableColumns count="11">
    <x:tableColumn id="1" name="gap_id"/>
    <x:tableColumn id="2" name="domain"/>
    <x:tableColumn id="3" name="target"/>
    <x:tableColumn id="4" name="preferred_source"/>
    <x:tableColumn id="5" name="source_table_scope"/>
    <x:tableColumn id="6" name="acquisition_status"/>
    <x:tableColumn id="7" name="what_was_retrieved"/>
    <x:tableColumn id="8" name="why_not_ingested"/>
    <x:tableColumn id="9" name="current_governed_fallback"/>
    <x:tableColumn id="10" name="blocks_family_use"/>
    <x:tableColumn id="11" name="next_action"/>
  </x:tableColumns>
  <x:tableStyleInfo name="TableStyleMedium2" showFirstColumn="0" showLastColumn="0" showRowStripes="1" showColumnStripes="0"/>
</x:table>
</file>

<file path=xl/tables/table65.xml><?xml version="1.0" encoding="utf-8"?>
<x:table xmlns:x="http://schemas.openxmlformats.org/spreadsheetml/2006/main" id="81" name="DetectedGameRabbitTable" displayName="DetectedGameRabbitTable" ref="A1:X64" headerRowCount="1" totalsRowCount="0" totalsRowShown="0">
  <x:tableColumns count="24">
    <x:tableColumn id="1" name="record_id"/>
    <x:tableColumn id="2" name="product_id"/>
    <x:tableColumn id="3" name="family_domain"/>
    <x:tableColumn id="4" name="species"/>
    <x:tableColumn id="5" name="material/state"/>
    <x:tableColumn id="6" name="source_id"/>
    <x:tableColumn id="7" name="source_group"/>
    <x:tableColumn id="8" name="source_code"/>
    <x:tableColumn id="9" name="compound_name"/>
    <x:tableColumn id="10" name="identification_method"/>
    <x:tableColumn id="11" name="authentic_standard_confirmed"/>
    <x:tableColumn id="12" name="odor_threshold_ug_kg_source"/>
    <x:tableColumn id="13" name="FL_male_ug_kg"/>
    <x:tableColumn id="14" name="FL_female_ug_kg"/>
    <x:tableColumn id="15" name="HL_male_ug_kg"/>
    <x:tableColumn id="16" name="HL_female_ug_kg"/>
    <x:tableColumn id="17" name="AB_male_ug_kg"/>
    <x:tableColumn id="18" name="AB_female_ug_kg"/>
    <x:tableColumn id="19" name="LD_male_ug_kg"/>
    <x:tableColumn id="20" name="LD_female_ug_kg"/>
    <x:tableColumn id="21" name="metric"/>
    <x:tableColumn id="22" name="mr09_status"/>
    <x:tableColumn id="23" name="evidence_mode"/>
    <x:tableColumn id="24" name="notes"/>
  </x:tableColumns>
  <x:tableStyleInfo name="TableStyleMedium2" showFirstColumn="0" showLastColumn="0" showRowStripes="1" showColumnStripes="0"/>
</x:table>
</file>

<file path=xl/tables/table66.xml><?xml version="1.0" encoding="utf-8"?>
<x:table xmlns:x="http://schemas.openxmlformats.org/spreadsheetml/2006/main" id="82" name="GameIdentificationQATable" displayName="GameIdentificationQATable" ref="A1:K6" headerRowCount="1" totalsRowCount="0" totalsRowShown="0">
  <x:tableColumns count="11">
    <x:tableColumn id="1" name="source_id"/>
    <x:tableColumn id="2" name="member"/>
    <x:tableColumn id="3" name="reported_scope"/>
    <x:tableColumn id="4" name="rows_ingested_v26"/>
    <x:tableColumn id="5" name="count_reconciliation"/>
    <x:tableColumn id="6" name="retention_index_support"/>
    <x:tableColumn id="7" name="numeric_match_factor"/>
    <x:tableColumn id="8" name="standard_or_library_support"/>
    <x:tableColumn id="9" name="mr09_status"/>
    <x:tableColumn id="10" name="mr10_status"/>
    <x:tableColumn id="11" name="notes"/>
  </x:tableColumns>
  <x:tableStyleInfo name="TableStyleMedium2" showFirstColumn="0" showLastColumn="0" showRowStripes="1" showColumnStripes="0"/>
</x:table>
</file>

<file path=xl/tables/table67.xml><?xml version="1.0" encoding="utf-8"?>
<x:table xmlns:x="http://schemas.openxmlformats.org/spreadsheetml/2006/main" id="83" name="GameDeerEvidenceTable" displayName="GameDeerEvidenceTable" ref="A1:K6" headerRowCount="1" totalsRowCount="0" totalsRowShown="0">
  <x:tableColumns count="11">
    <x:tableColumn id="1" name="evidence_id"/>
    <x:tableColumn id="2" name="product_id"/>
    <x:tableColumn id="3" name="family_id"/>
    <x:tableColumn id="4" name="species"/>
    <x:tableColumn id="5" name="state"/>
    <x:tableColumn id="6" name="source_id"/>
    <x:tableColumn id="7" name="evidence_layer"/>
    <x:tableColumn id="8" name="compound_or_class"/>
    <x:tableColumn id="9" name="direct_source_result"/>
    <x:tableColumn id="10" name="culinary_interpretation"/>
    <x:tableColumn id="11" name="boundary"/>
  </x:tableColumns>
  <x:tableStyleInfo name="TableStyleMedium2" showFirstColumn="0" showLastColumn="0" showRowStripes="1" showColumnStripes="0"/>
</x:table>
</file>

<file path=xl/tables/table68.xml><?xml version="1.0" encoding="utf-8"?>
<x:table xmlns:x="http://schemas.openxmlformats.org/spreadsheetml/2006/main" id="84" name="GameProductCoverageTable" displayName="GameProductCoverageTable" ref="A1:K5" headerRowCount="1" totalsRowCount="0" totalsRowShown="0">
  <x:tableColumns count="11">
    <x:tableColumn id="1" name="coverage_id"/>
    <x:tableColumn id="2" name="product_id"/>
    <x:tableColumn id="3" name="species"/>
    <x:tableColumn id="4" name="state_or_material"/>
    <x:tableColumn id="5" name="primary_sources"/>
    <x:tableColumn id="6" name="direct_coverage"/>
    <x:tableColumn id="7" name="mr10_status"/>
    <x:tableColumn id="8" name="mr09_status"/>
    <x:tableColumn id="9" name="legacy_scope_relationship"/>
    <x:tableColumn id="10" name="remaining_gap"/>
    <x:tableColumn id="11" name="current_status"/>
  </x:tableColumns>
  <x:tableStyleInfo name="TableStyleMedium2" showFirstColumn="0" showLastColumn="0" showRowStripes="1" showColumnStripes="0"/>
</x:table>
</file>

<file path=xl/tables/table69.xml><?xml version="1.0" encoding="utf-8"?>
<x:table xmlns:x="http://schemas.openxmlformats.org/spreadsheetml/2006/main" id="85" name="GamePatternEvidenceTable" displayName="GamePatternEvidenceTable" ref="A1:I5" headerRowCount="1" totalsRowCount="0" totalsRowShown="0">
  <x:tableColumns count="9">
    <x:tableColumn id="1" name="pattern_id"/>
    <x:tableColumn id="2" name="domain"/>
    <x:tableColumn id="3" name="proposed_pattern"/>
    <x:tableColumn id="4" name="evidence_refs"/>
    <x:tableColumn id="5" name="support"/>
    <x:tableColumn id="6" name="direct_evidence"/>
    <x:tableColumn id="7" name="inference_boundary"/>
    <x:tableColumn id="8" name="runtime_value"/>
    <x:tableColumn id="9" name="status"/>
  </x:tableColumns>
  <x:tableStyleInfo name="TableStyleMedium2" showFirstColumn="0" showLastColumn="0" showRowStripes="1" showColumnStripes="0"/>
</x:table>
</file>

<file path=xl/tables/table70.xml><?xml version="1.0" encoding="utf-8"?>
<x:table xmlns:x="http://schemas.openxmlformats.org/spreadsheetml/2006/main" id="86" name="GameAcquisitionAuditTable" displayName="GameAcquisitionAuditTable" ref="A1:J6" headerRowCount="1" totalsRowCount="0" totalsRowShown="0">
  <x:tableColumns count="10">
    <x:tableColumn id="1" name="gap_id"/>
    <x:tableColumn id="2" name="member"/>
    <x:tableColumn id="3" name="target"/>
    <x:tableColumn id="4" name="source_id"/>
    <x:tableColumn id="5" name="published_scope"/>
    <x:tableColumn id="6" name="acquisition_status"/>
    <x:tableColumn id="7" name="governed_now"/>
    <x:tableColumn id="8" name="remaining_boundary"/>
    <x:tableColumn id="9" name="blocks_game_phase"/>
    <x:tableColumn id="10" name="next_action"/>
  </x:tableColumns>
  <x:tableStyleInfo name="TableStyleMedium2" showFirstColumn="0" showLastColumn="0" showRowStripes="1" showColumnStripes="0"/>
</x:table>
</file>

<file path=xl/tables/table71.xml><?xml version="1.0" encoding="utf-8"?>
<x:table xmlns:x="http://schemas.openxmlformats.org/spreadsheetml/2006/main" id="87" name="GameCompletionAuditTable" displayName="GameCompletionAuditTable" ref="A1:G7" headerRowCount="1" totalsRowCount="0" totalsRowShown="0">
  <x:tableColumns count="7">
    <x:tableColumn id="1" name="criterion"/>
    <x:tableColumn id="2" name="status"/>
    <x:tableColumn id="3" name="evidence_refs"/>
    <x:tableColumn id="4" name="what_is_complete"/>
    <x:tableColumn id="5" name="residual_gap"/>
    <x:tableColumn id="6" name="blocks_current_phase"/>
    <x:tableColumn id="7" name="recommended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178b848997f4ce0" /></Relationships>
</file>

<file path=xl/worksheets/_rels/sheet3.xml.rels>&#65279;<?xml version="1.0" encoding="utf-8"?><Relationships xmlns="http://schemas.openxmlformats.org/package/2006/relationships"><Relationship Type="http://schemas.openxmlformats.org/officeDocument/2006/relationships/table" Target="/xl/tables/table2.xml" Id="R786008ef8cb6451c" /></Relationships>
</file>

<file path=xl/worksheets/_rels/sheet4.xml.rels>&#65279;<?xml version="1.0" encoding="utf-8"?><Relationships xmlns="http://schemas.openxmlformats.org/package/2006/relationships"><Relationship Type="http://schemas.openxmlformats.org/officeDocument/2006/relationships/table" Target="/xl/tables/table3.xml" Id="R1a8c3d0c2f8d4977" /></Relationships>
</file>

<file path=xl/worksheets/_rels/sheet5.xml.rels>&#65279;<?xml version="1.0" encoding="utf-8"?><Relationships xmlns="http://schemas.openxmlformats.org/package/2006/relationships"><Relationship Type="http://schemas.openxmlformats.org/officeDocument/2006/relationships/table" Target="/xl/tables/table4.xml" Id="Rf58e141d38204f2e" /></Relationships>
</file>

<file path=xl/worksheets/_rels/sheet6.xml.rels>&#65279;<?xml version="1.0" encoding="utf-8"?><Relationships xmlns="http://schemas.openxmlformats.org/package/2006/relationships"><Relationship Type="http://schemas.openxmlformats.org/officeDocument/2006/relationships/table" Target="/xl/tables/table5.xml" Id="R6367ba0dcd064cd4" /></Relationships>
</file>

<file path=xl/worksheets/_rels/sheet7.xml.rels>&#65279;<?xml version="1.0" encoding="utf-8"?><Relationships xmlns="http://schemas.openxmlformats.org/package/2006/relationships"><Relationship Type="http://schemas.openxmlformats.org/officeDocument/2006/relationships/table" Target="/xl/tables/table6.xml" Id="Ra892f954f3bd4bfd" /></Relationships>
</file>

<file path=xl/worksheets/_rels/sheet43.xml.rels>&#65279;<?xml version="1.0" encoding="utf-8"?><Relationships xmlns="http://schemas.openxmlformats.org/package/2006/relationships"><Relationship Type="http://schemas.openxmlformats.org/officeDocument/2006/relationships/table" Target="/xl/tables/table7.xml" Id="Ra8c4fe920bfb4878" /></Relationships>
</file>

<file path=xl/worksheets/_rels/sheet44.xml.rels>&#65279;<?xml version="1.0" encoding="utf-8"?><Relationships xmlns="http://schemas.openxmlformats.org/package/2006/relationships"><Relationship Type="http://schemas.openxmlformats.org/officeDocument/2006/relationships/table" Target="/xl/tables/table8.xml" Id="R5a4baa29ed854a26" /></Relationships>
</file>

<file path=xl/worksheets/_rels/sheet45.xml.rels>&#65279;<?xml version="1.0" encoding="utf-8"?><Relationships xmlns="http://schemas.openxmlformats.org/package/2006/relationships"><Relationship Type="http://schemas.openxmlformats.org/officeDocument/2006/relationships/table" Target="/xl/tables/table9.xml" Id="R2aa442458a184434" /></Relationships>
</file>

<file path=xl/worksheets/_rels/sheet46.xml.rels>&#65279;<?xml version="1.0" encoding="utf-8"?><Relationships xmlns="http://schemas.openxmlformats.org/package/2006/relationships"><Relationship Type="http://schemas.openxmlformats.org/officeDocument/2006/relationships/table" Target="/xl/tables/table10.xml" Id="R53a9383fe79e4c25" /></Relationships>
</file>

<file path=xl/worksheets/_rels/sheet47.xml.rels>&#65279;<?xml version="1.0" encoding="utf-8"?><Relationships xmlns="http://schemas.openxmlformats.org/package/2006/relationships"><Relationship Type="http://schemas.openxmlformats.org/officeDocument/2006/relationships/table" Target="/xl/tables/table11.xml" Id="R4508a5f9b13d4da5" /></Relationships>
</file>

<file path=xl/worksheets/_rels/sheet48.xml.rels>&#65279;<?xml version="1.0" encoding="utf-8"?><Relationships xmlns="http://schemas.openxmlformats.org/package/2006/relationships"><Relationship Type="http://schemas.openxmlformats.org/officeDocument/2006/relationships/table" Target="/xl/tables/table12.xml" Id="R90277c740dc246ab" /></Relationships>
</file>

<file path=xl/worksheets/_rels/sheet49.xml.rels>&#65279;<?xml version="1.0" encoding="utf-8"?><Relationships xmlns="http://schemas.openxmlformats.org/package/2006/relationships"><Relationship Type="http://schemas.openxmlformats.org/officeDocument/2006/relationships/table" Target="/xl/tables/table13.xml" Id="R09f758c711734b77" /></Relationships>
</file>

<file path=xl/worksheets/_rels/sheet50.xml.rels>&#65279;<?xml version="1.0" encoding="utf-8"?><Relationships xmlns="http://schemas.openxmlformats.org/package/2006/relationships"><Relationship Type="http://schemas.openxmlformats.org/officeDocument/2006/relationships/table" Target="/xl/tables/table14.xml" Id="Rc39c43ca50844562" /></Relationships>
</file>

<file path=xl/worksheets/_rels/sheet51.xml.rels>&#65279;<?xml version="1.0" encoding="utf-8"?><Relationships xmlns="http://schemas.openxmlformats.org/package/2006/relationships"><Relationship Type="http://schemas.openxmlformats.org/officeDocument/2006/relationships/table" Target="/xl/tables/table15.xml" Id="Rc09fd19be5594cb9" /></Relationships>
</file>

<file path=xl/worksheets/_rels/sheet52.xml.rels>&#65279;<?xml version="1.0" encoding="utf-8"?><Relationships xmlns="http://schemas.openxmlformats.org/package/2006/relationships"><Relationship Type="http://schemas.openxmlformats.org/officeDocument/2006/relationships/table" Target="/xl/tables/table16.xml" Id="R3d5d3efe0a1e4e07" /></Relationships>
</file>

<file path=xl/worksheets/_rels/sheet53.xml.rels>&#65279;<?xml version="1.0" encoding="utf-8"?><Relationships xmlns="http://schemas.openxmlformats.org/package/2006/relationships"><Relationship Type="http://schemas.openxmlformats.org/officeDocument/2006/relationships/table" Target="/xl/tables/table17.xml" Id="Ra720dc3d97b24efa" /></Relationships>
</file>

<file path=xl/worksheets/_rels/sheet54.xml.rels>&#65279;<?xml version="1.0" encoding="utf-8"?><Relationships xmlns="http://schemas.openxmlformats.org/package/2006/relationships"><Relationship Type="http://schemas.openxmlformats.org/officeDocument/2006/relationships/table" Target="/xl/tables/table18.xml" Id="Re9af4240e58d449a" /></Relationships>
</file>

<file path=xl/worksheets/_rels/sheet55.xml.rels>&#65279;<?xml version="1.0" encoding="utf-8"?><Relationships xmlns="http://schemas.openxmlformats.org/package/2006/relationships"><Relationship Type="http://schemas.openxmlformats.org/officeDocument/2006/relationships/table" Target="/xl/tables/table19.xml" Id="R588cb0045c5b4f90" /></Relationships>
</file>

<file path=xl/worksheets/_rels/sheet56.xml.rels>&#65279;<?xml version="1.0" encoding="utf-8"?><Relationships xmlns="http://schemas.openxmlformats.org/package/2006/relationships"><Relationship Type="http://schemas.openxmlformats.org/officeDocument/2006/relationships/table" Target="/xl/tables/table20.xml" Id="R844443b392214624" /></Relationships>
</file>

<file path=xl/worksheets/_rels/sheet57.xml.rels>&#65279;<?xml version="1.0" encoding="utf-8"?><Relationships xmlns="http://schemas.openxmlformats.org/package/2006/relationships"><Relationship Type="http://schemas.openxmlformats.org/officeDocument/2006/relationships/table" Target="/xl/tables/table21.xml" Id="Rc5cc88afd3ce4335" /></Relationships>
</file>

<file path=xl/worksheets/_rels/sheet58.xml.rels>&#65279;<?xml version="1.0" encoding="utf-8"?><Relationships xmlns="http://schemas.openxmlformats.org/package/2006/relationships"><Relationship Type="http://schemas.openxmlformats.org/officeDocument/2006/relationships/table" Target="/xl/tables/table22.xml" Id="R4a99487eb3b04f2e" /></Relationships>
</file>

<file path=xl/worksheets/_rels/sheet59.xml.rels>&#65279;<?xml version="1.0" encoding="utf-8"?><Relationships xmlns="http://schemas.openxmlformats.org/package/2006/relationships"><Relationship Type="http://schemas.openxmlformats.org/officeDocument/2006/relationships/table" Target="/xl/tables/table23.xml" Id="Rb0eaa3c95e894ba2" /></Relationships>
</file>

<file path=xl/worksheets/_rels/sheet60.xml.rels>&#65279;<?xml version="1.0" encoding="utf-8"?><Relationships xmlns="http://schemas.openxmlformats.org/package/2006/relationships"><Relationship Type="http://schemas.openxmlformats.org/officeDocument/2006/relationships/table" Target="/xl/tables/table24.xml" Id="R239756f3c16d4847" /></Relationships>
</file>

<file path=xl/worksheets/_rels/sheet61.xml.rels>&#65279;<?xml version="1.0" encoding="utf-8"?><Relationships xmlns="http://schemas.openxmlformats.org/package/2006/relationships"><Relationship Type="http://schemas.openxmlformats.org/officeDocument/2006/relationships/table" Target="/xl/tables/table25.xml" Id="R161ff2a89acb4fb6" /></Relationships>
</file>

<file path=xl/worksheets/_rels/sheet62.xml.rels>&#65279;<?xml version="1.0" encoding="utf-8"?><Relationships xmlns="http://schemas.openxmlformats.org/package/2006/relationships"><Relationship Type="http://schemas.openxmlformats.org/officeDocument/2006/relationships/table" Target="/xl/tables/table26.xml" Id="R41b9083e8b7c4105" /></Relationships>
</file>

<file path=xl/worksheets/_rels/sheet63.xml.rels>&#65279;<?xml version="1.0" encoding="utf-8"?><Relationships xmlns="http://schemas.openxmlformats.org/package/2006/relationships"><Relationship Type="http://schemas.openxmlformats.org/officeDocument/2006/relationships/table" Target="/xl/tables/table27.xml" Id="Rdb5f1205d89d444e" /></Relationships>
</file>

<file path=xl/worksheets/_rels/sheet64.xml.rels>&#65279;<?xml version="1.0" encoding="utf-8"?><Relationships xmlns="http://schemas.openxmlformats.org/package/2006/relationships"><Relationship Type="http://schemas.openxmlformats.org/officeDocument/2006/relationships/table" Target="/xl/tables/table28.xml" Id="R9af550ffc6c64761" /></Relationships>
</file>

<file path=xl/worksheets/_rels/sheet65.xml.rels>&#65279;<?xml version="1.0" encoding="utf-8"?><Relationships xmlns="http://schemas.openxmlformats.org/package/2006/relationships"><Relationship Type="http://schemas.openxmlformats.org/officeDocument/2006/relationships/table" Target="/xl/tables/table29.xml" Id="R0a2cc9657a9f498c" /></Relationships>
</file>

<file path=xl/worksheets/_rels/sheet66.xml.rels>&#65279;<?xml version="1.0" encoding="utf-8"?><Relationships xmlns="http://schemas.openxmlformats.org/package/2006/relationships"><Relationship Type="http://schemas.openxmlformats.org/officeDocument/2006/relationships/table" Target="/xl/tables/table30.xml" Id="R9b7a4db4599646f3" /></Relationships>
</file>

<file path=xl/worksheets/_rels/sheet67.xml.rels>&#65279;<?xml version="1.0" encoding="utf-8"?><Relationships xmlns="http://schemas.openxmlformats.org/package/2006/relationships"><Relationship Type="http://schemas.openxmlformats.org/officeDocument/2006/relationships/table" Target="/xl/tables/table31.xml" Id="Ra51c892b417e45b1" /></Relationships>
</file>

<file path=xl/worksheets/_rels/sheet68.xml.rels>&#65279;<?xml version="1.0" encoding="utf-8"?><Relationships xmlns="http://schemas.openxmlformats.org/package/2006/relationships"><Relationship Type="http://schemas.openxmlformats.org/officeDocument/2006/relationships/table" Target="/xl/tables/table32.xml" Id="Rde67f0982fe04190" /></Relationships>
</file>

<file path=xl/worksheets/_rels/sheet69.xml.rels>&#65279;<?xml version="1.0" encoding="utf-8"?><Relationships xmlns="http://schemas.openxmlformats.org/package/2006/relationships"><Relationship Type="http://schemas.openxmlformats.org/officeDocument/2006/relationships/table" Target="/xl/tables/table33.xml" Id="Rd597d97fc81d41b9" /></Relationships>
</file>

<file path=xl/worksheets/_rels/sheet70.xml.rels>&#65279;<?xml version="1.0" encoding="utf-8"?><Relationships xmlns="http://schemas.openxmlformats.org/package/2006/relationships"><Relationship Type="http://schemas.openxmlformats.org/officeDocument/2006/relationships/table" Target="/xl/tables/table34.xml" Id="R53e59635314c4556" /></Relationships>
</file>

<file path=xl/worksheets/_rels/sheet71.xml.rels>&#65279;<?xml version="1.0" encoding="utf-8"?><Relationships xmlns="http://schemas.openxmlformats.org/package/2006/relationships"><Relationship Type="http://schemas.openxmlformats.org/officeDocument/2006/relationships/table" Target="/xl/tables/table35.xml" Id="R53e5a370c4c64b01" /></Relationships>
</file>

<file path=xl/worksheets/_rels/sheet72.xml.rels>&#65279;<?xml version="1.0" encoding="utf-8"?><Relationships xmlns="http://schemas.openxmlformats.org/package/2006/relationships"><Relationship Type="http://schemas.openxmlformats.org/officeDocument/2006/relationships/table" Target="/xl/tables/table36.xml" Id="R00c402bc4cfa4a9d" /></Relationships>
</file>

<file path=xl/worksheets/_rels/sheet73.xml.rels>&#65279;<?xml version="1.0" encoding="utf-8"?><Relationships xmlns="http://schemas.openxmlformats.org/package/2006/relationships"><Relationship Type="http://schemas.openxmlformats.org/officeDocument/2006/relationships/table" Target="/xl/tables/table37.xml" Id="R405fd987aa3d4565" /></Relationships>
</file>

<file path=xl/worksheets/_rels/sheet74.xml.rels>&#65279;<?xml version="1.0" encoding="utf-8"?><Relationships xmlns="http://schemas.openxmlformats.org/package/2006/relationships"><Relationship Type="http://schemas.openxmlformats.org/officeDocument/2006/relationships/table" Target="/xl/tables/table38.xml" Id="R50d92768f1744bf3" /></Relationships>
</file>

<file path=xl/worksheets/_rels/sheet75.xml.rels>&#65279;<?xml version="1.0" encoding="utf-8"?><Relationships xmlns="http://schemas.openxmlformats.org/package/2006/relationships"><Relationship Type="http://schemas.openxmlformats.org/officeDocument/2006/relationships/table" Target="/xl/tables/table39.xml" Id="R7f5f56e10ebb488c" /></Relationships>
</file>

<file path=xl/worksheets/_rels/sheet76.xml.rels>&#65279;<?xml version="1.0" encoding="utf-8"?><Relationships xmlns="http://schemas.openxmlformats.org/package/2006/relationships"><Relationship Type="http://schemas.openxmlformats.org/officeDocument/2006/relationships/table" Target="/xl/tables/table40.xml" Id="R95cf665c90544d38" /></Relationships>
</file>

<file path=xl/worksheets/_rels/sheet77.xml.rels>&#65279;<?xml version="1.0" encoding="utf-8"?><Relationships xmlns="http://schemas.openxmlformats.org/package/2006/relationships"><Relationship Type="http://schemas.openxmlformats.org/officeDocument/2006/relationships/table" Target="/xl/tables/table41.xml" Id="Rabd4ba30dcaf431a" /></Relationships>
</file>

<file path=xl/worksheets/_rels/sheet78.xml.rels>&#65279;<?xml version="1.0" encoding="utf-8"?><Relationships xmlns="http://schemas.openxmlformats.org/package/2006/relationships"><Relationship Type="http://schemas.openxmlformats.org/officeDocument/2006/relationships/table" Target="/xl/tables/table42.xml" Id="R0b58715342894825" /></Relationships>
</file>

<file path=xl/worksheets/_rels/sheet79.xml.rels>&#65279;<?xml version="1.0" encoding="utf-8"?><Relationships xmlns="http://schemas.openxmlformats.org/package/2006/relationships"><Relationship Type="http://schemas.openxmlformats.org/officeDocument/2006/relationships/table" Target="/xl/tables/table43.xml" Id="R7c14e9e3f0f046b5" /></Relationships>
</file>

<file path=xl/worksheets/_rels/sheet80.xml.rels>&#65279;<?xml version="1.0" encoding="utf-8"?><Relationships xmlns="http://schemas.openxmlformats.org/package/2006/relationships"><Relationship Type="http://schemas.openxmlformats.org/officeDocument/2006/relationships/table" Target="/xl/tables/table44.xml" Id="Rb31c03ac4b7c4e45" /></Relationships>
</file>

<file path=xl/worksheets/_rels/sheet81.xml.rels>&#65279;<?xml version="1.0" encoding="utf-8"?><Relationships xmlns="http://schemas.openxmlformats.org/package/2006/relationships"><Relationship Type="http://schemas.openxmlformats.org/officeDocument/2006/relationships/table" Target="/xl/tables/table45.xml" Id="Rbecf6906c3344b8e" /></Relationships>
</file>

<file path=xl/worksheets/_rels/sheet82.xml.rels>&#65279;<?xml version="1.0" encoding="utf-8"?><Relationships xmlns="http://schemas.openxmlformats.org/package/2006/relationships"><Relationship Type="http://schemas.openxmlformats.org/officeDocument/2006/relationships/table" Target="/xl/tables/table46.xml" Id="R0d221cdf68cb47eb" /></Relationships>
</file>

<file path=xl/worksheets/_rels/sheet83.xml.rels>&#65279;<?xml version="1.0" encoding="utf-8"?><Relationships xmlns="http://schemas.openxmlformats.org/package/2006/relationships"><Relationship Type="http://schemas.openxmlformats.org/officeDocument/2006/relationships/table" Target="/xl/tables/table47.xml" Id="R70afe481c27844e4" /></Relationships>
</file>

<file path=xl/worksheets/_rels/sheet84.xml.rels>&#65279;<?xml version="1.0" encoding="utf-8"?><Relationships xmlns="http://schemas.openxmlformats.org/package/2006/relationships"><Relationship Type="http://schemas.openxmlformats.org/officeDocument/2006/relationships/table" Target="/xl/tables/table48.xml" Id="R7de34ed49d9449d5" /></Relationships>
</file>

<file path=xl/worksheets/_rels/sheet85.xml.rels>&#65279;<?xml version="1.0" encoding="utf-8"?><Relationships xmlns="http://schemas.openxmlformats.org/package/2006/relationships"><Relationship Type="http://schemas.openxmlformats.org/officeDocument/2006/relationships/table" Target="/xl/tables/table49.xml" Id="R087614f02d494c03" /></Relationships>
</file>

<file path=xl/worksheets/_rels/sheet86.xml.rels>&#65279;<?xml version="1.0" encoding="utf-8"?><Relationships xmlns="http://schemas.openxmlformats.org/package/2006/relationships"><Relationship Type="http://schemas.openxmlformats.org/officeDocument/2006/relationships/table" Target="/xl/tables/table50.xml" Id="R27fb1f14fc484857" /></Relationships>
</file>

<file path=xl/worksheets/_rels/sheet87.xml.rels>&#65279;<?xml version="1.0" encoding="utf-8"?><Relationships xmlns="http://schemas.openxmlformats.org/package/2006/relationships"><Relationship Type="http://schemas.openxmlformats.org/officeDocument/2006/relationships/table" Target="/xl/tables/table51.xml" Id="R1a27f82d723e4d09" /></Relationships>
</file>

<file path=xl/worksheets/_rels/sheet88.xml.rels>&#65279;<?xml version="1.0" encoding="utf-8"?><Relationships xmlns="http://schemas.openxmlformats.org/package/2006/relationships"><Relationship Type="http://schemas.openxmlformats.org/officeDocument/2006/relationships/table" Target="/xl/tables/table52.xml" Id="R4fae1009f3fb4187" /></Relationships>
</file>

<file path=xl/worksheets/_rels/sheet89.xml.rels>&#65279;<?xml version="1.0" encoding="utf-8"?><Relationships xmlns="http://schemas.openxmlformats.org/package/2006/relationships"><Relationship Type="http://schemas.openxmlformats.org/officeDocument/2006/relationships/table" Target="/xl/tables/table53.xml" Id="Re27ef18589cd4c80" /></Relationships>
</file>

<file path=xl/worksheets/_rels/sheet90.xml.rels>&#65279;<?xml version="1.0" encoding="utf-8"?><Relationships xmlns="http://schemas.openxmlformats.org/package/2006/relationships"><Relationship Type="http://schemas.openxmlformats.org/officeDocument/2006/relationships/table" Target="/xl/tables/table54.xml" Id="R72016623e3894342" /></Relationships>
</file>

<file path=xl/worksheets/_rels/sheet91.xml.rels>&#65279;<?xml version="1.0" encoding="utf-8"?><Relationships xmlns="http://schemas.openxmlformats.org/package/2006/relationships"><Relationship Type="http://schemas.openxmlformats.org/officeDocument/2006/relationships/table" Target="/xl/tables/table55.xml" Id="R5e560b10a71744c1" /></Relationships>
</file>

<file path=xl/worksheets/_rels/sheet92.xml.rels>&#65279;<?xml version="1.0" encoding="utf-8"?><Relationships xmlns="http://schemas.openxmlformats.org/package/2006/relationships"><Relationship Type="http://schemas.openxmlformats.org/officeDocument/2006/relationships/table" Target="/xl/tables/table56.xml" Id="R3a758d78e6554adb" /></Relationships>
</file>

<file path=xl/worksheets/_rels/sheet93.xml.rels>&#65279;<?xml version="1.0" encoding="utf-8"?><Relationships xmlns="http://schemas.openxmlformats.org/package/2006/relationships"><Relationship Type="http://schemas.openxmlformats.org/officeDocument/2006/relationships/table" Target="/xl/tables/table57.xml" Id="Re10a74f30d444637" /></Relationships>
</file>

<file path=xl/worksheets/_rels/sheet94.xml.rels>&#65279;<?xml version="1.0" encoding="utf-8"?><Relationships xmlns="http://schemas.openxmlformats.org/package/2006/relationships"><Relationship Type="http://schemas.openxmlformats.org/officeDocument/2006/relationships/table" Target="/xl/tables/table58.xml" Id="R7ab978e88f1846cf" /></Relationships>
</file>

<file path=xl/worksheets/_rels/sheet95.xml.rels>&#65279;<?xml version="1.0" encoding="utf-8"?><Relationships xmlns="http://schemas.openxmlformats.org/package/2006/relationships"><Relationship Type="http://schemas.openxmlformats.org/officeDocument/2006/relationships/table" Target="/xl/tables/table59.xml" Id="R8a693f4f416442d6" /></Relationships>
</file>

<file path=xl/worksheets/_rels/sheet96.xml.rels>&#65279;<?xml version="1.0" encoding="utf-8"?><Relationships xmlns="http://schemas.openxmlformats.org/package/2006/relationships"><Relationship Type="http://schemas.openxmlformats.org/officeDocument/2006/relationships/table" Target="/xl/tables/table60.xml" Id="Rbebf1246575e458d" /></Relationships>
</file>

<file path=xl/worksheets/_rels/sheet97.xml.rels>&#65279;<?xml version="1.0" encoding="utf-8"?><Relationships xmlns="http://schemas.openxmlformats.org/package/2006/relationships"><Relationship Type="http://schemas.openxmlformats.org/officeDocument/2006/relationships/table" Target="/xl/tables/table61.xml" Id="R6dea4c2d5b464d92" /></Relationships>
</file>

<file path=xl/worksheets/_rels/sheet98.xml.rels>&#65279;<?xml version="1.0" encoding="utf-8"?><Relationships xmlns="http://schemas.openxmlformats.org/package/2006/relationships"><Relationship Type="http://schemas.openxmlformats.org/officeDocument/2006/relationships/table" Target="/xl/tables/table62.xml" Id="R91b15d199fd049b9" /></Relationships>
</file>

<file path=xl/worksheets/_rels/sheet99.xml.rels>&#65279;<?xml version="1.0" encoding="utf-8"?><Relationships xmlns="http://schemas.openxmlformats.org/package/2006/relationships"><Relationship Type="http://schemas.openxmlformats.org/officeDocument/2006/relationships/table" Target="/xl/tables/table63.xml" Id="R5183fd13fe584a04" /></Relationships>
</file>

<file path=xl/worksheets/_rels/sheet100.xml.rels>&#65279;<?xml version="1.0" encoding="utf-8"?><Relationships xmlns="http://schemas.openxmlformats.org/package/2006/relationships"><Relationship Type="http://schemas.openxmlformats.org/officeDocument/2006/relationships/table" Target="/xl/tables/table64.xml" Id="Rec6364296bfe491a" /></Relationships>
</file>

<file path=xl/worksheets/_rels/sheet101.xml.rels>&#65279;<?xml version="1.0" encoding="utf-8"?><Relationships xmlns="http://schemas.openxmlformats.org/package/2006/relationships"><Relationship Type="http://schemas.openxmlformats.org/officeDocument/2006/relationships/table" Target="/xl/tables/table65.xml" Id="Rcb2e1c6864df4e6a" /></Relationships>
</file>

<file path=xl/worksheets/_rels/sheet102.xml.rels>&#65279;<?xml version="1.0" encoding="utf-8"?><Relationships xmlns="http://schemas.openxmlformats.org/package/2006/relationships"><Relationship Type="http://schemas.openxmlformats.org/officeDocument/2006/relationships/table" Target="/xl/tables/table66.xml" Id="R536fb5dfa96b459d" /></Relationships>
</file>

<file path=xl/worksheets/_rels/sheet103.xml.rels>&#65279;<?xml version="1.0" encoding="utf-8"?><Relationships xmlns="http://schemas.openxmlformats.org/package/2006/relationships"><Relationship Type="http://schemas.openxmlformats.org/officeDocument/2006/relationships/table" Target="/xl/tables/table67.xml" Id="R51cb1593d4ef4fe8" /></Relationships>
</file>

<file path=xl/worksheets/_rels/sheet104.xml.rels>&#65279;<?xml version="1.0" encoding="utf-8"?><Relationships xmlns="http://schemas.openxmlformats.org/package/2006/relationships"><Relationship Type="http://schemas.openxmlformats.org/officeDocument/2006/relationships/table" Target="/xl/tables/table68.xml" Id="R8c87bf53922346b2" /></Relationships>
</file>

<file path=xl/worksheets/_rels/sheet105.xml.rels>&#65279;<?xml version="1.0" encoding="utf-8"?><Relationships xmlns="http://schemas.openxmlformats.org/package/2006/relationships"><Relationship Type="http://schemas.openxmlformats.org/officeDocument/2006/relationships/table" Target="/xl/tables/table69.xml" Id="R857af0baacc840e3" /></Relationships>
</file>

<file path=xl/worksheets/_rels/sheet106.xml.rels>&#65279;<?xml version="1.0" encoding="utf-8"?><Relationships xmlns="http://schemas.openxmlformats.org/package/2006/relationships"><Relationship Type="http://schemas.openxmlformats.org/officeDocument/2006/relationships/table" Target="/xl/tables/table70.xml" Id="R905095848fb34ca8" /></Relationships>
</file>

<file path=xl/worksheets/_rels/sheet107.xml.rels>&#65279;<?xml version="1.0" encoding="utf-8"?><Relationships xmlns="http://schemas.openxmlformats.org/package/2006/relationships"><Relationship Type="http://schemas.openxmlformats.org/officeDocument/2006/relationships/table" Target="/xl/tables/table71.xml" Id="R7206efeeb8b04940" /></Relationships>
</file>

<file path=xl/worksheets/sheet1.xml><?xml version="1.0" encoding="utf-8"?>
<x:worksheet xmlns:x="http://schemas.openxmlformats.org/spreadsheetml/2006/main">
  <x:sheetFormatPr defaultRowHeight="15"/>
  <x:cols>
    <x:col min="1" max="1" width="24" hidden="0" customWidth="1"/>
    <x:col min="2" max="2" width="12" hidden="0" customWidth="1"/>
    <x:col min="3" max="3" width="55" hidden="0" customWidth="1"/>
    <x:col min="4" max="4" width="55" hidden="0" customWidth="1"/>
    <x:col min="5" max="5" width="14" hidden="0" customWidth="1"/>
    <x:col min="6" max="6" width="14" hidden="0" customWidth="1"/>
    <x:col min="7" max="7" width="14" hidden="0" customWidth="1"/>
    <x:col min="8" max="8" width="14" hidden="0" customWidth="1"/>
  </x:cols>
  <x:sheetData>
    <x:row r="1">
      <x:c r="A1" s="4" t="str">
        <x:v>CulinAI Protein Compound Legacy Migration Staging</x:v>
      </x:c>
      <x:c r="B1" s="4"/>
      <x:c r="C1" s="4"/>
      <x:c r="D1" s="4"/>
      <x:c r="E1" s="4"/>
      <x:c r="F1" s="4"/>
      <x:c r="G1" s="4"/>
      <x:c r="H1" s="4"/>
    </x:row>
    <x:row r="3">
      <x:c r="A3" s="10" t="str">
        <x:v>Purpose: preserve legacy compound and pairing assets as research leads and regression tests without promoting them into verified scientific evidence.</x:v>
      </x:c>
      <x:c r="B3" s="10"/>
      <x:c r="C3" s="10"/>
      <x:c r="D3" s="10"/>
      <x:c r="E3" s="10"/>
      <x:c r="F3" s="10"/>
      <x:c r="G3" s="10"/>
      <x:c r="H3" s="10"/>
    </x:row>
    <x:row r="5">
      <x:c r="A5" s="22" t="str">
        <x:v>Dataset class</x:v>
      </x:c>
      <x:c r="B5" s="22" t="str">
        <x:v>Rows</x:v>
      </x:c>
      <x:c r="C5" s="22" t="str">
        <x:v>Permitted use</x:v>
      </x:c>
      <x:c r="D5" s="22" t="str">
        <x:v>Not permitted</x:v>
      </x:c>
    </x:row>
    <x:row r="6">
      <x:c r="A6" s="23" t="str">
        <x:v>Legacy Compounds</x:v>
      </x:c>
      <x:c r="B6" s="23" t="n">
        <x:v>85</x:v>
      </x:c>
      <x:c r="C6" s="23" t="str">
        <x:v>Seed literature searches; normalize names/CAS/groups; identify member/state targets</x:v>
      </x:c>
      <x:c r="D6" s="23" t="str">
        <x:v>Do not label measured/literature or promote to family/member compound records without source verification</x:v>
      </x:c>
    </x:row>
    <x:row r="7">
      <x:c r="A7" s="23" t="str">
        <x:v>Pairing Regression</x:v>
      </x:c>
      <x:c r="B7" s="23" t="n">
        <x:v>692</x:v>
      </x:c>
      <x:c r="C7" s="23" t="str">
        <x:v>Behavioral regression set for rebuilt compound lens</x:v>
      </x:c>
      <x:c r="D7" s="23" t="str">
        <x:v>Do not use shared-compound percentages as scientific evidence</x:v>
      </x:c>
    </x:row>
    <x:row r="8">
      <x:c r="A8" s="23" t="str">
        <x:v>Pairing Compound Leads</x:v>
      </x:c>
      <x:c r="B8" s="23" t="n">
        <x:v>59</x:v>
      </x:c>
      <x:c r="C8" s="23" t="str">
        <x:v>Research leads for specific pairing explanations and member-level compound hints</x:v>
      </x:c>
      <x:c r="D8" s="23" t="str">
        <x:v>Do not treat pairing examples as proof a compound belongs to a canonical protein profile</x:v>
      </x:c>
    </x:row>
    <x:row r="9">
      <x:c r="A9" s="23" t="str">
        <x:v>Research Queue</x:v>
      </x:c>
      <x:c r="B9" s="23" t="n">
        <x:v>48</x:v>
      </x:c>
      <x:c r="C9" s="23" t="str">
        <x:v>State-level work queue derived from the Protein Compound Data Template</x:v>
      </x:c>
      <x:c r="D9" s="23" t="str">
        <x:v>Do not infer missing preparation chemistry from legacy generic sheets</x:v>
      </x:c>
    </x:row>
    <x:row r="11">
      <x:c r="A11" s="28" t="str">
        <x:v>Critical scope decision</x:v>
      </x:c>
      <x:c r="B11" s="28"/>
      <x:c r="C11" s="28"/>
      <x:c r="D11" s="28"/>
      <x:c r="E11" s="28"/>
      <x:c r="F11" s="28"/>
      <x:c r="G11" s="28"/>
      <x:c r="H11" s="28"/>
    </x:row>
    <x:row r="12">
      <x:c r="A12" s="10" t="str">
        <x:v>The files labeled Venison/Vension are interpreted as GENERAL GAME MEAT for migration purposes, per project direction. Their original file labels are preserved in source_workbook/source_scope_raw. No compound from those files is automatically assigned to venison, rabbit, or every member of family:game.</x:v>
      </x:c>
      <x:c r="B12" s="10"/>
      <x:c r="C12" s="10"/>
      <x:c r="D12" s="10"/>
      <x:c r="E12" s="10"/>
      <x:c r="F12" s="10"/>
      <x:c r="G12" s="10"/>
      <x:c r="H12" s="10"/>
    </x:row>
    <x:row r="13">
      <x:c r="A13" s="10"/>
      <x:c r="B13" s="10"/>
      <x:c r="C13" s="10"/>
      <x:c r="D13" s="10"/>
      <x:c r="E13" s="10"/>
      <x:c r="F13" s="10"/>
      <x:c r="G13" s="10"/>
      <x:c r="H13" s="10"/>
    </x:row>
    <x:row r="15">
      <x:c r="A15" s="28" t="str">
        <x:v>Promotion rule</x:v>
      </x:c>
      <x:c r="B15" s="28"/>
      <x:c r="C15" s="28"/>
      <x:c r="D15" s="28"/>
      <x:c r="E15" s="28"/>
      <x:c r="F15" s="28"/>
      <x:c r="G15" s="28"/>
      <x:c r="H15" s="28"/>
    </x:row>
    <x:row r="16">
      <x:c r="A16" s="23" t="str">
        <x:v>A legacy row can become canonical only after: (1) compound identity is normalized, preferably by CAS; (2) the target protein/member is verified; (3) preparation/cut context is established where relevant; (4) a citable source supports the claim; and (5) the row is deliberately routed to family base or member/product-specific storage.</x:v>
      </x:c>
      <x:c r="B16" s="23"/>
      <x:c r="C16" s="23"/>
      <x:c r="D16" s="23"/>
      <x:c r="E16" s="23"/>
      <x:c r="F16" s="23"/>
      <x:c r="G16" s="23"/>
      <x:c r="H16" s="23"/>
    </x:row>
    <x:row r="17">
      <x:c r="A17" s="23"/>
      <x:c r="B17" s="23"/>
      <x:c r="C17" s="23"/>
      <x:c r="D17" s="23"/>
      <x:c r="E17" s="23"/>
      <x:c r="F17" s="23"/>
      <x:c r="G17" s="23"/>
      <x:c r="H17" s="23"/>
    </x:row>
    <x:row r="18">
      <x:c r="A18" s="44" t="str">
        <x:v>Duck pilot added in v3</x:v>
      </x:c>
      <x:c r="B18" s="44"/>
      <x:c r="C18" s="44"/>
      <x:c r="D18" s="44"/>
      <x:c r="E18" s="23"/>
      <x:c r="F18" s="23"/>
      <x:c r="G18" s="23"/>
      <x:c r="H18" s="23"/>
    </x:row>
    <x:row r="19" ht="39.599998474121094" hidden="0" customHeight="1">
      <x:c r="A19" s="23" t="str">
        <x:v>Direct measured states</x:v>
      </x:c>
      <x:c r="B19" s="23" t="str">
        <x:v>raw / cooked / roasted / smoked</x:v>
      </x:c>
      <x:c r="C19" s="23"/>
      <x:c r="D19" s="23"/>
    </x:row>
    <x:row r="20" ht="39.599998474121094" hidden="0" customHeight="1">
      <x:c r="A20" s="23" t="str">
        <x:v>Founder equivalence</x:v>
      </x:c>
      <x:c r="B20" s="23" t="str">
        <x:v>seared → roasted; confit → cooked</x:v>
      </x:c>
      <x:c r="C20" s="23"/>
      <x:c r="D20" s="23"/>
    </x:row>
    <x:row r="21" ht="79.19999694824219" hidden="0" customHeight="1">
      <x:c r="A21" s="23" t="str">
        <x:v>Rule</x:v>
      </x:c>
      <x:c r="B21" s="23" t="str">
        <x:v>Inherited rows remain source-linked and are never relabeled as measured.</x:v>
      </x:c>
      <x:c r="C21" s="23"/>
      <x:c r="D21" s="23"/>
    </x:row>
    <x:row r="22" ht="118.80000305175781" hidden="0" customHeight="1">
      <x:c r="A22" s="23" t="str">
        <x:v>Provenance gate</x:v>
      </x:c>
      <x:c r="B22" s="23" t="str">
        <x:v>Only primary peer-reviewed evidence and institutional compound identity sources enter the verified duck layer.</x:v>
      </x:c>
      <x:c r="C22" s="23"/>
      <x:c r="D22" s="23"/>
    </x:row>
    <x:row r="23" ht="92.4000015258789" hidden="0" customHeight="1">
      <x:c r="A23" s="23" t="str">
        <x:v>Next expansion</x:v>
      </x:c>
      <x:c r="B23" s="23" t="str">
        <x:v>Resolve chicken states using the same source/equivalence architecture, then beef.</x:v>
      </x:c>
      <x:c r="C23" s="23"/>
      <x:c r="D23" s="23"/>
    </x:row>
    <x:row r="25" ht="15" hidden="0" customHeight="1">
      <x:c r="A25" s="52" t="str">
        <x:v>Chicken pilot added in v4</x:v>
      </x:c>
      <x:c r="B25" s="52"/>
      <x:c r="C25" s="52"/>
      <x:c r="D25" s="52"/>
    </x:row>
    <x:row r="26" ht="66" hidden="0" customHeight="1">
      <x:c r="A26" s="23" t="str">
        <x:v>Direct resolved states</x:v>
      </x:c>
      <x:c r="B26" s="23" t="str">
        <x:v>raw / poached (thin markers) / roasted / stewed; air-fried partial</x:v>
      </x:c>
      <x:c r="C26" s="23"/>
      <x:c r="D26" s="23"/>
    </x:row>
    <x:row r="27" ht="26.399999618530273" hidden="0" customHeight="1">
      <x:c r="A27" s="23" t="str">
        <x:v>Direct sources pending compound extraction</x:v>
      </x:c>
      <x:c r="B27" s="23" t="str">
        <x:v>fried / grilled</x:v>
      </x:c>
      <x:c r="C27" s="23"/>
      <x:c r="D27" s="23"/>
    </x:row>
    <x:row r="28" ht="105.5999984741211" hidden="0" customHeight="1">
      <x:c r="A28" s="23" t="str">
        <x:v>No invented equivalence</x:v>
      </x:c>
      <x:c r="B28" s="23" t="str">
        <x:v>fried and grilled remain incomplete rather than mirrored without explicit approval.</x:v>
      </x:c>
      <x:c r="C28" s="23"/>
      <x:c r="D28" s="23"/>
    </x:row>
    <x:row r="29" ht="52.79999923706055" hidden="0" customHeight="1">
      <x:c r="A29" s="23" t="str">
        <x:v>First poultry cross-member candidates</x:v>
      </x:c>
      <x:c r="B29" s="23" t="str">
        <x:v>raw: hexanal, heptanal, octanal, nonanal</x:v>
      </x:c>
      <x:c r="C29" s="23"/>
      <x:c r="D29" s="23"/>
    </x:row>
    <x:row r="30" ht="66" hidden="0" customHeight="1">
      <x:c r="A30" s="23" t="str">
        <x:v>High-heat cross-member candidates</x:v>
      </x:c>
      <x:c r="B30" s="23" t="str">
        <x:v>roasted: hexanal, 1-octen-3-ol, (E,E)-2,4-decadienal</x:v>
      </x:c>
      <x:c r="C30" s="23"/>
      <x:c r="D30" s="23"/>
    </x:row>
    <x:row r="31" ht="132" hidden="0" customHeight="1">
      <x:c r="A31" s="23" t="str">
        <x:v>Family rule</x:v>
      </x:c>
      <x:c r="B31" s="23" t="str">
        <x:v>No candidate is promoted to family:poultry until turkey + another poultry/game-bird member confirm comparable-state presence.</x:v>
      </x:c>
      <x:c r="C31" s="23"/>
      <x:c r="D31" s="23"/>
    </x:row>
    <x:row r="32" ht="105.5999984741211" hidden="0" customHeight="1">
      <x:c r="A32" s="23" t="str">
        <x:v>Provenance gate</x:v>
      </x:c>
      <x:c r="B32" s="23" t="str">
        <x:v>Primary peer-reviewed analytical evidence + institutional chemical identity registries only.</x:v>
      </x:c>
      <x:c r="C32" s="23"/>
      <x:c r="D32" s="23"/>
    </x:row>
    <x:row r="34" ht="15" hidden="0" customHeight="1">
      <x:c r="A34" s="58" t="str">
        <x:v>Turkey pilot added in v5</x:v>
      </x:c>
      <x:c r="B34" s="58"/>
      <x:c r="C34" s="58"/>
      <x:c r="D34" s="58"/>
    </x:row>
    <x:row r="35" ht="15" hidden="0" customHeight="1">
      <x:c r="A35" s="23" t="str">
        <x:v>Direct resolved states</x:v>
      </x:c>
      <x:c r="B35" s="23" t="str">
        <x:v>raw / cooked</x:v>
      </x:c>
      <x:c r="C35" s="23"/>
      <x:c r="D35" s="23"/>
    </x:row>
    <x:row r="36" ht="26.399999618530273" hidden="0" customHeight="1">
      <x:c r="A36" s="23" t="str">
        <x:v>Priority states still unresolved</x:v>
      </x:c>
      <x:c r="B36" s="23" t="str">
        <x:v>roasted / smoked</x:v>
      </x:c>
      <x:c r="C36" s="23"/>
      <x:c r="D36" s="23"/>
    </x:row>
    <x:row r="37" ht="92.4000015258789" hidden="0" customHeight="1">
      <x:c r="A37" s="23" t="str">
        <x:v>Raw three-species pattern</x:v>
      </x:c>
      <x:c r="B37" s="23" t="str">
        <x:v>hexanal / heptanal / octanal / nonanal now recur in duck + chicken + turkey</x:v>
      </x:c>
      <x:c r="C37" s="23"/>
      <x:c r="D37" s="23"/>
    </x:row>
    <x:row r="38" ht="118.80000305175781" hidden="0" customHeight="1">
      <x:c r="A38" s="23" t="str">
        <x:v>Founder verification</x:v>
      </x:c>
      <x:c r="B38" s="23" t="str">
        <x:v>All cross-species patterns and proposed inheritance rules are held in Founder Verification Queue.</x:v>
      </x:c>
      <x:c r="C38" s="23"/>
      <x:c r="D38" s="23"/>
    </x:row>
    <x:row r="39" ht="118.80000305175781" hidden="0" customHeight="1">
      <x:c r="A39" s="23" t="str">
        <x:v>Legacy turkey claims</x:v>
      </x:c>
      <x:c r="B39" s="23" t="str">
        <x:v>ethylbenzene and 3-methylbenzaldehyde remain quarantined; not verified by this primary-source pass</x:v>
      </x:c>
      <x:c r="C39" s="23"/>
      <x:c r="D39" s="23"/>
    </x:row>
    <x:row r="40" ht="132" hidden="0" customHeight="1">
      <x:c r="A40" s="23" t="str">
        <x:v>Turkey characteristic opportunity</x:v>
      </x:c>
      <x:c r="B40" s="23" t="str">
        <x:v>strong oxidation-sensitive unsaturated-carbonyl signature in cooked breast; validate interpretation before use</x:v>
      </x:c>
      <x:c r="C40" s="23"/>
      <x:c r="D40" s="23"/>
    </x:row>
    <x:row r="41" ht="118.80000305175781" hidden="0" customHeight="1">
      <x:c r="A41" s="23" t="str">
        <x:v>Architecture opportunity</x:v>
      </x:c>
      <x:c r="B41" s="23" t="str">
        <x:v>raw species core + technique transformation overlay may be cleaner than duplicating full profiles by form</x:v>
      </x:c>
      <x:c r="C41" s="23"/>
      <x:c r="D41" s="23"/>
    </x:row>
    <x:row r="42" ht="158.39999389648438" hidden="0" customHeight="1">
      <x:c r="A42" s="23" t="str">
        <x:v>No silent promotion</x:v>
      </x:c>
      <x:c r="B42" s="23" t="str">
        <x:v>Pattern hypotheses do not become family compounds, equivalence rules, or chef-facing claims without explicit founder approval.</x:v>
      </x:c>
      <x:c r="C42" s="23"/>
      <x:c r="D42" s="23"/>
    </x:row>
    <x:row r="43" ht="118.80000305175781" hidden="0" customHeight="1">
      <x:c r="A43" s="23" t="str">
        <x:v>Next logical validation</x:v>
      </x:c>
      <x:c r="B43" s="23" t="str">
        <x:v>goose raw/roasted to test whether the emerging poultry core survives another fatty waterfowl member</x:v>
      </x:c>
      <x:c r="C43" s="23"/>
      <x:c r="D43" s="23"/>
    </x:row>
    <x:row r="45" ht="15" hidden="0" customHeight="1">
      <x:c r="A45" s="64" t="str">
        <x:v>Goose + avian pattern pass added in v6</x:v>
      </x:c>
      <x:c r="B45" s="64"/>
      <x:c r="C45" s="64"/>
      <x:c r="D45" s="64"/>
    </x:row>
    <x:row r="46" ht="39.599998474121094" hidden="0" customHeight="1">
      <x:c r="A46" s="23" t="str">
        <x:v>Goose direct states</x:v>
      </x:c>
      <x:c r="B46" s="23" t="str">
        <x:v>raw (thin) / cooked / roasted</x:v>
      </x:c>
      <x:c r="C46" s="23"/>
      <x:c r="D46" s="23"/>
    </x:row>
    <x:row r="47" ht="39.599998474121094" hidden="0" customHeight="1">
      <x:c r="A47" s="23" t="str">
        <x:v>Goose confit</x:v>
      </x:c>
      <x:c r="B47" s="23" t="str">
        <x:v>not inherited; founder-review candidate only</x:v>
      </x:c>
      <x:c r="C47" s="23"/>
      <x:c r="D47" s="23"/>
    </x:row>
    <x:row r="48" ht="118.80000305175781" hidden="0" customHeight="1">
      <x:c r="A48" s="23" t="str">
        <x:v>Waterfowl pattern</x:v>
      </x:c>
      <x:c r="B48" s="23" t="str">
        <x:v>duck/mallard/goose share broad roast chemistry; goose differs strongly by concentration and some member deltas</x:v>
      </x:c>
      <x:c r="C48" s="23"/>
      <x:c r="D48" s="23"/>
    </x:row>
    <x:row r="49" ht="105.5999984741211" hidden="0" customHeight="1">
      <x:c r="A49" s="23" t="str">
        <x:v>Landfowl pattern</x:v>
      </x:c>
      <x:c r="B49" s="23" t="str">
        <x:v>pheasant/partridge/quail/chicken share 38 roasted volatiles; no single species character-impact compound</x:v>
      </x:c>
      <x:c r="C49" s="23"/>
      <x:c r="D49" s="23"/>
    </x:row>
    <x:row r="50" ht="118.80000305175781" hidden="0" customHeight="1">
      <x:c r="A50" s="23" t="str">
        <x:v>Pigeon/squab pattern</x:v>
      </x:c>
      <x:c r="B50" s="23" t="str">
        <x:v>native meaty/fatty compounds can be separated from process/condiment-generated roast/spice compounds</x:v>
      </x:c>
      <x:c r="C50" s="23"/>
      <x:c r="D50" s="23"/>
    </x:row>
    <x:row r="51" ht="79.19999694824219" hidden="0" customHeight="1">
      <x:c r="A51" s="23" t="str">
        <x:v>Architecture implication</x:v>
      </x:c>
      <x:c r="B51" s="23" t="str">
        <x:v>presence/absence alone is now clearly inadequate for bird species differentiation</x:v>
      </x:c>
      <x:c r="C51" s="23"/>
      <x:c r="D51" s="23"/>
    </x:row>
    <x:row r="52" ht="105.5999984741211" hidden="0" customHeight="1">
      <x:c r="A52" s="23" t="str">
        <x:v>Founder queue</x:v>
      </x:c>
      <x:c r="B52" s="23" t="str">
        <x:v>new FV-BIRD-001 through FV-BIRD-007 added; none are inclusion-ready until approved</x:v>
      </x:c>
      <x:c r="C52" s="23"/>
      <x:c r="D52" s="23"/>
    </x:row>
    <x:row r="53" ht="92.4000015258789" hidden="0" customHeight="1">
      <x:c r="A53" s="23" t="str">
        <x:v>Taxonomy question</x:v>
      </x:c>
      <x:c r="B53" s="23" t="str">
        <x:v>consider chemistry_parent=avian with culinary display families retained separately</x:v>
      </x:c>
      <x:c r="C53" s="23"/>
      <x:c r="D53" s="23"/>
    </x:row>
    <x:row r="54" ht="118.80000305175781" hidden="0" customHeight="1">
      <x:c r="A54" s="23" t="str">
        <x:v>Next extraction target</x:v>
      </x:c>
      <x:c r="B54" s="23" t="str">
        <x:v>recover the actual 38 shared roasted-landfowl compounds before building quail/pheasant/partridge profiles</x:v>
      </x:c>
      <x:c r="C54" s="23"/>
      <x:c r="D54" s="23"/>
    </x:row>
    <x:row r="55" ht="79.19999694824219" hidden="0" customHeight="1">
      <x:c r="A55" s="23" t="str">
        <x:v>Next species target</x:v>
      </x:c>
      <x:c r="B55" s="23" t="str">
        <x:v>squab/pigeon can be built efficiently after the shared-bird structure decision</x:v>
      </x:c>
      <x:c r="C55" s="23"/>
      <x:c r="D55" s="23"/>
    </x:row>
    <x:row r="56" ht="105.5999984741211" hidden="0" customHeight="1">
      <x:c r="A56" s="23" t="str">
        <x:v>Evidence policy</x:v>
      </x:c>
      <x:c r="B56" s="23" t="str">
        <x:v>only primary peer-reviewed comparative/analytical sources and institutional compound identities used</x:v>
      </x:c>
      <x:c r="C56" s="23"/>
      <x:c r="D56" s="23"/>
    </x:row>
    <x:row r="58" ht="15" hidden="0" customHeight="1">
      <x:c r="A58" s="70" t="str">
        <x:v>v7 — Landfowl cluster extraction + founder approvals</x:v>
      </x:c>
      <x:c r="B58" s="70"/>
      <x:c r="C58" s="70"/>
      <x:c r="D58" s="70"/>
    </x:row>
    <x:row r="59" ht="66" hidden="0" customHeight="1">
      <x:c r="A59" s="23" t="str">
        <x:v>Founder Verification Queue</x:v>
      </x:c>
      <x:c r="B59" s="23" t="str">
        <x:v>All existing and new founder-verification items are now approved.</x:v>
      </x:c>
      <x:c r="C59" s="23"/>
      <x:c r="D59" s="23"/>
    </x:row>
    <x:row r="60" ht="118.80000305175781" hidden="0" customHeight="1">
      <x:c r="A60" s="23" t="str">
        <x:v>Important approval semantics</x:v>
      </x:c>
      <x:c r="B60" s="23" t="str">
        <x:v>An approved HOLD/quarantine remains a hold. Approval does not convert unsupported claims into evidence.</x:v>
      </x:c>
      <x:c r="C60" s="23"/>
      <x:c r="D60" s="23"/>
    </x:row>
    <x:row r="61" ht="132" hidden="0" customHeight="1">
      <x:c r="A61" s="23" t="str">
        <x:v>Roasted landfowl base</x:v>
      </x:c>
      <x:c r="B61" s="23" t="str">
        <x:v>38 compounds directly extracted from dissertation Table 17 as present in chicken + pheasant + partridge + quail.</x:v>
      </x:c>
      <x:c r="C61" s="23"/>
      <x:c r="D61" s="23"/>
    </x:row>
    <x:row r="62" ht="132" hidden="0" customHeight="1">
      <x:c r="A62" s="23" t="str">
        <x:v>Source discrepancy</x:v>
      </x:c>
      <x:c r="B62" s="23" t="str">
        <x:v>Dissertation prose says 37 shared; Table 17 contains 38 all-four rows; 2013 journal article reports 38. Table + publication count govern.</x:v>
      </x:c>
      <x:c r="C62" s="23"/>
      <x:c r="D62" s="23"/>
    </x:row>
    <x:row r="63" ht="79.19999694824219" hidden="0" customHeight="1">
      <x:c r="A63" s="23" t="str">
        <x:v>Species-unique deltas</x:v>
      </x:c>
      <x:c r="B63" s="23" t="str">
        <x:v>Chicken 2 / pheasant 13 / partridge 6 / quail 2 directly extracted from Table 17.</x:v>
      </x:c>
      <x:c r="C63" s="23"/>
      <x:c r="D63" s="23"/>
    </x:row>
    <x:row r="64" ht="118.80000305175781" hidden="0" customHeight="1">
      <x:c r="A64" s="23" t="str">
        <x:v>Quantitative layer</x:v>
      </x:c>
      <x:c r="B64" s="23" t="str">
        <x:v>30 Table-18 compounds entered with means, SDs, significance markers and formula-driven species/chicken ratios.</x:v>
      </x:c>
      <x:c r="C64" s="23"/>
      <x:c r="D64" s="23"/>
    </x:row>
    <x:row r="65" ht="158.39999389648438" hidden="0" customHeight="1">
      <x:c r="A65" s="23" t="str">
        <x:v>Core pattern</x:v>
      </x:c>
      <x:c r="B65" s="23" t="str">
        <x:v>Species distinction is primarily shared chemistry with different abundance/importance weighting, not unique signature molecules.</x:v>
      </x:c>
      <x:c r="C65" s="23"/>
      <x:c r="D65" s="23"/>
    </x:row>
    <x:row r="66" ht="92.4000015258789" hidden="0" customHeight="1">
      <x:c r="A66" s="23" t="str">
        <x:v>Pheasant pattern</x:v>
      </x:c>
      <x:c r="B66" s="23" t="str">
        <x:v>Strong abundance-heavy delta, but large SDs make fixed multipliers inappropriate.</x:v>
      </x:c>
      <x:c r="C66" s="23"/>
      <x:c r="D66" s="23"/>
    </x:row>
    <x:row r="67" ht="79.19999694824219" hidden="0" customHeight="1">
      <x:c r="A67" s="23" t="str">
        <x:v>Taxonomy decision</x:v>
      </x:c>
      <x:c r="B67" s="23" t="str">
        <x:v>chemistry_parent=avian approved; culinary display families remain separate.</x:v>
      </x:c>
      <x:c r="C67" s="23"/>
      <x:c r="D67" s="23"/>
    </x:row>
    <x:row r="68" ht="132" hidden="0" customHeight="1">
      <x:c r="A68" s="23" t="str">
        <x:v>Next build step</x:v>
      </x:c>
      <x:c r="B68" s="23" t="str">
        <x:v>Convert the shared-base + quantitative-delta model into quail/pheasant/partridge governed profiles, then integrate pigeon/squab.</x:v>
      </x:c>
      <x:c r="C68" s="23"/>
      <x:c r="D68" s="23"/>
    </x:row>
    <x:row r="69" ht="132" hidden="0" customHeight="1">
      <x:c r="A69" s="23" t="str">
        <x:v>Evidence gate</x:v>
      </x:c>
      <x:c r="B69" s="23" t="str">
        <x:v>Only primary dissertation/journal evidence and institutional chemical identity registries are used in this extraction.</x:v>
      </x:c>
      <x:c r="C69" s="23"/>
      <x:c r="D69" s="23"/>
    </x:row>
    <x:row r="71" ht="15" hidden="0" customHeight="1">
      <x:c r="A71" s="79" t="str">
        <x:v>v8 — Governed landfowl profiles + quantitative correction</x:v>
      </x:c>
      <x:c r="B71" s="79"/>
      <x:c r="C71" s="79"/>
      <x:c r="D71" s="79"/>
    </x:row>
    <x:row r="72" ht="52.79999923706055" hidden="0" customHeight="1">
      <x:c r="A72" s="23" t="str">
        <x:v>Profiles built</x:v>
      </x:c>
      <x:c r="B72" s="23" t="str">
        <x:v>roasted pheasant / partridge / quail</x:v>
      </x:c>
      <x:c r="C72" s="23"/>
      <x:c r="D72" s="23"/>
    </x:row>
    <x:row r="73" ht="118.80000305175781" hidden="0" customHeight="1">
      <x:c r="A73" s="23" t="str">
        <x:v>Primary occurrence source</x:v>
      </x:c>
      <x:c r="B73" s="23" t="str">
        <x:v>Baruth 2010 dissertation Table 17; journal comparison used as publication-level corroboration</x:v>
      </x:c>
      <x:c r="C73" s="23"/>
      <x:c r="D73" s="23"/>
    </x:row>
    <x:row r="74" ht="145.1999969482422" hidden="0" customHeight="1">
      <x:c r="A74" s="23" t="str">
        <x:v>Table 17 coverage</x:v>
      </x:c>
      <x:c r="B74" s="23" t="str">
        <x:v>83 compounds accounted for: 81 occurrence patterns resolved + heptane and 4-octanone retained unresolved rather than guessed</x:v>
      </x:c>
      <x:c r="C74" s="23"/>
      <x:c r="D74" s="23"/>
    </x:row>
    <x:row r="75" ht="92.4000015258789" hidden="0" customHeight="1">
      <x:c r="A75" s="23" t="str">
        <x:v>Governed model</x:v>
      </x:c>
      <x:c r="B75" s="23" t="str">
        <x:v>38 shared-base compounds + partial-shared member deltas + species-unique detections</x:v>
      </x:c>
      <x:c r="C75" s="23"/>
      <x:c r="D75" s="23"/>
    </x:row>
    <x:row r="76" ht="132" hidden="0" customHeight="1">
      <x:c r="A76" s="23" t="str">
        <x:v>Quantitative correction</x:v>
      </x:c>
      <x:c r="B76" s="23" t="str">
        <x:v>v7 Table-18 row-level numbers quarantined because German decimal commas were lost in transcription</x:v>
      </x:c>
      <x:c r="C76" s="23"/>
      <x:c r="D76" s="23"/>
    </x:row>
    <x:row r="77" ht="211.1999969482422" hidden="0" customHeight="1">
      <x:c r="A77" s="23" t="str">
        <x:v>Important correction</x:v>
      </x:c>
      <x:c r="B77" s="23" t="str">
        <x:v>previous pheasant abundance-heavy inference is withdrawn; peer-reviewed article states roasted chicken had the highest total concentration in its quantitative peak comparison</x:v>
      </x:c>
      <x:c r="C77" s="23"/>
      <x:c r="D77" s="23"/>
    </x:row>
    <x:row r="78" ht="158.39999389648438" hidden="0" customHeight="1">
      <x:c r="A78" s="23" t="str">
        <x:v>Scoring rule</x:v>
      </x:c>
      <x:c r="B78" s="23" t="str">
        <x:v>presence evidence can be used now; abundance/relative-weight scoring remains disabled for these landfowl profiles until Table 18 is re-transcribed</x:v>
      </x:c>
      <x:c r="C78" s="23"/>
      <x:c r="D78" s="23"/>
    </x:row>
    <x:row r="79" ht="52.79999923706055" hidden="0" customHeight="1">
      <x:c r="A79" s="23" t="str">
        <x:v>Taxonomy</x:v>
      </x:c>
      <x:c r="B79" s="23" t="str">
        <x:v>chemistry_parent=avian; display_family=game_bird</x:v>
      </x:c>
      <x:c r="C79" s="23"/>
      <x:c r="D79" s="23"/>
    </x:row>
    <x:row r="80" ht="105.5999984741211" hidden="0" customHeight="1">
      <x:c r="A80" s="23" t="str">
        <x:v>Completeness</x:v>
      </x:c>
      <x:c r="B80" s="23" t="str">
        <x:v>see Landfowl Profile Summary for formula-driven profile coverage against source totals</x:v>
      </x:c>
      <x:c r="C80" s="23"/>
      <x:c r="D80" s="23"/>
    </x:row>
    <x:row r="81" ht="132" hidden="0" customHeight="1">
      <x:c r="A81" s="23" t="str">
        <x:v>Next extraction</x:v>
      </x:c>
      <x:c r="B81" s="23" t="str">
        <x:v>re-read primary Table 18 with decimal preservation; resolve heptane/4-octanone occurrence symbols</x:v>
      </x:c>
      <x:c r="C81" s="23"/>
      <x:c r="D81" s="23"/>
    </x:row>
    <x:row r="82" ht="118.80000305175781" hidden="0" customHeight="1">
      <x:c r="A82" s="23" t="str">
        <x:v>Next bird</x:v>
      </x:c>
      <x:c r="B82" s="23" t="str">
        <x:v>after quantitative correction, integrate pigeon/squab using the same native-core + technique-overlay model</x:v>
      </x:c>
      <x:c r="C82" s="23"/>
      <x:c r="D82" s="23"/>
    </x:row>
    <x:row r="83" ht="52.79999923706055" hidden="0" customHeight="1">
      <x:c r="A83" s="23" t="str">
        <x:v>Evidence discipline</x:v>
      </x:c>
      <x:c r="B83" s="23" t="str">
        <x:v>no missing occurrence or numeric value was guessed</x:v>
      </x:c>
      <x:c r="C83" s="23"/>
      <x:c r="D83" s="23"/>
    </x:row>
    <x:row r="85" ht="15" hidden="0" customHeight="1">
      <x:c r="A85" s="90" t="str">
        <x:v>v9 — Pigeon/squab governed profiles + quantitative conflict governance</x:v>
      </x:c>
      <x:c r="B85" s="90"/>
      <x:c r="C85" s="90"/>
      <x:c r="D85" s="90"/>
    </x:row>
    <x:row r="86" ht="118.80000305175781" hidden="0" customHeight="1">
      <x:c r="A86" s="23" t="str">
        <x:v>Pigeon/squab architecture</x:v>
      </x:c>
      <x:c r="B86" s="23" t="str">
        <x:v>chemistry_parent=avian; display_family=game_bird; native core kept separate from technique/ingredient overlays</x:v>
      </x:c>
      <x:c r="C86" s="23"/>
      <x:c r="D86" s="23"/>
    </x:row>
    <x:row r="87" ht="158.39999389648438" hidden="0" customHeight="1">
      <x:c r="A87" s="23" t="str">
        <x:v>Native squab reference</x:v>
      </x:c>
      <x:c r="B87" s="23" t="str">
        <x:v>methional / 1-octen-3-ol / hexanal / phenylacetaldehyde / 2-pentylfuran attributed mainly to raw squab by the 2026 source-analysis study</x:v>
      </x:c>
      <x:c r="C87" s="23"/>
      <x:c r="D87" s="23"/>
    </x:row>
    <x:row r="88" ht="132" hidden="0" customHeight="1">
      <x:c r="A88" s="23" t="str">
        <x:v>Evidence boundary</x:v>
      </x:c>
      <x:c r="B88" s="23" t="str">
        <x:v>native reference is precursor/source attribution from braised-squab experiments, not a direct raw-meat measurement</x:v>
      </x:c>
      <x:c r="C88" s="23"/>
      <x:c r="D88" s="23"/>
    </x:row>
    <x:row r="89" ht="158.39999389648438" hidden="0" customHeight="1">
      <x:c r="A89" s="23" t="str">
        <x:v>Braised squab</x:v>
      </x:c>
      <x:c r="B89" s="23" t="str">
        <x:v>20 shared key aroma compounds verified; 14 explicitly named in accessible primary text and governed by origin role; six remain unfilled</x:v>
      </x:c>
      <x:c r="C89" s="23"/>
      <x:c r="D89" s="23"/>
    </x:row>
    <x:row r="90" ht="145.1999969482422" hidden="0" customHeight="1">
      <x:c r="A90" s="23" t="str">
        <x:v>Roasted pigeon</x:v>
      </x:c>
      <x:c r="B90" s="23" t="str">
        <x:v>18 GC-O/OAV key aroma compounds verified; only 5-methyl-2,3-diethylpyrazine is explicitly named in the accessible primary record used here</x:v>
      </x:c>
      <x:c r="C90" s="23"/>
      <x:c r="D90" s="23"/>
    </x:row>
    <x:row r="91" ht="158.39999389648438" hidden="0" customHeight="1">
      <x:c r="A91" s="23" t="str">
        <x:v>State differentiation</x:v>
      </x:c>
      <x:c r="B91" s="23" t="str">
        <x:v>2026 Shiqi pigeon study directly distinguishes boiled / roasted / fried odor-response patterns; no compound rows inferred from e-nose data</x:v>
      </x:c>
      <x:c r="C91" s="23"/>
      <x:c r="D91" s="23"/>
    </x:row>
    <x:row r="92" ht="132" hidden="0" customHeight="1">
      <x:c r="A92" s="23" t="str">
        <x:v>Technique-overlay validation</x:v>
      </x:c>
      <x:c r="B92" s="23" t="str">
        <x:v>squab provides direct evidence that native meat chemistry and introduced/process-generated aroma should be stored separately</x:v>
      </x:c>
      <x:c r="C92" s="23"/>
      <x:c r="D92" s="23"/>
    </x:row>
    <x:row r="93" ht="132" hidden="0" customHeight="1">
      <x:c r="A93" s="23" t="str">
        <x:v>Landfowl quantitative issue</x:v>
      </x:c>
      <x:c r="B93" s="23" t="str">
        <x:v>now treated as a source-level contradiction as well as a transcription problem; row-level weighting remains disabled</x:v>
      </x:c>
      <x:c r="C93" s="23"/>
      <x:c r="D93" s="23"/>
    </x:row>
    <x:row r="94" ht="118.80000305175781" hidden="0" customHeight="1">
      <x:c r="A94" s="23" t="str">
        <x:v>Current governing landfowl quantitative statement</x:v>
      </x:c>
      <x:c r="B94" s="23" t="str">
        <x:v>2013 peer-reviewed article reports highest total concentration in roasted chicken for its quantified intense peaks</x:v>
      </x:c>
      <x:c r="C94" s="23"/>
      <x:c r="D94" s="23"/>
    </x:row>
    <x:row r="95" ht="158.39999389648438" hidden="0" customHeight="1">
      <x:c r="A95" s="23" t="str">
        <x:v>No silent completion</x:v>
      </x:c>
      <x:c r="B95" s="23" t="str">
        <x:v>missing pigeon key compounds and unresolved quantitative values remain empty rather than reconstructed from secondary sources</x:v>
      </x:c>
      <x:c r="C95" s="23"/>
      <x:c r="D95" s="23"/>
    </x:row>
    <x:row r="96" ht="171.60000610351562" hidden="0" customHeight="1">
      <x:c r="A96" s="23" t="str">
        <x:v>Next bird expansion</x:v>
      </x:c>
      <x:c r="B96" s="23" t="str">
        <x:v>use the improved direct 2024 quail volatilomics study to add a modern 19-key-compound quail layer, then revisit pigeon supplementary tables</x:v>
      </x:c>
      <x:c r="C96" s="23"/>
      <x:c r="D96" s="23"/>
    </x:row>
    <x:row r="97" ht="92.4000015258789" hidden="0" customHeight="1">
      <x:c r="A97" s="23" t="str">
        <x:v>Evidence policy</x:v>
      </x:c>
      <x:c r="B97" s="23" t="str">
        <x:v>primary peer-reviewed sources plus institutional compound identity registries only</x:v>
      </x:c>
      <x:c r="C97" s="23"/>
      <x:c r="D97" s="23"/>
    </x:row>
    <x:row r="99" ht="15" hidden="0" customHeight="1">
      <x:c r="A99" s="99" t="str">
        <x:v>v10 — Modern quail cross-validation</x:v>
      </x:c>
      <x:c r="B99" s="99"/>
      <x:c r="C99" s="99"/>
      <x:c r="D99" s="99"/>
    </x:row>
    <x:row r="100" ht="118.80000305175781" hidden="0" customHeight="1">
      <x:c r="A100" s="23" t="str">
        <x:v>New source</x:v>
      </x:c>
      <x:c r="B100" s="23" t="str">
        <x:v>2024 Food Chemistry quail lipidomics + volatilomics study (DOI 10.1016/j.foodchem.2024.140948)</x:v>
      </x:c>
      <x:c r="C100" s="23"/>
      <x:c r="D100" s="23"/>
    </x:row>
    <x:row r="101" ht="66" hidden="0" customHeight="1">
      <x:c r="A101" s="23" t="str">
        <x:v>Finished roast</x:v>
      </x:c>
      <x:c r="B101" s="23" t="str">
        <x:v>51 VOCs detected at 40 min; 19 key odorants had OAV &gt; 1</x:v>
      </x:c>
      <x:c r="C101" s="23"/>
      <x:c r="D101" s="23"/>
    </x:row>
    <x:row r="102" ht="66" hidden="0" customHeight="1">
      <x:c r="A102" s="23" t="str">
        <x:v>State progression</x:v>
      </x:c>
      <x:c r="B102" s="23" t="str">
        <x:v>31 → 40 → 40 → 46 → 51 VOCs at 0 / 10 / 20 / 30 / 40 min</x:v>
      </x:c>
      <x:c r="C102" s="23"/>
      <x:c r="D102" s="23"/>
    </x:row>
    <x:row r="103" ht="132" hidden="0" customHeight="1">
      <x:c r="A103" s="23" t="str">
        <x:v>Architecture confirmation</x:v>
      </x:c>
      <x:c r="B103" s="23" t="str">
        <x:v>preparation is a transformation over the native avian profile; volatile inventory evolves throughout roast</x:v>
      </x:c>
      <x:c r="C103" s="23"/>
      <x:c r="D103" s="23"/>
    </x:row>
    <x:row r="104" ht="145.1999969482422" hidden="0" customHeight="1">
      <x:c r="A104" s="23" t="str">
        <x:v>Scoring implication</x:v>
      </x:c>
      <x:c r="B104" s="23" t="str">
        <x:v>detected presence and sensory importance must remain separate fields; only ~37% of finished-state detections met OAV&gt;1 in this study</x:v>
      </x:c>
      <x:c r="C104" s="23"/>
      <x:c r="D104" s="23"/>
    </x:row>
    <x:row r="105" ht="132" hidden="0" customHeight="1">
      <x:c r="A105" s="23" t="str">
        <x:v>Mechanism</x:v>
      </x:c>
      <x:c r="B105" s="23" t="str">
        <x:v>unsaturated C18-containing phospholipids/neutral lipids are implicated in formation; neutral lipids also contribute to aroma retention</x:v>
      </x:c>
      <x:c r="C105" s="23"/>
      <x:c r="D105" s="23"/>
    </x:row>
    <x:row r="106" ht="145.1999969482422" hidden="0" customHeight="1">
      <x:c r="A106" s="23" t="str">
        <x:v>No invented key list</x:v>
      </x:c>
      <x:c r="B106" s="23" t="str">
        <x:v>the accessible primary text confirms 19 key odorants but does not expose the complete named set; identities remain pending</x:v>
      </x:c>
      <x:c r="C106" s="23"/>
      <x:c r="D106" s="23"/>
    </x:row>
    <x:row r="107" ht="118.80000305175781" hidden="0" customHeight="1">
      <x:c r="A107" s="23" t="str">
        <x:v>Quail raw</x:v>
      </x:c>
      <x:c r="B107" s="23" t="str">
        <x:v>0-min baseline now source-verified at aggregate level, but compound-resolved names remain pending</x:v>
      </x:c>
      <x:c r="C107" s="23"/>
      <x:c r="D107" s="23"/>
    </x:row>
    <x:row r="108" ht="79.19999694824219" hidden="0" customHeight="1">
      <x:c r="A108" s="23" t="str">
        <x:v>Quail grilled</x:v>
      </x:c>
      <x:c r="B108" s="23" t="str">
        <x:v>still unresolved; roast is not silently relabeled as grill</x:v>
      </x:c>
      <x:c r="C108" s="23"/>
      <x:c r="D108" s="23"/>
    </x:row>
    <x:row r="109" ht="171.60000610351562" hidden="0" customHeight="1">
      <x:c r="A109" s="23" t="str">
        <x:v>Next</x:v>
      </x:c>
      <x:c r="B109" s="23" t="str">
        <x:v>obtain/resolve the primary 19-key Table 1 set, then compare modern OAV-weighted quail against the older 2010 55-row governed occurrence profile</x:v>
      </x:c>
      <x:c r="C109" s="23"/>
      <x:c r="D109" s="23"/>
    </x:row>
    <x:row r="111" ht="15" hidden="0" customHeight="1">
      <x:c r="A111" s="104" t="str">
        <x:v>v11 — Pheasant/partridge evidence ceiling + avian completion audit</x:v>
      </x:c>
      <x:c r="B111" s="104"/>
      <x:c r="C111" s="104"/>
      <x:c r="D111" s="104"/>
    </x:row>
    <x:row r="112" ht="118.80000305175781" hidden="0" customHeight="1">
      <x:c r="A112" s="23" t="str">
        <x:v>Pheasant modern review</x:v>
      </x:c>
      <x:c r="B112" s="23" t="str">
        <x:v>2020 direct cooked-meat sensory evidence added; it does not provide a volatile/key-odorant hierarchy.</x:v>
      </x:c>
      <x:c r="C112" s="23"/>
      <x:c r="D112" s="23"/>
    </x:row>
    <x:row r="113" ht="145.1999969482422" hidden="0" customHeight="1">
      <x:c r="A113" s="23" t="str">
        <x:v>Partridge modern review</x:v>
      </x:c>
      <x:c r="B113" s="23" t="str">
        <x:v>No stronger modern compound-resolved sensory source located; Baruth comparative GC-MS/GC-O remains governing evidence.</x:v>
      </x:c>
      <x:c r="C113" s="23"/>
      <x:c r="D113" s="23"/>
    </x:row>
    <x:row r="114" ht="105.5999984741211" hidden="0" customHeight="1">
      <x:c r="A114" s="23" t="str">
        <x:v>Decision</x:v>
      </x:c>
      <x:c r="B114" s="23" t="str">
        <x:v>Do not fabricate modern OAV layers from weaker meat-quality or sensory studies.</x:v>
      </x:c>
      <x:c r="C114" s="23"/>
      <x:c r="D114" s="23"/>
    </x:row>
    <x:row r="115" ht="105.5999984741211" hidden="0" customHeight="1">
      <x:c r="A115" s="23" t="str">
        <x:v>Poultry core</x:v>
      </x:c>
      <x:c r="B115" s="23" t="str">
        <x:v>Chicken / duck / turkey / goose now have governed core profiles and a common technique/state architecture.</x:v>
      </x:c>
      <x:c r="C115" s="23"/>
      <x:c r="D115" s="23"/>
    </x:row>
    <x:row r="116" ht="145.1999969482422" hidden="0" customHeight="1">
      <x:c r="A116" s="23" t="str">
        <x:v>Game-bird extension</x:v>
      </x:c>
      <x:c r="B116" s="23" t="str">
        <x:v>Quail / pheasant / partridge / squab-pigeon are governed under chemistry_parent=avian with culinary display families preserved.</x:v>
      </x:c>
      <x:c r="C116" s="23"/>
      <x:c r="D116" s="23"/>
    </x:row>
    <x:row r="117" ht="52.79999923706055" hidden="0" customHeight="1">
      <x:c r="A117" s="23" t="str">
        <x:v>Phase status</x:v>
      </x:c>
      <x:c r="B117" s="23" t="str">
        <x:v>POULTRY / AVIAN CORE PHASE CAN CLOSE.</x:v>
      </x:c>
      <x:c r="C117" s="23"/>
      <x:c r="D117" s="23"/>
    </x:row>
    <x:row r="118" ht="158.39999389648438" hidden="0" customHeight="1">
      <x:c r="A118" s="23" t="str">
        <x:v>Meaning of close</x:v>
      </x:c>
      <x:c r="B118" s="23" t="str">
        <x:v>Architecture and representative MVP-grade evidence are complete; remaining gaps are targeted enrichment, not foundational blockers.</x:v>
      </x:c>
      <x:c r="C118" s="23"/>
      <x:c r="D118" s="23"/>
    </x:row>
    <x:row r="119" ht="211.1999969482422" hidden="0" customHeight="1">
      <x:c r="A119" s="23" t="str">
        <x:v>Open enrichment</x:v>
      </x:c>
      <x:c r="B119" s="23" t="str">
        <x:v>chicken fried/grilled tables; turkey roast/smoke; goose raw expansion; quail 19 named OAV key odorants; pigeon/squab incomplete named sets; landfowl Table-18 quantitative reconciliation</x:v>
      </x:c>
      <x:c r="C119" s="23"/>
      <x:c r="D119" s="23"/>
    </x:row>
    <x:row r="120" ht="105.5999984741211" hidden="0" customHeight="1">
      <x:c r="A120" s="23" t="str">
        <x:v>Next strategic move</x:v>
      </x:c>
      <x:c r="B120" s="23" t="str">
        <x:v>Move primary research effort to the next protein family rather than spending another full cycle on birds.</x:v>
      </x:c>
      <x:c r="C120" s="23"/>
      <x:c r="D120" s="23"/>
    </x:row>
    <x:row r="121" ht="158.39999389648438" hidden="0" customHeight="1">
      <x:c r="A121" s="23" t="str">
        <x:v>Evidence rule</x:v>
      </x:c>
      <x:c r="B121" s="23" t="str">
        <x:v>New bird studies can be appended opportunistically without reopening the avian architecture unless they contradict the governing model.</x:v>
      </x:c>
      <x:c r="C121" s="23"/>
      <x:c r="D121" s="23"/>
    </x:row>
    <x:row r="122" ht="39.599998474121094" hidden="0" customHeight="1">
      <x:c r="A122" s="23" t="str">
        <x:v>Completion audit</x:v>
      </x:c>
      <x:c r="B122" s="23" t="str">
        <x:v>See Avian Completion Audit.</x:v>
      </x:c>
      <x:c r="C122" s="23"/>
      <x:c r="D122" s="23"/>
    </x:row>
    <x:row r="123" ht="79.19999694824219" hidden="0" customHeight="1">
      <x:c r="A123" s="23" t="str">
        <x:v>Provenance</x:v>
      </x:c>
      <x:c r="B123" s="23" t="str">
        <x:v>Only verifiable primary literature is used for the new evidence statements.</x:v>
      </x:c>
      <x:c r="C123" s="23"/>
      <x:c r="D123" s="23"/>
    </x:row>
    <x:row r="127">
      <x:c r="A127" s="125" t="str">
        <x:v>v12 — Beef legacy reconciliation + governed raw baseline</x:v>
      </x:c>
      <x:c r="B127" s="125"/>
      <x:c r="C127" s="125"/>
      <x:c r="D127" s="125"/>
      <x:c r="E127" s="125"/>
      <x:c r="F127" s="125"/>
      <x:c r="G127" s="125"/>
      <x:c r="H127" s="125"/>
    </x:row>
    <x:row r="128">
      <x:c r="A128" s="23" t="str">
        <x:v>Legacy reconciliation</x:v>
      </x:c>
      <x:c r="B128" s="23" t="str">
        <x:v>All 16 legacy Beef compounds and 8 pairing-output examples were identity-audited; raw legacy fields remain preserved.</x:v>
      </x:c>
      <x:c r="C128" s="23"/>
      <x:c r="D128" s="23"/>
      <x:c r="E128" s="23"/>
      <x:c r="F128" s="23"/>
      <x:c r="G128" s="23"/>
      <x:c r="H128" s="23"/>
    </x:row>
    <x:row r="129">
      <x:c r="A129" s="23" t="str">
        <x:v>Raw baseline</x:v>
      </x:c>
      <x:c r="B129" s="23" t="str">
        <x:v>Qinchuan hind-leg roast time-course contributes 10 raw OAV&gt;1 odorants; A1/A5 marbling study adds a second sensory-active raw validation layer.</x:v>
      </x:c>
      <x:c r="C129" s="23"/>
      <x:c r="D129" s="23"/>
      <x:c r="E129" s="23"/>
      <x:c r="F129" s="23"/>
      <x:c r="G129" s="23"/>
      <x:c r="H129" s="23"/>
    </x:row>
    <x:row r="130">
      <x:c r="A130" s="23" t="str">
        <x:v>Thermal model</x:v>
      </x:c>
      <x:c r="B130" s="23" t="str">
        <x:v>Native lipid-derived odorants persist while high heat changes abundance, removes some raw-only signals and introduces later high-heat compounds. Roast→sear/grill equivalence is NOT granted in v12.</x:v>
      </x:c>
      <x:c r="C130" s="23"/>
      <x:c r="D130" s="23"/>
      <x:c r="E130" s="23"/>
      <x:c r="F130" s="23"/>
      <x:c r="G130" s="23"/>
      <x:c r="H130" s="23"/>
    </x:row>
    <x:row r="131">
      <x:c r="A131" s="23" t="str">
        <x:v>Moist heat</x:v>
      </x:c>
      <x:c r="B131" s="23" t="str">
        <x:v>Clean water+salt Simmental chuck sensomics provides direct GC-O/AEDA evidence without onion, wine, stock, herbs or spices.</x:v>
      </x:c>
      <x:c r="C131" s="23"/>
      <x:c r="D131" s="23"/>
      <x:c r="E131" s="23"/>
      <x:c r="F131" s="23"/>
      <x:c r="G131" s="23"/>
      <x:c r="H131" s="23"/>
    </x:row>
    <x:row r="132">
      <x:c r="A132" s="23" t="str">
        <x:v>Dry aging</x:v>
      </x:c>
      <x:c r="B132" s="23" t="str">
        <x:v>Multiple direct dry/wet aging sources support a real aging delta in both uncooked volatiles and subsequent grilled aroma.</x:v>
      </x:c>
      <x:c r="C132" s="23"/>
      <x:c r="D132" s="23"/>
      <x:c r="E132" s="23"/>
      <x:c r="F132" s="23"/>
      <x:c r="G132" s="23"/>
      <x:c r="H132" s="23"/>
    </x:row>
    <x:row r="133">
      <x:c r="A133" s="23" t="str">
        <x:v>Legacy outcome</x:v>
      </x:c>
      <x:c r="B133" s="23" t="str">
        <x:v>2-pentylfuran strongly survives beef-membership verification; toluene, 2,3-butanediol, pseudocumene, 3-methylbutanal, phenylacetaldehyde, 3-octanone and 2-tridecanone survive only within bounded state/context evidence.</x:v>
      </x:c>
      <x:c r="C133" s="23"/>
      <x:c r="D133" s="23"/>
      <x:c r="E133" s="23"/>
      <x:c r="F133" s="23"/>
      <x:c r="G133" s="23"/>
      <x:c r="H133" s="23"/>
    </x:row>
    <x:row r="134">
      <x:c r="A134" s="23" t="str">
        <x:v>Holds</x:v>
      </x:c>
      <x:c r="B134" s="23" t="str">
        <x:v>Pentane, hexane, dodecane, naphthalene, alpha-terpineol, tiglaldehyde, acetophenone and 2,4,5-trimethyloxazole remain unsupported as promoted beef relationships in this pass.</x:v>
      </x:c>
      <x:c r="C134" s="23"/>
      <x:c r="D134" s="23"/>
      <x:c r="E134" s="23"/>
      <x:c r="F134" s="23"/>
      <x:c r="G134" s="23"/>
      <x:c r="H134" s="23"/>
    </x:row>
    <x:row r="135">
      <x:c r="A135" s="23" t="str">
        <x:v>Status</x:v>
      </x:c>
      <x:c r="B135" s="23" t="str">
        <x:v>Beef is NOT complete in v12. Direct fresh-beef grilled/seared validation, full dry-aging quantitative extraction and independent cut/fat validation remain the main evidence gaps.</x:v>
      </x:c>
      <x:c r="C135" s="23"/>
      <x:c r="D135" s="23"/>
      <x:c r="E135" s="23"/>
      <x:c r="F135" s="23"/>
      <x:c r="G135" s="23"/>
      <x:c r="H135" s="23"/>
    </x:row>
    <x:row r="136">
      <x:c r="A136" s="23" t="str">
        <x:v>Next version target</x:v>
      </x:c>
      <x:c r="B136" s="23" t="str">
        <x:v>v13 — beef thermal-state completion + dry-aging quantitative delta, then Beef Completion Audit if architecture blockers are cleared.</x:v>
      </x:c>
      <x:c r="C136" s="23"/>
      <x:c r="D136" s="23"/>
      <x:c r="E136" s="23"/>
      <x:c r="F136" s="23"/>
      <x:c r="G136" s="23"/>
      <x:c r="H136" s="23"/>
    </x:row>
    <x:row r="138">
      <x:c r="A138" s="125" t="str">
        <x:v>v13 — Beef high-heat state validation</x:v>
      </x:c>
      <x:c r="B138" s="125"/>
      <x:c r="C138" s="125"/>
      <x:c r="D138" s="125"/>
      <x:c r="E138" s="125"/>
      <x:c r="F138" s="125"/>
      <x:c r="G138" s="125"/>
      <x:c r="H138" s="125"/>
    </x:row>
    <x:row r="139">
      <x:c r="A139" s="23" t="str">
        <x:v>New direct states</x:v>
      </x:c>
      <x:c r="B139" s="23" t="str">
        <x:v>Fresh grilled and conventional/reverse-seared beef now have primary analytical coverage; no longer inferred solely from roast.</x:v>
      </x:c>
      <x:c r="C139" s="23"/>
      <x:c r="D139" s="23"/>
      <x:c r="E139" s="23"/>
      <x:c r="F139" s="23"/>
      <x:c r="G139" s="23"/>
      <x:c r="H139" s="23"/>
    </x:row>
    <x:row r="140">
      <x:c r="A140" s="23" t="str">
        <x:v>Grill</x:v>
      </x:c>
      <x:c r="B140" s="23" t="str">
        <x:v>Fresh Longissimus lumborum raw→55/60/71/77/85 °C grilling separates raw, lower-doneness and high-doneness volatile clusters; aldehydes/pyrazines rise as methyl esters fall.</x:v>
      </x:c>
      <x:c r="C140" s="23"/>
      <x:c r="D140" s="23"/>
      <x:c r="E140" s="23"/>
      <x:c r="F140" s="23"/>
      <x:c r="G140" s="23"/>
      <x:c r="H140" s="23"/>
    </x:row>
    <x:row r="141">
      <x:c r="A141" s="23" t="str">
        <x:v>Grilled sensory layer</x:v>
      </x:c>
      <x:c r="B141" s="23" t="str">
        <x:v>GC-O identifies 1-octen-3-one, (E)-2-octenal, methional and hexanal among high-impact grilled odorants.</x:v>
      </x:c>
      <x:c r="C141" s="23"/>
      <x:c r="D141" s="23"/>
      <x:c r="E141" s="23"/>
      <x:c r="F141" s="23"/>
      <x:c r="G141" s="23"/>
      <x:c r="H141" s="23"/>
    </x:row>
    <x:row r="142">
      <x:c r="A142" s="23" t="str">
        <x:v>Sear</x:v>
      </x:c>
      <x:c r="B142" s="23" t="str">
        <x:v>Tenderloin sear/reverse-sear shares a strong aldehyde backbone (hexanal, pentanal, heptanal); searing method changes total volatile formation and selected compounds.</x:v>
      </x:c>
      <x:c r="C142" s="23"/>
      <x:c r="D142" s="23"/>
      <x:c r="E142" s="23"/>
      <x:c r="F142" s="23"/>
      <x:c r="G142" s="23"/>
      <x:c r="H142" s="23"/>
    </x:row>
    <x:row r="143">
      <x:c r="A143" s="23" t="str">
        <x:v>High-heat architecture</x:v>
      </x:c>
      <x:c r="B143" s="23" t="str">
        <x:v>Evidence now supports one high-heat transformation FAMILY with roast/grill/sear weighting. It does not support pretending all three states are chemically identical.</x:v>
      </x:c>
      <x:c r="C143" s="23"/>
      <x:c r="D143" s="23"/>
      <x:c r="E143" s="23"/>
      <x:c r="F143" s="23"/>
      <x:c r="G143" s="23"/>
      <x:c r="H143" s="23"/>
    </x:row>
    <x:row r="144">
      <x:c r="A144" s="23" t="str">
        <x:v>Fat/cut model</x:v>
      </x:c>
      <x:c r="B144" s="23" t="str">
        <x:v>Raw marbling, grilled IMF release, USDA quality grade and multi-breed pan-fry evidence all support abundance/importance weighting plus bounded deltas rather than dozens of isolated cut profiles.</x:v>
      </x:c>
      <x:c r="C144" s="23"/>
      <x:c r="D144" s="23"/>
      <x:c r="E144" s="23"/>
      <x:c r="F144" s="23"/>
      <x:c r="G144" s="23"/>
      <x:c r="H144" s="23"/>
    </x:row>
    <x:row r="145">
      <x:c r="A145" s="23" t="str">
        <x:v>Founder review</x:v>
      </x:c>
      <x:c r="B145" s="23" t="str">
        <x:v>FV-BEEF-001 and FV-BEEF-002 strengthened; both remain pending because they change runtime inheritance behavior.</x:v>
      </x:c>
      <x:c r="C145" s="23"/>
      <x:c r="D145" s="23"/>
      <x:c r="E145" s="23"/>
      <x:c r="F145" s="23"/>
      <x:c r="G145" s="23"/>
      <x:c r="H145" s="23"/>
    </x:row>
    <x:row r="146">
      <x:c r="A146" s="23" t="str">
        <x:v>Beef remaining blocker</x:v>
      </x:c>
      <x:c r="B146" s="23" t="str">
        <x:v>Dry-aging quantitative delta needs to be governed before the family can receive a completion audit.</x:v>
      </x:c>
      <x:c r="C146" s="23"/>
      <x:c r="D146" s="23"/>
      <x:c r="E146" s="23"/>
      <x:c r="F146" s="23"/>
      <x:c r="G146" s="23"/>
      <x:c r="H146" s="23"/>
    </x:row>
    <x:row r="148">
      <x:c r="A148" s="125" t="str">
        <x:v>v14 — Beef dry-aging delta + completion audit</x:v>
      </x:c>
      <x:c r="B148" s="125"/>
      <x:c r="C148" s="125"/>
      <x:c r="D148" s="125"/>
      <x:c r="E148" s="125"/>
      <x:c r="F148" s="125"/>
      <x:c r="G148" s="125"/>
      <x:c r="H148" s="125"/>
    </x:row>
    <x:row r="149">
      <x:c r="A149" s="23" t="str">
        <x:v>Dry-aging quantitative layer</x:v>
      </x:c>
      <x:c r="B149" s="23" t="str">
        <x:v>Representative day-28 dry-vs-wet peak-area deltas governed for 2-methylbutanal, 2-methylpropanal, propanal, 2-methyl-2-propanethiol, ethyl propanoate, tetrahydrofuran and 3-heptanone.</x:v>
      </x:c>
      <x:c r="C149" s="23"/>
      <x:c r="D149" s="23"/>
      <x:c r="E149" s="23"/>
      <x:c r="F149" s="23"/>
      <x:c r="G149" s="23"/>
      <x:c r="H149" s="23"/>
    </x:row>
    <x:row r="150">
      <x:c r="A150" s="23" t="str">
        <x:v>Metric discipline</x:v>
      </x:c>
      <x:c r="B150" s="23" t="str">
        <x:v>Aging source peak areas are stored as instrument_peak_area, never relabeled as concentration; day-28 wet non-detects remain blank rather than zero.</x:v>
      </x:c>
      <x:c r="C150" s="23"/>
      <x:c r="D150" s="23"/>
      <x:c r="E150" s="23"/>
      <x:c r="F150" s="23"/>
      <x:c r="G150" s="23"/>
      <x:c r="H150" s="23"/>
    </x:row>
    <x:row r="151">
      <x:c r="A151" s="23" t="str">
        <x:v>Cooked aging consequence</x:v>
      </x:c>
      <x:c r="B151" s="23" t="str">
        <x:v>35-day grilled dry-aged beef has higher concentrations/intensities of multiple desirable GC-O odorants than wet-aged beef; 56 days shows that the effect is not monotonic.</x:v>
      </x:c>
      <x:c r="C151" s="23"/>
      <x:c r="D151" s="23"/>
      <x:c r="E151" s="23"/>
      <x:c r="F151" s="23"/>
      <x:c r="G151" s="23"/>
      <x:c r="H151" s="23"/>
    </x:row>
    <x:row r="152">
      <x:c r="A152" s="23" t="str">
        <x:v>Beef current-phase status</x:v>
      </x:c>
      <x:c r="B152" s="23" t="str">
        <x:v>COMPLETE FOR CURRENT PHASE. See Beef Completion Audit.</x:v>
      </x:c>
      <x:c r="C152" s="23"/>
      <x:c r="D152" s="23"/>
      <x:c r="E152" s="23"/>
      <x:c r="F152" s="23"/>
      <x:c r="G152" s="23"/>
      <x:c r="H152" s="23"/>
    </x:row>
    <x:row r="153">
      <x:c r="A153" s="23" t="str">
        <x:v>Founder decisions still pending</x:v>
      </x:c>
      <x:c r="B153" s="23" t="str">
        <x:v>FV-BEEF-001 high-heat inheritance semantics; FV-BEEF-002 default lean-core + IMF/fat weighting architecture.</x:v>
      </x:c>
      <x:c r="C153" s="23"/>
      <x:c r="D153" s="23"/>
      <x:c r="E153" s="23"/>
      <x:c r="F153" s="23"/>
      <x:c r="G153" s="23"/>
      <x:c r="H153" s="23"/>
    </x:row>
    <x:row r="154">
      <x:c r="A154" s="23" t="str">
        <x:v>Important boundary</x:v>
      </x:c>
      <x:c r="B154" s="23" t="str">
        <x:v>Those founder decisions affect runtime simplification, not whether more broad Beef literature discovery is needed.</x:v>
      </x:c>
      <x:c r="C154" s="23"/>
      <x:c r="D154" s="23"/>
      <x:c r="E154" s="23"/>
      <x:c r="F154" s="23"/>
      <x:c r="G154" s="23"/>
      <x:c r="H154" s="23"/>
    </x:row>
    <x:row r="155">
      <x:c r="A155" s="23" t="str">
        <x:v>Next strategic move</x:v>
      </x:c>
      <x:c r="B155" s="23" t="str">
        <x:v>Begin ruminant validation with veal as a beef-family inheritance test, then lamb/mutton as the species-character control and goat as the third member if evidence supports it.</x:v>
      </x:c>
      <x:c r="C155" s="23"/>
      <x:c r="D155" s="23"/>
      <x:c r="E155" s="23"/>
      <x:c r="F155" s="23"/>
      <x:c r="G155" s="23"/>
      <x:c r="H155" s="23"/>
    </x:row>
    <x:row r="157">
      <x:c r="A157" s="152" t="str">
        <x:v>v16 — Beef MR addendum merged BEFORE ruminant work</x:v>
      </x:c>
      <x:c r="B157" s="152"/>
      <x:c r="C157" s="152"/>
      <x:c r="D157" s="152"/>
      <x:c r="E157" s="152"/>
      <x:c r="F157" s="152"/>
      <x:c r="G157" s="152"/>
      <x:c r="H157" s="152"/>
    </x:row>
    <x:row r="158">
      <x:c r="A158" s="23" t="str">
        <x:v>Sequence correction</x:v>
      </x:c>
      <x:c r="B158" s="23" t="str">
        <x:v>v16 branches from v14. The previously generated v15 ruminant workbook is preserved as a superseded exploratory branch and is not upstream of this corrected governed release.</x:v>
      </x:c>
      <x:c r="C158" s="23"/>
      <x:c r="D158" s="23"/>
      <x:c r="E158" s="23"/>
      <x:c r="F158" s="23"/>
      <x:c r="G158" s="23"/>
      <x:c r="H158" s="23"/>
    </x:row>
    <x:row r="159">
      <x:c r="A159" s="23" t="str">
        <x:v>MR-10</x:v>
      </x:c>
      <x:c r="B159" s="23" t="str">
        <x:v>Full detected tables are now separate from the key-aroma profile: 91-compound raw→grill muscle source (82 raw; 88 at 85°C), 96-compound beef:fat source, 86-compound cure/smoke source, and the complete 37-compound aging identification union.</x:v>
      </x:c>
      <x:c r="C159" s="23"/>
      <x:c r="D159" s="23"/>
      <x:c r="E159" s="23"/>
      <x:c r="F159" s="23"/>
      <x:c r="G159" s="23"/>
      <x:c r="H159" s="23"/>
    </x:row>
    <x:row r="160">
      <x:c r="A160" s="23" t="str">
        <x:v>VCF benchmark</x:v>
      </x:c>
      <x:c r="B160" s="23" t="str">
        <x:v>VCF median ≈75 compounds/product is used as a thinness diagnostic, not a quota. Aging remains 37 because 37 is the complete primary-source table rather than the previous 9-row selective extraction.</x:v>
      </x:c>
      <x:c r="C160" s="23"/>
      <x:c r="D160" s="23"/>
      <x:c r="E160" s="23"/>
      <x:c r="F160" s="23"/>
      <x:c r="G160" s="23"/>
      <x:c r="H160" s="23"/>
    </x:row>
    <x:row r="161">
      <x:c r="A161" s="23" t="str">
        <x:v>MR-09</x:v>
      </x:c>
      <x:c r="B161" s="23" t="str">
        <x:v>Identification QA now stores observed RI/LRI, reference LRI where published, identification method, authentic-standard support, source match-quality floor and explicit missing numeric match factors.</x:v>
      </x:c>
      <x:c r="C161" s="23"/>
      <x:c r="D161" s="23"/>
      <x:c r="E161" s="23"/>
      <x:c r="F161" s="23"/>
      <x:c r="G161" s="23"/>
      <x:c r="H161" s="23"/>
    </x:row>
    <x:row r="162">
      <x:c r="A162" s="23" t="str">
        <x:v>MR-09 control</x:v>
      </x:c>
      <x:c r="B162" s="23" t="str">
        <x:v>Ahamed 2024 contributes a complete 45-compound cooked-beef table under an explicit minimum NIST mass-match quality of 80%, with LRI verification. Exact row match scores are still not published and remain blank.</x:v>
      </x:c>
      <x:c r="C162" s="23"/>
      <x:c r="D162" s="23"/>
      <x:c r="E162" s="23"/>
      <x:c r="F162" s="23"/>
      <x:c r="G162" s="23"/>
      <x:c r="H162" s="23"/>
    </x:row>
    <x:row r="163">
      <x:c r="A163" s="23" t="str">
        <x:v>MR-13</x:v>
      </x:c>
      <x:c r="B163" s="23" t="str">
        <x:v>BP-052 is superseded as an active muscle row and migrated to product_id beef:fat. Dry-rendered is a preparation; abdominal subcutaneous fat is the material.</x:v>
      </x:c>
      <x:c r="C163" s="23"/>
      <x:c r="D163" s="23"/>
      <x:c r="E163" s="23"/>
      <x:c r="F163" s="23"/>
      <x:c r="G163" s="23"/>
      <x:c r="H163" s="23"/>
    </x:row>
    <x:row r="164">
      <x:c r="A164" s="23" t="str">
        <x:v>Carrier layer</x:v>
      </x:c>
      <x:c r="B164" s="23" t="str">
        <x:v>BQ-002 / Yang 2023 is now used as a full 96-compound beef-fat product table, including six lactones and phenol/p-cresol/3-methylphenol.</x:v>
      </x:c>
      <x:c r="C164" s="23"/>
      <x:c r="D164" s="23"/>
      <x:c r="E164" s="23"/>
      <x:c r="F164" s="23"/>
      <x:c r="G164" s="23"/>
      <x:c r="H164" s="23"/>
    </x:row>
    <x:row r="165">
      <x:c r="A165" s="23" t="str">
        <x:v>Cure/smoke layer</x:v>
      </x:c>
      <x:c r="B165" s="23" t="str">
        <x:v>BQ-007 / Li &amp; Zhang 2017 contributes 86 dry-cured compounds and 12 phenols. T1 is smoked+spiced while T2 is neither, so the overlay remains explicitly confounded rather than over-attributed to smoke.</x:v>
      </x:c>
      <x:c r="C165" s="23"/>
      <x:c r="D165" s="23"/>
      <x:c r="E165" s="23"/>
      <x:c r="F165" s="23"/>
      <x:c r="G165" s="23"/>
      <x:c r="H165" s="23"/>
    </x:row>
    <x:row r="166">
      <x:c r="A166" s="23" t="str">
        <x:v>Beef status</x:v>
      </x:c>
      <x:c r="B166" s="23" t="str">
        <x:v>COMPLETE AFTER MR ADDENDUM. The architecture did not need rework; the correction separates full detection, identification QA, anatomical product boundaries and processing/carrier layers from the existing sensory-key layer.</x:v>
      </x:c>
      <x:c r="C166" s="23"/>
      <x:c r="D166" s="23"/>
      <x:c r="E166" s="23"/>
      <x:c r="F166" s="23"/>
      <x:c r="G166" s="23"/>
      <x:c r="H166" s="23"/>
    </x:row>
    <x:row r="167">
      <x:c r="A167" s="23" t="str">
        <x:v>Next governed step</x:v>
      </x:c>
      <x:c r="B167" s="23" t="str">
        <x:v>Restart ruminant validation from this v16 branch. Reuse v15 ruminant findings only as research leads; re-import lamb/mutton/goat/veal under MR-09/MR-10/MR-13 from the first pass.</x:v>
      </x:c>
      <x:c r="C167" s="23"/>
      <x:c r="D167" s="23"/>
      <x:c r="E167" s="23"/>
      <x:c r="F167" s="23"/>
      <x:c r="G167" s="23"/>
      <x:c r="H167" s="23"/>
    </x:row>
    <x:row r="169">
      <x:c r="A169" s="171" t="str">
        <x:v>v17 — Fin-fish foundation</x:v>
      </x:c>
      <x:c r="B169" s="171"/>
      <x:c r="C169" s="171"/>
      <x:c r="D169" s="171"/>
      <x:c r="E169" s="171"/>
      <x:c r="F169" s="171"/>
      <x:c r="G169" s="171"/>
      <x:c r="H169" s="171"/>
    </x:row>
    <x:row r="170">
      <x:c r="A170" s="23" t="str">
        <x:v>Spoilage boundary</x:v>
      </x:c>
      <x:c r="B170" s="23" t="str">
        <x:v>MR-14 generalizes PAT-BEEF-005 as a light evidence-routing rule only: spoilage/storage evidence cannot by itself create a positive pairing relationship. No compound blacklist or seafood spoilage subsystem was added.</x:v>
      </x:c>
      <x:c r="C170" s="23"/>
      <x:c r="D170" s="23"/>
      <x:c r="E170" s="23"/>
      <x:c r="F170" s="23"/>
      <x:c r="G170" s="23"/>
      <x:c r="H170" s="23"/>
    </x:row>
    <x:row r="171">
      <x:c r="A171" s="23" t="str">
        <x:v>Fatty anchor</x:v>
      </x:c>
      <x:c r="B171" s="23" t="str">
        <x:v>Atlantic salmon: full 48-compound raw/boiled/steamed/oven source table extracted with RT and quantitative ng/g values; raw fat in the source was 9.02±1.41%.</x:v>
      </x:c>
      <x:c r="C171" s="23"/>
      <x:c r="D171" s="23"/>
      <x:c r="E171" s="23"/>
      <x:c r="F171" s="23"/>
      <x:c r="G171" s="23"/>
      <x:c r="H171" s="23"/>
    </x:row>
    <x:row r="172">
      <x:c r="A172" s="23" t="str">
        <x:v>White-fish anchor</x:v>
      </x:c>
      <x:c r="B172" s="23" t="str">
        <x:v>Sea bass: all 44 named GC-IMS Table-2 analytical features extracted, representing 31 distinct named compounds with CAS, RI, RT and drift time. The source reports 31 raw and 39 steamed VOCs including unidentified features.</x:v>
      </x:c>
      <x:c r="C172" s="23"/>
      <x:c r="D172" s="23"/>
      <x:c r="E172" s="23"/>
      <x:c r="F172" s="23"/>
      <x:c r="G172" s="23"/>
      <x:c r="H172" s="23"/>
    </x:row>
    <x:row r="173">
      <x:c r="A173" s="23" t="str">
        <x:v>Identification quality</x:v>
      </x:c>
      <x:c r="B173" s="23" t="str">
        <x:v>MR-09 is explicit from first pass. Salmon lacks published RI and numeric match factors; sea bass publishes CAS/RI/RT/Dt but not numeric match factors. Missing fields stay missing.</x:v>
      </x:c>
      <x:c r="C173" s="23"/>
      <x:c r="D173" s="23"/>
      <x:c r="E173" s="23"/>
      <x:c r="F173" s="23"/>
      <x:c r="G173" s="23"/>
      <x:c r="H173" s="23"/>
    </x:row>
    <x:row r="174">
      <x:c r="A174" s="23" t="str">
        <x:v>Shared-core test</x:v>
      </x:c>
      <x:c r="B174" s="23" t="str">
        <x:v>A same-method salmon-versus-European-seabass MAP study identified 54 VOCs with only three species-specific exceptions; use this only as identity-overlap architecture evidence because the study is storage/spoilage focused.</x:v>
      </x:c>
      <x:c r="C174" s="23"/>
      <x:c r="D174" s="23"/>
      <x:c r="E174" s="23"/>
      <x:c r="F174" s="23"/>
      <x:c r="G174" s="23"/>
      <x:c r="H174" s="23"/>
    </x:row>
    <x:row r="175">
      <x:c r="A175" s="23" t="str">
        <x:v>Lipid weighting</x:v>
      </x:c>
      <x:c r="B175" s="23" t="str">
        <x:v>Independent farmed-vs-wild European sea-bass work reports ~6-fold higher lipid in farmed fish and a much richer volatile profile, strengthening the hypothesis that fat level primarily reweights volatile abundance/richness.</x:v>
      </x:c>
      <x:c r="C175" s="23"/>
      <x:c r="D175" s="23"/>
      <x:c r="E175" s="23"/>
      <x:c r="F175" s="23"/>
      <x:c r="G175" s="23"/>
      <x:c r="H175" s="23"/>
    </x:row>
    <x:row r="176">
      <x:c r="A176" s="23" t="str">
        <x:v>Legacy fish scope correction</x:v>
      </x:c>
      <x:c r="B176" s="23" t="str">
        <x:v>The legacy 'Fatty / Fish / Only' row LC-0047 is a structural marker. LC-0048 through LC-0051 are now interpreted as fatty-fish research leads while raw source fields remain untouched.</x:v>
      </x:c>
      <x:c r="C176" s="23"/>
      <x:c r="D176" s="23"/>
      <x:c r="E176" s="23"/>
      <x:c r="F176" s="23"/>
      <x:c r="G176" s="23"/>
      <x:c r="H176" s="23"/>
    </x:row>
    <x:row r="177">
      <x:c r="A177" s="23" t="str">
        <x:v>Legacy reconciliation</x:v>
      </x:c>
      <x:c r="B177" s="23" t="str">
        <x:v>15 legacy fish compounds were reconciled. Direct v17 member evidence supports sea-bass diacetyl; salmon verifies the E-isomer of 2-heptenal but the unspecified legacy identity stays on stereochemistry hold; TMA/DMA are retained analytically without being promoted as positive pairing signals.</x:v>
      </x:c>
      <x:c r="C177" s="23"/>
      <x:c r="D177" s="23"/>
      <x:c r="E177" s="23"/>
      <x:c r="F177" s="23"/>
      <x:c r="G177" s="23"/>
      <x:c r="H177" s="23"/>
    </x:row>
    <x:row r="178">
      <x:c r="A178" s="23" t="str">
        <x:v>Architecture status</x:v>
      </x:c>
      <x:c r="B178" s="23" t="str">
        <x:v>FV-FINFISH-001 is a strong provisional candidate: shared fin-fish core + lipid/fat abundance/importance weighting + species/muscle/preparation deltas; no fixed multiplier and no automatic cross-species row inheritance yet.</x:v>
      </x:c>
      <x:c r="C178" s="23"/>
      <x:c r="D178" s="23"/>
      <x:c r="E178" s="23"/>
      <x:c r="F178" s="23"/>
      <x:c r="G178" s="23"/>
      <x:c r="H178" s="23"/>
    </x:row>
    <x:row r="179">
      <x:c r="A179" s="23" t="str">
        <x:v>Next stress checks</x:v>
      </x:c>
      <x:c r="B179" s="23" t="str">
        <x:v>Extract mackerel raw/heated white-vs-red muscle first, then find a true lean cod/haddock culinary raw→cooked table. If both hold the pattern, finalize fin-fish family inheritance.</x:v>
      </x:c>
      <x:c r="C179" s="23"/>
      <x:c r="D179" s="23"/>
      <x:c r="E179" s="23"/>
      <x:c r="F179" s="23"/>
      <x:c r="G179" s="23"/>
      <x:c r="H179" s="23"/>
    </x:row>
    <x:row r="181">
      <x:c r="A181" s="192" t="str">
        <x:v>v18 — Fin-fish stress checks</x:v>
      </x:c>
      <x:c r="B181" s="192"/>
      <x:c r="C181" s="192"/>
      <x:c r="D181" s="192"/>
      <x:c r="E181" s="192"/>
      <x:c r="F181" s="192"/>
      <x:c r="G181" s="192"/>
      <x:c r="H181" s="192"/>
    </x:row>
    <x:row r="182">
      <x:c r="A182" s="23" t="str">
        <x:v>Mackerel source quality</x:v>
      </x:c>
      <x:c r="B182" s="23" t="str">
        <x:v>SRC-FISH-MACKEREL-HEAT-001 uses NIST 08 + WILEY 09 cross-matching and explicitly rejects identifications below 80/100 similarity. Exact RT, similarity and relative abundance are retained for 43 recoverable Table-2 rows.</x:v>
      </x:c>
      <x:c r="C182" s="23"/>
      <x:c r="D182" s="23"/>
      <x:c r="E182" s="23"/>
      <x:c r="F182" s="23"/>
      <x:c r="G182" s="23"/>
      <x:c r="H182" s="23"/>
    </x:row>
    <x:row r="183">
      <x:c r="A183" s="23" t="str">
        <x:v>Mackerel source ceiling</x:v>
      </x:c>
      <x:c r="B183" s="23" t="str">
        <x:v>The source reports 32 raw-white, 39 heated-white, 41 raw-red and 52 heated-red detections. Those counts reconcile completely; the inaccessible remainder of Table 2 is not reconstructed from narrative text.</x:v>
      </x:c>
      <x:c r="C183" s="23"/>
      <x:c r="D183" s="23"/>
      <x:c r="E183" s="23"/>
      <x:c r="F183" s="23"/>
      <x:c r="G183" s="23"/>
      <x:c r="H183" s="23"/>
    </x:row>
    <x:row r="184">
      <x:c r="A184" s="23" t="str">
        <x:v>Mackerel architecture result</x:v>
      </x:c>
      <x:c r="B184" s="23" t="str">
        <x:v>Raw red muscle has 15 aldehydes versus 6 in raw white and a much larger carbonyl share; heating changes both abundance and membership. Red-specific 1-penten-3-ol and 1-octen-3-ol disappear after heating.</x:v>
      </x:c>
      <x:c r="C184" s="23"/>
      <x:c r="D184" s="23"/>
      <x:c r="E184" s="23"/>
      <x:c r="F184" s="23"/>
      <x:c r="G184" s="23"/>
      <x:c r="H184" s="23"/>
    </x:row>
    <x:row r="185">
      <x:c r="A185" s="23" t="str">
        <x:v>Lean cod match</x:v>
      </x:c>
      <x:c r="B185" s="23" t="str">
        <x:v>Milo &amp; Grosch 1996 provides the clean cross-member test: fresh-control boiled salmon and cod each have five character-impact odorants and share four of them; salmon adds propanal while cod adds (E,E)-2,4-decadienal.</x:v>
      </x:c>
      <x:c r="C185" s="23"/>
      <x:c r="D185" s="23"/>
      <x:c r="E185" s="23"/>
      <x:c r="F185" s="23"/>
      <x:c r="G185" s="23"/>
      <x:c r="H185" s="23"/>
    </x:row>
    <x:row r="186">
      <x:c r="A186" s="23" t="str">
        <x:v>Cod evidence boundary</x:v>
      </x:c>
      <x:c r="B186" s="23" t="str">
        <x:v>The matched cod/salmon sensomics validates architecture but is not an MR-10 exhaustive raw→cooked cod table. Fresh-cod and cod-head-soup sources are retained as context only; no spoilage source is used as positive culinary evidence.</x:v>
      </x:c>
      <x:c r="C186" s="23"/>
      <x:c r="D186" s="23"/>
      <x:c r="E186" s="23"/>
      <x:c r="F186" s="23"/>
      <x:c r="G186" s="23"/>
      <x:c r="H186" s="23"/>
    </x:row>
    <x:row r="187">
      <x:c r="A187" s="23" t="str">
        <x:v>Fin-fish conclusion</x:v>
      </x:c>
      <x:c r="B187" s="23" t="str">
        <x:v>The planned mackerel and lean-cod stress checks do not break the v17 model. Evidence now supports one fin-fish chemical/mechanism family with lipid/fat and muscle-type abundance/sensory weighting plus species/preparation deltas.</x:v>
      </x:c>
      <x:c r="C187" s="23"/>
      <x:c r="D187" s="23"/>
      <x:c r="E187" s="23"/>
      <x:c r="F187" s="23"/>
      <x:c r="G187" s="23"/>
      <x:c r="H187" s="23"/>
    </x:row>
    <x:row r="188">
      <x:c r="A188" s="23" t="str">
        <x:v>Founder review</x:v>
      </x:c>
      <x:c r="B188" s="23" t="str">
        <x:v>FV-FINFISH-001 is READY FOR FOUNDER APPROVAL. Recommended decision: approve the shared fin-fish core/mechanism architecture; prohibit fixed fat multipliers and universal compound-equality claims.</x:v>
      </x:c>
      <x:c r="C188" s="23"/>
      <x:c r="D188" s="23"/>
      <x:c r="E188" s="23"/>
      <x:c r="F188" s="23"/>
      <x:c r="G188" s="23"/>
      <x:c r="H188" s="23"/>
    </x:row>
    <x:row r="189">
      <x:c r="A189" s="23" t="str">
        <x:v>Completion status</x:v>
      </x:c>
      <x:c r="B189" s="23" t="str">
        <x:v>Fin-fish family architecture is research-complete for the current phase. Cod/haddock exhaustive raw→cooked table extraction remains a nonblocking enrichment gap.</x:v>
      </x:c>
      <x:c r="C189" s="23"/>
      <x:c r="D189" s="23"/>
      <x:c r="E189" s="23"/>
      <x:c r="F189" s="23"/>
      <x:c r="G189" s="23"/>
      <x:c r="H189" s="23"/>
    </x:row>
    <x:row r="190">
      <x:c r="A190" s="23" t="str">
        <x:v>Next family move</x:v>
      </x:c>
      <x:c r="B190" s="23" t="str">
        <x:v>After founder approval, move to the next seafood family rather than extending fin-fish species-by-species. Shellfish should be separated into crustacean and mollusk chemistry rather than treated as one generic seafood family.</x:v>
      </x:c>
      <x:c r="C190" s="23"/>
      <x:c r="D190" s="23"/>
      <x:c r="E190" s="23"/>
      <x:c r="F190" s="23"/>
      <x:c r="G190" s="23"/>
      <x:c r="H190" s="23"/>
    </x:row>
    <x:row r="192">
      <x:c r="A192" s="214" t="str">
        <x:v>v19 — Cod completion + salmon MR-09 correction</x:v>
      </x:c>
      <x:c r="B192" s="214"/>
      <x:c r="C192" s="214"/>
      <x:c r="D192" s="214"/>
      <x:c r="E192" s="214"/>
      <x:c r="F192" s="214"/>
      <x:c r="G192" s="214"/>
      <x:c r="H192" s="214"/>
    </x:row>
    <x:row r="193">
      <x:c r="A193" s="23" t="str">
        <x:v>Cod raw</x:v>
      </x:c>
      <x:c r="B193" s="23" t="str">
        <x:v>Fresh Atlantic cod is now ingested through a 101-row SPME-GC-MS inventory from the Leduc study. Every row has an SLB-5ms LRI and specific ion; 48 rows are confirmed against authentic standards.</x:v>
      </x:c>
      <x:c r="C193" s="23"/>
      <x:c r="D193" s="23"/>
      <x:c r="E193" s="23"/>
      <x:c r="F193" s="23"/>
      <x:c r="G193" s="23"/>
      <x:c r="H193" s="23"/>
    </x:row>
    <x:row r="194">
      <x:c r="A194" s="23" t="str">
        <x:v>Cod raw evidence boundary</x:v>
      </x:c>
      <x:c r="B194" s="23" t="str">
        <x:v>The table is a four-species identification inventory. Cod fillets are directly analyzed, the source states all 101 features occur across all four species at study stages, and states no frozen-thawed VOC appeared that was not already present in fresh fish. No cod-specific abundance is invented.</x:v>
      </x:c>
      <x:c r="C194" s="23"/>
      <x:c r="D194" s="23"/>
      <x:c r="E194" s="23"/>
      <x:c r="F194" s="23"/>
      <x:c r="G194" s="23"/>
      <x:c r="H194" s="23"/>
    </x:row>
    <x:row r="195">
      <x:c r="A195" s="23" t="str">
        <x:v>Cod cooked</x:v>
      </x:c>
      <x:c r="B195" s="23" t="str">
        <x:v>A 2025 direct baked-cod GC-IMS source contributes all 72 Table-2 VOCs with CAS, DB-WAX RI, GC retention time, IMS drift time and cod-specific source values.</x:v>
      </x:c>
      <x:c r="C195" s="23"/>
      <x:c r="D195" s="23"/>
      <x:c r="E195" s="23"/>
      <x:c r="F195" s="23"/>
      <x:c r="G195" s="23"/>
      <x:c r="H195" s="23"/>
    </x:row>
    <x:row r="196">
      <x:c r="A196" s="23" t="str">
        <x:v>Cod cooked overlay</x:v>
      </x:c>
      <x:c r="B196" s="23" t="str">
        <x:v>The baked commercial fillets include sugar, salt and MSG. This is a seasoned thermal cod state, not a clean intrinsic heat-only baseline; every row preserves that context.</x:v>
      </x:c>
      <x:c r="C196" s="23"/>
      <x:c r="D196" s="23"/>
      <x:c r="E196" s="23"/>
      <x:c r="F196" s="23"/>
      <x:c r="G196" s="23"/>
      <x:c r="H196" s="23"/>
    </x:row>
    <x:row r="197">
      <x:c r="A197" s="23" t="str">
        <x:v>Cod status</x:v>
      </x:c>
      <x:c r="B197" s="23" t="str">
        <x:v>Cod is no longer context-only. Member-level raw and cooked full-table coverage is complete for the current phase. A clean matched neutral raw→cooked experiment remains optional refinement.</x:v>
      </x:c>
      <x:c r="C197" s="23"/>
      <x:c r="D197" s="23"/>
      <x:c r="E197" s="23"/>
      <x:c r="F197" s="23"/>
      <x:c r="G197" s="23"/>
      <x:c r="H197" s="23"/>
    </x:row>
    <x:row r="198">
      <x:c r="A198" s="23" t="str">
        <x:v>Salmon MR-09</x:v>
      </x:c>
      <x:c r="B198" s="23" t="str">
        <x:v>The original 48-row culinary salmon source still has no source-specific RI or numeric match factor. That fact remains unchanged.</x:v>
      </x:c>
      <x:c r="C198" s="23"/>
      <x:c r="D198" s="23"/>
      <x:c r="E198" s="23"/>
      <x:c r="F198" s="23"/>
      <x:c r="G198" s="23"/>
      <x:c r="H198" s="23"/>
    </x:row>
    <x:row r="199">
      <x:c r="A199" s="23" t="str">
        <x:v>Salmon independent QA</x:v>
      </x:c>
      <x:c r="B199" s="23" t="str">
        <x:v>The Leduc fresh salmon/cod study independently supplies LRI on 101/101 identities and authentic-standard confirmation on 48/101. Exact controlled-name matching independently corroborates 21 of the 48 culinary salmon rows; independent RI values are not copied into the original rows.</x:v>
      </x:c>
      <x:c r="C199" s="23"/>
      <x:c r="D199" s="23"/>
      <x:c r="E199" s="23"/>
      <x:c r="F199" s="23"/>
      <x:c r="G199" s="23"/>
      <x:c r="H199" s="23"/>
    </x:row>
    <x:row r="200">
      <x:c r="A200" s="23" t="str">
        <x:v>Fin-fish status</x:v>
      </x:c>
      <x:c r="B200" s="23" t="str">
        <x:v>DATA COVERAGE COMPLETE FOR CURRENT PHASE. FV-FINFISH-001 remains a founder architecture decision, not an unresolved research prerequisite.</x:v>
      </x:c>
      <x:c r="C200" s="23"/>
      <x:c r="D200" s="23"/>
      <x:c r="E200" s="23"/>
      <x:c r="F200" s="23"/>
      <x:c r="G200" s="23"/>
      <x:c r="H200" s="23"/>
    </x:row>
    <x:row r="201">
      <x:c r="A201" s="23" t="str">
        <x:v>Next sequence</x:v>
      </x:c>
      <x:c r="B201" s="23" t="str">
        <x:v>Proceed to dairy and fat carriers: butter first, then cream and crème fraîche, with lactone coverage and carrier-state transformations treated as primary targets.</x:v>
      </x:c>
      <x:c r="C201" s="23"/>
      <x:c r="D201" s="23"/>
      <x:c r="E201" s="23"/>
      <x:c r="F201" s="23"/>
      <x:c r="G201" s="23"/>
      <x:c r="H201" s="23"/>
    </x:row>
    <x:row r="203">
      <x:c r="A203" s="214" t="str">
        <x:v>v20 — Dairy &amp; fat carriers</x:v>
      </x:c>
      <x:c r="B203" s="214"/>
      <x:c r="C203" s="214"/>
      <x:c r="D203" s="214"/>
      <x:c r="E203" s="214"/>
      <x:c r="F203" s="214"/>
      <x:c r="G203" s="214"/>
      <x:c r="H203" s="214"/>
    </x:row>
    <x:row r="204">
      <x:c r="A204" s="23" t="str">
        <x:v>Butter full table</x:v>
      </x:c>
      <x:c r="B204" s="23" t="str">
        <x:v>33/33 HS-SPME-GC-MS VOC rows ingested across three sweet-cream and four cultured butters, with reference/calculated RI, CAS and μg/g values.</x:v>
      </x:c>
      <x:c r="C204" s="23"/>
      <x:c r="D204" s="23"/>
      <x:c r="E204" s="23"/>
      <x:c r="F204" s="23"/>
      <x:c r="G204" s="23"/>
      <x:c r="H204" s="23"/>
    </x:row>
    <x:row r="205">
      <x:c r="A205" s="23" t="str">
        <x:v>Butter lactones</x:v>
      </x:c>
      <x:c r="B205" s="23" t="str">
        <x:v>Five directly quantified lactones are now first-class carrier chemistry: δ-octalactone, δ-decalactone, (Z)-6-dodeceno-γ-lactone, δ-dodecalactone and δ-tetradecalactone.</x:v>
      </x:c>
      <x:c r="C205" s="23"/>
      <x:c r="D205" s="23"/>
      <x:c r="E205" s="23"/>
      <x:c r="F205" s="23"/>
      <x:c r="G205" s="23"/>
      <x:c r="H205" s="23"/>
    </x:row>
    <x:row r="206">
      <x:c r="A206" s="23" t="str">
        <x:v>Lactone breadth</x:v>
      </x:c>
      <x:c r="B206" s="23" t="str">
        <x:v>Heat-treated butter/fermented butter reports 13 lactone types and approximately 2× total lactone content; butter-oil work identified six γ-, five δ- and one ε-lactone newly in butter oil. No fixed heat multiplier is encoded.</x:v>
      </x:c>
      <x:c r="C206" s="23"/>
      <x:c r="D206" s="23"/>
      <x:c r="E206" s="23"/>
      <x:c r="F206" s="23"/>
      <x:c r="G206" s="23"/>
      <x:c r="H206" s="23"/>
    </x:row>
    <x:row r="207">
      <x:c r="A207" s="23" t="str">
        <x:v>Cultured butter</x:v>
      </x:c>
      <x:c r="B207" s="23" t="str">
        <x:v>Fermentation shifts acids/ketones and the commercial study finds (Z)-6-dodeceno-γ-lactone only in the four cultured-butter samples. Treated as a fermentation delta, not a new family.</x:v>
      </x:c>
      <x:c r="C207" s="23"/>
      <x:c r="D207" s="23"/>
      <x:c r="E207" s="23"/>
      <x:c r="F207" s="23"/>
      <x:c r="G207" s="23"/>
      <x:c r="H207" s="23"/>
    </x:row>
    <x:row r="208">
      <x:c r="A208" s="23" t="str">
        <x:v>Brown butter</x:v>
      </x:c>
      <x:c r="B208" s="23" t="str">
        <x:v>Governed as butter carrier chemistry + heat-driven lactone release + milk-solid Maillard transformation. Clarified butter lacks the same milk-solid browning mechanism.</x:v>
      </x:c>
      <x:c r="C208" s="23"/>
      <x:c r="D208" s="23"/>
      <x:c r="E208" s="23"/>
      <x:c r="F208" s="23"/>
      <x:c r="G208" s="23"/>
      <x:c r="H208" s="23"/>
    </x:row>
    <x:row r="209">
      <x:c r="A209" s="23" t="str">
        <x:v>Cream</x:v>
      </x:c>
      <x:c r="B209" s="23" t="str">
        <x:v>Whipping cream / fermented cream architecture is governed from a 46-VOC GC-MS/MS experiment using a &gt;80% NIST14 similarity threshold. Full supplementary row names remain an enrichment gap.</x:v>
      </x:c>
      <x:c r="C209" s="23"/>
      <x:c r="D209" s="23"/>
      <x:c r="E209" s="23"/>
      <x:c r="F209" s="23"/>
      <x:c r="G209" s="23"/>
      <x:c r="H209" s="23"/>
    </x:row>
    <x:row r="210">
      <x:c r="A210" s="23" t="str">
        <x:v>Fermented cream</x:v>
      </x:c>
      <x:c r="B210" s="23" t="str">
        <x:v>Independent 32-VOC fermentation time course with OAV/sensory links identifies δ-decalactone, 2-nonanone, acetoin and medium-chain acids as key fermented/creamy contributors.</x:v>
      </x:c>
      <x:c r="C210" s="23"/>
      <x:c r="D210" s="23"/>
      <x:c r="E210" s="23"/>
      <x:c r="F210" s="23"/>
      <x:c r="G210" s="23"/>
      <x:c r="H210" s="23"/>
    </x:row>
    <x:row r="211">
      <x:c r="A211" s="23" t="str">
        <x:v>Crème fraîche</x:v>
      </x:c>
      <x:c r="B211" s="23" t="str">
        <x:v>FV-DAIRY-001 proposes explicit runtime inheritance from fermented-cream mechanism with fat/acidity/culture weighting. No generic fermented-cream row is relabeled directly measured crème fraîche.</x:v>
      </x:c>
      <x:c r="C211" s="23"/>
      <x:c r="D211" s="23"/>
      <x:c r="E211" s="23"/>
      <x:c r="F211" s="23"/>
      <x:c r="G211" s="23"/>
      <x:c r="H211" s="23"/>
    </x:row>
    <x:row r="212">
      <x:c r="A212" s="23" t="str">
        <x:v>Carrier status</x:v>
      </x:c>
      <x:c r="B212" s="23" t="str">
        <x:v>DAIRY/FAT-CARRIER CURRENT PHASE COMPLETE. The remaining cream full-supplement extraction is nonblocking.</x:v>
      </x:c>
      <x:c r="C212" s="23"/>
      <x:c r="D212" s="23"/>
      <x:c r="E212" s="23"/>
      <x:c r="F212" s="23"/>
      <x:c r="G212" s="23"/>
      <x:c r="H212" s="23"/>
    </x:row>
    <x:row r="213">
      <x:c r="A213" s="23" t="str">
        <x:v>Next move</x:v>
      </x:c>
      <x:c r="B213" s="23" t="str">
        <x:v>Proceed to the five thin shellfish members using the uploaded crustacean and mollusk legacy files; do not expand already-adequate shellfish members.</x:v>
      </x:c>
      <x:c r="C213" s="23"/>
      <x:c r="D213" s="23"/>
      <x:c r="E213" s="23"/>
      <x:c r="F213" s="23"/>
      <x:c r="G213" s="23"/>
      <x:c r="H213" s="23"/>
    </x:row>
    <x:row r="215">
      <x:c r="A215" s="214" t="str">
        <x:v>v21 — Targeted shellfish thin-member pass</x:v>
      </x:c>
      <x:c r="B215" s="214"/>
      <x:c r="C215" s="214"/>
      <x:c r="D215" s="214"/>
      <x:c r="E215" s="214"/>
      <x:c r="F215" s="214"/>
      <x:c r="G215" s="214"/>
      <x:c r="H215" s="214"/>
    </x:row>
    <x:row r="216">
      <x:c r="A216" s="23" t="str">
        <x:v>Scope</x:v>
      </x:c>
      <x:c r="B216" s="23" t="str">
        <x:v>Only five thin targets were expanded: shrimp; crab; lobster/crayfish; scallop; clam/mussel. Squid/octopus remains outside this targeted pass.</x:v>
      </x:c>
      <x:c r="C216" s="23"/>
      <x:c r="D216" s="23"/>
      <x:c r="E216" s="23"/>
      <x:c r="F216" s="23"/>
      <x:c r="G216" s="23"/>
      <x:c r="H216" s="23"/>
    </x:row>
    <x:row r="217">
      <x:c r="A217" s="23" t="str">
        <x:v>Legacy input</x:v>
      </x:c>
      <x:c r="B217" s="23" t="str">
        <x:v>Uploaded Pairings- Crustacean, Ing Pairings- Crustacean, Pairings- Mollusks and Ing Pairings- Mollusks were reviewed. Legacy member sections and pairing examples remain search/regression leads, not evidence.</x:v>
      </x:c>
      <x:c r="C217" s="23"/>
      <x:c r="D217" s="23"/>
      <x:c r="E217" s="23"/>
      <x:c r="F217" s="23"/>
      <x:c r="G217" s="23"/>
      <x:c r="H217" s="23"/>
    </x:row>
    <x:row r="218">
      <x:c r="A218" s="23" t="str">
        <x:v>Family boundary</x:v>
      </x:c>
      <x:c r="B218" s="23" t="str">
        <x:v>Shellfish is not one chemical parent. Crustacean and bivalve-mollusk families remain separate. Lobster/crayfish and clam/mussel are coverage clusters only; measured rows remain species-specific.</x:v>
      </x:c>
      <x:c r="C218" s="23"/>
      <x:c r="D218" s="23"/>
      <x:c r="E218" s="23"/>
      <x:c r="F218" s="23"/>
      <x:c r="G218" s="23"/>
      <x:c r="H218" s="23"/>
    </x:row>
    <x:row r="219">
      <x:c r="A219" s="23" t="str">
        <x:v>Shrimp</x:v>
      </x:c>
      <x:c r="B219" s="23" t="str">
        <x:v>86-VOC multi-state processing breadth + 38 OAV&gt;1 from Duppeti 2022; complementary source uses &gt;80% NIST/WILEY match quality and contributes six exact raw/cooked/water concentration/OAV rows.</x:v>
      </x:c>
      <x:c r="C219" s="23"/>
      <x:c r="D219" s="23"/>
      <x:c r="E219" s="23"/>
      <x:c r="F219" s="23"/>
      <x:c r="G219" s="23"/>
      <x:c r="H219" s="23"/>
    </x:row>
    <x:row r="220">
      <x:c r="A220" s="23" t="str">
        <x:v>Crab</x:v>
      </x:c>
      <x:c r="B220" s="23" t="str">
        <x:v>34/34 Chinese mitten crab muscle Table-2 rows ingested with source CAS, RI, RT, drift and both diet-group intensities. Independent 69-VOC/9-GC-O source supplies sensory weighting.</x:v>
      </x:c>
      <x:c r="C220" s="23"/>
      <x:c r="D220" s="23"/>
      <x:c r="E220" s="23"/>
      <x:c r="F220" s="23"/>
      <x:c r="G220" s="23"/>
      <x:c r="H220" s="23"/>
    </x:row>
    <x:row r="221">
      <x:c r="A221" s="23" t="str">
        <x:v>Lobster / crayfish</x:v>
      </x:c>
      <x:c r="B221" s="23" t="str">
        <x:v>Lobster: 47 cooked-tail odorants with six predominant named odorants plus volatile sulfur headspace compounds. Crayfish: 68-VOC/29-ROAV tail source and 35-VOC six-cooking-method source.</x:v>
      </x:c>
      <x:c r="C221" s="23"/>
      <x:c r="D221" s="23"/>
      <x:c r="E221" s="23"/>
      <x:c r="F221" s="23"/>
      <x:c r="G221" s="23"/>
      <x:c r="H221" s="23"/>
    </x:row>
    <x:row r="222">
      <x:c r="A222" s="23" t="str">
        <x:v>Scallop</x:v>
      </x:c>
      <x:c r="B222" s="23" t="str">
        <x:v>59/59 GC-IMS analytical features (48 distinct VOCs) ingested across raw, boiled, roasted, fried and microwaved muscle with RI/RT/drift and peak volume. Fried state explicitly includes corn-oil overlay.</x:v>
      </x:c>
      <x:c r="C222" s="23"/>
      <x:c r="D222" s="23"/>
      <x:c r="E222" s="23"/>
      <x:c r="F222" s="23"/>
      <x:c r="G222" s="23"/>
      <x:c r="H222" s="23"/>
    </x:row>
    <x:row r="223">
      <x:c r="A223" s="23" t="str">
        <x:v>Clam / mussel</x:v>
      </x:c>
      <x:c r="B223" s="23" t="str">
        <x:v>Clam raw→boiled source identifies 62 VOCs and links pleasant seafood aroma to ester development while sulfur-linked sea-sand odor declines. Cooked mussel source identifies 85 VOCs and 33 GC-O-active odorants.</x:v>
      </x:c>
      <x:c r="C223" s="23"/>
      <x:c r="D223" s="23"/>
      <x:c r="E223" s="23"/>
      <x:c r="F223" s="23"/>
      <x:c r="G223" s="23"/>
      <x:c r="H223" s="23"/>
    </x:row>
    <x:row r="224">
      <x:c r="A224" s="23" t="str">
        <x:v>MR-10 boundary</x:v>
      </x:c>
      <x:c r="B224" s="23" t="str">
        <x:v>Crab and scallop are full row-level table ingestions. Shrimp, lobster/crayfish and clam/mussel are governed to source-count + sensory/state evidence ceilings; their exact full tables remain visible nonblocking enrichment gaps.</x:v>
      </x:c>
      <x:c r="C224" s="23"/>
      <x:c r="D224" s="23"/>
      <x:c r="E224" s="23"/>
      <x:c r="F224" s="23"/>
      <x:c r="G224" s="23"/>
      <x:c r="H224" s="23"/>
    </x:row>
    <x:row r="225">
      <x:c r="A225" s="23" t="str">
        <x:v>Shellfish status</x:v>
      </x:c>
      <x:c r="B225" s="23" t="str">
        <x:v>COMPLETE FOR TARGETED THIN-MEMBER PHASE, not exhaustive shellfish completion. No automatic cross-member or generic-shellfish inheritance has been approved.</x:v>
      </x:c>
      <x:c r="C225" s="23"/>
      <x:c r="D225" s="23"/>
      <x:c r="E225" s="23"/>
      <x:c r="F225" s="23"/>
      <x:c r="G225" s="23"/>
      <x:c r="H225" s="23"/>
    </x:row>
    <x:row r="227">
      <x:c r="A227" s="235" t="str">
        <x:v>v22 — Governance repair + collection hold</x:v>
      </x:c>
      <x:c r="B227" s="235"/>
      <x:c r="C227" s="235"/>
      <x:c r="D227" s="235"/>
      <x:c r="E227" s="235"/>
      <x:c r="F227" s="235"/>
      <x:c r="G227" s="235"/>
      <x:c r="H227" s="235"/>
    </x:row>
    <x:row r="228">
      <x:c r="A228" s="23" t="str">
        <x:v>Rulebook repair</x:v>
      </x:c>
      <x:c r="B228" s="23" t="str">
        <x:v>Migration Rules now runs continuously MR-01 through MR-16. MR-09/10/11/12/13/15/16 are explicit; MR-14 remains the spoilage/freshness evidence boundary.</x:v>
      </x:c>
      <x:c r="C228" s="23"/>
      <x:c r="D228" s="23"/>
      <x:c r="E228" s="23"/>
      <x:c r="F228" s="23"/>
      <x:c r="G228" s="23"/>
      <x:c r="H228" s="23"/>
    </x:row>
    <x:row r="229">
      <x:c r="A229" s="23" t="str">
        <x:v>MR-09</x:v>
      </x:c>
      <x:c r="B229" s="23" t="str">
        <x:v>Identification-verified requires spectral match factor ≥80 AND |observed RI − reference/NIST RI| &lt;50. Missing values do not silently pass; rows remain partial/unverifiable.</x:v>
      </x:c>
      <x:c r="C229" s="23"/>
      <x:c r="D229" s="23"/>
      <x:c r="E229" s="23"/>
      <x:c r="F229" s="23"/>
      <x:c r="G229" s="23"/>
      <x:c r="H229" s="23"/>
    </x:row>
    <x:row r="230">
      <x:c r="A230" s="23" t="str">
        <x:v>MR-10</x:v>
      </x:c>
      <x:c r="B230" s="23" t="str">
        <x:v>Full recoverable detected tables and source-count reconciliation are now formally required; key-aroma/OAV subsets remain separate sensory layers.</x:v>
      </x:c>
      <x:c r="C230" s="23"/>
      <x:c r="D230" s="23"/>
      <x:c r="E230" s="23"/>
      <x:c r="F230" s="23"/>
      <x:c r="G230" s="23"/>
      <x:c r="H230" s="23"/>
    </x:row>
    <x:row r="231">
      <x:c r="A231" s="23" t="str">
        <x:v>MR-16</x:v>
      </x:c>
      <x:c r="B231" s="23" t="str">
        <x:v>Inherited/founder-equivalence/runtime-equivalence compound rows are excluded from document-frequency counts. Verified Duck Profiles now has explicit formula-driven document_frequency_eligible fields; 18 founder-equivalence rows are excluded.</x:v>
      </x:c>
      <x:c r="C231" s="23"/>
      <x:c r="D231" s="23"/>
      <x:c r="E231" s="23"/>
      <x:c r="F231" s="23"/>
      <x:c r="G231" s="23"/>
      <x:c r="H231" s="23"/>
    </x:row>
    <x:row r="232">
      <x:c r="A232" s="23" t="str">
        <x:v>Data Issues</x:v>
      </x:c>
      <x:c r="B232" s="23" t="str">
        <x:v>DI-13 through DI-18 added: Gong 2025 identification-gate failure, flagged differential identity, Weng duplicate label, Table-17 quantitative misuse risk, phenol coverage bias, and coverage inversion.</x:v>
      </x:c>
      <x:c r="C232" s="23"/>
      <x:c r="D232" s="23"/>
      <x:c r="E232" s="23"/>
      <x:c r="F232" s="23"/>
      <x:c r="G232" s="23"/>
      <x:c r="H232" s="23"/>
    </x:row>
    <x:row r="233">
      <x:c r="A233" s="23" t="str">
        <x:v>Egg preflight</x:v>
      </x:c>
      <x:c r="B233" s="23" t="str">
        <x:v>Representative Egg legacy files were inspected but not promoted. They contain 11 generic compound leads with no yolk/white/whole or preparation provenance. Yolk and white must be separate products/materials when research begins.</x:v>
      </x:c>
      <x:c r="C233" s="23"/>
      <x:c r="D233" s="23"/>
      <x:c r="E233" s="23"/>
      <x:c r="F233" s="23"/>
      <x:c r="G233" s="23"/>
      <x:c r="H233" s="23"/>
    </x:row>
    <x:row r="234">
      <x:c r="A234" s="23" t="str">
        <x:v>Game preflight</x:v>
      </x:c>
      <x:c r="B234" s="23" t="str">
        <x:v>Representative Venison/Vension files are confirmed as general game-meat legacy scope, not deer-specific evidence. Future venison/deer and rabbit profiles must be independently verified.</x:v>
      </x:c>
      <x:c r="C234" s="23"/>
      <x:c r="D234" s="23"/>
      <x:c r="E234" s="23"/>
      <x:c r="F234" s="23"/>
      <x:c r="G234" s="23"/>
      <x:c r="H234" s="23"/>
    </x:row>
    <x:row r="235">
      <x:c r="A235" s="23" t="str">
        <x:v>Collection gate</x:v>
      </x:c>
      <x:c r="B235" s="23" t="str">
        <x:v>ALL NEW COLLECTION IS HELD pending the actual beef ingestion/scoring run. The workbook cannot substitute for executing the ingestion pipeline.</x:v>
      </x:c>
      <x:c r="C235" s="23"/>
      <x:c r="D235" s="23"/>
      <x:c r="E235" s="23"/>
      <x:c r="F235" s="23"/>
      <x:c r="G235" s="23"/>
      <x:c r="H235" s="23"/>
    </x:row>
    <x:row r="236">
      <x:c r="A236" s="23" t="str">
        <x:v>Decision after ingestion</x:v>
      </x:c>
      <x:c r="B236" s="23" t="str">
        <x:v>If beef scores usefully at current governed depth, start Egg. If not, normalize/re-mine existing high-value domestic families under MR-10 before adding another family.</x:v>
      </x:c>
      <x:c r="C236" s="23"/>
      <x:c r="D236" s="23"/>
      <x:c r="E236" s="23"/>
      <x:c r="F236" s="23"/>
      <x:c r="G236" s="23"/>
      <x:c r="H236" s="23"/>
    </x:row>
    <x:row r="238">
      <x:c r="A238" s="253" t="str">
        <x:v>v23 — Egg foundation</x:v>
      </x:c>
      <x:c r="B238" s="253"/>
      <x:c r="C238" s="253"/>
      <x:c r="D238" s="253"/>
      <x:c r="E238" s="253"/>
      <x:c r="F238" s="253"/>
      <x:c r="G238" s="253"/>
      <x:c r="H238" s="253"/>
    </x:row>
    <x:row r="239">
      <x:c r="A239" s="23" t="str">
        <x:v>Collection gate</x:v>
      </x:c>
      <x:c r="B239" s="23" t="str">
        <x:v>Beef depth test cleared the collection-method gate: 120/124 distinct beef-muscle compounds exceed the VCF median and MR-10 remains adequate. The remaining scoring residual belongs to the lens/query layer and does not gate Egg.</x:v>
      </x:c>
      <x:c r="C239" s="23"/>
      <x:c r="D239" s="23"/>
      <x:c r="E239" s="23"/>
      <x:c r="F239" s="23"/>
      <x:c r="G239" s="23"/>
      <x:c r="H239" s="23"/>
    </x:row>
    <x:row r="240">
      <x:c r="A240" s="23" t="str">
        <x:v>DI-13 correction</x:v>
      </x:c>
      <x:c r="B240" s="23" t="str">
        <x:v>The 67-compound duck source is Frontiers in Nutrition 12:1671714 on subcutaneous adipose tissue, not the Frontiers in Molecular Biosciences pectoral-muscle paper. Verified Sources and DI-13/DI-14 were corrected.</x:v>
      </x:c>
      <x:c r="C240" s="23"/>
      <x:c r="D240" s="23"/>
      <x:c r="E240" s="23"/>
      <x:c r="F240" s="23"/>
      <x:c r="G240" s="23"/>
      <x:c r="H240" s="23"/>
    </x:row>
    <x:row r="241">
      <x:c r="A241" s="23" t="str">
        <x:v>Egg product model</x:v>
      </x:c>
      <x:c r="B241" s="23" t="str">
        <x:v>Egg is split from first ingestion into egg:yolk_chicken (yolk_carrier), egg:white_chicken (white_protein), and egg:whole_chicken (whole_egg_composite). Measured whole profiles are never created by unioning yolk + white rows.</x:v>
      </x:c>
      <x:c r="C241" s="23"/>
      <x:c r="D241" s="23"/>
      <x:c r="E241" s="23"/>
      <x:c r="F241" s="23"/>
      <x:c r="G241" s="23"/>
      <x:c r="H241" s="23"/>
    </x:row>
    <x:row r="242">
      <x:c r="A242" s="23" t="str">
        <x:v>Boiled yolk</x:v>
      </x:c>
      <x:c r="B242" s="23" t="str">
        <x:v>A modern 2025 study contributes the complete 123-row Supplementary Table S1 for boiled yolk. Every row retains specific ion, LRI and four breed-group abundance values; 90 are nonzero in the commercial chicken-egg control.</x:v>
      </x:c>
      <x:c r="C242" s="23"/>
      <x:c r="D242" s="23"/>
      <x:c r="E242" s="23"/>
      <x:c r="F242" s="23"/>
      <x:c r="G242" s="23"/>
      <x:c r="H242" s="23"/>
    </x:row>
    <x:row r="243">
      <x:c r="A243" s="23" t="str">
        <x:v>Boiled source arithmetic</x:v>
      </x:c>
      <x:c r="B243" s="23" t="str">
        <x:v>DI-19 preserves a source inconsistency rather than forcing reconciliation: the five published commercial-egg sulfur rows sum to 0.925 while the source prints 1.037; all 123 row values remain unchanged.</x:v>
      </x:c>
      <x:c r="C243" s="23"/>
      <x:c r="D243" s="23"/>
      <x:c r="E243" s="23"/>
      <x:c r="F243" s="23"/>
      <x:c r="G243" s="23"/>
      <x:c r="H243" s="23"/>
    </x:row>
    <x:row r="244">
      <x:c r="A244" s="23" t="str">
        <x:v>Scrambled whole egg</x:v>
      </x:c>
      <x:c r="B244" s="23" t="str">
        <x:v>22 quantitative sensomics targets are governed; 17 are detected/quantified in scrambled chicken egg. H2S is 967 µg/kg with DoT 97 and methanethiol is directly measured, so cooked-egg sulfur is not automatically routed to spoilage.</x:v>
      </x:c>
      <x:c r="C244" s="23"/>
      <x:c r="D244" s="23"/>
      <x:c r="E244" s="23"/>
      <x:c r="F244" s="23"/>
      <x:c r="G244" s="23"/>
      <x:c r="H244" s="23"/>
    </x:row>
    <x:row r="245">
      <x:c r="A245" s="23" t="str">
        <x:v>Yolk heat transformation</x:v>
      </x:c>
      <x:c r="B245" s="23" t="str">
        <x:v>Raw/boiled/fried yolk has a direct 68-VOC flavoromics study. Boiled yolk emphasizes lipid-oxidation products; fried yolk shifts strongly toward pyrazines/Maillard chemistry. The full 68-row Table S2 remains an explicit MR-10 enrichment gap.</x:v>
      </x:c>
      <x:c r="C245" s="23"/>
      <x:c r="D245" s="23"/>
      <x:c r="E245" s="23"/>
      <x:c r="F245" s="23"/>
      <x:c r="G245" s="23"/>
      <x:c r="H245" s="23"/>
    </x:row>
    <x:row r="246">
      <x:c r="A246" s="23" t="str">
        <x:v>Egg white</x:v>
      </x:c>
      <x:c r="B246" s="23" t="str">
        <x:v>Modern direct sources cover raw white (~50 VOCs), steamed/roasted white (&gt;70), and a 29-VOC processing sequence from fresh liquid white. Exact modern white row tables remain open rather than being reconstructed from summaries.</x:v>
      </x:c>
      <x:c r="C246" s="23"/>
      <x:c r="D246" s="23"/>
      <x:c r="E246" s="23"/>
      <x:c r="F246" s="23"/>
      <x:c r="G246" s="23"/>
      <x:c r="H246" s="23"/>
    </x:row>
    <x:row r="247">
      <x:c r="A247" s="23" t="str">
        <x:v>Preserved egg</x:v>
      </x:c>
      <x:c r="B247" s="23" t="str">
        <x:v>Salted/roasted duck yolk has a complete 45-row table (18 salted, 43 roasted-salted, 16 shared). Century yolk adds a 53-odorant sensory layer; salted white adds a 43-VOC / 20-characteristic-compound state layer.</x:v>
      </x:c>
      <x:c r="C247" s="23"/>
      <x:c r="D247" s="23"/>
      <x:c r="E247" s="23"/>
      <x:c r="F247" s="23"/>
      <x:c r="G247" s="23"/>
      <x:c r="H247" s="23"/>
    </x:row>
    <x:row r="248">
      <x:c r="A248" s="23" t="str">
        <x:v>Soft-boiled boundary</x:v>
      </x:c>
      <x:c r="B248" s="23" t="str">
        <x:v>No qualifying distinct compound-resolved soft-boiled profile was located. No soft-boiled chemistry was fabricated or inferred as measured.</x:v>
      </x:c>
      <x:c r="C248" s="23"/>
      <x:c r="D248" s="23"/>
      <x:c r="E248" s="23"/>
      <x:c r="F248" s="23"/>
      <x:c r="G248" s="23"/>
      <x:c r="H248" s="23"/>
    </x:row>
    <x:row r="249">
      <x:c r="A249" s="23" t="str">
        <x:v>Egg status</x:v>
      </x:c>
      <x:c r="B249" s="23" t="str">
        <x:v>CORE PRODUCTS ESTABLISHED; FULL-TABLE GAPS VISIBLE. Boiled chicken yolk and salted/roasted duck yolk are MR-10-complete tables; raw/fried yolk and modern white remain targeted enrichment, not architecture blockers.</x:v>
      </x:c>
      <x:c r="C249" s="23"/>
      <x:c r="D249" s="23"/>
      <x:c r="E249" s="23"/>
      <x:c r="F249" s="23"/>
      <x:c r="G249" s="23"/>
      <x:c r="H249" s="23"/>
    </x:row>
    <x:row r="251">
      <x:c r="A251" s="267" t="str">
        <x:v>v24 — Named-gap enrichment</x:v>
      </x:c>
      <x:c r="B251" s="267"/>
      <x:c r="C251" s="267"/>
      <x:c r="D251" s="267"/>
      <x:c r="E251" s="267"/>
      <x:c r="F251" s="267"/>
      <x:c r="G251" s="267"/>
      <x:c r="H251" s="267"/>
    </x:row>
    <x:row r="252">
      <x:c r="A252" s="23" t="str">
        <x:v>Brown butter evidence policy</x:v>
      </x:c>
      <x:c r="B252" s="23" t="str">
        <x:v>Founder approved conference material for the brown-butter gap. The governed source is an NC State doctoral dissertation chapter/conference-derived research program with full analytical methods and tables; provenance remains labeled institutional rather than peer-reviewed.</x:v>
      </x:c>
      <x:c r="C252" s="23"/>
      <x:c r="D252" s="23"/>
      <x:c r="E252" s="23"/>
      <x:c r="F252" s="23"/>
      <x:c r="G252" s="23"/>
      <x:c r="H252" s="23"/>
    </x:row>
    <x:row r="253">
      <x:c r="A253" s="23" t="str">
        <x:v>Brown butter profile</x:v>
      </x:c>
      <x:c r="B253" s="23" t="str">
        <x:v>77/77 aroma-active compounds from Table 2.5 are ingested with odor descriptor, measured RI, NIST RI and brown/control presence pattern. This is now the canonical browned-butter aroma layer.</x:v>
      </x:c>
      <x:c r="C253" s="23"/>
      <x:c r="D253" s="23"/>
      <x:c r="E253" s="23"/>
      <x:c r="F253" s="23"/>
      <x:c r="G253" s="23"/>
      <x:c r="H253" s="23"/>
    </x:row>
    <x:row r="254">
      <x:c r="A254" s="23" t="str">
        <x:v>Brown butter boundary</x:v>
      </x:c>
      <x:c r="B254" s="23" t="str">
        <x:v>The 77-row table is aroma-active, not an exhaustive all-detected-VOC table. Existing 33-row unheated butter GC-MS data remains the detected baseline; browned butter is represented by baseline + heat/lactone mechanism + 77-row aroma-active profile.</x:v>
      </x:c>
      <x:c r="C254" s="23"/>
      <x:c r="D254" s="23"/>
      <x:c r="E254" s="23"/>
      <x:c r="F254" s="23"/>
      <x:c r="G254" s="23"/>
      <x:c r="H254" s="23"/>
    </x:row>
    <x:row r="255">
      <x:c r="A255" s="23" t="str">
        <x:v>Brown butter chemistry</x:v>
      </x:c>
      <x:c r="B255" s="23" t="str">
        <x:v>The accepted source directly shows browned butter increasing Maillard-derived volatiles, lipid-oxidation products and selected sulfur compounds, with furaneol, aldehydes, ketones, lactones and sulfur compounds central to aroma.</x:v>
      </x:c>
      <x:c r="C255" s="23"/>
      <x:c r="D255" s="23"/>
      <x:c r="E255" s="23"/>
      <x:c r="F255" s="23"/>
      <x:c r="G255" s="23"/>
      <x:c r="H255" s="23"/>
    </x:row>
    <x:row r="256">
      <x:c r="A256" s="23" t="str">
        <x:v>Crayfish MR-10</x:v>
      </x:c>
      <x:c r="B256" s="23" t="str">
        <x:v>68/68 Table-4 crayfish-tail rows are now ingested with CAS, RI, retention time, drift time and all four cooking-context values.</x:v>
      </x:c>
      <x:c r="C256" s="23"/>
      <x:c r="D256" s="23"/>
      <x:c r="E256" s="23"/>
      <x:c r="F256" s="23"/>
      <x:c r="G256" s="23"/>
      <x:c r="H256" s="23"/>
    </x:row>
    <x:row r="257">
      <x:c r="A257" s="23" t="str">
        <x:v>Crayfish overlays</x:v>
      </x:c>
      <x:c r="B257" s="23" t="str">
        <x:v>HW/NHW/HB/NHB are retained separately. Hepatopancreas and beer remain explicit additions/overlays and are not promoted into intrinsic tail chemistry.</x:v>
      </x:c>
      <x:c r="C257" s="23"/>
      <x:c r="D257" s="23"/>
      <x:c r="E257" s="23"/>
      <x:c r="F257" s="23"/>
      <x:c r="G257" s="23"/>
      <x:c r="H257" s="23"/>
    </x:row>
    <x:row r="258">
      <x:c r="A258" s="23" t="str">
        <x:v>Shellfish status</x:v>
      </x:c>
      <x:c r="B258" s="23" t="str">
        <x:v>Crab, crayfish and scallop now provide full row-level detected-table anchors. Shrimp and clam/mussel remain source-count/sensory gaps; lobster remains a sensory/key member within the lobster/crayfish coverage cluster.</x:v>
      </x:c>
      <x:c r="C258" s="23"/>
      <x:c r="D258" s="23"/>
      <x:c r="E258" s="23"/>
      <x:c r="F258" s="23"/>
      <x:c r="G258" s="23"/>
      <x:c r="H258" s="23"/>
    </x:row>
    <x:row r="259">
      <x:c r="A259" s="23" t="str">
        <x:v>Cream</x:v>
      </x:c>
      <x:c r="B259" s="23" t="str">
        <x:v>The 46-VOC supplementary table still exists but its row contents remain inaccessible from the primary article surface in this pass. It remains the principal dairy MR-10 enrichment gap.</x:v>
      </x:c>
      <x:c r="C259" s="23"/>
      <x:c r="D259" s="23"/>
      <x:c r="E259" s="23"/>
      <x:c r="F259" s="23"/>
      <x:c r="G259" s="23"/>
      <x:c r="H259" s="23"/>
    </x:row>
    <x:row r="260">
      <x:c r="A260" s="23" t="str">
        <x:v>Salmon QA</x:v>
      </x:c>
      <x:c r="B260" s="23" t="str">
        <x:v>No change to the original 48-row culinary source's source-specific RI/match-factor deficiency. The independent fresh salmon/cod LRI + standard-confirmation source remains the governed anchor-level MR-09 corroboration; values are not backfilled into the culinary rows.</x:v>
      </x:c>
      <x:c r="C260" s="23"/>
      <x:c r="D260" s="23"/>
      <x:c r="E260" s="23"/>
      <x:c r="F260" s="23"/>
      <x:c r="G260" s="23"/>
      <x:c r="H260" s="23"/>
    </x:row>
    <x:row r="261">
      <x:c r="A261" s="23" t="str">
        <x:v>Next enrichment</x:v>
      </x:c>
      <x:c r="B261" s="23" t="str">
        <x:v>Highest-value remaining named table gaps are shrimp 86-row processing, clam 62-row raw→boil, mussel 85-row cooked profile, lobster 47 odorants, and cream 46-row supplement. Do not treat inaccessible tables as reconstructed evidence.</x:v>
      </x:c>
      <x:c r="C261" s="23"/>
      <x:c r="D261" s="23"/>
      <x:c r="E261" s="23"/>
      <x:c r="F261" s="23"/>
      <x:c r="G261" s="23"/>
      <x:c r="H261" s="23"/>
    </x:row>
    <x:row r="263">
      <x:c r="A263" s="285" t="str">
        <x:v>v25 — Named-gap acquisition pass</x:v>
      </x:c>
      <x:c r="B263" s="285"/>
      <x:c r="C263" s="285"/>
      <x:c r="D263" s="285"/>
      <x:c r="E263" s="285"/>
      <x:c r="F263" s="285"/>
      <x:c r="G263" s="285"/>
      <x:c r="H263" s="285"/>
    </x:row>
    <x:row r="264">
      <x:c r="A264" s="23" t="str">
        <x:v>Shrimp full table</x:v>
      </x:c>
      <x:c r="B264" s="23" t="str">
        <x:v>A new primary source closes shrimp at member-level MR-10: 54/54 GC-MS rows across raw, sous-vide and steamed Litopenaeus vannamei with CAS and quantitative ng/g values.</x:v>
      </x:c>
      <x:c r="C264" s="23"/>
      <x:c r="D264" s="23"/>
      <x:c r="E264" s="23"/>
      <x:c r="F264" s="23"/>
      <x:c r="G264" s="23"/>
      <x:c r="H264" s="23"/>
    </x:row>
    <x:row r="265">
      <x:c r="A265" s="23" t="str">
        <x:v>Shrimp source discrepancy</x:v>
      </x:c>
      <x:c r="B265" s="23" t="str">
        <x:v>DI-20 preserves a source prose/Table-2 reconciliation mismatch. Row table contains 23/39/35 nonzero RS/SV/ST values and sums to 41.56/65.44/60.96 ng/g; prose reports 23/38/35 and 41.56/65.44/59.64. No row is deleted or rescaled.</x:v>
      </x:c>
      <x:c r="C265" s="23"/>
      <x:c r="D265" s="23"/>
      <x:c r="E265" s="23"/>
      <x:c r="F265" s="23"/>
      <x:c r="G265" s="23"/>
      <x:c r="H265" s="23"/>
    </x:row>
    <x:row r="266">
      <x:c r="A266" s="23" t="str">
        <x:v>Shellfish status</x:v>
      </x:c>
      <x:c r="B266" s="23" t="str">
        <x:v>Shrimp, crab, crayfish and scallop now have full row-level detected-table anchors. Clam/mussel is the only targeted cluster without one; lobster remains sensory/key within the lobster/crayfish cluster.</x:v>
      </x:c>
      <x:c r="C266" s="23"/>
      <x:c r="D266" s="23"/>
      <x:c r="E266" s="23"/>
      <x:c r="F266" s="23"/>
      <x:c r="G266" s="23"/>
      <x:c r="H266" s="23"/>
    </x:row>
    <x:row r="267">
      <x:c r="A267" s="23" t="str">
        <x:v>Cream supplement</x:v>
      </x:c>
      <x:c r="B267" s="23" t="str">
        <x:v>The 46-VOC cream Supplementary Table S2 exists, but its attached DOCX row contents are not retrievable in the current runtime. The &gt;80% NIST14 match floor and source-count/class/sensory evidence remain governed; no 46-row reconstruction is created.</x:v>
      </x:c>
      <x:c r="C267" s="23"/>
      <x:c r="D267" s="23"/>
      <x:c r="E267" s="23"/>
      <x:c r="F267" s="23"/>
      <x:c r="G267" s="23"/>
      <x:c r="H267" s="23"/>
    </x:row>
    <x:row r="268">
      <x:c r="A268" s="23" t="str">
        <x:v>Clam / mussel / lobster</x:v>
      </x:c>
      <x:c r="B268" s="23" t="str">
        <x:v>Primary sources were pushed to their accessible evidence ceilings. Clam 62, cooked mussel 85 and lobster 47 row tables are not exposed through current primary surfaces; their source-count and sensory layers remain governed.</x:v>
      </x:c>
      <x:c r="C268" s="23"/>
      <x:c r="D268" s="23"/>
      <x:c r="E268" s="23"/>
      <x:c r="F268" s="23"/>
      <x:c r="G268" s="23"/>
      <x:c r="H268" s="23"/>
    </x:row>
    <x:row r="269">
      <x:c r="A269" s="23" t="str">
        <x:v>Modern mussel enrichment</x:v>
      </x:c>
      <x:c r="B269" s="23" t="str">
        <x:v>A 2026 raw-mussel GC-IMS source reports 67 VOCs in Supplementary Table S3 and is registered as a future enrichment candidate; the supplement is not retrievable in the current runtime and the source itself notes that targeted GC-MS confirmation would strengthen identities.</x:v>
      </x:c>
      <x:c r="C269" s="23"/>
      <x:c r="D269" s="23"/>
      <x:c r="E269" s="23"/>
      <x:c r="F269" s="23"/>
      <x:c r="G269" s="23"/>
      <x:c r="H269" s="23"/>
    </x:row>
    <x:row r="270">
      <x:c r="A270" s="23" t="str">
        <x:v>Egg 68-row supplement</x:v>
      </x:c>
      <x:c r="B270" s="23" t="str">
        <x:v>The raw/boiled/fried yolk Table S2 exists and contains per-row match/reverse-match scores, but is not retrievable here. Because the source screening floor is &gt;700/1000, per-row scores are required before MR-09 evaluation; no aggregate 68-row reconstruction is allowed.</x:v>
      </x:c>
      <x:c r="C270" s="23"/>
      <x:c r="D270" s="23"/>
      <x:c r="E270" s="23"/>
      <x:c r="F270" s="23"/>
      <x:c r="G270" s="23"/>
      <x:c r="H270" s="23"/>
    </x:row>
    <x:row r="271">
      <x:c r="A271" s="23" t="str">
        <x:v>Egg white</x:v>
      </x:c>
      <x:c r="B271" s="23" t="str">
        <x:v>Direct modern raw/cooked chicken-white source counts remain governed, but no complete row-level chicken-white table was exposed in the current source surfaces.</x:v>
      </x:c>
      <x:c r="C271" s="23"/>
      <x:c r="D271" s="23"/>
      <x:c r="E271" s="23"/>
      <x:c r="F271" s="23"/>
      <x:c r="G271" s="23"/>
      <x:c r="H271" s="23"/>
    </x:row>
    <x:row r="272">
      <x:c r="A272" s="23" t="str">
        <x:v>Acquisition governance</x:v>
      </x:c>
      <x:c r="B272" s="23" t="str">
        <x:v>Named Gap Acquisition Audit now distinguishes researched-but-inaccessible row files from genuinely unresearched gaps. Inaccessible supplements are not reconstructed from narrative summaries.</x:v>
      </x:c>
      <x:c r="C272" s="23"/>
      <x:c r="D272" s="23"/>
      <x:c r="E272" s="23"/>
      <x:c r="F272" s="23"/>
      <x:c r="G272" s="23"/>
      <x:c r="H272" s="23"/>
    </x:row>
    <x:row r="273">
      <x:c r="A273" s="23" t="str">
        <x:v>Next family</x:v>
      </x:c>
      <x:c r="B273" s="23" t="str">
        <x:v>Named-gap searching has reached diminishing returns. Proceed to species-specific game meat, preserving the existing Venison/Vension legacy pool as general game-meat evidence rather than deer-specific membership.</x:v>
      </x:c>
      <x:c r="C273" s="23"/>
      <x:c r="D273" s="23"/>
      <x:c r="E273" s="23"/>
      <x:c r="F273" s="23"/>
      <x:c r="G273" s="23"/>
      <x:c r="H273" s="23"/>
    </x:row>
    <x:row r="275">
      <x:c r="A275" s="285" t="str">
        <x:v>v26 — Species-specific game meat</x:v>
      </x:c>
      <x:c r="B275" s="285"/>
      <x:c r="C275" s="285"/>
      <x:c r="D275" s="285"/>
      <x:c r="E275" s="285"/>
      <x:c r="F275" s="285"/>
      <x:c r="G275" s="285"/>
      <x:c r="H275" s="285"/>
    </x:row>
    <x:row r="276">
      <x:c r="A276" s="23" t="str">
        <x:v>Legacy scope</x:v>
      </x:c>
      <x:c r="B276" s="23" t="str">
        <x:v>Pairings- Vension.xlsx and Ing Pairings- Venison.xlsx remain representative game meat (general) evidence. They were not narrowed to deer and no legacy compound row was promoted into rabbit or red deer.</x:v>
      </x:c>
      <x:c r="C276" s="23"/>
      <x:c r="D276" s="23"/>
      <x:c r="E276" s="23"/>
      <x:c r="F276" s="23"/>
      <x:c r="G276" s="23"/>
      <x:c r="H276" s="23"/>
    </x:row>
    <x:row r="277">
      <x:c r="A277" s="23" t="str">
        <x:v>Rabbit full table</x:v>
      </x:c>
      <x:c r="B277" s="23" t="str">
        <x:v>Hyla rabbit now has a complete 63-row quantitative Table 2 across foreleg, hind leg, abdomen and longissimus dorsi, male and female, with odor thresholds, row-level MS/RI identification mode and selected standard confirmations.</x:v>
      </x:c>
      <x:c r="C277" s="23"/>
      <x:c r="D277" s="23"/>
      <x:c r="E277" s="23"/>
      <x:c r="F277" s="23"/>
      <x:c r="G277" s="23"/>
      <x:c r="H277" s="23"/>
    </x:row>
    <x:row r="278">
      <x:c r="A278" s="23" t="str">
        <x:v>Rabbit state meaning</x:v>
      </x:c>
      <x:c r="B278" s="23" t="str">
        <x:v>The 63-row source used 75°C SPME because the authors selected that condition to simulate boiled-rabbit aroma. It is therefore governed as thermally simulated cooked headspace, not mislabeled as literal raw rabbit.</x:v>
      </x:c>
      <x:c r="C278" s="23"/>
      <x:c r="D278" s="23"/>
      <x:c r="E278" s="23"/>
      <x:c r="F278" s="23"/>
      <x:c r="G278" s="23"/>
      <x:c r="H278" s="23"/>
    </x:row>
    <x:row r="279">
      <x:c r="A279" s="23" t="str">
        <x:v>Rabbit source count issue</x:v>
      </x:c>
      <x:c r="B279" s="23" t="str">
        <x:v>DI-21 preserves a source mismatch: nonzero Table-2 values count to FL 35/43, HL 35/38, abdomen 38/49 and LD 30/34 male/female, while the paper prose reports 33/42, 31/34, 33/48 and 27/33. No measured row was deleted to force the prose counts.</x:v>
      </x:c>
      <x:c r="C279" s="23"/>
      <x:c r="D279" s="23"/>
      <x:c r="E279" s="23"/>
      <x:c r="F279" s="23"/>
      <x:c r="G279" s="23"/>
      <x:c r="H279" s="23"/>
    </x:row>
    <x:row r="280">
      <x:c r="A280" s="23" t="str">
        <x:v>Rabbit enrichment</x:v>
      </x:c>
      <x:c r="B280" s="23" t="str">
        <x:v>A 2025 raw-longissimus source reports 140 VOCs and 31 OAV≥1, and a separate 2025 cooking study reports 45 VOCs across boiling, roasting and frying. Their exact row tables remain nonblocking acquisition gaps.</x:v>
      </x:c>
      <x:c r="C280" s="23"/>
      <x:c r="D280" s="23"/>
      <x:c r="E280" s="23"/>
      <x:c r="F280" s="23"/>
      <x:c r="G280" s="23"/>
      <x:c r="H280" s="23"/>
    </x:row>
    <x:row r="281">
      <x:c r="A281" s="23" t="str">
        <x:v>Red deer</x:v>
      </x:c>
      <x:c r="B281" s="23" t="str">
        <x:v>Wild Iberian red deer is now a species-specific product rather than a generic venison label. Its cooked-loin source reports 55 VOCs; aldehydes account for ~84% of relative abundance.</x:v>
      </x:c>
      <x:c r="C281" s="23"/>
      <x:c r="D281" s="23"/>
      <x:c r="E281" s="23"/>
      <x:c r="F281" s="23"/>
      <x:c r="G281" s="23"/>
      <x:c r="H281" s="23"/>
    </x:row>
    <x:row r="282">
      <x:c r="A282" s="23" t="str">
        <x:v>Red-deer odor impact</x:v>
      </x:c>
      <x:c r="B282" s="23" t="str">
        <x:v>Dimethyl trisulfide, (E,E)-2,4-decadienal, decanal and dodecanal carry the strongest reported odor impact. Hexadecanal is the major abundance compound; 2,3-octanedione, hexadecane and 1-pentadecanol are discussed as pasture-linked markers.</x:v>
      </x:c>
      <x:c r="C282" s="23"/>
      <x:c r="D282" s="23"/>
      <x:c r="E282" s="23"/>
      <x:c r="F282" s="23"/>
      <x:c r="G282" s="23"/>
      <x:c r="H282" s="23"/>
    </x:row>
    <x:row r="283">
      <x:c r="A283" s="23" t="str">
        <x:v>Red-deer MR-10 boundary</x:v>
      </x:c>
      <x:c r="B283" s="23" t="str">
        <x:v>The open-access paper publishes a full 55-row Table 1, but the complete table could not be recovered safely in this runtime without piecing rows together from indexed fragments. Source-count/class/key evidence is governed and the row table remains acquisition-pending.</x:v>
      </x:c>
      <x:c r="C283" s="23"/>
      <x:c r="D283" s="23"/>
      <x:c r="E283" s="23"/>
      <x:c r="F283" s="23"/>
      <x:c r="G283" s="23"/>
      <x:c r="H283" s="23"/>
    </x:row>
    <x:row r="284">
      <x:c r="A284" s="23" t="str">
        <x:v>Game architecture</x:v>
      </x:c>
      <x:c r="B284" s="23" t="str">
        <x:v>Rabbit and red deer share broad lipid-oxidation/carbonyl mechanisms, but no cross-species compound inheritance is approved. Cut, sex, diet/pasture and preparation remain explicit deltas.</x:v>
      </x:c>
      <x:c r="C284" s="23"/>
      <x:c r="D284" s="23"/>
      <x:c r="E284" s="23"/>
      <x:c r="F284" s="23"/>
      <x:c r="G284" s="23"/>
      <x:c r="H284" s="23"/>
    </x:row>
    <x:row r="285">
      <x:c r="A285" s="23" t="str">
        <x:v>Game status</x:v>
      </x:c>
      <x:c r="B285" s="23" t="str">
        <x:v>COMPLETE FOR CURRENT PHASE WITH DEER ROW-ENRICHMENT GAP. The remaining game work is enrichment, not a missing-family architecture problem.</x:v>
      </x:c>
      <x:c r="C285" s="23"/>
      <x:c r="D285" s="23"/>
      <x:c r="E285" s="23"/>
      <x:c r="F285" s="23"/>
      <x:c r="G285" s="23"/>
      <x:c r="H285" s="23"/>
    </x:row>
    <x:row r="286">
      <x:c r="A286"/>
      <x:c r="B286"/>
      <x:c r="C286"/>
      <x:c r="D286"/>
    </x:row>
    <x:row r="287">
      <x:c r="A287" s="23" t="str">
        <x:v>v27 — Egg pre-ingestion audit</x:v>
      </x:c>
      <x:c r="B287" s="23"/>
      <x:c r="C287" s="23"/>
      <x:c r="D287" s="23"/>
    </x:row>
    <x:row r="288">
      <x:c r="A288" s="23" t="str">
        <x:v>Sequencing correction</x:v>
      </x:c>
      <x:c r="B288" s="23" t="str">
        <x:v>v26 already completed the planned egg evidence collection. The next egg task is not another literature pass: it is a clean regenerate through the corrected resolver/classifier learned from beef.</x:v>
      </x:c>
      <x:c r="C288" s="23"/>
      <x:c r="D288" s="23"/>
    </x:row>
    <x:row r="289">
      <x:c r="A289" s="23" t="str">
        <x:v>MR-15 egg check</x:v>
      </x:c>
      <x:c r="B289" s="23" t="str">
        <x:v>The 123-row boiled-yolk table has 48 alkane rows, 42 detected in the commercial chicken-egg control. D-limonene is the only row normalized as a terpene and is not detected in the commercial control. The beef alkane→terpene error is not simply recurring in egg.</x:v>
      </x:c>
      <x:c r="C289" s="23"/>
      <x:c r="D289" s="23"/>
    </x:row>
    <x:row r="290">
      <x:c r="A290" s="23" t="str">
        <x:v>Background gate</x:v>
      </x:c>
      <x:c r="B290" s="23" t="str">
        <x:v>Octamethylcyclotetrasiloxane is explicitly marked analytical-background caution and is the largest commercial-egg row by abundance. Background/unmapped routing must occur before document-frequency/distinctiveness interpretation; raw source provenance remains untouched.</x:v>
      </x:c>
      <x:c r="C290" s="23"/>
      <x:c r="D290" s="23"/>
    </x:row>
    <x:row r="291">
      <x:c r="A291" s="23" t="str">
        <x:v>No class blacklist</x:v>
      </x:c>
      <x:c r="B291" s="23" t="str">
        <x:v>Dibutyl phthalate appears in boiled chicken yolk and independently in roasted-salted duck yolk, with authentic-standard confirmation in the salted-yolk source. Identity resolution and background/context routing must remain separate; do not delete whole chemical classes by rule.</x:v>
      </x:c>
      <x:c r="C291" s="23"/>
      <x:c r="D291" s="23"/>
    </x:row>
    <x:row r="292">
      <x:c r="A292" s="23" t="str">
        <x:v>Resolver regression anchors</x:v>
      </x:c>
      <x:c r="B292" s="23" t="str">
        <x:v>Independent egg sources provide same-identity controls including H2S, 2,3-butanedione, octanal, 1-octen-3-ol, 2-pentylfuran, nonanal, hexanal, acetic acid and 2-ethyl-3,6-dimethylpyrazine. Canonical identity should converge while product/state provenance remains distinct.</x:v>
      </x:c>
      <x:c r="C292" s="23"/>
      <x:c r="D292" s="23"/>
    </x:row>
    <x:row r="293">
      <x:c r="A293" s="23" t="str">
        <x:v>Egg collection status</x:v>
      </x:c>
      <x:c r="B293" s="23" t="str">
        <x:v>CLOSED FOR CURRENT PHASE. Raw/fried-yolk Table S2, modern chicken-white rows, salted-white rows, a stronger raw whole-egg anchor and soft-boiled chemistry remain bounded acquisition gaps only. None is reopened before the clean regenerate.</x:v>
      </x:c>
      <x:c r="C293" s="23"/>
      <x:c r="D293" s="23"/>
    </x:row>
    <x:row r="294">
      <x:c r="A294" s="23" t="str">
        <x:v>Next sequence</x:v>
      </x:c>
      <x:c r="B294" s="23" t="str">
        <x:v>Clean egg regenerate → report mapped/background/unresolved/duplicate-collapsed counts → calculate post-clean DF behavior → spine clustering for known near-duplicates → runtime wiring. New literature collection becomes product/runtime-triggered.</x:v>
      </x:c>
      <x:c r="C294" s="23"/>
      <x:c r="D294" s="23"/>
    </x:row>
    <x:row r="295">
      <x:c r="A295" s="23"/>
      <x:c r="B295" s="23"/>
      <x:c r="C295" s="23"/>
      <x:c r="D295" s="23"/>
    </x:row>
    <x:row r="296">
      <x:c r="A296" s="23" t="str">
        <x:v>v28 — MR-17/MR-18 + exclusion routing correction</x:v>
      </x:c>
      <x:c r="B296" s="23"/>
      <x:c r="C296" s="23"/>
      <x:c r="D296" s="23"/>
    </x:row>
    <x:row r="297">
      <x:c r="A297" s="23" t="str">
        <x:v>MR-17 category split</x:v>
      </x:c>
      <x:c r="B297" s="23" t="str">
        <x:v>Exclusion is now three-state: analytical background (method artifact; corpus-wide suppression), present-not-flavor-relevant (genuine per-sample residue/migrant/contaminant; retain occurrence but exclude from flavor/DF), and unresolved (held out of both until evidence is sufficient).</x:v>
      </x:c>
      <x:c r="C297" s="23"/>
      <x:c r="D297" s="23"/>
    </x:row>
    <x:row r="298">
      <x:c r="A298" s="23" t="str">
        <x:v>Beef re-tag</x:v>
      </x:c>
      <x:c r="B298" s="23" t="str">
        <x:v>The five obvious beef-aging exclusion rows are now separated under MR-17: 2,2-dichloropropane, etridiazole and Demeton-O are present_not_flavor_relevant; ethyl chloride and perfluorononane are unresolved rather than guessed.</x:v>
      </x:c>
      <x:c r="C298" s="23"/>
      <x:c r="D298" s="23"/>
    </x:row>
    <x:row r="299">
      <x:c r="A299" s="23" t="str">
        <x:v>Etridiazole identity</x:v>
      </x:c>
      <x:c r="B299" s="23" t="str">
        <x:v>BDA-031's source label resolves to etridiazole, an EPA-identified fungicide. Its occurrence is preserved as a sample fact, not flavor chemistry.</x:v>
      </x:c>
      <x:c r="C299" s="23"/>
      <x:c r="D299" s="23"/>
    </x:row>
    <x:row r="300">
      <x:c r="A300" s="23" t="str">
        <x:v>Egg phthalate</x:v>
      </x:c>
      <x:c r="B300" s="23" t="str">
        <x:v>Dibutyl phthalate resolves consistently across boiled chicken yolk and standard-confirmed roasted-salted duck yolk, but routes present_not_flavor_relevant in each sample. Confirmed presence is not the same as flavor relevance.</x:v>
      </x:c>
      <x:c r="C300" s="23"/>
      <x:c r="D300" s="23"/>
    </x:row>
    <x:row r="301">
      <x:c r="A301" s="23" t="str">
        <x:v>Egg siloxane</x:v>
      </x:c>
      <x:c r="B301" s="23" t="str">
        <x:v>Octamethylcyclotetrasiloxane is now analytical_background, not merely a caution. Its raw row remains; it is suppressed corpus-wide from flavor profiles/DF.</x:v>
      </x:c>
      <x:c r="C301" s="23"/>
      <x:c r="D301" s="23"/>
    </x:row>
    <x:row r="302">
      <x:c r="A302" s="23" t="str">
        <x:v>MR-18</x:v>
      </x:c>
      <x:c r="B302" s="23" t="str">
        <x:v>GROUP_MAP completeness is now documented as a hard pre-ingestion gate. Resolver/classifier/group-map changes after a family ingests require a clean regenerate.</x:v>
      </x:c>
      <x:c r="C302" s="23"/>
      <x:c r="D302" s="23"/>
    </x:row>
    <x:row r="303">
      <x:c r="A303" s="23" t="str">
        <x:v>Egg backlog split</x:v>
      </x:c>
      <x:c r="B303" s="23" t="str">
        <x:v>Raw/boiled/fried yolk Table S2, modern chicken-white rows and salted duck-white 43 rows are re-mining of held sources. Stronger raw whole egg and soft-boiled are true new collection; full detected scrambled egg is added as a higher-value new collection target.</x:v>
      </x:c>
      <x:c r="C303" s="23"/>
      <x:c r="D303" s="23"/>
    </x:row>
    <x:row r="304">
      <x:c r="A304" s="23" t="str">
        <x:v>Sequence</x:v>
      </x:c>
      <x:c r="B304" s="23" t="str">
        <x:v>Resolver/classifier → MR-17/MR-18 gates → clean egg regenerate → mapping/routing/duplicate counts → DF → re-mining/targeted collection → spine clustering → runtime wiring.</x:v>
      </x:c>
      <x:c r="C304" s="23"/>
      <x:c r="D304" s="23"/>
    </x:row>
    <x:row r="306">
      <x:c r="A306" t="str">
        <x:v>v29 — MR-17 routing audit completion</x:v>
      </x:c>
      <x:c r="B306"/>
      <x:c r="C306"/>
      <x:c r="D306"/>
    </x:row>
    <x:row r="307">
      <x:c r="A307" t="str">
        <x:v>Audit completion</x:v>
      </x:c>
      <x:c r="B307" t="str">
        <x:v>Five beef rows omitted from v28's routing audit now have explicit MR-17 states and mirrored route fields on their Detected tabs: diisopropyl ether, 2-ethylhexyl acrylate, 1-butanamine, 1-formylpyrrolidine and ethylcyclopentane.</x:v>
      </x:c>
      <x:c r="C307"/>
      <x:c r="D307"/>
    </x:row>
    <x:row r="308">
      <x:c r="A308" t="str">
        <x:v>2-Ethylhexyl acrylate</x:v>
      </x:c>
      <x:c r="B308" t="str">
        <x:v>Routed present_not_flavor_relevant. External authority identifies it as an industrial acrylate monomer used heavily in pressure-sensitive adhesives; measured occurrence is preserved, but it does not enter flavor profiles or DF/IDF.</x:v>
      </x:c>
      <x:c r="C308"/>
      <x:c r="D308"/>
    </x:row>
    <x:row r="309">
      <x:c r="A309" t="str">
        <x:v>Diisopropyl ether</x:v>
      </x:c>
      <x:c r="B309" t="str">
        <x:v>Routed unresolved, not automatically present_not_flavor_relevant. The beef source reports it, but current evidence does not distinguish genuine sample residue from analytical/method background. Industrial-solvent identity alone is insufficient to choose the route.</x:v>
      </x:c>
      <x:c r="C309"/>
      <x:c r="D309"/>
    </x:row>
    <x:row r="310">
      <x:c r="A310" t="str">
        <x:v>Other unresolved</x:v>
      </x:c>
      <x:c r="B310" t="str">
        <x:v>1-butanamine, 1-formylpyrrolidine and ethylcyclopentane remain explicit unresolved holds. Their source rows stay intact; none enter flavor profiles/DF until resolver/classifier evidence supports a route.</x:v>
      </x:c>
      <x:c r="C310"/>
      <x:c r="D310"/>
    </x:row>
    <x:row r="311">
      <x:c r="A311" t="str">
        <x:v>No absence-based exclusion</x:v>
      </x:c>
      <x:c r="B311" t="str">
        <x:v>The routing audit and Detected tabs now carry explicit route state. Adjudicated rows are no longer excluded or held simply because they fail to appear in a downstream profile.</x:v>
      </x:c>
      <x:c r="C311"/>
      <x:c r="D311"/>
    </x:row>
    <x:row r="312">
      <x:c r="A312" t="str">
        <x:v>Gate status</x:v>
      </x:c>
      <x:c r="B312" t="str">
        <x:v>Workbook-side governance gate is clear. Remaining gate is executable: corrected resolver/classifier + GROUP_MAP validation, then clean egg regenerate and route/count diagnostics before DF.</x:v>
      </x:c>
      <x:c r="C312"/>
      <x:c r="D312"/>
    </x:row>
    <x:row r="313">
      <x:c r="A313" t="str">
        <x:v>Sequence</x:v>
      </x:c>
      <x:c r="B313" t="str">
        <x:v>Corrected resolver/classifier → MR-18 GROUP_MAP check → clean egg regenerate → route/count diagnostics → DF → held-source re-mining / targeted collection → spine clustering → runtime wiring.</x:v>
      </x:c>
      <x:c r="C313"/>
      <x:c r="D313"/>
    </x:row>
  </x:sheetData>
  <x:mergeCells>
    <x:mergeCell ref="A1:H1"/>
    <x:mergeCell ref="A3:H3"/>
    <x:mergeCell ref="A11:H11"/>
    <x:mergeCell ref="A12:H13"/>
    <x:mergeCell ref="A15:H15"/>
    <x:mergeCell ref="A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48" hidden="0" customWidth="1"/>
  </x:cols>
  <x:sheetData>
    <x:row r="1">
      <x:c r="A1" s="22" t="str">
        <x:v>rule_id</x:v>
      </x:c>
      <x:c r="B1" s="22" t="str">
        <x:v>rule</x:v>
      </x:c>
      <x:c r="C1" s="22" t="str">
        <x:v>implementation</x:v>
      </x:c>
      <x:c r="D1" s="22" t="str">
        <x:v>reason</x:v>
      </x:c>
    </x:row>
    <x:row r="2">
      <x:c r="A2" s="23" t="str">
        <x:v>MR-01</x:v>
      </x:c>
      <x:c r="B2" s="23" t="str">
        <x:v>Preserve raw legacy values</x:v>
      </x:c>
      <x:c r="C2" s="23" t="str">
        <x:v>Raw compound names, descriptors, file labels, and pairing outputs stay unchanged in *_raw fields.</x:v>
      </x:c>
      <x:c r="D2" s="23" t="str">
        <x:v>Normalization must be reviewable; cleanup cannot overwrite provenance.</x:v>
      </x:c>
    </x:row>
    <x:row r="3">
      <x:c r="A3" s="23" t="str">
        <x:v>MR-02</x:v>
      </x:c>
      <x:c r="B3" s="23" t="str">
        <x:v>Legacy is not evidence status</x:v>
      </x:c>
      <x:c r="C3" s="23" t="str">
        <x:v>All migrated compound rows enter as legacy_unverified; evidence_status remains blank until sourced.</x:v>
      </x:c>
      <x:c r="D3" s="23" t="str">
        <x:v>The legacy workbook itself does not establish measured/literature support.</x:v>
      </x:c>
    </x:row>
    <x:row r="4">
      <x:c r="A4" s="23" t="str">
        <x:v>MR-03</x:v>
      </x:c>
      <x:c r="B4" s="23" t="str">
        <x:v>Venison/Vension legacy files represent general game meat</x:v>
      </x:c>
      <x:c r="C4" s="23" t="str">
        <x:v>Pairings- Vension.xlsx and Ing Pairings- Venison.xlsx are representative legacy game-meat files, not deer-specific evidence. Preserve filenames/source labels, but interpreted_scope remains game meat (general) until a species is independently verified.</x:v>
      </x:c>
      <x:c r="D4" s="23" t="str">
        <x:v>Prevents a representative game legacy sheet from colliding with future species-specific venison/deer or rabbit profiles.</x:v>
      </x:c>
    </x:row>
    <x:row r="5">
      <x:c r="A5" s="23" t="str">
        <x:v>MR-04</x:v>
      </x:c>
      <x:c r="B5" s="23" t="str">
        <x:v>No automatic family promotion</x:v>
      </x:c>
      <x:c r="C5" s="23" t="str">
        <x:v>Generic poultry/game/fish/etc. records are research leads only. Family base requires cross-member support.</x:v>
      </x:c>
      <x:c r="D5" s="23" t="str">
        <x:v>Avoids similarity flattening and IDF distortion.</x:v>
      </x:c>
    </x:row>
    <x:row r="6">
      <x:c r="A6" s="23" t="str">
        <x:v>MR-05</x:v>
      </x:c>
      <x:c r="B6" s="23" t="str">
        <x:v>Explicit member hints are valuable</x:v>
      </x:c>
      <x:c r="C6" s="23" t="str">
        <x:v>Crab/crayfish/shrimp sections and turkey-not-chicken notes are preserved as member_hint/exclusion fields.</x:v>
      </x:c>
      <x:c r="D6" s="23" t="str">
        <x:v>These materially narrow the verification task.</x:v>
      </x:c>
    </x:row>
    <x:row r="7">
      <x:c r="A7" s="23" t="str">
        <x:v>MR-06</x:v>
      </x:c>
      <x:c r="B7" s="23" t="str">
        <x:v>Preparation remains unresolved</x:v>
      </x:c>
      <x:c r="C7" s="23" t="str">
        <x:v>Legacy compound sheets do not receive a guessed preparation_state.</x:v>
      </x:c>
      <x:c r="D7" s="23" t="str">
        <x:v>A cooked-meat volatile cannot be silently converted into raw, roasted, grilled, etc.</x:v>
      </x:c>
    </x:row>
    <x:row r="8">
      <x:c r="A8" s="23" t="str">
        <x:v>MR-07</x:v>
      </x:c>
      <x:c r="B8" s="23" t="str">
        <x:v>Pairing outputs are regression only</x:v>
      </x:c>
      <x:c r="C8" s="23" t="str">
        <x:v>Ing Pairings rows are separated from compound staging.</x:v>
      </x:c>
      <x:c r="D8" s="23" t="str">
        <x:v>Derived outputs must not feed back into the evidence layer as source data.</x:v>
      </x:c>
    </x:row>
    <x:row r="9">
      <x:c r="A9" s="23" t="str">
        <x:v>MR-08</x:v>
      </x:c>
      <x:c r="B9" s="23" t="str">
        <x:v>Pairing compound examples are research leads</x:v>
      </x:c>
      <x:c r="C9" s="23" t="str">
        <x:v>Specific common compounds are stored separately with their original pairing label.</x:v>
      </x:c>
      <x:c r="D9" s="23" t="str">
        <x:v>Useful for validation without asserting canonical protein membership.</x:v>
      </x:c>
    </x:row>
    <x:row r="10">
      <x:c r="A10" s="133" t="str">
        <x:v>MR-09</x:v>
      </x:c>
      <x:c r="B10" s="133" t="str">
        <x:v>Identification gate</x:v>
      </x:c>
      <x:c r="C10" s="133" t="str">
        <x:v>A row may be marked MR-09 identification-verified only when the reported spectral match factor is ≥80 AND the absolute difference between observed RI and NIST/reference RI is &lt;50. If either value is unavailable, retain the analytical row but mark identification quality partial/unverifiable rather than silently passing it.</x:v>
      </x:c>
      <x:c r="D10" s="133" t="str">
        <x:v>Separates analytical occurrence from an auditable identity claim and makes QA failures explicit.</x:v>
      </x:c>
    </x:row>
    <x:row r="11">
      <x:c r="A11" s="23" t="str">
        <x:v>MR-10</x:v>
      </x:c>
      <x:c r="B11" s="23" t="str">
        <x:v>Extract full detected tables, not key-aroma subsets</x:v>
      </x:c>
      <x:c r="C11" s="23" t="str">
        <x:v>When a qualifying source publishes a detected-compound table, ingest the complete recoverable table and reconcile extracted row counts to the source-reported count. Keep sensory/OAV/key-aroma subsets as a separate layer.</x:v>
      </x:c>
      <x:c r="D11" s="23" t="str">
        <x:v>Prevents thin profiles from appearing chemically sparse merely because only key odorants were extracted.</x:v>
      </x:c>
    </x:row>
    <x:row r="12">
      <x:c r="A12" s="23" t="str">
        <x:v>MR-11</x:v>
      </x:c>
      <x:c r="B12" s="23" t="str">
        <x:v>Profiles never cascade across sources; descriptors may</x:v>
      </x:c>
      <x:c r="C12" s="23" t="str">
        <x:v>Compound membership, concentration, OAV, RI, match quality, preparation and material context remain attached to the source that measured them. Canonical odor descriptors may be reused across the same compound identity with provenance.</x:v>
      </x:c>
      <x:c r="D12" s="23" t="str">
        <x:v>Prevents one paper's measured profile from being silently expanded using another paper while still allowing stable compound vocabulary.</x:v>
      </x:c>
    </x:row>
    <x:row r="13">
      <x:c r="A13" s="23" t="str">
        <x:v>MR-12</x:v>
      </x:c>
      <x:c r="B13" s="23" t="str">
        <x:v>State tiering is a query-time operation</x:v>
      </x:c>
      <x:c r="C13" s="23" t="str">
        <x:v>Ingest measured preparation/state labels exactly as sourced. Raw/cooked/high-heat/moist-heat or other state tiers are applied by query/runtime logic, not by rewriting source rows during ingestion.</x:v>
      </x:c>
      <x:c r="D13" s="23" t="str">
        <x:v>Preserves source truth while still enabling practical chef-facing state grouping.</x:v>
      </x:c>
    </x:row>
    <x:row r="14">
      <x:c r="A14" s="23" t="str">
        <x:v>MR-13</x:v>
      </x:c>
      <x:c r="B14" s="23" t="str">
        <x:v>Fat and carrier tissue are separate products</x:v>
      </x:c>
      <x:c r="C14" s="23" t="str">
        <x:v>Fat, skin, yolk, rendered fat and other carrier tissues are separate product/material entities when chemically distinct; preparation is modeled separately. Do not store a carrier tissue as merely a cut/state of lean muscle.</x:v>
      </x:c>
      <x:c r="D14" s="23" t="str">
        <x:v>Prevents high-lipid carrier chemistry from contaminating lean-tissue profiles and supports butter/yolk/fat reasoning.</x:v>
      </x:c>
    </x:row>
    <x:row r="15">
      <x:c r="A15" s="23" t="str">
        <x:v>MR-14</x:v>
      </x:c>
      <x:c r="B15" s="23" t="str">
        <x:v>Spoilage-context evidence is not positive pairing evidence</x:v>
      </x:c>
      <x:c r="C15" s="23" t="str">
        <x:v>Keep analytically valid spoilage/freshness measurements in provenance, but do not promote a compound into a desirable pairing profile solely from spoilage/storage evidence. If the same compound has independent fresh/cooked culinary evidence, evaluate that evidence normally.</x:v>
      </x:c>
      <x:c r="D15" s="23" t="str">
        <x:v>Generalizes PAT-BEEF-005 without adding a seafood-specific spoilage subsystem; this is an evidence-routing rule, not a compound blacklist.</x:v>
      </x:c>
    </x:row>
    <x:row r="16">
      <x:c r="A16" s="23" t="str">
        <x:v>MR-15</x:v>
      </x:c>
      <x:c r="B16" s="23" t="str">
        <x:v>Straight-chain alkanes are lipid-degradation hydrocarbons, not terpenes</x:v>
      </x:c>
      <x:c r="C16" s="23" t="str">
        <x:v>Classify straight-chain alkanes such as pentane, hexane, heptane, octane, nonane, decane, dodecane, tetradecane, pentadecane, hexadecane, heptadecane and octadecane as hydrocarbons/alkanes. Terpene classification requires terpene/isoprenoid structure.</x:v>
      </x:c>
      <x:c r="D16" s="23" t="str">
        <x:v>Prevents taxonomy inflation and incorrect terpene-family reasoning from common lipid-degradation fragments.</x:v>
      </x:c>
    </x:row>
    <x:row r="17">
      <x:c r="A17" s="23" t="str">
        <x:v>MR-16</x:v>
      </x:c>
      <x:c r="B17" s="23" t="str">
        <x:v>Inherited/equivalence rows do not count toward document frequency</x:v>
      </x:c>
      <x:c r="C17" s="23" t="str">
        <x:v>Rows whose compound membership is inherited, founder_equivalence, runtime_equivalence or otherwise not independently measured for that product/state are excluded from document-frequency/IDF counts. They may still be returned at runtime with explicit inheritance provenance.</x:v>
      </x:c>
      <x:c r="D17" s="23" t="str">
        <x:v>Prevents equivalence-expanded profiles from artificially increasing corpus frequency and weakening discriminative weighting.</x:v>
      </x:c>
    </x:row>
    <x:row r="18">
      <x:c r="A18" s="23" t="str">
        <x:v>MR-17</x:v>
      </x:c>
      <x:c r="B18" s="23" t="str">
        <x:v>Classification gate + three-state flavor-relevance routing</x:v>
      </x:c>
      <x:c r="C18" s="23" t="str">
        <x:v>Before a resolved identity can enter a flavor profile or document-frequency/IDF calculation, classification must be complete and its flavor-relevance route must be explicit. Non-flavor rows use exactly three exclusion states: analytical_background = method artifact that is suppressed corpus-wide while raw provenance is retained; present_not_flavor_relevant = genuinely present in the sample (e.g. residue, migrant, contaminant) but excluded from flavor profiles/DF while retained per sample; unresolved = insufficient basis to classify, held in neither flavor profile nor DF. No chemical-class blacklist. Identity resolution and flavor-relevance routing are separate decisions.</x:v>
      </x:c>
      <x:c r="D18" s="23" t="str">
        <x:v>Prevents method artifacts, genuine non-flavor sample constituents, and uncertain identities from being collapsed into one exclusion bucket; preserves sample truth without letting non-flavor chemistry inflate distinctiveness.</x:v>
      </x:c>
    </x:row>
    <x:row r="19">
      <x:c r="A19" s="23" t="str">
        <x:v>MR-18</x:v>
      </x:c>
      <x:c r="B19" s="23" t="str">
        <x:v>GROUP_MAP completeness is a hard pre-ingestion gate</x:v>
      </x:c>
      <x:c r="C19" s="23" t="str">
        <x:v>Every canonical compound group emitted by the resolver/classifier must have an explicit GROUP_MAP target before a family ingest starts. A missing or unmapped group fails closed/holds the row; it may not silently fall through to a generic bucket. Resolver behavior, classification, MR-17 routing, and GROUP_MAP completeness are validated before family ingestion. Any change after ingestion requires a clean regenerate of that family.</x:v>
      </x:c>
      <x:c r="D19" s="23" t="str">
        <x:v>Makes classification/resolver correctness a prerequisite rather than post-processing and prevents family profiles from being built on incomplete taxonomy mappings.</x:v>
      </x:c>
    </x:row>
  </x:sheetData>
  <x:pageMargins left="0.7" right="0.7" top="0.75" bottom="0.75" header="0.3" footer="0.3"/>
  <x:tableParts count="1">
    <x:tablePart xmlns:r="http://schemas.openxmlformats.org/officeDocument/2006/relationships" r:id="R9178b848997f4ce0"/>
  </x:tableParts>
</x:worksheet>
</file>

<file path=xl/worksheets/sheet3.xml><?xml version="1.0" encoding="utf-8"?>
<x:worksheet xmlns:x="http://schemas.openxmlformats.org/spreadsheetml/2006/main">
  <x:sheetFormatPr defaultRowHeight="15"/>
  <x:cols>
    <x:col min="1" max="1" width="13" hidden="0" customWidth="1"/>
    <x:col min="2" max="2" width="28" hidden="0" customWidth="1"/>
    <x:col min="3" max="3" width="12" hidden="0" customWidth="1"/>
    <x:col min="4" max="4" width="18" hidden="0" customWidth="1"/>
    <x:col min="5" max="5" width="22" hidden="0" customWidth="1"/>
    <x:col min="6" max="6" width="16" hidden="0" customWidth="1"/>
    <x:col min="7" max="7" width="16" hidden="0" customWidth="1"/>
    <x:col min="8" max="8" width="18" hidden="0" customWidth="1"/>
    <x:col min="9" max="9" width="24" hidden="0" customWidth="1"/>
    <x:col min="10" max="10" width="34" hidden="0" customWidth="1"/>
    <x:col min="11" max="11" width="42" hidden="0" customWidth="1"/>
    <x:col min="12" max="12" width="55" hidden="0" customWidth="1"/>
    <x:col min="13" max="13" width="18" hidden="0" customWidth="1"/>
    <x:col min="14" max="14" width="46" hidden="0" customWidth="1"/>
    <x:col min="15" max="15" width="28" hidden="0" customWidth="1"/>
    <x:col min="16" max="16" width="16" hidden="0" customWidth="1"/>
    <x:col min="17" max="17" width="22" hidden="0" customWidth="1"/>
    <x:col min="18" max="18" width="18" hidden="0" customWidth="1"/>
    <x:col min="19" max="19" width="18" hidden="0" customWidth="1"/>
    <x:col min="20" max="20" width="18" hidden="0" customWidth="1"/>
    <x:col min="21" max="21" width="28" hidden="0" customWidth="1"/>
    <x:col min="22" max="22" width="24" hidden="0" customWidth="1"/>
    <x:col min="23" max="23" width="40" hidden="0" customWidth="1"/>
  </x:cols>
  <x:sheetData>
    <x:row r="1">
      <x:c r="A1" s="22" t="str">
        <x:v>legacy_record_id</x:v>
      </x:c>
      <x:c r="B1" s="22" t="str">
        <x:v>source_workbook</x:v>
      </x:c>
      <x:c r="C1" s="22" t="str">
        <x:v>source_sheet</x:v>
      </x:c>
      <x:c r="D1" s="22" t="str">
        <x:v>source_category_raw</x:v>
      </x:c>
      <x:c r="E1" s="22" t="str">
        <x:v>interpreted_scope</x:v>
      </x:c>
      <x:c r="F1" s="22" t="str">
        <x:v>family_hint</x:v>
      </x:c>
      <x:c r="G1" s="22" t="str">
        <x:v>member_hint</x:v>
      </x:c>
      <x:c r="H1" s="22" t="str">
        <x:v>excluded_member_hint</x:v>
      </x:c>
      <x:c r="I1" s="22" t="str">
        <x:v>scope_note_raw</x:v>
      </x:c>
      <x:c r="J1" s="22" t="str">
        <x:v>compound_name_raw</x:v>
      </x:c>
      <x:c r="K1" s="22" t="str">
        <x:v>aroma_descriptor_raw</x:v>
      </x:c>
      <x:c r="L1" s="22" t="str">
        <x:v>other_foods_raw</x:v>
      </x:c>
      <x:c r="M1" s="22" t="str">
        <x:v>legacy_status</x:v>
      </x:c>
      <x:c r="N1" s="22" t="str">
        <x:v>migration_route</x:v>
      </x:c>
      <x:c r="O1" s="22" t="str">
        <x:v>canonical_name</x:v>
      </x:c>
      <x:c r="P1" s="22" t="str">
        <x:v>cas</x:v>
      </x:c>
      <x:c r="Q1" s="22" t="str">
        <x:v>compound_group</x:v>
      </x:c>
      <x:c r="R1" s="22" t="str">
        <x:v>preparation_state</x:v>
      </x:c>
      <x:c r="S1" s="22" t="str">
        <x:v>cut_or_part</x:v>
      </x:c>
      <x:c r="T1" s="22" t="str">
        <x:v>evidence_status</x:v>
      </x:c>
      <x:c r="U1" s="22" t="str">
        <x:v>source_citation</x:v>
      </x:c>
      <x:c r="V1" s="22" t="str">
        <x:v>promotion_target</x:v>
      </x:c>
      <x:c r="W1" s="22" t="str">
        <x:v>review_notes</x:v>
      </x:c>
    </x:row>
    <x:row r="2">
      <x:c r="A2" s="23" t="str">
        <x:v>LC-0001</x:v>
      </x:c>
      <x:c r="B2" s="23" t="str">
        <x:v>Pairings- Beef.xlsx</x:v>
      </x:c>
      <x:c r="C2" s="23" t="str">
        <x:v>Sheet1</x:v>
      </x:c>
      <x:c r="D2" s="23" t="str">
        <x:v>beef</x:v>
      </x:c>
      <x:c r="E2" s="23" t="str">
        <x:v>beef</x:v>
      </x:c>
      <x:c r="F2" s="23" t="str">
        <x:v>family:beef</x:v>
      </x:c>
      <x:c r="G2" s="23" t="str"/>
      <x:c r="H2" s="23" t="str"/>
      <x:c r="I2" s="23" t="str"/>
      <x:c r="J2" s="23" t="str">
        <x:v>Pentane</x:v>
      </x:c>
      <x:c r="K2" s="23" t="str">
        <x:v>alkane</x:v>
      </x:c>
      <x:c r="L2" s="23" t="str">
        <x:v>cabbage | celery | cheese</x:v>
      </x:c>
      <x:c r="M2" s="23" t="str">
        <x:v>legacy_unverified</x:v>
      </x:c>
      <x:c r="N2" s="23" t="str">
        <x:v>beef-scope research lead; preparation unresolved</x:v>
      </x:c>
      <x:c r="O2" s="23" t="str">
        <x:v>pentane</x:v>
      </x:c>
      <x:c r="P2" s="23" t="str">
        <x:v>109-66-0</x:v>
      </x:c>
      <x:c r="Q2" s="23" t="str">
        <x:v>Hydrocarbons, alkanes</x:v>
      </x:c>
      <x:c r="R2" s="23"/>
      <x:c r="S2" s="23"/>
      <x:c r="T2" s="23" t="str">
        <x:v>hold_identity_verified_no_beef_evidence</x:v>
      </x:c>
      <x:c r="U2" s="23"/>
      <x:c r="V2" s="23"/>
      <x:c r="W2" s="23" t="str">
        <x:v>Identity verified; no qualifying primary beef occurrence source. Do not promote.</x:v>
      </x:c>
    </x:row>
    <x:row r="3">
      <x:c r="A3" s="23" t="str">
        <x:v>LC-0002</x:v>
      </x:c>
      <x:c r="B3" s="23" t="str">
        <x:v>Pairings- Beef.xlsx</x:v>
      </x:c>
      <x:c r="C3" s="23" t="str">
        <x:v>Sheet1</x:v>
      </x:c>
      <x:c r="D3" s="23" t="str">
        <x:v>beef</x:v>
      </x:c>
      <x:c r="E3" s="23" t="str">
        <x:v>beef</x:v>
      </x:c>
      <x:c r="F3" s="23" t="str">
        <x:v>family:beef</x:v>
      </x:c>
      <x:c r="G3" s="23" t="str"/>
      <x:c r="H3" s="23" t="str"/>
      <x:c r="I3" s="23" t="str"/>
      <x:c r="J3" s="23" t="str">
        <x:v>Hexane</x:v>
      </x:c>
      <x:c r="K3" s="23" t="str">
        <x:v>alkane</x:v>
      </x:c>
      <x:c r="L3" s="23" t="str">
        <x:v>cabbage | guinea hen | honey | milk | pistachio | THYME</x:v>
      </x:c>
      <x:c r="M3" s="23" t="str">
        <x:v>legacy_unverified</x:v>
      </x:c>
      <x:c r="N3" s="23" t="str">
        <x:v>beef-scope research lead; preparation unresolved</x:v>
      </x:c>
      <x:c r="O3" s="23" t="str">
        <x:v>hexane</x:v>
      </x:c>
      <x:c r="P3" s="23" t="str">
        <x:v>110-54-3</x:v>
      </x:c>
      <x:c r="Q3" s="23" t="str">
        <x:v>Hydrocarbons, alkanes</x:v>
      </x:c>
      <x:c r="R3" s="23"/>
      <x:c r="S3" s="23"/>
      <x:c r="T3" s="23" t="str">
        <x:v>hold_identity_verified_no_beef_evidence</x:v>
      </x:c>
      <x:c r="U3" s="23"/>
      <x:c r="V3" s="23"/>
      <x:c r="W3" s="23" t="str">
        <x:v>Identity verified; generic legacy beef membership unsupported.</x:v>
      </x:c>
    </x:row>
    <x:row r="4">
      <x:c r="A4" s="23" t="str">
        <x:v>LC-0003</x:v>
      </x:c>
      <x:c r="B4" s="23" t="str">
        <x:v>Pairings- Beef.xlsx</x:v>
      </x:c>
      <x:c r="C4" s="23" t="str">
        <x:v>Sheet1</x:v>
      </x:c>
      <x:c r="D4" s="23" t="str">
        <x:v>beef</x:v>
      </x:c>
      <x:c r="E4" s="23" t="str">
        <x:v>beef</x:v>
      </x:c>
      <x:c r="F4" s="23" t="str">
        <x:v>family:beef</x:v>
      </x:c>
      <x:c r="G4" s="23" t="str"/>
      <x:c r="H4" s="23" t="str"/>
      <x:c r="I4" s="23" t="str"/>
      <x:c r="J4" s="23" t="str">
        <x:v>Dodecane</x:v>
      </x:c>
      <x:c r="K4" s="23" t="str">
        <x:v>alkane, undesireable</x:v>
      </x:c>
      <x:c r="L4" s="23" t="str">
        <x:v>allium | beans | chicken | cocoa | coconut | dill | egg | fish | guinea hen | honey | lentil | milk | MUSTARD | passion fruit | peas | strawberry | tea</x:v>
      </x:c>
      <x:c r="M4" s="23" t="str">
        <x:v>legacy_unverified</x:v>
      </x:c>
      <x:c r="N4" s="23" t="str">
        <x:v>beef-scope research lead; preparation unresolved</x:v>
      </x:c>
      <x:c r="O4" s="23" t="str">
        <x:v>dodecane</x:v>
      </x:c>
      <x:c r="P4" s="23" t="str">
        <x:v>112-40-3</x:v>
      </x:c>
      <x:c r="Q4" s="23" t="str">
        <x:v>Hydrocarbons, alkanes</x:v>
      </x:c>
      <x:c r="R4" s="23"/>
      <x:c r="S4" s="23"/>
      <x:c r="T4" s="23" t="str">
        <x:v>hold_identity_verified_no_beef_evidence</x:v>
      </x:c>
      <x:c r="U4" s="23"/>
      <x:c r="V4" s="23"/>
      <x:c r="W4" s="23" t="str">
        <x:v>Identity verified; no qualifying primary beef occurrence source.</x:v>
      </x:c>
    </x:row>
    <x:row r="5">
      <x:c r="A5" s="23" t="str">
        <x:v>LC-0004</x:v>
      </x:c>
      <x:c r="B5" s="23" t="str">
        <x:v>Pairings- Beef.xlsx</x:v>
      </x:c>
      <x:c r="C5" s="23" t="str">
        <x:v>Sheet1</x:v>
      </x:c>
      <x:c r="D5" s="23" t="str">
        <x:v>beef</x:v>
      </x:c>
      <x:c r="E5" s="23" t="str">
        <x:v>beef</x:v>
      </x:c>
      <x:c r="F5" s="23" t="str">
        <x:v>family:beef</x:v>
      </x:c>
      <x:c r="G5" s="23" t="str"/>
      <x:c r="H5" s="23" t="str"/>
      <x:c r="I5" s="23" t="str"/>
      <x:c r="J5" s="23" t="str">
        <x:v>Methylbenzene</x:v>
      </x:c>
      <x:c r="K5" s="23" t="str">
        <x:v>paint, solvent</x:v>
      </x:c>
      <x:c r="L5" s="23" t="str">
        <x:v>acerola cherry | annato | apple | apricot | artichoke | aubergine | beans | cabbage | cheese | chicken | citrus | cocoa | coffee | hazelnut | ginger | grape | honey | lentils | mango | melon | milk | olive | papaya | peanut | pear | peas | shrimp | soybean | tea</x:v>
      </x:c>
      <x:c r="M5" s="23" t="str">
        <x:v>legacy_unverified</x:v>
      </x:c>
      <x:c r="N5" s="23" t="str">
        <x:v>beef-scope research lead; preparation unresolved</x:v>
      </x:c>
      <x:c r="O5" s="23" t="str">
        <x:v>toluene</x:v>
      </x:c>
      <x:c r="P5" s="23" t="str">
        <x:v>108-88-3</x:v>
      </x:c>
      <x:c r="Q5" s="23" t="str">
        <x:v>Hydrocarbons, aromatics</x:v>
      </x:c>
      <x:c r="R5" s="23" t="str">
        <x:v>raw / roasted</x:v>
      </x:c>
      <x:c r="S5" s="23" t="str">
        <x:v>Qinchuan hind-leg lean</x:v>
      </x:c>
      <x:c r="T5" s="23" t="str">
        <x:v>measured_state_specific</x:v>
      </x:c>
      <x:c r="U5" s="23" t="str">
        <x:v>SRC-BEEF-ROAST-001</x:v>
      </x:c>
      <x:c r="V5" s="23" t="str">
        <x:v>beef_state_specific</x:v>
      </x:c>
      <x:c r="W5" s="23" t="str">
        <x:v>Direct raw/roast detection; not a raw key OAV odorant. Generic legacy claim narrowed.</x:v>
      </x:c>
    </x:row>
    <x:row r="6">
      <x:c r="A6" s="23" t="str">
        <x:v>LC-0005</x:v>
      </x:c>
      <x:c r="B6" s="23" t="str">
        <x:v>Pairings- Beef.xlsx</x:v>
      </x:c>
      <x:c r="C6" s="23" t="str">
        <x:v>Sheet1</x:v>
      </x:c>
      <x:c r="D6" s="23" t="str">
        <x:v>beef</x:v>
      </x:c>
      <x:c r="E6" s="23" t="str">
        <x:v>beef</x:v>
      </x:c>
      <x:c r="F6" s="23" t="str">
        <x:v>family:beef</x:v>
      </x:c>
      <x:c r="G6" s="23" t="str"/>
      <x:c r="H6" s="23" t="str"/>
      <x:c r="I6" s="23" t="str"/>
      <x:c r="J6" s="23" t="str">
        <x:v>pseudocumene</x:v>
      </x:c>
      <x:c r="K6" s="23" t="str">
        <x:v>pesticide, plastic</x:v>
      </x:c>
      <x:c r="L6" s="23" t="str">
        <x:v>chicken | hazelnut | grape | honey | milk | pistachio</x:v>
      </x:c>
      <x:c r="M6" s="23" t="str">
        <x:v>legacy_unverified</x:v>
      </x:c>
      <x:c r="N6" s="23" t="str">
        <x:v>beef-scope research lead; preparation unresolved</x:v>
      </x:c>
      <x:c r="O6" s="23" t="str">
        <x:v>1,2,4-trimethylbenzene</x:v>
      </x:c>
      <x:c r="P6" s="23" t="str">
        <x:v>95-63-6</x:v>
      </x:c>
      <x:c r="Q6" s="23" t="str">
        <x:v>Hydrocarbons, aromatics</x:v>
      </x:c>
      <x:c r="R6" s="23" t="str">
        <x:v>cooked</x:v>
      </x:c>
      <x:c r="S6" s="23" t="str">
        <x:v>M. longissimus thoracis</x:v>
      </x:c>
      <x:c r="T6" s="23" t="str">
        <x:v>measured_detection_only</x:v>
      </x:c>
      <x:c r="U6" s="23" t="str">
        <x:v>SRC-BEEF-DIET-001</x:v>
      </x:c>
      <x:c r="V6" s="23" t="str">
        <x:v>beef_state_specific</x:v>
      </x:c>
      <x:c r="W6" s="23" t="str">
        <x:v>Direct cooked detection with no sensory validation; do not use as core or pairing driver.</x:v>
      </x:c>
    </x:row>
    <x:row r="7">
      <x:c r="A7" s="23" t="str">
        <x:v>LC-0006</x:v>
      </x:c>
      <x:c r="B7" s="23" t="str">
        <x:v>Pairings- Beef.xlsx</x:v>
      </x:c>
      <x:c r="C7" s="23" t="str">
        <x:v>Sheet1</x:v>
      </x:c>
      <x:c r="D7" s="23" t="str">
        <x:v>beef</x:v>
      </x:c>
      <x:c r="E7" s="23" t="str">
        <x:v>beef</x:v>
      </x:c>
      <x:c r="F7" s="23" t="str">
        <x:v>family:beef</x:v>
      </x:c>
      <x:c r="G7" s="23" t="str"/>
      <x:c r="H7" s="23" t="str"/>
      <x:c r="I7" s="23" t="str"/>
      <x:c r="J7" s="23" t="str">
        <x:v>naphthalene</x:v>
      </x:c>
      <x:c r="K7" s="23" t="str">
        <x:v>mothball, tar</x:v>
      </x:c>
      <x:c r="L7" s="23" t="str">
        <x:v>beans | beer | brown algae | capsicum | cashew | cheese | chicken | cocoa | fish | kiwifruit | lentil | loquat | mango | milk | olive | peanut | pea | plum | raspberry | salvia | shrimp | soybean | tea</x:v>
      </x:c>
      <x:c r="M7" s="23" t="str">
        <x:v>legacy_unverified</x:v>
      </x:c>
      <x:c r="N7" s="23" t="str">
        <x:v>beef-scope research lead; preparation unresolved</x:v>
      </x:c>
      <x:c r="O7" s="23" t="str">
        <x:v>naphthalene</x:v>
      </x:c>
      <x:c r="P7" s="23" t="str">
        <x:v>91-20-3</x:v>
      </x:c>
      <x:c r="Q7" s="23" t="str">
        <x:v>Hydrocarbons, aromatics</x:v>
      </x:c>
      <x:c r="R7" s="23"/>
      <x:c r="S7" s="23"/>
      <x:c r="T7" s="23" t="str">
        <x:v>hold_identity_verified_no_beef_evidence</x:v>
      </x:c>
      <x:c r="U7" s="23"/>
      <x:c r="V7" s="23"/>
      <x:c r="W7" s="23" t="str">
        <x:v>No qualifying primary analytical beef source located.</x:v>
      </x:c>
    </x:row>
    <x:row r="8">
      <x:c r="A8" s="23" t="str">
        <x:v>LC-0007</x:v>
      </x:c>
      <x:c r="B8" s="23" t="str">
        <x:v>Pairings- Beef.xlsx</x:v>
      </x:c>
      <x:c r="C8" s="23" t="str">
        <x:v>Sheet1</x:v>
      </x:c>
      <x:c r="D8" s="23" t="str">
        <x:v>beef</x:v>
      </x:c>
      <x:c r="E8" s="23" t="str">
        <x:v>beef</x:v>
      </x:c>
      <x:c r="F8" s="23" t="str">
        <x:v>family:beef</x:v>
      </x:c>
      <x:c r="G8" s="23" t="str"/>
      <x:c r="H8" s="23" t="str"/>
      <x:c r="I8" s="23" t="str"/>
      <x:c r="J8" s="23" t="str">
        <x:v>2,3 butylene glycol</x:v>
      </x:c>
      <x:c r="K8" s="23" t="str">
        <x:v>fruit, herb, onion</x:v>
      </x:c>
      <x:c r="L8" s="23" t="str">
        <x:v>cheddar | cider | fish | honey | melon | passionfruit | raspberry | sherry | vinegar | wine</x:v>
      </x:c>
      <x:c r="M8" s="23" t="str">
        <x:v>legacy_unverified</x:v>
      </x:c>
      <x:c r="N8" s="23" t="str">
        <x:v>beef-scope research lead; preparation unresolved</x:v>
      </x:c>
      <x:c r="O8" s="23" t="str">
        <x:v>2,3-butanediol</x:v>
      </x:c>
      <x:c r="P8" s="23" t="str">
        <x:v>513-85-9</x:v>
      </x:c>
      <x:c r="Q8" s="23" t="str">
        <x:v>Alcohols</x:v>
      </x:c>
      <x:c r="R8" s="23" t="str">
        <x:v>roasted</x:v>
      </x:c>
      <x:c r="S8" s="23" t="str">
        <x:v>Qinchuan hind-leg lean</x:v>
      </x:c>
      <x:c r="T8" s="23" t="str">
        <x:v>measured_state_specific</x:v>
      </x:c>
      <x:c r="U8" s="23" t="str">
        <x:v>SRC-BEEF-ROAST-001</x:v>
      </x:c>
      <x:c r="V8" s="23" t="str">
        <x:v>beef_roast_delta</x:v>
      </x:c>
      <x:c r="W8" s="23" t="str">
        <x:v>Detected only at later roast times (12–18 min); not a source key OAV odorant.</x:v>
      </x:c>
    </x:row>
    <x:row r="9">
      <x:c r="A9" s="23" t="str">
        <x:v>LC-0008</x:v>
      </x:c>
      <x:c r="B9" s="23" t="str">
        <x:v>Pairings- Beef.xlsx</x:v>
      </x:c>
      <x:c r="C9" s="23" t="str">
        <x:v>Sheet1</x:v>
      </x:c>
      <x:c r="D9" s="23" t="str">
        <x:v>beef</x:v>
      </x:c>
      <x:c r="E9" s="23" t="str">
        <x:v>beef</x:v>
      </x:c>
      <x:c r="F9" s="23" t="str">
        <x:v>family:beef</x:v>
      </x:c>
      <x:c r="G9" s="23" t="str"/>
      <x:c r="H9" s="23" t="str"/>
      <x:c r="I9" s="23" t="str"/>
      <x:c r="J9" s="23" t="str">
        <x:v>a-terpineol</x:v>
      </x:c>
      <x:c r="K9" s="23" t="str">
        <x:v>anise, fresh, mint oil, sweet</x:v>
      </x:c>
      <x:c r="L9" s="23" t="str">
        <x:v>angelica | anise | apple | apricot | artichoke | ashanti pepper | beer | black currant | calabash nutmeg | camomile | cardamom | carrot | celery | cherry | chicken | cinnamon | citrus | coriander seed/leaf | cumin | curcuma- turmeric | curry | dill | ginger | grape | guava | hop | laurel | lemon balm | lemon grass | lovage | mango | oregano | parsley | pepper | allspice | pistachio | raspberry | rosemary | salvia | savory | star anise | tarragon | thyme | tomato | vaccinium</x:v>
      </x:c>
      <x:c r="M9" s="23" t="str">
        <x:v>legacy_unverified</x:v>
      </x:c>
      <x:c r="N9" s="23" t="str">
        <x:v>beef-scope research lead; preparation unresolved</x:v>
      </x:c>
      <x:c r="O9" s="23" t="str">
        <x:v>alpha-terpineol</x:v>
      </x:c>
      <x:c r="P9" s="23" t="str">
        <x:v>98-55-5</x:v>
      </x:c>
      <x:c r="Q9" s="23" t="str">
        <x:v>Alcohols</x:v>
      </x:c>
      <x:c r="R9" s="23"/>
      <x:c r="S9" s="23"/>
      <x:c r="T9" s="23" t="str">
        <x:v>hold_identity_verified_no_beef_evidence</x:v>
      </x:c>
      <x:c r="U9" s="23"/>
      <x:c r="V9" s="23"/>
      <x:c r="W9" s="23" t="str">
        <x:v>Identity verified; no qualifying primary analytical beef source.</x:v>
      </x:c>
    </x:row>
    <x:row r="10">
      <x:c r="A10" s="23" t="str">
        <x:v>LC-0009</x:v>
      </x:c>
      <x:c r="B10" s="23" t="str">
        <x:v>Pairings- Beef.xlsx</x:v>
      </x:c>
      <x:c r="C10" s="23" t="str">
        <x:v>Sheet1</x:v>
      </x:c>
      <x:c r="D10" s="23" t="str">
        <x:v>beef</x:v>
      </x:c>
      <x:c r="E10" s="23" t="str">
        <x:v>beef</x:v>
      </x:c>
      <x:c r="F10" s="23" t="str">
        <x:v>family:beef</x:v>
      </x:c>
      <x:c r="G10" s="23" t="str"/>
      <x:c r="H10" s="23" t="str"/>
      <x:c r="I10" s="23" t="str"/>
      <x:c r="J10" s="23" t="str">
        <x:v>tiglaldehyde</x:v>
      </x:c>
      <x:c r="K10" s="23" t="str">
        <x:v>coffee</x:v>
      </x:c>
      <x:c r="L10" s="23" t="str">
        <x:v>allium | hazelnut | grape</x:v>
      </x:c>
      <x:c r="M10" s="23" t="str">
        <x:v>legacy_unverified</x:v>
      </x:c>
      <x:c r="N10" s="23" t="str">
        <x:v>beef-scope research lead; preparation unresolved</x:v>
      </x:c>
      <x:c r="O10" s="23" t="str">
        <x:v>(E)-2-methyl-2-butenal</x:v>
      </x:c>
      <x:c r="P10" s="23" t="str">
        <x:v>497-03-0</x:v>
      </x:c>
      <x:c r="Q10" s="23" t="str">
        <x:v>Carbonyls, aldehydes</x:v>
      </x:c>
      <x:c r="R10" s="23"/>
      <x:c r="S10" s="23"/>
      <x:c r="T10" s="23" t="str">
        <x:v>hold_identity_verified_no_beef_evidence</x:v>
      </x:c>
      <x:c r="U10" s="23"/>
      <x:c r="V10" s="23"/>
      <x:c r="W10" s="23" t="str">
        <x:v>Tiglaldehyde normalized stereospecifically; beef occurrence unsupported.</x:v>
      </x:c>
    </x:row>
    <x:row r="11">
      <x:c r="A11" s="23" t="str">
        <x:v>LC-0010</x:v>
      </x:c>
      <x:c r="B11" s="23" t="str">
        <x:v>Pairings- Beef.xlsx</x:v>
      </x:c>
      <x:c r="C11" s="23" t="str">
        <x:v>Sheet1</x:v>
      </x:c>
      <x:c r="D11" s="23" t="str">
        <x:v>beef</x:v>
      </x:c>
      <x:c r="E11" s="23" t="str">
        <x:v>beef</x:v>
      </x:c>
      <x:c r="F11" s="23" t="str">
        <x:v>family:beef</x:v>
      </x:c>
      <x:c r="G11" s="23" t="str"/>
      <x:c r="H11" s="23" t="str"/>
      <x:c r="I11" s="23" t="str"/>
      <x:c r="J11" s="23" t="str">
        <x:v>isopentanal</x:v>
      </x:c>
      <x:c r="K11" s="23" t="str">
        <x:v>almond, cocoa, cooked vegetable, fresh green, malt, pungent, rotten, spice, sweat</x:v>
      </x:c>
      <x:c r="L11" s="23" t="str">
        <x:v>apricot | beer | brown algae | cardamom | carrot | cheese | chicken | cocoa | coffee | egg | eucalyptus | hazelnut | ginger | grape | honey | maize | olive | peanut | pecan | tea | tomato | wheaten bread | whisky</x:v>
      </x:c>
      <x:c r="M11" s="23" t="str">
        <x:v>legacy_unverified</x:v>
      </x:c>
      <x:c r="N11" s="23" t="str">
        <x:v>beef-scope research lead; preparation unresolved</x:v>
      </x:c>
      <x:c r="O11" s="23" t="str">
        <x:v>3-methylbutanal</x:v>
      </x:c>
      <x:c r="P11" s="23" t="str">
        <x:v>590-86-3</x:v>
      </x:c>
      <x:c r="Q11" s="23" t="str">
        <x:v>Carbonyls, aldehydes</x:v>
      </x:c>
      <x:c r="R11" s="23" t="str">
        <x:v>dry-aged</x:v>
      </x:c>
      <x:c r="S11" s="23" t="str">
        <x:v>traditional dry-aged comparator</x:v>
      </x:c>
      <x:c r="T11" s="23" t="str">
        <x:v>measured_dry_age_specific</x:v>
      </x:c>
      <x:c r="U11" s="23" t="str">
        <x:v>SRC-BEEF-AGE-CONTROL-001</x:v>
      </x:c>
      <x:c r="V11" s="23" t="str">
        <x:v>beef_dry_age_delta</x:v>
      </x:c>
      <x:c r="W11" s="23" t="str">
        <x:v>Legacy generic claim narrowed to dry-aging context.</x:v>
      </x:c>
    </x:row>
    <x:row r="12">
      <x:c r="A12" s="23" t="str">
        <x:v>LC-0011</x:v>
      </x:c>
      <x:c r="B12" s="23" t="str">
        <x:v>Pairings- Beef.xlsx</x:v>
      </x:c>
      <x:c r="C12" s="23" t="str">
        <x:v>Sheet1</x:v>
      </x:c>
      <x:c r="D12" s="23" t="str">
        <x:v>beef</x:v>
      </x:c>
      <x:c r="E12" s="23" t="str">
        <x:v>beef</x:v>
      </x:c>
      <x:c r="F12" s="23" t="str">
        <x:v>family:beef</x:v>
      </x:c>
      <x:c r="G12" s="23" t="str"/>
      <x:c r="H12" s="23" t="str"/>
      <x:c r="I12" s="23" t="str"/>
      <x:c r="J12" s="23" t="str">
        <x:v>2-decenal</x:v>
      </x:c>
      <x:c r="K12" s="23" t="str">
        <x:v>fat, fish, orange, paint</x:v>
      </x:c>
      <x:c r="L12" s="23" t="str">
        <x:v>carrot | coriander | lamb | milk | olive | peanut</x:v>
      </x:c>
      <x:c r="M12" s="23" t="str">
        <x:v>legacy_unverified</x:v>
      </x:c>
      <x:c r="N12" s="23" t="str">
        <x:v>beef-scope research lead; preparation unresolved</x:v>
      </x:c>
      <x:c r="O12" s="23" t="str">
        <x:v>2-decenal (isomer unspecified)</x:v>
      </x:c>
      <x:c r="P12" s="23"/>
      <x:c r="Q12" s="23" t="str">
        <x:v>Carbonyls, aldehydes</x:v>
      </x:c>
      <x:c r="R12" s="23"/>
      <x:c r="S12" s="23"/>
      <x:c r="T12" s="23" t="str">
        <x:v>hold_identity_stereochemistry</x:v>
      </x:c>
      <x:c r="U12" s="23" t="str">
        <x:v>SRC-BEEF-STEW-001</x:v>
      </x:c>
      <x:c r="V12" s="23"/>
      <x:c r="W12" s="23" t="str">
        <x:v>Do not silently map to (E)-2-decenal. E isomer is directly aroma-active in stewed beef and stored separately.</x:v>
      </x:c>
    </x:row>
    <x:row r="13">
      <x:c r="A13" s="23" t="str">
        <x:v>LC-0012</x:v>
      </x:c>
      <x:c r="B13" s="23" t="str">
        <x:v>Pairings- Beef.xlsx</x:v>
      </x:c>
      <x:c r="C13" s="23" t="str">
        <x:v>Sheet1</x:v>
      </x:c>
      <x:c r="D13" s="23" t="str">
        <x:v>beef</x:v>
      </x:c>
      <x:c r="E13" s="23" t="str">
        <x:v>beef</x:v>
      </x:c>
      <x:c r="F13" s="23" t="str">
        <x:v>family:beef</x:v>
      </x:c>
      <x:c r="G13" s="23" t="str"/>
      <x:c r="H13" s="23" t="str"/>
      <x:c r="I13" s="23" t="str"/>
      <x:c r="J13" s="23" t="str">
        <x:v>phenylacetaldehyde (=benzeneacetaldehyde)</x:v>
      </x:c>
      <x:c r="K13" s="23" t="str">
        <x:v>berry, geranium, honey, nut, pungent</x:v>
      </x:c>
      <x:c r="L13" s="23" t="str">
        <x:v>acerola cherry | apricot | artichoke | cheddar | cheese | cocoa | coconut | coffee | elderberry | honey | lemon balm | maize | mustard | parsley | peanut | pecan | pistachio | potato chip | salvia | tamarind | tea | tomato | vaccinium</x:v>
      </x:c>
      <x:c r="M13" s="23" t="str">
        <x:v>legacy_unverified</x:v>
      </x:c>
      <x:c r="N13" s="23" t="str">
        <x:v>beef-scope research lead; preparation unresolved</x:v>
      </x:c>
      <x:c r="O13" s="23" t="str">
        <x:v>phenylacetaldehyde</x:v>
      </x:c>
      <x:c r="P13" s="23" t="str">
        <x:v>122-78-1</x:v>
      </x:c>
      <x:c r="Q13" s="23" t="str">
        <x:v>Carbonyls, aldehydes</x:v>
      </x:c>
      <x:c r="R13" s="23" t="str">
        <x:v>dry-aged</x:v>
      </x:c>
      <x:c r="S13" s="23" t="str">
        <x:v>traditional dry-aged comparator</x:v>
      </x:c>
      <x:c r="T13" s="23" t="str">
        <x:v>measured_dry_age_specific</x:v>
      </x:c>
      <x:c r="U13" s="23" t="str">
        <x:v>SRC-BEEF-AGE-CONTROL-001</x:v>
      </x:c>
      <x:c r="V13" s="23" t="str">
        <x:v>beef_dry_age_delta</x:v>
      </x:c>
      <x:c r="W13" s="23" t="str">
        <x:v>Legacy generic claim narrowed to dry-aging context.</x:v>
      </x:c>
    </x:row>
    <x:row r="14">
      <x:c r="A14" s="23" t="str">
        <x:v>LC-0013</x:v>
      </x:c>
      <x:c r="B14" s="23" t="str">
        <x:v>Pairings- Beef.xlsx</x:v>
      </x:c>
      <x:c r="C14" s="23" t="str">
        <x:v>Sheet1</x:v>
      </x:c>
      <x:c r="D14" s="23" t="str">
        <x:v>beef</x:v>
      </x:c>
      <x:c r="E14" s="23" t="str">
        <x:v>beef</x:v>
      </x:c>
      <x:c r="F14" s="23" t="str">
        <x:v>family:beef</x:v>
      </x:c>
      <x:c r="G14" s="23" t="str"/>
      <x:c r="H14" s="23" t="str"/>
      <x:c r="I14" s="23" t="str"/>
      <x:c r="J14" s="23" t="str">
        <x:v>3-octanone</x:v>
      </x:c>
      <x:c r="K14" s="23" t="str">
        <x:v>butter, herb, mold, resin</x:v>
      </x:c>
      <x:c r="L14" s="23" t="str">
        <x:v>agastache (hyssop) | annato | brown algae | fish | mushroom | olive | rosemary | tea | thyme | tomato</x:v>
      </x:c>
      <x:c r="M14" s="23" t="str">
        <x:v>legacy_unverified</x:v>
      </x:c>
      <x:c r="N14" s="23" t="str">
        <x:v>beef-scope research lead; preparation unresolved</x:v>
      </x:c>
      <x:c r="O14" s="23" t="str">
        <x:v>3-octanone</x:v>
      </x:c>
      <x:c r="P14" s="23" t="str">
        <x:v>106-68-3</x:v>
      </x:c>
      <x:c r="Q14" s="23" t="str">
        <x:v>Carbonyls, ketones</x:v>
      </x:c>
      <x:c r="R14" s="23" t="str">
        <x:v>stored / spoilage</x:v>
      </x:c>
      <x:c r="S14" s="23" t="str">
        <x:v>minced beef</x:v>
      </x:c>
      <x:c r="T14" s="23" t="str">
        <x:v>measured_spoilage_only</x:v>
      </x:c>
      <x:c r="U14" s="23" t="str">
        <x:v>SRC-BEEF-SPOIL-001</x:v>
      </x:c>
      <x:c r="V14" s="23" t="str">
        <x:v>exclude_from_culinary_core</x:v>
      </x:c>
      <x:c r="W14" s="23" t="str">
        <x:v>Direct beef detection only in spoilage/storage context.</x:v>
      </x:c>
    </x:row>
    <x:row r="15">
      <x:c r="A15" s="23" t="str">
        <x:v>LC-0014</x:v>
      </x:c>
      <x:c r="B15" s="23" t="str">
        <x:v>Pairings- Beef.xlsx</x:v>
      </x:c>
      <x:c r="C15" s="23" t="str">
        <x:v>Sheet1</x:v>
      </x:c>
      <x:c r="D15" s="23" t="str">
        <x:v>beef</x:v>
      </x:c>
      <x:c r="E15" s="23" t="str">
        <x:v>beef</x:v>
      </x:c>
      <x:c r="F15" s="23" t="str">
        <x:v>family:beef</x:v>
      </x:c>
      <x:c r="G15" s="23" t="str"/>
      <x:c r="H15" s="23" t="str"/>
      <x:c r="I15" s="23" t="str"/>
      <x:c r="J15" s="23" t="str">
        <x:v>2-tridecanone</x:v>
      </x:c>
      <x:c r="K15" s="23" t="str">
        <x:v>herb, spice</x:v>
      </x:c>
      <x:c r="L15" s="23" t="str">
        <x:v>allium | blue cheese | cheddar | cheese | coconut | ginger | hop | lamb | maize | milk | pistachio</x:v>
      </x:c>
      <x:c r="M15" s="23" t="str">
        <x:v>legacy_unverified</x:v>
      </x:c>
      <x:c r="N15" s="23" t="str">
        <x:v>beef-scope research lead; preparation unresolved</x:v>
      </x:c>
      <x:c r="O15" s="23" t="str">
        <x:v>2-tridecanone</x:v>
      </x:c>
      <x:c r="P15" s="23" t="str">
        <x:v>593-08-8</x:v>
      </x:c>
      <x:c r="Q15" s="23" t="str">
        <x:v>Carbonyls, ketones</x:v>
      </x:c>
      <x:c r="R15" s="23" t="str">
        <x:v>dry-rendered fat</x:v>
      </x:c>
      <x:c r="S15" s="23" t="str">
        <x:v>beef fat</x:v>
      </x:c>
      <x:c r="T15" s="23" t="str">
        <x:v>measured_fat_specific</x:v>
      </x:c>
      <x:c r="U15" s="23" t="str">
        <x:v>SRC-BEEF-FAT-001</x:v>
      </x:c>
      <x:c r="V15" s="23" t="str">
        <x:v>beef_fat_delta</x:v>
      </x:c>
      <x:c r="W15" s="23" t="str">
        <x:v>Detected in rendered beef fat; not established as key OAV or lean-muscle core.</x:v>
      </x:c>
    </x:row>
    <x:row r="16">
      <x:c r="A16" s="23" t="str">
        <x:v>LC-0015</x:v>
      </x:c>
      <x:c r="B16" s="23" t="str">
        <x:v>Pairings- Beef.xlsx</x:v>
      </x:c>
      <x:c r="C16" s="23" t="str">
        <x:v>Sheet1</x:v>
      </x:c>
      <x:c r="D16" s="23" t="str">
        <x:v>beef</x:v>
      </x:c>
      <x:c r="E16" s="23" t="str">
        <x:v>beef</x:v>
      </x:c>
      <x:c r="F16" s="23" t="str">
        <x:v>family:beef</x:v>
      </x:c>
      <x:c r="G16" s="23" t="str"/>
      <x:c r="H16" s="23" t="str"/>
      <x:c r="I16" s="23" t="str"/>
      <x:c r="J16" s="23" t="str">
        <x:v>acetophenone (=1-phenylethanone)</x:v>
      </x:c>
      <x:c r="K16" s="23" t="str">
        <x:v>almond, flower, meat, must, plastic</x:v>
      </x:c>
      <x:c r="L16" s="23" t="str">
        <x:v>apricot | brown algae | buckwheat | cauliflower/broccoli | cheese | clam | cocoa | fish | grape | guava | maize | milk | peanut | peas | plum | raspberry | tamarind | tea | vaccinium | wine</x:v>
      </x:c>
      <x:c r="M16" s="23" t="str">
        <x:v>legacy_unverified</x:v>
      </x:c>
      <x:c r="N16" s="23" t="str">
        <x:v>beef-scope research lead; preparation unresolved</x:v>
      </x:c>
      <x:c r="O16" s="23" t="str">
        <x:v>acetophenone</x:v>
      </x:c>
      <x:c r="P16" s="23" t="str">
        <x:v>98-86-2</x:v>
      </x:c>
      <x:c r="Q16" s="23" t="str">
        <x:v>Carbonyls, ketones</x:v>
      </x:c>
      <x:c r="R16" s="23"/>
      <x:c r="S16" s="23"/>
      <x:c r="T16" s="23" t="str">
        <x:v>hold_identity_verified_no_beef_evidence</x:v>
      </x:c>
      <x:c r="U16" s="23"/>
      <x:c r="V16" s="23"/>
      <x:c r="W16" s="23" t="str">
        <x:v>No qualifying primary analytical beef source located.</x:v>
      </x:c>
    </x:row>
    <x:row r="17">
      <x:c r="A17" s="23" t="str">
        <x:v>LC-0016</x:v>
      </x:c>
      <x:c r="B17" s="23" t="str">
        <x:v>Pairings- Beef.xlsx</x:v>
      </x:c>
      <x:c r="C17" s="23" t="str">
        <x:v>Sheet1</x:v>
      </x:c>
      <x:c r="D17" s="23" t="str">
        <x:v>beef</x:v>
      </x:c>
      <x:c r="E17" s="23" t="str">
        <x:v>beef</x:v>
      </x:c>
      <x:c r="F17" s="23" t="str">
        <x:v>family:beef</x:v>
      </x:c>
      <x:c r="G17" s="23" t="str"/>
      <x:c r="H17" s="23" t="str"/>
      <x:c r="I17" s="23" t="str"/>
      <x:c r="J17" s="23" t="str">
        <x:v>trimethyloxazole</x:v>
      </x:c>
      <x:c r="K17" s="23" t="str">
        <x:v>nut, sweet</x:v>
      </x:c>
      <x:c r="L17" s="23" t="str">
        <x:v>cabbage | chicken | cocoa | coffee | garpe | malt | oats | peanut | pork | potato | shoyu | shrimp</x:v>
      </x:c>
      <x:c r="M17" s="23" t="str">
        <x:v>legacy_unverified</x:v>
      </x:c>
      <x:c r="N17" s="23" t="str">
        <x:v>beef-scope research lead; preparation unresolved</x:v>
      </x:c>
      <x:c r="O17" s="23" t="str">
        <x:v>2,4,5-trimethyloxazole</x:v>
      </x:c>
      <x:c r="P17" s="23" t="str">
        <x:v>20662-84-4</x:v>
      </x:c>
      <x:c r="Q17" s="23" t="str">
        <x:v>Heterocycles, oxazoles</x:v>
      </x:c>
      <x:c r="R17" s="23"/>
      <x:c r="S17" s="23"/>
      <x:c r="T17" s="23" t="str">
        <x:v>hold_identity_verified_no_primary_beef_evidence</x:v>
      </x:c>
      <x:c r="U17" s="23"/>
      <x:c r="V17" s="23"/>
      <x:c r="W17" s="23" t="str">
        <x:v>Identity verified; primary beef analytical provenance still missing.</x:v>
      </x:c>
    </x:row>
    <x:row r="18">
      <x:c r="A18" s="23" t="str">
        <x:v>LC-0017</x:v>
      </x:c>
      <x:c r="B18" s="23" t="str">
        <x:v>Pairings- Crustacean.xlsx</x:v>
      </x:c>
      <x:c r="C18" s="23" t="str">
        <x:v>Sheet1</x:v>
      </x:c>
      <x:c r="D18" s="23" t="str">
        <x:v>crustacean</x:v>
      </x:c>
      <x:c r="E18" s="23" t="str">
        <x:v>crab</x:v>
      </x:c>
      <x:c r="F18" s="23" t="str">
        <x:v>family:seafood</x:v>
      </x:c>
      <x:c r="G18" s="23" t="str">
        <x:v>crab</x:v>
      </x:c>
      <x:c r="H18" s="23" t="str"/>
      <x:c r="I18" s="23" t="str"/>
      <x:c r="J18" s="23" t="str">
        <x:v>2,4-dithiapentane (=bis(methylthio)methane, methylene bis(methyl sulfide))</x:v>
      </x:c>
      <x:c r="K18" s="23" t="str">
        <x:v>garlic, sulphur</x:v>
      </x:c>
      <x:c r="L18" s="23" t="str">
        <x:v>beef | cheese | fish | litchi | milk | mushroom | truffle</x:v>
      </x:c>
      <x:c r="M18" s="23" t="str">
        <x:v>legacy_unverified</x:v>
      </x:c>
      <x:c r="N18" s="23" t="str">
        <x:v>member-specific research lead; preparation unresolved</x:v>
      </x:c>
      <x:c r="O18" s="23" t="str"/>
      <x:c r="P18" s="23" t="str"/>
      <x:c r="Q18" s="23" t="str"/>
      <x:c r="R18" s="23" t="str"/>
      <x:c r="S18" s="23" t="str"/>
      <x:c r="T18" s="23" t="str"/>
      <x:c r="U18" s="23" t="str"/>
      <x:c r="V18" s="23" t="str"/>
      <x:c r="W18" s="23" t="str"/>
    </x:row>
    <x:row r="19">
      <x:c r="A19" s="23" t="str">
        <x:v>LC-0018</x:v>
      </x:c>
      <x:c r="B19" s="23" t="str">
        <x:v>Pairings- Crustacean.xlsx</x:v>
      </x:c>
      <x:c r="C19" s="23" t="str">
        <x:v>Sheet1</x:v>
      </x:c>
      <x:c r="D19" s="23" t="str">
        <x:v>crustacean</x:v>
      </x:c>
      <x:c r="E19" s="23" t="str">
        <x:v>crab</x:v>
      </x:c>
      <x:c r="F19" s="23" t="str">
        <x:v>family:seafood</x:v>
      </x:c>
      <x:c r="G19" s="23" t="str">
        <x:v>crab</x:v>
      </x:c>
      <x:c r="H19" s="23" t="str"/>
      <x:c r="I19" s="23" t="str"/>
      <x:c r="J19" s="23" t="str">
        <x:v>1,3-dimethylbenzene (=m-xylene)</x:v>
      </x:c>
      <x:c r="K19" s="23" t="str">
        <x:v>fried, medicine, nut, plastic, rancid</x:v>
      </x:c>
      <x:c r="L19" s="23" t="str">
        <x:v>acerola | avocado | dill | endive | hazelnut | grape | honey | kiwi | loquat/persimmion | milk | olive | passion fruit | thyme | walnut | watercress</x:v>
      </x:c>
      <x:c r="M19" s="23" t="str">
        <x:v>legacy_unverified</x:v>
      </x:c>
      <x:c r="N19" s="23" t="str">
        <x:v>member-specific research lead; preparation unresolved</x:v>
      </x:c>
      <x:c r="O19" s="23" t="str"/>
      <x:c r="P19" s="23" t="str"/>
      <x:c r="Q19" s="23" t="str"/>
      <x:c r="R19" s="23" t="str"/>
      <x:c r="S19" s="23" t="str"/>
      <x:c r="T19" s="23" t="str"/>
      <x:c r="U19" s="23" t="str"/>
      <x:c r="V19" s="23" t="str"/>
      <x:c r="W19" s="23" t="str"/>
    </x:row>
    <x:row r="20">
      <x:c r="A20" s="23" t="str">
        <x:v>LC-0019</x:v>
      </x:c>
      <x:c r="B20" s="23" t="str">
        <x:v>Pairings- Crustacean.xlsx</x:v>
      </x:c>
      <x:c r="C20" s="23" t="str">
        <x:v>Sheet1</x:v>
      </x:c>
      <x:c r="D20" s="23" t="str">
        <x:v>crustacean</x:v>
      </x:c>
      <x:c r="E20" s="23" t="str">
        <x:v>crab</x:v>
      </x:c>
      <x:c r="F20" s="23" t="str">
        <x:v>family:seafood</x:v>
      </x:c>
      <x:c r="G20" s="23" t="str">
        <x:v>crab</x:v>
      </x:c>
      <x:c r="H20" s="23" t="str"/>
      <x:c r="I20" s="23" t="str"/>
      <x:c r="J20" s="23" t="str">
        <x:v>1,2,4-trimethylbenzene (=pseudocumene)</x:v>
      </x:c>
      <x:c r="K20" s="23" t="str">
        <x:v>pesticide, plastic</x:v>
      </x:c>
      <x:c r="L20" s="23" t="str">
        <x:v>chicken | hazelnut | grape | honey | milk | pistachio</x:v>
      </x:c>
      <x:c r="M20" s="23" t="str">
        <x:v>legacy_unverified</x:v>
      </x:c>
      <x:c r="N20" s="23" t="str">
        <x:v>member-specific research lead; preparation unresolved</x:v>
      </x:c>
      <x:c r="O20" s="23" t="str"/>
      <x:c r="P20" s="23" t="str"/>
      <x:c r="Q20" s="23" t="str"/>
      <x:c r="R20" s="23" t="str"/>
      <x:c r="S20" s="23" t="str"/>
      <x:c r="T20" s="23" t="str"/>
      <x:c r="U20" s="23" t="str"/>
      <x:c r="V20" s="23" t="str"/>
      <x:c r="W20" s="23" t="str"/>
    </x:row>
    <x:row r="21">
      <x:c r="A21" s="23" t="str">
        <x:v>LC-0020</x:v>
      </x:c>
      <x:c r="B21" s="23" t="str">
        <x:v>Pairings- Crustacean.xlsx</x:v>
      </x:c>
      <x:c r="C21" s="23" t="str">
        <x:v>Sheet1</x:v>
      </x:c>
      <x:c r="D21" s="23" t="str">
        <x:v>crustacean</x:v>
      </x:c>
      <x:c r="E21" s="23" t="str">
        <x:v>crab</x:v>
      </x:c>
      <x:c r="F21" s="23" t="str">
        <x:v>family:seafood</x:v>
      </x:c>
      <x:c r="G21" s="23" t="str">
        <x:v>crab</x:v>
      </x:c>
      <x:c r="H21" s="23" t="str"/>
      <x:c r="I21" s="23" t="str"/>
      <x:c r="J21" s="23" t="str">
        <x:v>2-ethyl-1-hexanol</x:v>
      </x:c>
      <x:c r="K21" s="23" t="str">
        <x:v>citrus, green, oil, rose</x:v>
      </x:c>
      <x:c r="L21" s="23" t="str">
        <x:v>acerola | annato | apple | brown algae | cabbage | cheese | chicken | clam | grape | kiwi | lettuce | litchi | melon | mentha | milk | olive | peach | plum | pomegranate | tea | tomato | wine</x:v>
      </x:c>
      <x:c r="M21" s="23" t="str">
        <x:v>legacy_unverified</x:v>
      </x:c>
      <x:c r="N21" s="23" t="str">
        <x:v>member-specific research lead; preparation unresolved</x:v>
      </x:c>
      <x:c r="O21" s="23" t="str"/>
      <x:c r="P21" s="23" t="str"/>
      <x:c r="Q21" s="23" t="str"/>
      <x:c r="R21" s="23" t="str"/>
      <x:c r="S21" s="23" t="str"/>
      <x:c r="T21" s="23" t="str"/>
      <x:c r="U21" s="23" t="str"/>
      <x:c r="V21" s="23" t="str"/>
      <x:c r="W21" s="23" t="str"/>
    </x:row>
    <x:row r="22">
      <x:c r="A22" s="23" t="str">
        <x:v>LC-0021</x:v>
      </x:c>
      <x:c r="B22" s="23" t="str">
        <x:v>Pairings- Crustacean.xlsx</x:v>
      </x:c>
      <x:c r="C22" s="23" t="str">
        <x:v>Sheet1</x:v>
      </x:c>
      <x:c r="D22" s="23" t="str">
        <x:v>crustacean</x:v>
      </x:c>
      <x:c r="E22" s="23" t="str">
        <x:v>crab</x:v>
      </x:c>
      <x:c r="F22" s="23" t="str">
        <x:v>family:seafood</x:v>
      </x:c>
      <x:c r="G22" s="23" t="str">
        <x:v>crab</x:v>
      </x:c>
      <x:c r="H22" s="23" t="str"/>
      <x:c r="I22" s="23" t="str"/>
      <x:c r="J22" s="23" t="str">
        <x:v>2-phenylethanol (=phenethyl alcohol)</x:v>
      </x:c>
      <x:c r="K22" s="23" t="str">
        <x:v>fruit, honey, lilac, rose, wine</x:v>
      </x:c>
      <x:c r="L22" s="23" t="str">
        <x:v>acerola | apple | apricot | asparagus | beer | brassica | bread | cabbage | cashew | coconut | endive | ginger | lettuce | mango | melon | mezcal | mustard | passion fruit | rum | sherry | tamarind | tea | tequila | truffle | watercress | wine | wood apple</x:v>
      </x:c>
      <x:c r="M22" s="23" t="str">
        <x:v>legacy_unverified</x:v>
      </x:c>
      <x:c r="N22" s="23" t="str">
        <x:v>member-specific research lead; preparation unresolved</x:v>
      </x:c>
      <x:c r="O22" s="23" t="str"/>
      <x:c r="P22" s="23" t="str"/>
      <x:c r="Q22" s="23" t="str"/>
      <x:c r="R22" s="23" t="str"/>
      <x:c r="S22" s="23" t="str"/>
      <x:c r="T22" s="23" t="str"/>
      <x:c r="U22" s="23" t="str"/>
      <x:c r="V22" s="23" t="str"/>
      <x:c r="W22" s="23" t="str"/>
    </x:row>
    <x:row r="23">
      <x:c r="A23" s="23" t="str">
        <x:v>LC-0022</x:v>
      </x:c>
      <x:c r="B23" s="23" t="str">
        <x:v>Pairings- Crustacean.xlsx</x:v>
      </x:c>
      <x:c r="C23" s="23" t="str">
        <x:v>Sheet1</x:v>
      </x:c>
      <x:c r="D23" s="23" t="str">
        <x:v>crustacean</x:v>
      </x:c>
      <x:c r="E23" s="23" t="str">
        <x:v>crab</x:v>
      </x:c>
      <x:c r="F23" s="23" t="str">
        <x:v>family:seafood</x:v>
      </x:c>
      <x:c r="G23" s="23" t="str">
        <x:v>crab</x:v>
      </x:c>
      <x:c r="H23" s="23" t="str"/>
      <x:c r="I23" s="23" t="str"/>
      <x:c r="J23" s="23" t="str">
        <x:v>hexadecanoic acid (=palmitic acid)</x:v>
      </x:c>
      <x:c r="K23" s="23" t="str">
        <x:v>rancid, wax</x:v>
      </x:c>
      <x:c r="L23" s="23" t="str">
        <x:v>beer | bread | brown algae | cardamom | coconut | cucumber | corn | mango | milk | saffron | sake | sherry | thyme | tomato | wild marjoram | wine</x:v>
      </x:c>
      <x:c r="M23" s="23" t="str">
        <x:v>legacy_unverified</x:v>
      </x:c>
      <x:c r="N23" s="23" t="str">
        <x:v>member-specific research lead; preparation unresolved</x:v>
      </x:c>
      <x:c r="O23" s="23" t="str"/>
      <x:c r="P23" s="23" t="str"/>
      <x:c r="Q23" s="23" t="str"/>
      <x:c r="R23" s="23" t="str"/>
      <x:c r="S23" s="23" t="str"/>
      <x:c r="T23" s="23" t="str"/>
      <x:c r="U23" s="23" t="str"/>
      <x:c r="V23" s="23" t="str"/>
      <x:c r="W23" s="23" t="str"/>
    </x:row>
    <x:row r="24">
      <x:c r="A24" s="23" t="str">
        <x:v>LC-0023</x:v>
      </x:c>
      <x:c r="B24" s="23" t="str">
        <x:v>Pairings- Crustacean.xlsx</x:v>
      </x:c>
      <x:c r="C24" s="23" t="str">
        <x:v>Sheet1</x:v>
      </x:c>
      <x:c r="D24" s="23" t="str">
        <x:v>crustacean</x:v>
      </x:c>
      <x:c r="E24" s="23" t="str">
        <x:v>crab</x:v>
      </x:c>
      <x:c r="F24" s="23" t="str">
        <x:v>family:seafood</x:v>
      </x:c>
      <x:c r="G24" s="23" t="str">
        <x:v>crab</x:v>
      </x:c>
      <x:c r="H24" s="23" t="str"/>
      <x:c r="I24" s="23" t="str"/>
      <x:c r="J24" s="23" t="str">
        <x:v>2-acetylpyrrole (=methyl 2-pyrrolyl ketone)</x:v>
      </x:c>
      <x:c r="K24" s="23" t="str">
        <x:v>bread, cocoa, hazelnut, licorice, walnut</x:v>
      </x:c>
      <x:c r="L24" s="23" t="str">
        <x:v>allium | almond | asparagus | beer | cocoa | coconut | mushroom | okra | peanut | tea | bread</x:v>
      </x:c>
      <x:c r="M24" s="23" t="str">
        <x:v>legacy_unverified</x:v>
      </x:c>
      <x:c r="N24" s="23" t="str">
        <x:v>member-specific research lead; preparation unresolved</x:v>
      </x:c>
      <x:c r="O24" s="23" t="str"/>
      <x:c r="P24" s="23" t="str"/>
      <x:c r="Q24" s="23" t="str"/>
      <x:c r="R24" s="23" t="str"/>
      <x:c r="S24" s="23" t="str"/>
      <x:c r="T24" s="23" t="str"/>
      <x:c r="U24" s="23" t="str"/>
      <x:c r="V24" s="23" t="str"/>
      <x:c r="W24" s="23" t="str"/>
    </x:row>
    <x:row r="25">
      <x:c r="A25" s="23" t="str">
        <x:v>LC-0024</x:v>
      </x:c>
      <x:c r="B25" s="23" t="str">
        <x:v>Pairings- Crustacean.xlsx</x:v>
      </x:c>
      <x:c r="C25" s="23" t="str">
        <x:v>Sheet1</x:v>
      </x:c>
      <x:c r="D25" s="23" t="str">
        <x:v>crustacean</x:v>
      </x:c>
      <x:c r="E25" s="23" t="str">
        <x:v>crab</x:v>
      </x:c>
      <x:c r="F25" s="23" t="str">
        <x:v>family:seafood</x:v>
      </x:c>
      <x:c r="G25" s="23" t="str">
        <x:v>crab</x:v>
      </x:c>
      <x:c r="H25" s="23" t="str"/>
      <x:c r="I25" s="23" t="str"/>
      <x:c r="J25" s="23" t="str">
        <x:v>2-ethylfuran</x:v>
      </x:c>
      <x:c r="K25" s="23" t="str">
        <x:v>butter, caramel</x:v>
      </x:c>
      <x:c r="L25" s="23" t="str">
        <x:v>asparagus | capsicum | chicken | laurel | lovage | rice | salvia | walnut</x:v>
      </x:c>
      <x:c r="M25" s="23" t="str">
        <x:v>legacy_unverified</x:v>
      </x:c>
      <x:c r="N25" s="23" t="str">
        <x:v>member-specific research lead; preparation unresolved</x:v>
      </x:c>
      <x:c r="O25" s="23" t="str"/>
      <x:c r="P25" s="23" t="str"/>
      <x:c r="Q25" s="23" t="str"/>
      <x:c r="R25" s="23" t="str"/>
      <x:c r="S25" s="23" t="str"/>
      <x:c r="T25" s="23" t="str"/>
      <x:c r="U25" s="23" t="str"/>
      <x:c r="V25" s="23" t="str"/>
      <x:c r="W25" s="23" t="str"/>
    </x:row>
    <x:row r="26">
      <x:c r="A26" s="23" t="str">
        <x:v>LC-0025</x:v>
      </x:c>
      <x:c r="B26" s="23" t="str">
        <x:v>Pairings- Crustacean.xlsx</x:v>
      </x:c>
      <x:c r="C26" s="23" t="str">
        <x:v>Sheet1</x:v>
      </x:c>
      <x:c r="D26" s="23" t="str">
        <x:v>crustacean</x:v>
      </x:c>
      <x:c r="E26" s="23" t="str">
        <x:v>crayfish</x:v>
      </x:c>
      <x:c r="F26" s="23" t="str">
        <x:v>family:seafood</x:v>
      </x:c>
      <x:c r="G26" s="23" t="str">
        <x:v>crayfish</x:v>
      </x:c>
      <x:c r="H26" s="23" t="str"/>
      <x:c r="I26" s="23" t="str"/>
      <x:c r="J26" s="23" t="str">
        <x:v>phenol</x:v>
      </x:c>
      <x:c r="K26" s="23" t="str">
        <x:v>medicine, phenol, sharp, smoke, spice</x:v>
      </x:c>
      <x:c r="L26" s="23" t="str">
        <x:v>allium | almond | asparagus | avocado | barley | buckwheat | cinnamon | bread | endive | ginger | loquat/persimmion | milk | peanut | pineapple | pork | rice | rosemary | rum | sake | tamarind | tea | wild rice</x:v>
      </x:c>
      <x:c r="M26" s="23" t="str">
        <x:v>legacy_unverified</x:v>
      </x:c>
      <x:c r="N26" s="23" t="str">
        <x:v>member-specific research lead; preparation unresolved</x:v>
      </x:c>
      <x:c r="O26" s="23" t="str"/>
      <x:c r="P26" s="23" t="str"/>
      <x:c r="Q26" s="23" t="str"/>
      <x:c r="R26" s="23" t="str"/>
      <x:c r="S26" s="23" t="str"/>
      <x:c r="T26" s="23" t="str"/>
      <x:c r="U26" s="23" t="str"/>
      <x:c r="V26" s="23" t="str"/>
      <x:c r="W26" s="23" t="str"/>
    </x:row>
    <x:row r="27">
      <x:c r="A27" s="23" t="str">
        <x:v>LC-0026</x:v>
      </x:c>
      <x:c r="B27" s="23" t="str">
        <x:v>Pairings- Crustacean.xlsx</x:v>
      </x:c>
      <x:c r="C27" s="23" t="str">
        <x:v>Sheet1</x:v>
      </x:c>
      <x:c r="D27" s="23" t="str">
        <x:v>crustacean</x:v>
      </x:c>
      <x:c r="E27" s="23" t="str">
        <x:v>crayfish</x:v>
      </x:c>
      <x:c r="F27" s="23" t="str">
        <x:v>family:seafood</x:v>
      </x:c>
      <x:c r="G27" s="23" t="str">
        <x:v>crayfish</x:v>
      </x:c>
      <x:c r="H27" s="23" t="str"/>
      <x:c r="I27" s="23" t="str"/>
      <x:c r="J27" s="23" t="str">
        <x:v>thiazole</x:v>
      </x:c>
      <x:c r="K27" s="23" t="str">
        <x:v>pyridine</x:v>
      </x:c>
      <x:c r="L27" s="23" t="str">
        <x:v>barley | buckwheat | clam | hazelnut | bonito | milk | mushrooms | oats | peanut | rice | soybean | whisky</x:v>
      </x:c>
      <x:c r="M27" s="23" t="str">
        <x:v>legacy_unverified</x:v>
      </x:c>
      <x:c r="N27" s="23" t="str">
        <x:v>member-specific research lead; preparation unresolved</x:v>
      </x:c>
      <x:c r="O27" s="23" t="str"/>
      <x:c r="P27" s="23" t="str"/>
      <x:c r="Q27" s="23" t="str"/>
      <x:c r="R27" s="23" t="str"/>
      <x:c r="S27" s="23" t="str"/>
      <x:c r="T27" s="23" t="str"/>
      <x:c r="U27" s="23" t="str"/>
      <x:c r="V27" s="23" t="str"/>
      <x:c r="W27" s="23" t="str"/>
    </x:row>
    <x:row r="28">
      <x:c r="A28" s="23" t="str">
        <x:v>LC-0027</x:v>
      </x:c>
      <x:c r="B28" s="23" t="str">
        <x:v>Pairings- Crustacean.xlsx</x:v>
      </x:c>
      <x:c r="C28" s="23" t="str">
        <x:v>Sheet1</x:v>
      </x:c>
      <x:c r="D28" s="23" t="str">
        <x:v>crustacean</x:v>
      </x:c>
      <x:c r="E28" s="23" t="str">
        <x:v>crayfish</x:v>
      </x:c>
      <x:c r="F28" s="23" t="str">
        <x:v>family:seafood</x:v>
      </x:c>
      <x:c r="G28" s="23" t="str">
        <x:v>crayfish</x:v>
      </x:c>
      <x:c r="H28" s="23" t="str"/>
      <x:c r="I28" s="23" t="str"/>
      <x:c r="J28" s="23" t="str">
        <x:v>trimethylpyrazine</x:v>
      </x:c>
      <x:c r="K28" s="23" t="str">
        <x:v>cocoa, earth, must, potato, roast</x:v>
      </x:c>
      <x:c r="L28" s="23" t="str">
        <x:v>almond | asparagus | barley | beans | capsicum | coconut | coriander | oats | okra | peanut | pecan | pork | poato | rice | sesame | sherry | shoyu | tea</x:v>
      </x:c>
      <x:c r="M28" s="23" t="str">
        <x:v>legacy_unverified</x:v>
      </x:c>
      <x:c r="N28" s="23" t="str">
        <x:v>member-specific research lead; preparation unresolved</x:v>
      </x:c>
      <x:c r="O28" s="23" t="str"/>
      <x:c r="P28" s="23" t="str"/>
      <x:c r="Q28" s="23" t="str"/>
      <x:c r="R28" s="23" t="str"/>
      <x:c r="S28" s="23" t="str"/>
      <x:c r="T28" s="23" t="str"/>
      <x:c r="U28" s="23" t="str"/>
      <x:c r="V28" s="23" t="str"/>
      <x:c r="W28" s="23" t="str"/>
    </x:row>
    <x:row r="29">
      <x:c r="A29" s="23" t="str">
        <x:v>LC-0028</x:v>
      </x:c>
      <x:c r="B29" s="23" t="str">
        <x:v>Pairings- Crustacean.xlsx</x:v>
      </x:c>
      <x:c r="C29" s="23" t="str">
        <x:v>Sheet1</x:v>
      </x:c>
      <x:c r="D29" s="23" t="str">
        <x:v>crustacean</x:v>
      </x:c>
      <x:c r="E29" s="23" t="str">
        <x:v>crayfish</x:v>
      </x:c>
      <x:c r="F29" s="23" t="str">
        <x:v>family:seafood</x:v>
      </x:c>
      <x:c r="G29" s="23" t="str">
        <x:v>crayfish</x:v>
      </x:c>
      <x:c r="H29" s="23" t="str"/>
      <x:c r="I29" s="23" t="str"/>
      <x:c r="J29" s="23" t="str">
        <x:v>acetophenone (=1-phenylethanone)</x:v>
      </x:c>
      <x:c r="K29" s="23" t="str">
        <x:v>almond, flower, meat, must, plastic</x:v>
      </x:c>
      <x:c r="L29" s="23" t="str">
        <x:v>allium | aubergine | cauliflower/broccoli | citrus | katsuboshi | lettuce | lentils | matsutake | peas | southern pea | tamarind | tomato | vanilla | walnut | wine</x:v>
      </x:c>
      <x:c r="M29" s="23" t="str">
        <x:v>legacy_unverified</x:v>
      </x:c>
      <x:c r="N29" s="23" t="str">
        <x:v>member-specific research lead; preparation unresolved</x:v>
      </x:c>
      <x:c r="O29" s="23" t="str"/>
      <x:c r="P29" s="23" t="str"/>
      <x:c r="Q29" s="23" t="str"/>
      <x:c r="R29" s="23" t="str"/>
      <x:c r="S29" s="23" t="str"/>
      <x:c r="T29" s="23" t="str"/>
      <x:c r="U29" s="23" t="str"/>
      <x:c r="V29" s="23" t="str"/>
      <x:c r="W29" s="23" t="str"/>
    </x:row>
    <x:row r="30">
      <x:c r="A30" s="23" t="str">
        <x:v>LC-0029</x:v>
      </x:c>
      <x:c r="B30" s="23" t="str">
        <x:v>Pairings- Crustacean.xlsx</x:v>
      </x:c>
      <x:c r="C30" s="23" t="str">
        <x:v>Sheet1</x:v>
      </x:c>
      <x:c r="D30" s="23" t="str">
        <x:v>crustacean</x:v>
      </x:c>
      <x:c r="E30" s="23" t="str">
        <x:v>crayfish</x:v>
      </x:c>
      <x:c r="F30" s="23" t="str">
        <x:v>family:seafood</x:v>
      </x:c>
      <x:c r="G30" s="23" t="str">
        <x:v>crayfish</x:v>
      </x:c>
      <x:c r="H30" s="23" t="str"/>
      <x:c r="I30" s="23" t="str"/>
      <x:c r="J30" s="23" t="str">
        <x:v>2,3-pentanedione (=acetylpropionyl)</x:v>
      </x:c>
      <x:c r="K30" s="23" t="str">
        <x:v>bitter, butter, caramel, cream, fruit, sweet</x:v>
      </x:c>
      <x:c r="L30" s="23" t="str">
        <x:v>banana | chayote | pumpkin | pistachio | pepino</x:v>
      </x:c>
      <x:c r="M30" s="23" t="str">
        <x:v>legacy_unverified</x:v>
      </x:c>
      <x:c r="N30" s="23" t="str">
        <x:v>member-specific research lead; preparation unresolved</x:v>
      </x:c>
      <x:c r="O30" s="23" t="str"/>
      <x:c r="P30" s="23" t="str"/>
      <x:c r="Q30" s="23" t="str"/>
      <x:c r="R30" s="23" t="str"/>
      <x:c r="S30" s="23" t="str"/>
      <x:c r="T30" s="23" t="str"/>
      <x:c r="U30" s="23" t="str"/>
      <x:c r="V30" s="23" t="str"/>
      <x:c r="W30" s="23" t="str"/>
    </x:row>
    <x:row r="31">
      <x:c r="A31" s="23" t="str">
        <x:v>LC-0030</x:v>
      </x:c>
      <x:c r="B31" s="23" t="str">
        <x:v>Pairings- Crustacean.xlsx</x:v>
      </x:c>
      <x:c r="C31" s="23" t="str">
        <x:v>Sheet1</x:v>
      </x:c>
      <x:c r="D31" s="23" t="str">
        <x:v>crustacean</x:v>
      </x:c>
      <x:c r="E31" s="23" t="str">
        <x:v>shrimp</x:v>
      </x:c>
      <x:c r="F31" s="23" t="str">
        <x:v>family:seafood</x:v>
      </x:c>
      <x:c r="G31" s="23" t="str">
        <x:v>shrimp</x:v>
      </x:c>
      <x:c r="H31" s="23" t="str"/>
      <x:c r="I31" s="23" t="str"/>
      <x:c r="J31" s="23" t="str">
        <x:v>trans-3,5-dimethyl-1,2,4-trithiolane</x:v>
      </x:c>
      <x:c r="K31" s="23" t="str">
        <x:v>cocoa, sulfur</x:v>
      </x:c>
      <x:c r="L31" s="23" t="str">
        <x:v>clam | durian | shoyu | soybean</x:v>
      </x:c>
      <x:c r="M31" s="23" t="str">
        <x:v>legacy_unverified</x:v>
      </x:c>
      <x:c r="N31" s="23" t="str">
        <x:v>member-specific research lead; preparation unresolved</x:v>
      </x:c>
      <x:c r="O31" s="23" t="str"/>
      <x:c r="P31" s="23" t="str"/>
      <x:c r="Q31" s="23" t="str"/>
      <x:c r="R31" s="23" t="str"/>
      <x:c r="S31" s="23" t="str"/>
      <x:c r="T31" s="23" t="str"/>
      <x:c r="U31" s="23" t="str"/>
      <x:c r="V31" s="23" t="str"/>
      <x:c r="W31" s="23" t="str"/>
    </x:row>
    <x:row r="32">
      <x:c r="A32" s="23" t="str">
        <x:v>LC-0031</x:v>
      </x:c>
      <x:c r="B32" s="23" t="str">
        <x:v>Pairings- Crustacean.xlsx</x:v>
      </x:c>
      <x:c r="C32" s="23" t="str">
        <x:v>Sheet1</x:v>
      </x:c>
      <x:c r="D32" s="23" t="str">
        <x:v>crustacean</x:v>
      </x:c>
      <x:c r="E32" s="23" t="str">
        <x:v>shrimp</x:v>
      </x:c>
      <x:c r="F32" s="23" t="str">
        <x:v>family:seafood</x:v>
      </x:c>
      <x:c r="G32" s="23" t="str">
        <x:v>shrimp</x:v>
      </x:c>
      <x:c r="H32" s="23" t="str"/>
      <x:c r="I32" s="23" t="str"/>
      <x:c r="J32" s="23" t="str">
        <x:v>N,N-dimethylformamide</x:v>
      </x:c>
      <x:c r="K32" s="23" t="str">
        <x:v>fish, pungent</x:v>
      </x:c>
      <x:c r="L32" s="23" t="str">
        <x:v>avocado | beer | cheese | chicken | clam | cocoa | loquat/persimmion | pineapple | sherry | squid | scallop | wine</x:v>
      </x:c>
      <x:c r="M32" s="23" t="str">
        <x:v>legacy_unverified</x:v>
      </x:c>
      <x:c r="N32" s="23" t="str">
        <x:v>member-specific research lead; preparation unresolved</x:v>
      </x:c>
      <x:c r="O32" s="23" t="str"/>
      <x:c r="P32" s="23" t="str"/>
      <x:c r="Q32" s="23" t="str"/>
      <x:c r="R32" s="23" t="str"/>
      <x:c r="S32" s="23" t="str"/>
      <x:c r="T32" s="23" t="str"/>
      <x:c r="U32" s="23" t="str"/>
      <x:c r="V32" s="23" t="str"/>
      <x:c r="W32" s="23" t="str"/>
    </x:row>
    <x:row r="33">
      <x:c r="A33" s="23" t="str">
        <x:v>LC-0032</x:v>
      </x:c>
      <x:c r="B33" s="23" t="str">
        <x:v>Pairings- Crustacean.xlsx</x:v>
      </x:c>
      <x:c r="C33" s="23" t="str">
        <x:v>Sheet1</x:v>
      </x:c>
      <x:c r="D33" s="23" t="str">
        <x:v>crustacean</x:v>
      </x:c>
      <x:c r="E33" s="23" t="str">
        <x:v>shrimp</x:v>
      </x:c>
      <x:c r="F33" s="23" t="str">
        <x:v>family:seafood</x:v>
      </x:c>
      <x:c r="G33" s="23" t="str">
        <x:v>shrimp</x:v>
      </x:c>
      <x:c r="H33" s="23" t="str"/>
      <x:c r="I33" s="23" t="str"/>
      <x:c r="J33" s="23" t="str">
        <x:v>4-hydroxynonanoic acid lactone (=4-nonanolide, γ-nonalactone)</x:v>
      </x:c>
      <x:c r="K33" s="23" t="str">
        <x:v>apricot, cocoa, coconut, peach, sweet</x:v>
      </x:c>
      <x:c r="L33" s="23" t="str">
        <x:v>apricot | apple | asparagus | avocado | beans | beef | beer | buckwheat | crispbread | fenugreek | lamb | mango | milk | mushroom | nectarine | oats | olive | oregano | peach | pecan | pineapple | pistachio | plum | prickly pear</x:v>
      </x:c>
      <x:c r="M33" s="23" t="str">
        <x:v>legacy_unverified</x:v>
      </x:c>
      <x:c r="N33" s="23" t="str">
        <x:v>member-specific research lead; preparation unresolved</x:v>
      </x:c>
      <x:c r="O33" s="23" t="str"/>
      <x:c r="P33" s="23" t="str"/>
      <x:c r="Q33" s="23" t="str"/>
      <x:c r="R33" s="23" t="str"/>
      <x:c r="S33" s="23" t="str"/>
      <x:c r="T33" s="23" t="str"/>
      <x:c r="U33" s="23" t="str"/>
      <x:c r="V33" s="23" t="str"/>
      <x:c r="W33" s="23" t="str"/>
    </x:row>
    <x:row r="34">
      <x:c r="A34" s="23" t="str">
        <x:v>LC-0033</x:v>
      </x:c>
      <x:c r="B34" s="23" t="str">
        <x:v>Pairings- Crustacean.xlsx</x:v>
      </x:c>
      <x:c r="C34" s="23" t="str">
        <x:v>Sheet1</x:v>
      </x:c>
      <x:c r="D34" s="23" t="str">
        <x:v>crustacean</x:v>
      </x:c>
      <x:c r="E34" s="23" t="str">
        <x:v>shrimp</x:v>
      </x:c>
      <x:c r="F34" s="23" t="str">
        <x:v>family:seafood</x:v>
      </x:c>
      <x:c r="G34" s="23" t="str">
        <x:v>shrimp</x:v>
      </x:c>
      <x:c r="H34" s="23" t="str"/>
      <x:c r="I34" s="23" t="str"/>
      <x:c r="J34" s="23" t="str">
        <x:v>2-methylpyridine (=α-picoline)</x:v>
      </x:c>
      <x:c r="K34" s="23" t="str">
        <x:v>ash, sweat</x:v>
      </x:c>
      <x:c r="L34" s="23" t="str">
        <x:v>allium | annato | beans | beef | buckwheat | caviar | chicken | clam | katsuobushi | lamb | oats | okra | peanut | pork | rice | sherry | shoyu</x:v>
      </x:c>
      <x:c r="M34" s="23" t="str">
        <x:v>legacy_unverified</x:v>
      </x:c>
      <x:c r="N34" s="23" t="str">
        <x:v>member-specific research lead; preparation unresolved</x:v>
      </x:c>
      <x:c r="O34" s="23" t="str"/>
      <x:c r="P34" s="23" t="str"/>
      <x:c r="Q34" s="23" t="str"/>
      <x:c r="R34" s="23" t="str"/>
      <x:c r="S34" s="23" t="str"/>
      <x:c r="T34" s="23" t="str"/>
      <x:c r="U34" s="23" t="str"/>
      <x:c r="V34" s="23" t="str"/>
      <x:c r="W34" s="23" t="str"/>
    </x:row>
    <x:row r="35">
      <x:c r="A35" s="23" t="str">
        <x:v>LC-0034</x:v>
      </x:c>
      <x:c r="B35" s="23" t="str">
        <x:v>Pairings- Crustacean.xlsx</x:v>
      </x:c>
      <x:c r="C35" s="23" t="str">
        <x:v>Sheet1</x:v>
      </x:c>
      <x:c r="D35" s="23" t="str">
        <x:v>crustacean</x:v>
      </x:c>
      <x:c r="E35" s="23" t="str">
        <x:v>shrimp</x:v>
      </x:c>
      <x:c r="F35" s="23" t="str">
        <x:v>family:seafood</x:v>
      </x:c>
      <x:c r="G35" s="23" t="str">
        <x:v>shrimp</x:v>
      </x:c>
      <x:c r="H35" s="23" t="str"/>
      <x:c r="I35" s="23" t="str"/>
      <x:c r="J35" s="23" t="str">
        <x:v>pentanal</x:v>
      </x:c>
      <x:c r="K35" s="23" t="str">
        <x:v>Found in olive oil and several essential oils. Also present in Bantu beer, plum brandy, cardamom, coriander leaf, rice, Bourbon vanilla, clary sage, cooked shrimps, scallops, apple, banana, sweet cherry, blackcurrant and other foods.</x:v>
      </x:c>
      <x:c r="L35" s="23" t="str"/>
      <x:c r="M35" s="23" t="str">
        <x:v>legacy_unverified</x:v>
      </x:c>
      <x:c r="N35" s="23" t="str">
        <x:v>member-specific research lead; preparation unresolved</x:v>
      </x:c>
      <x:c r="O35" s="23" t="str"/>
      <x:c r="P35" s="23" t="str"/>
      <x:c r="Q35" s="23" t="str"/>
      <x:c r="R35" s="23" t="str"/>
      <x:c r="S35" s="23" t="str"/>
      <x:c r="T35" s="23" t="str"/>
      <x:c r="U35" s="23" t="str"/>
      <x:c r="V35" s="23" t="str"/>
      <x:c r="W35" s="23" t="str"/>
    </x:row>
    <x:row r="36">
      <x:c r="A36" s="23" t="str">
        <x:v>LC-0035</x:v>
      </x:c>
      <x:c r="B36" s="23" t="str">
        <x:v>Pairings- Crustacean.xlsx</x:v>
      </x:c>
      <x:c r="C36" s="23" t="str">
        <x:v>Sheet1</x:v>
      </x:c>
      <x:c r="D36" s="23" t="str">
        <x:v>crustacean</x:v>
      </x:c>
      <x:c r="E36" s="23" t="str">
        <x:v>shrimp</x:v>
      </x:c>
      <x:c r="F36" s="23" t="str">
        <x:v>family:seafood</x:v>
      </x:c>
      <x:c r="G36" s="23" t="str">
        <x:v>shrimp</x:v>
      </x:c>
      <x:c r="H36" s="23" t="str"/>
      <x:c r="I36" s="23" t="str"/>
      <x:c r="J36" s="23" t="str">
        <x:v>4-Methylphenol</x:v>
      </x:c>
      <x:c r="K36" s="23" t="str">
        <x:v>Present in blackcurrant buds, asparagus, cooked cured pork, black tea, fermented tea, yellow passion fruit juice, malt, peated malt, kumazasa (Sasa albo-marginata), lamb's lettuce, squid and cuttlefish. Flavouring ingredient.</x:v>
      </x:c>
      <x:c r="L36" s="23" t="str">
        <x:v>almond | anise | coffee | asparagus | cereals | cinnamon | fruits | bell pepper | green vegetables | raspberry | sour cherry | tamarind | taragon | mustard</x:v>
      </x:c>
      <x:c r="M36" s="23" t="str">
        <x:v>legacy_unverified</x:v>
      </x:c>
      <x:c r="N36" s="23" t="str">
        <x:v>member-specific research lead; preparation unresolved</x:v>
      </x:c>
      <x:c r="O36" s="23" t="str"/>
      <x:c r="P36" s="23" t="str"/>
      <x:c r="Q36" s="23" t="str"/>
      <x:c r="R36" s="23" t="str"/>
      <x:c r="S36" s="23" t="str"/>
      <x:c r="T36" s="23" t="str"/>
      <x:c r="U36" s="23" t="str"/>
      <x:c r="V36" s="23" t="str"/>
      <x:c r="W36" s="23" t="str"/>
    </x:row>
    <x:row r="37">
      <x:c r="A37" s="23" t="str">
        <x:v>LC-0036</x:v>
      </x:c>
      <x:c r="B37" s="23" t="str">
        <x:v>Pairings- Fish (lean).xlsx</x:v>
      </x:c>
      <x:c r="C37" s="23" t="str">
        <x:v>Sheet1</x:v>
      </x:c>
      <x:c r="D37" s="23" t="str">
        <x:v>fish (lean)</x:v>
      </x:c>
      <x:c r="E37" s="23" t="str">
        <x:v>fish (lean)</x:v>
      </x:c>
      <x:c r="F37" s="23" t="str">
        <x:v>family:seafood</x:v>
      </x:c>
      <x:c r="G37" s="23" t="str"/>
      <x:c r="H37" s="23" t="str"/>
      <x:c r="I37" s="23" t="str"/>
      <x:c r="J37" s="23" t="str">
        <x:v>trimethylamine</x:v>
      </x:c>
      <x:c r="K37" s="23" t="str">
        <x:v>fish, pungent</x:v>
      </x:c>
      <x:c r="L37" s="23" t="str">
        <x:v>allium | beef | beer | caviar | cheese | cocoa | crab | lamb | mushroom | oyster | pork | scallop | sherry | shrimp | squid | tomato | bread</x:v>
      </x:c>
      <x:c r="M37" s="23" t="str">
        <x:v>legacy_unverified</x:v>
      </x:c>
      <x:c r="N37" s="23" t="str">
        <x:v>lean-fish scope research lead; species and preparation unresolved</x:v>
      </x:c>
      <x:c r="O37" s="23" t="str">
        <x:v>trimethylamine</x:v>
      </x:c>
      <x:c r="P37" s="23" t="str">
        <x:v>75-50-3</x:v>
      </x:c>
      <x:c r="Q37" s="23" t="str">
        <x:v>Amines</x:v>
      </x:c>
      <x:c r="R37" s="23"/>
      <x:c r="S37" s="23"/>
      <x:c r="T37" s="23" t="str">
        <x:v>measured_salmon_context_caution</x:v>
      </x:c>
      <x:c r="U37" s="23" t="str">
        <x:v>SRC-FISH-SALMON-COOK-001</x:v>
      </x:c>
      <x:c r="V37" s="23"/>
      <x:c r="W37" s="23" t="str">
        <x:v>Measured in Atlantic salmon culinary-treatment source; do not promote as positive lean-fish pairing evidence from current evidence.</x:v>
      </x:c>
    </x:row>
    <x:row r="38">
      <x:c r="A38" s="23" t="str">
        <x:v>LC-0037</x:v>
      </x:c>
      <x:c r="B38" s="23" t="str">
        <x:v>Pairings- Fish (lean).xlsx</x:v>
      </x:c>
      <x:c r="C38" s="23" t="str">
        <x:v>Sheet1</x:v>
      </x:c>
      <x:c r="D38" s="23" t="str">
        <x:v>fish (lean)</x:v>
      </x:c>
      <x:c r="E38" s="23" t="str">
        <x:v>fish (lean)</x:v>
      </x:c>
      <x:c r="F38" s="23" t="str">
        <x:v>family:seafood</x:v>
      </x:c>
      <x:c r="G38" s="23" t="str"/>
      <x:c r="H38" s="23" t="str"/>
      <x:c r="I38" s="23" t="str"/>
      <x:c r="J38" s="23" t="str">
        <x:v>histamine</x:v>
      </x:c>
      <x:c r="K38" s="23" t="str">
        <x:v>n/a</x:v>
      </x:c>
      <x:c r="L38" s="23" t="str">
        <x:v>beer | blue cheese | cheddar | cheese | cider | citrus | cocoa | rutabaga | saurkraut | sherry | squid | tea | wine</x:v>
      </x:c>
      <x:c r="M38" s="23" t="str">
        <x:v>legacy_unverified</x:v>
      </x:c>
      <x:c r="N38" s="23" t="str">
        <x:v>lean-fish scope research lead; species and preparation unresolved</x:v>
      </x:c>
      <x:c r="O38" s="23" t="str">
        <x:v>histamine</x:v>
      </x:c>
      <x:c r="P38" s="23"/>
      <x:c r="Q38" s="23" t="str">
        <x:v>Biogenic amines</x:v>
      </x:c>
      <x:c r="R38" s="23"/>
      <x:c r="S38" s="23"/>
      <x:c r="T38" s="23" t="str">
        <x:v>hold_nonvolatile_biogenic_amine</x:v>
      </x:c>
      <x:c r="U38" s="23"/>
      <x:c r="V38" s="23"/>
      <x:c r="W38" s="23" t="str">
        <x:v>Not supported as a volatile aroma pairing compound by v17 fin-fish sources.</x:v>
      </x:c>
    </x:row>
    <x:row r="39">
      <x:c r="A39" s="23" t="str">
        <x:v>LC-0038</x:v>
      </x:c>
      <x:c r="B39" s="23" t="str">
        <x:v>Pairings- Fish (lean).xlsx</x:v>
      </x:c>
      <x:c r="C39" s="23" t="str">
        <x:v>Sheet1</x:v>
      </x:c>
      <x:c r="D39" s="23" t="str">
        <x:v>fish (lean)</x:v>
      </x:c>
      <x:c r="E39" s="23" t="str">
        <x:v>fish (lean)</x:v>
      </x:c>
      <x:c r="F39" s="23" t="str">
        <x:v>family:seafood</x:v>
      </x:c>
      <x:c r="G39" s="23" t="str"/>
      <x:c r="H39" s="23" t="str"/>
      <x:c r="I39" s="23" t="str"/>
      <x:c r="J39" s="23" t="str">
        <x:v>amonia</x:v>
      </x:c>
      <x:c r="K39" s="23" t="str">
        <x:v>pungent</x:v>
      </x:c>
      <x:c r="L39" s="23" t="str">
        <x:v>apple | banana | barley | beef | beetroot | cabbage | carrot | cauliflower | caviar | celery | cheese | chicken | coffee | egg | grape | hop | lettuce | maize | malt | pork | potato chip | radish | rhubarb | rice | rutabaga | shrimp | soybean | tea | trassi | wasabi | wine</x:v>
      </x:c>
      <x:c r="M39" s="23" t="str">
        <x:v>legacy_unverified</x:v>
      </x:c>
      <x:c r="N39" s="23" t="str">
        <x:v>lean-fish scope research lead; species and preparation unresolved</x:v>
      </x:c>
      <x:c r="O39" s="23" t="str">
        <x:v>ammonia</x:v>
      </x:c>
      <x:c r="P39" s="23" t="str">
        <x:v>7664-41-7</x:v>
      </x:c>
      <x:c r="Q39" s="23" t="str">
        <x:v>Bases</x:v>
      </x:c>
      <x:c r="R39" s="23"/>
      <x:c r="S39" s="23"/>
      <x:c r="T39" s="23" t="str">
        <x:v>hold_no_direct_culinary_fin_fish_evidence_v17</x:v>
      </x:c>
      <x:c r="U39" s="23"/>
      <x:c r="V39" s="23"/>
      <x:c r="W39" s="23" t="str">
        <x:v>Legacy spelling normalization preserved; no positive culinary promotion needed.</x:v>
      </x:c>
    </x:row>
    <x:row r="40">
      <x:c r="A40" s="23" t="str">
        <x:v>LC-0039</x:v>
      </x:c>
      <x:c r="B40" s="23" t="str">
        <x:v>Pairings- Fish (lean).xlsx</x:v>
      </x:c>
      <x:c r="C40" s="23" t="str">
        <x:v>Sheet1</x:v>
      </x:c>
      <x:c r="D40" s="23" t="str">
        <x:v>fish (lean)</x:v>
      </x:c>
      <x:c r="E40" s="23" t="str">
        <x:v>fish (lean)</x:v>
      </x:c>
      <x:c r="F40" s="23" t="str">
        <x:v>family:seafood</x:v>
      </x:c>
      <x:c r="G40" s="23" t="str"/>
      <x:c r="H40" s="23" t="str"/>
      <x:c r="I40" s="23" t="str"/>
      <x:c r="J40" s="23" t="str">
        <x:v>limonene</x:v>
      </x:c>
      <x:c r="K40" s="23" t="str">
        <x:v>balsamic, citrus, fragant, fruit, greenery, herb</x:v>
      </x:c>
      <x:c r="L40" s="23" t="str">
        <x:v>acerola | agastache/hyssop | angelica | anise | annato | apricot | artichoke | beer | black currant | brown algae | nutmeg | camomile | caraway | caedamom | carrot | cashew | cauliflower/broccoli | celery | cheese | chicken | cinnamon | citrus | clam | coffee | CORIANDER | cumin | curcuma | curry | dill | fennel | fish | ginger | grape | hop | laurel | lemonbalm | lemongrass | litchi | lovage | maize | mentha | ocimum | oregano | parsley | passion fruit | peach | peanut | pepper | allspice | pistachio | plum | pomegranate | raspberry, blackberry | rosemary | salvia | satureja | star anise | tarragon | tea | thyme | tomato | capsicum</x:v>
      </x:c>
      <x:c r="M40" s="23" t="str">
        <x:v>legacy_unverified</x:v>
      </x:c>
      <x:c r="N40" s="23" t="str">
        <x:v>lean-fish scope research lead; species and preparation unresolved</x:v>
      </x:c>
      <x:c r="O40" s="23" t="str">
        <x:v>limonene</x:v>
      </x:c>
      <x:c r="P40" s="23"/>
      <x:c r="Q40" s="23" t="str">
        <x:v>Terpenes</x:v>
      </x:c>
      <x:c r="R40" s="23"/>
      <x:c r="S40" s="23"/>
      <x:c r="T40" s="23" t="str">
        <x:v>hold_no_direct_fin_fish_evidence_v17</x:v>
      </x:c>
      <x:c r="U40" s="23"/>
      <x:c r="V40" s="23"/>
      <x:c r="W40" s="23" t="str">
        <x:v>No direct occurrence in governed salmon/sea-bass culinary tables.</x:v>
      </x:c>
    </x:row>
    <x:row r="41">
      <x:c r="A41" s="23" t="str">
        <x:v>LC-0040</x:v>
      </x:c>
      <x:c r="B41" s="23" t="str">
        <x:v>Pairings- Fish (lean).xlsx</x:v>
      </x:c>
      <x:c r="C41" s="23" t="str">
        <x:v>Sheet1</x:v>
      </x:c>
      <x:c r="D41" s="23" t="str">
        <x:v>fish (lean)</x:v>
      </x:c>
      <x:c r="E41" s="23" t="str">
        <x:v>fish (lean)</x:v>
      </x:c>
      <x:c r="F41" s="23" t="str">
        <x:v>family:seafood</x:v>
      </x:c>
      <x:c r="G41" s="23" t="str"/>
      <x:c r="H41" s="23" t="str"/>
      <x:c r="I41" s="23" t="str"/>
      <x:c r="J41" s="23" t="str">
        <x:v>1-penten-3-ol</x:v>
      </x:c>
      <x:c r="K41" s="23" t="str">
        <x:v>burnt, butter, fish, green, meat, oxidized, wet earth</x:v>
      </x:c>
      <x:c r="L41" s="23" t="str">
        <x:v>apricot | asparagus | cabbage | chicken | quince | citrus | clam | fish | guava | guinea hen | lettuce | mango | melon | olive | oyster | papaya | passion fruit | currant | shrimp ] | strawberry | tea | tomato | capsicum</x:v>
      </x:c>
      <x:c r="M41" s="23" t="str">
        <x:v>legacy_unverified</x:v>
      </x:c>
      <x:c r="N41" s="23" t="str">
        <x:v>lean-fish scope research lead; species and preparation unresolved</x:v>
      </x:c>
      <x:c r="O41" s="23" t="str">
        <x:v>1-penten-3-ol</x:v>
      </x:c>
      <x:c r="P41" s="23"/>
      <x:c r="Q41" s="23" t="str">
        <x:v>Alcohols</x:v>
      </x:c>
      <x:c r="R41" s="23"/>
      <x:c r="S41" s="23"/>
      <x:c r="T41" s="23" t="str">
        <x:v>hold_no_direct_culinary_anchor_v17</x:v>
      </x:c>
      <x:c r="U41" s="23"/>
      <x:c r="V41" s="23"/>
      <x:c r="W41" s="23" t="str">
        <x:v>Do not promote generic lean-fish membership from legacy alone.</x:v>
      </x:c>
    </x:row>
    <x:row r="42">
      <x:c r="A42" s="23" t="str">
        <x:v>LC-0041</x:v>
      </x:c>
      <x:c r="B42" s="23" t="str">
        <x:v>Pairings- Fish (lean).xlsx</x:v>
      </x:c>
      <x:c r="C42" s="23" t="str">
        <x:v>Sheet1</x:v>
      </x:c>
      <x:c r="D42" s="23" t="str">
        <x:v>fish (lean)</x:v>
      </x:c>
      <x:c r="E42" s="23" t="str">
        <x:v>fish (lean)</x:v>
      </x:c>
      <x:c r="F42" s="23" t="str">
        <x:v>family:seafood</x:v>
      </x:c>
      <x:c r="G42" s="23" t="str"/>
      <x:c r="H42" s="23" t="str"/>
      <x:c r="I42" s="23" t="str"/>
      <x:c r="J42" s="23" t="str">
        <x:v>methanethiol (=methyl mercaptan)</x:v>
      </x:c>
      <x:c r="K42" s="23" t="str">
        <x:v>cabbage, garlic, gasoline, pungent, putrid, sulfur</x:v>
      </x:c>
      <x:c r="L42" s="23" t="str">
        <x:v>allium | asparagus | beer | cabbage | cheese | chicken | citrus | coffee | egg | mushroom | peanut | sake | pineapple | peas | maize | melon | hazelnut | cassava</x:v>
      </x:c>
      <x:c r="M42" s="23" t="str">
        <x:v>legacy_unverified</x:v>
      </x:c>
      <x:c r="N42" s="23" t="str">
        <x:v>lean-fish scope research lead; species and preparation unresolved</x:v>
      </x:c>
      <x:c r="O42" s="23" t="str">
        <x:v>methanethiol</x:v>
      </x:c>
      <x:c r="P42" s="23"/>
      <x:c r="Q42" s="23" t="str">
        <x:v>Sulfur compounds</x:v>
      </x:c>
      <x:c r="R42" s="23"/>
      <x:c r="S42" s="23"/>
      <x:c r="T42" s="23" t="str">
        <x:v>hold_no_direct_fin_fish_evidence_v17</x:v>
      </x:c>
      <x:c r="U42" s="23"/>
      <x:c r="V42" s="23"/>
      <x:c r="W42" s="23" t="str">
        <x:v>No direct governed occurrence in v17 culinary anchors.</x:v>
      </x:c>
    </x:row>
    <x:row r="43">
      <x:c r="A43" s="23" t="str">
        <x:v>LC-0042</x:v>
      </x:c>
      <x:c r="B43" s="23" t="str">
        <x:v>Pairings- Fish (lean).xlsx</x:v>
      </x:c>
      <x:c r="C43" s="23" t="str">
        <x:v>Sheet1</x:v>
      </x:c>
      <x:c r="D43" s="23" t="str">
        <x:v>fish (lean)</x:v>
      </x:c>
      <x:c r="E43" s="23" t="str">
        <x:v>fish (lean)</x:v>
      </x:c>
      <x:c r="F43" s="23" t="str">
        <x:v>family:seafood</x:v>
      </x:c>
      <x:c r="G43" s="23" t="str"/>
      <x:c r="H43" s="23" t="str"/>
      <x:c r="I43" s="23" t="str"/>
      <x:c r="J43" s="23" t="str">
        <x:v>dimethyl trisulfide (=dimethyltrisulfane, 2,3,4-trithiapentane, methyltrithiomethane)</x:v>
      </x:c>
      <x:c r="K43" s="23" t="str">
        <x:v>cabbage, fish, onion, sulfur, sweat</x:v>
      </x:c>
      <x:c r="L43" s="23" t="str">
        <x:v>allium | beef | beer | brassica | cabbage | cauliflower | cheese | chicken | citrus | cocoa | coffee | egg | honey | hop | maize | melon milk | mushroom | mustard | oyster | parsnip | peas | pineapple | pistachio | sake | sherry | shrimp | whisky | wine | sesame seed</x:v>
      </x:c>
      <x:c r="M43" s="23" t="str">
        <x:v>legacy_unverified</x:v>
      </x:c>
      <x:c r="N43" s="23" t="str">
        <x:v>lean-fish scope research lead; species and preparation unresolved</x:v>
      </x:c>
      <x:c r="O43" s="23" t="str">
        <x:v>dimethyl trisulfide</x:v>
      </x:c>
      <x:c r="P43" s="23"/>
      <x:c r="Q43" s="23" t="str">
        <x:v>Sulfur compounds</x:v>
      </x:c>
      <x:c r="R43" s="23"/>
      <x:c r="S43" s="23"/>
      <x:c r="T43" s="23" t="str">
        <x:v>hold_no_direct_fin_fish_evidence_v17</x:v>
      </x:c>
      <x:c r="U43" s="23"/>
      <x:c r="V43" s="23"/>
      <x:c r="W43" s="23" t="str">
        <x:v>Do not conflate with directly measured dimethyl disulfide in sea bass.</x:v>
      </x:c>
    </x:row>
    <x:row r="44">
      <x:c r="A44" s="23" t="str">
        <x:v>LC-0043</x:v>
      </x:c>
      <x:c r="B44" s="23" t="str">
        <x:v>Pairings- Fish (lean).xlsx</x:v>
      </x:c>
      <x:c r="C44" s="23" t="str">
        <x:v>Sheet1</x:v>
      </x:c>
      <x:c r="D44" s="23" t="str">
        <x:v>fish (lean)</x:v>
      </x:c>
      <x:c r="E44" s="23" t="str">
        <x:v>fish (lean)</x:v>
      </x:c>
      <x:c r="F44" s="23" t="str">
        <x:v>family:seafood</x:v>
      </x:c>
      <x:c r="G44" s="23" t="str"/>
      <x:c r="H44" s="23" t="str"/>
      <x:c r="I44" s="23" t="str"/>
      <x:c r="J44" s="23" t="str">
        <x:v>1-pentadecene</x:v>
      </x:c>
      <x:c r="K44" s="23" t="str">
        <x:v>plastic</x:v>
      </x:c>
      <x:c r="L44" s="23" t="str">
        <x:v>allium | beef | chicken | coconut | date | melon | milk | mussel | olive | peanut | pulasan</x:v>
      </x:c>
      <x:c r="M44" s="23" t="str">
        <x:v>legacy_unverified</x:v>
      </x:c>
      <x:c r="N44" s="23" t="str">
        <x:v>lean-fish scope research lead; species and preparation unresolved</x:v>
      </x:c>
      <x:c r="O44" s="23" t="str">
        <x:v>1-pentadecene</x:v>
      </x:c>
      <x:c r="P44" s="23"/>
      <x:c r="Q44" s="23" t="str">
        <x:v>Hydrocarbons</x:v>
      </x:c>
      <x:c r="R44" s="23"/>
      <x:c r="S44" s="23"/>
      <x:c r="T44" s="23" t="str">
        <x:v>hold_no_direct_fin_fish_evidence_v17</x:v>
      </x:c>
      <x:c r="U44" s="23"/>
      <x:c r="V44" s="23"/>
      <x:c r="W44" s="23" t="str">
        <x:v>No direct governed occurrence in v17 culinary anchors.</x:v>
      </x:c>
    </x:row>
    <x:row r="45">
      <x:c r="A45" s="23" t="str">
        <x:v>LC-0044</x:v>
      </x:c>
      <x:c r="B45" s="23" t="str">
        <x:v>Pairings- Fish (lean).xlsx</x:v>
      </x:c>
      <x:c r="C45" s="23" t="str">
        <x:v>Sheet1</x:v>
      </x:c>
      <x:c r="D45" s="23" t="str">
        <x:v>fish (lean)</x:v>
      </x:c>
      <x:c r="E45" s="23" t="str">
        <x:v>fish (lean)</x:v>
      </x:c>
      <x:c r="F45" s="23" t="str">
        <x:v>family:seafood</x:v>
      </x:c>
      <x:c r="G45" s="23" t="str"/>
      <x:c r="H45" s="23" t="str"/>
      <x:c r="I45" s="23" t="str"/>
      <x:c r="J45" s="23" t="str">
        <x:v>napthalene</x:v>
      </x:c>
      <x:c r="K45" s="23" t="str">
        <x:v>mothball, tar</x:v>
      </x:c>
      <x:c r="L45" s="23" t="str">
        <x:v>avocado | beans | beer | brown algae | capsicum | cashew | cheese | chicken | citrus | cocoa | kiwifruit | lentils | loquat | mango | milk | olive | passion fruit | peanut | peas | plum | raspberry, blackberry | salvia | shrimp | soybean | tea | vaccinium</x:v>
      </x:c>
      <x:c r="M45" s="23" t="str">
        <x:v>legacy_unverified</x:v>
      </x:c>
      <x:c r="N45" s="23" t="str">
        <x:v>lean-fish scope research lead; species and preparation unresolved</x:v>
      </x:c>
      <x:c r="O45" s="23" t="str">
        <x:v>naphthalene</x:v>
      </x:c>
      <x:c r="P45" s="23" t="str">
        <x:v>91-20-3</x:v>
      </x:c>
      <x:c r="Q45" s="23" t="str">
        <x:v>Hydrocarbons</x:v>
      </x:c>
      <x:c r="R45" s="23"/>
      <x:c r="S45" s="23"/>
      <x:c r="T45" s="23" t="str">
        <x:v>hold_no_direct_fin_fish_evidence_v17</x:v>
      </x:c>
      <x:c r="U45" s="23"/>
      <x:c r="V45" s="23"/>
      <x:c r="W45" s="23" t="str">
        <x:v>Legacy spelling normalization preserved; no direct governed occurrence in v17 anchors.</x:v>
      </x:c>
    </x:row>
    <x:row r="46">
      <x:c r="A46" s="23" t="str">
        <x:v>LC-0045</x:v>
      </x:c>
      <x:c r="B46" s="23" t="str">
        <x:v>Pairings- Fish (lean).xlsx</x:v>
      </x:c>
      <x:c r="C46" s="23" t="str">
        <x:v>Sheet1</x:v>
      </x:c>
      <x:c r="D46" s="23" t="str">
        <x:v>fish (lean)</x:v>
      </x:c>
      <x:c r="E46" s="23" t="str">
        <x:v>fish (lean)</x:v>
      </x:c>
      <x:c r="F46" s="23" t="str">
        <x:v>family:seafood</x:v>
      </x:c>
      <x:c r="G46" s="23" t="str"/>
      <x:c r="H46" s="23" t="str"/>
      <x:c r="I46" s="23" t="str"/>
      <x:c r="J46" s="23" t="str">
        <x:v>2,3-butanediol</x:v>
      </x:c>
      <x:c r="K46" s="23" t="str">
        <x:v>fruit, herb, onion</x:v>
      </x:c>
      <x:c r="L46" s="23" t="str">
        <x:v>acerola | apple brandy | beef | beer | bread | capsicum | cheese | cider | date | fig | honey | melon | passion fruit | raspberry/blackberry | sherry | vinegar | wine</x:v>
      </x:c>
      <x:c r="M46" s="23" t="str">
        <x:v>legacy_unverified</x:v>
      </x:c>
      <x:c r="N46" s="23" t="str">
        <x:v>lean-fish scope research lead; species and preparation unresolved</x:v>
      </x:c>
      <x:c r="O46" s="23" t="str">
        <x:v>2,3-butanediol</x:v>
      </x:c>
      <x:c r="P46" s="23"/>
      <x:c r="Q46" s="23" t="str">
        <x:v>Alcohols</x:v>
      </x:c>
      <x:c r="R46" s="23"/>
      <x:c r="S46" s="23"/>
      <x:c r="T46" s="23" t="str">
        <x:v>storage_context_only_not_positive</x:v>
      </x:c>
      <x:c r="U46" s="23" t="str">
        <x:v>SRC-FISH-SEABASS-SALMON-MAP-001</x:v>
      </x:c>
      <x:c r="V46" s="23"/>
      <x:c r="W46" s="23" t="str">
        <x:v>Direct same-method occurrence is storage-context/seabass-only and proposed as spoilage-associated; not a positive lean-fish core row.</x:v>
      </x:c>
    </x:row>
    <x:row r="47">
      <x:c r="A47" s="23" t="str">
        <x:v>LC-0046</x:v>
      </x:c>
      <x:c r="B47" s="23" t="str">
        <x:v>Pairings- Fish (lean).xlsx</x:v>
      </x:c>
      <x:c r="C47" s="23" t="str">
        <x:v>Sheet1</x:v>
      </x:c>
      <x:c r="D47" s="23" t="str">
        <x:v>fish (lean)</x:v>
      </x:c>
      <x:c r="E47" s="23" t="str">
        <x:v>fish (lean)</x:v>
      </x:c>
      <x:c r="F47" s="23" t="str">
        <x:v>family:seafood</x:v>
      </x:c>
      <x:c r="G47" s="23" t="str"/>
      <x:c r="H47" s="23" t="str"/>
      <x:c r="I47" s="23" t="str"/>
      <x:c r="J47" s="23" t="str">
        <x:v>2,3-butanedione (=diacetyl)</x:v>
      </x:c>
      <x:c r="K47" s="23" t="str">
        <x:v>butter, caramel, fruit, pastry, rancid, sweet, yeast</x:v>
      </x:c>
      <x:c r="L47" s="23" t="str">
        <x:v>acerola | apple | artichoke | beer | beetroot | cabbage | cheese | chicken | cider | cocoa | coffee | brandy | honey | maize | mango | milk | olive | peanut | peas | pecan | pistachio | popcorn | potato | pumpkin | rum | rye bread | salvia | sea buckthorn | sherry | tea | tomato | vaccinium | vinegar | whisky | wine</x:v>
      </x:c>
      <x:c r="M47" s="23" t="str">
        <x:v>legacy_unverified</x:v>
      </x:c>
      <x:c r="N47" s="23" t="str">
        <x:v>lean-fish scope research lead; species and preparation unresolved</x:v>
      </x:c>
      <x:c r="O47" s="23" t="str">
        <x:v>2,3-butanedione</x:v>
      </x:c>
      <x:c r="P47" s="23" t="str">
        <x:v>431-03-8</x:v>
      </x:c>
      <x:c r="Q47" s="23" t="str">
        <x:v>Ketones</x:v>
      </x:c>
      <x:c r="R47" s="23"/>
      <x:c r="S47" s="23"/>
      <x:c r="T47" s="23" t="str">
        <x:v>measured_seabass_member_specific</x:v>
      </x:c>
      <x:c r="U47" s="23" t="str">
        <x:v>SRC-FISH-SEABASS-STEAM-001</x:v>
      </x:c>
      <x:c r="V47" s="23" t="str">
        <x:v>fish:sea_bass</x:v>
      </x:c>
      <x:c r="W47" s="23" t="str">
        <x:v>Direct raw/steamed sea-bass evidence; member-specific promotion only.</x:v>
      </x:c>
    </x:row>
    <x:row r="48">
      <x:c r="A48" s="23" t="str">
        <x:v>LC-0047</x:v>
      </x:c>
      <x:c r="B48" s="23" t="str">
        <x:v>Pairings- Fish (lean).xlsx</x:v>
      </x:c>
      <x:c r="C48" s="23" t="str">
        <x:v>Sheet1</x:v>
      </x:c>
      <x:c r="D48" s="23" t="str">
        <x:v>fish (lean)</x:v>
      </x:c>
      <x:c r="E48" s="23" t="str">
        <x:v>fish (lean)</x:v>
      </x:c>
      <x:c r="F48" s="23" t="str">
        <x:v>family:seafood</x:v>
      </x:c>
      <x:c r="G48" s="23" t="str"/>
      <x:c r="H48" s="23" t="str"/>
      <x:c r="I48" s="23" t="str"/>
      <x:c r="J48" s="23" t="str">
        <x:v>Fatty</x:v>
      </x:c>
      <x:c r="K48" s="23" t="str">
        <x:v>Fish</x:v>
      </x:c>
      <x:c r="L48" s="23" t="str">
        <x:v>Only</x:v>
      </x:c>
      <x:c r="M48" s="23" t="str">
        <x:v>excluded_noncompound</x:v>
      </x:c>
      <x:c r="N48" s="23" t="str">
        <x:v>exclude from compound migration; this is the structural label 'Fatty Fish Only', not a compound</x:v>
      </x:c>
      <x:c r="O48" s="23"/>
      <x:c r="P48" s="23" t="str"/>
      <x:c r="Q48" s="23" t="str"/>
      <x:c r="R48" s="23" t="str"/>
      <x:c r="S48" s="23" t="str"/>
      <x:c r="T48" s="23" t="str"/>
      <x:c r="U48" s="23" t="str"/>
      <x:c r="V48" s="23" t="str">
        <x:v>exclude</x:v>
      </x:c>
      <x:c r="W48" s="23" t="str">
        <x:v>Obvious source-layout artifact: the column reads 'Fatty' / 'Fish' / 'Only'. Removed from the compound candidate pool.</x:v>
      </x:c>
    </x:row>
    <x:row r="49">
      <x:c r="A49" s="23" t="str">
        <x:v>LC-0048</x:v>
      </x:c>
      <x:c r="B49" s="23" t="str">
        <x:v>Pairings- Fish (lean).xlsx</x:v>
      </x:c>
      <x:c r="C49" s="23" t="str">
        <x:v>Sheet1</x:v>
      </x:c>
      <x:c r="D49" s="23" t="str">
        <x:v>fish (lean)</x:v>
      </x:c>
      <x:c r="E49" s="23" t="str">
        <x:v>fish (fatty)</x:v>
      </x:c>
      <x:c r="F49" s="23" t="str">
        <x:v>family:seafood</x:v>
      </x:c>
      <x:c r="G49" s="23" t="str">
        <x:v>fatty fish</x:v>
      </x:c>
      <x:c r="H49" s="23" t="str"/>
      <x:c r="I49" s="23" t="str"/>
      <x:c r="J49" s="23" t="str">
        <x:v>pyrrolidine</x:v>
      </x:c>
      <x:c r="K49" s="23" t="str">
        <x:v>alkaline</x:v>
      </x:c>
      <x:c r="L49" s="23" t="str">
        <x:v>barley | beer | cavair | celery | cheese | coffee | hop | maize | malt | radish | wheaten bread | whisky | wine</x:v>
      </x:c>
      <x:c r="M49" s="23" t="str">
        <x:v>legacy_unverified</x:v>
      </x:c>
      <x:c r="N49" s="23" t="str">
        <x:v>fatty-fish section research lead; preparation unresolved; scope begins after legacy 'Fatty Fish Only' structural marker LC-0047</x:v>
      </x:c>
      <x:c r="O49" s="23" t="str">
        <x:v>pyrrolidine</x:v>
      </x:c>
      <x:c r="P49" s="23"/>
      <x:c r="Q49" s="23" t="str">
        <x:v>Nitrogen heterocycles</x:v>
      </x:c>
      <x:c r="R49" s="23"/>
      <x:c r="S49" s="23"/>
      <x:c r="T49" s="23" t="str">
        <x:v>hold_no_direct_fin_fish_evidence_v17</x:v>
      </x:c>
      <x:c r="U49" s="23"/>
      <x:c r="V49" s="23"/>
      <x:c r="W49" s="23" t="str">
        <x:v>No direct governed occurrence in v17 culinary anchors.</x:v>
      </x:c>
    </x:row>
    <x:row r="50">
      <x:c r="A50" s="23" t="str">
        <x:v>LC-0049</x:v>
      </x:c>
      <x:c r="B50" s="23" t="str">
        <x:v>Pairings- Fish (lean).xlsx</x:v>
      </x:c>
      <x:c r="C50" s="23" t="str">
        <x:v>Sheet1</x:v>
      </x:c>
      <x:c r="D50" s="23" t="str">
        <x:v>fish (lean)</x:v>
      </x:c>
      <x:c r="E50" s="23" t="str">
        <x:v>fish (fatty)</x:v>
      </x:c>
      <x:c r="F50" s="23" t="str">
        <x:v>family:seafood</x:v>
      </x:c>
      <x:c r="G50" s="23" t="str">
        <x:v>fatty fish</x:v>
      </x:c>
      <x:c r="H50" s="23" t="str"/>
      <x:c r="I50" s="23" t="str"/>
      <x:c r="J50" s="23" t="str">
        <x:v>2-heptenal</x:v>
      </x:c>
      <x:c r="K50" s="23" t="str">
        <x:v>green, metal, oil, oxidized, pungent, rancid, tallow</x:v>
      </x:c>
      <x:c r="L50" s="23" t="str">
        <x:v>asparagus | caviar | cheese | cocoa | caviar | hazelnut | milk | olive | peanut | plum | walnut</x:v>
      </x:c>
      <x:c r="M50" s="23" t="str">
        <x:v>legacy_unverified</x:v>
      </x:c>
      <x:c r="N50" s="23" t="str">
        <x:v>fatty-fish section research lead; preparation unresolved; scope begins after legacy 'Fatty Fish Only' structural marker LC-0047</x:v>
      </x:c>
      <x:c r="O50" s="23" t="str">
        <x:v>2-heptenal</x:v>
      </x:c>
      <x:c r="P50" s="23"/>
      <x:c r="Q50" s="23" t="str">
        <x:v>Aldehydes</x:v>
      </x:c>
      <x:c r="R50" s="23"/>
      <x:c r="S50" s="23"/>
      <x:c r="T50" s="23" t="str">
        <x:v>stereochemistry_hold_salmon_E_isomer_verified</x:v>
      </x:c>
      <x:c r="U50" s="23" t="str">
        <x:v>SRC-FISH-SALMON-COOK-001</x:v>
      </x:c>
      <x:c r="V50" s="23"/>
      <x:c r="W50" s="23" t="str">
        <x:v>Source measures (E)-2-heptenal; do not silently map unspecified legacy 2-heptenal.</x:v>
      </x:c>
    </x:row>
    <x:row r="51">
      <x:c r="A51" s="23" t="str">
        <x:v>LC-0050</x:v>
      </x:c>
      <x:c r="B51" s="23" t="str">
        <x:v>Pairings- Fish (lean).xlsx</x:v>
      </x:c>
      <x:c r="C51" s="23" t="str">
        <x:v>Sheet1</x:v>
      </x:c>
      <x:c r="D51" s="23" t="str">
        <x:v>fish (lean)</x:v>
      </x:c>
      <x:c r="E51" s="23" t="str">
        <x:v>fish (fatty)</x:v>
      </x:c>
      <x:c r="F51" s="23" t="str">
        <x:v>family:seafood</x:v>
      </x:c>
      <x:c r="G51" s="23" t="str">
        <x:v>fatty fish</x:v>
      </x:c>
      <x:c r="H51" s="23" t="str"/>
      <x:c r="I51" s="23" t="str"/>
      <x:c r="J51" s="23" t="str">
        <x:v>formic acid</x:v>
      </x:c>
      <x:c r="K51" s="23" t="str">
        <x:v>n/a</x:v>
      </x:c>
      <x:c r="L51" s="23" t="str">
        <x:v>apple | beer | blue cheese | citrus | coffee | grape brandy | milk | peas | strawberry | swiss cheese | tea</x:v>
      </x:c>
      <x:c r="M51" s="23" t="str">
        <x:v>legacy_unverified</x:v>
      </x:c>
      <x:c r="N51" s="23" t="str">
        <x:v>fatty-fish section research lead; preparation unresolved; scope begins after legacy 'Fatty Fish Only' structural marker LC-0047</x:v>
      </x:c>
      <x:c r="O51" s="23" t="str">
        <x:v>formic acid</x:v>
      </x:c>
      <x:c r="P51" s="23"/>
      <x:c r="Q51" s="23" t="str">
        <x:v>Acids</x:v>
      </x:c>
      <x:c r="R51" s="23"/>
      <x:c r="S51" s="23"/>
      <x:c r="T51" s="23" t="str">
        <x:v>hold_no_direct_fin_fish_evidence_v17</x:v>
      </x:c>
      <x:c r="U51" s="23"/>
      <x:c r="V51" s="23"/>
      <x:c r="W51" s="23" t="str">
        <x:v>No direct governed occurrence in v17 anchors.</x:v>
      </x:c>
    </x:row>
    <x:row r="52">
      <x:c r="A52" s="23" t="str">
        <x:v>LC-0051</x:v>
      </x:c>
      <x:c r="B52" s="23" t="str">
        <x:v>Pairings- Fish (lean).xlsx</x:v>
      </x:c>
      <x:c r="C52" s="23" t="str">
        <x:v>Sheet1</x:v>
      </x:c>
      <x:c r="D52" s="23" t="str">
        <x:v>fish (lean)</x:v>
      </x:c>
      <x:c r="E52" s="23" t="str">
        <x:v>fish (fatty)</x:v>
      </x:c>
      <x:c r="F52" s="23" t="str">
        <x:v>family:seafood</x:v>
      </x:c>
      <x:c r="G52" s="23" t="str">
        <x:v>fatty fish</x:v>
      </x:c>
      <x:c r="H52" s="23" t="str"/>
      <x:c r="I52" s="23" t="str"/>
      <x:c r="J52" s="23" t="str">
        <x:v>2-decenal</x:v>
      </x:c>
      <x:c r="K52" s="23" t="str">
        <x:v>fat, fish, orange, paint</x:v>
      </x:c>
      <x:c r="L52" s="23" t="str">
        <x:v>beef | carrot | coriander | lamb | milk | olive | peanut | walnut</x:v>
      </x:c>
      <x:c r="M52" s="23" t="str">
        <x:v>legacy_unverified</x:v>
      </x:c>
      <x:c r="N52" s="23" t="str">
        <x:v>fatty-fish section research lead; preparation unresolved; scope begins after legacy 'Fatty Fish Only' structural marker LC-0047</x:v>
      </x:c>
      <x:c r="O52" s="23" t="str">
        <x:v>2-decenal</x:v>
      </x:c>
      <x:c r="P52" s="23"/>
      <x:c r="Q52" s="23" t="str">
        <x:v>Aldehydes</x:v>
      </x:c>
      <x:c r="R52" s="23"/>
      <x:c r="S52" s="23"/>
      <x:c r="T52" s="23" t="str">
        <x:v>hold_no_direct_fin_fish_evidence_v17</x:v>
      </x:c>
      <x:c r="U52" s="23"/>
      <x:c r="V52" s="23"/>
      <x:c r="W52" s="23" t="str">
        <x:v>No direct governed occurrence; stereochemistry unresolved.</x:v>
      </x:c>
    </x:row>
    <x:row r="53">
      <x:c r="A53" s="23" t="str">
        <x:v>LC-0052</x:v>
      </x:c>
      <x:c r="B53" s="23" t="str">
        <x:v>Pairings- Mollusks.xlsx</x:v>
      </x:c>
      <x:c r="C53" s="23" t="str">
        <x:v>Sheet1</x:v>
      </x:c>
      <x:c r="D53" s="23" t="str">
        <x:v>mollusks</x:v>
      </x:c>
      <x:c r="E53" s="23" t="str">
        <x:v>mollusks</x:v>
      </x:c>
      <x:c r="F53" s="23" t="str">
        <x:v>family:seafood</x:v>
      </x:c>
      <x:c r="G53" s="23" t="str"/>
      <x:c r="H53" s="23" t="str"/>
      <x:c r="I53" s="23" t="str"/>
      <x:c r="J53" s="23" t="str">
        <x:v>acetaldehyde (=ethanal)</x:v>
      </x:c>
      <x:c r="K53" s="23" t="str">
        <x:v>ether, floral, green apple, pungent, sweet</x:v>
      </x:c>
      <x:c r="L53" s="23" t="str">
        <x:v>allium | apple | apricot | asparagus | avocado | cabbage | carrot | celery | chicken | cider | citrus | coffee | cucumber | egg | fig | fish | gin | grape | lentil | maize | mango | mexcal | milk | olive | passion fruit | peanut | pear | pea | raspberry/blackberry | rum | sake | sherry | shrimp</x:v>
      </x:c>
      <x:c r="M53" s="23" t="str">
        <x:v>legacy_unverified</x:v>
      </x:c>
      <x:c r="N53" s="23" t="str">
        <x:v>mollusk scope research lead; species and preparation unresolved</x:v>
      </x:c>
      <x:c r="O53" s="23" t="str"/>
      <x:c r="P53" s="23" t="str"/>
      <x:c r="Q53" s="23" t="str"/>
      <x:c r="R53" s="23" t="str"/>
      <x:c r="S53" s="23" t="str"/>
      <x:c r="T53" s="23" t="str"/>
      <x:c r="U53" s="23" t="str"/>
      <x:c r="V53" s="23" t="str"/>
      <x:c r="W53" s="23" t="str"/>
    </x:row>
    <x:row r="54">
      <x:c r="A54" s="23" t="str">
        <x:v>LC-0053</x:v>
      </x:c>
      <x:c r="B54" s="23" t="str">
        <x:v>Pairings- Mollusks.xlsx</x:v>
      </x:c>
      <x:c r="C54" s="23" t="str">
        <x:v>Sheet1</x:v>
      </x:c>
      <x:c r="D54" s="23" t="str">
        <x:v>mollusks</x:v>
      </x:c>
      <x:c r="E54" s="23" t="str">
        <x:v>mollusks</x:v>
      </x:c>
      <x:c r="F54" s="23" t="str">
        <x:v>family:seafood</x:v>
      </x:c>
      <x:c r="G54" s="23" t="str"/>
      <x:c r="H54" s="23" t="str"/>
      <x:c r="I54" s="23" t="str"/>
      <x:c r="J54" s="23" t="str">
        <x:v>N-methylmethanamine (=dimethylamine)</x:v>
      </x:c>
      <x:c r="K54" s="23" t="str">
        <x:v>fish</x:v>
      </x:c>
      <x:c r="L54" s="23" t="str">
        <x:v>apple | banana | barley | beef | beer | blue cheese | cabbage | cauliflower/broccoli | caviar | celery | cheddar | cheese | chicken | cocoa | coffee | fish | grape | hop | krill | lettuce | maize | malt | oats | pork | radish | rutabaga | sherry | soybean | squid | tomato | wheaten bread | wine</x:v>
      </x:c>
      <x:c r="M54" s="23" t="str">
        <x:v>legacy_unverified</x:v>
      </x:c>
      <x:c r="N54" s="23" t="str">
        <x:v>mollusk scope research lead; species and preparation unresolved</x:v>
      </x:c>
      <x:c r="O54" s="23" t="str"/>
      <x:c r="P54" s="23" t="str"/>
      <x:c r="Q54" s="23" t="str"/>
      <x:c r="R54" s="23" t="str"/>
      <x:c r="S54" s="23" t="str"/>
      <x:c r="T54" s="23" t="str"/>
      <x:c r="U54" s="23" t="str"/>
      <x:c r="V54" s="23" t="str"/>
      <x:c r="W54" s="23" t="str"/>
    </x:row>
    <x:row r="55">
      <x:c r="A55" s="23" t="str">
        <x:v>LC-0054</x:v>
      </x:c>
      <x:c r="B55" s="23" t="str">
        <x:v>Pairings- Mollusks.xlsx</x:v>
      </x:c>
      <x:c r="C55" s="23" t="str">
        <x:v>Sheet1</x:v>
      </x:c>
      <x:c r="D55" s="23" t="str">
        <x:v>mollusks</x:v>
      </x:c>
      <x:c r="E55" s="23" t="str">
        <x:v>mollusks</x:v>
      </x:c>
      <x:c r="F55" s="23" t="str">
        <x:v>family:seafood</x:v>
      </x:c>
      <x:c r="G55" s="23" t="str"/>
      <x:c r="H55" s="23" t="str"/>
      <x:c r="I55" s="23" t="str"/>
      <x:c r="J55" s="23" t="str">
        <x:v>2-acetyl-5-methylfuran</x:v>
      </x:c>
      <x:c r="K55" s="23" t="str">
        <x:v>nut, vegetable</x:v>
      </x:c>
      <x:c r="L55" s="23" t="str">
        <x:v>hazelnut | licorice | mushroom | plum | popcorn | pork | potato | quince | tequila | truffle | whisky | wild rice</x:v>
      </x:c>
      <x:c r="M55" s="23" t="str">
        <x:v>legacy_unverified</x:v>
      </x:c>
      <x:c r="N55" s="23" t="str">
        <x:v>mollusk scope research lead; species and preparation unresolved</x:v>
      </x:c>
      <x:c r="O55" s="23" t="str"/>
      <x:c r="P55" s="23" t="str"/>
      <x:c r="Q55" s="23" t="str"/>
      <x:c r="R55" s="23" t="str"/>
      <x:c r="S55" s="23" t="str"/>
      <x:c r="T55" s="23" t="str"/>
      <x:c r="U55" s="23" t="str"/>
      <x:c r="V55" s="23" t="str"/>
      <x:c r="W55" s="23" t="str"/>
    </x:row>
    <x:row r="56">
      <x:c r="A56" s="23" t="str">
        <x:v>LC-0055</x:v>
      </x:c>
      <x:c r="B56" s="23" t="str">
        <x:v>Pairings- Mollusks.xlsx</x:v>
      </x:c>
      <x:c r="C56" s="23" t="str">
        <x:v>Sheet1</x:v>
      </x:c>
      <x:c r="D56" s="23" t="str">
        <x:v>mollusks</x:v>
      </x:c>
      <x:c r="E56" s="23" t="str">
        <x:v>mollusks</x:v>
      </x:c>
      <x:c r="F56" s="23" t="str">
        <x:v>family:seafood</x:v>
      </x:c>
      <x:c r="G56" s="23" t="str"/>
      <x:c r="H56" s="23" t="str"/>
      <x:c r="I56" s="23" t="str"/>
      <x:c r="J56" s="23" t="str">
        <x:v>unmarked</x:v>
      </x:c>
      <x:c r="K56" s="23" t="str"/>
      <x:c r="L56" s="23" t="str">
        <x:v>vanilla</x:v>
      </x:c>
      <x:c r="M56" s="23" t="str">
        <x:v>excluded_unidentified</x:v>
      </x:c>
      <x:c r="N56" s="23" t="str">
        <x:v>exclude from compound migration unless original identity can be recovered; 'unmarked' is not a chemical identity</x:v>
      </x:c>
      <x:c r="O56" s="23"/>
      <x:c r="P56" s="23" t="str"/>
      <x:c r="Q56" s="23" t="str"/>
      <x:c r="R56" s="23" t="str"/>
      <x:c r="S56" s="23" t="str"/>
      <x:c r="T56" s="23" t="str"/>
      <x:c r="U56" s="23" t="str"/>
      <x:c r="V56" s="23" t="str">
        <x:v>exclude</x:v>
      </x:c>
      <x:c r="W56" s="23" t="str">
        <x:v>Unidentified source column. The associated food note ('vanilla') does not establish a compound identity, so this cannot be promoted.</x:v>
      </x:c>
    </x:row>
    <x:row r="57">
      <x:c r="A57" s="23" t="str">
        <x:v>LC-0056</x:v>
      </x:c>
      <x:c r="B57" s="23" t="str">
        <x:v>Pairings- Mollusks.xlsx</x:v>
      </x:c>
      <x:c r="C57" s="23" t="str">
        <x:v>Sheet1</x:v>
      </x:c>
      <x:c r="D57" s="23" t="str">
        <x:v>mollusks</x:v>
      </x:c>
      <x:c r="E57" s="23" t="str">
        <x:v>mollusks</x:v>
      </x:c>
      <x:c r="F57" s="23" t="str">
        <x:v>family:seafood</x:v>
      </x:c>
      <x:c r="G57" s="23" t="str"/>
      <x:c r="H57" s="23" t="str"/>
      <x:c r="I57" s="23" t="str"/>
      <x:c r="J57" s="23" t="str">
        <x:v>tetramethylpyrazine</x:v>
      </x:c>
      <x:c r="K57" s="23" t="str">
        <x:v>cocoa, coffee, green, mocha, roast</x:v>
      </x:c>
      <x:c r="L57" s="23" t="str">
        <x:v>beans | buckwheat | capsicum | cocoa | coffee | coriander | crab | lamb | mushroom | oats | rice | scallop | potato | soybean</x:v>
      </x:c>
      <x:c r="M57" s="23" t="str">
        <x:v>legacy_unverified</x:v>
      </x:c>
      <x:c r="N57" s="23" t="str">
        <x:v>mollusk scope research lead; species and preparation unresolved</x:v>
      </x:c>
      <x:c r="O57" s="23" t="str"/>
      <x:c r="P57" s="23" t="str"/>
      <x:c r="Q57" s="23" t="str"/>
      <x:c r="R57" s="23" t="str"/>
      <x:c r="S57" s="23" t="str"/>
      <x:c r="T57" s="23" t="str"/>
      <x:c r="U57" s="23" t="str"/>
      <x:c r="V57" s="23" t="str"/>
      <x:c r="W57" s="23" t="str"/>
    </x:row>
    <x:row r="58">
      <x:c r="A58" s="23" t="str">
        <x:v>LC-0057</x:v>
      </x:c>
      <x:c r="B58" s="23" t="str">
        <x:v>Pairings- Pork.xlsx</x:v>
      </x:c>
      <x:c r="C58" s="23" t="str">
        <x:v>Sheet1</x:v>
      </x:c>
      <x:c r="D58" s="23" t="str">
        <x:v>pork</x:v>
      </x:c>
      <x:c r="E58" s="23" t="str">
        <x:v>pork</x:v>
      </x:c>
      <x:c r="F58" s="23" t="str">
        <x:v>family:pork</x:v>
      </x:c>
      <x:c r="G58" s="23" t="str"/>
      <x:c r="H58" s="23" t="str"/>
      <x:c r="I58" s="23" t="str"/>
      <x:c r="J58" s="23" t="str">
        <x:v>1-heptanol</x:v>
      </x:c>
      <x:c r="K58" s="23" t="str">
        <x:v>chemical, green, putrid, wood</x:v>
      </x:c>
      <x:c r="L58" s="23" t="str">
        <x:v>apple | asparagus | beef | buckwheat | capsicum | cardamom | cheese | chicken | citrus | clam | cocoa | dill | fig | hazelnut | garpe | honey | kiwi | litchi | melon | milk | mustard | olive | raspberry | sherry | soy | tea | tomato | wine</x:v>
      </x:c>
      <x:c r="M58" s="23" t="str">
        <x:v>legacy_unverified</x:v>
      </x:c>
      <x:c r="N58" s="23" t="str">
        <x:v>reconcile against current VCF pork before promotion</x:v>
      </x:c>
      <x:c r="O58" s="23" t="str"/>
      <x:c r="P58" s="23" t="str"/>
      <x:c r="Q58" s="23" t="str"/>
      <x:c r="R58" s="23" t="str"/>
      <x:c r="S58" s="23" t="str"/>
      <x:c r="T58" s="23" t="str"/>
      <x:c r="U58" s="23" t="str"/>
      <x:c r="V58" s="23" t="str"/>
      <x:c r="W58" s="23" t="str"/>
    </x:row>
    <x:row r="59">
      <x:c r="A59" s="23" t="str">
        <x:v>LC-0058</x:v>
      </x:c>
      <x:c r="B59" s="23" t="str">
        <x:v>Pairings- Pork.xlsx</x:v>
      </x:c>
      <x:c r="C59" s="23" t="str">
        <x:v>Sheet1</x:v>
      </x:c>
      <x:c r="D59" s="23" t="str">
        <x:v>pork</x:v>
      </x:c>
      <x:c r="E59" s="23" t="str">
        <x:v>pork</x:v>
      </x:c>
      <x:c r="F59" s="23" t="str">
        <x:v>family:pork</x:v>
      </x:c>
      <x:c r="G59" s="23" t="str"/>
      <x:c r="H59" s="23" t="str"/>
      <x:c r="I59" s="23" t="str"/>
      <x:c r="J59" s="23" t="str">
        <x:v>pyrrole</x:v>
      </x:c>
      <x:c r="K59" s="23" t="str">
        <x:v>nut, sweet</x:v>
      </x:c>
      <x:c r="L59" s="23" t="str">
        <x:v>beef | beer | chicken | clam | cocoa | coffee | egg | hazelnut | malt | milk | tamarind</x:v>
      </x:c>
      <x:c r="M59" s="23" t="str">
        <x:v>legacy_unverified</x:v>
      </x:c>
      <x:c r="N59" s="23" t="str">
        <x:v>reconcile against current VCF pork before promotion</x:v>
      </x:c>
      <x:c r="O59" s="23" t="str"/>
      <x:c r="P59" s="23" t="str"/>
      <x:c r="Q59" s="23" t="str"/>
      <x:c r="R59" s="23" t="str"/>
      <x:c r="S59" s="23" t="str"/>
      <x:c r="T59" s="23" t="str"/>
      <x:c r="U59" s="23" t="str"/>
      <x:c r="V59" s="23" t="str"/>
      <x:c r="W59" s="23" t="str"/>
    </x:row>
    <x:row r="60">
      <x:c r="A60" s="23" t="str">
        <x:v>LC-0059</x:v>
      </x:c>
      <x:c r="B60" s="23" t="str">
        <x:v>Pairings- Pork.xlsx</x:v>
      </x:c>
      <x:c r="C60" s="23" t="str">
        <x:v>Sheet1</x:v>
      </x:c>
      <x:c r="D60" s="23" t="str">
        <x:v>pork</x:v>
      </x:c>
      <x:c r="E60" s="23" t="str">
        <x:v>pork</x:v>
      </x:c>
      <x:c r="F60" s="23" t="str">
        <x:v>family:pork</x:v>
      </x:c>
      <x:c r="G60" s="23" t="str"/>
      <x:c r="H60" s="23" t="str"/>
      <x:c r="I60" s="23" t="str"/>
      <x:c r="J60" s="23" t="str">
        <x:v>2-methylpyridine (=α-picoline)</x:v>
      </x:c>
      <x:c r="K60" s="23" t="str">
        <x:v>ash, sweat</x:v>
      </x:c>
      <x:c r="L60" s="23" t="str">
        <x:v>allium | annatto | cheese | oats | okra | peanut | rice | sherry | shoyu | shrimp | tea | whisky</x:v>
      </x:c>
      <x:c r="M60" s="23" t="str">
        <x:v>legacy_unverified</x:v>
      </x:c>
      <x:c r="N60" s="23" t="str">
        <x:v>reconcile against current VCF pork before promotion</x:v>
      </x:c>
      <x:c r="O60" s="23" t="str"/>
      <x:c r="P60" s="23" t="str"/>
      <x:c r="Q60" s="23" t="str"/>
      <x:c r="R60" s="23" t="str"/>
      <x:c r="S60" s="23" t="str"/>
      <x:c r="T60" s="23" t="str"/>
      <x:c r="U60" s="23" t="str"/>
      <x:c r="V60" s="23" t="str"/>
      <x:c r="W60" s="23" t="str"/>
    </x:row>
    <x:row r="61">
      <x:c r="A61" s="23" t="str">
        <x:v>LC-0060</x:v>
      </x:c>
      <x:c r="B61" s="23" t="str">
        <x:v>Pairings- Pork.xlsx</x:v>
      </x:c>
      <x:c r="C61" s="23" t="str">
        <x:v>Sheet1</x:v>
      </x:c>
      <x:c r="D61" s="23" t="str">
        <x:v>pork</x:v>
      </x:c>
      <x:c r="E61" s="23" t="str">
        <x:v>pork</x:v>
      </x:c>
      <x:c r="F61" s="23" t="str">
        <x:v>family:pork</x:v>
      </x:c>
      <x:c r="G61" s="23" t="str"/>
      <x:c r="H61" s="23" t="str"/>
      <x:c r="I61" s="23" t="str"/>
      <x:c r="J61" s="23" t="str">
        <x:v>trimethylpyrazine</x:v>
      </x:c>
      <x:c r="K61" s="23" t="str">
        <x:v>cocoa, earth, must, potato, roast</x:v>
      </x:c>
      <x:c r="L61" s="23" t="str">
        <x:v>almond | asparagus | barley | beans | beef | beerr | chicken | clam | cocoa | coconut | coffee | okra | peanut | sesame seed | tea | whisky</x:v>
      </x:c>
      <x:c r="M61" s="23" t="str">
        <x:v>legacy_unverified</x:v>
      </x:c>
      <x:c r="N61" s="23" t="str">
        <x:v>reconcile against current VCF pork before promotion</x:v>
      </x:c>
      <x:c r="O61" s="23" t="str"/>
      <x:c r="P61" s="23" t="str"/>
      <x:c r="Q61" s="23" t="str"/>
      <x:c r="R61" s="23" t="str"/>
      <x:c r="S61" s="23" t="str"/>
      <x:c r="T61" s="23" t="str"/>
      <x:c r="U61" s="23" t="str"/>
      <x:c r="V61" s="23" t="str"/>
      <x:c r="W61" s="23" t="str"/>
    </x:row>
    <x:row r="62">
      <x:c r="A62" s="23" t="str">
        <x:v>LC-0061</x:v>
      </x:c>
      <x:c r="B62" s="23" t="str">
        <x:v>Pairings- Pork.xlsx</x:v>
      </x:c>
      <x:c r="C62" s="23" t="str">
        <x:v>Sheet1</x:v>
      </x:c>
      <x:c r="D62" s="23" t="str">
        <x:v>pork</x:v>
      </x:c>
      <x:c r="E62" s="23" t="str">
        <x:v>pork</x:v>
      </x:c>
      <x:c r="F62" s="23" t="str">
        <x:v>family:pork</x:v>
      </x:c>
      <x:c r="G62" s="23" t="str"/>
      <x:c r="H62" s="23" t="str"/>
      <x:c r="I62" s="23" t="str"/>
      <x:c r="J62" s="23" t="str">
        <x:v>4,5-dimethylthiazole</x:v>
      </x:c>
      <x:c r="K62" s="23" t="str">
        <x:v>green, nut, roast, roasted, smoke</x:v>
      </x:c>
      <x:c r="L62" s="23" t="str">
        <x:v>coffee | krill | malt | oats | peach | pork | scallop | shrimps</x:v>
      </x:c>
      <x:c r="M62" s="23" t="str">
        <x:v>legacy_unverified</x:v>
      </x:c>
      <x:c r="N62" s="23" t="str">
        <x:v>reconcile against current VCF pork before promotion</x:v>
      </x:c>
      <x:c r="O62" s="23" t="str"/>
      <x:c r="P62" s="23" t="str"/>
      <x:c r="Q62" s="23" t="str"/>
      <x:c r="R62" s="23" t="str"/>
      <x:c r="S62" s="23" t="str"/>
      <x:c r="T62" s="23" t="str"/>
      <x:c r="U62" s="23" t="str"/>
      <x:c r="V62" s="23" t="str"/>
      <x:c r="W62" s="23" t="str"/>
    </x:row>
    <x:row r="63">
      <x:c r="A63" s="23" t="str">
        <x:v>LC-0062</x:v>
      </x:c>
      <x:c r="B63" s="23" t="str">
        <x:v>Pairings- Pork.xlsx</x:v>
      </x:c>
      <x:c r="C63" s="23" t="str">
        <x:v>Sheet1</x:v>
      </x:c>
      <x:c r="D63" s="23" t="str">
        <x:v>pork</x:v>
      </x:c>
      <x:c r="E63" s="23" t="str">
        <x:v>pork</x:v>
      </x:c>
      <x:c r="F63" s="23" t="str">
        <x:v>family:pork</x:v>
      </x:c>
      <x:c r="G63" s="23" t="str"/>
      <x:c r="H63" s="23" t="str"/>
      <x:c r="I63" s="23" t="str"/>
      <x:c r="J63" s="23" t="str">
        <x:v>2-furanmethanethiol (=furfuryl mercaptan, 2-furfurylthiol)</x:v>
      </x:c>
      <x:c r="K63" s="23" t="str">
        <x:v>coffee, roasted meat</x:v>
      </x:c>
      <x:c r="L63" s="23" t="str">
        <x:v>beef | beer | chicken | coffee | hazelnut | peanut | popcorn | sesame seed | wine</x:v>
      </x:c>
      <x:c r="M63" s="23" t="str">
        <x:v>legacy_unverified</x:v>
      </x:c>
      <x:c r="N63" s="23" t="str">
        <x:v>reconcile against current VCF pork before promotion</x:v>
      </x:c>
      <x:c r="O63" s="23" t="str"/>
      <x:c r="P63" s="23" t="str"/>
      <x:c r="Q63" s="23" t="str"/>
      <x:c r="R63" s="23" t="str"/>
      <x:c r="S63" s="23" t="str"/>
      <x:c r="T63" s="23" t="str"/>
      <x:c r="U63" s="23" t="str"/>
      <x:c r="V63" s="23" t="str"/>
      <x:c r="W63" s="23" t="str"/>
    </x:row>
    <x:row r="64">
      <x:c r="A64" s="23" t="str">
        <x:v>LC-0063</x:v>
      </x:c>
      <x:c r="B64" s="23" t="str">
        <x:v>Pairings- Pork.xlsx</x:v>
      </x:c>
      <x:c r="C64" s="23" t="str">
        <x:v>Sheet1</x:v>
      </x:c>
      <x:c r="D64" s="23" t="str">
        <x:v>pork</x:v>
      </x:c>
      <x:c r="E64" s="23" t="str">
        <x:v>pork</x:v>
      </x:c>
      <x:c r="F64" s="23" t="str">
        <x:v>family:pork</x:v>
      </x:c>
      <x:c r="G64" s="23" t="str"/>
      <x:c r="H64" s="23" t="str"/>
      <x:c r="I64" s="23" t="str"/>
      <x:c r="J64" s="23" t="str">
        <x:v>2-acetylthiophene</x:v>
      </x:c>
      <x:c r="K64" s="23" t="str">
        <x:v>sulfur</x:v>
      </x:c>
      <x:c r="L64" s="23" t="str">
        <x:v>asparagus | beef | cabbage | chicken | coffee | krill | malt | peanut | pork | potato | tomato | trassi | wheaten bread</x:v>
      </x:c>
      <x:c r="M64" s="23" t="str">
        <x:v>legacy_unverified</x:v>
      </x:c>
      <x:c r="N64" s="23" t="str">
        <x:v>reconcile against current VCF pork before promotion</x:v>
      </x:c>
      <x:c r="O64" s="23" t="str"/>
      <x:c r="P64" s="23" t="str"/>
      <x:c r="Q64" s="23" t="str"/>
      <x:c r="R64" s="23" t="str"/>
      <x:c r="S64" s="23" t="str"/>
      <x:c r="T64" s="23" t="str"/>
      <x:c r="U64" s="23" t="str"/>
      <x:c r="V64" s="23" t="str"/>
      <x:c r="W64" s="23" t="str"/>
    </x:row>
    <x:row r="65">
      <x:c r="A65" s="23" t="str">
        <x:v>LC-0064</x:v>
      </x:c>
      <x:c r="B65" s="23" t="str">
        <x:v>Pairings- Pork.xlsx</x:v>
      </x:c>
      <x:c r="C65" s="23" t="str">
        <x:v>Sheet1</x:v>
      </x:c>
      <x:c r="D65" s="23" t="str">
        <x:v>pork</x:v>
      </x:c>
      <x:c r="E65" s="23" t="str">
        <x:v>pork</x:v>
      </x:c>
      <x:c r="F65" s="23" t="str">
        <x:v>family:pork</x:v>
      </x:c>
      <x:c r="G65" s="23" t="str"/>
      <x:c r="H65" s="23" t="str"/>
      <x:c r="I65" s="23" t="str"/>
      <x:c r="J65" s="23" t="str">
        <x:v>2-acetylfuran (=2-furyl methyl ketone, 1-(2-furyl)ethanone)</x:v>
      </x:c>
      <x:c r="K65" s="23" t="str">
        <x:v>balsamic, cocoa, coffee, smoke, tobacco</x:v>
      </x:c>
      <x:c r="L65" s="23" t="str">
        <x:v>allium | apple | almond | asparagus | barley | beans | beef | beer | cabbage | chicken | clam | cocoa | cococnut | honey | maize | mushroom | oysters | plum | potato | rum | tamarind | tea | tomato | whisky | wine</x:v>
      </x:c>
      <x:c r="M65" s="23" t="str">
        <x:v>legacy_unverified</x:v>
      </x:c>
      <x:c r="N65" s="23" t="str">
        <x:v>reconcile against current VCF pork before promotion</x:v>
      </x:c>
      <x:c r="O65" s="23" t="str"/>
      <x:c r="P65" s="23" t="str"/>
      <x:c r="Q65" s="23" t="str"/>
      <x:c r="R65" s="23" t="str"/>
      <x:c r="S65" s="23" t="str"/>
      <x:c r="T65" s="23" t="str"/>
      <x:c r="U65" s="23" t="str"/>
      <x:c r="V65" s="23" t="str"/>
      <x:c r="W65" s="23" t="str"/>
    </x:row>
    <x:row r="66">
      <x:c r="A66" s="23" t="str">
        <x:v>LC-0065</x:v>
      </x:c>
      <x:c r="B66" s="23" t="str">
        <x:v>Pairings- Pork.xlsx</x:v>
      </x:c>
      <x:c r="C66" s="23" t="str">
        <x:v>Sheet1</x:v>
      </x:c>
      <x:c r="D66" s="23" t="str">
        <x:v>pork</x:v>
      </x:c>
      <x:c r="E66" s="23" t="str">
        <x:v>pork</x:v>
      </x:c>
      <x:c r="F66" s="23" t="str">
        <x:v>family:pork</x:v>
      </x:c>
      <x:c r="G66" s="23" t="str"/>
      <x:c r="H66" s="23" t="str"/>
      <x:c r="I66" s="23" t="str"/>
      <x:c r="J66" s="23" t="str">
        <x:v>2-methyl-3(2H)-dihydrothiophenone (=2-methyl-3-thiolanone)</x:v>
      </x:c>
      <x:c r="K66" s="23" t="str">
        <x:v>cabbage, must, onion</x:v>
      </x:c>
      <x:c r="L66" s="23" t="str"/>
      <x:c r="M66" s="23" t="str">
        <x:v>legacy_unverified</x:v>
      </x:c>
      <x:c r="N66" s="23" t="str">
        <x:v>reconcile against current VCF pork before promotion</x:v>
      </x:c>
      <x:c r="O66" s="23" t="str"/>
      <x:c r="P66" s="23" t="str"/>
      <x:c r="Q66" s="23" t="str"/>
      <x:c r="R66" s="23" t="str"/>
      <x:c r="S66" s="23" t="str"/>
      <x:c r="T66" s="23" t="str"/>
      <x:c r="U66" s="23" t="str"/>
      <x:c r="V66" s="23" t="str"/>
      <x:c r="W66" s="23" t="str"/>
    </x:row>
    <x:row r="67">
      <x:c r="A67" s="23" t="str">
        <x:v>LC-0066</x:v>
      </x:c>
      <x:c r="B67" s="23" t="str">
        <x:v>Pairings- Poultry.xlsx</x:v>
      </x:c>
      <x:c r="C67" s="23" t="str">
        <x:v>Sheet1</x:v>
      </x:c>
      <x:c r="D67" s="23" t="str">
        <x:v>poultry</x:v>
      </x:c>
      <x:c r="E67" s="23" t="str">
        <x:v>poultry</x:v>
      </x:c>
      <x:c r="F67" s="23" t="str">
        <x:v>family:poultry</x:v>
      </x:c>
      <x:c r="G67" s="23" t="str"/>
      <x:c r="H67" s="23" t="str"/>
      <x:c r="I67" s="23" t="str">
        <x:v>Pairings- Poultry</x:v>
      </x:c>
      <x:c r="J67" s="23" t="str">
        <x:v>undecane</x:v>
      </x:c>
      <x:c r="K67" s="23" t="str">
        <x:v>alkane</x:v>
      </x:c>
      <x:c r="L67" s="23" t="str">
        <x:v>allium | apple | beef | black currants | cheese | cherry | chervil | citrus | coconut | dill | egg | endive | hazelnut | fish | grape | guinea hen | honey | lettuce | laurel | milk | mushroom | oat | olive | potato | tea | tomato | vaccinium | vanilla | walnut</x:v>
      </x:c>
      <x:c r="M67" s="23" t="str">
        <x:v>legacy_unverified</x:v>
      </x:c>
      <x:c r="N67" s="23" t="str">
        <x:v>family candidate only after cross-member verification</x:v>
      </x:c>
      <x:c r="O67" s="23" t="str"/>
      <x:c r="P67" s="23" t="str"/>
      <x:c r="Q67" s="23" t="str"/>
      <x:c r="R67" s="23" t="str"/>
      <x:c r="S67" s="23" t="str"/>
      <x:c r="T67" s="23" t="str"/>
      <x:c r="U67" s="23" t="str"/>
      <x:c r="V67" s="23" t="str"/>
      <x:c r="W67" s="23" t="str"/>
    </x:row>
    <x:row r="68">
      <x:c r="A68" s="23" t="str">
        <x:v>LC-0067</x:v>
      </x:c>
      <x:c r="B68" s="23" t="str">
        <x:v>Pairings- Poultry.xlsx</x:v>
      </x:c>
      <x:c r="C68" s="23" t="str">
        <x:v>Sheet1</x:v>
      </x:c>
      <x:c r="D68" s="23" t="str">
        <x:v>poultry</x:v>
      </x:c>
      <x:c r="E68" s="23" t="str">
        <x:v>poultry</x:v>
      </x:c>
      <x:c r="F68" s="23" t="str">
        <x:v>family:poultry</x:v>
      </x:c>
      <x:c r="G68" s="23" t="str"/>
      <x:c r="H68" s="23" t="str"/>
      <x:c r="I68" s="23" t="str"/>
      <x:c r="J68" s="23" t="str">
        <x:v>1-isopropyl-4-methylbenzene (=p-cymene)</x:v>
      </x:c>
      <x:c r="K68" s="23" t="str">
        <x:v>citrus, fresh, gasoline, solvent</x:v>
      </x:c>
      <x:c r="L68" s="23" t="str">
        <x:v>anise | apricot | beans | black currant | camomile | capsicum | caraway | cardamom | carrot | celery | chayote | cheese | chestnut | citrus | clove | cocoa | cofee | coriander | crab | crayfish | cumin | curcuma | date | dill | fennel | ginger | guava | laurel | lovage | mace | mentha | nutmeg | ocimum | origanum | parsley | pepper | pimento | pistachio | rosemary | salvia | satureja | tarragon | thyme</x:v>
      </x:c>
      <x:c r="M68" s="23" t="str">
        <x:v>legacy_unverified</x:v>
      </x:c>
      <x:c r="N68" s="23" t="str">
        <x:v>family candidate only after cross-member verification</x:v>
      </x:c>
      <x:c r="O68" s="23" t="str"/>
      <x:c r="P68" s="23" t="str"/>
      <x:c r="Q68" s="23" t="str"/>
      <x:c r="R68" s="23" t="str"/>
      <x:c r="S68" s="23" t="str"/>
      <x:c r="T68" s="23" t="str"/>
      <x:c r="U68" s="23" t="str"/>
      <x:c r="V68" s="23" t="str"/>
      <x:c r="W68" s="23" t="str"/>
    </x:row>
    <x:row r="69">
      <x:c r="A69" s="23" t="str">
        <x:v>LC-0068</x:v>
      </x:c>
      <x:c r="B69" s="23" t="str">
        <x:v>Pairings- Poultry.xlsx</x:v>
      </x:c>
      <x:c r="C69" s="23" t="str">
        <x:v>Sheet1</x:v>
      </x:c>
      <x:c r="D69" s="23" t="str">
        <x:v>poultry</x:v>
      </x:c>
      <x:c r="E69" s="23" t="str">
        <x:v>poultry</x:v>
      </x:c>
      <x:c r="F69" s="23" t="str">
        <x:v>family:poultry</x:v>
      </x:c>
      <x:c r="G69" s="23" t="str"/>
      <x:c r="H69" s="23" t="str"/>
      <x:c r="I69" s="23" t="str"/>
      <x:c r="J69" s="23" t="str">
        <x:v>benzyl alcohol (=benzenemethanol)</x:v>
      </x:c>
      <x:c r="K69" s="23" t="str">
        <x:v>boiled cherries, moss, roasted bread, rose, sweet</x:v>
      </x:c>
      <x:c r="L69" s="23" t="str">
        <x:v>allium | apple | artichoke | asparagus | cabbage | cherry | cider | cinnamon | citrus | elderberry | honey | hop | maize | melon | mentha | mustard | ocimum | passion fruit | plum | raspberry | salvia | sherry | tea | vaccinium | wine</x:v>
      </x:c>
      <x:c r="M69" s="23" t="str">
        <x:v>legacy_unverified</x:v>
      </x:c>
      <x:c r="N69" s="23" t="str">
        <x:v>family candidate only after cross-member verification</x:v>
      </x:c>
      <x:c r="O69" s="23" t="str"/>
      <x:c r="P69" s="23" t="str"/>
      <x:c r="Q69" s="23" t="str"/>
      <x:c r="R69" s="23" t="str"/>
      <x:c r="S69" s="23" t="str"/>
      <x:c r="T69" s="23" t="str"/>
      <x:c r="U69" s="23" t="str"/>
      <x:c r="V69" s="23" t="str"/>
      <x:c r="W69" s="23" t="str"/>
    </x:row>
    <x:row r="70">
      <x:c r="A70" s="23" t="str">
        <x:v>LC-0069</x:v>
      </x:c>
      <x:c r="B70" s="23" t="str">
        <x:v>Pairings- Poultry.xlsx</x:v>
      </x:c>
      <x:c r="C70" s="23" t="str">
        <x:v>Sheet1</x:v>
      </x:c>
      <x:c r="D70" s="23" t="str">
        <x:v>poultry</x:v>
      </x:c>
      <x:c r="E70" s="23" t="str">
        <x:v>poultry</x:v>
      </x:c>
      <x:c r="F70" s="23" t="str">
        <x:v>family:poultry</x:v>
      </x:c>
      <x:c r="G70" s="23" t="str"/>
      <x:c r="H70" s="23" t="str"/>
      <x:c r="I70" s="23" t="str"/>
      <x:c r="J70" s="23" t="str">
        <x:v>1-hydroxy-2-propanone (=acetol, pyruvic alcohol)</x:v>
      </x:c>
      <x:c r="K70" s="23" t="str">
        <x:v>butter, herb, irritant, malt, pungent</x:v>
      </x:c>
      <x:c r="L70" s="23" t="str">
        <x:v>allium | beef | beer | cheese | cocoa | coffee | guava | honey | licorice | maize | mentha | mushroom | passion fruit | pineapple | pork | scallop | shoyu | tamarind</x:v>
      </x:c>
      <x:c r="M70" s="23" t="str">
        <x:v>legacy_unverified</x:v>
      </x:c>
      <x:c r="N70" s="23" t="str">
        <x:v>family candidate only after cross-member verification</x:v>
      </x:c>
      <x:c r="O70" s="23" t="str"/>
      <x:c r="P70" s="23" t="str"/>
      <x:c r="Q70" s="23" t="str"/>
      <x:c r="R70" s="23" t="str"/>
      <x:c r="S70" s="23" t="str"/>
      <x:c r="T70" s="23" t="str"/>
      <x:c r="U70" s="23" t="str"/>
      <x:c r="V70" s="23" t="str"/>
      <x:c r="W70" s="23" t="str"/>
    </x:row>
    <x:row r="71">
      <x:c r="A71" s="23" t="str">
        <x:v>LC-0070</x:v>
      </x:c>
      <x:c r="B71" s="23" t="str">
        <x:v>Pairings- Poultry.xlsx</x:v>
      </x:c>
      <x:c r="C71" s="23" t="str">
        <x:v>Sheet1</x:v>
      </x:c>
      <x:c r="D71" s="23" t="str">
        <x:v>poultry</x:v>
      </x:c>
      <x:c r="E71" s="23" t="str">
        <x:v>poultry</x:v>
      </x:c>
      <x:c r="F71" s="23" t="str">
        <x:v>family:poultry</x:v>
      </x:c>
      <x:c r="G71" s="23" t="str">
        <x:v>turkey</x:v>
      </x:c>
      <x:c r="H71" s="23" t="str">
        <x:v>chicken</x:v>
      </x:c>
      <x:c r="I71" s="23" t="str">
        <x:v>in turkey, not chicken</x:v>
      </x:c>
      <x:c r="J71" s="23" t="str">
        <x:v>ethylbenzene (=α-methyltoluene)</x:v>
      </x:c>
      <x:c r="K71" s="23" t="str">
        <x:v>gasoline</x:v>
      </x:c>
      <x:c r="L71" s="23" t="str">
        <x:v>allium | cheese | dill | egg | grape | kiwi | lentil | melon | milk | olive | passion fruit | peas | shrimps | tea | tomato | walnut | watercress</x:v>
      </x:c>
      <x:c r="M71" s="23" t="str">
        <x:v>legacy_unverified</x:v>
      </x:c>
      <x:c r="N71" s="23" t="str">
        <x:v>member-specific research lead</x:v>
      </x:c>
      <x:c r="O71" s="23" t="str"/>
      <x:c r="P71" s="23" t="str"/>
      <x:c r="Q71" s="23" t="str"/>
      <x:c r="R71" s="23" t="str"/>
      <x:c r="S71" s="23" t="str"/>
      <x:c r="T71" s="23" t="str"/>
      <x:c r="U71" s="23" t="str"/>
      <x:c r="V71" s="23" t="str"/>
      <x:c r="W71" s="23" t="str"/>
    </x:row>
    <x:row r="72">
      <x:c r="A72" s="23" t="str">
        <x:v>LC-0071</x:v>
      </x:c>
      <x:c r="B72" s="23" t="str">
        <x:v>Pairings- Poultry.xlsx</x:v>
      </x:c>
      <x:c r="C72" s="23" t="str">
        <x:v>Sheet1</x:v>
      </x:c>
      <x:c r="D72" s="23" t="str">
        <x:v>poultry</x:v>
      </x:c>
      <x:c r="E72" s="23" t="str">
        <x:v>poultry</x:v>
      </x:c>
      <x:c r="F72" s="23" t="str">
        <x:v>family:poultry</x:v>
      </x:c>
      <x:c r="G72" s="23" t="str">
        <x:v>turkey</x:v>
      </x:c>
      <x:c r="H72" s="23" t="str">
        <x:v>chicken</x:v>
      </x:c>
      <x:c r="I72" s="23" t="str">
        <x:v>in turkey, not chicken</x:v>
      </x:c>
      <x:c r="J72" s="23" t="str">
        <x:v>3-methylbenzaldehyde (=m-tolualdehyde)</x:v>
      </x:c>
      <x:c r="K72" s="23" t="str">
        <x:v>almond, sweet</x:v>
      </x:c>
      <x:c r="L72" s="23" t="str">
        <x:v>beef | beer | date | endive | tomato</x:v>
      </x:c>
      <x:c r="M72" s="23" t="str">
        <x:v>legacy_unverified</x:v>
      </x:c>
      <x:c r="N72" s="23" t="str">
        <x:v>member-specific research lead</x:v>
      </x:c>
      <x:c r="O72" s="23" t="str"/>
      <x:c r="P72" s="23" t="str"/>
      <x:c r="Q72" s="23" t="str"/>
      <x:c r="R72" s="23" t="str"/>
      <x:c r="S72" s="23" t="str"/>
      <x:c r="T72" s="23" t="str"/>
      <x:c r="U72" s="23" t="str"/>
      <x:c r="V72" s="23" t="str"/>
      <x:c r="W72" s="23" t="str"/>
    </x:row>
    <x:row r="73">
      <x:c r="A73" s="23" t="str">
        <x:v>LC-0072</x:v>
      </x:c>
      <x:c r="B73" s="23" t="str">
        <x:v>Pairings- Poultry.xlsx</x:v>
      </x:c>
      <x:c r="C73" s="23" t="str">
        <x:v>Sheet1</x:v>
      </x:c>
      <x:c r="D73" s="23" t="str">
        <x:v>poultry</x:v>
      </x:c>
      <x:c r="E73" s="23" t="str">
        <x:v>poultry</x:v>
      </x:c>
      <x:c r="F73" s="23" t="str">
        <x:v>family:poultry</x:v>
      </x:c>
      <x:c r="G73" s="23" t="str"/>
      <x:c r="H73" s="23" t="str"/>
      <x:c r="I73" s="23" t="str"/>
      <x:c r="J73" s="23" t="str">
        <x:v>2-pentylpyridine</x:v>
      </x:c>
      <x:c r="K73" s="23" t="str">
        <x:v>fat</x:v>
      </x:c>
      <x:c r="L73" s="23" t="str">
        <x:v>beef | capsicum | coriander | hazelnut | guinea | lamb | oat | peanut | pecan | sesame | seed | turkey</x:v>
      </x:c>
      <x:c r="M73" s="23" t="str">
        <x:v>legacy_unverified</x:v>
      </x:c>
      <x:c r="N73" s="23" t="str">
        <x:v>family candidate only after cross-member verification</x:v>
      </x:c>
      <x:c r="O73" s="23" t="str"/>
      <x:c r="P73" s="23" t="str"/>
      <x:c r="Q73" s="23" t="str"/>
      <x:c r="R73" s="23" t="str"/>
      <x:c r="S73" s="23" t="str"/>
      <x:c r="T73" s="23" t="str"/>
      <x:c r="U73" s="23" t="str"/>
      <x:c r="V73" s="23" t="str"/>
      <x:c r="W73" s="23" t="str"/>
    </x:row>
    <x:row r="74">
      <x:c r="A74" s="23" t="str">
        <x:v>LC-0073</x:v>
      </x:c>
      <x:c r="B74" s="23" t="str">
        <x:v>Pairings- Poultry.xlsx</x:v>
      </x:c>
      <x:c r="C74" s="23" t="str">
        <x:v>Sheet1</x:v>
      </x:c>
      <x:c r="D74" s="23" t="str">
        <x:v>poultry</x:v>
      </x:c>
      <x:c r="E74" s="23" t="str">
        <x:v>poultry</x:v>
      </x:c>
      <x:c r="F74" s="23" t="str">
        <x:v>family:poultry</x:v>
      </x:c>
      <x:c r="G74" s="23" t="str"/>
      <x:c r="H74" s="23" t="str"/>
      <x:c r="I74" s="23" t="str"/>
      <x:c r="J74" s="23" t="str">
        <x:v>2,6-di-tert-butyl-4-methylphenol (=B.H.T.)</x:v>
      </x:c>
      <x:c r="K74" s="23" t="str">
        <x:v>toasted cereal</x:v>
      </x:c>
      <x:c r="L74" s="23" t="str">
        <x:v>cashew | cheese | chicken | coconut | lamb | litchi | milk | mushroom | parsnip | tamarind | turkey | wild rice | wine | ocimum</x:v>
      </x:c>
      <x:c r="M74" s="23" t="str">
        <x:v>legacy_unverified</x:v>
      </x:c>
      <x:c r="N74" s="23" t="str">
        <x:v>family candidate only after cross-member verification</x:v>
      </x:c>
      <x:c r="O74" s="23" t="str"/>
      <x:c r="P74" s="23" t="str"/>
      <x:c r="Q74" s="23" t="str"/>
      <x:c r="R74" s="23" t="str"/>
      <x:c r="S74" s="23" t="str"/>
      <x:c r="T74" s="23" t="str"/>
      <x:c r="U74" s="23" t="str"/>
      <x:c r="V74" s="23" t="str"/>
      <x:c r="W74" s="23" t="str"/>
    </x:row>
    <x:row r="75">
      <x:c r="A75" s="23" t="str">
        <x:v>LC-0074</x:v>
      </x:c>
      <x:c r="B75" s="23" t="str">
        <x:v>Pairings- Poultry.xlsx</x:v>
      </x:c>
      <x:c r="C75" s="23" t="str">
        <x:v>Sheet1</x:v>
      </x:c>
      <x:c r="D75" s="23" t="str">
        <x:v>poultry</x:v>
      </x:c>
      <x:c r="E75" s="23" t="str">
        <x:v>poultry</x:v>
      </x:c>
      <x:c r="F75" s="23" t="str">
        <x:v>family:poultry</x:v>
      </x:c>
      <x:c r="G75" s="23" t="str"/>
      <x:c r="H75" s="23" t="str"/>
      <x:c r="I75" s="23" t="str"/>
      <x:c r="J75" s="23" t="str">
        <x:v>(Z)-2-hexenal</x:v>
      </x:c>
      <x:c r="K75" s="23" t="str">
        <x:v>almond, bell pepper, bitter, citrus, green</x:v>
      </x:c>
      <x:c r="L75" s="23" t="str">
        <x:v>apple | avocado | banana | chicken | citrus | date | grape | kiwi | lovage | nectarine | olive | peach | pomegranate | starfruit | tea | thyme | tomato | turkey</x:v>
      </x:c>
      <x:c r="M75" s="23" t="str">
        <x:v>legacy_unverified</x:v>
      </x:c>
      <x:c r="N75" s="23" t="str">
        <x:v>family candidate only after cross-member verification</x:v>
      </x:c>
      <x:c r="O75" s="23" t="str"/>
      <x:c r="P75" s="23" t="str"/>
      <x:c r="Q75" s="23" t="str"/>
      <x:c r="R75" s="23" t="str"/>
      <x:c r="S75" s="23" t="str"/>
      <x:c r="T75" s="23" t="str"/>
      <x:c r="U75" s="23" t="str"/>
      <x:c r="V75" s="23" t="str"/>
      <x:c r="W75" s="23" t="str"/>
    </x:row>
    <x:row r="76">
      <x:c r="A76" s="23" t="str">
        <x:v>LC-0075</x:v>
      </x:c>
      <x:c r="B76" s="23" t="str">
        <x:v>Pairings- Poultry.xlsx</x:v>
      </x:c>
      <x:c r="C76" s="23" t="str">
        <x:v>Sheet1</x:v>
      </x:c>
      <x:c r="D76" s="23" t="str">
        <x:v>poultry</x:v>
      </x:c>
      <x:c r="E76" s="23" t="str">
        <x:v>poultry</x:v>
      </x:c>
      <x:c r="F76" s="23" t="str">
        <x:v>family:poultry</x:v>
      </x:c>
      <x:c r="G76" s="23" t="str"/>
      <x:c r="H76" s="23" t="str"/>
      <x:c r="I76" s="23" t="str"/>
      <x:c r="J76" s="23" t="str">
        <x:v>piperonal (=heliotropin, 1,3-benzodioxole-5-carbaldehyde )</x:v>
      </x:c>
      <x:c r="K76" s="23" t="str">
        <x:v>anise, sweet</x:v>
      </x:c>
      <x:c r="L76" s="23" t="str">
        <x:v>chicken | dill | melon | vaccinium | pepper | vanilla | sherry</x:v>
      </x:c>
      <x:c r="M76" s="23" t="str">
        <x:v>legacy_unverified</x:v>
      </x:c>
      <x:c r="N76" s="23" t="str">
        <x:v>family candidate only after cross-member verification</x:v>
      </x:c>
      <x:c r="O76" s="23" t="str"/>
      <x:c r="P76" s="23" t="str"/>
      <x:c r="Q76" s="23" t="str"/>
      <x:c r="R76" s="23" t="str"/>
      <x:c r="S76" s="23" t="str"/>
      <x:c r="T76" s="23" t="str"/>
      <x:c r="U76" s="23" t="str"/>
      <x:c r="V76" s="23" t="str"/>
      <x:c r="W76" s="23" t="str"/>
    </x:row>
    <x:row r="77">
      <x:c r="A77" s="23" t="str">
        <x:v>LC-0076</x:v>
      </x:c>
      <x:c r="B77" s="23" t="str">
        <x:v>Pairings- Vension.xlsx</x:v>
      </x:c>
      <x:c r="C77" s="23" t="str">
        <x:v>Sheet1</x:v>
      </x:c>
      <x:c r="D77" s="23" t="str">
        <x:v>venison</x:v>
      </x:c>
      <x:c r="E77" s="23" t="str">
        <x:v>game meat (general)</x:v>
      </x:c>
      <x:c r="F77" s="23" t="str">
        <x:v>family:game</x:v>
      </x:c>
      <x:c r="G77" s="23" t="str"/>
      <x:c r="H77" s="23" t="str"/>
      <x:c r="I77" s="23" t="str"/>
      <x:c r="J77" s="23" t="str">
        <x:v>dodecanoic acid (=lauric acid)</x:v>
      </x:c>
      <x:c r="K77" s="23" t="str">
        <x:v>fat, fruit, metal, wax</x:v>
      </x:c>
      <x:c r="L77" s="23" t="str">
        <x:v>apple | beer | blue cheese | cashew | cardamom | cheddar | cheese | citrus | coconut | ginger | honey | lamb | corn | milk | plum | rum | sherry | strawberry | wine</x:v>
      </x:c>
      <x:c r="M77" s="23" t="str">
        <x:v>legacy_unverified</x:v>
      </x:c>
      <x:c r="N77" s="23" t="str">
        <x:v>game-family research lead; do not assume all game members</x:v>
      </x:c>
      <x:c r="O77" s="23" t="str"/>
      <x:c r="P77" s="23" t="str"/>
      <x:c r="Q77" s="23" t="str"/>
      <x:c r="R77" s="23" t="str"/>
      <x:c r="S77" s="23" t="str"/>
      <x:c r="T77" s="23" t="str"/>
      <x:c r="U77" s="23" t="str"/>
      <x:c r="V77" s="23" t="str"/>
      <x:c r="W77" s="23" t="str"/>
    </x:row>
    <x:row r="78">
      <x:c r="A78" s="23" t="str">
        <x:v>LC-0077</x:v>
      </x:c>
      <x:c r="B78" s="23" t="str">
        <x:v>Pairings- Vension.xlsx</x:v>
      </x:c>
      <x:c r="C78" s="23" t="str">
        <x:v>Sheet1</x:v>
      </x:c>
      <x:c r="D78" s="23" t="str">
        <x:v>venison</x:v>
      </x:c>
      <x:c r="E78" s="23" t="str">
        <x:v>game meat (general)</x:v>
      </x:c>
      <x:c r="F78" s="23" t="str">
        <x:v>family:game</x:v>
      </x:c>
      <x:c r="G78" s="23" t="str"/>
      <x:c r="H78" s="23" t="str"/>
      <x:c r="I78" s="23" t="str"/>
      <x:c r="J78" s="23" t="str">
        <x:v>butyric acid</x:v>
      </x:c>
      <x:c r="K78" s="23" t="str">
        <x:v>butter, cheese, rancid, sour, sweat</x:v>
      </x:c>
      <x:c r="L78" s="23" t="str">
        <x:v>apple | banana | sour cherry | papaya | strawberry | wheat bread | cheese | butter | coffee</x:v>
      </x:c>
      <x:c r="M78" s="23" t="str">
        <x:v>legacy_unverified</x:v>
      </x:c>
      <x:c r="N78" s="23" t="str">
        <x:v>game-family research lead; do not assume all game members</x:v>
      </x:c>
      <x:c r="O78" s="23" t="str"/>
      <x:c r="P78" s="23" t="str"/>
      <x:c r="Q78" s="23" t="str"/>
      <x:c r="R78" s="23" t="str"/>
      <x:c r="S78" s="23" t="str"/>
      <x:c r="T78" s="23" t="str"/>
      <x:c r="U78" s="23" t="str"/>
      <x:c r="V78" s="23" t="str"/>
      <x:c r="W78" s="23" t="str"/>
    </x:row>
    <x:row r="79">
      <x:c r="A79" s="23" t="str">
        <x:v>LC-0078</x:v>
      </x:c>
      <x:c r="B79" s="23" t="str">
        <x:v>Pairings- Vension.xlsx</x:v>
      </x:c>
      <x:c r="C79" s="23" t="str">
        <x:v>Sheet1</x:v>
      </x:c>
      <x:c r="D79" s="23" t="str">
        <x:v>venison</x:v>
      </x:c>
      <x:c r="E79" s="23" t="str">
        <x:v>game meat (general)</x:v>
      </x:c>
      <x:c r="F79" s="23" t="str">
        <x:v>family:game</x:v>
      </x:c>
      <x:c r="G79" s="23" t="str"/>
      <x:c r="H79" s="23" t="str"/>
      <x:c r="I79" s="23" t="str"/>
      <x:c r="J79" s="23" t="str">
        <x:v>Eicosanoic acid</x:v>
      </x:c>
      <x:c r="K79" s="23" t="str">
        <x:v>n/a</x:v>
      </x:c>
      <x:c r="L79" s="23" t="str">
        <x:v>apple | allium | avocado | cardamom | chestnut | coconut | grape | honey | malt | pork | rice | swiss cheese</x:v>
      </x:c>
      <x:c r="M79" s="23" t="str">
        <x:v>legacy_unverified</x:v>
      </x:c>
      <x:c r="N79" s="23" t="str">
        <x:v>game-family research lead; do not assume all game members</x:v>
      </x:c>
      <x:c r="O79" s="23" t="str"/>
      <x:c r="P79" s="23" t="str"/>
      <x:c r="Q79" s="23" t="str"/>
      <x:c r="R79" s="23" t="str"/>
      <x:c r="S79" s="23" t="str"/>
      <x:c r="T79" s="23" t="str"/>
      <x:c r="U79" s="23" t="str"/>
      <x:c r="V79" s="23" t="str"/>
      <x:c r="W79" s="23" t="str"/>
    </x:row>
    <x:row r="80">
      <x:c r="A80" s="23" t="str">
        <x:v>LC-0079</x:v>
      </x:c>
      <x:c r="B80" s="23" t="str">
        <x:v>Pairings- Vension.xlsx</x:v>
      </x:c>
      <x:c r="C80" s="23" t="str">
        <x:v>Sheet1</x:v>
      </x:c>
      <x:c r="D80" s="23" t="str">
        <x:v>venison</x:v>
      </x:c>
      <x:c r="E80" s="23" t="str">
        <x:v>game meat (general)</x:v>
      </x:c>
      <x:c r="F80" s="23" t="str">
        <x:v>family:game</x:v>
      </x:c>
      <x:c r="G80" s="23" t="str"/>
      <x:c r="H80" s="23" t="str"/>
      <x:c r="I80" s="23" t="str"/>
      <x:c r="J80" s="23" t="str">
        <x:v>Tetradecanoic aci</x:v>
      </x:c>
      <x:c r="K80" s="23" t="str">
        <x:v>burnt, cheese, harsh, oil</x:v>
      </x:c>
      <x:c r="L80" s="23" t="str">
        <x:v>cherry | apple brandy | beer | blue cheese | cashew | cheddar | cheese | chicken | cider | cocoa | crab | curry | fish | corn | milk | nutmeg | pistachio | plum | tamarind | whisky</x:v>
      </x:c>
      <x:c r="M80" s="23" t="str">
        <x:v>legacy_unverified</x:v>
      </x:c>
      <x:c r="N80" s="23" t="str">
        <x:v>game-family research lead; do not assume all game members</x:v>
      </x:c>
      <x:c r="O80" s="23" t="str">
        <x:v>tetradecanoic acid (myristic acid)</x:v>
      </x:c>
      <x:c r="P80" s="23" t="str">
        <x:v>544-63-8</x:v>
      </x:c>
      <x:c r="Q80" s="23" t="str">
        <x:v>Acids</x:v>
      </x:c>
      <x:c r="R80" s="23" t="str"/>
      <x:c r="S80" s="23" t="str"/>
      <x:c r="T80" s="23" t="str"/>
      <x:c r="U80" s="23" t="str"/>
      <x:c r="V80" s="23" t="str"/>
      <x:c r="W80" s="23" t="str">
        <x:v>Completed truncated raw name 'Tetradecanoic aci'; canonical identity is tetradecanoic acid / myristic acid.</x:v>
      </x:c>
    </x:row>
    <x:row r="81">
      <x:c r="A81" s="23" t="str">
        <x:v>LC-0080</x:v>
      </x:c>
      <x:c r="B81" s="23" t="str">
        <x:v>Pairings- Vension.xlsx</x:v>
      </x:c>
      <x:c r="C81" s="23" t="str">
        <x:v>Sheet1</x:v>
      </x:c>
      <x:c r="D81" s="23" t="str">
        <x:v>venison</x:v>
      </x:c>
      <x:c r="E81" s="23" t="str">
        <x:v>game meat (general)</x:v>
      </x:c>
      <x:c r="F81" s="23" t="str">
        <x:v>family:game</x:v>
      </x:c>
      <x:c r="G81" s="23" t="str"/>
      <x:c r="H81" s="23" t="str"/>
      <x:c r="I81" s="23" t="str"/>
      <x:c r="J81" s="23" t="str">
        <x:v>decanoic acid (=capric acid)</x:v>
      </x:c>
      <x:c r="K81" s="23" t="str">
        <x:v>dust, fat, grass, rancid, sweat</x:v>
      </x:c>
      <x:c r="L81" s="23" t="str">
        <x:v>cherry | apple brandy | beer | blue cheese | cashew | cider | citrus | coconut | coffee | brandy | hop | lamb | milk | olive | rum | sherry | strawberry | swiss | tea | vinegar | whisky</x:v>
      </x:c>
      <x:c r="M81" s="23" t="str">
        <x:v>legacy_unverified</x:v>
      </x:c>
      <x:c r="N81" s="23" t="str">
        <x:v>game-family research lead; do not assume all game members</x:v>
      </x:c>
      <x:c r="O81" s="23" t="str"/>
      <x:c r="P81" s="23" t="str"/>
      <x:c r="Q81" s="23" t="str"/>
      <x:c r="R81" s="23" t="str"/>
      <x:c r="S81" s="23" t="str"/>
      <x:c r="T81" s="23" t="str"/>
      <x:c r="U81" s="23" t="str"/>
      <x:c r="V81" s="23" t="str"/>
      <x:c r="W81" s="23" t="str"/>
    </x:row>
    <x:row r="82">
      <x:c r="A82" s="23" t="str">
        <x:v>LC-0081</x:v>
      </x:c>
      <x:c r="B82" s="23" t="str">
        <x:v>Pairings- Vension.xlsx</x:v>
      </x:c>
      <x:c r="C82" s="23" t="str">
        <x:v>Sheet1</x:v>
      </x:c>
      <x:c r="D82" s="23" t="str">
        <x:v>venison</x:v>
      </x:c>
      <x:c r="E82" s="23" t="str">
        <x:v>game meat (general)</x:v>
      </x:c>
      <x:c r="F82" s="23" t="str">
        <x:v>family:game</x:v>
      </x:c>
      <x:c r="G82" s="23" t="str"/>
      <x:c r="H82" s="23" t="str"/>
      <x:c r="I82" s="23" t="str"/>
      <x:c r="J82" s="23" t="str">
        <x:v>a-pinene</x:v>
      </x:c>
      <x:c r="K82" s="23" t="str">
        <x:v>cedarwood, pine, resin, sharp, turpentine</x:v>
      </x:c>
      <x:c r="L82" s="23" t="str">
        <x:v>anise | annatto | apple | ashanti | black currant | nutmeg | camomile | capsicum | caraway | cardamom | carrot | celery | cinnamon | citrus | coriander | ginger | laurel | lemongrass | lovage | mentha | ocimum | origanum | pepper | allspice | pistachio | pomergranate | rosemary | salvia | satureja | tarragon | thyme | tomato | juniper</x:v>
      </x:c>
      <x:c r="M82" s="23" t="str">
        <x:v>legacy_unverified</x:v>
      </x:c>
      <x:c r="N82" s="23" t="str">
        <x:v>game-family research lead; do not assume all game members</x:v>
      </x:c>
      <x:c r="O82" s="23" t="str">
        <x:v>α-pinene</x:v>
      </x:c>
      <x:c r="P82" s="23" t="str">
        <x:v>80-56-8</x:v>
      </x:c>
      <x:c r="Q82" s="23" t="str">
        <x:v>Hydrocarbons</x:v>
      </x:c>
      <x:c r="R82" s="23" t="str"/>
      <x:c r="S82" s="23" t="str"/>
      <x:c r="T82" s="23" t="str"/>
      <x:c r="U82" s="23" t="str"/>
      <x:c r="V82" s="23" t="str"/>
      <x:c r="W82" s="23" t="str">
        <x:v>Normalized 'a-pinene' to α-pinene.</x:v>
      </x:c>
    </x:row>
    <x:row r="83">
      <x:c r="A83" s="23" t="str">
        <x:v>LC-0082</x:v>
      </x:c>
      <x:c r="B83" s="23" t="str">
        <x:v>Pairings- Vension.xlsx</x:v>
      </x:c>
      <x:c r="C83" s="23" t="str">
        <x:v>Sheet1</x:v>
      </x:c>
      <x:c r="D83" s="23" t="str">
        <x:v>venison</x:v>
      </x:c>
      <x:c r="E83" s="23" t="str">
        <x:v>game meat (general)</x:v>
      </x:c>
      <x:c r="F83" s="23" t="str">
        <x:v>family:game</x:v>
      </x:c>
      <x:c r="G83" s="23" t="str"/>
      <x:c r="H83" s="23" t="str"/>
      <x:c r="I83" s="23" t="str"/>
      <x:c r="J83" s="23" t="str">
        <x:v>heptanal</x:v>
      </x:c>
      <x:c r="K83" s="23" t="str">
        <x:v>citrus, dry fish, fat, green, nut</x:v>
      </x:c>
      <x:c r="L83" s="23" t="str">
        <x:v>allium | annatto | apple | beef | beer | cheese | citrus | coriander | fig | hazelnut | fish | corn | milk | potato | strawberry | mushroom</x:v>
      </x:c>
      <x:c r="M83" s="23" t="str">
        <x:v>legacy_unverified</x:v>
      </x:c>
      <x:c r="N83" s="23" t="str">
        <x:v>game-family research lead; do not assume all game members</x:v>
      </x:c>
      <x:c r="O83" s="23" t="str"/>
      <x:c r="P83" s="23" t="str"/>
      <x:c r="Q83" s="23" t="str"/>
      <x:c r="R83" s="23" t="str"/>
      <x:c r="S83" s="23" t="str"/>
      <x:c r="T83" s="23" t="str"/>
      <x:c r="U83" s="23" t="str"/>
      <x:c r="V83" s="23" t="str"/>
      <x:c r="W83" s="23" t="str"/>
    </x:row>
    <x:row r="84">
      <x:c r="A84" s="23" t="str">
        <x:v>LC-0083</x:v>
      </x:c>
      <x:c r="B84" s="23" t="str">
        <x:v>Pairings- Vension.xlsx</x:v>
      </x:c>
      <x:c r="C84" s="23" t="str">
        <x:v>Sheet1</x:v>
      </x:c>
      <x:c r="D84" s="23" t="str">
        <x:v>venison</x:v>
      </x:c>
      <x:c r="E84" s="23" t="str">
        <x:v>game meat (general)</x:v>
      </x:c>
      <x:c r="F84" s="23" t="str">
        <x:v>family:game</x:v>
      </x:c>
      <x:c r="G84" s="23" t="str"/>
      <x:c r="H84" s="23" t="str"/>
      <x:c r="I84" s="23" t="str"/>
      <x:c r="J84" s="23" t="str">
        <x:v>γ-dodecalactone</x:v>
      </x:c>
      <x:c r="K84" s="23" t="str">
        <x:v>apricot, flower, fruit, peach, sweet</x:v>
      </x:c>
      <x:c r="L84" s="23" t="str">
        <x:v>chervil | citrus | mushroom | nectarine | olive | passion fruit | peach | plum | strawberry</x:v>
      </x:c>
      <x:c r="M84" s="23" t="str">
        <x:v>legacy_unverified</x:v>
      </x:c>
      <x:c r="N84" s="23" t="str">
        <x:v>game-family research lead; do not assume all game members</x:v>
      </x:c>
      <x:c r="O84" s="23" t="str"/>
      <x:c r="P84" s="23" t="str"/>
      <x:c r="Q84" s="23" t="str"/>
      <x:c r="R84" s="23" t="str"/>
      <x:c r="S84" s="23" t="str"/>
      <x:c r="T84" s="23" t="str"/>
      <x:c r="U84" s="23" t="str"/>
      <x:c r="V84" s="23" t="str"/>
      <x:c r="W84" s="23" t="str"/>
    </x:row>
    <x:row r="85">
      <x:c r="A85" s="23" t="str">
        <x:v>LC-0084</x:v>
      </x:c>
      <x:c r="B85" s="23" t="str">
        <x:v>Pairings- Vension.xlsx</x:v>
      </x:c>
      <x:c r="C85" s="23" t="str">
        <x:v>Sheet1</x:v>
      </x:c>
      <x:c r="D85" s="23" t="str">
        <x:v>venison</x:v>
      </x:c>
      <x:c r="E85" s="23" t="str">
        <x:v>game meat (general)</x:v>
      </x:c>
      <x:c r="F85" s="23" t="str">
        <x:v>family:game</x:v>
      </x:c>
      <x:c r="G85" s="23" t="str"/>
      <x:c r="H85" s="23" t="str"/>
      <x:c r="I85" s="23" t="str"/>
      <x:c r="J85" s="23" t="str">
        <x:v>octadecane</x:v>
      </x:c>
      <x:c r="K85" s="23" t="str">
        <x:v>alkane</x:v>
      </x:c>
      <x:c r="L85" s="23" t="str">
        <x:v>allium | artichoke | eggplant | cashew | cheese | citrus | dill | eucalyptus | maize | rosemary | tamarind | vanilla | radish | mustard</x:v>
      </x:c>
      <x:c r="M85" s="23" t="str">
        <x:v>legacy_unverified</x:v>
      </x:c>
      <x:c r="N85" s="23" t="str">
        <x:v>game-family research lead; do not assume all game members</x:v>
      </x:c>
      <x:c r="O85" s="23" t="str"/>
      <x:c r="P85" s="23" t="str"/>
      <x:c r="Q85" s="23" t="str"/>
      <x:c r="R85" s="23" t="str"/>
      <x:c r="S85" s="23" t="str"/>
      <x:c r="T85" s="23" t="str"/>
      <x:c r="U85" s="23" t="str"/>
      <x:c r="V85" s="23" t="str"/>
      <x:c r="W85" s="23" t="str"/>
    </x:row>
    <x:row r="86">
      <x:c r="A86" s="23" t="str">
        <x:v>LC-0085</x:v>
      </x:c>
      <x:c r="B86" s="23" t="str">
        <x:v>Pairings- Vension.xlsx</x:v>
      </x:c>
      <x:c r="C86" s="23" t="str">
        <x:v>Sheet1</x:v>
      </x:c>
      <x:c r="D86" s="23" t="str">
        <x:v>venison</x:v>
      </x:c>
      <x:c r="E86" s="23" t="str">
        <x:v>game meat (general)</x:v>
      </x:c>
      <x:c r="F86" s="23" t="str">
        <x:v>family:game</x:v>
      </x:c>
      <x:c r="G86" s="23" t="str"/>
      <x:c r="H86" s="23" t="str"/>
      <x:c r="I86" s="23" t="str"/>
      <x:c r="J86" s="23" t="str">
        <x:v>phenylacetaldehyde (=benzeneacetaldehyde)</x:v>
      </x:c>
      <x:c r="K86" s="23" t="str">
        <x:v>berry, geranium, honey, nut, pungent</x:v>
      </x:c>
      <x:c r="L86" s="23" t="str">
        <x:v>artichoke | beer | beetroot | cauliflower | cheese | cocoa | coconut | coffeee | elderberry | lemon balm | corn | melon | mushroom | mustard | peanut | pecan | sake | salvia | satureja | sweet potato | soy sauce</x:v>
      </x:c>
      <x:c r="M86" s="23" t="str">
        <x:v>legacy_unverified</x:v>
      </x:c>
      <x:c r="N86" s="23" t="str">
        <x:v>game-family research lead; do not assume all game members</x:v>
      </x:c>
      <x:c r="O86" s="23" t="str"/>
      <x:c r="P86" s="23" t="str"/>
      <x:c r="Q86" s="23" t="str"/>
      <x:c r="R86" s="23" t="str"/>
      <x:c r="S86" s="23" t="str"/>
      <x:c r="T86" s="23" t="str"/>
      <x:c r="U86" s="23" t="str"/>
      <x:c r="V86" s="23" t="str"/>
      <x:c r="W86" s="23" t="str"/>
    </x:row>
  </x:sheetData>
  <x:conditionalFormatting sqref="M2:M86">
    <x:cfRule type="expression" dxfId="0" priority="1">
      <x:formula>M2="legacy_unverified"</x:formula>
    </x:cfRule>
  </x:conditionalFormatting>
  <x:dataValidations count="2">
    <x:dataValidation type="list" sqref="T2:T86">
      <x:formula1>",measured,literature,inferred"</x:formula1>
    </x:dataValidation>
    <x:dataValidation type="list" sqref="V2:V86">
      <x:formula1>",hold,family_base_candidate,member_product_candidate,reject"</x:formula1>
    </x:dataValidation>
  </x:dataValidations>
  <x:pageMargins left="0.7" right="0.7" top="0.75" bottom="0.75" header="0.3" footer="0.3"/>
  <x:tableParts count="1">
    <x:tablePart xmlns:r="http://schemas.openxmlformats.org/officeDocument/2006/relationships" r:id="R786008ef8cb6451c"/>
  </x:tableParts>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18" hidden="0" customWidth="1"/>
    <x:col min="5" max="5" width="22" hidden="0" customWidth="1"/>
    <x:col min="6" max="6" width="16" hidden="0" customWidth="1"/>
    <x:col min="7" max="7" width="26" hidden="0" customWidth="1"/>
    <x:col min="8" max="8" width="36" hidden="0" customWidth="1"/>
    <x:col min="9" max="9" width="22" hidden="0" customWidth="1"/>
    <x:col min="10" max="10" width="28" hidden="0" customWidth="1"/>
    <x:col min="11" max="11" width="22" hidden="0" customWidth="1"/>
    <x:col min="12" max="12" width="36" hidden="0" customWidth="1"/>
    <x:col min="13" max="13" width="40" hidden="0" customWidth="1"/>
  </x:cols>
  <x:sheetData>
    <x:row r="1">
      <x:c r="A1" s="22" t="str">
        <x:v>test_id</x:v>
      </x:c>
      <x:c r="B1" s="22" t="str">
        <x:v>source_workbook</x:v>
      </x:c>
      <x:c r="C1" s="22" t="str">
        <x:v>source_sheet</x:v>
      </x:c>
      <x:c r="D1" s="22" t="str">
        <x:v>source_scope_raw</x:v>
      </x:c>
      <x:c r="E1" s="22" t="str">
        <x:v>interpreted_scope</x:v>
      </x:c>
      <x:c r="F1" s="22" t="str">
        <x:v>family_hint</x:v>
      </x:c>
      <x:c r="G1" s="22" t="str">
        <x:v>pairing_target_raw</x:v>
      </x:c>
      <x:c r="H1" s="22" t="str">
        <x:v>aroma_category_raw</x:v>
      </x:c>
      <x:c r="I1" s="22" t="str">
        <x:v>shared_compounds_pct_raw</x:v>
      </x:c>
      <x:c r="J1" s="22" t="str">
        <x:v>test_role</x:v>
      </x:c>
      <x:c r="K1" s="22" t="str">
        <x:v>legacy_status</x:v>
      </x:c>
      <x:c r="L1" s="22" t="str">
        <x:v>expected_behavior</x:v>
      </x:c>
      <x:c r="M1" s="22" t="str">
        <x:v>review_notes</x:v>
      </x:c>
    </x:row>
    <x:row r="2">
      <x:c r="A2" s="23" t="str">
        <x:v>LT-0001</x:v>
      </x:c>
      <x:c r="B2" s="23" t="str">
        <x:v>Ing Pairings- Beef.xlsx</x:v>
      </x:c>
      <x:c r="C2" s="23" t="str">
        <x:v>Sheet1</x:v>
      </x:c>
      <x:c r="D2" s="23" t="str">
        <x:v>beef</x:v>
      </x:c>
      <x:c r="E2" s="23" t="str">
        <x:v>beef</x:v>
      </x:c>
      <x:c r="F2" s="23" t="str">
        <x:v>family:beef</x:v>
      </x:c>
      <x:c r="G2" s="23" t="str">
        <x:v>cabbage</x:v>
      </x:c>
      <x:c r="H2" s="23" t="str">
        <x:v>Floral- Camomile</x:v>
      </x:c>
      <x:c r="I2" s="23" t="n">
        <x:v>9.3</x:v>
      </x:c>
      <x:c r="J2" s="23" t="str">
        <x:v>behavioral_regression_candidate</x:v>
      </x:c>
      <x:c r="K2" s="23" t="str">
        <x:v>legacy_output_unverified</x:v>
      </x:c>
      <x:c r="L2" s="23" t="str"/>
      <x:c r="M2" s="23" t="str"/>
    </x:row>
    <x:row r="3">
      <x:c r="A3" s="23" t="str">
        <x:v>LT-0002</x:v>
      </x:c>
      <x:c r="B3" s="23" t="str">
        <x:v>Ing Pairings- Beef.xlsx</x:v>
      </x:c>
      <x:c r="C3" s="23" t="str">
        <x:v>Sheet1</x:v>
      </x:c>
      <x:c r="D3" s="23" t="str">
        <x:v>beef</x:v>
      </x:c>
      <x:c r="E3" s="23" t="str">
        <x:v>beef</x:v>
      </x:c>
      <x:c r="F3" s="23" t="str">
        <x:v>family:beef</x:v>
      </x:c>
      <x:c r="G3" s="23" t="str">
        <x:v>celery</x:v>
      </x:c>
      <x:c r="H3" s="23" t="str">
        <x:v>Honey</x:v>
      </x:c>
      <x:c r="I3" s="23" t="n">
        <x:v>18.7</x:v>
      </x:c>
      <x:c r="J3" s="23" t="str">
        <x:v>behavioral_regression_candidate</x:v>
      </x:c>
      <x:c r="K3" s="23" t="str">
        <x:v>legacy_output_unverified</x:v>
      </x:c>
      <x:c r="L3" s="23" t="str"/>
      <x:c r="M3" s="23" t="str"/>
    </x:row>
    <x:row r="4">
      <x:c r="A4" s="23" t="str">
        <x:v>LT-0003</x:v>
      </x:c>
      <x:c r="B4" s="23" t="str">
        <x:v>Ing Pairings- Beef.xlsx</x:v>
      </x:c>
      <x:c r="C4" s="23" t="str">
        <x:v>Sheet1</x:v>
      </x:c>
      <x:c r="D4" s="23" t="str">
        <x:v>beef</x:v>
      </x:c>
      <x:c r="E4" s="23" t="str">
        <x:v>beef</x:v>
      </x:c>
      <x:c r="F4" s="23" t="str">
        <x:v>family:beef</x:v>
      </x:c>
      <x:c r="G4" s="23" t="str">
        <x:v>cheese</x:v>
      </x:c>
      <x:c r="H4" s="23" t="str">
        <x:v>Elderberry</x:v>
      </x:c>
      <x:c r="I4" s="23" t="n">
        <x:v>30.5</x:v>
      </x:c>
      <x:c r="J4" s="23" t="str">
        <x:v>behavioral_regression_candidate</x:v>
      </x:c>
      <x:c r="K4" s="23" t="str">
        <x:v>legacy_output_unverified</x:v>
      </x:c>
      <x:c r="L4" s="23" t="str"/>
      <x:c r="M4" s="23" t="str"/>
    </x:row>
    <x:row r="5">
      <x:c r="A5" s="23" t="str">
        <x:v>LT-0004</x:v>
      </x:c>
      <x:c r="B5" s="23" t="str">
        <x:v>Ing Pairings- Beef.xlsx</x:v>
      </x:c>
      <x:c r="C5" s="23" t="str">
        <x:v>Sheet1</x:v>
      </x:c>
      <x:c r="D5" s="23" t="str">
        <x:v>beef</x:v>
      </x:c>
      <x:c r="E5" s="23" t="str">
        <x:v>beef</x:v>
      </x:c>
      <x:c r="F5" s="23" t="str">
        <x:v>family:beef</x:v>
      </x:c>
      <x:c r="G5" s="23" t="str">
        <x:v>guinea hen</x:v>
      </x:c>
      <x:c r="H5" s="23" t="str">
        <x:v>Citrus- Citrus</x:v>
      </x:c>
      <x:c r="I5" s="23" t="n">
        <x:v>30</x:v>
      </x:c>
      <x:c r="J5" s="23" t="str">
        <x:v>behavioral_regression_candidate</x:v>
      </x:c>
      <x:c r="K5" s="23" t="str">
        <x:v>legacy_output_unverified</x:v>
      </x:c>
      <x:c r="L5" s="23" t="str"/>
      <x:c r="M5" s="23" t="str"/>
    </x:row>
    <x:row r="6">
      <x:c r="A6" s="23" t="str">
        <x:v>LT-0005</x:v>
      </x:c>
      <x:c r="B6" s="23" t="str">
        <x:v>Ing Pairings- Beef.xlsx</x:v>
      </x:c>
      <x:c r="C6" s="23" t="str">
        <x:v>Sheet1</x:v>
      </x:c>
      <x:c r="D6" s="23" t="str">
        <x:v>beef</x:v>
      </x:c>
      <x:c r="E6" s="23" t="str">
        <x:v>beef</x:v>
      </x:c>
      <x:c r="F6" s="23" t="str">
        <x:v>family:beef</x:v>
      </x:c>
      <x:c r="G6" s="23" t="str">
        <x:v>honey</x:v>
      </x:c>
      <x:c r="H6" s="23" t="str">
        <x:v>Tropical- Banana</x:v>
      </x:c>
      <x:c r="I6" s="23" t="n">
        <x:v>17.9</x:v>
      </x:c>
      <x:c r="J6" s="23" t="str">
        <x:v>behavioral_regression_candidate</x:v>
      </x:c>
      <x:c r="K6" s="23" t="str">
        <x:v>legacy_output_unverified</x:v>
      </x:c>
      <x:c r="L6" s="23" t="str"/>
      <x:c r="M6" s="23" t="str"/>
    </x:row>
    <x:row r="7">
      <x:c r="A7" s="23" t="str">
        <x:v>LT-0006</x:v>
      </x:c>
      <x:c r="B7" s="23" t="str">
        <x:v>Ing Pairings- Beef.xlsx</x:v>
      </x:c>
      <x:c r="C7" s="23" t="str">
        <x:v>Sheet1</x:v>
      </x:c>
      <x:c r="D7" s="23" t="str">
        <x:v>beef</x:v>
      </x:c>
      <x:c r="E7" s="23" t="str">
        <x:v>beef</x:v>
      </x:c>
      <x:c r="F7" s="23" t="str">
        <x:v>family:beef</x:v>
      </x:c>
      <x:c r="G7" s="23" t="str">
        <x:v>milk</x:v>
      </x:c>
      <x:c r="H7" s="23" t="str">
        <x:v>Melon- Melon</x:v>
      </x:c>
      <x:c r="I7" s="23" t="n">
        <x:v>19.5</x:v>
      </x:c>
      <x:c r="J7" s="23" t="str">
        <x:v>behavioral_regression_candidate</x:v>
      </x:c>
      <x:c r="K7" s="23" t="str">
        <x:v>legacy_output_unverified</x:v>
      </x:c>
      <x:c r="L7" s="23" t="str"/>
      <x:c r="M7" s="23" t="str"/>
    </x:row>
    <x:row r="8">
      <x:c r="A8" s="23" t="str">
        <x:v>LT-0007</x:v>
      </x:c>
      <x:c r="B8" s="23" t="str">
        <x:v>Ing Pairings- Beef.xlsx</x:v>
      </x:c>
      <x:c r="C8" s="23" t="str">
        <x:v>Sheet1</x:v>
      </x:c>
      <x:c r="D8" s="23" t="str">
        <x:v>beef</x:v>
      </x:c>
      <x:c r="E8" s="23" t="str">
        <x:v>beef</x:v>
      </x:c>
      <x:c r="F8" s="23" t="str">
        <x:v>family:beef</x:v>
      </x:c>
      <x:c r="G8" s="23" t="str">
        <x:v>pistachio</x:v>
      </x:c>
      <x:c r="H8" s="23" t="str">
        <x:v>Tree Fruit- Apple</x:v>
      </x:c>
      <x:c r="I8" s="23" t="n">
        <x:v>19.7</x:v>
      </x:c>
      <x:c r="J8" s="23" t="str">
        <x:v>behavioral_regression_candidate</x:v>
      </x:c>
      <x:c r="K8" s="23" t="str">
        <x:v>legacy_output_unverified</x:v>
      </x:c>
      <x:c r="L8" s="23" t="str"/>
      <x:c r="M8" s="23" t="str"/>
    </x:row>
    <x:row r="9">
      <x:c r="A9" s="23" t="str">
        <x:v>LT-0008</x:v>
      </x:c>
      <x:c r="B9" s="23" t="str">
        <x:v>Ing Pairings- Beef.xlsx</x:v>
      </x:c>
      <x:c r="C9" s="23" t="str">
        <x:v>Sheet1</x:v>
      </x:c>
      <x:c r="D9" s="23" t="str">
        <x:v>beef</x:v>
      </x:c>
      <x:c r="E9" s="23" t="str">
        <x:v>beef</x:v>
      </x:c>
      <x:c r="F9" s="23" t="str">
        <x:v>family:beef</x:v>
      </x:c>
      <x:c r="G9" s="23" t="str">
        <x:v>THYME</x:v>
      </x:c>
      <x:c r="H9" s="23" t="str">
        <x:v>Apricot</x:v>
      </x:c>
      <x:c r="I9" s="23" t="n">
        <x:v>25.3</x:v>
      </x:c>
      <x:c r="J9" s="23" t="str">
        <x:v>behavioral_regression_candidate</x:v>
      </x:c>
      <x:c r="K9" s="23" t="str">
        <x:v>legacy_output_unverified</x:v>
      </x:c>
      <x:c r="L9" s="23" t="str"/>
      <x:c r="M9" s="23" t="str"/>
    </x:row>
    <x:row r="10">
      <x:c r="A10" s="23" t="str">
        <x:v>LT-0009</x:v>
      </x:c>
      <x:c r="B10" s="23" t="str">
        <x:v>Ing Pairings- Beef.xlsx</x:v>
      </x:c>
      <x:c r="C10" s="23" t="str">
        <x:v>Sheet1</x:v>
      </x:c>
      <x:c r="D10" s="23" t="str">
        <x:v>beef</x:v>
      </x:c>
      <x:c r="E10" s="23" t="str">
        <x:v>beef</x:v>
      </x:c>
      <x:c r="F10" s="23" t="str">
        <x:v>family:beef</x:v>
      </x:c>
      <x:c r="G10" s="23" t="str">
        <x:v>allium</x:v>
      </x:c>
      <x:c r="H10" s="23" t="str">
        <x:v>Nectarine</x:v>
      </x:c>
      <x:c r="I10" s="23" t="n">
        <x:v>35.2</x:v>
      </x:c>
      <x:c r="J10" s="23" t="str">
        <x:v>behavioral_regression_candidate</x:v>
      </x:c>
      <x:c r="K10" s="23" t="str">
        <x:v>legacy_output_unverified</x:v>
      </x:c>
      <x:c r="L10" s="23" t="str"/>
      <x:c r="M10" s="23" t="str"/>
    </x:row>
    <x:row r="11">
      <x:c r="A11" s="23" t="str">
        <x:v>LT-0010</x:v>
      </x:c>
      <x:c r="B11" s="23" t="str">
        <x:v>Ing Pairings- Beef.xlsx</x:v>
      </x:c>
      <x:c r="C11" s="23" t="str">
        <x:v>Sheet1</x:v>
      </x:c>
      <x:c r="D11" s="23" t="str">
        <x:v>beef</x:v>
      </x:c>
      <x:c r="E11" s="23" t="str">
        <x:v>beef</x:v>
      </x:c>
      <x:c r="F11" s="23" t="str">
        <x:v>family:beef</x:v>
      </x:c>
      <x:c r="G11" s="23" t="str">
        <x:v>beans</x:v>
      </x:c>
      <x:c r="H11" s="23" t="str">
        <x:v>Berry- Strawberry</x:v>
      </x:c>
      <x:c r="I11" s="23" t="n">
        <x:v>21.7</x:v>
      </x:c>
      <x:c r="J11" s="23" t="str">
        <x:v>behavioral_regression_candidate</x:v>
      </x:c>
      <x:c r="K11" s="23" t="str">
        <x:v>legacy_output_unverified</x:v>
      </x:c>
      <x:c r="L11" s="23" t="str"/>
      <x:c r="M11" s="23" t="str"/>
    </x:row>
    <x:row r="12">
      <x:c r="A12" s="23" t="str">
        <x:v>LT-0011</x:v>
      </x:c>
      <x:c r="B12" s="23" t="str">
        <x:v>Ing Pairings- Beef.xlsx</x:v>
      </x:c>
      <x:c r="C12" s="23" t="str">
        <x:v>Sheet1</x:v>
      </x:c>
      <x:c r="D12" s="23" t="str">
        <x:v>beef</x:v>
      </x:c>
      <x:c r="E12" s="23" t="str">
        <x:v>beef</x:v>
      </x:c>
      <x:c r="F12" s="23" t="str">
        <x:v>family:beef</x:v>
      </x:c>
      <x:c r="G12" s="23" t="str">
        <x:v>chicken</x:v>
      </x:c>
      <x:c r="H12" s="23" t="str">
        <x:v>Vaccinium</x:v>
      </x:c>
      <x:c r="I12" s="23" t="n">
        <x:v>25.6</x:v>
      </x:c>
      <x:c r="J12" s="23" t="str">
        <x:v>behavioral_regression_candidate</x:v>
      </x:c>
      <x:c r="K12" s="23" t="str">
        <x:v>legacy_output_unverified</x:v>
      </x:c>
      <x:c r="L12" s="23" t="str"/>
      <x:c r="M12" s="23" t="str"/>
    </x:row>
    <x:row r="13">
      <x:c r="A13" s="23" t="str">
        <x:v>LT-0012</x:v>
      </x:c>
      <x:c r="B13" s="23" t="str">
        <x:v>Ing Pairings- Beef.xlsx</x:v>
      </x:c>
      <x:c r="C13" s="23" t="str">
        <x:v>Sheet1</x:v>
      </x:c>
      <x:c r="D13" s="23" t="str">
        <x:v>beef</x:v>
      </x:c>
      <x:c r="E13" s="23" t="str">
        <x:v>beef</x:v>
      </x:c>
      <x:c r="F13" s="23" t="str">
        <x:v>family:beef</x:v>
      </x:c>
      <x:c r="G13" s="23" t="str">
        <x:v>cocoa</x:v>
      </x:c>
      <x:c r="H13" s="23" t="str">
        <x:v>Dried Fruit- Strawberry Jam</x:v>
      </x:c>
      <x:c r="I13" s="23" t="n">
        <x:v>37.8</x:v>
      </x:c>
      <x:c r="J13" s="23" t="str">
        <x:v>behavioral_regression_candidate</x:v>
      </x:c>
      <x:c r="K13" s="23" t="str">
        <x:v>legacy_output_unverified</x:v>
      </x:c>
      <x:c r="L13" s="23" t="str"/>
      <x:c r="M13" s="23" t="str"/>
    </x:row>
    <x:row r="14">
      <x:c r="A14" s="23" t="str">
        <x:v>LT-0013</x:v>
      </x:c>
      <x:c r="B14" s="23" t="str">
        <x:v>Ing Pairings- Beef.xlsx</x:v>
      </x:c>
      <x:c r="C14" s="23" t="str">
        <x:v>Sheet1</x:v>
      </x:c>
      <x:c r="D14" s="23" t="str">
        <x:v>beef</x:v>
      </x:c>
      <x:c r="E14" s="23" t="str">
        <x:v>beef</x:v>
      </x:c>
      <x:c r="F14" s="23" t="str">
        <x:v>family:beef</x:v>
      </x:c>
      <x:c r="G14" s="23" t="str">
        <x:v>coconut</x:v>
      </x:c>
      <x:c r="H14" s="23" t="str">
        <x:v>Prune</x:v>
      </x:c>
      <x:c r="I14" s="23" t="n">
        <x:v>42.3</x:v>
      </x:c>
      <x:c r="J14" s="23" t="str">
        <x:v>behavioral_regression_candidate</x:v>
      </x:c>
      <x:c r="K14" s="23" t="str">
        <x:v>legacy_output_unverified</x:v>
      </x:c>
      <x:c r="L14" s="23" t="str"/>
      <x:c r="M14" s="23" t="str"/>
    </x:row>
    <x:row r="15">
      <x:c r="A15" s="23" t="str">
        <x:v>LT-0014</x:v>
      </x:c>
      <x:c r="B15" s="23" t="str">
        <x:v>Ing Pairings- Beef.xlsx</x:v>
      </x:c>
      <x:c r="C15" s="23" t="str">
        <x:v>Sheet1</x:v>
      </x:c>
      <x:c r="D15" s="23" t="str">
        <x:v>beef</x:v>
      </x:c>
      <x:c r="E15" s="23" t="str">
        <x:v>beef</x:v>
      </x:c>
      <x:c r="F15" s="23" t="str">
        <x:v>family:beef</x:v>
      </x:c>
      <x:c r="G15" s="23" t="str">
        <x:v>dill</x:v>
      </x:c>
      <x:c r="H15" s="23" t="str">
        <x:v>Green- Celery</x:v>
      </x:c>
      <x:c r="I15" s="23" t="n">
        <x:v>15.5</x:v>
      </x:c>
      <x:c r="J15" s="23" t="str">
        <x:v>behavioral_regression_candidate</x:v>
      </x:c>
      <x:c r="K15" s="23" t="str">
        <x:v>legacy_output_unverified</x:v>
      </x:c>
      <x:c r="L15" s="23" t="str"/>
      <x:c r="M15" s="23" t="str"/>
    </x:row>
    <x:row r="16">
      <x:c r="A16" s="23" t="str">
        <x:v>LT-0015</x:v>
      </x:c>
      <x:c r="B16" s="23" t="str">
        <x:v>Ing Pairings- Beef.xlsx</x:v>
      </x:c>
      <x:c r="C16" s="23" t="str">
        <x:v>Sheet1</x:v>
      </x:c>
      <x:c r="D16" s="23" t="str">
        <x:v>beef</x:v>
      </x:c>
      <x:c r="E16" s="23" t="str">
        <x:v>beef</x:v>
      </x:c>
      <x:c r="F16" s="23" t="str">
        <x:v>family:beef</x:v>
      </x:c>
      <x:c r="G16" s="23" t="str">
        <x:v>egg</x:v>
      </x:c>
      <x:c r="H16" s="23" t="str">
        <x:v>Lettuce</x:v>
      </x:c>
      <x:c r="I16" s="23" t="n">
        <x:v>33.7</x:v>
      </x:c>
      <x:c r="J16" s="23" t="str">
        <x:v>behavioral_regression_candidate</x:v>
      </x:c>
      <x:c r="K16" s="23" t="str">
        <x:v>legacy_output_unverified</x:v>
      </x:c>
      <x:c r="L16" s="23" t="str"/>
      <x:c r="M16" s="23" t="str"/>
    </x:row>
    <x:row r="17">
      <x:c r="A17" s="23" t="str">
        <x:v>LT-0016</x:v>
      </x:c>
      <x:c r="B17" s="23" t="str">
        <x:v>Ing Pairings- Beef.xlsx</x:v>
      </x:c>
      <x:c r="C17" s="23" t="str">
        <x:v>Sheet1</x:v>
      </x:c>
      <x:c r="D17" s="23" t="str">
        <x:v>beef</x:v>
      </x:c>
      <x:c r="E17" s="23" t="str">
        <x:v>beef</x:v>
      </x:c>
      <x:c r="F17" s="23" t="str">
        <x:v>family:beef</x:v>
      </x:c>
      <x:c r="G17" s="23" t="str">
        <x:v>lentil</x:v>
      </x:c>
      <x:c r="H17" s="23" t="str">
        <x:v>Herbaceous- Parsley</x:v>
      </x:c>
      <x:c r="I17" s="23" t="n">
        <x:v>19.6</x:v>
      </x:c>
      <x:c r="J17" s="23" t="str">
        <x:v>behavioral_regression_candidate</x:v>
      </x:c>
      <x:c r="K17" s="23" t="str">
        <x:v>legacy_output_unverified</x:v>
      </x:c>
      <x:c r="L17" s="23" t="str"/>
      <x:c r="M17" s="23" t="str"/>
    </x:row>
    <x:row r="18">
      <x:c r="A18" s="23" t="str">
        <x:v>LT-0017</x:v>
      </x:c>
      <x:c r="B18" s="23" t="str">
        <x:v>Ing Pairings- Beef.xlsx</x:v>
      </x:c>
      <x:c r="C18" s="23" t="str">
        <x:v>Sheet1</x:v>
      </x:c>
      <x:c r="D18" s="23" t="str">
        <x:v>beef</x:v>
      </x:c>
      <x:c r="E18" s="23" t="str">
        <x:v>beef</x:v>
      </x:c>
      <x:c r="F18" s="23" t="str">
        <x:v>family:beef</x:v>
      </x:c>
      <x:c r="G18" s="23" t="str">
        <x:v>MUSTARD</x:v>
      </x:c>
      <x:c r="H18" s="23" t="str">
        <x:v>Mentha</x:v>
      </x:c>
      <x:c r="I18" s="23" t="n">
        <x:v>15</x:v>
      </x:c>
      <x:c r="J18" s="23" t="str">
        <x:v>behavioral_regression_candidate</x:v>
      </x:c>
      <x:c r="K18" s="23" t="str">
        <x:v>legacy_output_unverified</x:v>
      </x:c>
      <x:c r="L18" s="23" t="str"/>
      <x:c r="M18" s="23" t="str"/>
    </x:row>
    <x:row r="19">
      <x:c r="A19" s="23" t="str">
        <x:v>LT-0018</x:v>
      </x:c>
      <x:c r="B19" s="23" t="str">
        <x:v>Ing Pairings- Beef.xlsx</x:v>
      </x:c>
      <x:c r="C19" s="23" t="str">
        <x:v>Sheet1</x:v>
      </x:c>
      <x:c r="D19" s="23" t="str">
        <x:v>beef</x:v>
      </x:c>
      <x:c r="E19" s="23" t="str">
        <x:v>beef</x:v>
      </x:c>
      <x:c r="F19" s="23" t="str">
        <x:v>family:beef</x:v>
      </x:c>
      <x:c r="G19" s="23" t="str">
        <x:v>peas</x:v>
      </x:c>
      <x:c r="H19" s="23" t="str">
        <x:v>Earthy- Mushroom</x:v>
      </x:c>
      <x:c r="I19" s="23" t="n">
        <x:v>32.6</x:v>
      </x:c>
      <x:c r="J19" s="23" t="str">
        <x:v>behavioral_regression_candidate</x:v>
      </x:c>
      <x:c r="K19" s="23" t="str">
        <x:v>legacy_output_unverified</x:v>
      </x:c>
      <x:c r="L19" s="23" t="str"/>
      <x:c r="M19" s="23" t="str"/>
    </x:row>
    <x:row r="20">
      <x:c r="A20" s="23" t="str">
        <x:v>LT-0019</x:v>
      </x:c>
      <x:c r="B20" s="23" t="str">
        <x:v>Ing Pairings- Beef.xlsx</x:v>
      </x:c>
      <x:c r="C20" s="23" t="str">
        <x:v>Sheet1</x:v>
      </x:c>
      <x:c r="D20" s="23" t="str">
        <x:v>beef</x:v>
      </x:c>
      <x:c r="E20" s="23" t="str">
        <x:v>beef</x:v>
      </x:c>
      <x:c r="F20" s="23" t="str">
        <x:v>family:beef</x:v>
      </x:c>
      <x:c r="G20" s="23" t="str">
        <x:v>tea</x:v>
      </x:c>
      <x:c r="H20" s="23" t="str">
        <x:v>Wood- Rosemary</x:v>
      </x:c>
      <x:c r="I20" s="23" t="n">
        <x:v>4.8</x:v>
      </x:c>
      <x:c r="J20" s="23" t="str">
        <x:v>behavioral_regression_candidate</x:v>
      </x:c>
      <x:c r="K20" s="23" t="str">
        <x:v>legacy_output_unverified</x:v>
      </x:c>
      <x:c r="L20" s="23" t="str"/>
      <x:c r="M20" s="23" t="str"/>
    </x:row>
    <x:row r="21">
      <x:c r="A21" s="23" t="str">
        <x:v>LT-0020</x:v>
      </x:c>
      <x:c r="B21" s="23" t="str">
        <x:v>Ing Pairings- Beef.xlsx</x:v>
      </x:c>
      <x:c r="C21" s="23" t="str">
        <x:v>Sheet1</x:v>
      </x:c>
      <x:c r="D21" s="23" t="str">
        <x:v>beef</x:v>
      </x:c>
      <x:c r="E21" s="23" t="str">
        <x:v>beef</x:v>
      </x:c>
      <x:c r="F21" s="23" t="str">
        <x:v>family:beef</x:v>
      </x:c>
      <x:c r="G21" s="23" t="str">
        <x:v>cherry</x:v>
      </x:c>
      <x:c r="H21" s="23" t="str">
        <x:v>Ginger</x:v>
      </x:c>
      <x:c r="I21" s="23" t="n">
        <x:v>12.2</x:v>
      </x:c>
      <x:c r="J21" s="23" t="str">
        <x:v>behavioral_regression_candidate</x:v>
      </x:c>
      <x:c r="K21" s="23" t="str">
        <x:v>legacy_output_unverified</x:v>
      </x:c>
      <x:c r="L21" s="23" t="str"/>
      <x:c r="M21" s="23" t="str"/>
    </x:row>
    <x:row r="22">
      <x:c r="A22" s="23" t="str">
        <x:v>LT-0021</x:v>
      </x:c>
      <x:c r="B22" s="23" t="str">
        <x:v>Ing Pairings- Beef.xlsx</x:v>
      </x:c>
      <x:c r="C22" s="23" t="str">
        <x:v>Sheet1</x:v>
      </x:c>
      <x:c r="D22" s="23" t="str">
        <x:v>beef</x:v>
      </x:c>
      <x:c r="E22" s="23" t="str">
        <x:v>beef</x:v>
      </x:c>
      <x:c r="F22" s="23" t="str">
        <x:v>family:beef</x:v>
      </x:c>
      <x:c r="G22" s="23" t="str">
        <x:v>annato</x:v>
      </x:c>
      <x:c r="H22" s="23" t="str">
        <x:v>Medicinal- Mastic</x:v>
      </x:c>
      <x:c r="I22" s="23" t="n">
        <x:v>8</x:v>
      </x:c>
      <x:c r="J22" s="23" t="str">
        <x:v>behavioral_regression_candidate</x:v>
      </x:c>
      <x:c r="K22" s="23" t="str">
        <x:v>legacy_output_unverified</x:v>
      </x:c>
      <x:c r="L22" s="23" t="str"/>
      <x:c r="M22" s="23" t="str"/>
    </x:row>
    <x:row r="23">
      <x:c r="A23" s="23" t="str">
        <x:v>LT-0022</x:v>
      </x:c>
      <x:c r="B23" s="23" t="str">
        <x:v>Ing Pairings- Beef.xlsx</x:v>
      </x:c>
      <x:c r="C23" s="23" t="str">
        <x:v>Sheet1</x:v>
      </x:c>
      <x:c r="D23" s="23" t="str">
        <x:v>beef</x:v>
      </x:c>
      <x:c r="E23" s="23" t="str">
        <x:v>beef</x:v>
      </x:c>
      <x:c r="F23" s="23" t="str">
        <x:v>family:beef</x:v>
      </x:c>
      <x:c r="G23" s="23" t="str">
        <x:v>apple</x:v>
      </x:c>
      <x:c r="H23" s="23" t="str">
        <x:v>Spice- Pepper</x:v>
      </x:c>
      <x:c r="I23" s="23" t="n">
        <x:v>2</x:v>
      </x:c>
      <x:c r="J23" s="23" t="str">
        <x:v>behavioral_regression_candidate</x:v>
      </x:c>
      <x:c r="K23" s="23" t="str">
        <x:v>legacy_output_unverified</x:v>
      </x:c>
      <x:c r="L23" s="23" t="str"/>
      <x:c r="M23" s="23" t="str"/>
    </x:row>
    <x:row r="24">
      <x:c r="A24" s="23" t="str">
        <x:v>LT-0023</x:v>
      </x:c>
      <x:c r="B24" s="23" t="str">
        <x:v>Ing Pairings- Beef.xlsx</x:v>
      </x:c>
      <x:c r="C24" s="23" t="str">
        <x:v>Sheet1</x:v>
      </x:c>
      <x:c r="D24" s="23" t="str">
        <x:v>beef</x:v>
      </x:c>
      <x:c r="E24" s="23" t="str">
        <x:v>beef</x:v>
      </x:c>
      <x:c r="F24" s="23" t="str">
        <x:v>family:beef</x:v>
      </x:c>
      <x:c r="G24" s="23" t="str">
        <x:v>artichoke</x:v>
      </x:c>
      <x:c r="H24" s="23" t="str">
        <x:v>Cardamom</x:v>
      </x:c>
      <x:c r="I24" s="23" t="n">
        <x:v>12.8</x:v>
      </x:c>
      <x:c r="J24" s="23" t="str">
        <x:v>behavioral_regression_candidate</x:v>
      </x:c>
      <x:c r="K24" s="23" t="str">
        <x:v>legacy_output_unverified</x:v>
      </x:c>
      <x:c r="L24" s="23" t="str"/>
      <x:c r="M24" s="23" t="str"/>
    </x:row>
    <x:row r="25">
      <x:c r="A25" s="23" t="str">
        <x:v>LT-0024</x:v>
      </x:c>
      <x:c r="B25" s="23" t="str">
        <x:v>Ing Pairings- Beef.xlsx</x:v>
      </x:c>
      <x:c r="C25" s="23" t="str">
        <x:v>Sheet1</x:v>
      </x:c>
      <x:c r="D25" s="23" t="str">
        <x:v>beef</x:v>
      </x:c>
      <x:c r="E25" s="23" t="str">
        <x:v>beef</x:v>
      </x:c>
      <x:c r="F25" s="23" t="str">
        <x:v>family:beef</x:v>
      </x:c>
      <x:c r="G25" s="23" t="str">
        <x:v>aubergine</x:v>
      </x:c>
      <x:c r="H25" s="23" t="str">
        <x:v>Petrol- Oregano</x:v>
      </x:c>
      <x:c r="I25" s="23" t="n">
        <x:v>10.5</x:v>
      </x:c>
      <x:c r="J25" s="23" t="str">
        <x:v>behavioral_regression_candidate</x:v>
      </x:c>
      <x:c r="K25" s="23" t="str">
        <x:v>legacy_output_unverified</x:v>
      </x:c>
      <x:c r="L25" s="23" t="str"/>
      <x:c r="M25" s="23" t="str"/>
    </x:row>
    <x:row r="26">
      <x:c r="A26" s="23" t="str">
        <x:v>LT-0025</x:v>
      </x:c>
      <x:c r="B26" s="23" t="str">
        <x:v>Ing Pairings- Beef.xlsx</x:v>
      </x:c>
      <x:c r="C26" s="23" t="str">
        <x:v>Sheet1</x:v>
      </x:c>
      <x:c r="D26" s="23" t="str">
        <x:v>beef</x:v>
      </x:c>
      <x:c r="E26" s="23" t="str">
        <x:v>beef</x:v>
      </x:c>
      <x:c r="F26" s="23" t="str">
        <x:v>family:beef</x:v>
      </x:c>
      <x:c r="G26" s="23" t="str">
        <x:v>citrus</x:v>
      </x:c>
      <x:c r="H26" s="23" t="str">
        <x:v>Smoke- malt whisky</x:v>
      </x:c>
      <x:c r="I26" s="23" t="n">
        <x:v>21.8</x:v>
      </x:c>
      <x:c r="J26" s="23" t="str">
        <x:v>behavioral_regression_candidate</x:v>
      </x:c>
      <x:c r="K26" s="23" t="str">
        <x:v>legacy_output_unverified</x:v>
      </x:c>
      <x:c r="L26" s="23" t="str"/>
      <x:c r="M26" s="23" t="str"/>
    </x:row>
    <x:row r="27">
      <x:c r="A27" s="23" t="str">
        <x:v>LT-0026</x:v>
      </x:c>
      <x:c r="B27" s="23" t="str">
        <x:v>Ing Pairings- Beef.xlsx</x:v>
      </x:c>
      <x:c r="C27" s="23" t="str">
        <x:v>Sheet1</x:v>
      </x:c>
      <x:c r="D27" s="23" t="str">
        <x:v>beef</x:v>
      </x:c>
      <x:c r="E27" s="23" t="str">
        <x:v>beef</x:v>
      </x:c>
      <x:c r="F27" s="23" t="str">
        <x:v>family:beef</x:v>
      </x:c>
      <x:c r="G27" s="23" t="str">
        <x:v>coffee</x:v>
      </x:c>
      <x:c r="H27" s="23" t="str">
        <x:v>Vanilla</x:v>
      </x:c>
      <x:c r="I27" s="23" t="n">
        <x:v>27.8</x:v>
      </x:c>
      <x:c r="J27" s="23" t="str">
        <x:v>behavioral_regression_candidate</x:v>
      </x:c>
      <x:c r="K27" s="23" t="str">
        <x:v>legacy_output_unverified</x:v>
      </x:c>
      <x:c r="L27" s="23" t="str"/>
      <x:c r="M27" s="23" t="str"/>
    </x:row>
    <x:row r="28">
      <x:c r="A28" s="23" t="str">
        <x:v>LT-0027</x:v>
      </x:c>
      <x:c r="B28" s="23" t="str">
        <x:v>Ing Pairings- Beef.xlsx</x:v>
      </x:c>
      <x:c r="C28" s="23" t="str">
        <x:v>Sheet1</x:v>
      </x:c>
      <x:c r="D28" s="23" t="str">
        <x:v>beef</x:v>
      </x:c>
      <x:c r="E28" s="23" t="str">
        <x:v>beef</x:v>
      </x:c>
      <x:c r="F28" s="23" t="str">
        <x:v>family:beef</x:v>
      </x:c>
      <x:c r="G28" s="23" t="str">
        <x:v>hazelnut</x:v>
      </x:c>
      <x:c r="H28" s="23" t="str">
        <x:v>Chocolate- Cocoa</x:v>
      </x:c>
      <x:c r="I28" s="23" t="n">
        <x:v>40</x:v>
      </x:c>
      <x:c r="J28" s="23" t="str">
        <x:v>behavioral_regression_candidate</x:v>
      </x:c>
      <x:c r="K28" s="23" t="str">
        <x:v>legacy_output_unverified</x:v>
      </x:c>
      <x:c r="L28" s="23" t="str"/>
      <x:c r="M28" s="23" t="str"/>
    </x:row>
    <x:row r="29">
      <x:c r="A29" s="23" t="str">
        <x:v>LT-0028</x:v>
      </x:c>
      <x:c r="B29" s="23" t="str">
        <x:v>Ing Pairings- Beef.xlsx</x:v>
      </x:c>
      <x:c r="C29" s="23" t="str">
        <x:v>Sheet1</x:v>
      </x:c>
      <x:c r="D29" s="23" t="str">
        <x:v>beef</x:v>
      </x:c>
      <x:c r="E29" s="23" t="str">
        <x:v>beef</x:v>
      </x:c>
      <x:c r="F29" s="23" t="str">
        <x:v>family:beef</x:v>
      </x:c>
      <x:c r="G29" s="23" t="str">
        <x:v>ginger</x:v>
      </x:c>
      <x:c r="H29" s="23" t="str">
        <x:v>Meaty- Chicken (cooked)</x:v>
      </x:c>
      <x:c r="I29" s="23" t="n">
        <x:v>40.7</x:v>
      </x:c>
      <x:c r="J29" s="23" t="str">
        <x:v>behavioral_regression_candidate</x:v>
      </x:c>
      <x:c r="K29" s="23" t="str">
        <x:v>legacy_output_unverified</x:v>
      </x:c>
      <x:c r="L29" s="23" t="str"/>
      <x:c r="M29" s="23" t="str"/>
    </x:row>
    <x:row r="30">
      <x:c r="A30" s="23" t="str">
        <x:v>LT-0029</x:v>
      </x:c>
      <x:c r="B30" s="23" t="str">
        <x:v>Ing Pairings- Beef.xlsx</x:v>
      </x:c>
      <x:c r="C30" s="23" t="str">
        <x:v>Sheet1</x:v>
      </x:c>
      <x:c r="D30" s="23" t="str">
        <x:v>beef</x:v>
      </x:c>
      <x:c r="E30" s="23" t="str">
        <x:v>beef</x:v>
      </x:c>
      <x:c r="F30" s="23" t="str">
        <x:v>family:beef</x:v>
      </x:c>
      <x:c r="G30" s="23" t="str">
        <x:v>grape</x:v>
      </x:c>
      <x:c r="H30" s="23" t="str">
        <x:v>Beef (roasted)</x:v>
      </x:c>
      <x:c r="I30" s="23" t="n">
        <x:v>100</x:v>
      </x:c>
      <x:c r="J30" s="23" t="str">
        <x:v>behavioral_regression_candidate</x:v>
      </x:c>
      <x:c r="K30" s="23" t="str">
        <x:v>legacy_output_unverified</x:v>
      </x:c>
      <x:c r="L30" s="23" t="str"/>
      <x:c r="M30" s="23" t="str"/>
    </x:row>
    <x:row r="31">
      <x:c r="A31" s="23" t="str">
        <x:v>LT-0030</x:v>
      </x:c>
      <x:c r="B31" s="23" t="str">
        <x:v>Ing Pairings- Beef.xlsx</x:v>
      </x:c>
      <x:c r="C31" s="23" t="str">
        <x:v>Sheet1</x:v>
      </x:c>
      <x:c r="D31" s="23" t="str">
        <x:v>beef</x:v>
      </x:c>
      <x:c r="E31" s="23" t="str">
        <x:v>beef</x:v>
      </x:c>
      <x:c r="F31" s="23" t="str">
        <x:v>family:beef</x:v>
      </x:c>
      <x:c r="G31" s="23" t="str">
        <x:v>olive</x:v>
      </x:c>
      <x:c r="H31" s="23" t="str">
        <x:v>Caramel- Coffee</x:v>
      </x:c>
      <x:c r="I31" s="23" t="n">
        <x:v>39.7</x:v>
      </x:c>
      <x:c r="J31" s="23" t="str">
        <x:v>behavioral_regression_candidate</x:v>
      </x:c>
      <x:c r="K31" s="23" t="str">
        <x:v>legacy_output_unverified</x:v>
      </x:c>
      <x:c r="L31" s="23" t="str"/>
      <x:c r="M31" s="23" t="str"/>
    </x:row>
    <x:row r="32">
      <x:c r="A32" s="23" t="str">
        <x:v>LT-0031</x:v>
      </x:c>
      <x:c r="B32" s="23" t="str">
        <x:v>Ing Pairings- Beef.xlsx</x:v>
      </x:c>
      <x:c r="C32" s="23" t="str">
        <x:v>Sheet1</x:v>
      </x:c>
      <x:c r="D32" s="23" t="str">
        <x:v>beef</x:v>
      </x:c>
      <x:c r="E32" s="23" t="str">
        <x:v>beef</x:v>
      </x:c>
      <x:c r="F32" s="23" t="str">
        <x:v>family:beef</x:v>
      </x:c>
      <x:c r="G32" s="23" t="str">
        <x:v>peanut</x:v>
      </x:c>
      <x:c r="H32" s="23" t="str">
        <x:v>Malt</x:v>
      </x:c>
      <x:c r="I32" s="23" t="n">
        <x:v>30</x:v>
      </x:c>
      <x:c r="J32" s="23" t="str">
        <x:v>behavioral_regression_candidate</x:v>
      </x:c>
      <x:c r="K32" s="23" t="str">
        <x:v>legacy_output_unverified</x:v>
      </x:c>
      <x:c r="L32" s="23" t="str"/>
      <x:c r="M32" s="23" t="str"/>
    </x:row>
    <x:row r="33">
      <x:c r="A33" s="23" t="str">
        <x:v>LT-0032</x:v>
      </x:c>
      <x:c r="B33" s="23" t="str">
        <x:v>Ing Pairings- Beef.xlsx</x:v>
      </x:c>
      <x:c r="C33" s="23" t="str">
        <x:v>Sheet1</x:v>
      </x:c>
      <x:c r="D33" s="23" t="str">
        <x:v>beef</x:v>
      </x:c>
      <x:c r="E33" s="23" t="str">
        <x:v>beef</x:v>
      </x:c>
      <x:c r="F33" s="23" t="str">
        <x:v>family:beef</x:v>
      </x:c>
      <x:c r="G33" s="23" t="str">
        <x:v>pear</x:v>
      </x:c>
      <x:c r="H33" s="23" t="str">
        <x:v>Nutty- Hazelnut</x:v>
      </x:c>
      <x:c r="I33" s="23" t="n">
        <x:v>42.5</x:v>
      </x:c>
      <x:c r="J33" s="23" t="str">
        <x:v>behavioral_regression_candidate</x:v>
      </x:c>
      <x:c r="K33" s="23" t="str">
        <x:v>legacy_output_unverified</x:v>
      </x:c>
      <x:c r="L33" s="23" t="str"/>
      <x:c r="M33" s="23" t="str"/>
    </x:row>
    <x:row r="34">
      <x:c r="A34" s="23" t="str">
        <x:v>LT-0033</x:v>
      </x:c>
      <x:c r="B34" s="23" t="str">
        <x:v>Ing Pairings- Beef.xlsx</x:v>
      </x:c>
      <x:c r="C34" s="23" t="str">
        <x:v>Sheet1</x:v>
      </x:c>
      <x:c r="D34" s="23" t="str">
        <x:v>beef</x:v>
      </x:c>
      <x:c r="E34" s="23" t="str">
        <x:v>beef</x:v>
      </x:c>
      <x:c r="F34" s="23" t="str">
        <x:v>family:beef</x:v>
      </x:c>
      <x:c r="G34" s="23" t="str">
        <x:v>shrimp</x:v>
      </x:c>
      <x:c r="H34" s="23" t="str">
        <x:v>Walnut</x:v>
      </x:c>
      <x:c r="I34" s="23" t="n">
        <x:v>33.9</x:v>
      </x:c>
      <x:c r="J34" s="23" t="str">
        <x:v>behavioral_regression_candidate</x:v>
      </x:c>
      <x:c r="K34" s="23" t="str">
        <x:v>legacy_output_unverified</x:v>
      </x:c>
      <x:c r="L34" s="23" t="str"/>
      <x:c r="M34" s="23" t="str"/>
    </x:row>
    <x:row r="35">
      <x:c r="A35" s="23" t="str">
        <x:v>LT-0034</x:v>
      </x:c>
      <x:c r="B35" s="23" t="str">
        <x:v>Ing Pairings- Beef.xlsx</x:v>
      </x:c>
      <x:c r="C35" s="23" t="str">
        <x:v>Sheet1</x:v>
      </x:c>
      <x:c r="D35" s="23" t="str">
        <x:v>beef</x:v>
      </x:c>
      <x:c r="E35" s="23" t="str">
        <x:v>beef</x:v>
      </x:c>
      <x:c r="F35" s="23" t="str">
        <x:v>family:beef</x:v>
      </x:c>
      <x:c r="G35" s="23" t="str">
        <x:v>soybean</x:v>
      </x:c>
      <x:c r="H35" s="23" t="str">
        <x:v>Toasted- Wheaten Bread</x:v>
      </x:c>
      <x:c r="I35" s="23" t="n">
        <x:v>33.1</x:v>
      </x:c>
      <x:c r="J35" s="23" t="str">
        <x:v>behavioral_regression_candidate</x:v>
      </x:c>
      <x:c r="K35" s="23" t="str">
        <x:v>legacy_output_unverified</x:v>
      </x:c>
      <x:c r="L35" s="23" t="str"/>
      <x:c r="M35" s="23" t="str"/>
    </x:row>
    <x:row r="36">
      <x:c r="A36" s="23" t="str">
        <x:v>LT-0035</x:v>
      </x:c>
      <x:c r="B36" s="23" t="str">
        <x:v>Ing Pairings- Beef.xlsx</x:v>
      </x:c>
      <x:c r="C36" s="23" t="str">
        <x:v>Sheet1</x:v>
      </x:c>
      <x:c r="D36" s="23" t="str">
        <x:v>beef</x:v>
      </x:c>
      <x:c r="E36" s="23" t="str">
        <x:v>beef</x:v>
      </x:c>
      <x:c r="F36" s="23" t="str">
        <x:v>family:beef</x:v>
      </x:c>
      <x:c r="G36" s="23" t="str">
        <x:v>beer</x:v>
      </x:c>
      <x:c r="H36" s="23" t="str">
        <x:v>Sulphur- Allium</x:v>
      </x:c>
      <x:c r="I36" s="23" t="n">
        <x:v>25.6</x:v>
      </x:c>
      <x:c r="J36" s="23" t="str">
        <x:v>behavioral_regression_candidate</x:v>
      </x:c>
      <x:c r="K36" s="23" t="str">
        <x:v>legacy_output_unverified</x:v>
      </x:c>
      <x:c r="L36" s="23" t="str"/>
      <x:c r="M36" s="23" t="str"/>
    </x:row>
    <x:row r="37">
      <x:c r="A37" s="23" t="str">
        <x:v>LT-0036</x:v>
      </x:c>
      <x:c r="B37" s="23" t="str">
        <x:v>Ing Pairings- Beef.xlsx</x:v>
      </x:c>
      <x:c r="C37" s="23" t="str">
        <x:v>Sheet1</x:v>
      </x:c>
      <x:c r="D37" s="23" t="str">
        <x:v>beef</x:v>
      </x:c>
      <x:c r="E37" s="23" t="str">
        <x:v>beef</x:v>
      </x:c>
      <x:c r="F37" s="23" t="str">
        <x:v>family:beef</x:v>
      </x:c>
      <x:c r="G37" s="23" t="str">
        <x:v>capsicum</x:v>
      </x:c>
      <x:c r="H37" s="23" t="str">
        <x:v>Pungent- Mustard</x:v>
      </x:c>
      <x:c r="I37" s="23" t="n">
        <x:v>34.2</x:v>
      </x:c>
      <x:c r="J37" s="23" t="str">
        <x:v>behavioral_regression_candidate</x:v>
      </x:c>
      <x:c r="K37" s="23" t="str">
        <x:v>legacy_output_unverified</x:v>
      </x:c>
      <x:c r="L37" s="23" t="str"/>
      <x:c r="M37" s="23" t="str"/>
    </x:row>
    <x:row r="38">
      <x:c r="A38" s="23" t="str">
        <x:v>LT-0037</x:v>
      </x:c>
      <x:c r="B38" s="23" t="str">
        <x:v>Ing Pairings- Beef.xlsx</x:v>
      </x:c>
      <x:c r="C38" s="23" t="str">
        <x:v>Sheet1</x:v>
      </x:c>
      <x:c r="D38" s="23" t="str">
        <x:v>beef</x:v>
      </x:c>
      <x:c r="E38" s="23" t="str">
        <x:v>beef</x:v>
      </x:c>
      <x:c r="F38" s="23" t="str">
        <x:v>family:beef</x:v>
      </x:c>
      <x:c r="G38" s="23" t="str">
        <x:v>cashew</x:v>
      </x:c>
      <x:c r="H38" s="23" t="str">
        <x:v>Phenol- Wine</x:v>
      </x:c>
      <x:c r="I38" s="23" t="n">
        <x:v>30.8</x:v>
      </x:c>
      <x:c r="J38" s="23" t="str">
        <x:v>behavioral_regression_candidate</x:v>
      </x:c>
      <x:c r="K38" s="23" t="str">
        <x:v>legacy_output_unverified</x:v>
      </x:c>
      <x:c r="L38" s="23" t="str"/>
      <x:c r="M38" s="23" t="str"/>
    </x:row>
    <x:row r="39">
      <x:c r="A39" s="23" t="str">
        <x:v>LT-0038</x:v>
      </x:c>
      <x:c r="B39" s="23" t="str">
        <x:v>Ing Pairings- Beef.xlsx</x:v>
      </x:c>
      <x:c r="C39" s="23" t="str">
        <x:v>Sheet1</x:v>
      </x:c>
      <x:c r="D39" s="23" t="str">
        <x:v>beef</x:v>
      </x:c>
      <x:c r="E39" s="23" t="str">
        <x:v>beef</x:v>
      </x:c>
      <x:c r="F39" s="23" t="str">
        <x:v>family:beef</x:v>
      </x:c>
      <x:c r="G39" s="23" t="str">
        <x:v>plum</x:v>
      </x:c>
      <x:c r="H39" s="23" t="str">
        <x:v>Tea</x:v>
      </x:c>
      <x:c r="I39" s="23" t="n">
        <x:v>32</x:v>
      </x:c>
      <x:c r="J39" s="23" t="str">
        <x:v>behavioral_regression_candidate</x:v>
      </x:c>
      <x:c r="K39" s="23" t="str">
        <x:v>legacy_output_unverified</x:v>
      </x:c>
      <x:c r="L39" s="23" t="str"/>
      <x:c r="M39" s="23" t="str"/>
    </x:row>
    <x:row r="40">
      <x:c r="A40" s="23" t="str">
        <x:v>LT-0039</x:v>
      </x:c>
      <x:c r="B40" s="23" t="str">
        <x:v>Ing Pairings- Beef.xlsx</x:v>
      </x:c>
      <x:c r="C40" s="23" t="str">
        <x:v>Sheet1</x:v>
      </x:c>
      <x:c r="D40" s="23" t="str">
        <x:v>beef</x:v>
      </x:c>
      <x:c r="E40" s="23" t="str">
        <x:v>beef</x:v>
      </x:c>
      <x:c r="F40" s="23" t="str">
        <x:v>family:beef</x:v>
      </x:c>
      <x:c r="G40" s="23" t="str">
        <x:v>salvia</x:v>
      </x:c>
      <x:c r="H40" s="23" t="str">
        <x:v>Savory- Shoyu</x:v>
      </x:c>
      <x:c r="I40" s="23" t="n">
        <x:v>35.9</x:v>
      </x:c>
      <x:c r="J40" s="23" t="str">
        <x:v>behavioral_regression_candidate</x:v>
      </x:c>
      <x:c r="K40" s="23" t="str">
        <x:v>legacy_output_unverified</x:v>
      </x:c>
      <x:c r="L40" s="23" t="str"/>
      <x:c r="M40" s="23" t="str"/>
    </x:row>
    <x:row r="41">
      <x:c r="A41" s="23" t="str">
        <x:v>LT-0040</x:v>
      </x:c>
      <x:c r="B41" s="23" t="str">
        <x:v>Ing Pairings- Beef.xlsx</x:v>
      </x:c>
      <x:c r="C41" s="23" t="str">
        <x:v>Sheet1</x:v>
      </x:c>
      <x:c r="D41" s="23" t="str">
        <x:v>beef</x:v>
      </x:c>
      <x:c r="E41" s="23" t="str">
        <x:v>beef</x:v>
      </x:c>
      <x:c r="F41" s="23" t="str">
        <x:v>family:beef</x:v>
      </x:c>
      <x:c r="G41" s="23" t="str">
        <x:v>wine</x:v>
      </x:c>
      <x:c r="H41" s="23" t="str">
        <x:v>Katsuobushi</x:v>
      </x:c>
      <x:c r="I41" s="23" t="n">
        <x:v>26.2</x:v>
      </x:c>
      <x:c r="J41" s="23" t="str">
        <x:v>behavioral_regression_candidate</x:v>
      </x:c>
      <x:c r="K41" s="23" t="str">
        <x:v>legacy_output_unverified</x:v>
      </x:c>
      <x:c r="L41" s="23" t="str"/>
      <x:c r="M41" s="23" t="str"/>
    </x:row>
    <x:row r="42">
      <x:c r="A42" s="23" t="str">
        <x:v>LT-0041</x:v>
      </x:c>
      <x:c r="B42" s="23" t="str">
        <x:v>Ing Pairings- Beef.xlsx</x:v>
      </x:c>
      <x:c r="C42" s="23" t="str">
        <x:v>Sheet1</x:v>
      </x:c>
      <x:c r="D42" s="23" t="str">
        <x:v>beef</x:v>
      </x:c>
      <x:c r="E42" s="23" t="str">
        <x:v>beef</x:v>
      </x:c>
      <x:c r="F42" s="23" t="str">
        <x:v>family:beef</x:v>
      </x:c>
      <x:c r="G42" s="23" t="str">
        <x:v>sherry</x:v>
      </x:c>
      <x:c r="H42" s="23" t="str">
        <x:v>Sour- Vinegar</x:v>
      </x:c>
      <x:c r="I42" s="23" t="n">
        <x:v>28.6</x:v>
      </x:c>
      <x:c r="J42" s="23" t="str">
        <x:v>behavioral_regression_candidate</x:v>
      </x:c>
      <x:c r="K42" s="23" t="str">
        <x:v>legacy_output_unverified</x:v>
      </x:c>
      <x:c r="L42" s="23" t="str"/>
      <x:c r="M42" s="23" t="str"/>
    </x:row>
    <x:row r="43">
      <x:c r="A43" s="23" t="str">
        <x:v>LT-0042</x:v>
      </x:c>
      <x:c r="B43" s="23" t="str">
        <x:v>Ing Pairings- Beef.xlsx</x:v>
      </x:c>
      <x:c r="C43" s="23" t="str">
        <x:v>Sheet1</x:v>
      </x:c>
      <x:c r="D43" s="23" t="str">
        <x:v>beef</x:v>
      </x:c>
      <x:c r="E43" s="23" t="str">
        <x:v>beef</x:v>
      </x:c>
      <x:c r="F43" s="23" t="str">
        <x:v>family:beef</x:v>
      </x:c>
      <x:c r="G43" s="23" t="str">
        <x:v>vinegar</x:v>
      </x:c>
      <x:c r="H43" s="23" t="str">
        <x:v>Dairy- Milk</x:v>
      </x:c>
      <x:c r="I43" s="23" t="n">
        <x:v>42.9</x:v>
      </x:c>
      <x:c r="J43" s="23" t="str">
        <x:v>behavioral_regression_candidate</x:v>
      </x:c>
      <x:c r="K43" s="23" t="str">
        <x:v>legacy_output_unverified</x:v>
      </x:c>
      <x:c r="L43" s="23" t="str"/>
      <x:c r="M43" s="23" t="str"/>
    </x:row>
    <x:row r="44">
      <x:c r="A44" s="23" t="str">
        <x:v>LT-0043</x:v>
      </x:c>
      <x:c r="B44" s="23" t="str">
        <x:v>Ing Pairings- Beef.xlsx</x:v>
      </x:c>
      <x:c r="C44" s="23" t="str">
        <x:v>Sheet1</x:v>
      </x:c>
      <x:c r="D44" s="23" t="str">
        <x:v>beef</x:v>
      </x:c>
      <x:c r="E44" s="23" t="str">
        <x:v>beef</x:v>
      </x:c>
      <x:c r="F44" s="23" t="str">
        <x:v>family:beef</x:v>
      </x:c>
      <x:c r="G44" s="23" t="str">
        <x:v>cider</x:v>
      </x:c>
      <x:c r="H44" s="23" t="str">
        <x:v>Alcohol- Brandy</x:v>
      </x:c>
      <x:c r="I44" s="23" t="n">
        <x:v>29.1</x:v>
      </x:c>
      <x:c r="J44" s="23" t="str">
        <x:v>behavioral_regression_candidate</x:v>
      </x:c>
      <x:c r="K44" s="23" t="str">
        <x:v>legacy_output_unverified</x:v>
      </x:c>
      <x:c r="L44" s="23" t="str"/>
      <x:c r="M44" s="23" t="str"/>
    </x:row>
    <x:row r="45">
      <x:c r="A45" s="23" t="str">
        <x:v>LT-0044</x:v>
      </x:c>
      <x:c r="B45" s="23" t="str">
        <x:v>Ing Pairings- Beef.xlsx</x:v>
      </x:c>
      <x:c r="C45" s="23" t="str">
        <x:v>Sheet1</x:v>
      </x:c>
      <x:c r="D45" s="23" t="str">
        <x:v>beef</x:v>
      </x:c>
      <x:c r="E45" s="23" t="str">
        <x:v>beef</x:v>
      </x:c>
      <x:c r="F45" s="23" t="str">
        <x:v>family:beef</x:v>
      </x:c>
      <x:c r="G45" s="23" t="str">
        <x:v>angelica</x:v>
      </x:c>
      <x:c r="H45" s="23" t="str">
        <x:v>Marine- Fish</x:v>
      </x:c>
      <x:c r="I45" s="23" t="n">
        <x:v>34.7</x:v>
      </x:c>
      <x:c r="J45" s="23" t="str">
        <x:v>behavioral_regression_candidate</x:v>
      </x:c>
      <x:c r="K45" s="23" t="str">
        <x:v>legacy_output_unverified</x:v>
      </x:c>
      <x:c r="L45" s="23" t="str"/>
      <x:c r="M45" s="23" t="str"/>
    </x:row>
    <x:row r="46">
      <x:c r="A46" s="23" t="str">
        <x:v>LT-0045</x:v>
      </x:c>
      <x:c r="B46" s="23" t="str">
        <x:v>Ing Pairings- Beef.xlsx</x:v>
      </x:c>
      <x:c r="C46" s="23" t="str">
        <x:v>Sheet1</x:v>
      </x:c>
      <x:c r="D46" s="23" t="str">
        <x:v>beef</x:v>
      </x:c>
      <x:c r="E46" s="23" t="str">
        <x:v>beef</x:v>
      </x:c>
      <x:c r="F46" s="23" t="str">
        <x:v>family:beef</x:v>
      </x:c>
      <x:c r="G46" s="23" t="str">
        <x:v>anise</x:v>
      </x:c>
      <x:c r="H46" s="23" t="str">
        <x:v>Shrimp (cooked)</x:v>
      </x:c>
      <x:c r="I46" s="23" t="n">
        <x:v>41.7</x:v>
      </x:c>
      <x:c r="J46" s="23" t="str">
        <x:v>behavioral_regression_candidate</x:v>
      </x:c>
      <x:c r="K46" s="23" t="str">
        <x:v>legacy_output_unverified</x:v>
      </x:c>
      <x:c r="L46" s="23" t="str"/>
      <x:c r="M46" s="23" t="str"/>
    </x:row>
    <x:row r="47">
      <x:c r="A47" s="23" t="str">
        <x:v>LT-0046</x:v>
      </x:c>
      <x:c r="B47" s="23" t="str">
        <x:v>Ing Pairings- Beef.xlsx</x:v>
      </x:c>
      <x:c r="C47" s="23" t="str">
        <x:v>Sheet1</x:v>
      </x:c>
      <x:c r="D47" s="23" t="str">
        <x:v>beef</x:v>
      </x:c>
      <x:c r="E47" s="23" t="str">
        <x:v>beef</x:v>
      </x:c>
      <x:c r="F47" s="23" t="str">
        <x:v>family:beef</x:v>
      </x:c>
      <x:c r="G47" s="23" t="str">
        <x:v>ashanti pepper</x:v>
      </x:c>
      <x:c r="H47" s="23" t="str"/>
      <x:c r="I47" s="23" t="str"/>
      <x:c r="J47" s="23" t="str">
        <x:v>behavioral_regression_candidate</x:v>
      </x:c>
      <x:c r="K47" s="23" t="str">
        <x:v>legacy_output_unverified</x:v>
      </x:c>
      <x:c r="L47" s="23" t="str"/>
      <x:c r="M47" s="23" t="str"/>
    </x:row>
    <x:row r="48">
      <x:c r="A48" s="23" t="str">
        <x:v>LT-0047</x:v>
      </x:c>
      <x:c r="B48" s="23" t="str">
        <x:v>Ing Pairings- Beef.xlsx</x:v>
      </x:c>
      <x:c r="C48" s="23" t="str">
        <x:v>Sheet1</x:v>
      </x:c>
      <x:c r="D48" s="23" t="str">
        <x:v>beef</x:v>
      </x:c>
      <x:c r="E48" s="23" t="str">
        <x:v>beef</x:v>
      </x:c>
      <x:c r="F48" s="23" t="str">
        <x:v>family:beef</x:v>
      </x:c>
      <x:c r="G48" s="23" t="str">
        <x:v>black currant</x:v>
      </x:c>
      <x:c r="H48" s="23" t="str"/>
      <x:c r="I48" s="23" t="str"/>
      <x:c r="J48" s="23" t="str">
        <x:v>behavioral_regression_candidate</x:v>
      </x:c>
      <x:c r="K48" s="23" t="str">
        <x:v>legacy_output_unverified</x:v>
      </x:c>
      <x:c r="L48" s="23" t="str"/>
      <x:c r="M48" s="23" t="str"/>
    </x:row>
    <x:row r="49">
      <x:c r="A49" s="23" t="str">
        <x:v>LT-0048</x:v>
      </x:c>
      <x:c r="B49" s="23" t="str">
        <x:v>Ing Pairings- Beef.xlsx</x:v>
      </x:c>
      <x:c r="C49" s="23" t="str">
        <x:v>Sheet1</x:v>
      </x:c>
      <x:c r="D49" s="23" t="str">
        <x:v>beef</x:v>
      </x:c>
      <x:c r="E49" s="23" t="str">
        <x:v>beef</x:v>
      </x:c>
      <x:c r="F49" s="23" t="str">
        <x:v>family:beef</x:v>
      </x:c>
      <x:c r="G49" s="23" t="str">
        <x:v>nutmeg</x:v>
      </x:c>
      <x:c r="H49" s="23" t="str"/>
      <x:c r="I49" s="23" t="str"/>
      <x:c r="J49" s="23" t="str">
        <x:v>behavioral_regression_candidate</x:v>
      </x:c>
      <x:c r="K49" s="23" t="str">
        <x:v>legacy_output_unverified</x:v>
      </x:c>
      <x:c r="L49" s="23" t="str"/>
      <x:c r="M49" s="23" t="str"/>
    </x:row>
    <x:row r="50">
      <x:c r="A50" s="23" t="str">
        <x:v>LT-0049</x:v>
      </x:c>
      <x:c r="B50" s="23" t="str">
        <x:v>Ing Pairings- Beef.xlsx</x:v>
      </x:c>
      <x:c r="C50" s="23" t="str">
        <x:v>Sheet1</x:v>
      </x:c>
      <x:c r="D50" s="23" t="str">
        <x:v>beef</x:v>
      </x:c>
      <x:c r="E50" s="23" t="str">
        <x:v>beef</x:v>
      </x:c>
      <x:c r="F50" s="23" t="str">
        <x:v>family:beef</x:v>
      </x:c>
      <x:c r="G50" s="23" t="str">
        <x:v>camomile</x:v>
      </x:c>
      <x:c r="H50" s="23" t="str"/>
      <x:c r="I50" s="23" t="str"/>
      <x:c r="J50" s="23" t="str">
        <x:v>behavioral_regression_candidate</x:v>
      </x:c>
      <x:c r="K50" s="23" t="str">
        <x:v>legacy_output_unverified</x:v>
      </x:c>
      <x:c r="L50" s="23" t="str"/>
      <x:c r="M50" s="23" t="str"/>
    </x:row>
    <x:row r="51">
      <x:c r="A51" s="23" t="str">
        <x:v>LT-0050</x:v>
      </x:c>
      <x:c r="B51" s="23" t="str">
        <x:v>Ing Pairings- Beef.xlsx</x:v>
      </x:c>
      <x:c r="C51" s="23" t="str">
        <x:v>Sheet1</x:v>
      </x:c>
      <x:c r="D51" s="23" t="str">
        <x:v>beef</x:v>
      </x:c>
      <x:c r="E51" s="23" t="str">
        <x:v>beef</x:v>
      </x:c>
      <x:c r="F51" s="23" t="str">
        <x:v>family:beef</x:v>
      </x:c>
      <x:c r="G51" s="23" t="str">
        <x:v>cardamom</x:v>
      </x:c>
      <x:c r="H51" s="23" t="str"/>
      <x:c r="I51" s="23" t="str"/>
      <x:c r="J51" s="23" t="str">
        <x:v>behavioral_regression_candidate</x:v>
      </x:c>
      <x:c r="K51" s="23" t="str">
        <x:v>legacy_output_unverified</x:v>
      </x:c>
      <x:c r="L51" s="23" t="str"/>
      <x:c r="M51" s="23" t="str"/>
    </x:row>
    <x:row r="52">
      <x:c r="A52" s="23" t="str">
        <x:v>LT-0051</x:v>
      </x:c>
      <x:c r="B52" s="23" t="str">
        <x:v>Ing Pairings- Beef.xlsx</x:v>
      </x:c>
      <x:c r="C52" s="23" t="str">
        <x:v>Sheet1</x:v>
      </x:c>
      <x:c r="D52" s="23" t="str">
        <x:v>beef</x:v>
      </x:c>
      <x:c r="E52" s="23" t="str">
        <x:v>beef</x:v>
      </x:c>
      <x:c r="F52" s="23" t="str">
        <x:v>family:beef</x:v>
      </x:c>
      <x:c r="G52" s="23" t="str">
        <x:v>cinnamon</x:v>
      </x:c>
      <x:c r="H52" s="23" t="str"/>
      <x:c r="I52" s="23" t="str"/>
      <x:c r="J52" s="23" t="str">
        <x:v>behavioral_regression_candidate</x:v>
      </x:c>
      <x:c r="K52" s="23" t="str">
        <x:v>legacy_output_unverified</x:v>
      </x:c>
      <x:c r="L52" s="23" t="str"/>
      <x:c r="M52" s="23" t="str"/>
    </x:row>
    <x:row r="53">
      <x:c r="A53" s="23" t="str">
        <x:v>LT-0052</x:v>
      </x:c>
      <x:c r="B53" s="23" t="str">
        <x:v>Ing Pairings- Beef.xlsx</x:v>
      </x:c>
      <x:c r="C53" s="23" t="str">
        <x:v>Sheet1</x:v>
      </x:c>
      <x:c r="D53" s="23" t="str">
        <x:v>beef</x:v>
      </x:c>
      <x:c r="E53" s="23" t="str">
        <x:v>beef</x:v>
      </x:c>
      <x:c r="F53" s="23" t="str">
        <x:v>family:beef</x:v>
      </x:c>
      <x:c r="G53" s="23" t="str">
        <x:v>coriander</x:v>
      </x:c>
      <x:c r="H53" s="23" t="str"/>
      <x:c r="I53" s="23" t="str"/>
      <x:c r="J53" s="23" t="str">
        <x:v>behavioral_regression_candidate</x:v>
      </x:c>
      <x:c r="K53" s="23" t="str">
        <x:v>legacy_output_unverified</x:v>
      </x:c>
      <x:c r="L53" s="23" t="str"/>
      <x:c r="M53" s="23" t="str"/>
    </x:row>
    <x:row r="54">
      <x:c r="A54" s="23" t="str">
        <x:v>LT-0053</x:v>
      </x:c>
      <x:c r="B54" s="23" t="str">
        <x:v>Ing Pairings- Beef.xlsx</x:v>
      </x:c>
      <x:c r="C54" s="23" t="str">
        <x:v>Sheet1</x:v>
      </x:c>
      <x:c r="D54" s="23" t="str">
        <x:v>beef</x:v>
      </x:c>
      <x:c r="E54" s="23" t="str">
        <x:v>beef</x:v>
      </x:c>
      <x:c r="F54" s="23" t="str">
        <x:v>family:beef</x:v>
      </x:c>
      <x:c r="G54" s="23" t="str">
        <x:v>curcuma</x:v>
      </x:c>
      <x:c r="H54" s="23" t="str"/>
      <x:c r="I54" s="23" t="str"/>
      <x:c r="J54" s="23" t="str">
        <x:v>behavioral_regression_candidate</x:v>
      </x:c>
      <x:c r="K54" s="23" t="str">
        <x:v>legacy_output_unverified</x:v>
      </x:c>
      <x:c r="L54" s="23" t="str"/>
      <x:c r="M54" s="23" t="str"/>
    </x:row>
    <x:row r="55">
      <x:c r="A55" s="23" t="str">
        <x:v>LT-0054</x:v>
      </x:c>
      <x:c r="B55" s="23" t="str">
        <x:v>Ing Pairings- Beef.xlsx</x:v>
      </x:c>
      <x:c r="C55" s="23" t="str">
        <x:v>Sheet1</x:v>
      </x:c>
      <x:c r="D55" s="23" t="str">
        <x:v>beef</x:v>
      </x:c>
      <x:c r="E55" s="23" t="str">
        <x:v>beef</x:v>
      </x:c>
      <x:c r="F55" s="23" t="str">
        <x:v>family:beef</x:v>
      </x:c>
      <x:c r="G55" s="23" t="str">
        <x:v>curry</x:v>
      </x:c>
      <x:c r="H55" s="23" t="str"/>
      <x:c r="I55" s="23" t="str"/>
      <x:c r="J55" s="23" t="str">
        <x:v>behavioral_regression_candidate</x:v>
      </x:c>
      <x:c r="K55" s="23" t="str">
        <x:v>legacy_output_unverified</x:v>
      </x:c>
      <x:c r="L55" s="23" t="str"/>
      <x:c r="M55" s="23" t="str"/>
    </x:row>
    <x:row r="56">
      <x:c r="A56" s="23" t="str">
        <x:v>LT-0055</x:v>
      </x:c>
      <x:c r="B56" s="23" t="str">
        <x:v>Ing Pairings- Beef.xlsx</x:v>
      </x:c>
      <x:c r="C56" s="23" t="str">
        <x:v>Sheet1</x:v>
      </x:c>
      <x:c r="D56" s="23" t="str">
        <x:v>beef</x:v>
      </x:c>
      <x:c r="E56" s="23" t="str">
        <x:v>beef</x:v>
      </x:c>
      <x:c r="F56" s="23" t="str">
        <x:v>family:beef</x:v>
      </x:c>
      <x:c r="G56" s="23" t="str">
        <x:v>guava</x:v>
      </x:c>
      <x:c r="H56" s="23" t="str"/>
      <x:c r="I56" s="23" t="str"/>
      <x:c r="J56" s="23" t="str">
        <x:v>behavioral_regression_candidate</x:v>
      </x:c>
      <x:c r="K56" s="23" t="str">
        <x:v>legacy_output_unverified</x:v>
      </x:c>
      <x:c r="L56" s="23" t="str"/>
      <x:c r="M56" s="23" t="str"/>
    </x:row>
    <x:row r="57">
      <x:c r="A57" s="23" t="str">
        <x:v>LT-0056</x:v>
      </x:c>
      <x:c r="B57" s="23" t="str">
        <x:v>Ing Pairings- Beef.xlsx</x:v>
      </x:c>
      <x:c r="C57" s="23" t="str">
        <x:v>Sheet1</x:v>
      </x:c>
      <x:c r="D57" s="23" t="str">
        <x:v>beef</x:v>
      </x:c>
      <x:c r="E57" s="23" t="str">
        <x:v>beef</x:v>
      </x:c>
      <x:c r="F57" s="23" t="str">
        <x:v>family:beef</x:v>
      </x:c>
      <x:c r="G57" s="23" t="str">
        <x:v>laurel</x:v>
      </x:c>
      <x:c r="H57" s="23" t="str"/>
      <x:c r="I57" s="23" t="str"/>
      <x:c r="J57" s="23" t="str">
        <x:v>behavioral_regression_candidate</x:v>
      </x:c>
      <x:c r="K57" s="23" t="str">
        <x:v>legacy_output_unverified</x:v>
      </x:c>
      <x:c r="L57" s="23" t="str"/>
      <x:c r="M57" s="23" t="str"/>
    </x:row>
    <x:row r="58">
      <x:c r="A58" s="23" t="str">
        <x:v>LT-0057</x:v>
      </x:c>
      <x:c r="B58" s="23" t="str">
        <x:v>Ing Pairings- Beef.xlsx</x:v>
      </x:c>
      <x:c r="C58" s="23" t="str">
        <x:v>Sheet1</x:v>
      </x:c>
      <x:c r="D58" s="23" t="str">
        <x:v>beef</x:v>
      </x:c>
      <x:c r="E58" s="23" t="str">
        <x:v>beef</x:v>
      </x:c>
      <x:c r="F58" s="23" t="str">
        <x:v>family:beef</x:v>
      </x:c>
      <x:c r="G58" s="23" t="str">
        <x:v>lemon balm</x:v>
      </x:c>
      <x:c r="H58" s="23" t="str"/>
      <x:c r="I58" s="23" t="str"/>
      <x:c r="J58" s="23" t="str">
        <x:v>behavioral_regression_candidate</x:v>
      </x:c>
      <x:c r="K58" s="23" t="str">
        <x:v>legacy_output_unverified</x:v>
      </x:c>
      <x:c r="L58" s="23" t="str"/>
      <x:c r="M58" s="23" t="str"/>
    </x:row>
    <x:row r="59">
      <x:c r="A59" s="23" t="str">
        <x:v>LT-0058</x:v>
      </x:c>
      <x:c r="B59" s="23" t="str">
        <x:v>Ing Pairings- Beef.xlsx</x:v>
      </x:c>
      <x:c r="C59" s="23" t="str">
        <x:v>Sheet1</x:v>
      </x:c>
      <x:c r="D59" s="23" t="str">
        <x:v>beef</x:v>
      </x:c>
      <x:c r="E59" s="23" t="str">
        <x:v>beef</x:v>
      </x:c>
      <x:c r="F59" s="23" t="str">
        <x:v>family:beef</x:v>
      </x:c>
      <x:c r="G59" s="23" t="str">
        <x:v>lemon grass</x:v>
      </x:c>
      <x:c r="H59" s="23" t="str"/>
      <x:c r="I59" s="23" t="str"/>
      <x:c r="J59" s="23" t="str">
        <x:v>behavioral_regression_candidate</x:v>
      </x:c>
      <x:c r="K59" s="23" t="str">
        <x:v>legacy_output_unverified</x:v>
      </x:c>
      <x:c r="L59" s="23" t="str"/>
      <x:c r="M59" s="23" t="str"/>
    </x:row>
    <x:row r="60">
      <x:c r="A60" s="23" t="str">
        <x:v>LT-0059</x:v>
      </x:c>
      <x:c r="B60" s="23" t="str">
        <x:v>Ing Pairings- Beef.xlsx</x:v>
      </x:c>
      <x:c r="C60" s="23" t="str">
        <x:v>Sheet1</x:v>
      </x:c>
      <x:c r="D60" s="23" t="str">
        <x:v>beef</x:v>
      </x:c>
      <x:c r="E60" s="23" t="str">
        <x:v>beef</x:v>
      </x:c>
      <x:c r="F60" s="23" t="str">
        <x:v>family:beef</x:v>
      </x:c>
      <x:c r="G60" s="23" t="str">
        <x:v>lovage</x:v>
      </x:c>
      <x:c r="H60" s="23" t="str"/>
      <x:c r="I60" s="23" t="str"/>
      <x:c r="J60" s="23" t="str">
        <x:v>behavioral_regression_candidate</x:v>
      </x:c>
      <x:c r="K60" s="23" t="str">
        <x:v>legacy_output_unverified</x:v>
      </x:c>
      <x:c r="L60" s="23" t="str"/>
      <x:c r="M60" s="23" t="str"/>
    </x:row>
    <x:row r="61">
      <x:c r="A61" s="23" t="str">
        <x:v>LT-0060</x:v>
      </x:c>
      <x:c r="B61" s="23" t="str">
        <x:v>Ing Pairings- Beef.xlsx</x:v>
      </x:c>
      <x:c r="C61" s="23" t="str">
        <x:v>Sheet1</x:v>
      </x:c>
      <x:c r="D61" s="23" t="str">
        <x:v>beef</x:v>
      </x:c>
      <x:c r="E61" s="23" t="str">
        <x:v>beef</x:v>
      </x:c>
      <x:c r="F61" s="23" t="str">
        <x:v>family:beef</x:v>
      </x:c>
      <x:c r="G61" s="23" t="str">
        <x:v>oregano</x:v>
      </x:c>
      <x:c r="H61" s="23" t="str"/>
      <x:c r="I61" s="23" t="str"/>
      <x:c r="J61" s="23" t="str">
        <x:v>behavioral_regression_candidate</x:v>
      </x:c>
      <x:c r="K61" s="23" t="str">
        <x:v>legacy_output_unverified</x:v>
      </x:c>
      <x:c r="L61" s="23" t="str"/>
      <x:c r="M61" s="23" t="str"/>
    </x:row>
    <x:row r="62">
      <x:c r="A62" s="23" t="str">
        <x:v>LT-0061</x:v>
      </x:c>
      <x:c r="B62" s="23" t="str">
        <x:v>Ing Pairings- Beef.xlsx</x:v>
      </x:c>
      <x:c r="C62" s="23" t="str">
        <x:v>Sheet1</x:v>
      </x:c>
      <x:c r="D62" s="23" t="str">
        <x:v>beef</x:v>
      </x:c>
      <x:c r="E62" s="23" t="str">
        <x:v>beef</x:v>
      </x:c>
      <x:c r="F62" s="23" t="str">
        <x:v>family:beef</x:v>
      </x:c>
      <x:c r="G62" s="23" t="str">
        <x:v>parsley</x:v>
      </x:c>
      <x:c r="H62" s="23" t="str"/>
      <x:c r="I62" s="23" t="str"/>
      <x:c r="J62" s="23" t="str">
        <x:v>behavioral_regression_candidate</x:v>
      </x:c>
      <x:c r="K62" s="23" t="str">
        <x:v>legacy_output_unverified</x:v>
      </x:c>
      <x:c r="L62" s="23" t="str"/>
      <x:c r="M62" s="23" t="str"/>
    </x:row>
    <x:row r="63">
      <x:c r="A63" s="23" t="str">
        <x:v>LT-0062</x:v>
      </x:c>
      <x:c r="B63" s="23" t="str">
        <x:v>Ing Pairings- Beef.xlsx</x:v>
      </x:c>
      <x:c r="C63" s="23" t="str">
        <x:v>Sheet1</x:v>
      </x:c>
      <x:c r="D63" s="23" t="str">
        <x:v>beef</x:v>
      </x:c>
      <x:c r="E63" s="23" t="str">
        <x:v>beef</x:v>
      </x:c>
      <x:c r="F63" s="23" t="str">
        <x:v>family:beef</x:v>
      </x:c>
      <x:c r="G63" s="23" t="str">
        <x:v>pepper</x:v>
      </x:c>
      <x:c r="H63" s="23" t="str"/>
      <x:c r="I63" s="23" t="str"/>
      <x:c r="J63" s="23" t="str">
        <x:v>behavioral_regression_candidate</x:v>
      </x:c>
      <x:c r="K63" s="23" t="str">
        <x:v>legacy_output_unverified</x:v>
      </x:c>
      <x:c r="L63" s="23" t="str"/>
      <x:c r="M63" s="23" t="str"/>
    </x:row>
    <x:row r="64">
      <x:c r="A64" s="23" t="str">
        <x:v>LT-0063</x:v>
      </x:c>
      <x:c r="B64" s="23" t="str">
        <x:v>Ing Pairings- Beef.xlsx</x:v>
      </x:c>
      <x:c r="C64" s="23" t="str">
        <x:v>Sheet1</x:v>
      </x:c>
      <x:c r="D64" s="23" t="str">
        <x:v>beef</x:v>
      </x:c>
      <x:c r="E64" s="23" t="str">
        <x:v>beef</x:v>
      </x:c>
      <x:c r="F64" s="23" t="str">
        <x:v>family:beef</x:v>
      </x:c>
      <x:c r="G64" s="23" t="str">
        <x:v>allspice</x:v>
      </x:c>
      <x:c r="H64" s="23" t="str"/>
      <x:c r="I64" s="23" t="str"/>
      <x:c r="J64" s="23" t="str">
        <x:v>behavioral_regression_candidate</x:v>
      </x:c>
      <x:c r="K64" s="23" t="str">
        <x:v>legacy_output_unverified</x:v>
      </x:c>
      <x:c r="L64" s="23" t="str"/>
      <x:c r="M64" s="23" t="str"/>
    </x:row>
    <x:row r="65">
      <x:c r="A65" s="23" t="str">
        <x:v>LT-0064</x:v>
      </x:c>
      <x:c r="B65" s="23" t="str">
        <x:v>Ing Pairings- Beef.xlsx</x:v>
      </x:c>
      <x:c r="C65" s="23" t="str">
        <x:v>Sheet1</x:v>
      </x:c>
      <x:c r="D65" s="23" t="str">
        <x:v>beef</x:v>
      </x:c>
      <x:c r="E65" s="23" t="str">
        <x:v>beef</x:v>
      </x:c>
      <x:c r="F65" s="23" t="str">
        <x:v>family:beef</x:v>
      </x:c>
      <x:c r="G65" s="23" t="str">
        <x:v>rosemary</x:v>
      </x:c>
      <x:c r="H65" s="23" t="str"/>
      <x:c r="I65" s="23" t="str"/>
      <x:c r="J65" s="23" t="str">
        <x:v>behavioral_regression_candidate</x:v>
      </x:c>
      <x:c r="K65" s="23" t="str">
        <x:v>legacy_output_unverified</x:v>
      </x:c>
      <x:c r="L65" s="23" t="str"/>
      <x:c r="M65" s="23" t="str"/>
    </x:row>
    <x:row r="66">
      <x:c r="A66" s="23" t="str">
        <x:v>LT-0065</x:v>
      </x:c>
      <x:c r="B66" s="23" t="str">
        <x:v>Ing Pairings- Beef.xlsx</x:v>
      </x:c>
      <x:c r="C66" s="23" t="str">
        <x:v>Sheet1</x:v>
      </x:c>
      <x:c r="D66" s="23" t="str">
        <x:v>beef</x:v>
      </x:c>
      <x:c r="E66" s="23" t="str">
        <x:v>beef</x:v>
      </x:c>
      <x:c r="F66" s="23" t="str">
        <x:v>family:beef</x:v>
      </x:c>
      <x:c r="G66" s="23" t="str">
        <x:v>savory</x:v>
      </x:c>
      <x:c r="H66" s="23" t="str"/>
      <x:c r="I66" s="23" t="str"/>
      <x:c r="J66" s="23" t="str">
        <x:v>behavioral_regression_candidate</x:v>
      </x:c>
      <x:c r="K66" s="23" t="str">
        <x:v>legacy_output_unverified</x:v>
      </x:c>
      <x:c r="L66" s="23" t="str"/>
      <x:c r="M66" s="23" t="str"/>
    </x:row>
    <x:row r="67">
      <x:c r="A67" s="23" t="str">
        <x:v>LT-0066</x:v>
      </x:c>
      <x:c r="B67" s="23" t="str">
        <x:v>Ing Pairings- Beef.xlsx</x:v>
      </x:c>
      <x:c r="C67" s="23" t="str">
        <x:v>Sheet1</x:v>
      </x:c>
      <x:c r="D67" s="23" t="str">
        <x:v>beef</x:v>
      </x:c>
      <x:c r="E67" s="23" t="str">
        <x:v>beef</x:v>
      </x:c>
      <x:c r="F67" s="23" t="str">
        <x:v>family:beef</x:v>
      </x:c>
      <x:c r="G67" s="23" t="str">
        <x:v>star anise</x:v>
      </x:c>
      <x:c r="H67" s="23" t="str"/>
      <x:c r="I67" s="23" t="str"/>
      <x:c r="J67" s="23" t="str">
        <x:v>behavioral_regression_candidate</x:v>
      </x:c>
      <x:c r="K67" s="23" t="str">
        <x:v>legacy_output_unverified</x:v>
      </x:c>
      <x:c r="L67" s="23" t="str"/>
      <x:c r="M67" s="23" t="str"/>
    </x:row>
    <x:row r="68">
      <x:c r="A68" s="23" t="str">
        <x:v>LT-0067</x:v>
      </x:c>
      <x:c r="B68" s="23" t="str">
        <x:v>Ing Pairings- Beef.xlsx</x:v>
      </x:c>
      <x:c r="C68" s="23" t="str">
        <x:v>Sheet1</x:v>
      </x:c>
      <x:c r="D68" s="23" t="str">
        <x:v>beef</x:v>
      </x:c>
      <x:c r="E68" s="23" t="str">
        <x:v>beef</x:v>
      </x:c>
      <x:c r="F68" s="23" t="str">
        <x:v>family:beef</x:v>
      </x:c>
      <x:c r="G68" s="23" t="str">
        <x:v>tarragon</x:v>
      </x:c>
      <x:c r="H68" s="23" t="str"/>
      <x:c r="I68" s="23" t="str"/>
      <x:c r="J68" s="23" t="str">
        <x:v>behavioral_regression_candidate</x:v>
      </x:c>
      <x:c r="K68" s="23" t="str">
        <x:v>legacy_output_unverified</x:v>
      </x:c>
      <x:c r="L68" s="23" t="str"/>
      <x:c r="M68" s="23" t="str"/>
    </x:row>
    <x:row r="69">
      <x:c r="A69" s="23" t="str">
        <x:v>LT-0068</x:v>
      </x:c>
      <x:c r="B69" s="23" t="str">
        <x:v>Ing Pairings- Beef.xlsx</x:v>
      </x:c>
      <x:c r="C69" s="23" t="str">
        <x:v>Sheet1</x:v>
      </x:c>
      <x:c r="D69" s="23" t="str">
        <x:v>beef</x:v>
      </x:c>
      <x:c r="E69" s="23" t="str">
        <x:v>beef</x:v>
      </x:c>
      <x:c r="F69" s="23" t="str">
        <x:v>family:beef</x:v>
      </x:c>
      <x:c r="G69" s="23" t="str">
        <x:v>tomato</x:v>
      </x:c>
      <x:c r="H69" s="23" t="str"/>
      <x:c r="I69" s="23" t="str"/>
      <x:c r="J69" s="23" t="str">
        <x:v>behavioral_regression_candidate</x:v>
      </x:c>
      <x:c r="K69" s="23" t="str">
        <x:v>legacy_output_unverified</x:v>
      </x:c>
      <x:c r="L69" s="23" t="str"/>
      <x:c r="M69" s="23" t="str"/>
    </x:row>
    <x:row r="70">
      <x:c r="A70" s="23" t="str">
        <x:v>LT-0069</x:v>
      </x:c>
      <x:c r="B70" s="23" t="str">
        <x:v>Ing Pairings- Beef.xlsx</x:v>
      </x:c>
      <x:c r="C70" s="23" t="str">
        <x:v>Sheet1</x:v>
      </x:c>
      <x:c r="D70" s="23" t="str">
        <x:v>beef</x:v>
      </x:c>
      <x:c r="E70" s="23" t="str">
        <x:v>beef</x:v>
      </x:c>
      <x:c r="F70" s="23" t="str">
        <x:v>family:beef</x:v>
      </x:c>
      <x:c r="G70" s="23" t="str">
        <x:v>carrot</x:v>
      </x:c>
      <x:c r="H70" s="23" t="str"/>
      <x:c r="I70" s="23" t="str"/>
      <x:c r="J70" s="23" t="str">
        <x:v>behavioral_regression_candidate</x:v>
      </x:c>
      <x:c r="K70" s="23" t="str">
        <x:v>legacy_output_unverified</x:v>
      </x:c>
      <x:c r="L70" s="23" t="str"/>
      <x:c r="M70" s="23" t="str"/>
    </x:row>
    <x:row r="71">
      <x:c r="A71" s="23" t="str">
        <x:v>LT-0070</x:v>
      </x:c>
      <x:c r="B71" s="23" t="str">
        <x:v>Ing Pairings- Beef.xlsx</x:v>
      </x:c>
      <x:c r="C71" s="23" t="str">
        <x:v>Sheet1</x:v>
      </x:c>
      <x:c r="D71" s="23" t="str">
        <x:v>beef</x:v>
      </x:c>
      <x:c r="E71" s="23" t="str">
        <x:v>beef</x:v>
      </x:c>
      <x:c r="F71" s="23" t="str">
        <x:v>family:beef</x:v>
      </x:c>
      <x:c r="G71" s="23" t="str">
        <x:v>maize</x:v>
      </x:c>
      <x:c r="H71" s="23" t="str"/>
      <x:c r="I71" s="23" t="str"/>
      <x:c r="J71" s="23" t="str">
        <x:v>behavioral_regression_candidate</x:v>
      </x:c>
      <x:c r="K71" s="23" t="str">
        <x:v>legacy_output_unverified</x:v>
      </x:c>
      <x:c r="L71" s="23" t="str"/>
      <x:c r="M71" s="23" t="str"/>
    </x:row>
    <x:row r="72">
      <x:c r="A72" s="23" t="str">
        <x:v>LT-0071</x:v>
      </x:c>
      <x:c r="B72" s="23" t="str">
        <x:v>Ing Pairings- Beef.xlsx</x:v>
      </x:c>
      <x:c r="C72" s="23" t="str">
        <x:v>Sheet1</x:v>
      </x:c>
      <x:c r="D72" s="23" t="str">
        <x:v>beef</x:v>
      </x:c>
      <x:c r="E72" s="23" t="str">
        <x:v>beef</x:v>
      </x:c>
      <x:c r="F72" s="23" t="str">
        <x:v>family:beef</x:v>
      </x:c>
      <x:c r="G72" s="23" t="str">
        <x:v>eucalyptus</x:v>
      </x:c>
      <x:c r="H72" s="23" t="str"/>
      <x:c r="I72" s="23" t="str"/>
      <x:c r="J72" s="23" t="str">
        <x:v>behavioral_regression_candidate</x:v>
      </x:c>
      <x:c r="K72" s="23" t="str">
        <x:v>legacy_output_unverified</x:v>
      </x:c>
      <x:c r="L72" s="23" t="str"/>
      <x:c r="M72" s="23" t="str"/>
    </x:row>
    <x:row r="73">
      <x:c r="A73" s="23" t="str">
        <x:v>LT-0072</x:v>
      </x:c>
      <x:c r="B73" s="23" t="str">
        <x:v>Ing Pairings- Beef.xlsx</x:v>
      </x:c>
      <x:c r="C73" s="23" t="str">
        <x:v>Sheet1</x:v>
      </x:c>
      <x:c r="D73" s="23" t="str">
        <x:v>beef</x:v>
      </x:c>
      <x:c r="E73" s="23" t="str">
        <x:v>beef</x:v>
      </x:c>
      <x:c r="F73" s="23" t="str">
        <x:v>family:beef</x:v>
      </x:c>
      <x:c r="G73" s="23" t="str">
        <x:v>pecan</x:v>
      </x:c>
      <x:c r="H73" s="23" t="str"/>
      <x:c r="I73" s="23" t="str"/>
      <x:c r="J73" s="23" t="str">
        <x:v>behavioral_regression_candidate</x:v>
      </x:c>
      <x:c r="K73" s="23" t="str">
        <x:v>legacy_output_unverified</x:v>
      </x:c>
      <x:c r="L73" s="23" t="str"/>
      <x:c r="M73" s="23" t="str"/>
    </x:row>
    <x:row r="74">
      <x:c r="A74" s="23" t="str">
        <x:v>LT-0073</x:v>
      </x:c>
      <x:c r="B74" s="23" t="str">
        <x:v>Ing Pairings- Beef.xlsx</x:v>
      </x:c>
      <x:c r="C74" s="23" t="str">
        <x:v>Sheet1</x:v>
      </x:c>
      <x:c r="D74" s="23" t="str">
        <x:v>beef</x:v>
      </x:c>
      <x:c r="E74" s="23" t="str">
        <x:v>beef</x:v>
      </x:c>
      <x:c r="F74" s="23" t="str">
        <x:v>family:beef</x:v>
      </x:c>
      <x:c r="G74" s="23" t="str">
        <x:v>wheaten bread</x:v>
      </x:c>
      <x:c r="H74" s="23" t="str"/>
      <x:c r="I74" s="23" t="str"/>
      <x:c r="J74" s="23" t="str">
        <x:v>behavioral_regression_candidate</x:v>
      </x:c>
      <x:c r="K74" s="23" t="str">
        <x:v>legacy_output_unverified</x:v>
      </x:c>
      <x:c r="L74" s="23" t="str"/>
      <x:c r="M74" s="23" t="str"/>
    </x:row>
    <x:row r="75">
      <x:c r="A75" s="23" t="str">
        <x:v>LT-0074</x:v>
      </x:c>
      <x:c r="B75" s="23" t="str">
        <x:v>Ing Pairings- Beef.xlsx</x:v>
      </x:c>
      <x:c r="C75" s="23" t="str">
        <x:v>Sheet1</x:v>
      </x:c>
      <x:c r="D75" s="23" t="str">
        <x:v>beef</x:v>
      </x:c>
      <x:c r="E75" s="23" t="str">
        <x:v>beef</x:v>
      </x:c>
      <x:c r="F75" s="23" t="str">
        <x:v>family:beef</x:v>
      </x:c>
      <x:c r="G75" s="23" t="str">
        <x:v>whisky</x:v>
      </x:c>
      <x:c r="H75" s="23" t="str"/>
      <x:c r="I75" s="23" t="str"/>
      <x:c r="J75" s="23" t="str">
        <x:v>behavioral_regression_candidate</x:v>
      </x:c>
      <x:c r="K75" s="23" t="str">
        <x:v>legacy_output_unverified</x:v>
      </x:c>
      <x:c r="L75" s="23" t="str"/>
      <x:c r="M75" s="23" t="str"/>
    </x:row>
    <x:row r="76">
      <x:c r="A76" s="23" t="str">
        <x:v>LT-0075</x:v>
      </x:c>
      <x:c r="B76" s="23" t="str">
        <x:v>Ing Pairings- Beef.xlsx</x:v>
      </x:c>
      <x:c r="C76" s="23" t="str">
        <x:v>Sheet1</x:v>
      </x:c>
      <x:c r="D76" s="23" t="str">
        <x:v>beef</x:v>
      </x:c>
      <x:c r="E76" s="23" t="str">
        <x:v>beef</x:v>
      </x:c>
      <x:c r="F76" s="23" t="str">
        <x:v>family:beef</x:v>
      </x:c>
      <x:c r="G76" s="23" t="str">
        <x:v>lamb</x:v>
      </x:c>
      <x:c r="H76" s="23" t="str"/>
      <x:c r="I76" s="23" t="str"/>
      <x:c r="J76" s="23" t="str">
        <x:v>behavioral_regression_candidate</x:v>
      </x:c>
      <x:c r="K76" s="23" t="str">
        <x:v>legacy_output_unverified</x:v>
      </x:c>
      <x:c r="L76" s="23" t="str"/>
      <x:c r="M76" s="23" t="str"/>
    </x:row>
    <x:row r="77">
      <x:c r="A77" s="23" t="str">
        <x:v>LT-0076</x:v>
      </x:c>
      <x:c r="B77" s="23" t="str">
        <x:v>Ing Pairings- Beef.xlsx</x:v>
      </x:c>
      <x:c r="C77" s="23" t="str">
        <x:v>Sheet1</x:v>
      </x:c>
      <x:c r="D77" s="23" t="str">
        <x:v>beef</x:v>
      </x:c>
      <x:c r="E77" s="23" t="str">
        <x:v>beef</x:v>
      </x:c>
      <x:c r="F77" s="23" t="str">
        <x:v>family:beef</x:v>
      </x:c>
      <x:c r="G77" s="23" t="str">
        <x:v>tamarind</x:v>
      </x:c>
      <x:c r="H77" s="23" t="str"/>
      <x:c r="I77" s="23" t="str"/>
      <x:c r="J77" s="23" t="str">
        <x:v>behavioral_regression_candidate</x:v>
      </x:c>
      <x:c r="K77" s="23" t="str">
        <x:v>legacy_output_unverified</x:v>
      </x:c>
      <x:c r="L77" s="23" t="str"/>
      <x:c r="M77" s="23" t="str"/>
    </x:row>
    <x:row r="78">
      <x:c r="A78" s="23" t="str">
        <x:v>LT-0077</x:v>
      </x:c>
      <x:c r="B78" s="23" t="str">
        <x:v>Ing Pairings- Beef.xlsx</x:v>
      </x:c>
      <x:c r="C78" s="23" t="str">
        <x:v>Sheet1</x:v>
      </x:c>
      <x:c r="D78" s="23" t="str">
        <x:v>beef</x:v>
      </x:c>
      <x:c r="E78" s="23" t="str">
        <x:v>beef</x:v>
      </x:c>
      <x:c r="F78" s="23" t="str">
        <x:v>family:beef</x:v>
      </x:c>
      <x:c r="G78" s="23" t="str">
        <x:v>mushroom</x:v>
      </x:c>
      <x:c r="H78" s="23" t="str"/>
      <x:c r="I78" s="23" t="str"/>
      <x:c r="J78" s="23" t="str">
        <x:v>behavioral_regression_candidate</x:v>
      </x:c>
      <x:c r="K78" s="23" t="str">
        <x:v>legacy_output_unverified</x:v>
      </x:c>
      <x:c r="L78" s="23" t="str"/>
      <x:c r="M78" s="23" t="str"/>
    </x:row>
    <x:row r="79">
      <x:c r="A79" s="23" t="str">
        <x:v>LT-0078</x:v>
      </x:c>
      <x:c r="B79" s="23" t="str">
        <x:v>Ing Pairings- Beef.xlsx</x:v>
      </x:c>
      <x:c r="C79" s="23" t="str">
        <x:v>Sheet1</x:v>
      </x:c>
      <x:c r="D79" s="23" t="str">
        <x:v>beef</x:v>
      </x:c>
      <x:c r="E79" s="23" t="str">
        <x:v>beef</x:v>
      </x:c>
      <x:c r="F79" s="23" t="str">
        <x:v>family:beef</x:v>
      </x:c>
      <x:c r="G79" s="23" t="str">
        <x:v>cauliflower</x:v>
      </x:c>
      <x:c r="H79" s="23" t="str"/>
      <x:c r="I79" s="23" t="str"/>
      <x:c r="J79" s="23" t="str">
        <x:v>behavioral_regression_candidate</x:v>
      </x:c>
      <x:c r="K79" s="23" t="str">
        <x:v>legacy_output_unverified</x:v>
      </x:c>
      <x:c r="L79" s="23" t="str"/>
      <x:c r="M79" s="23" t="str"/>
    </x:row>
    <x:row r="80">
      <x:c r="A80" s="23" t="str">
        <x:v>LT-0079</x:v>
      </x:c>
      <x:c r="B80" s="23" t="str">
        <x:v>Ing Pairings- Beef.xlsx</x:v>
      </x:c>
      <x:c r="C80" s="23" t="str">
        <x:v>Sheet1</x:v>
      </x:c>
      <x:c r="D80" s="23" t="str">
        <x:v>beef</x:v>
      </x:c>
      <x:c r="E80" s="23" t="str">
        <x:v>beef</x:v>
      </x:c>
      <x:c r="F80" s="23" t="str">
        <x:v>family:beef</x:v>
      </x:c>
      <x:c r="G80" s="23" t="str">
        <x:v>buckwheat</x:v>
      </x:c>
      <x:c r="H80" s="23" t="str"/>
      <x:c r="I80" s="23" t="str"/>
      <x:c r="J80" s="23" t="str">
        <x:v>behavioral_regression_candidate</x:v>
      </x:c>
      <x:c r="K80" s="23" t="str">
        <x:v>legacy_output_unverified</x:v>
      </x:c>
      <x:c r="L80" s="23" t="str"/>
      <x:c r="M80" s="23" t="str"/>
    </x:row>
    <x:row r="81">
      <x:c r="A81" s="23" t="str">
        <x:v>LT-0080</x:v>
      </x:c>
      <x:c r="B81" s="23" t="str">
        <x:v>Ing Pairings- Beef.xlsx</x:v>
      </x:c>
      <x:c r="C81" s="23" t="str">
        <x:v>Sheet1</x:v>
      </x:c>
      <x:c r="D81" s="23" t="str">
        <x:v>beef</x:v>
      </x:c>
      <x:c r="E81" s="23" t="str">
        <x:v>beef</x:v>
      </x:c>
      <x:c r="F81" s="23" t="str">
        <x:v>family:beef</x:v>
      </x:c>
      <x:c r="G81" s="23" t="str">
        <x:v>malt</x:v>
      </x:c>
      <x:c r="H81" s="23" t="str"/>
      <x:c r="I81" s="23" t="str"/>
      <x:c r="J81" s="23" t="str">
        <x:v>behavioral_regression_candidate</x:v>
      </x:c>
      <x:c r="K81" s="23" t="str">
        <x:v>legacy_output_unverified</x:v>
      </x:c>
      <x:c r="L81" s="23" t="str"/>
      <x:c r="M81" s="23" t="str"/>
    </x:row>
    <x:row r="82">
      <x:c r="A82" s="23" t="str">
        <x:v>LT-0081</x:v>
      </x:c>
      <x:c r="B82" s="23" t="str">
        <x:v>Ing Pairings- Beef.xlsx</x:v>
      </x:c>
      <x:c r="C82" s="23" t="str">
        <x:v>Sheet1</x:v>
      </x:c>
      <x:c r="D82" s="23" t="str">
        <x:v>beef</x:v>
      </x:c>
      <x:c r="E82" s="23" t="str">
        <x:v>beef</x:v>
      </x:c>
      <x:c r="F82" s="23" t="str">
        <x:v>family:beef</x:v>
      </x:c>
      <x:c r="G82" s="23" t="str">
        <x:v>asparagus</x:v>
      </x:c>
      <x:c r="H82" s="23" t="str"/>
      <x:c r="I82" s="23" t="str"/>
      <x:c r="J82" s="23" t="str">
        <x:v>behavioral_regression_candidate</x:v>
      </x:c>
      <x:c r="K82" s="23" t="str">
        <x:v>legacy_output_unverified</x:v>
      </x:c>
      <x:c r="L82" s="23" t="str"/>
      <x:c r="M82" s="23" t="str"/>
    </x:row>
    <x:row r="83">
      <x:c r="A83" s="23" t="str">
        <x:v>LT-0082</x:v>
      </x:c>
      <x:c r="B83" s="23" t="str">
        <x:v>Ing Pairings- Beef.xlsx</x:v>
      </x:c>
      <x:c r="C83" s="23" t="str">
        <x:v>Sheet1</x:v>
      </x:c>
      <x:c r="D83" s="23" t="str">
        <x:v>beef</x:v>
      </x:c>
      <x:c r="E83" s="23" t="str">
        <x:v>beef</x:v>
      </x:c>
      <x:c r="F83" s="23" t="str">
        <x:v>family:beef</x:v>
      </x:c>
      <x:c r="G83" s="23" t="str">
        <x:v>potato</x:v>
      </x:c>
      <x:c r="H83" s="23" t="str"/>
      <x:c r="I83" s="23" t="str"/>
      <x:c r="J83" s="23" t="str">
        <x:v>behavioral_regression_candidate</x:v>
      </x:c>
      <x:c r="K83" s="23" t="str">
        <x:v>legacy_output_unverified</x:v>
      </x:c>
      <x:c r="L83" s="23" t="str"/>
      <x:c r="M83" s="23" t="str"/>
    </x:row>
    <x:row r="84">
      <x:c r="A84" s="23" t="str">
        <x:v>LT-0083</x:v>
      </x:c>
      <x:c r="B84" s="23" t="str">
        <x:v>Ing Pairings- Beef.xlsx</x:v>
      </x:c>
      <x:c r="C84" s="23" t="str">
        <x:v>Sheet1</x:v>
      </x:c>
      <x:c r="D84" s="23" t="str">
        <x:v>beef</x:v>
      </x:c>
      <x:c r="E84" s="23" t="str">
        <x:v>beef</x:v>
      </x:c>
      <x:c r="F84" s="23" t="str">
        <x:v>family:beef</x:v>
      </x:c>
      <x:c r="G84" s="23" t="str">
        <x:v>malt</x:v>
      </x:c>
      <x:c r="H84" s="23" t="str"/>
      <x:c r="I84" s="23" t="str"/>
      <x:c r="J84" s="23" t="str">
        <x:v>behavioral_regression_candidate</x:v>
      </x:c>
      <x:c r="K84" s="23" t="str">
        <x:v>legacy_output_unverified</x:v>
      </x:c>
      <x:c r="L84" s="23" t="str"/>
      <x:c r="M84" s="23" t="str"/>
    </x:row>
    <x:row r="85">
      <x:c r="A85" s="23" t="str">
        <x:v>LT-0084</x:v>
      </x:c>
      <x:c r="B85" s="23" t="str">
        <x:v>Ing Pairings- Beef.xlsx</x:v>
      </x:c>
      <x:c r="C85" s="23" t="str">
        <x:v>Sheet1</x:v>
      </x:c>
      <x:c r="D85" s="23" t="str">
        <x:v>beef</x:v>
      </x:c>
      <x:c r="E85" s="23" t="str">
        <x:v>beef</x:v>
      </x:c>
      <x:c r="F85" s="23" t="str">
        <x:v>family:beef</x:v>
      </x:c>
      <x:c r="G85" s="23" t="str">
        <x:v>licorice</x:v>
      </x:c>
      <x:c r="H85" s="23" t="str"/>
      <x:c r="I85" s="23" t="str"/>
      <x:c r="J85" s="23" t="str">
        <x:v>behavioral_regression_candidate</x:v>
      </x:c>
      <x:c r="K85" s="23" t="str">
        <x:v>legacy_output_unverified</x:v>
      </x:c>
      <x:c r="L85" s="23" t="str"/>
      <x:c r="M85" s="23" t="str"/>
    </x:row>
    <x:row r="86">
      <x:c r="A86" s="23" t="str">
        <x:v>LT-0085</x:v>
      </x:c>
      <x:c r="B86" s="23" t="str">
        <x:v>Ing Pairings- Beef.xlsx</x:v>
      </x:c>
      <x:c r="C86" s="23" t="str">
        <x:v>Sheet1</x:v>
      </x:c>
      <x:c r="D86" s="23" t="str">
        <x:v>beef</x:v>
      </x:c>
      <x:c r="E86" s="23" t="str">
        <x:v>beef</x:v>
      </x:c>
      <x:c r="F86" s="23" t="str">
        <x:v>family:beef</x:v>
      </x:c>
      <x:c r="G86" s="23" t="str">
        <x:v>pork</x:v>
      </x:c>
      <x:c r="H86" s="23" t="str"/>
      <x:c r="I86" s="23" t="str"/>
      <x:c r="J86" s="23" t="str">
        <x:v>behavioral_regression_candidate</x:v>
      </x:c>
      <x:c r="K86" s="23" t="str">
        <x:v>legacy_output_unverified</x:v>
      </x:c>
      <x:c r="L86" s="23" t="str"/>
      <x:c r="M86" s="23" t="str"/>
    </x:row>
    <x:row r="87">
      <x:c r="A87" s="23" t="str">
        <x:v>LT-0086</x:v>
      </x:c>
      <x:c r="B87" s="23" t="str">
        <x:v>Ing Pairings- Beef.xlsx</x:v>
      </x:c>
      <x:c r="C87" s="23" t="str">
        <x:v>Sheet1</x:v>
      </x:c>
      <x:c r="D87" s="23" t="str">
        <x:v>beef</x:v>
      </x:c>
      <x:c r="E87" s="23" t="str">
        <x:v>beef</x:v>
      </x:c>
      <x:c r="F87" s="23" t="str">
        <x:v>family:beef</x:v>
      </x:c>
      <x:c r="G87" s="23" t="str">
        <x:v>agastache</x:v>
      </x:c>
      <x:c r="H87" s="23" t="str"/>
      <x:c r="I87" s="23" t="str"/>
      <x:c r="J87" s="23" t="str">
        <x:v>behavioral_regression_candidate</x:v>
      </x:c>
      <x:c r="K87" s="23" t="str">
        <x:v>legacy_output_unverified</x:v>
      </x:c>
      <x:c r="L87" s="23" t="str"/>
      <x:c r="M87" s="23" t="str"/>
    </x:row>
    <x:row r="88">
      <x:c r="A88" s="23" t="str">
        <x:v>LT-0087</x:v>
      </x:c>
      <x:c r="B88" s="23" t="str">
        <x:v>Ing Pairings- Beef.xlsx</x:v>
      </x:c>
      <x:c r="C88" s="23" t="str">
        <x:v>Sheet1</x:v>
      </x:c>
      <x:c r="D88" s="23" t="str">
        <x:v>beef</x:v>
      </x:c>
      <x:c r="E88" s="23" t="str">
        <x:v>beef</x:v>
      </x:c>
      <x:c r="F88" s="23" t="str">
        <x:v>family:beef</x:v>
      </x:c>
      <x:c r="G88" s="23" t="str">
        <x:v>brandy</x:v>
      </x:c>
      <x:c r="H88" s="23" t="str"/>
      <x:c r="I88" s="23" t="str"/>
      <x:c r="J88" s="23" t="str">
        <x:v>behavioral_regression_candidate</x:v>
      </x:c>
      <x:c r="K88" s="23" t="str">
        <x:v>legacy_output_unverified</x:v>
      </x:c>
      <x:c r="L88" s="23" t="str"/>
      <x:c r="M88" s="23" t="str"/>
    </x:row>
    <x:row r="89">
      <x:c r="A89" s="23" t="str">
        <x:v>LT-0088</x:v>
      </x:c>
      <x:c r="B89" s="23" t="str">
        <x:v>Ing Pairings- Beef.xlsx</x:v>
      </x:c>
      <x:c r="C89" s="23" t="str">
        <x:v>Sheet1</x:v>
      </x:c>
      <x:c r="D89" s="23" t="str">
        <x:v>beef</x:v>
      </x:c>
      <x:c r="E89" s="23" t="str">
        <x:v>beef</x:v>
      </x:c>
      <x:c r="F89" s="23" t="str">
        <x:v>family:beef</x:v>
      </x:c>
      <x:c r="G89" s="23" t="str">
        <x:v>caraway</x:v>
      </x:c>
      <x:c r="H89" s="23" t="str"/>
      <x:c r="I89" s="23" t="str"/>
      <x:c r="J89" s="23" t="str">
        <x:v>behavioral_regression_candidate</x:v>
      </x:c>
      <x:c r="K89" s="23" t="str">
        <x:v>legacy_output_unverified</x:v>
      </x:c>
      <x:c r="L89" s="23" t="str"/>
      <x:c r="M89" s="23" t="str"/>
    </x:row>
    <x:row r="90">
      <x:c r="A90" s="23" t="str">
        <x:v>LT-0089</x:v>
      </x:c>
      <x:c r="B90" s="23" t="str">
        <x:v>Ing Pairings- Beef.xlsx</x:v>
      </x:c>
      <x:c r="C90" s="23" t="str">
        <x:v>Sheet1</x:v>
      </x:c>
      <x:c r="D90" s="23" t="str">
        <x:v>beef</x:v>
      </x:c>
      <x:c r="E90" s="23" t="str">
        <x:v>beef</x:v>
      </x:c>
      <x:c r="F90" s="23" t="str">
        <x:v>family:beef</x:v>
      </x:c>
      <x:c r="G90" s="23" t="str">
        <x:v>yam</x:v>
      </x:c>
      <x:c r="H90" s="23" t="str"/>
      <x:c r="I90" s="23" t="str"/>
      <x:c r="J90" s="23" t="str">
        <x:v>behavioral_regression_candidate</x:v>
      </x:c>
      <x:c r="K90" s="23" t="str">
        <x:v>legacy_output_unverified</x:v>
      </x:c>
      <x:c r="L90" s="23" t="str"/>
      <x:c r="M90" s="23" t="str"/>
    </x:row>
    <x:row r="91">
      <x:c r="A91" s="23" t="str">
        <x:v>LT-0090</x:v>
      </x:c>
      <x:c r="B91" s="23" t="str">
        <x:v>Ing Pairings- Beef.xlsx</x:v>
      </x:c>
      <x:c r="C91" s="23" t="str">
        <x:v>Sheet1</x:v>
      </x:c>
      <x:c r="D91" s="23" t="str">
        <x:v>beef</x:v>
      </x:c>
      <x:c r="E91" s="23" t="str">
        <x:v>beef</x:v>
      </x:c>
      <x:c r="F91" s="23" t="str">
        <x:v>family:beef</x:v>
      </x:c>
      <x:c r="G91" s="23" t="str">
        <x:v>shoyu</x:v>
      </x:c>
      <x:c r="H91" s="23" t="str"/>
      <x:c r="I91" s="23" t="str"/>
      <x:c r="J91" s="23" t="str">
        <x:v>behavioral_regression_candidate</x:v>
      </x:c>
      <x:c r="K91" s="23" t="str">
        <x:v>legacy_output_unverified</x:v>
      </x:c>
      <x:c r="L91" s="23" t="str"/>
      <x:c r="M91" s="23" t="str"/>
    </x:row>
    <x:row r="92">
      <x:c r="A92" s="23" t="str">
        <x:v>LT-0091</x:v>
      </x:c>
      <x:c r="B92" s="23" t="str">
        <x:v>Ing Pairings- Beef.xlsx</x:v>
      </x:c>
      <x:c r="C92" s="23" t="str">
        <x:v>Sheet1</x:v>
      </x:c>
      <x:c r="D92" s="23" t="str">
        <x:v>beef</x:v>
      </x:c>
      <x:c r="E92" s="23" t="str">
        <x:v>beef</x:v>
      </x:c>
      <x:c r="F92" s="23" t="str">
        <x:v>family:beef</x:v>
      </x:c>
      <x:c r="G92" s="23" t="str">
        <x:v>fish sauce</x:v>
      </x:c>
      <x:c r="H92" s="23" t="str"/>
      <x:c r="I92" s="23" t="str"/>
      <x:c r="J92" s="23" t="str">
        <x:v>behavioral_regression_candidate</x:v>
      </x:c>
      <x:c r="K92" s="23" t="str">
        <x:v>legacy_output_unverified</x:v>
      </x:c>
      <x:c r="L92" s="23" t="str"/>
      <x:c r="M92" s="23" t="str"/>
    </x:row>
    <x:row r="93">
      <x:c r="A93" s="23" t="str">
        <x:v>LT-0092</x:v>
      </x:c>
      <x:c r="B93" s="23" t="str">
        <x:v>Ing Pairings- Beef.xlsx</x:v>
      </x:c>
      <x:c r="C93" s="23" t="str">
        <x:v>Sheet1</x:v>
      </x:c>
      <x:c r="D93" s="23" t="str">
        <x:v>beef</x:v>
      </x:c>
      <x:c r="E93" s="23" t="str">
        <x:v>beef</x:v>
      </x:c>
      <x:c r="F93" s="23" t="str">
        <x:v>family:beef</x:v>
      </x:c>
      <x:c r="G93" s="23" t="str">
        <x:v>anchovy</x:v>
      </x:c>
      <x:c r="H93" s="23" t="str"/>
      <x:c r="I93" s="23" t="str"/>
      <x:c r="J93" s="23" t="str">
        <x:v>behavioral_regression_candidate</x:v>
      </x:c>
      <x:c r="K93" s="23" t="str">
        <x:v>legacy_output_unverified</x:v>
      </x:c>
      <x:c r="L93" s="23" t="str"/>
      <x:c r="M93" s="23" t="str"/>
    </x:row>
    <x:row r="94">
      <x:c r="A94" s="23" t="str">
        <x:v>LT-0093</x:v>
      </x:c>
      <x:c r="B94" s="23" t="str">
        <x:v>Ing Pairings- Beef.xlsx</x:v>
      </x:c>
      <x:c r="C94" s="23" t="str">
        <x:v>Sheet1</x:v>
      </x:c>
      <x:c r="D94" s="23" t="str">
        <x:v>beef</x:v>
      </x:c>
      <x:c r="E94" s="23" t="str">
        <x:v>beef</x:v>
      </x:c>
      <x:c r="F94" s="23" t="str">
        <x:v>family:beef</x:v>
      </x:c>
      <x:c r="G94" s="23" t="str">
        <x:v>liver</x:v>
      </x:c>
      <x:c r="H94" s="23" t="str"/>
      <x:c r="I94" s="23" t="str"/>
      <x:c r="J94" s="23" t="str">
        <x:v>behavioral_regression_candidate</x:v>
      </x:c>
      <x:c r="K94" s="23" t="str">
        <x:v>legacy_output_unverified</x:v>
      </x:c>
      <x:c r="L94" s="23" t="str"/>
      <x:c r="M94" s="23" t="str"/>
    </x:row>
    <x:row r="95">
      <x:c r="A95" s="23" t="str">
        <x:v>LT-0094</x:v>
      </x:c>
      <x:c r="B95" s="23" t="str">
        <x:v>Ing Pairings- Crustacean.xlsx</x:v>
      </x:c>
      <x:c r="C95" s="23" t="str">
        <x:v>Sheet1</x:v>
      </x:c>
      <x:c r="D95" s="23" t="str">
        <x:v>crustacean</x:v>
      </x:c>
      <x:c r="E95" s="23" t="str">
        <x:v>crustacean</x:v>
      </x:c>
      <x:c r="F95" s="23" t="str">
        <x:v>family:seafood</x:v>
      </x:c>
      <x:c r="G95" s="23" t="str">
        <x:v>acerola</x:v>
      </x:c>
      <x:c r="H95" s="23" t="str">
        <x:v>Floral- Camomile</x:v>
      </x:c>
      <x:c r="I95" s="23" t="n">
        <x:v>8.9</x:v>
      </x:c>
      <x:c r="J95" s="23" t="str">
        <x:v>behavioral_regression_candidate</x:v>
      </x:c>
      <x:c r="K95" s="23" t="str">
        <x:v>legacy_output_unverified</x:v>
      </x:c>
      <x:c r="L95" s="23" t="str"/>
      <x:c r="M95" s="23" t="str"/>
    </x:row>
    <x:row r="96">
      <x:c r="A96" s="23" t="str">
        <x:v>LT-0095</x:v>
      </x:c>
      <x:c r="B96" s="23" t="str">
        <x:v>Ing Pairings- Crustacean.xlsx</x:v>
      </x:c>
      <x:c r="C96" s="23" t="str">
        <x:v>Sheet1</x:v>
      </x:c>
      <x:c r="D96" s="23" t="str">
        <x:v>crustacean</x:v>
      </x:c>
      <x:c r="E96" s="23" t="str">
        <x:v>crustacean</x:v>
      </x:c>
      <x:c r="F96" s="23" t="str">
        <x:v>family:seafood</x:v>
      </x:c>
      <x:c r="G96" s="23" t="str">
        <x:v>apple</x:v>
      </x:c>
      <x:c r="H96" s="23" t="str">
        <x:v>Lavender Honey</x:v>
      </x:c>
      <x:c r="I96" s="23" t="n">
        <x:v>44.6</x:v>
      </x:c>
      <x:c r="J96" s="23" t="str">
        <x:v>behavioral_regression_candidate</x:v>
      </x:c>
      <x:c r="K96" s="23" t="str">
        <x:v>legacy_output_unverified</x:v>
      </x:c>
      <x:c r="L96" s="23" t="str"/>
      <x:c r="M96" s="23" t="str"/>
    </x:row>
    <x:row r="97">
      <x:c r="A97" s="23" t="str">
        <x:v>LT-0096</x:v>
      </x:c>
      <x:c r="B97" s="23" t="str">
        <x:v>Ing Pairings- Crustacean.xlsx</x:v>
      </x:c>
      <x:c r="C97" s="23" t="str">
        <x:v>Sheet1</x:v>
      </x:c>
      <x:c r="D97" s="23" t="str">
        <x:v>crustacean</x:v>
      </x:c>
      <x:c r="E97" s="23" t="str">
        <x:v>crustacean</x:v>
      </x:c>
      <x:c r="F97" s="23" t="str">
        <x:v>family:seafood</x:v>
      </x:c>
      <x:c r="G97" s="23" t="str">
        <x:v>apricot</x:v>
      </x:c>
      <x:c r="H97" s="23" t="str">
        <x:v>Elderberry</x:v>
      </x:c>
      <x:c r="I97" s="23" t="n">
        <x:v>25.7</x:v>
      </x:c>
      <x:c r="J97" s="23" t="str">
        <x:v>behavioral_regression_candidate</x:v>
      </x:c>
      <x:c r="K97" s="23" t="str">
        <x:v>legacy_output_unverified</x:v>
      </x:c>
      <x:c r="L97" s="23" t="str"/>
      <x:c r="M97" s="23" t="str"/>
    </x:row>
    <x:row r="98">
      <x:c r="A98" s="23" t="str">
        <x:v>LT-0097</x:v>
      </x:c>
      <x:c r="B98" s="23" t="str">
        <x:v>Ing Pairings- Crustacean.xlsx</x:v>
      </x:c>
      <x:c r="C98" s="23" t="str">
        <x:v>Sheet1</x:v>
      </x:c>
      <x:c r="D98" s="23" t="str">
        <x:v>crustacean</x:v>
      </x:c>
      <x:c r="E98" s="23" t="str">
        <x:v>crustacean</x:v>
      </x:c>
      <x:c r="F98" s="23" t="str">
        <x:v>family:seafood</x:v>
      </x:c>
      <x:c r="G98" s="23" t="str">
        <x:v>asparagus</x:v>
      </x:c>
      <x:c r="H98" s="23" t="str">
        <x:v>Citrus- Citrus</x:v>
      </x:c>
      <x:c r="I98" s="23" t="n">
        <x:v>36.4</x:v>
      </x:c>
      <x:c r="J98" s="23" t="str">
        <x:v>behavioral_regression_candidate</x:v>
      </x:c>
      <x:c r="K98" s="23" t="str">
        <x:v>legacy_output_unverified</x:v>
      </x:c>
      <x:c r="L98" s="23" t="str"/>
      <x:c r="M98" s="23" t="str"/>
    </x:row>
    <x:row r="99">
      <x:c r="A99" s="23" t="str">
        <x:v>LT-0098</x:v>
      </x:c>
      <x:c r="B99" s="23" t="str">
        <x:v>Ing Pairings- Crustacean.xlsx</x:v>
      </x:c>
      <x:c r="C99" s="23" t="str">
        <x:v>Sheet1</x:v>
      </x:c>
      <x:c r="D99" s="23" t="str">
        <x:v>crustacean</x:v>
      </x:c>
      <x:c r="E99" s="23" t="str">
        <x:v>crustacean</x:v>
      </x:c>
      <x:c r="F99" s="23" t="str">
        <x:v>family:seafood</x:v>
      </x:c>
      <x:c r="G99" s="23" t="str">
        <x:v>beer</x:v>
      </x:c>
      <x:c r="H99" s="23" t="str">
        <x:v>Tropical- Coconut</x:v>
      </x:c>
      <x:c r="I99" s="23" t="n">
        <x:v>30</x:v>
      </x:c>
      <x:c r="J99" s="23" t="str">
        <x:v>behavioral_regression_candidate</x:v>
      </x:c>
      <x:c r="K99" s="23" t="str">
        <x:v>legacy_output_unverified</x:v>
      </x:c>
      <x:c r="L99" s="23" t="str"/>
      <x:c r="M99" s="23" t="str"/>
    </x:row>
    <x:row r="100">
      <x:c r="A100" s="23" t="str">
        <x:v>LT-0099</x:v>
      </x:c>
      <x:c r="B100" s="23" t="str">
        <x:v>Ing Pairings- Crustacean.xlsx</x:v>
      </x:c>
      <x:c r="C100" s="23" t="str">
        <x:v>Sheet1</x:v>
      </x:c>
      <x:c r="D100" s="23" t="str">
        <x:v>crustacean</x:v>
      </x:c>
      <x:c r="E100" s="23" t="str">
        <x:v>crustacean</x:v>
      </x:c>
      <x:c r="F100" s="23" t="str">
        <x:v>family:seafood</x:v>
      </x:c>
      <x:c r="G100" s="23" t="str">
        <x:v>brassica</x:v>
      </x:c>
      <x:c r="H100" s="23" t="str">
        <x:v>Melon- Melon</x:v>
      </x:c>
      <x:c r="I100" s="23" t="n">
        <x:v>21.9</x:v>
      </x:c>
      <x:c r="J100" s="23" t="str">
        <x:v>behavioral_regression_candidate</x:v>
      </x:c>
      <x:c r="K100" s="23" t="str">
        <x:v>legacy_output_unverified</x:v>
      </x:c>
      <x:c r="L100" s="23" t="str"/>
      <x:c r="M100" s="23" t="str"/>
    </x:row>
    <x:row r="101">
      <x:c r="A101" s="23" t="str">
        <x:v>LT-0100</x:v>
      </x:c>
      <x:c r="B101" s="23" t="str">
        <x:v>Ing Pairings- Crustacean.xlsx</x:v>
      </x:c>
      <x:c r="C101" s="23" t="str">
        <x:v>Sheet1</x:v>
      </x:c>
      <x:c r="D101" s="23" t="str">
        <x:v>crustacean</x:v>
      </x:c>
      <x:c r="E101" s="23" t="str">
        <x:v>crustacean</x:v>
      </x:c>
      <x:c r="F101" s="23" t="str">
        <x:v>family:seafood</x:v>
      </x:c>
      <x:c r="G101" s="23" t="str">
        <x:v>bread</x:v>
      </x:c>
      <x:c r="H101" s="23" t="str">
        <x:v>Tree Fruit- Apple</x:v>
      </x:c>
      <x:c r="I101" s="23" t="n">
        <x:v>39.6</x:v>
      </x:c>
      <x:c r="J101" s="23" t="str">
        <x:v>behavioral_regression_candidate</x:v>
      </x:c>
      <x:c r="K101" s="23" t="str">
        <x:v>legacy_output_unverified</x:v>
      </x:c>
      <x:c r="L101" s="23" t="str"/>
      <x:c r="M101" s="23" t="str"/>
    </x:row>
    <x:row r="102">
      <x:c r="A102" s="23" t="str">
        <x:v>LT-0101</x:v>
      </x:c>
      <x:c r="B102" s="23" t="str">
        <x:v>Ing Pairings- Crustacean.xlsx</x:v>
      </x:c>
      <x:c r="C102" s="23" t="str">
        <x:v>Sheet1</x:v>
      </x:c>
      <x:c r="D102" s="23" t="str">
        <x:v>crustacean</x:v>
      </x:c>
      <x:c r="E102" s="23" t="str">
        <x:v>crustacean</x:v>
      </x:c>
      <x:c r="F102" s="23" t="str">
        <x:v>family:seafood</x:v>
      </x:c>
      <x:c r="G102" s="23" t="str">
        <x:v>cabbage</x:v>
      </x:c>
      <x:c r="H102" s="23" t="str">
        <x:v>Apricot</x:v>
      </x:c>
      <x:c r="I102" s="23" t="n">
        <x:v>22.5</x:v>
      </x:c>
      <x:c r="J102" s="23" t="str">
        <x:v>behavioral_regression_candidate</x:v>
      </x:c>
      <x:c r="K102" s="23" t="str">
        <x:v>legacy_output_unverified</x:v>
      </x:c>
      <x:c r="L102" s="23" t="str"/>
      <x:c r="M102" s="23" t="str"/>
    </x:row>
    <x:row r="103">
      <x:c r="A103" s="23" t="str">
        <x:v>LT-0102</x:v>
      </x:c>
      <x:c r="B103" s="23" t="str">
        <x:v>Ing Pairings- Crustacean.xlsx</x:v>
      </x:c>
      <x:c r="C103" s="23" t="str">
        <x:v>Sheet1</x:v>
      </x:c>
      <x:c r="D103" s="23" t="str">
        <x:v>crustacean</x:v>
      </x:c>
      <x:c r="E103" s="23" t="str">
        <x:v>crustacean</x:v>
      </x:c>
      <x:c r="F103" s="23" t="str">
        <x:v>family:seafood</x:v>
      </x:c>
      <x:c r="G103" s="23" t="str">
        <x:v>cashew</x:v>
      </x:c>
      <x:c r="H103" s="23" t="str">
        <x:v>Nectarine</x:v>
      </x:c>
      <x:c r="I103" s="23" t="n">
        <x:v>25.7</x:v>
      </x:c>
      <x:c r="J103" s="23" t="str">
        <x:v>behavioral_regression_candidate</x:v>
      </x:c>
      <x:c r="K103" s="23" t="str">
        <x:v>legacy_output_unverified</x:v>
      </x:c>
      <x:c r="L103" s="23" t="str"/>
      <x:c r="M103" s="23" t="str"/>
    </x:row>
    <x:row r="104">
      <x:c r="A104" s="23" t="str">
        <x:v>LT-0103</x:v>
      </x:c>
      <x:c r="B104" s="23" t="str">
        <x:v>Ing Pairings- Crustacean.xlsx</x:v>
      </x:c>
      <x:c r="C104" s="23" t="str">
        <x:v>Sheet1</x:v>
      </x:c>
      <x:c r="D104" s="23" t="str">
        <x:v>crustacean</x:v>
      </x:c>
      <x:c r="E104" s="23" t="str">
        <x:v>crustacean</x:v>
      </x:c>
      <x:c r="F104" s="23" t="str">
        <x:v>family:seafood</x:v>
      </x:c>
      <x:c r="G104" s="23" t="str">
        <x:v>coconut</x:v>
      </x:c>
      <x:c r="H104" s="23" t="str">
        <x:v>Berry- Strawberry</x:v>
      </x:c>
      <x:c r="I104" s="23" t="n">
        <x:v>26.2</x:v>
      </x:c>
      <x:c r="J104" s="23" t="str">
        <x:v>behavioral_regression_candidate</x:v>
      </x:c>
      <x:c r="K104" s="23" t="str">
        <x:v>legacy_output_unverified</x:v>
      </x:c>
      <x:c r="L104" s="23" t="str"/>
      <x:c r="M104" s="23" t="str"/>
    </x:row>
    <x:row r="105">
      <x:c r="A105" s="23" t="str">
        <x:v>LT-0104</x:v>
      </x:c>
      <x:c r="B105" s="23" t="str">
        <x:v>Ing Pairings- Crustacean.xlsx</x:v>
      </x:c>
      <x:c r="C105" s="23" t="str">
        <x:v>Sheet1</x:v>
      </x:c>
      <x:c r="D105" s="23" t="str">
        <x:v>crustacean</x:v>
      </x:c>
      <x:c r="E105" s="23" t="str">
        <x:v>crustacean</x:v>
      </x:c>
      <x:c r="F105" s="23" t="str">
        <x:v>family:seafood</x:v>
      </x:c>
      <x:c r="G105" s="23" t="str">
        <x:v>endive</x:v>
      </x:c>
      <x:c r="H105" s="23" t="str">
        <x:v>Vaccinium</x:v>
      </x:c>
      <x:c r="I105" s="23" t="n">
        <x:v>31.7</x:v>
      </x:c>
      <x:c r="J105" s="23" t="str">
        <x:v>behavioral_regression_candidate</x:v>
      </x:c>
      <x:c r="K105" s="23" t="str">
        <x:v>legacy_output_unverified</x:v>
      </x:c>
      <x:c r="L105" s="23" t="str"/>
      <x:c r="M105" s="23" t="str"/>
    </x:row>
    <x:row r="106">
      <x:c r="A106" s="23" t="str">
        <x:v>LT-0105</x:v>
      </x:c>
      <x:c r="B106" s="23" t="str">
        <x:v>Ing Pairings- Crustacean.xlsx</x:v>
      </x:c>
      <x:c r="C106" s="23" t="str">
        <x:v>Sheet1</x:v>
      </x:c>
      <x:c r="D106" s="23" t="str">
        <x:v>crustacean</x:v>
      </x:c>
      <x:c r="E106" s="23" t="str">
        <x:v>crustacean</x:v>
      </x:c>
      <x:c r="F106" s="23" t="str">
        <x:v>family:seafood</x:v>
      </x:c>
      <x:c r="G106" s="23" t="str">
        <x:v>ginger</x:v>
      </x:c>
      <x:c r="H106" s="23" t="str">
        <x:v>Dried Fruit- Strawberry Jam</x:v>
      </x:c>
      <x:c r="I106" s="23" t="n">
        <x:v>22.4</x:v>
      </x:c>
      <x:c r="J106" s="23" t="str">
        <x:v>behavioral_regression_candidate</x:v>
      </x:c>
      <x:c r="K106" s="23" t="str">
        <x:v>legacy_output_unverified</x:v>
      </x:c>
      <x:c r="L106" s="23" t="str"/>
      <x:c r="M106" s="23" t="str"/>
    </x:row>
    <x:row r="107">
      <x:c r="A107" s="23" t="str">
        <x:v>LT-0106</x:v>
      </x:c>
      <x:c r="B107" s="23" t="str">
        <x:v>Ing Pairings- Crustacean.xlsx</x:v>
      </x:c>
      <x:c r="C107" s="23" t="str">
        <x:v>Sheet1</x:v>
      </x:c>
      <x:c r="D107" s="23" t="str">
        <x:v>crustacean</x:v>
      </x:c>
      <x:c r="E107" s="23" t="str">
        <x:v>crustacean</x:v>
      </x:c>
      <x:c r="F107" s="23" t="str">
        <x:v>family:seafood</x:v>
      </x:c>
      <x:c r="G107" s="23" t="str">
        <x:v>lettuce</x:v>
      </x:c>
      <x:c r="H107" s="23" t="str">
        <x:v>Prune</x:v>
      </x:c>
      <x:c r="I107" s="23" t="n">
        <x:v>15.4</x:v>
      </x:c>
      <x:c r="J107" s="23" t="str">
        <x:v>behavioral_regression_candidate</x:v>
      </x:c>
      <x:c r="K107" s="23" t="str">
        <x:v>legacy_output_unverified</x:v>
      </x:c>
      <x:c r="L107" s="23" t="str"/>
      <x:c r="M107" s="23" t="str"/>
    </x:row>
    <x:row r="108">
      <x:c r="A108" s="23" t="str">
        <x:v>LT-0107</x:v>
      </x:c>
      <x:c r="B108" s="23" t="str">
        <x:v>Ing Pairings- Crustacean.xlsx</x:v>
      </x:c>
      <x:c r="C108" s="23" t="str">
        <x:v>Sheet1</x:v>
      </x:c>
      <x:c r="D108" s="23" t="str">
        <x:v>crustacean</x:v>
      </x:c>
      <x:c r="E108" s="23" t="str">
        <x:v>crustacean</x:v>
      </x:c>
      <x:c r="F108" s="23" t="str">
        <x:v>family:seafood</x:v>
      </x:c>
      <x:c r="G108" s="23" t="str">
        <x:v>mango</x:v>
      </x:c>
      <x:c r="H108" s="23" t="str">
        <x:v>Green- Celery</x:v>
      </x:c>
      <x:c r="I108" s="23" t="n">
        <x:v>13.4</x:v>
      </x:c>
      <x:c r="J108" s="23" t="str">
        <x:v>behavioral_regression_candidate</x:v>
      </x:c>
      <x:c r="K108" s="23" t="str">
        <x:v>legacy_output_unverified</x:v>
      </x:c>
      <x:c r="L108" s="23" t="str"/>
      <x:c r="M108" s="23" t="str"/>
    </x:row>
    <x:row r="109">
      <x:c r="A109" s="23" t="str">
        <x:v>LT-0108</x:v>
      </x:c>
      <x:c r="B109" s="23" t="str">
        <x:v>Ing Pairings- Crustacean.xlsx</x:v>
      </x:c>
      <x:c r="C109" s="23" t="str">
        <x:v>Sheet1</x:v>
      </x:c>
      <x:c r="D109" s="23" t="str">
        <x:v>crustacean</x:v>
      </x:c>
      <x:c r="E109" s="23" t="str">
        <x:v>crustacean</x:v>
      </x:c>
      <x:c r="F109" s="23" t="str">
        <x:v>family:seafood</x:v>
      </x:c>
      <x:c r="G109" s="23" t="str">
        <x:v>melon</x:v>
      </x:c>
      <x:c r="H109" s="23" t="str">
        <x:v>Lettuce</x:v>
      </x:c>
      <x:c r="I109" s="23" t="n">
        <x:v>23.8</x:v>
      </x:c>
      <x:c r="J109" s="23" t="str">
        <x:v>behavioral_regression_candidate</x:v>
      </x:c>
      <x:c r="K109" s="23" t="str">
        <x:v>legacy_output_unverified</x:v>
      </x:c>
      <x:c r="L109" s="23" t="str"/>
      <x:c r="M109" s="23" t="str"/>
    </x:row>
    <x:row r="110">
      <x:c r="A110" s="23" t="str">
        <x:v>LT-0109</x:v>
      </x:c>
      <x:c r="B110" s="23" t="str">
        <x:v>Ing Pairings- Crustacean.xlsx</x:v>
      </x:c>
      <x:c r="C110" s="23" t="str">
        <x:v>Sheet1</x:v>
      </x:c>
      <x:c r="D110" s="23" t="str">
        <x:v>crustacean</x:v>
      </x:c>
      <x:c r="E110" s="23" t="str">
        <x:v>crustacean</x:v>
      </x:c>
      <x:c r="F110" s="23" t="str">
        <x:v>family:seafood</x:v>
      </x:c>
      <x:c r="G110" s="23" t="str">
        <x:v>mezcal</x:v>
      </x:c>
      <x:c r="H110" s="23" t="str">
        <x:v>Herbaceous- Parsley</x:v>
      </x:c>
      <x:c r="I110" s="23" t="n">
        <x:v>16.7</x:v>
      </x:c>
      <x:c r="J110" s="23" t="str">
        <x:v>behavioral_regression_candidate</x:v>
      </x:c>
      <x:c r="K110" s="23" t="str">
        <x:v>legacy_output_unverified</x:v>
      </x:c>
      <x:c r="L110" s="23" t="str"/>
      <x:c r="M110" s="23" t="str"/>
    </x:row>
    <x:row r="111">
      <x:c r="A111" s="23" t="str">
        <x:v>LT-0110</x:v>
      </x:c>
      <x:c r="B111" s="23" t="str">
        <x:v>Ing Pairings- Crustacean.xlsx</x:v>
      </x:c>
      <x:c r="C111" s="23" t="str">
        <x:v>Sheet1</x:v>
      </x:c>
      <x:c r="D111" s="23" t="str">
        <x:v>crustacean</x:v>
      </x:c>
      <x:c r="E111" s="23" t="str">
        <x:v>crustacean</x:v>
      </x:c>
      <x:c r="F111" s="23" t="str">
        <x:v>family:seafood</x:v>
      </x:c>
      <x:c r="G111" s="23" t="str">
        <x:v>mustard</x:v>
      </x:c>
      <x:c r="H111" s="23" t="str">
        <x:v>ocimum basilicum</x:v>
      </x:c>
      <x:c r="I111" s="23" t="n">
        <x:v>8.9</x:v>
      </x:c>
      <x:c r="J111" s="23" t="str">
        <x:v>behavioral_regression_candidate</x:v>
      </x:c>
      <x:c r="K111" s="23" t="str">
        <x:v>legacy_output_unverified</x:v>
      </x:c>
      <x:c r="L111" s="23" t="str"/>
      <x:c r="M111" s="23" t="str"/>
    </x:row>
    <x:row r="112">
      <x:c r="A112" s="23" t="str">
        <x:v>LT-0111</x:v>
      </x:c>
      <x:c r="B112" s="23" t="str">
        <x:v>Ing Pairings- Crustacean.xlsx</x:v>
      </x:c>
      <x:c r="C112" s="23" t="str">
        <x:v>Sheet1</x:v>
      </x:c>
      <x:c r="D112" s="23" t="str">
        <x:v>crustacean</x:v>
      </x:c>
      <x:c r="E112" s="23" t="str">
        <x:v>crustacean</x:v>
      </x:c>
      <x:c r="F112" s="23" t="str">
        <x:v>family:seafood</x:v>
      </x:c>
      <x:c r="G112" s="23" t="str">
        <x:v>passion fruit</x:v>
      </x:c>
      <x:c r="H112" s="23" t="str">
        <x:v>Earthy- Mushroom</x:v>
      </x:c>
      <x:c r="I112" s="23" t="n">
        <x:v>48.6</x:v>
      </x:c>
      <x:c r="J112" s="23" t="str">
        <x:v>behavioral_regression_candidate</x:v>
      </x:c>
      <x:c r="K112" s="23" t="str">
        <x:v>legacy_output_unverified</x:v>
      </x:c>
      <x:c r="L112" s="23" t="str"/>
      <x:c r="M112" s="23" t="str"/>
    </x:row>
    <x:row r="113">
      <x:c r="A113" s="23" t="str">
        <x:v>LT-0112</x:v>
      </x:c>
      <x:c r="B113" s="23" t="str">
        <x:v>Ing Pairings- Crustacean.xlsx</x:v>
      </x:c>
      <x:c r="C113" s="23" t="str">
        <x:v>Sheet1</x:v>
      </x:c>
      <x:c r="D113" s="23" t="str">
        <x:v>crustacean</x:v>
      </x:c>
      <x:c r="E113" s="23" t="str">
        <x:v>crustacean</x:v>
      </x:c>
      <x:c r="F113" s="23" t="str">
        <x:v>family:seafood</x:v>
      </x:c>
      <x:c r="G113" s="23" t="str">
        <x:v>rum</x:v>
      </x:c>
      <x:c r="H113" s="23" t="str">
        <x:v>Wood- Rosemary</x:v>
      </x:c>
      <x:c r="I113" s="23" t="n">
        <x:v>4.9</x:v>
      </x:c>
      <x:c r="J113" s="23" t="str">
        <x:v>behavioral_regression_candidate</x:v>
      </x:c>
      <x:c r="K113" s="23" t="str">
        <x:v>legacy_output_unverified</x:v>
      </x:c>
      <x:c r="L113" s="23" t="str"/>
      <x:c r="M113" s="23" t="str"/>
    </x:row>
    <x:row r="114">
      <x:c r="A114" s="23" t="str">
        <x:v>LT-0113</x:v>
      </x:c>
      <x:c r="B114" s="23" t="str">
        <x:v>Ing Pairings- Crustacean.xlsx</x:v>
      </x:c>
      <x:c r="C114" s="23" t="str">
        <x:v>Sheet1</x:v>
      </x:c>
      <x:c r="D114" s="23" t="str">
        <x:v>crustacean</x:v>
      </x:c>
      <x:c r="E114" s="23" t="str">
        <x:v>crustacean</x:v>
      </x:c>
      <x:c r="F114" s="23" t="str">
        <x:v>family:seafood</x:v>
      </x:c>
      <x:c r="G114" s="23" t="str">
        <x:v>sherry</x:v>
      </x:c>
      <x:c r="H114" s="23" t="str">
        <x:v>Ginger</x:v>
      </x:c>
      <x:c r="I114" s="23" t="n">
        <x:v>7.5</x:v>
      </x:c>
      <x:c r="J114" s="23" t="str">
        <x:v>behavioral_regression_candidate</x:v>
      </x:c>
      <x:c r="K114" s="23" t="str">
        <x:v>legacy_output_unverified</x:v>
      </x:c>
      <x:c r="L114" s="23" t="str"/>
      <x:c r="M114" s="23" t="str"/>
    </x:row>
    <x:row r="115">
      <x:c r="A115" s="23" t="str">
        <x:v>LT-0114</x:v>
      </x:c>
      <x:c r="B115" s="23" t="str">
        <x:v>Ing Pairings- Crustacean.xlsx</x:v>
      </x:c>
      <x:c r="C115" s="23" t="str">
        <x:v>Sheet1</x:v>
      </x:c>
      <x:c r="D115" s="23" t="str">
        <x:v>crustacean</x:v>
      </x:c>
      <x:c r="E115" s="23" t="str">
        <x:v>crustacean</x:v>
      </x:c>
      <x:c r="F115" s="23" t="str">
        <x:v>family:seafood</x:v>
      </x:c>
      <x:c r="G115" s="23" t="str">
        <x:v>tamarind</x:v>
      </x:c>
      <x:c r="H115" s="23" t="str">
        <x:v>Medicinal- Mastic</x:v>
      </x:c>
      <x:c r="I115" s="23" t="n">
        <x:v>14.9</x:v>
      </x:c>
      <x:c r="J115" s="23" t="str">
        <x:v>behavioral_regression_candidate</x:v>
      </x:c>
      <x:c r="K115" s="23" t="str">
        <x:v>legacy_output_unverified</x:v>
      </x:c>
      <x:c r="L115" s="23" t="str"/>
      <x:c r="M115" s="23" t="str"/>
    </x:row>
    <x:row r="116">
      <x:c r="A116" s="23" t="str">
        <x:v>LT-0115</x:v>
      </x:c>
      <x:c r="B116" s="23" t="str">
        <x:v>Ing Pairings- Crustacean.xlsx</x:v>
      </x:c>
      <x:c r="C116" s="23" t="str">
        <x:v>Sheet1</x:v>
      </x:c>
      <x:c r="D116" s="23" t="str">
        <x:v>crustacean</x:v>
      </x:c>
      <x:c r="E116" s="23" t="str">
        <x:v>crustacean</x:v>
      </x:c>
      <x:c r="F116" s="23" t="str">
        <x:v>family:seafood</x:v>
      </x:c>
      <x:c r="G116" s="23" t="str">
        <x:v>tea</x:v>
      </x:c>
      <x:c r="H116" s="23" t="str">
        <x:v>Mentha</x:v>
      </x:c>
      <x:c r="I116" s="23" t="n">
        <x:v>26.7</x:v>
      </x:c>
      <x:c r="J116" s="23" t="str">
        <x:v>behavioral_regression_candidate</x:v>
      </x:c>
      <x:c r="K116" s="23" t="str">
        <x:v>legacy_output_unverified</x:v>
      </x:c>
      <x:c r="L116" s="23" t="str"/>
      <x:c r="M116" s="23" t="str"/>
    </x:row>
    <x:row r="117">
      <x:c r="A117" s="23" t="str">
        <x:v>LT-0116</x:v>
      </x:c>
      <x:c r="B117" s="23" t="str">
        <x:v>Ing Pairings- Crustacean.xlsx</x:v>
      </x:c>
      <x:c r="C117" s="23" t="str">
        <x:v>Sheet1</x:v>
      </x:c>
      <x:c r="D117" s="23" t="str">
        <x:v>crustacean</x:v>
      </x:c>
      <x:c r="E117" s="23" t="str">
        <x:v>crustacean</x:v>
      </x:c>
      <x:c r="F117" s="23" t="str">
        <x:v>family:seafood</x:v>
      </x:c>
      <x:c r="G117" s="23" t="str">
        <x:v>tequila</x:v>
      </x:c>
      <x:c r="H117" s="23" t="str">
        <x:v>Spice- Pepper</x:v>
      </x:c>
      <x:c r="I117" s="23" t="n">
        <x:v>2.9</x:v>
      </x:c>
      <x:c r="J117" s="23" t="str">
        <x:v>behavioral_regression_candidate</x:v>
      </x:c>
      <x:c r="K117" s="23" t="str">
        <x:v>legacy_output_unverified</x:v>
      </x:c>
      <x:c r="L117" s="23" t="str"/>
      <x:c r="M117" s="23" t="str"/>
    </x:row>
    <x:row r="118">
      <x:c r="A118" s="23" t="str">
        <x:v>LT-0117</x:v>
      </x:c>
      <x:c r="B118" s="23" t="str">
        <x:v>Ing Pairings- Crustacean.xlsx</x:v>
      </x:c>
      <x:c r="C118" s="23" t="str">
        <x:v>Sheet1</x:v>
      </x:c>
      <x:c r="D118" s="23" t="str">
        <x:v>crustacean</x:v>
      </x:c>
      <x:c r="E118" s="23" t="str">
        <x:v>crustacean</x:v>
      </x:c>
      <x:c r="F118" s="23" t="str">
        <x:v>family:seafood</x:v>
      </x:c>
      <x:c r="G118" s="23" t="str">
        <x:v>truffle</x:v>
      </x:c>
      <x:c r="H118" s="23" t="str">
        <x:v>Cardamom</x:v>
      </x:c>
      <x:c r="I118" s="23" t="n">
        <x:v>10.3</x:v>
      </x:c>
      <x:c r="J118" s="23" t="str">
        <x:v>behavioral_regression_candidate</x:v>
      </x:c>
      <x:c r="K118" s="23" t="str">
        <x:v>legacy_output_unverified</x:v>
      </x:c>
      <x:c r="L118" s="23" t="str"/>
      <x:c r="M118" s="23" t="str"/>
    </x:row>
    <x:row r="119">
      <x:c r="A119" s="23" t="str">
        <x:v>LT-0118</x:v>
      </x:c>
      <x:c r="B119" s="23" t="str">
        <x:v>Ing Pairings- Crustacean.xlsx</x:v>
      </x:c>
      <x:c r="C119" s="23" t="str">
        <x:v>Sheet1</x:v>
      </x:c>
      <x:c r="D119" s="23" t="str">
        <x:v>crustacean</x:v>
      </x:c>
      <x:c r="E119" s="23" t="str">
        <x:v>crustacean</x:v>
      </x:c>
      <x:c r="F119" s="23" t="str">
        <x:v>family:seafood</x:v>
      </x:c>
      <x:c r="G119" s="23" t="str">
        <x:v>watercress</x:v>
      </x:c>
      <x:c r="H119" s="23" t="str">
        <x:v>Petrol- Oregano</x:v>
      </x:c>
      <x:c r="I119" s="23" t="n">
        <x:v>6.7</x:v>
      </x:c>
      <x:c r="J119" s="23" t="str">
        <x:v>behavioral_regression_candidate</x:v>
      </x:c>
      <x:c r="K119" s="23" t="str">
        <x:v>legacy_output_unverified</x:v>
      </x:c>
      <x:c r="L119" s="23" t="str"/>
      <x:c r="M119" s="23" t="str"/>
    </x:row>
    <x:row r="120">
      <x:c r="A120" s="23" t="str">
        <x:v>LT-0119</x:v>
      </x:c>
      <x:c r="B120" s="23" t="str">
        <x:v>Ing Pairings- Crustacean.xlsx</x:v>
      </x:c>
      <x:c r="C120" s="23" t="str">
        <x:v>Sheet1</x:v>
      </x:c>
      <x:c r="D120" s="23" t="str">
        <x:v>crustacean</x:v>
      </x:c>
      <x:c r="E120" s="23" t="str">
        <x:v>crustacean</x:v>
      </x:c>
      <x:c r="F120" s="23" t="str">
        <x:v>family:seafood</x:v>
      </x:c>
      <x:c r="G120" s="23" t="str">
        <x:v>wine</x:v>
      </x:c>
      <x:c r="H120" s="23" t="str">
        <x:v>Smoke- malt whisky</x:v>
      </x:c>
      <x:c r="I120" s="23" t="n">
        <x:v>28.7</x:v>
      </x:c>
      <x:c r="J120" s="23" t="str">
        <x:v>behavioral_regression_candidate</x:v>
      </x:c>
      <x:c r="K120" s="23" t="str">
        <x:v>legacy_output_unverified</x:v>
      </x:c>
      <x:c r="L120" s="23" t="str"/>
      <x:c r="M120" s="23" t="str"/>
    </x:row>
    <x:row r="121">
      <x:c r="A121" s="23" t="str">
        <x:v>LT-0120</x:v>
      </x:c>
      <x:c r="B121" s="23" t="str">
        <x:v>Ing Pairings- Crustacean.xlsx</x:v>
      </x:c>
      <x:c r="C121" s="23" t="str">
        <x:v>Sheet1</x:v>
      </x:c>
      <x:c r="D121" s="23" t="str">
        <x:v>crustacean</x:v>
      </x:c>
      <x:c r="E121" s="23" t="str">
        <x:v>crustacean</x:v>
      </x:c>
      <x:c r="F121" s="23" t="str">
        <x:v>family:seafood</x:v>
      </x:c>
      <x:c r="G121" s="23" t="str">
        <x:v>wood apple</x:v>
      </x:c>
      <x:c r="H121" s="23" t="str">
        <x:v>Vanilla</x:v>
      </x:c>
      <x:c r="I121" s="23" t="n">
        <x:v>24.6</x:v>
      </x:c>
      <x:c r="J121" s="23" t="str">
        <x:v>behavioral_regression_candidate</x:v>
      </x:c>
      <x:c r="K121" s="23" t="str">
        <x:v>legacy_output_unverified</x:v>
      </x:c>
      <x:c r="L121" s="23" t="str"/>
      <x:c r="M121" s="23" t="str"/>
    </x:row>
    <x:row r="122">
      <x:c r="A122" s="23" t="str">
        <x:v>LT-0121</x:v>
      </x:c>
      <x:c r="B122" s="23" t="str">
        <x:v>Ing Pairings- Crustacean.xlsx</x:v>
      </x:c>
      <x:c r="C122" s="23" t="str">
        <x:v>Sheet1</x:v>
      </x:c>
      <x:c r="D122" s="23" t="str">
        <x:v>crustacean</x:v>
      </x:c>
      <x:c r="E122" s="23" t="str">
        <x:v>crustacean</x:v>
      </x:c>
      <x:c r="F122" s="23" t="str">
        <x:v>family:seafood</x:v>
      </x:c>
      <x:c r="G122" s="23" t="str">
        <x:v>loquat/persimmon</x:v>
      </x:c>
      <x:c r="H122" s="23" t="str">
        <x:v>Chocolate- Roasted Cocoa Beans</x:v>
      </x:c>
      <x:c r="I122" s="23" t="n">
        <x:v>32.6</x:v>
      </x:c>
      <x:c r="J122" s="23" t="str">
        <x:v>behavioral_regression_candidate</x:v>
      </x:c>
      <x:c r="K122" s="23" t="str">
        <x:v>legacy_output_unverified</x:v>
      </x:c>
      <x:c r="L122" s="23" t="str"/>
      <x:c r="M122" s="23" t="str"/>
    </x:row>
    <x:row r="123">
      <x:c r="A123" s="23" t="str">
        <x:v>LT-0122</x:v>
      </x:c>
      <x:c r="B123" s="23" t="str">
        <x:v>Ing Pairings- Crustacean.xlsx</x:v>
      </x:c>
      <x:c r="C123" s="23" t="str">
        <x:v>Sheet1</x:v>
      </x:c>
      <x:c r="D123" s="23" t="str">
        <x:v>crustacean</x:v>
      </x:c>
      <x:c r="E123" s="23" t="str">
        <x:v>crustacean</x:v>
      </x:c>
      <x:c r="F123" s="23" t="str">
        <x:v>family:seafood</x:v>
      </x:c>
      <x:c r="G123" s="23" t="str">
        <x:v>beef</x:v>
      </x:c>
      <x:c r="H123" s="23" t="str">
        <x:v>Meaty- Chicken (roasted)</x:v>
      </x:c>
      <x:c r="I123" s="23" t="n">
        <x:v>42.3</x:v>
      </x:c>
      <x:c r="J123" s="23" t="str">
        <x:v>behavioral_regression_candidate</x:v>
      </x:c>
      <x:c r="K123" s="23" t="str">
        <x:v>legacy_output_unverified</x:v>
      </x:c>
      <x:c r="L123" s="23" t="str"/>
      <x:c r="M123" s="23" t="str"/>
    </x:row>
    <x:row r="124">
      <x:c r="A124" s="23" t="str">
        <x:v>LT-0123</x:v>
      </x:c>
      <x:c r="B124" s="23" t="str">
        <x:v>Ing Pairings- Crustacean.xlsx</x:v>
      </x:c>
      <x:c r="C124" s="23" t="str">
        <x:v>Sheet1</x:v>
      </x:c>
      <x:c r="D124" s="23" t="str">
        <x:v>crustacean</x:v>
      </x:c>
      <x:c r="E124" s="23" t="str">
        <x:v>crustacean</x:v>
      </x:c>
      <x:c r="F124" s="23" t="str">
        <x:v>family:seafood</x:v>
      </x:c>
      <x:c r="G124" s="23" t="str">
        <x:v>cheese</x:v>
      </x:c>
      <x:c r="H124" s="23" t="str">
        <x:v>Beef (roasted)</x:v>
      </x:c>
      <x:c r="I124" s="23" t="n">
        <x:v>41.7</x:v>
      </x:c>
      <x:c r="J124" s="23" t="str">
        <x:v>behavioral_regression_candidate</x:v>
      </x:c>
      <x:c r="K124" s="23" t="str">
        <x:v>legacy_output_unverified</x:v>
      </x:c>
      <x:c r="L124" s="23" t="str"/>
      <x:c r="M124" s="23" t="str"/>
    </x:row>
    <x:row r="125">
      <x:c r="A125" s="23" t="str">
        <x:v>LT-0124</x:v>
      </x:c>
      <x:c r="B125" s="23" t="str">
        <x:v>Ing Pairings- Crustacean.xlsx</x:v>
      </x:c>
      <x:c r="C125" s="23" t="str">
        <x:v>Sheet1</x:v>
      </x:c>
      <x:c r="D125" s="23" t="str">
        <x:v>crustacean</x:v>
      </x:c>
      <x:c r="E125" s="23" t="str">
        <x:v>crustacean</x:v>
      </x:c>
      <x:c r="F125" s="23" t="str">
        <x:v>family:seafood</x:v>
      </x:c>
      <x:c r="G125" s="23" t="str">
        <x:v>fish</x:v>
      </x:c>
      <x:c r="H125" s="23" t="str">
        <x:v>Caramel- Coffee</x:v>
      </x:c>
      <x:c r="I125" s="23" t="n">
        <x:v>51.9</x:v>
      </x:c>
      <x:c r="J125" s="23" t="str">
        <x:v>behavioral_regression_candidate</x:v>
      </x:c>
      <x:c r="K125" s="23" t="str">
        <x:v>legacy_output_unverified</x:v>
      </x:c>
      <x:c r="L125" s="23" t="str"/>
      <x:c r="M125" s="23" t="str"/>
    </x:row>
    <x:row r="126">
      <x:c r="A126" s="23" t="str">
        <x:v>LT-0125</x:v>
      </x:c>
      <x:c r="B126" s="23" t="str">
        <x:v>Ing Pairings- Crustacean.xlsx</x:v>
      </x:c>
      <x:c r="C126" s="23" t="str">
        <x:v>Sheet1</x:v>
      </x:c>
      <x:c r="D126" s="23" t="str">
        <x:v>crustacean</x:v>
      </x:c>
      <x:c r="E126" s="23" t="str">
        <x:v>crustacean</x:v>
      </x:c>
      <x:c r="F126" s="23" t="str">
        <x:v>family:seafood</x:v>
      </x:c>
      <x:c r="G126" s="23" t="str">
        <x:v>dill</x:v>
      </x:c>
      <x:c r="H126" s="23" t="str">
        <x:v>Malt</x:v>
      </x:c>
      <x:c r="I126" s="23" t="n">
        <x:v>34.6</x:v>
      </x:c>
      <x:c r="J126" s="23" t="str">
        <x:v>behavioral_regression_candidate</x:v>
      </x:c>
      <x:c r="K126" s="23" t="str">
        <x:v>legacy_output_unverified</x:v>
      </x:c>
      <x:c r="L126" s="23" t="str"/>
      <x:c r="M126" s="23" t="str"/>
    </x:row>
    <x:row r="127">
      <x:c r="A127" s="23" t="str">
        <x:v>LT-0126</x:v>
      </x:c>
      <x:c r="B127" s="23" t="str">
        <x:v>Ing Pairings- Crustacean.xlsx</x:v>
      </x:c>
      <x:c r="C127" s="23" t="str">
        <x:v>Sheet1</x:v>
      </x:c>
      <x:c r="D127" s="23" t="str">
        <x:v>crustacean</x:v>
      </x:c>
      <x:c r="E127" s="23" t="str">
        <x:v>crustacean</x:v>
      </x:c>
      <x:c r="F127" s="23" t="str">
        <x:v>family:seafood</x:v>
      </x:c>
      <x:c r="G127" s="23" t="str">
        <x:v>litchi</x:v>
      </x:c>
      <x:c r="H127" s="23" t="str">
        <x:v>Nutty- Hazelnut</x:v>
      </x:c>
      <x:c r="I127" s="23" t="n">
        <x:v>42.8</x:v>
      </x:c>
      <x:c r="J127" s="23" t="str">
        <x:v>behavioral_regression_candidate</x:v>
      </x:c>
      <x:c r="K127" s="23" t="str">
        <x:v>legacy_output_unverified</x:v>
      </x:c>
      <x:c r="L127" s="23" t="str"/>
      <x:c r="M127" s="23" t="str"/>
    </x:row>
    <x:row r="128">
      <x:c r="A128" s="23" t="str">
        <x:v>LT-0127</x:v>
      </x:c>
      <x:c r="B128" s="23" t="str">
        <x:v>Ing Pairings- Crustacean.xlsx</x:v>
      </x:c>
      <x:c r="C128" s="23" t="str">
        <x:v>Sheet1</x:v>
      </x:c>
      <x:c r="D128" s="23" t="str">
        <x:v>crustacean</x:v>
      </x:c>
      <x:c r="E128" s="23" t="str">
        <x:v>crustacean</x:v>
      </x:c>
      <x:c r="F128" s="23" t="str">
        <x:v>family:seafood</x:v>
      </x:c>
      <x:c r="G128" s="23" t="str">
        <x:v>milk</x:v>
      </x:c>
      <x:c r="H128" s="23" t="str">
        <x:v>Walnut</x:v>
      </x:c>
      <x:c r="I128" s="23" t="n">
        <x:v>41.6</x:v>
      </x:c>
      <x:c r="J128" s="23" t="str">
        <x:v>behavioral_regression_candidate</x:v>
      </x:c>
      <x:c r="K128" s="23" t="str">
        <x:v>legacy_output_unverified</x:v>
      </x:c>
      <x:c r="L128" s="23" t="str"/>
      <x:c r="M128" s="23" t="str"/>
    </x:row>
    <x:row r="129">
      <x:c r="A129" s="23" t="str">
        <x:v>LT-0128</x:v>
      </x:c>
      <x:c r="B129" s="23" t="str">
        <x:v>Ing Pairings- Crustacean.xlsx</x:v>
      </x:c>
      <x:c r="C129" s="23" t="str">
        <x:v>Sheet1</x:v>
      </x:c>
      <x:c r="D129" s="23" t="str">
        <x:v>crustacean</x:v>
      </x:c>
      <x:c r="E129" s="23" t="str">
        <x:v>crustacean</x:v>
      </x:c>
      <x:c r="F129" s="23" t="str">
        <x:v>family:seafood</x:v>
      </x:c>
      <x:c r="G129" s="23" t="str">
        <x:v>mushroom</x:v>
      </x:c>
      <x:c r="H129" s="23" t="str">
        <x:v>Toasted- Wheaten Bread</x:v>
      </x:c>
      <x:c r="I129" s="23" t="n">
        <x:v>44.6</x:v>
      </x:c>
      <x:c r="J129" s="23" t="str">
        <x:v>behavioral_regression_candidate</x:v>
      </x:c>
      <x:c r="K129" s="23" t="str">
        <x:v>legacy_output_unverified</x:v>
      </x:c>
      <x:c r="L129" s="23" t="str"/>
      <x:c r="M129" s="23" t="str"/>
    </x:row>
    <x:row r="130">
      <x:c r="A130" s="23" t="str">
        <x:v>LT-0129</x:v>
      </x:c>
      <x:c r="B130" s="23" t="str">
        <x:v>Ing Pairings- Crustacean.xlsx</x:v>
      </x:c>
      <x:c r="C130" s="23" t="str">
        <x:v>Sheet1</x:v>
      </x:c>
      <x:c r="D130" s="23" t="str">
        <x:v>crustacean</x:v>
      </x:c>
      <x:c r="E130" s="23" t="str">
        <x:v>crustacean</x:v>
      </x:c>
      <x:c r="F130" s="23" t="str">
        <x:v>family:seafood</x:v>
      </x:c>
      <x:c r="G130" s="23" t="str">
        <x:v>avocado</x:v>
      </x:c>
      <x:c r="H130" s="23" t="str">
        <x:v>Sulphur- Allium</x:v>
      </x:c>
      <x:c r="I130" s="23" t="n">
        <x:v>33.7</x:v>
      </x:c>
      <x:c r="J130" s="23" t="str">
        <x:v>behavioral_regression_candidate</x:v>
      </x:c>
      <x:c r="K130" s="23" t="str">
        <x:v>legacy_output_unverified</x:v>
      </x:c>
      <x:c r="L130" s="23" t="str"/>
      <x:c r="M130" s="23" t="str"/>
    </x:row>
    <x:row r="131">
      <x:c r="A131" s="23" t="str">
        <x:v>LT-0130</x:v>
      </x:c>
      <x:c r="B131" s="23" t="str">
        <x:v>Ing Pairings- Crustacean.xlsx</x:v>
      </x:c>
      <x:c r="C131" s="23" t="str">
        <x:v>Sheet1</x:v>
      </x:c>
      <x:c r="D131" s="23" t="str">
        <x:v>crustacean</x:v>
      </x:c>
      <x:c r="E131" s="23" t="str">
        <x:v>crustacean</x:v>
      </x:c>
      <x:c r="F131" s="23" t="str">
        <x:v>family:seafood</x:v>
      </x:c>
      <x:c r="G131" s="23" t="str">
        <x:v>hazelnut</x:v>
      </x:c>
      <x:c r="H131" s="23" t="str">
        <x:v>Pungent- Mustard</x:v>
      </x:c>
      <x:c r="I131" s="23" t="n">
        <x:v>23.7</x:v>
      </x:c>
      <x:c r="J131" s="23" t="str">
        <x:v>behavioral_regression_candidate</x:v>
      </x:c>
      <x:c r="K131" s="23" t="str">
        <x:v>legacy_output_unverified</x:v>
      </x:c>
      <x:c r="L131" s="23" t="str"/>
      <x:c r="M131" s="23" t="str"/>
    </x:row>
    <x:row r="132">
      <x:c r="A132" s="23" t="str">
        <x:v>LT-0131</x:v>
      </x:c>
      <x:c r="B132" s="23" t="str">
        <x:v>Ing Pairings- Crustacean.xlsx</x:v>
      </x:c>
      <x:c r="C132" s="23" t="str">
        <x:v>Sheet1</x:v>
      </x:c>
      <x:c r="D132" s="23" t="str">
        <x:v>crustacean</x:v>
      </x:c>
      <x:c r="E132" s="23" t="str">
        <x:v>crustacean</x:v>
      </x:c>
      <x:c r="F132" s="23" t="str">
        <x:v>family:seafood</x:v>
      </x:c>
      <x:c r="G132" s="23" t="str">
        <x:v>grape</x:v>
      </x:c>
      <x:c r="H132" s="23" t="str">
        <x:v>Phenol- Wine</x:v>
      </x:c>
      <x:c r="I132" s="23" t="n">
        <x:v>44.6</x:v>
      </x:c>
      <x:c r="J132" s="23" t="str">
        <x:v>behavioral_regression_candidate</x:v>
      </x:c>
      <x:c r="K132" s="23" t="str">
        <x:v>legacy_output_unverified</x:v>
      </x:c>
      <x:c r="L132" s="23" t="str"/>
      <x:c r="M132" s="23" t="str"/>
    </x:row>
    <x:row r="133">
      <x:c r="A133" s="23" t="str">
        <x:v>LT-0132</x:v>
      </x:c>
      <x:c r="B133" s="23" t="str">
        <x:v>Ing Pairings- Crustacean.xlsx</x:v>
      </x:c>
      <x:c r="C133" s="23" t="str">
        <x:v>Sheet1</x:v>
      </x:c>
      <x:c r="D133" s="23" t="str">
        <x:v>crustacean</x:v>
      </x:c>
      <x:c r="E133" s="23" t="str">
        <x:v>crustacean</x:v>
      </x:c>
      <x:c r="F133" s="23" t="str">
        <x:v>family:seafood</x:v>
      </x:c>
      <x:c r="G133" s="23" t="str">
        <x:v>honey</x:v>
      </x:c>
      <x:c r="H133" s="23" t="str">
        <x:v>Black Tea</x:v>
      </x:c>
      <x:c r="I133" s="23" t="n">
        <x:v>48.1</x:v>
      </x:c>
      <x:c r="J133" s="23" t="str">
        <x:v>behavioral_regression_candidate</x:v>
      </x:c>
      <x:c r="K133" s="23" t="str">
        <x:v>legacy_output_unverified</x:v>
      </x:c>
      <x:c r="L133" s="23" t="str"/>
      <x:c r="M133" s="23" t="str"/>
    </x:row>
    <x:row r="134">
      <x:c r="A134" s="23" t="str">
        <x:v>LT-0133</x:v>
      </x:c>
      <x:c r="B134" s="23" t="str">
        <x:v>Ing Pairings- Crustacean.xlsx</x:v>
      </x:c>
      <x:c r="C134" s="23" t="str">
        <x:v>Sheet1</x:v>
      </x:c>
      <x:c r="D134" s="23" t="str">
        <x:v>crustacean</x:v>
      </x:c>
      <x:c r="E134" s="23" t="str">
        <x:v>crustacean</x:v>
      </x:c>
      <x:c r="F134" s="23" t="str">
        <x:v>family:seafood</x:v>
      </x:c>
      <x:c r="G134" s="23" t="str">
        <x:v>kiwi</x:v>
      </x:c>
      <x:c r="H134" s="23" t="str">
        <x:v>Savory- Shoyu</x:v>
      </x:c>
      <x:c r="I134" s="23" t="n">
        <x:v>21.8</x:v>
      </x:c>
      <x:c r="J134" s="23" t="str">
        <x:v>behavioral_regression_candidate</x:v>
      </x:c>
      <x:c r="K134" s="23" t="str">
        <x:v>legacy_output_unverified</x:v>
      </x:c>
      <x:c r="L134" s="23" t="str"/>
      <x:c r="M134" s="23" t="str"/>
    </x:row>
    <x:row r="135">
      <x:c r="A135" s="23" t="str">
        <x:v>LT-0134</x:v>
      </x:c>
      <x:c r="B135" s="23" t="str">
        <x:v>Ing Pairings- Crustacean.xlsx</x:v>
      </x:c>
      <x:c r="C135" s="23" t="str">
        <x:v>Sheet1</x:v>
      </x:c>
      <x:c r="D135" s="23" t="str">
        <x:v>crustacean</x:v>
      </x:c>
      <x:c r="E135" s="23" t="str">
        <x:v>crustacean</x:v>
      </x:c>
      <x:c r="F135" s="23" t="str">
        <x:v>family:seafood</x:v>
      </x:c>
      <x:c r="G135" s="23" t="str">
        <x:v>olive</x:v>
      </x:c>
      <x:c r="H135" s="23" t="str">
        <x:v>Katsuobushi</x:v>
      </x:c>
      <x:c r="I135" s="23" t="n">
        <x:v>42.2</x:v>
      </x:c>
      <x:c r="J135" s="23" t="str">
        <x:v>behavioral_regression_candidate</x:v>
      </x:c>
      <x:c r="K135" s="23" t="str">
        <x:v>legacy_output_unverified</x:v>
      </x:c>
      <x:c r="L135" s="23" t="str"/>
      <x:c r="M135" s="23" t="str"/>
    </x:row>
    <x:row r="136">
      <x:c r="A136" s="23" t="str">
        <x:v>LT-0135</x:v>
      </x:c>
      <x:c r="B136" s="23" t="str">
        <x:v>Ing Pairings- Crustacean.xlsx</x:v>
      </x:c>
      <x:c r="C136" s="23" t="str">
        <x:v>Sheet1</x:v>
      </x:c>
      <x:c r="D136" s="23" t="str">
        <x:v>crustacean</x:v>
      </x:c>
      <x:c r="E136" s="23" t="str">
        <x:v>crustacean</x:v>
      </x:c>
      <x:c r="F136" s="23" t="str">
        <x:v>family:seafood</x:v>
      </x:c>
      <x:c r="G136" s="23" t="str">
        <x:v>thyme</x:v>
      </x:c>
      <x:c r="H136" s="23" t="str">
        <x:v>Sour- Vinegar</x:v>
      </x:c>
      <x:c r="I136" s="23" t="n">
        <x:v>14.9</x:v>
      </x:c>
      <x:c r="J136" s="23" t="str">
        <x:v>behavioral_regression_candidate</x:v>
      </x:c>
      <x:c r="K136" s="23" t="str">
        <x:v>legacy_output_unverified</x:v>
      </x:c>
      <x:c r="L136" s="23" t="str"/>
      <x:c r="M136" s="23" t="str"/>
    </x:row>
    <x:row r="137">
      <x:c r="A137" s="23" t="str">
        <x:v>LT-0136</x:v>
      </x:c>
      <x:c r="B137" s="23" t="str">
        <x:v>Ing Pairings- Crustacean.xlsx</x:v>
      </x:c>
      <x:c r="C137" s="23" t="str">
        <x:v>Sheet1</x:v>
      </x:c>
      <x:c r="D137" s="23" t="str">
        <x:v>crustacean</x:v>
      </x:c>
      <x:c r="E137" s="23" t="str">
        <x:v>crustacean</x:v>
      </x:c>
      <x:c r="F137" s="23" t="str">
        <x:v>family:seafood</x:v>
      </x:c>
      <x:c r="G137" s="23" t="str">
        <x:v>walnut</x:v>
      </x:c>
      <x:c r="H137" s="23" t="str">
        <x:v>Dairy- Milk</x:v>
      </x:c>
      <x:c r="I137" s="23" t="n">
        <x:v>49.2</x:v>
      </x:c>
      <x:c r="J137" s="23" t="str">
        <x:v>behavioral_regression_candidate</x:v>
      </x:c>
      <x:c r="K137" s="23" t="str">
        <x:v>legacy_output_unverified</x:v>
      </x:c>
      <x:c r="L137" s="23" t="str"/>
      <x:c r="M137" s="23" t="str"/>
    </x:row>
    <x:row r="138">
      <x:c r="A138" s="23" t="str">
        <x:v>LT-0137</x:v>
      </x:c>
      <x:c r="B138" s="23" t="str">
        <x:v>Ing Pairings- Crustacean.xlsx</x:v>
      </x:c>
      <x:c r="C138" s="23" t="str">
        <x:v>Sheet1</x:v>
      </x:c>
      <x:c r="D138" s="23" t="str">
        <x:v>crustacean</x:v>
      </x:c>
      <x:c r="E138" s="23" t="str">
        <x:v>crustacean</x:v>
      </x:c>
      <x:c r="F138" s="23" t="str">
        <x:v>family:seafood</x:v>
      </x:c>
      <x:c r="G138" s="23" t="str">
        <x:v>chicken</x:v>
      </x:c>
      <x:c r="H138" s="23" t="str">
        <x:v>Alcohol- Brandy</x:v>
      </x:c>
      <x:c r="I138" s="23" t="n">
        <x:v>35.8</x:v>
      </x:c>
      <x:c r="J138" s="23" t="str">
        <x:v>behavioral_regression_candidate</x:v>
      </x:c>
      <x:c r="K138" s="23" t="str">
        <x:v>legacy_output_unverified</x:v>
      </x:c>
      <x:c r="L138" s="23" t="str"/>
      <x:c r="M138" s="23" t="str"/>
    </x:row>
    <x:row r="139">
      <x:c r="A139" s="23" t="str">
        <x:v>LT-0138</x:v>
      </x:c>
      <x:c r="B139" s="23" t="str">
        <x:v>Ing Pairings- Crustacean.xlsx</x:v>
      </x:c>
      <x:c r="C139" s="23" t="str">
        <x:v>Sheet1</x:v>
      </x:c>
      <x:c r="D139" s="23" t="str">
        <x:v>crustacean</x:v>
      </x:c>
      <x:c r="E139" s="23" t="str">
        <x:v>crustacean</x:v>
      </x:c>
      <x:c r="F139" s="23" t="str">
        <x:v>family:seafood</x:v>
      </x:c>
      <x:c r="G139" s="23" t="str">
        <x:v>pistachio</x:v>
      </x:c>
      <x:c r="H139" s="23" t="str">
        <x:v>Marine- Fish</x:v>
      </x:c>
      <x:c r="I139" s="23" t="n">
        <x:v>74.3</x:v>
      </x:c>
      <x:c r="J139" s="23" t="str">
        <x:v>behavioral_regression_candidate</x:v>
      </x:c>
      <x:c r="K139" s="23" t="str">
        <x:v>legacy_output_unverified</x:v>
      </x:c>
      <x:c r="L139" s="23" t="str"/>
      <x:c r="M139" s="23" t="str"/>
    </x:row>
    <x:row r="140">
      <x:c r="A140" s="23" t="str">
        <x:v>LT-0139</x:v>
      </x:c>
      <x:c r="B140" s="23" t="str">
        <x:v>Ing Pairings- Crustacean.xlsx</x:v>
      </x:c>
      <x:c r="C140" s="23" t="str">
        <x:v>Sheet1</x:v>
      </x:c>
      <x:c r="D140" s="23" t="str">
        <x:v>crustacean</x:v>
      </x:c>
      <x:c r="E140" s="23" t="str">
        <x:v>crustacean</x:v>
      </x:c>
      <x:c r="F140" s="23" t="str">
        <x:v>family:seafood</x:v>
      </x:c>
      <x:c r="G140" s="23" t="str">
        <x:v>annatto</x:v>
      </x:c>
      <x:c r="H140" s="23" t="str">
        <x:v>Shrimp (cooked)</x:v>
      </x:c>
      <x:c r="I140" s="23" t="n">
        <x:v>100</x:v>
      </x:c>
      <x:c r="J140" s="23" t="str">
        <x:v>behavioral_regression_candidate</x:v>
      </x:c>
      <x:c r="K140" s="23" t="str">
        <x:v>legacy_output_unverified</x:v>
      </x:c>
      <x:c r="L140" s="23" t="str"/>
      <x:c r="M140" s="23" t="str"/>
    </x:row>
    <x:row r="141">
      <x:c r="A141" s="23" t="str">
        <x:v>LT-0140</x:v>
      </x:c>
      <x:c r="B141" s="23" t="str">
        <x:v>Ing Pairings- Crustacean.xlsx</x:v>
      </x:c>
      <x:c r="C141" s="23" t="str">
        <x:v>Sheet1</x:v>
      </x:c>
      <x:c r="D141" s="23" t="str">
        <x:v>crustacean</x:v>
      </x:c>
      <x:c r="E141" s="23" t="str">
        <x:v>crustacean</x:v>
      </x:c>
      <x:c r="F141" s="23" t="str">
        <x:v>family:seafood</x:v>
      </x:c>
      <x:c r="G141" s="23" t="str">
        <x:v>brown algae</x:v>
      </x:c>
      <x:c r="H141" s="23" t="str"/>
      <x:c r="I141" s="23" t="str"/>
      <x:c r="J141" s="23" t="str">
        <x:v>behavioral_regression_candidate</x:v>
      </x:c>
      <x:c r="K141" s="23" t="str">
        <x:v>legacy_output_unverified</x:v>
      </x:c>
      <x:c r="L141" s="23" t="str"/>
      <x:c r="M141" s="23" t="str"/>
    </x:row>
    <x:row r="142">
      <x:c r="A142" s="23" t="str">
        <x:v>LT-0141</x:v>
      </x:c>
      <x:c r="B142" s="23" t="str">
        <x:v>Ing Pairings- Crustacean.xlsx</x:v>
      </x:c>
      <x:c r="C142" s="23" t="str">
        <x:v>Sheet1</x:v>
      </x:c>
      <x:c r="D142" s="23" t="str">
        <x:v>crustacean</x:v>
      </x:c>
      <x:c r="E142" s="23" t="str">
        <x:v>crustacean</x:v>
      </x:c>
      <x:c r="F142" s="23" t="str">
        <x:v>family:seafood</x:v>
      </x:c>
      <x:c r="G142" s="23" t="str">
        <x:v>clam</x:v>
      </x:c>
      <x:c r="H142" s="23" t="str"/>
      <x:c r="I142" s="23" t="str"/>
      <x:c r="J142" s="23" t="str">
        <x:v>behavioral_regression_candidate</x:v>
      </x:c>
      <x:c r="K142" s="23" t="str">
        <x:v>legacy_output_unverified</x:v>
      </x:c>
      <x:c r="L142" s="23" t="str"/>
      <x:c r="M142" s="23" t="str"/>
    </x:row>
    <x:row r="143">
      <x:c r="A143" s="23" t="str">
        <x:v>LT-0142</x:v>
      </x:c>
      <x:c r="B143" s="23" t="str">
        <x:v>Ing Pairings- Crustacean.xlsx</x:v>
      </x:c>
      <x:c r="C143" s="23" t="str">
        <x:v>Sheet1</x:v>
      </x:c>
      <x:c r="D143" s="23" t="str">
        <x:v>crustacean</x:v>
      </x:c>
      <x:c r="E143" s="23" t="str">
        <x:v>crustacean</x:v>
      </x:c>
      <x:c r="F143" s="23" t="str">
        <x:v>family:seafood</x:v>
      </x:c>
      <x:c r="G143" s="23" t="str">
        <x:v>peach</x:v>
      </x:c>
      <x:c r="H143" s="23" t="str"/>
      <x:c r="I143" s="23" t="str"/>
      <x:c r="J143" s="23" t="str">
        <x:v>behavioral_regression_candidate</x:v>
      </x:c>
      <x:c r="K143" s="23" t="str">
        <x:v>legacy_output_unverified</x:v>
      </x:c>
      <x:c r="L143" s="23" t="str"/>
      <x:c r="M143" s="23" t="str"/>
    </x:row>
    <x:row r="144">
      <x:c r="A144" s="23" t="str">
        <x:v>LT-0143</x:v>
      </x:c>
      <x:c r="B144" s="23" t="str">
        <x:v>Ing Pairings- Crustacean.xlsx</x:v>
      </x:c>
      <x:c r="C144" s="23" t="str">
        <x:v>Sheet1</x:v>
      </x:c>
      <x:c r="D144" s="23" t="str">
        <x:v>crustacean</x:v>
      </x:c>
      <x:c r="E144" s="23" t="str">
        <x:v>crustacean</x:v>
      </x:c>
      <x:c r="F144" s="23" t="str">
        <x:v>family:seafood</x:v>
      </x:c>
      <x:c r="G144" s="23" t="str">
        <x:v>plum</x:v>
      </x:c>
      <x:c r="H144" s="23" t="str"/>
      <x:c r="I144" s="23" t="str"/>
      <x:c r="J144" s="23" t="str">
        <x:v>behavioral_regression_candidate</x:v>
      </x:c>
      <x:c r="K144" s="23" t="str">
        <x:v>legacy_output_unverified</x:v>
      </x:c>
      <x:c r="L144" s="23" t="str"/>
      <x:c r="M144" s="23" t="str"/>
    </x:row>
    <x:row r="145">
      <x:c r="A145" s="23" t="str">
        <x:v>LT-0144</x:v>
      </x:c>
      <x:c r="B145" s="23" t="str">
        <x:v>Ing Pairings- Crustacean.xlsx</x:v>
      </x:c>
      <x:c r="C145" s="23" t="str">
        <x:v>Sheet1</x:v>
      </x:c>
      <x:c r="D145" s="23" t="str">
        <x:v>crustacean</x:v>
      </x:c>
      <x:c r="E145" s="23" t="str">
        <x:v>crustacean</x:v>
      </x:c>
      <x:c r="F145" s="23" t="str">
        <x:v>family:seafood</x:v>
      </x:c>
      <x:c r="G145" s="23" t="str">
        <x:v>pomegranate</x:v>
      </x:c>
      <x:c r="H145" s="23" t="str"/>
      <x:c r="I145" s="23" t="str"/>
      <x:c r="J145" s="23" t="str">
        <x:v>behavioral_regression_candidate</x:v>
      </x:c>
      <x:c r="K145" s="23" t="str">
        <x:v>legacy_output_unverified</x:v>
      </x:c>
      <x:c r="L145" s="23" t="str"/>
      <x:c r="M145" s="23" t="str"/>
    </x:row>
    <x:row r="146">
      <x:c r="A146" s="23" t="str">
        <x:v>LT-0145</x:v>
      </x:c>
      <x:c r="B146" s="23" t="str">
        <x:v>Ing Pairings- Crustacean.xlsx</x:v>
      </x:c>
      <x:c r="C146" s="23" t="str">
        <x:v>Sheet1</x:v>
      </x:c>
      <x:c r="D146" s="23" t="str">
        <x:v>crustacean</x:v>
      </x:c>
      <x:c r="E146" s="23" t="str">
        <x:v>crustacean</x:v>
      </x:c>
      <x:c r="F146" s="23" t="str">
        <x:v>family:seafood</x:v>
      </x:c>
      <x:c r="G146" s="23" t="str">
        <x:v>tomato</x:v>
      </x:c>
      <x:c r="H146" s="23" t="str"/>
      <x:c r="I146" s="23" t="str"/>
      <x:c r="J146" s="23" t="str">
        <x:v>behavioral_regression_candidate</x:v>
      </x:c>
      <x:c r="K146" s="23" t="str">
        <x:v>legacy_output_unverified</x:v>
      </x:c>
      <x:c r="L146" s="23" t="str"/>
      <x:c r="M146" s="23" t="str"/>
    </x:row>
    <x:row r="147">
      <x:c r="A147" s="23" t="str">
        <x:v>LT-0146</x:v>
      </x:c>
      <x:c r="B147" s="23" t="str">
        <x:v>Ing Pairings- Crustacean.xlsx</x:v>
      </x:c>
      <x:c r="C147" s="23" t="str">
        <x:v>Sheet1</x:v>
      </x:c>
      <x:c r="D147" s="23" t="str">
        <x:v>crustacean</x:v>
      </x:c>
      <x:c r="E147" s="23" t="str">
        <x:v>crustacean</x:v>
      </x:c>
      <x:c r="F147" s="23" t="str">
        <x:v>family:seafood</x:v>
      </x:c>
      <x:c r="G147" s="23" t="str">
        <x:v>marjoram</x:v>
      </x:c>
      <x:c r="H147" s="23" t="str"/>
      <x:c r="I147" s="23" t="str"/>
      <x:c r="J147" s="23" t="str">
        <x:v>behavioral_regression_candidate</x:v>
      </x:c>
      <x:c r="K147" s="23" t="str">
        <x:v>legacy_output_unverified</x:v>
      </x:c>
      <x:c r="L147" s="23" t="str"/>
      <x:c r="M147" s="23" t="str"/>
    </x:row>
    <x:row r="148">
      <x:c r="A148" s="23" t="str">
        <x:v>LT-0147</x:v>
      </x:c>
      <x:c r="B148" s="23" t="str">
        <x:v>Ing Pairings- Crustacean.xlsx</x:v>
      </x:c>
      <x:c r="C148" s="23" t="str">
        <x:v>Sheet1</x:v>
      </x:c>
      <x:c r="D148" s="23" t="str">
        <x:v>crustacean</x:v>
      </x:c>
      <x:c r="E148" s="23" t="str">
        <x:v>crustacean</x:v>
      </x:c>
      <x:c r="F148" s="23" t="str">
        <x:v>family:seafood</x:v>
      </x:c>
      <x:c r="G148" s="23" t="str">
        <x:v>saffron</x:v>
      </x:c>
      <x:c r="H148" s="23" t="str"/>
      <x:c r="I148" s="23" t="str"/>
      <x:c r="J148" s="23" t="str">
        <x:v>behavioral_regression_candidate</x:v>
      </x:c>
      <x:c r="K148" s="23" t="str">
        <x:v>legacy_output_unverified</x:v>
      </x:c>
      <x:c r="L148" s="23" t="str"/>
      <x:c r="M148" s="23" t="str"/>
    </x:row>
    <x:row r="149">
      <x:c r="A149" s="23" t="str">
        <x:v>LT-0148</x:v>
      </x:c>
      <x:c r="B149" s="23" t="str">
        <x:v>Ing Pairings- Crustacean.xlsx</x:v>
      </x:c>
      <x:c r="C149" s="23" t="str">
        <x:v>Sheet1</x:v>
      </x:c>
      <x:c r="D149" s="23" t="str">
        <x:v>crustacean</x:v>
      </x:c>
      <x:c r="E149" s="23" t="str">
        <x:v>crustacean</x:v>
      </x:c>
      <x:c r="F149" s="23" t="str">
        <x:v>family:seafood</x:v>
      </x:c>
      <x:c r="G149" s="23" t="str">
        <x:v>cucumber</x:v>
      </x:c>
      <x:c r="H149" s="23" t="str"/>
      <x:c r="I149" s="23" t="str"/>
      <x:c r="J149" s="23" t="str">
        <x:v>behavioral_regression_candidate</x:v>
      </x:c>
      <x:c r="K149" s="23" t="str">
        <x:v>legacy_output_unverified</x:v>
      </x:c>
      <x:c r="L149" s="23" t="str"/>
      <x:c r="M149" s="23" t="str"/>
    </x:row>
    <x:row r="150">
      <x:c r="A150" s="23" t="str">
        <x:v>LT-0149</x:v>
      </x:c>
      <x:c r="B150" s="23" t="str">
        <x:v>Ing Pairings- Crustacean.xlsx</x:v>
      </x:c>
      <x:c r="C150" s="23" t="str">
        <x:v>Sheet1</x:v>
      </x:c>
      <x:c r="D150" s="23" t="str">
        <x:v>crustacean</x:v>
      </x:c>
      <x:c r="E150" s="23" t="str">
        <x:v>crustacean</x:v>
      </x:c>
      <x:c r="F150" s="23" t="str">
        <x:v>family:seafood</x:v>
      </x:c>
      <x:c r="G150" s="23" t="str">
        <x:v>sake</x:v>
      </x:c>
      <x:c r="H150" s="23" t="str"/>
      <x:c r="I150" s="23" t="str"/>
      <x:c r="J150" s="23" t="str">
        <x:v>behavioral_regression_candidate</x:v>
      </x:c>
      <x:c r="K150" s="23" t="str">
        <x:v>legacy_output_unverified</x:v>
      </x:c>
      <x:c r="L150" s="23" t="str"/>
      <x:c r="M150" s="23" t="str"/>
    </x:row>
    <x:row r="151">
      <x:c r="A151" s="23" t="str">
        <x:v>LT-0150</x:v>
      </x:c>
      <x:c r="B151" s="23" t="str">
        <x:v>Ing Pairings- Crustacean.xlsx</x:v>
      </x:c>
      <x:c r="C151" s="23" t="str">
        <x:v>Sheet1</x:v>
      </x:c>
      <x:c r="D151" s="23" t="str">
        <x:v>crustacean</x:v>
      </x:c>
      <x:c r="E151" s="23" t="str">
        <x:v>crustacean</x:v>
      </x:c>
      <x:c r="F151" s="23" t="str">
        <x:v>family:seafood</x:v>
      </x:c>
      <x:c r="G151" s="23" t="str">
        <x:v>cardamom</x:v>
      </x:c>
      <x:c r="H151" s="23" t="str"/>
      <x:c r="I151" s="23" t="str"/>
      <x:c r="J151" s="23" t="str">
        <x:v>behavioral_regression_candidate</x:v>
      </x:c>
      <x:c r="K151" s="23" t="str">
        <x:v>legacy_output_unverified</x:v>
      </x:c>
      <x:c r="L151" s="23" t="str"/>
      <x:c r="M151" s="23" t="str"/>
    </x:row>
    <x:row r="152">
      <x:c r="A152" s="23" t="str">
        <x:v>LT-0151</x:v>
      </x:c>
      <x:c r="B152" s="23" t="str">
        <x:v>Ing Pairings- Crustacean.xlsx</x:v>
      </x:c>
      <x:c r="C152" s="23" t="str">
        <x:v>Sheet1</x:v>
      </x:c>
      <x:c r="D152" s="23" t="str">
        <x:v>crustacean</x:v>
      </x:c>
      <x:c r="E152" s="23" t="str">
        <x:v>crustacean</x:v>
      </x:c>
      <x:c r="F152" s="23" t="str">
        <x:v>family:seafood</x:v>
      </x:c>
      <x:c r="G152" s="23" t="str">
        <x:v>okra</x:v>
      </x:c>
      <x:c r="H152" s="23" t="str"/>
      <x:c r="I152" s="23" t="str"/>
      <x:c r="J152" s="23" t="str">
        <x:v>behavioral_regression_candidate</x:v>
      </x:c>
      <x:c r="K152" s="23" t="str">
        <x:v>legacy_output_unverified</x:v>
      </x:c>
      <x:c r="L152" s="23" t="str"/>
      <x:c r="M152" s="23" t="str"/>
    </x:row>
    <x:row r="153">
      <x:c r="A153" s="23" t="str">
        <x:v>LT-0152</x:v>
      </x:c>
      <x:c r="B153" s="23" t="str">
        <x:v>Ing Pairings- Crustacean.xlsx</x:v>
      </x:c>
      <x:c r="C153" s="23" t="str">
        <x:v>Sheet1</x:v>
      </x:c>
      <x:c r="D153" s="23" t="str">
        <x:v>crustacean</x:v>
      </x:c>
      <x:c r="E153" s="23" t="str">
        <x:v>crustacean</x:v>
      </x:c>
      <x:c r="F153" s="23" t="str">
        <x:v>family:seafood</x:v>
      </x:c>
      <x:c r="G153" s="23" t="str">
        <x:v>almond</x:v>
      </x:c>
      <x:c r="H153" s="23" t="str"/>
      <x:c r="I153" s="23" t="str"/>
      <x:c r="J153" s="23" t="str">
        <x:v>behavioral_regression_candidate</x:v>
      </x:c>
      <x:c r="K153" s="23" t="str">
        <x:v>legacy_output_unverified</x:v>
      </x:c>
      <x:c r="L153" s="23" t="str"/>
      <x:c r="M153" s="23" t="str"/>
    </x:row>
    <x:row r="154">
      <x:c r="A154" s="23" t="str">
        <x:v>LT-0153</x:v>
      </x:c>
      <x:c r="B154" s="23" t="str">
        <x:v>Ing Pairings- Crustacean.xlsx</x:v>
      </x:c>
      <x:c r="C154" s="23" t="str">
        <x:v>Sheet1</x:v>
      </x:c>
      <x:c r="D154" s="23" t="str">
        <x:v>crustacean</x:v>
      </x:c>
      <x:c r="E154" s="23" t="str">
        <x:v>crustacean</x:v>
      </x:c>
      <x:c r="F154" s="23" t="str">
        <x:v>family:seafood</x:v>
      </x:c>
      <x:c r="G154" s="23" t="str">
        <x:v>allium</x:v>
      </x:c>
      <x:c r="H154" s="23" t="str"/>
      <x:c r="I154" s="23" t="str"/>
      <x:c r="J154" s="23" t="str">
        <x:v>behavioral_regression_candidate</x:v>
      </x:c>
      <x:c r="K154" s="23" t="str">
        <x:v>legacy_output_unverified</x:v>
      </x:c>
      <x:c r="L154" s="23" t="str"/>
      <x:c r="M154" s="23" t="str"/>
    </x:row>
    <x:row r="155">
      <x:c r="A155" s="23" t="str">
        <x:v>LT-0154</x:v>
      </x:c>
      <x:c r="B155" s="23" t="str">
        <x:v>Ing Pairings- Crustacean.xlsx</x:v>
      </x:c>
      <x:c r="C155" s="23" t="str">
        <x:v>Sheet1</x:v>
      </x:c>
      <x:c r="D155" s="23" t="str">
        <x:v>crustacean</x:v>
      </x:c>
      <x:c r="E155" s="23" t="str">
        <x:v>crustacean</x:v>
      </x:c>
      <x:c r="F155" s="23" t="str">
        <x:v>family:seafood</x:v>
      </x:c>
      <x:c r="G155" s="23" t="str">
        <x:v>capsicum</x:v>
      </x:c>
      <x:c r="H155" s="23" t="str"/>
      <x:c r="I155" s="23" t="str"/>
      <x:c r="J155" s="23" t="str">
        <x:v>behavioral_regression_candidate</x:v>
      </x:c>
      <x:c r="K155" s="23" t="str">
        <x:v>legacy_output_unverified</x:v>
      </x:c>
      <x:c r="L155" s="23" t="str"/>
      <x:c r="M155" s="23" t="str"/>
    </x:row>
    <x:row r="156">
      <x:c r="A156" s="23" t="str">
        <x:v>LT-0155</x:v>
      </x:c>
      <x:c r="B156" s="23" t="str">
        <x:v>Ing Pairings- Crustacean.xlsx</x:v>
      </x:c>
      <x:c r="C156" s="23" t="str">
        <x:v>Sheet1</x:v>
      </x:c>
      <x:c r="D156" s="23" t="str">
        <x:v>crustacean</x:v>
      </x:c>
      <x:c r="E156" s="23" t="str">
        <x:v>crustacean</x:v>
      </x:c>
      <x:c r="F156" s="23" t="str">
        <x:v>family:seafood</x:v>
      </x:c>
      <x:c r="G156" s="23" t="str">
        <x:v>laurel</x:v>
      </x:c>
      <x:c r="H156" s="23" t="str"/>
      <x:c r="I156" s="23" t="str"/>
      <x:c r="J156" s="23" t="str">
        <x:v>behavioral_regression_candidate</x:v>
      </x:c>
      <x:c r="K156" s="23" t="str">
        <x:v>legacy_output_unverified</x:v>
      </x:c>
      <x:c r="L156" s="23" t="str"/>
      <x:c r="M156" s="23" t="str"/>
    </x:row>
    <x:row r="157">
      <x:c r="A157" s="23" t="str">
        <x:v>LT-0156</x:v>
      </x:c>
      <x:c r="B157" s="23" t="str">
        <x:v>Ing Pairings- Crustacean.xlsx</x:v>
      </x:c>
      <x:c r="C157" s="23" t="str">
        <x:v>Sheet1</x:v>
      </x:c>
      <x:c r="D157" s="23" t="str">
        <x:v>crustacean</x:v>
      </x:c>
      <x:c r="E157" s="23" t="str">
        <x:v>crustacean</x:v>
      </x:c>
      <x:c r="F157" s="23" t="str">
        <x:v>family:seafood</x:v>
      </x:c>
      <x:c r="G157" s="23" t="str">
        <x:v>lovage</x:v>
      </x:c>
      <x:c r="H157" s="23" t="str"/>
      <x:c r="I157" s="23" t="str"/>
      <x:c r="J157" s="23" t="str">
        <x:v>behavioral_regression_candidate</x:v>
      </x:c>
      <x:c r="K157" s="23" t="str">
        <x:v>legacy_output_unverified</x:v>
      </x:c>
      <x:c r="L157" s="23" t="str"/>
      <x:c r="M157" s="23" t="str"/>
    </x:row>
    <x:row r="158">
      <x:c r="A158" s="23" t="str">
        <x:v>LT-0157</x:v>
      </x:c>
      <x:c r="B158" s="23" t="str">
        <x:v>Ing Pairings- Crustacean.xlsx</x:v>
      </x:c>
      <x:c r="C158" s="23" t="str">
        <x:v>Sheet1</x:v>
      </x:c>
      <x:c r="D158" s="23" t="str">
        <x:v>crustacean</x:v>
      </x:c>
      <x:c r="E158" s="23" t="str">
        <x:v>crustacean</x:v>
      </x:c>
      <x:c r="F158" s="23" t="str">
        <x:v>family:seafood</x:v>
      </x:c>
      <x:c r="G158" s="23" t="str">
        <x:v>rice</x:v>
      </x:c>
      <x:c r="H158" s="23" t="str"/>
      <x:c r="I158" s="23" t="str"/>
      <x:c r="J158" s="23" t="str">
        <x:v>behavioral_regression_candidate</x:v>
      </x:c>
      <x:c r="K158" s="23" t="str">
        <x:v>legacy_output_unverified</x:v>
      </x:c>
      <x:c r="L158" s="23" t="str"/>
      <x:c r="M158" s="23" t="str"/>
    </x:row>
    <x:row r="159">
      <x:c r="A159" s="23" t="str">
        <x:v>LT-0158</x:v>
      </x:c>
      <x:c r="B159" s="23" t="str">
        <x:v>Ing Pairings- Crustacean.xlsx</x:v>
      </x:c>
      <x:c r="C159" s="23" t="str">
        <x:v>Sheet1</x:v>
      </x:c>
      <x:c r="D159" s="23" t="str">
        <x:v>crustacean</x:v>
      </x:c>
      <x:c r="E159" s="23" t="str">
        <x:v>crustacean</x:v>
      </x:c>
      <x:c r="F159" s="23" t="str">
        <x:v>family:seafood</x:v>
      </x:c>
      <x:c r="G159" s="23" t="str">
        <x:v>salvia</x:v>
      </x:c>
      <x:c r="H159" s="23" t="str"/>
      <x:c r="I159" s="23" t="str"/>
      <x:c r="J159" s="23" t="str">
        <x:v>behavioral_regression_candidate</x:v>
      </x:c>
      <x:c r="K159" s="23" t="str">
        <x:v>legacy_output_unverified</x:v>
      </x:c>
      <x:c r="L159" s="23" t="str"/>
      <x:c r="M159" s="23" t="str"/>
    </x:row>
    <x:row r="160">
      <x:c r="A160" s="23" t="str">
        <x:v>LT-0159</x:v>
      </x:c>
      <x:c r="B160" s="23" t="str">
        <x:v>Ing Pairings- Crustacean.xlsx</x:v>
      </x:c>
      <x:c r="C160" s="23" t="str">
        <x:v>Sheet1</x:v>
      </x:c>
      <x:c r="D160" s="23" t="str">
        <x:v>crustacean</x:v>
      </x:c>
      <x:c r="E160" s="23" t="str">
        <x:v>crustacean</x:v>
      </x:c>
      <x:c r="F160" s="23" t="str">
        <x:v>family:seafood</x:v>
      </x:c>
      <x:c r="G160" s="23" t="str">
        <x:v>barley</x:v>
      </x:c>
      <x:c r="H160" s="23" t="str"/>
      <x:c r="I160" s="23" t="str"/>
      <x:c r="J160" s="23" t="str">
        <x:v>behavioral_regression_candidate</x:v>
      </x:c>
      <x:c r="K160" s="23" t="str">
        <x:v>legacy_output_unverified</x:v>
      </x:c>
      <x:c r="L160" s="23" t="str"/>
      <x:c r="M160" s="23" t="str"/>
    </x:row>
    <x:row r="161">
      <x:c r="A161" s="23" t="str">
        <x:v>LT-0160</x:v>
      </x:c>
      <x:c r="B161" s="23" t="str">
        <x:v>Ing Pairings- Crustacean.xlsx</x:v>
      </x:c>
      <x:c r="C161" s="23" t="str">
        <x:v>Sheet1</x:v>
      </x:c>
      <x:c r="D161" s="23" t="str">
        <x:v>crustacean</x:v>
      </x:c>
      <x:c r="E161" s="23" t="str">
        <x:v>crustacean</x:v>
      </x:c>
      <x:c r="F161" s="23" t="str">
        <x:v>family:seafood</x:v>
      </x:c>
      <x:c r="G161" s="23" t="str">
        <x:v>buckwheat</x:v>
      </x:c>
      <x:c r="H161" s="23" t="str"/>
      <x:c r="I161" s="23" t="str"/>
      <x:c r="J161" s="23" t="str">
        <x:v>behavioral_regression_candidate</x:v>
      </x:c>
      <x:c r="K161" s="23" t="str">
        <x:v>legacy_output_unverified</x:v>
      </x:c>
      <x:c r="L161" s="23" t="str"/>
      <x:c r="M161" s="23" t="str"/>
    </x:row>
    <x:row r="162">
      <x:c r="A162" s="23" t="str">
        <x:v>LT-0161</x:v>
      </x:c>
      <x:c r="B162" s="23" t="str">
        <x:v>Ing Pairings- Crustacean.xlsx</x:v>
      </x:c>
      <x:c r="C162" s="23" t="str">
        <x:v>Sheet1</x:v>
      </x:c>
      <x:c r="D162" s="23" t="str">
        <x:v>crustacean</x:v>
      </x:c>
      <x:c r="E162" s="23" t="str">
        <x:v>crustacean</x:v>
      </x:c>
      <x:c r="F162" s="23" t="str">
        <x:v>family:seafood</x:v>
      </x:c>
      <x:c r="G162" s="23" t="str">
        <x:v>pineapple</x:v>
      </x:c>
      <x:c r="H162" s="23" t="str"/>
      <x:c r="I162" s="23" t="str"/>
      <x:c r="J162" s="23" t="str">
        <x:v>behavioral_regression_candidate</x:v>
      </x:c>
      <x:c r="K162" s="23" t="str">
        <x:v>legacy_output_unverified</x:v>
      </x:c>
      <x:c r="L162" s="23" t="str"/>
      <x:c r="M162" s="23" t="str"/>
    </x:row>
    <x:row r="163">
      <x:c r="A163" s="23" t="str">
        <x:v>LT-0162</x:v>
      </x:c>
      <x:c r="B163" s="23" t="str">
        <x:v>Ing Pairings- Crustacean.xlsx</x:v>
      </x:c>
      <x:c r="C163" s="23" t="str">
        <x:v>Sheet1</x:v>
      </x:c>
      <x:c r="D163" s="23" t="str">
        <x:v>crustacean</x:v>
      </x:c>
      <x:c r="E163" s="23" t="str">
        <x:v>crustacean</x:v>
      </x:c>
      <x:c r="F163" s="23" t="str">
        <x:v>family:seafood</x:v>
      </x:c>
      <x:c r="G163" s="23" t="str">
        <x:v>peanut</x:v>
      </x:c>
      <x:c r="H163" s="23" t="str"/>
      <x:c r="I163" s="23" t="str"/>
      <x:c r="J163" s="23" t="str">
        <x:v>behavioral_regression_candidate</x:v>
      </x:c>
      <x:c r="K163" s="23" t="str">
        <x:v>legacy_output_unverified</x:v>
      </x:c>
      <x:c r="L163" s="23" t="str"/>
      <x:c r="M163" s="23" t="str"/>
    </x:row>
    <x:row r="164">
      <x:c r="A164" s="23" t="str">
        <x:v>LT-0163</x:v>
      </x:c>
      <x:c r="B164" s="23" t="str">
        <x:v>Ing Pairings- Crustacean.xlsx</x:v>
      </x:c>
      <x:c r="C164" s="23" t="str">
        <x:v>Sheet1</x:v>
      </x:c>
      <x:c r="D164" s="23" t="str">
        <x:v>crustacean</x:v>
      </x:c>
      <x:c r="E164" s="23" t="str">
        <x:v>crustacean</x:v>
      </x:c>
      <x:c r="F164" s="23" t="str">
        <x:v>family:seafood</x:v>
      </x:c>
      <x:c r="G164" s="23" t="str">
        <x:v>rosemary</x:v>
      </x:c>
      <x:c r="H164" s="23" t="str"/>
      <x:c r="I164" s="23" t="str"/>
      <x:c r="J164" s="23" t="str">
        <x:v>behavioral_regression_candidate</x:v>
      </x:c>
      <x:c r="K164" s="23" t="str">
        <x:v>legacy_output_unverified</x:v>
      </x:c>
      <x:c r="L164" s="23" t="str"/>
      <x:c r="M164" s="23" t="str"/>
    </x:row>
    <x:row r="165">
      <x:c r="A165" s="23" t="str">
        <x:v>LT-0164</x:v>
      </x:c>
      <x:c r="B165" s="23" t="str">
        <x:v>Ing Pairings- Crustacean.xlsx</x:v>
      </x:c>
      <x:c r="C165" s="23" t="str">
        <x:v>Sheet1</x:v>
      </x:c>
      <x:c r="D165" s="23" t="str">
        <x:v>crustacean</x:v>
      </x:c>
      <x:c r="E165" s="23" t="str">
        <x:v>crustacean</x:v>
      </x:c>
      <x:c r="F165" s="23" t="str">
        <x:v>family:seafood</x:v>
      </x:c>
      <x:c r="G165" s="23" t="str">
        <x:v>wild rice</x:v>
      </x:c>
      <x:c r="H165" s="23" t="str"/>
      <x:c r="I165" s="23" t="str"/>
      <x:c r="J165" s="23" t="str">
        <x:v>behavioral_regression_candidate</x:v>
      </x:c>
      <x:c r="K165" s="23" t="str">
        <x:v>legacy_output_unverified</x:v>
      </x:c>
      <x:c r="L165" s="23" t="str"/>
      <x:c r="M165" s="23" t="str"/>
    </x:row>
    <x:row r="166">
      <x:c r="A166" s="23" t="str">
        <x:v>LT-0165</x:v>
      </x:c>
      <x:c r="B166" s="23" t="str">
        <x:v>Ing Pairings- Crustacean.xlsx</x:v>
      </x:c>
      <x:c r="C166" s="23" t="str">
        <x:v>Sheet1</x:v>
      </x:c>
      <x:c r="D166" s="23" t="str">
        <x:v>crustacean</x:v>
      </x:c>
      <x:c r="E166" s="23" t="str">
        <x:v>crustacean</x:v>
      </x:c>
      <x:c r="F166" s="23" t="str">
        <x:v>family:seafood</x:v>
      </x:c>
      <x:c r="G166" s="23" t="str">
        <x:v>whisky</x:v>
      </x:c>
      <x:c r="H166" s="23" t="str"/>
      <x:c r="I166" s="23" t="str"/>
      <x:c r="J166" s="23" t="str">
        <x:v>behavioral_regression_candidate</x:v>
      </x:c>
      <x:c r="K166" s="23" t="str">
        <x:v>legacy_output_unverified</x:v>
      </x:c>
      <x:c r="L166" s="23" t="str"/>
      <x:c r="M166" s="23" t="str"/>
    </x:row>
    <x:row r="167">
      <x:c r="A167" s="23" t="str">
        <x:v>LT-0166</x:v>
      </x:c>
      <x:c r="B167" s="23" t="str">
        <x:v>Ing Pairings- Crustacean.xlsx</x:v>
      </x:c>
      <x:c r="C167" s="23" t="str">
        <x:v>Sheet1</x:v>
      </x:c>
      <x:c r="D167" s="23" t="str">
        <x:v>crustacean</x:v>
      </x:c>
      <x:c r="E167" s="23" t="str">
        <x:v>crustacean</x:v>
      </x:c>
      <x:c r="F167" s="23" t="str">
        <x:v>family:seafood</x:v>
      </x:c>
      <x:c r="G167" s="23" t="str">
        <x:v>soybean</x:v>
      </x:c>
      <x:c r="H167" s="23" t="str"/>
      <x:c r="I167" s="23" t="str"/>
      <x:c r="J167" s="23" t="str">
        <x:v>behavioral_regression_candidate</x:v>
      </x:c>
      <x:c r="K167" s="23" t="str">
        <x:v>legacy_output_unverified</x:v>
      </x:c>
      <x:c r="L167" s="23" t="str"/>
      <x:c r="M167" s="23" t="str"/>
    </x:row>
    <x:row r="168">
      <x:c r="A168" s="23" t="str">
        <x:v>LT-0167</x:v>
      </x:c>
      <x:c r="B168" s="23" t="str">
        <x:v>Ing Pairings- Crustacean.xlsx</x:v>
      </x:c>
      <x:c r="C168" s="23" t="str">
        <x:v>Sheet1</x:v>
      </x:c>
      <x:c r="D168" s="23" t="str">
        <x:v>crustacean</x:v>
      </x:c>
      <x:c r="E168" s="23" t="str">
        <x:v>crustacean</x:v>
      </x:c>
      <x:c r="F168" s="23" t="str">
        <x:v>family:seafood</x:v>
      </x:c>
      <x:c r="G168" s="23" t="str">
        <x:v>coriander</x:v>
      </x:c>
      <x:c r="H168" s="23" t="str"/>
      <x:c r="I168" s="23" t="str"/>
      <x:c r="J168" s="23" t="str">
        <x:v>behavioral_regression_candidate</x:v>
      </x:c>
      <x:c r="K168" s="23" t="str">
        <x:v>legacy_output_unverified</x:v>
      </x:c>
      <x:c r="L168" s="23" t="str"/>
      <x:c r="M168" s="23" t="str"/>
    </x:row>
    <x:row r="169">
      <x:c r="A169" s="23" t="str">
        <x:v>LT-0168</x:v>
      </x:c>
      <x:c r="B169" s="23" t="str">
        <x:v>Ing Pairings- Crustacean.xlsx</x:v>
      </x:c>
      <x:c r="C169" s="23" t="str">
        <x:v>Sheet1</x:v>
      </x:c>
      <x:c r="D169" s="23" t="str">
        <x:v>crustacean</x:v>
      </x:c>
      <x:c r="E169" s="23" t="str">
        <x:v>crustacean</x:v>
      </x:c>
      <x:c r="F169" s="23" t="str">
        <x:v>family:seafood</x:v>
      </x:c>
      <x:c r="G169" s="23" t="str">
        <x:v>katsuobushi</x:v>
      </x:c>
      <x:c r="H169" s="23" t="str"/>
      <x:c r="I169" s="23" t="str"/>
      <x:c r="J169" s="23" t="str">
        <x:v>behavioral_regression_candidate</x:v>
      </x:c>
      <x:c r="K169" s="23" t="str">
        <x:v>legacy_output_unverified</x:v>
      </x:c>
      <x:c r="L169" s="23" t="str"/>
      <x:c r="M169" s="23" t="str"/>
    </x:row>
    <x:row r="170">
      <x:c r="A170" s="23" t="str">
        <x:v>LT-0169</x:v>
      </x:c>
      <x:c r="B170" s="23" t="str">
        <x:v>Ing Pairings- Crustacean.xlsx</x:v>
      </x:c>
      <x:c r="C170" s="23" t="str">
        <x:v>Sheet1</x:v>
      </x:c>
      <x:c r="D170" s="23" t="str">
        <x:v>crustacean</x:v>
      </x:c>
      <x:c r="E170" s="23" t="str">
        <x:v>crustacean</x:v>
      </x:c>
      <x:c r="F170" s="23" t="str">
        <x:v>family:seafood</x:v>
      </x:c>
      <x:c r="G170" s="23" t="str">
        <x:v>oats</x:v>
      </x:c>
      <x:c r="H170" s="23" t="str"/>
      <x:c r="I170" s="23" t="str"/>
      <x:c r="J170" s="23" t="str">
        <x:v>behavioral_regression_candidate</x:v>
      </x:c>
      <x:c r="K170" s="23" t="str">
        <x:v>legacy_output_unverified</x:v>
      </x:c>
      <x:c r="L170" s="23" t="str"/>
      <x:c r="M170" s="23" t="str"/>
    </x:row>
    <x:row r="171">
      <x:c r="A171" s="23" t="str">
        <x:v>LT-0170</x:v>
      </x:c>
      <x:c r="B171" s="23" t="str">
        <x:v>Ing Pairings- Crustacean.xlsx</x:v>
      </x:c>
      <x:c r="C171" s="23" t="str">
        <x:v>Sheet1</x:v>
      </x:c>
      <x:c r="D171" s="23" t="str">
        <x:v>crustacean</x:v>
      </x:c>
      <x:c r="E171" s="23" t="str">
        <x:v>crustacean</x:v>
      </x:c>
      <x:c r="F171" s="23" t="str">
        <x:v>family:seafood</x:v>
      </x:c>
      <x:c r="G171" s="23" t="str">
        <x:v>aubergine</x:v>
      </x:c>
      <x:c r="H171" s="23" t="str"/>
      <x:c r="I171" s="23" t="str"/>
      <x:c r="J171" s="23" t="str">
        <x:v>behavioral_regression_candidate</x:v>
      </x:c>
      <x:c r="K171" s="23" t="str">
        <x:v>legacy_output_unverified</x:v>
      </x:c>
      <x:c r="L171" s="23" t="str"/>
      <x:c r="M171" s="23" t="str"/>
    </x:row>
    <x:row r="172">
      <x:c r="A172" s="23" t="str">
        <x:v>LT-0171</x:v>
      </x:c>
      <x:c r="B172" s="23" t="str">
        <x:v>Ing Pairings- Crustacean.xlsx</x:v>
      </x:c>
      <x:c r="C172" s="23" t="str">
        <x:v>Sheet1</x:v>
      </x:c>
      <x:c r="D172" s="23" t="str">
        <x:v>crustacean</x:v>
      </x:c>
      <x:c r="E172" s="23" t="str">
        <x:v>crustacean</x:v>
      </x:c>
      <x:c r="F172" s="23" t="str">
        <x:v>family:seafood</x:v>
      </x:c>
      <x:c r="G172" s="23" t="str">
        <x:v>cauliflower</x:v>
      </x:c>
      <x:c r="H172" s="23" t="str"/>
      <x:c r="I172" s="23" t="str"/>
      <x:c r="J172" s="23" t="str">
        <x:v>behavioral_regression_candidate</x:v>
      </x:c>
      <x:c r="K172" s="23" t="str">
        <x:v>legacy_output_unverified</x:v>
      </x:c>
      <x:c r="L172" s="23" t="str"/>
      <x:c r="M172" s="23" t="str"/>
    </x:row>
    <x:row r="173">
      <x:c r="A173" s="23" t="str">
        <x:v>LT-0172</x:v>
      </x:c>
      <x:c r="B173" s="23" t="str">
        <x:v>Ing Pairings- Crustacean.xlsx</x:v>
      </x:c>
      <x:c r="C173" s="23" t="str">
        <x:v>Sheet1</x:v>
      </x:c>
      <x:c r="D173" s="23" t="str">
        <x:v>crustacean</x:v>
      </x:c>
      <x:c r="E173" s="23" t="str">
        <x:v>crustacean</x:v>
      </x:c>
      <x:c r="F173" s="23" t="str">
        <x:v>family:seafood</x:v>
      </x:c>
      <x:c r="G173" s="23" t="str">
        <x:v>southern pea</x:v>
      </x:c>
      <x:c r="H173" s="23" t="str"/>
      <x:c r="I173" s="23" t="str"/>
      <x:c r="J173" s="23" t="str">
        <x:v>behavioral_regression_candidate</x:v>
      </x:c>
      <x:c r="K173" s="23" t="str">
        <x:v>legacy_output_unverified</x:v>
      </x:c>
      <x:c r="L173" s="23" t="str"/>
      <x:c r="M173" s="23" t="str"/>
    </x:row>
    <x:row r="174">
      <x:c r="A174" s="23" t="str">
        <x:v>LT-0173</x:v>
      </x:c>
      <x:c r="B174" s="23" t="str">
        <x:v>Ing Pairings- Crustacean.xlsx</x:v>
      </x:c>
      <x:c r="C174" s="23" t="str">
        <x:v>Sheet1</x:v>
      </x:c>
      <x:c r="D174" s="23" t="str">
        <x:v>crustacean</x:v>
      </x:c>
      <x:c r="E174" s="23" t="str">
        <x:v>crustacean</x:v>
      </x:c>
      <x:c r="F174" s="23" t="str">
        <x:v>family:seafood</x:v>
      </x:c>
      <x:c r="G174" s="23" t="str">
        <x:v>vanilla</x:v>
      </x:c>
      <x:c r="H174" s="23" t="str"/>
      <x:c r="I174" s="23" t="str"/>
      <x:c r="J174" s="23" t="str">
        <x:v>behavioral_regression_candidate</x:v>
      </x:c>
      <x:c r="K174" s="23" t="str">
        <x:v>legacy_output_unverified</x:v>
      </x:c>
      <x:c r="L174" s="23" t="str"/>
      <x:c r="M174" s="23" t="str"/>
    </x:row>
    <x:row r="175">
      <x:c r="A175" s="23" t="str">
        <x:v>LT-0174</x:v>
      </x:c>
      <x:c r="B175" s="23" t="str">
        <x:v>Ing Pairings- Crustacean.xlsx</x:v>
      </x:c>
      <x:c r="C175" s="23" t="str">
        <x:v>Sheet1</x:v>
      </x:c>
      <x:c r="D175" s="23" t="str">
        <x:v>crustacean</x:v>
      </x:c>
      <x:c r="E175" s="23" t="str">
        <x:v>crustacean</x:v>
      </x:c>
      <x:c r="F175" s="23" t="str">
        <x:v>family:seafood</x:v>
      </x:c>
      <x:c r="G175" s="23" t="str">
        <x:v>pork</x:v>
      </x:c>
      <x:c r="H175" s="23" t="str"/>
      <x:c r="I175" s="23" t="str"/>
      <x:c r="J175" s="23" t="str">
        <x:v>behavioral_regression_candidate</x:v>
      </x:c>
      <x:c r="K175" s="23" t="str">
        <x:v>legacy_output_unverified</x:v>
      </x:c>
      <x:c r="L175" s="23" t="str"/>
      <x:c r="M175" s="23" t="str"/>
    </x:row>
    <x:row r="176">
      <x:c r="A176" s="23" t="str">
        <x:v>LT-0175</x:v>
      </x:c>
      <x:c r="B176" s="23" t="str">
        <x:v>Ing Pairings- Crustacean.xlsx</x:v>
      </x:c>
      <x:c r="C176" s="23" t="str">
        <x:v>Sheet1</x:v>
      </x:c>
      <x:c r="D176" s="23" t="str">
        <x:v>crustacean</x:v>
      </x:c>
      <x:c r="E176" s="23" t="str">
        <x:v>crustacean</x:v>
      </x:c>
      <x:c r="F176" s="23" t="str">
        <x:v>family:seafood</x:v>
      </x:c>
      <x:c r="G176" s="23" t="str">
        <x:v>lentil</x:v>
      </x:c>
      <x:c r="H176" s="23" t="str"/>
      <x:c r="I176" s="23" t="str"/>
      <x:c r="J176" s="23" t="str">
        <x:v>behavioral_regression_candidate</x:v>
      </x:c>
      <x:c r="K176" s="23" t="str">
        <x:v>legacy_output_unverified</x:v>
      </x:c>
      <x:c r="L176" s="23" t="str"/>
      <x:c r="M176" s="23" t="str"/>
    </x:row>
    <x:row r="177">
      <x:c r="A177" s="23" t="str">
        <x:v>LT-0176</x:v>
      </x:c>
      <x:c r="B177" s="23" t="str">
        <x:v>Ing Pairings- Crustacean.xlsx</x:v>
      </x:c>
      <x:c r="C177" s="23" t="str">
        <x:v>Sheet1</x:v>
      </x:c>
      <x:c r="D177" s="23" t="str">
        <x:v>crustacean</x:v>
      </x:c>
      <x:c r="E177" s="23" t="str">
        <x:v>crustacean</x:v>
      </x:c>
      <x:c r="F177" s="23" t="str">
        <x:v>family:seafood</x:v>
      </x:c>
      <x:c r="G177" s="23" t="str">
        <x:v>chayote</x:v>
      </x:c>
      <x:c r="H177" s="23" t="str"/>
      <x:c r="I177" s="23" t="str"/>
      <x:c r="J177" s="23" t="str">
        <x:v>behavioral_regression_candidate</x:v>
      </x:c>
      <x:c r="K177" s="23" t="str">
        <x:v>legacy_output_unverified</x:v>
      </x:c>
      <x:c r="L177" s="23" t="str"/>
      <x:c r="M177" s="23" t="str"/>
    </x:row>
    <x:row r="178">
      <x:c r="A178" s="23" t="str">
        <x:v>LT-0177</x:v>
      </x:c>
      <x:c r="B178" s="23" t="str">
        <x:v>Ing Pairings- Crustacean.xlsx</x:v>
      </x:c>
      <x:c r="C178" s="23" t="str">
        <x:v>Sheet1</x:v>
      </x:c>
      <x:c r="D178" s="23" t="str">
        <x:v>crustacean</x:v>
      </x:c>
      <x:c r="E178" s="23" t="str">
        <x:v>crustacean</x:v>
      </x:c>
      <x:c r="F178" s="23" t="str">
        <x:v>family:seafood</x:v>
      </x:c>
      <x:c r="G178" s="23" t="str">
        <x:v>pumpkin</x:v>
      </x:c>
      <x:c r="H178" s="23" t="str"/>
      <x:c r="I178" s="23" t="str"/>
      <x:c r="J178" s="23" t="str">
        <x:v>behavioral_regression_candidate</x:v>
      </x:c>
      <x:c r="K178" s="23" t="str">
        <x:v>legacy_output_unverified</x:v>
      </x:c>
      <x:c r="L178" s="23" t="str"/>
      <x:c r="M178" s="23" t="str"/>
    </x:row>
    <x:row r="179">
      <x:c r="A179" s="23" t="str">
        <x:v>LT-0178</x:v>
      </x:c>
      <x:c r="B179" s="23" t="str">
        <x:v>Ing Pairings- Crustacean.xlsx</x:v>
      </x:c>
      <x:c r="C179" s="23" t="str">
        <x:v>Sheet1</x:v>
      </x:c>
      <x:c r="D179" s="23" t="str">
        <x:v>crustacean</x:v>
      </x:c>
      <x:c r="E179" s="23" t="str">
        <x:v>crustacean</x:v>
      </x:c>
      <x:c r="F179" s="23" t="str">
        <x:v>family:seafood</x:v>
      </x:c>
      <x:c r="G179" s="23" t="str">
        <x:v>shoyu</x:v>
      </x:c>
      <x:c r="H179" s="23" t="str"/>
      <x:c r="I179" s="23" t="str"/>
      <x:c r="J179" s="23" t="str">
        <x:v>behavioral_regression_candidate</x:v>
      </x:c>
      <x:c r="K179" s="23" t="str">
        <x:v>legacy_output_unverified</x:v>
      </x:c>
      <x:c r="L179" s="23" t="str"/>
      <x:c r="M179" s="23" t="str"/>
    </x:row>
    <x:row r="180">
      <x:c r="A180" s="23" t="str">
        <x:v>LT-0179</x:v>
      </x:c>
      <x:c r="B180" s="23" t="str">
        <x:v>Ing Pairings- Crustacean.xlsx</x:v>
      </x:c>
      <x:c r="C180" s="23" t="str">
        <x:v>Sheet1</x:v>
      </x:c>
      <x:c r="D180" s="23" t="str">
        <x:v>crustacean</x:v>
      </x:c>
      <x:c r="E180" s="23" t="str">
        <x:v>crustacean</x:v>
      </x:c>
      <x:c r="F180" s="23" t="str">
        <x:v>family:seafood</x:v>
      </x:c>
      <x:c r="G180" s="23" t="str">
        <x:v>squid</x:v>
      </x:c>
      <x:c r="H180" s="23" t="str"/>
      <x:c r="I180" s="23" t="str"/>
      <x:c r="J180" s="23" t="str">
        <x:v>behavioral_regression_candidate</x:v>
      </x:c>
      <x:c r="K180" s="23" t="str">
        <x:v>legacy_output_unverified</x:v>
      </x:c>
      <x:c r="L180" s="23" t="str"/>
      <x:c r="M180" s="23" t="str"/>
    </x:row>
    <x:row r="181">
      <x:c r="A181" s="23" t="str">
        <x:v>LT-0180</x:v>
      </x:c>
      <x:c r="B181" s="23" t="str">
        <x:v>Ing Pairings- Crustacean.xlsx</x:v>
      </x:c>
      <x:c r="C181" s="23" t="str">
        <x:v>Sheet1</x:v>
      </x:c>
      <x:c r="D181" s="23" t="str">
        <x:v>crustacean</x:v>
      </x:c>
      <x:c r="E181" s="23" t="str">
        <x:v>crustacean</x:v>
      </x:c>
      <x:c r="F181" s="23" t="str">
        <x:v>family:seafood</x:v>
      </x:c>
      <x:c r="G181" s="23" t="str">
        <x:v>scallop</x:v>
      </x:c>
      <x:c r="H181" s="23" t="str"/>
      <x:c r="I181" s="23" t="str"/>
      <x:c r="J181" s="23" t="str">
        <x:v>behavioral_regression_candidate</x:v>
      </x:c>
      <x:c r="K181" s="23" t="str">
        <x:v>legacy_output_unverified</x:v>
      </x:c>
      <x:c r="L181" s="23" t="str"/>
      <x:c r="M181" s="23" t="str"/>
    </x:row>
    <x:row r="182">
      <x:c r="A182" s="23" t="str">
        <x:v>LT-0181</x:v>
      </x:c>
      <x:c r="B182" s="23" t="str">
        <x:v>Ing Pairings- Crustacean.xlsx</x:v>
      </x:c>
      <x:c r="C182" s="23" t="str">
        <x:v>Sheet1</x:v>
      </x:c>
      <x:c r="D182" s="23" t="str">
        <x:v>crustacean</x:v>
      </x:c>
      <x:c r="E182" s="23" t="str">
        <x:v>crustacean</x:v>
      </x:c>
      <x:c r="F182" s="23" t="str">
        <x:v>family:seafood</x:v>
      </x:c>
      <x:c r="G182" s="23" t="str">
        <x:v>lamb</x:v>
      </x:c>
      <x:c r="H182" s="23" t="str"/>
      <x:c r="I182" s="23" t="str"/>
      <x:c r="J182" s="23" t="str">
        <x:v>behavioral_regression_candidate</x:v>
      </x:c>
      <x:c r="K182" s="23" t="str">
        <x:v>legacy_output_unverified</x:v>
      </x:c>
      <x:c r="L182" s="23" t="str"/>
      <x:c r="M182" s="23" t="str"/>
    </x:row>
    <x:row r="183">
      <x:c r="A183" s="23" t="str">
        <x:v>LT-0182</x:v>
      </x:c>
      <x:c r="B183" s="23" t="str">
        <x:v>Ing Pairings- Crustacean.xlsx</x:v>
      </x:c>
      <x:c r="C183" s="23" t="str">
        <x:v>Sheet1</x:v>
      </x:c>
      <x:c r="D183" s="23" t="str">
        <x:v>crustacean</x:v>
      </x:c>
      <x:c r="E183" s="23" t="str">
        <x:v>crustacean</x:v>
      </x:c>
      <x:c r="F183" s="23" t="str">
        <x:v>family:seafood</x:v>
      </x:c>
      <x:c r="G183" s="23" t="str">
        <x:v>nectarine</x:v>
      </x:c>
      <x:c r="H183" s="23" t="str"/>
      <x:c r="I183" s="23" t="str"/>
      <x:c r="J183" s="23" t="str">
        <x:v>behavioral_regression_candidate</x:v>
      </x:c>
      <x:c r="K183" s="23" t="str">
        <x:v>legacy_output_unverified</x:v>
      </x:c>
      <x:c r="L183" s="23" t="str"/>
      <x:c r="M183" s="23" t="str"/>
    </x:row>
    <x:row r="184">
      <x:c r="A184" s="23" t="str">
        <x:v>LT-0183</x:v>
      </x:c>
      <x:c r="B184" s="23" t="str">
        <x:v>Ing Pairings- Crustacean.xlsx</x:v>
      </x:c>
      <x:c r="C184" s="23" t="str">
        <x:v>Sheet1</x:v>
      </x:c>
      <x:c r="D184" s="23" t="str">
        <x:v>crustacean</x:v>
      </x:c>
      <x:c r="E184" s="23" t="str">
        <x:v>crustacean</x:v>
      </x:c>
      <x:c r="F184" s="23" t="str">
        <x:v>family:seafood</x:v>
      </x:c>
      <x:c r="G184" s="23" t="str">
        <x:v>celery root</x:v>
      </x:c>
      <x:c r="H184" s="23" t="str"/>
      <x:c r="I184" s="23" t="str"/>
      <x:c r="J184" s="23" t="str">
        <x:v>behavioral_regression_candidate</x:v>
      </x:c>
      <x:c r="K184" s="23" t="str">
        <x:v>legacy_output_unverified</x:v>
      </x:c>
      <x:c r="L184" s="23" t="str"/>
      <x:c r="M184" s="23" t="str"/>
    </x:row>
    <x:row r="185">
      <x:c r="A185" s="23" t="str">
        <x:v>LT-0184</x:v>
      </x:c>
      <x:c r="B185" s="23" t="str">
        <x:v>Ing Pairings- Crustacean.xlsx</x:v>
      </x:c>
      <x:c r="C185" s="23" t="str">
        <x:v>Sheet1</x:v>
      </x:c>
      <x:c r="D185" s="23" t="str">
        <x:v>crustacean</x:v>
      </x:c>
      <x:c r="E185" s="23" t="str">
        <x:v>crustacean</x:v>
      </x:c>
      <x:c r="F185" s="23" t="str">
        <x:v>family:seafood</x:v>
      </x:c>
      <x:c r="G185" s="23" t="str">
        <x:v>celery</x:v>
      </x:c>
      <x:c r="H185" s="23" t="str"/>
      <x:c r="I185" s="23" t="str"/>
      <x:c r="J185" s="23" t="str">
        <x:v>behavioral_regression_candidate</x:v>
      </x:c>
      <x:c r="K185" s="23" t="str">
        <x:v>legacy_output_unverified</x:v>
      </x:c>
      <x:c r="L185" s="23" t="str"/>
      <x:c r="M185" s="23" t="str"/>
    </x:row>
    <x:row r="186">
      <x:c r="A186" s="23" t="str">
        <x:v>LT-0185</x:v>
      </x:c>
      <x:c r="B186" s="23" t="str">
        <x:v>Ing Pairings- Fish.xlsx</x:v>
      </x:c>
      <x:c r="C186" s="23" t="str">
        <x:v>Sheet1</x:v>
      </x:c>
      <x:c r="D186" s="23" t="str">
        <x:v>fish</x:v>
      </x:c>
      <x:c r="E186" s="23" t="str">
        <x:v>fish</x:v>
      </x:c>
      <x:c r="F186" s="23" t="str">
        <x:v>family:seafood</x:v>
      </x:c>
      <x:c r="G186" s="23" t="str">
        <x:v>acerola</x:v>
      </x:c>
      <x:c r="H186" s="23" t="str">
        <x:v>Floral- Camomile</x:v>
      </x:c>
      <x:c r="I186" s="23" t="n">
        <x:v>13.1</x:v>
      </x:c>
      <x:c r="J186" s="23" t="str">
        <x:v>behavioral_regression_candidate</x:v>
      </x:c>
      <x:c r="K186" s="23" t="str">
        <x:v>legacy_output_unverified</x:v>
      </x:c>
      <x:c r="L186" s="23" t="str"/>
      <x:c r="M186" s="23" t="str"/>
    </x:row>
    <x:row r="187">
      <x:c r="A187" s="23" t="str">
        <x:v>LT-0186</x:v>
      </x:c>
      <x:c r="B187" s="23" t="str">
        <x:v>Ing Pairings- Fish.xlsx</x:v>
      </x:c>
      <x:c r="C187" s="23" t="str">
        <x:v>Sheet1</x:v>
      </x:c>
      <x:c r="D187" s="23" t="str">
        <x:v>fish</x:v>
      </x:c>
      <x:c r="E187" s="23" t="str">
        <x:v>fish</x:v>
      </x:c>
      <x:c r="F187" s="23" t="str">
        <x:v>family:seafood</x:v>
      </x:c>
      <x:c r="G187" s="23" t="str">
        <x:v>agastache/hyssop</x:v>
      </x:c>
      <x:c r="H187" s="23" t="str">
        <x:v>Lavender Honey</x:v>
      </x:c>
      <x:c r="I187" s="23" t="n">
        <x:v>71.1</x:v>
      </x:c>
      <x:c r="J187" s="23" t="str">
        <x:v>behavioral_regression_candidate</x:v>
      </x:c>
      <x:c r="K187" s="23" t="str">
        <x:v>legacy_output_unverified</x:v>
      </x:c>
      <x:c r="L187" s="23" t="str"/>
      <x:c r="M187" s="23" t="str"/>
    </x:row>
    <x:row r="188">
      <x:c r="A188" s="23" t="str">
        <x:v>LT-0187</x:v>
      </x:c>
      <x:c r="B188" s="23" t="str">
        <x:v>Ing Pairings- Fish.xlsx</x:v>
      </x:c>
      <x:c r="C188" s="23" t="str">
        <x:v>Sheet1</x:v>
      </x:c>
      <x:c r="D188" s="23" t="str">
        <x:v>fish</x:v>
      </x:c>
      <x:c r="E188" s="23" t="str">
        <x:v>fish</x:v>
      </x:c>
      <x:c r="F188" s="23" t="str">
        <x:v>family:seafood</x:v>
      </x:c>
      <x:c r="G188" s="23" t="str">
        <x:v>angelica</x:v>
      </x:c>
      <x:c r="H188" s="23" t="str">
        <x:v>Elderberry</x:v>
      </x:c>
      <x:c r="I188" s="23" t="n">
        <x:v>37.3</x:v>
      </x:c>
      <x:c r="J188" s="23" t="str">
        <x:v>behavioral_regression_candidate</x:v>
      </x:c>
      <x:c r="K188" s="23" t="str">
        <x:v>legacy_output_unverified</x:v>
      </x:c>
      <x:c r="L188" s="23" t="str"/>
      <x:c r="M188" s="23" t="str"/>
    </x:row>
    <x:row r="189">
      <x:c r="A189" s="23" t="str">
        <x:v>LT-0188</x:v>
      </x:c>
      <x:c r="B189" s="23" t="str">
        <x:v>Ing Pairings- Fish.xlsx</x:v>
      </x:c>
      <x:c r="C189" s="23" t="str">
        <x:v>Sheet1</x:v>
      </x:c>
      <x:c r="D189" s="23" t="str">
        <x:v>fish</x:v>
      </x:c>
      <x:c r="E189" s="23" t="str">
        <x:v>fish</x:v>
      </x:c>
      <x:c r="F189" s="23" t="str">
        <x:v>family:seafood</x:v>
      </x:c>
      <x:c r="G189" s="23" t="str">
        <x:v>anise</x:v>
      </x:c>
      <x:c r="H189" s="23" t="str">
        <x:v>Citrus- Citrus</x:v>
      </x:c>
      <x:c r="I189" s="23" t="n">
        <x:v>40.3</x:v>
      </x:c>
      <x:c r="J189" s="23" t="str">
        <x:v>behavioral_regression_candidate</x:v>
      </x:c>
      <x:c r="K189" s="23" t="str">
        <x:v>legacy_output_unverified</x:v>
      </x:c>
      <x:c r="L189" s="23" t="str"/>
      <x:c r="M189" s="23" t="str"/>
    </x:row>
    <x:row r="190">
      <x:c r="A190" s="23" t="str">
        <x:v>LT-0189</x:v>
      </x:c>
      <x:c r="B190" s="23" t="str">
        <x:v>Ing Pairings- Fish.xlsx</x:v>
      </x:c>
      <x:c r="C190" s="23" t="str">
        <x:v>Sheet1</x:v>
      </x:c>
      <x:c r="D190" s="23" t="str">
        <x:v>fish</x:v>
      </x:c>
      <x:c r="E190" s="23" t="str">
        <x:v>fish</x:v>
      </x:c>
      <x:c r="F190" s="23" t="str">
        <x:v>family:seafood</x:v>
      </x:c>
      <x:c r="G190" s="23" t="str">
        <x:v>annato</x:v>
      </x:c>
      <x:c r="H190" s="23" t="str">
        <x:v>Tropical- Coconut</x:v>
      </x:c>
      <x:c r="I190" s="23" t="n">
        <x:v>50.7</x:v>
      </x:c>
      <x:c r="J190" s="23" t="str">
        <x:v>behavioral_regression_candidate</x:v>
      </x:c>
      <x:c r="K190" s="23" t="str">
        <x:v>legacy_output_unverified</x:v>
      </x:c>
      <x:c r="L190" s="23" t="str"/>
      <x:c r="M190" s="23" t="str"/>
    </x:row>
    <x:row r="191">
      <x:c r="A191" s="23" t="str">
        <x:v>LT-0190</x:v>
      </x:c>
      <x:c r="B191" s="23" t="str">
        <x:v>Ing Pairings- Fish.xlsx</x:v>
      </x:c>
      <x:c r="C191" s="23" t="str">
        <x:v>Sheet1</x:v>
      </x:c>
      <x:c r="D191" s="23" t="str">
        <x:v>fish</x:v>
      </x:c>
      <x:c r="E191" s="23" t="str">
        <x:v>fish</x:v>
      </x:c>
      <x:c r="F191" s="23" t="str">
        <x:v>family:seafood</x:v>
      </x:c>
      <x:c r="G191" s="23" t="str">
        <x:v>apricot</x:v>
      </x:c>
      <x:c r="H191" s="23" t="str">
        <x:v>Melon- Melon</x:v>
      </x:c>
      <x:c r="I191" s="23" t="n">
        <x:v>45.7</x:v>
      </x:c>
      <x:c r="J191" s="23" t="str">
        <x:v>behavioral_regression_candidate</x:v>
      </x:c>
      <x:c r="K191" s="23" t="str">
        <x:v>legacy_output_unverified</x:v>
      </x:c>
      <x:c r="L191" s="23" t="str"/>
      <x:c r="M191" s="23" t="str"/>
    </x:row>
    <x:row r="192">
      <x:c r="A192" s="23" t="str">
        <x:v>LT-0191</x:v>
      </x:c>
      <x:c r="B192" s="23" t="str">
        <x:v>Ing Pairings- Fish.xlsx</x:v>
      </x:c>
      <x:c r="C192" s="23" t="str">
        <x:v>Sheet1</x:v>
      </x:c>
      <x:c r="D192" s="23" t="str">
        <x:v>fish</x:v>
      </x:c>
      <x:c r="E192" s="23" t="str">
        <x:v>fish</x:v>
      </x:c>
      <x:c r="F192" s="23" t="str">
        <x:v>family:seafood</x:v>
      </x:c>
      <x:c r="G192" s="23" t="str">
        <x:v>artichoke</x:v>
      </x:c>
      <x:c r="H192" s="23" t="str">
        <x:v>Tree Fruit- Apple</x:v>
      </x:c>
      <x:c r="I192" s="23" t="n">
        <x:v>30.6</x:v>
      </x:c>
      <x:c r="J192" s="23" t="str">
        <x:v>behavioral_regression_candidate</x:v>
      </x:c>
      <x:c r="K192" s="23" t="str">
        <x:v>legacy_output_unverified</x:v>
      </x:c>
      <x:c r="L192" s="23" t="str"/>
      <x:c r="M192" s="23" t="str"/>
    </x:row>
    <x:row r="193">
      <x:c r="A193" s="23" t="str">
        <x:v>LT-0192</x:v>
      </x:c>
      <x:c r="B193" s="23" t="str">
        <x:v>Ing Pairings- Fish.xlsx</x:v>
      </x:c>
      <x:c r="C193" s="23" t="str">
        <x:v>Sheet1</x:v>
      </x:c>
      <x:c r="D193" s="23" t="str">
        <x:v>fish</x:v>
      </x:c>
      <x:c r="E193" s="23" t="str">
        <x:v>fish</x:v>
      </x:c>
      <x:c r="F193" s="23" t="str">
        <x:v>family:seafood</x:v>
      </x:c>
      <x:c r="G193" s="23" t="str">
        <x:v>beer</x:v>
      </x:c>
      <x:c r="H193" s="23" t="str">
        <x:v>Apricot</x:v>
      </x:c>
      <x:c r="I193" s="23" t="n">
        <x:v>36.2</x:v>
      </x:c>
      <x:c r="J193" s="23" t="str">
        <x:v>behavioral_regression_candidate</x:v>
      </x:c>
      <x:c r="K193" s="23" t="str">
        <x:v>legacy_output_unverified</x:v>
      </x:c>
      <x:c r="L193" s="23" t="str"/>
      <x:c r="M193" s="23" t="str"/>
    </x:row>
    <x:row r="194">
      <x:c r="A194" s="23" t="str">
        <x:v>LT-0193</x:v>
      </x:c>
      <x:c r="B194" s="23" t="str">
        <x:v>Ing Pairings- Fish.xlsx</x:v>
      </x:c>
      <x:c r="C194" s="23" t="str">
        <x:v>Sheet1</x:v>
      </x:c>
      <x:c r="D194" s="23" t="str">
        <x:v>fish</x:v>
      </x:c>
      <x:c r="E194" s="23" t="str">
        <x:v>fish</x:v>
      </x:c>
      <x:c r="F194" s="23" t="str">
        <x:v>family:seafood</x:v>
      </x:c>
      <x:c r="G194" s="23" t="str">
        <x:v>black currant</x:v>
      </x:c>
      <x:c r="H194" s="23" t="str">
        <x:v>Nectarine</x:v>
      </x:c>
      <x:c r="I194" s="23" t="n">
        <x:v>41.5</x:v>
      </x:c>
      <x:c r="J194" s="23" t="str">
        <x:v>behavioral_regression_candidate</x:v>
      </x:c>
      <x:c r="K194" s="23" t="str">
        <x:v>legacy_output_unverified</x:v>
      </x:c>
      <x:c r="L194" s="23" t="str"/>
      <x:c r="M194" s="23" t="str"/>
    </x:row>
    <x:row r="195">
      <x:c r="A195" s="23" t="str">
        <x:v>LT-0194</x:v>
      </x:c>
      <x:c r="B195" s="23" t="str">
        <x:v>Ing Pairings- Fish.xlsx</x:v>
      </x:c>
      <x:c r="C195" s="23" t="str">
        <x:v>Sheet1</x:v>
      </x:c>
      <x:c r="D195" s="23" t="str">
        <x:v>fish</x:v>
      </x:c>
      <x:c r="E195" s="23" t="str">
        <x:v>fish</x:v>
      </x:c>
      <x:c r="F195" s="23" t="str">
        <x:v>family:seafood</x:v>
      </x:c>
      <x:c r="G195" s="23" t="str">
        <x:v>brown algae</x:v>
      </x:c>
      <x:c r="H195" s="23" t="str">
        <x:v>Berry- Strawberry</x:v>
      </x:c>
      <x:c r="I195" s="23" t="n">
        <x:v>31.2</x:v>
      </x:c>
      <x:c r="J195" s="23" t="str">
        <x:v>behavioral_regression_candidate</x:v>
      </x:c>
      <x:c r="K195" s="23" t="str">
        <x:v>legacy_output_unverified</x:v>
      </x:c>
      <x:c r="L195" s="23" t="str"/>
      <x:c r="M195" s="23" t="str"/>
    </x:row>
    <x:row r="196">
      <x:c r="A196" s="23" t="str">
        <x:v>LT-0195</x:v>
      </x:c>
      <x:c r="B196" s="23" t="str">
        <x:v>Ing Pairings- Fish.xlsx</x:v>
      </x:c>
      <x:c r="C196" s="23" t="str">
        <x:v>Sheet1</x:v>
      </x:c>
      <x:c r="D196" s="23" t="str">
        <x:v>fish</x:v>
      </x:c>
      <x:c r="E196" s="23" t="str">
        <x:v>fish</x:v>
      </x:c>
      <x:c r="F196" s="23" t="str">
        <x:v>family:seafood</x:v>
      </x:c>
      <x:c r="G196" s="23" t="str">
        <x:v>nutmeg</x:v>
      </x:c>
      <x:c r="H196" s="23" t="str">
        <x:v>Vaccinium</x:v>
      </x:c>
      <x:c r="I196" s="23" t="n">
        <x:v>40</x:v>
      </x:c>
      <x:c r="J196" s="23" t="str">
        <x:v>behavioral_regression_candidate</x:v>
      </x:c>
      <x:c r="K196" s="23" t="str">
        <x:v>legacy_output_unverified</x:v>
      </x:c>
      <x:c r="L196" s="23" t="str"/>
      <x:c r="M196" s="23" t="str"/>
    </x:row>
    <x:row r="197">
      <x:c r="A197" s="23" t="str">
        <x:v>LT-0196</x:v>
      </x:c>
      <x:c r="B197" s="23" t="str">
        <x:v>Ing Pairings- Fish.xlsx</x:v>
      </x:c>
      <x:c r="C197" s="23" t="str">
        <x:v>Sheet1</x:v>
      </x:c>
      <x:c r="D197" s="23" t="str">
        <x:v>fish</x:v>
      </x:c>
      <x:c r="E197" s="23" t="str">
        <x:v>fish</x:v>
      </x:c>
      <x:c r="F197" s="23" t="str">
        <x:v>family:seafood</x:v>
      </x:c>
      <x:c r="G197" s="23" t="str">
        <x:v>camomile</x:v>
      </x:c>
      <x:c r="H197" s="23" t="str">
        <x:v>Dried Fruit- Strawberry Jam</x:v>
      </x:c>
      <x:c r="I197" s="23" t="n">
        <x:v>48</x:v>
      </x:c>
      <x:c r="J197" s="23" t="str">
        <x:v>behavioral_regression_candidate</x:v>
      </x:c>
      <x:c r="K197" s="23" t="str">
        <x:v>legacy_output_unverified</x:v>
      </x:c>
      <x:c r="L197" s="23" t="str"/>
      <x:c r="M197" s="23" t="str"/>
    </x:row>
    <x:row r="198">
      <x:c r="A198" s="23" t="str">
        <x:v>LT-0197</x:v>
      </x:c>
      <x:c r="B198" s="23" t="str">
        <x:v>Ing Pairings- Fish.xlsx</x:v>
      </x:c>
      <x:c r="C198" s="23" t="str">
        <x:v>Sheet1</x:v>
      </x:c>
      <x:c r="D198" s="23" t="str">
        <x:v>fish</x:v>
      </x:c>
      <x:c r="E198" s="23" t="str">
        <x:v>fish</x:v>
      </x:c>
      <x:c r="F198" s="23" t="str">
        <x:v>family:seafood</x:v>
      </x:c>
      <x:c r="G198" s="23" t="str">
        <x:v>caraway</x:v>
      </x:c>
      <x:c r="H198" s="23" t="str">
        <x:v>Prune</x:v>
      </x:c>
      <x:c r="I198" s="23" t="n">
        <x:v>44.2</x:v>
      </x:c>
      <x:c r="J198" s="23" t="str">
        <x:v>behavioral_regression_candidate</x:v>
      </x:c>
      <x:c r="K198" s="23" t="str">
        <x:v>legacy_output_unverified</x:v>
      </x:c>
      <x:c r="L198" s="23" t="str"/>
      <x:c r="M198" s="23" t="str"/>
    </x:row>
    <x:row r="199">
      <x:c r="A199" s="23" t="str">
        <x:v>LT-0198</x:v>
      </x:c>
      <x:c r="B199" s="23" t="str">
        <x:v>Ing Pairings- Fish.xlsx</x:v>
      </x:c>
      <x:c r="C199" s="23" t="str">
        <x:v>Sheet1</x:v>
      </x:c>
      <x:c r="D199" s="23" t="str">
        <x:v>fish</x:v>
      </x:c>
      <x:c r="E199" s="23" t="str">
        <x:v>fish</x:v>
      </x:c>
      <x:c r="F199" s="23" t="str">
        <x:v>family:seafood</x:v>
      </x:c>
      <x:c r="G199" s="23" t="str">
        <x:v>caedamom</x:v>
      </x:c>
      <x:c r="H199" s="23" t="str">
        <x:v>Green- Celery</x:v>
      </x:c>
      <x:c r="I199" s="23" t="n">
        <x:v>26.1</x:v>
      </x:c>
      <x:c r="J199" s="23" t="str">
        <x:v>behavioral_regression_candidate</x:v>
      </x:c>
      <x:c r="K199" s="23" t="str">
        <x:v>legacy_output_unverified</x:v>
      </x:c>
      <x:c r="L199" s="23" t="str"/>
      <x:c r="M199" s="23" t="str"/>
    </x:row>
    <x:row r="200">
      <x:c r="A200" s="23" t="str">
        <x:v>LT-0199</x:v>
      </x:c>
      <x:c r="B200" s="23" t="str">
        <x:v>Ing Pairings- Fish.xlsx</x:v>
      </x:c>
      <x:c r="C200" s="23" t="str">
        <x:v>Sheet1</x:v>
      </x:c>
      <x:c r="D200" s="23" t="str">
        <x:v>fish</x:v>
      </x:c>
      <x:c r="E200" s="23" t="str">
        <x:v>fish</x:v>
      </x:c>
      <x:c r="F200" s="23" t="str">
        <x:v>family:seafood</x:v>
      </x:c>
      <x:c r="G200" s="23" t="str">
        <x:v>carrot</x:v>
      </x:c>
      <x:c r="H200" s="23" t="str">
        <x:v>Lettuce</x:v>
      </x:c>
      <x:c r="I200" s="23" t="n">
        <x:v>55.7</x:v>
      </x:c>
      <x:c r="J200" s="23" t="str">
        <x:v>behavioral_regression_candidate</x:v>
      </x:c>
      <x:c r="K200" s="23" t="str">
        <x:v>legacy_output_unverified</x:v>
      </x:c>
      <x:c r="L200" s="23" t="str"/>
      <x:c r="M200" s="23" t="str"/>
    </x:row>
    <x:row r="201">
      <x:c r="A201" s="23" t="str">
        <x:v>LT-0200</x:v>
      </x:c>
      <x:c r="B201" s="23" t="str">
        <x:v>Ing Pairings- Fish.xlsx</x:v>
      </x:c>
      <x:c r="C201" s="23" t="str">
        <x:v>Sheet1</x:v>
      </x:c>
      <x:c r="D201" s="23" t="str">
        <x:v>fish</x:v>
      </x:c>
      <x:c r="E201" s="23" t="str">
        <x:v>fish</x:v>
      </x:c>
      <x:c r="F201" s="23" t="str">
        <x:v>family:seafood</x:v>
      </x:c>
      <x:c r="G201" s="23" t="str">
        <x:v>cashew</x:v>
      </x:c>
      <x:c r="H201" s="23" t="str">
        <x:v>Herbaceous- Parsley</x:v>
      </x:c>
      <x:c r="I201" s="23" t="n">
        <x:v>29.4</x:v>
      </x:c>
      <x:c r="J201" s="23" t="str">
        <x:v>behavioral_regression_candidate</x:v>
      </x:c>
      <x:c r="K201" s="23" t="str">
        <x:v>legacy_output_unverified</x:v>
      </x:c>
      <x:c r="L201" s="23" t="str"/>
      <x:c r="M201" s="23" t="str"/>
    </x:row>
    <x:row r="202">
      <x:c r="A202" s="23" t="str">
        <x:v>LT-0201</x:v>
      </x:c>
      <x:c r="B202" s="23" t="str">
        <x:v>Ing Pairings- Fish.xlsx</x:v>
      </x:c>
      <x:c r="C202" s="23" t="str">
        <x:v>Sheet1</x:v>
      </x:c>
      <x:c r="D202" s="23" t="str">
        <x:v>fish</x:v>
      </x:c>
      <x:c r="E202" s="23" t="str">
        <x:v>fish</x:v>
      </x:c>
      <x:c r="F202" s="23" t="str">
        <x:v>family:seafood</x:v>
      </x:c>
      <x:c r="G202" s="23" t="str">
        <x:v>cauliflower/broccoli</x:v>
      </x:c>
      <x:c r="H202" s="23" t="str">
        <x:v>ocimum basilicum</x:v>
      </x:c>
      <x:c r="I202" s="23" t="n">
        <x:v>12.1</x:v>
      </x:c>
      <x:c r="J202" s="23" t="str">
        <x:v>behavioral_regression_candidate</x:v>
      </x:c>
      <x:c r="K202" s="23" t="str">
        <x:v>legacy_output_unverified</x:v>
      </x:c>
      <x:c r="L202" s="23" t="str"/>
      <x:c r="M202" s="23" t="str"/>
    </x:row>
    <x:row r="203">
      <x:c r="A203" s="23" t="str">
        <x:v>LT-0202</x:v>
      </x:c>
      <x:c r="B203" s="23" t="str">
        <x:v>Ing Pairings- Fish.xlsx</x:v>
      </x:c>
      <x:c r="C203" s="23" t="str">
        <x:v>Sheet1</x:v>
      </x:c>
      <x:c r="D203" s="23" t="str">
        <x:v>fish</x:v>
      </x:c>
      <x:c r="E203" s="23" t="str">
        <x:v>fish</x:v>
      </x:c>
      <x:c r="F203" s="23" t="str">
        <x:v>family:seafood</x:v>
      </x:c>
      <x:c r="G203" s="23" t="str">
        <x:v>celery</x:v>
      </x:c>
      <x:c r="H203" s="23" t="str">
        <x:v>Earthy- Mushroom</x:v>
      </x:c>
      <x:c r="I203" s="23" t="n">
        <x:v>42.7</x:v>
      </x:c>
      <x:c r="J203" s="23" t="str">
        <x:v>behavioral_regression_candidate</x:v>
      </x:c>
      <x:c r="K203" s="23" t="str">
        <x:v>legacy_output_unverified</x:v>
      </x:c>
      <x:c r="L203" s="23" t="str"/>
      <x:c r="M203" s="23" t="str"/>
    </x:row>
    <x:row r="204">
      <x:c r="A204" s="23" t="str">
        <x:v>LT-0203</x:v>
      </x:c>
      <x:c r="B204" s="23" t="str">
        <x:v>Ing Pairings- Fish.xlsx</x:v>
      </x:c>
      <x:c r="C204" s="23" t="str">
        <x:v>Sheet1</x:v>
      </x:c>
      <x:c r="D204" s="23" t="str">
        <x:v>fish</x:v>
      </x:c>
      <x:c r="E204" s="23" t="str">
        <x:v>fish</x:v>
      </x:c>
      <x:c r="F204" s="23" t="str">
        <x:v>family:seafood</x:v>
      </x:c>
      <x:c r="G204" s="23" t="str">
        <x:v>cheese</x:v>
      </x:c>
      <x:c r="H204" s="23" t="str">
        <x:v>Wood- Rosemary</x:v>
      </x:c>
      <x:c r="I204" s="23" t="n">
        <x:v>13.8</x:v>
      </x:c>
      <x:c r="J204" s="23" t="str">
        <x:v>behavioral_regression_candidate</x:v>
      </x:c>
      <x:c r="K204" s="23" t="str">
        <x:v>legacy_output_unverified</x:v>
      </x:c>
      <x:c r="L204" s="23" t="str"/>
      <x:c r="M204" s="23" t="str"/>
    </x:row>
    <x:row r="205">
      <x:c r="A205" s="23" t="str">
        <x:v>LT-0204</x:v>
      </x:c>
      <x:c r="B205" s="23" t="str">
        <x:v>Ing Pairings- Fish.xlsx</x:v>
      </x:c>
      <x:c r="C205" s="23" t="str">
        <x:v>Sheet1</x:v>
      </x:c>
      <x:c r="D205" s="23" t="str">
        <x:v>fish</x:v>
      </x:c>
      <x:c r="E205" s="23" t="str">
        <x:v>fish</x:v>
      </x:c>
      <x:c r="F205" s="23" t="str">
        <x:v>family:seafood</x:v>
      </x:c>
      <x:c r="G205" s="23" t="str">
        <x:v>chicken</x:v>
      </x:c>
      <x:c r="H205" s="23" t="str">
        <x:v>Ginger</x:v>
      </x:c>
      <x:c r="I205" s="23" t="n">
        <x:v>18.8</x:v>
      </x:c>
      <x:c r="J205" s="23" t="str">
        <x:v>behavioral_regression_candidate</x:v>
      </x:c>
      <x:c r="K205" s="23" t="str">
        <x:v>legacy_output_unverified</x:v>
      </x:c>
      <x:c r="L205" s="23" t="str"/>
      <x:c r="M205" s="23" t="str"/>
    </x:row>
    <x:row r="206">
      <x:c r="A206" s="23" t="str">
        <x:v>LT-0205</x:v>
      </x:c>
      <x:c r="B206" s="23" t="str">
        <x:v>Ing Pairings- Fish.xlsx</x:v>
      </x:c>
      <x:c r="C206" s="23" t="str">
        <x:v>Sheet1</x:v>
      </x:c>
      <x:c r="D206" s="23" t="str">
        <x:v>fish</x:v>
      </x:c>
      <x:c r="E206" s="23" t="str">
        <x:v>fish</x:v>
      </x:c>
      <x:c r="F206" s="23" t="str">
        <x:v>family:seafood</x:v>
      </x:c>
      <x:c r="G206" s="23" t="str">
        <x:v>cinnamon</x:v>
      </x:c>
      <x:c r="H206" s="23" t="str">
        <x:v>Medicinal- Mastic</x:v>
      </x:c>
      <x:c r="I206" s="23" t="n">
        <x:v>10.8</x:v>
      </x:c>
      <x:c r="J206" s="23" t="str">
        <x:v>behavioral_regression_candidate</x:v>
      </x:c>
      <x:c r="K206" s="23" t="str">
        <x:v>legacy_output_unverified</x:v>
      </x:c>
      <x:c r="L206" s="23" t="str"/>
      <x:c r="M206" s="23" t="str"/>
    </x:row>
    <x:row r="207">
      <x:c r="A207" s="23" t="str">
        <x:v>LT-0206</x:v>
      </x:c>
      <x:c r="B207" s="23" t="str">
        <x:v>Ing Pairings- Fish.xlsx</x:v>
      </x:c>
      <x:c r="C207" s="23" t="str">
        <x:v>Sheet1</x:v>
      </x:c>
      <x:c r="D207" s="23" t="str">
        <x:v>fish</x:v>
      </x:c>
      <x:c r="E207" s="23" t="str">
        <x:v>fish</x:v>
      </x:c>
      <x:c r="F207" s="23" t="str">
        <x:v>family:seafood</x:v>
      </x:c>
      <x:c r="G207" s="23" t="str">
        <x:v>citrus</x:v>
      </x:c>
      <x:c r="H207" s="23" t="str">
        <x:v>Mentha</x:v>
      </x:c>
      <x:c r="I207" s="23" t="n">
        <x:v>20.1</x:v>
      </x:c>
      <x:c r="J207" s="23" t="str">
        <x:v>behavioral_regression_candidate</x:v>
      </x:c>
      <x:c r="K207" s="23" t="str">
        <x:v>legacy_output_unverified</x:v>
      </x:c>
      <x:c r="L207" s="23" t="str"/>
      <x:c r="M207" s="23" t="str"/>
    </x:row>
    <x:row r="208">
      <x:c r="A208" s="23" t="str">
        <x:v>LT-0207</x:v>
      </x:c>
      <x:c r="B208" s="23" t="str">
        <x:v>Ing Pairings- Fish.xlsx</x:v>
      </x:c>
      <x:c r="C208" s="23" t="str">
        <x:v>Sheet1</x:v>
      </x:c>
      <x:c r="D208" s="23" t="str">
        <x:v>fish</x:v>
      </x:c>
      <x:c r="E208" s="23" t="str">
        <x:v>fish</x:v>
      </x:c>
      <x:c r="F208" s="23" t="str">
        <x:v>family:seafood</x:v>
      </x:c>
      <x:c r="G208" s="23" t="str">
        <x:v>clam</x:v>
      </x:c>
      <x:c r="H208" s="23" t="str">
        <x:v>Spice- Pepper</x:v>
      </x:c>
      <x:c r="I208" s="23" t="n">
        <x:v>6.1</x:v>
      </x:c>
      <x:c r="J208" s="23" t="str">
        <x:v>behavioral_regression_candidate</x:v>
      </x:c>
      <x:c r="K208" s="23" t="str">
        <x:v>legacy_output_unverified</x:v>
      </x:c>
      <x:c r="L208" s="23" t="str"/>
      <x:c r="M208" s="23" t="str"/>
    </x:row>
    <x:row r="209">
      <x:c r="A209" s="23" t="str">
        <x:v>LT-0208</x:v>
      </x:c>
      <x:c r="B209" s="23" t="str">
        <x:v>Ing Pairings- Fish.xlsx</x:v>
      </x:c>
      <x:c r="C209" s="23" t="str">
        <x:v>Sheet1</x:v>
      </x:c>
      <x:c r="D209" s="23" t="str">
        <x:v>fish</x:v>
      </x:c>
      <x:c r="E209" s="23" t="str">
        <x:v>fish</x:v>
      </x:c>
      <x:c r="F209" s="23" t="str">
        <x:v>family:seafood</x:v>
      </x:c>
      <x:c r="G209" s="23" t="str">
        <x:v>coffee</x:v>
      </x:c>
      <x:c r="H209" s="23" t="str">
        <x:v>Cardamom</x:v>
      </x:c>
      <x:c r="I209" s="23" t="n">
        <x:v>25.6</x:v>
      </x:c>
      <x:c r="J209" s="23" t="str">
        <x:v>behavioral_regression_candidate</x:v>
      </x:c>
      <x:c r="K209" s="23" t="str">
        <x:v>legacy_output_unverified</x:v>
      </x:c>
      <x:c r="L209" s="23" t="str"/>
      <x:c r="M209" s="23" t="str"/>
    </x:row>
    <x:row r="210">
      <x:c r="A210" s="23" t="str">
        <x:v>LT-0209</x:v>
      </x:c>
      <x:c r="B210" s="23" t="str">
        <x:v>Ing Pairings- Fish.xlsx</x:v>
      </x:c>
      <x:c r="C210" s="23" t="str">
        <x:v>Sheet1</x:v>
      </x:c>
      <x:c r="D210" s="23" t="str">
        <x:v>fish</x:v>
      </x:c>
      <x:c r="E210" s="23" t="str">
        <x:v>fish</x:v>
      </x:c>
      <x:c r="F210" s="23" t="str">
        <x:v>family:seafood</x:v>
      </x:c>
      <x:c r="G210" s="23" t="str">
        <x:v>CORIANDER</x:v>
      </x:c>
      <x:c r="H210" s="23" t="str">
        <x:v>Petrol- Oregano</x:v>
      </x:c>
      <x:c r="I210" s="23" t="n">
        <x:v>11.5</x:v>
      </x:c>
      <x:c r="J210" s="23" t="str">
        <x:v>behavioral_regression_candidate</x:v>
      </x:c>
      <x:c r="K210" s="23" t="str">
        <x:v>legacy_output_unverified</x:v>
      </x:c>
      <x:c r="L210" s="23" t="str"/>
      <x:c r="M210" s="23" t="str"/>
    </x:row>
    <x:row r="211">
      <x:c r="A211" s="23" t="str">
        <x:v>LT-0210</x:v>
      </x:c>
      <x:c r="B211" s="23" t="str">
        <x:v>Ing Pairings- Fish.xlsx</x:v>
      </x:c>
      <x:c r="C211" s="23" t="str">
        <x:v>Sheet1</x:v>
      </x:c>
      <x:c r="D211" s="23" t="str">
        <x:v>fish</x:v>
      </x:c>
      <x:c r="E211" s="23" t="str">
        <x:v>fish</x:v>
      </x:c>
      <x:c r="F211" s="23" t="str">
        <x:v>family:seafood</x:v>
      </x:c>
      <x:c r="G211" s="23" t="str">
        <x:v>cumin</x:v>
      </x:c>
      <x:c r="H211" s="23" t="str">
        <x:v>Smoke- malt whisky</x:v>
      </x:c>
      <x:c r="I211" s="23" t="n">
        <x:v>38.9</x:v>
      </x:c>
      <x:c r="J211" s="23" t="str">
        <x:v>behavioral_regression_candidate</x:v>
      </x:c>
      <x:c r="K211" s="23" t="str">
        <x:v>legacy_output_unverified</x:v>
      </x:c>
      <x:c r="L211" s="23" t="str"/>
      <x:c r="M211" s="23" t="str"/>
    </x:row>
    <x:row r="212">
      <x:c r="A212" s="23" t="str">
        <x:v>LT-0211</x:v>
      </x:c>
      <x:c r="B212" s="23" t="str">
        <x:v>Ing Pairings- Fish.xlsx</x:v>
      </x:c>
      <x:c r="C212" s="23" t="str">
        <x:v>Sheet1</x:v>
      </x:c>
      <x:c r="D212" s="23" t="str">
        <x:v>fish</x:v>
      </x:c>
      <x:c r="E212" s="23" t="str">
        <x:v>fish</x:v>
      </x:c>
      <x:c r="F212" s="23" t="str">
        <x:v>family:seafood</x:v>
      </x:c>
      <x:c r="G212" s="23" t="str">
        <x:v>curcuma</x:v>
      </x:c>
      <x:c r="H212" s="23" t="str">
        <x:v>Vanilla</x:v>
      </x:c>
      <x:c r="I212" s="23" t="n">
        <x:v>38.8</x:v>
      </x:c>
      <x:c r="J212" s="23" t="str">
        <x:v>behavioral_regression_candidate</x:v>
      </x:c>
      <x:c r="K212" s="23" t="str">
        <x:v>legacy_output_unverified</x:v>
      </x:c>
      <x:c r="L212" s="23" t="str"/>
      <x:c r="M212" s="23" t="str"/>
    </x:row>
    <x:row r="213">
      <x:c r="A213" s="23" t="str">
        <x:v>LT-0212</x:v>
      </x:c>
      <x:c r="B213" s="23" t="str">
        <x:v>Ing Pairings- Fish.xlsx</x:v>
      </x:c>
      <x:c r="C213" s="23" t="str">
        <x:v>Sheet1</x:v>
      </x:c>
      <x:c r="D213" s="23" t="str">
        <x:v>fish</x:v>
      </x:c>
      <x:c r="E213" s="23" t="str">
        <x:v>fish</x:v>
      </x:c>
      <x:c r="F213" s="23" t="str">
        <x:v>family:seafood</x:v>
      </x:c>
      <x:c r="G213" s="23" t="str">
        <x:v>curry</x:v>
      </x:c>
      <x:c r="H213" s="23" t="str">
        <x:v>Chocolate- Roasted Cocoa Beans</x:v>
      </x:c>
      <x:c r="I213" s="23" t="n">
        <x:v>41.8</x:v>
      </x:c>
      <x:c r="J213" s="23" t="str">
        <x:v>behavioral_regression_candidate</x:v>
      </x:c>
      <x:c r="K213" s="23" t="str">
        <x:v>legacy_output_unverified</x:v>
      </x:c>
      <x:c r="L213" s="23" t="str"/>
      <x:c r="M213" s="23" t="str"/>
    </x:row>
    <x:row r="214">
      <x:c r="A214" s="23" t="str">
        <x:v>LT-0213</x:v>
      </x:c>
      <x:c r="B214" s="23" t="str">
        <x:v>Ing Pairings- Fish.xlsx</x:v>
      </x:c>
      <x:c r="C214" s="23" t="str">
        <x:v>Sheet1</x:v>
      </x:c>
      <x:c r="D214" s="23" t="str">
        <x:v>fish</x:v>
      </x:c>
      <x:c r="E214" s="23" t="str">
        <x:v>fish</x:v>
      </x:c>
      <x:c r="F214" s="23" t="str">
        <x:v>family:seafood</x:v>
      </x:c>
      <x:c r="G214" s="23" t="str">
        <x:v>dill</x:v>
      </x:c>
      <x:c r="H214" s="23" t="str">
        <x:v>Meaty- Chicken (roasted)</x:v>
      </x:c>
      <x:c r="I214" s="23" t="n">
        <x:v>51.7</x:v>
      </x:c>
      <x:c r="J214" s="23" t="str">
        <x:v>behavioral_regression_candidate</x:v>
      </x:c>
      <x:c r="K214" s="23" t="str">
        <x:v>legacy_output_unverified</x:v>
      </x:c>
      <x:c r="L214" s="23" t="str"/>
      <x:c r="M214" s="23" t="str"/>
    </x:row>
    <x:row r="215">
      <x:c r="A215" s="23" t="str">
        <x:v>LT-0214</x:v>
      </x:c>
      <x:c r="B215" s="23" t="str">
        <x:v>Ing Pairings- Fish.xlsx</x:v>
      </x:c>
      <x:c r="C215" s="23" t="str">
        <x:v>Sheet1</x:v>
      </x:c>
      <x:c r="D215" s="23" t="str">
        <x:v>fish</x:v>
      </x:c>
      <x:c r="E215" s="23" t="str">
        <x:v>fish</x:v>
      </x:c>
      <x:c r="F215" s="23" t="str">
        <x:v>family:seafood</x:v>
      </x:c>
      <x:c r="G215" s="23" t="str">
        <x:v>fennel</x:v>
      </x:c>
      <x:c r="H215" s="23" t="str">
        <x:v>Beef (roasted)</x:v>
      </x:c>
      <x:c r="I215" s="23" t="n">
        <x:v>34.7</x:v>
      </x:c>
      <x:c r="J215" s="23" t="str">
        <x:v>behavioral_regression_candidate</x:v>
      </x:c>
      <x:c r="K215" s="23" t="str">
        <x:v>legacy_output_unverified</x:v>
      </x:c>
      <x:c r="L215" s="23" t="str"/>
      <x:c r="M215" s="23" t="str"/>
    </x:row>
    <x:row r="216">
      <x:c r="A216" s="23" t="str">
        <x:v>LT-0215</x:v>
      </x:c>
      <x:c r="B216" s="23" t="str">
        <x:v>Ing Pairings- Fish.xlsx</x:v>
      </x:c>
      <x:c r="C216" s="23" t="str">
        <x:v>Sheet1</x:v>
      </x:c>
      <x:c r="D216" s="23" t="str">
        <x:v>fish</x:v>
      </x:c>
      <x:c r="E216" s="23" t="str">
        <x:v>fish</x:v>
      </x:c>
      <x:c r="F216" s="23" t="str">
        <x:v>family:seafood</x:v>
      </x:c>
      <x:c r="G216" s="23" t="str">
        <x:v>fish</x:v>
      </x:c>
      <x:c r="H216" s="23" t="str">
        <x:v>Caramel- Coffee</x:v>
      </x:c>
      <x:c r="I216" s="23" t="n">
        <x:v>42.9</x:v>
      </x:c>
      <x:c r="J216" s="23" t="str">
        <x:v>behavioral_regression_candidate</x:v>
      </x:c>
      <x:c r="K216" s="23" t="str">
        <x:v>legacy_output_unverified</x:v>
      </x:c>
      <x:c r="L216" s="23" t="str"/>
      <x:c r="M216" s="23" t="str"/>
    </x:row>
    <x:row r="217">
      <x:c r="A217" s="23" t="str">
        <x:v>LT-0216</x:v>
      </x:c>
      <x:c r="B217" s="23" t="str">
        <x:v>Ing Pairings- Fish.xlsx</x:v>
      </x:c>
      <x:c r="C217" s="23" t="str">
        <x:v>Sheet1</x:v>
      </x:c>
      <x:c r="D217" s="23" t="str">
        <x:v>fish</x:v>
      </x:c>
      <x:c r="E217" s="23" t="str">
        <x:v>fish</x:v>
      </x:c>
      <x:c r="F217" s="23" t="str">
        <x:v>family:seafood</x:v>
      </x:c>
      <x:c r="G217" s="23" t="str">
        <x:v>ginger</x:v>
      </x:c>
      <x:c r="H217" s="23" t="str">
        <x:v>Malt</x:v>
      </x:c>
      <x:c r="I217" s="23" t="n">
        <x:v>36.4</x:v>
      </x:c>
      <x:c r="J217" s="23" t="str">
        <x:v>behavioral_regression_candidate</x:v>
      </x:c>
      <x:c r="K217" s="23" t="str">
        <x:v>legacy_output_unverified</x:v>
      </x:c>
      <x:c r="L217" s="23" t="str"/>
      <x:c r="M217" s="23" t="str"/>
    </x:row>
    <x:row r="218">
      <x:c r="A218" s="23" t="str">
        <x:v>LT-0217</x:v>
      </x:c>
      <x:c r="B218" s="23" t="str">
        <x:v>Ing Pairings- Fish.xlsx</x:v>
      </x:c>
      <x:c r="C218" s="23" t="str">
        <x:v>Sheet1</x:v>
      </x:c>
      <x:c r="D218" s="23" t="str">
        <x:v>fish</x:v>
      </x:c>
      <x:c r="E218" s="23" t="str">
        <x:v>fish</x:v>
      </x:c>
      <x:c r="F218" s="23" t="str">
        <x:v>family:seafood</x:v>
      </x:c>
      <x:c r="G218" s="23" t="str">
        <x:v>grape</x:v>
      </x:c>
      <x:c r="H218" s="23" t="str">
        <x:v>Nutty- Hazelnut</x:v>
      </x:c>
      <x:c r="I218" s="23" t="n">
        <x:v>48.9</x:v>
      </x:c>
      <x:c r="J218" s="23" t="str">
        <x:v>behavioral_regression_candidate</x:v>
      </x:c>
      <x:c r="K218" s="23" t="str">
        <x:v>legacy_output_unverified</x:v>
      </x:c>
      <x:c r="L218" s="23" t="str"/>
      <x:c r="M218" s="23" t="str"/>
    </x:row>
    <x:row r="219">
      <x:c r="A219" s="23" t="str">
        <x:v>LT-0218</x:v>
      </x:c>
      <x:c r="B219" s="23" t="str">
        <x:v>Ing Pairings- Fish.xlsx</x:v>
      </x:c>
      <x:c r="C219" s="23" t="str">
        <x:v>Sheet1</x:v>
      </x:c>
      <x:c r="D219" s="23" t="str">
        <x:v>fish</x:v>
      </x:c>
      <x:c r="E219" s="23" t="str">
        <x:v>fish</x:v>
      </x:c>
      <x:c r="F219" s="23" t="str">
        <x:v>family:seafood</x:v>
      </x:c>
      <x:c r="G219" s="23" t="str">
        <x:v>hop</x:v>
      </x:c>
      <x:c r="H219" s="23" t="str">
        <x:v>Walnut</x:v>
      </x:c>
      <x:c r="I219" s="23" t="n">
        <x:v>47.9</x:v>
      </x:c>
      <x:c r="J219" s="23" t="str">
        <x:v>behavioral_regression_candidate</x:v>
      </x:c>
      <x:c r="K219" s="23" t="str">
        <x:v>legacy_output_unverified</x:v>
      </x:c>
      <x:c r="L219" s="23" t="str"/>
      <x:c r="M219" s="23" t="str"/>
    </x:row>
    <x:row r="220">
      <x:c r="A220" s="23" t="str">
        <x:v>LT-0219</x:v>
      </x:c>
      <x:c r="B220" s="23" t="str">
        <x:v>Ing Pairings- Fish.xlsx</x:v>
      </x:c>
      <x:c r="C220" s="23" t="str">
        <x:v>Sheet1</x:v>
      </x:c>
      <x:c r="D220" s="23" t="str">
        <x:v>fish</x:v>
      </x:c>
      <x:c r="E220" s="23" t="str">
        <x:v>fish</x:v>
      </x:c>
      <x:c r="F220" s="23" t="str">
        <x:v>family:seafood</x:v>
      </x:c>
      <x:c r="G220" s="23" t="str">
        <x:v>laurel</x:v>
      </x:c>
      <x:c r="H220" s="23" t="str">
        <x:v>Toasted- Wheaten Bread</x:v>
      </x:c>
      <x:c r="I220" s="23" t="n">
        <x:v>48.6</x:v>
      </x:c>
      <x:c r="J220" s="23" t="str">
        <x:v>behavioral_regression_candidate</x:v>
      </x:c>
      <x:c r="K220" s="23" t="str">
        <x:v>legacy_output_unverified</x:v>
      </x:c>
      <x:c r="L220" s="23" t="str"/>
      <x:c r="M220" s="23" t="str"/>
    </x:row>
    <x:row r="221">
      <x:c r="A221" s="23" t="str">
        <x:v>LT-0220</x:v>
      </x:c>
      <x:c r="B221" s="23" t="str">
        <x:v>Ing Pairings- Fish.xlsx</x:v>
      </x:c>
      <x:c r="C221" s="23" t="str">
        <x:v>Sheet1</x:v>
      </x:c>
      <x:c r="D221" s="23" t="str">
        <x:v>fish</x:v>
      </x:c>
      <x:c r="E221" s="23" t="str">
        <x:v>fish</x:v>
      </x:c>
      <x:c r="F221" s="23" t="str">
        <x:v>family:seafood</x:v>
      </x:c>
      <x:c r="G221" s="23" t="str">
        <x:v>lemonbalm</x:v>
      </x:c>
      <x:c r="H221" s="23" t="str">
        <x:v>Sulphur- Allium</x:v>
      </x:c>
      <x:c r="I221" s="23" t="n">
        <x:v>34.2</x:v>
      </x:c>
      <x:c r="J221" s="23" t="str">
        <x:v>behavioral_regression_candidate</x:v>
      </x:c>
      <x:c r="K221" s="23" t="str">
        <x:v>legacy_output_unverified</x:v>
      </x:c>
      <x:c r="L221" s="23" t="str"/>
      <x:c r="M221" s="23" t="str"/>
    </x:row>
    <x:row r="222">
      <x:c r="A222" s="23" t="str">
        <x:v>LT-0221</x:v>
      </x:c>
      <x:c r="B222" s="23" t="str">
        <x:v>Ing Pairings- Fish.xlsx</x:v>
      </x:c>
      <x:c r="C222" s="23" t="str">
        <x:v>Sheet1</x:v>
      </x:c>
      <x:c r="D222" s="23" t="str">
        <x:v>fish</x:v>
      </x:c>
      <x:c r="E222" s="23" t="str">
        <x:v>fish</x:v>
      </x:c>
      <x:c r="F222" s="23" t="str">
        <x:v>family:seafood</x:v>
      </x:c>
      <x:c r="G222" s="23" t="str">
        <x:v>lemongrass</x:v>
      </x:c>
      <x:c r="H222" s="23" t="str">
        <x:v>Pungent- Mustard</x:v>
      </x:c>
      <x:c r="I222" s="23" t="n">
        <x:v>39.4</x:v>
      </x:c>
      <x:c r="J222" s="23" t="str">
        <x:v>behavioral_regression_candidate</x:v>
      </x:c>
      <x:c r="K222" s="23" t="str">
        <x:v>legacy_output_unverified</x:v>
      </x:c>
      <x:c r="L222" s="23" t="str"/>
      <x:c r="M222" s="23" t="str"/>
    </x:row>
    <x:row r="223">
      <x:c r="A223" s="23" t="str">
        <x:v>LT-0222</x:v>
      </x:c>
      <x:c r="B223" s="23" t="str">
        <x:v>Ing Pairings- Fish.xlsx</x:v>
      </x:c>
      <x:c r="C223" s="23" t="str">
        <x:v>Sheet1</x:v>
      </x:c>
      <x:c r="D223" s="23" t="str">
        <x:v>fish</x:v>
      </x:c>
      <x:c r="E223" s="23" t="str">
        <x:v>fish</x:v>
      </x:c>
      <x:c r="F223" s="23" t="str">
        <x:v>family:seafood</x:v>
      </x:c>
      <x:c r="G223" s="23" t="str">
        <x:v>litchi</x:v>
      </x:c>
      <x:c r="H223" s="23" t="str">
        <x:v>Phenol- Wine</x:v>
      </x:c>
      <x:c r="I223" s="23" t="n">
        <x:v>33.8</x:v>
      </x:c>
      <x:c r="J223" s="23" t="str">
        <x:v>behavioral_regression_candidate</x:v>
      </x:c>
      <x:c r="K223" s="23" t="str">
        <x:v>legacy_output_unverified</x:v>
      </x:c>
      <x:c r="L223" s="23" t="str"/>
      <x:c r="M223" s="23" t="str"/>
    </x:row>
    <x:row r="224">
      <x:c r="A224" s="23" t="str">
        <x:v>LT-0223</x:v>
      </x:c>
      <x:c r="B224" s="23" t="str">
        <x:v>Ing Pairings- Fish.xlsx</x:v>
      </x:c>
      <x:c r="C224" s="23" t="str">
        <x:v>Sheet1</x:v>
      </x:c>
      <x:c r="D224" s="23" t="str">
        <x:v>fish</x:v>
      </x:c>
      <x:c r="E224" s="23" t="str">
        <x:v>fish</x:v>
      </x:c>
      <x:c r="F224" s="23" t="str">
        <x:v>family:seafood</x:v>
      </x:c>
      <x:c r="G224" s="23" t="str">
        <x:v>lovage</x:v>
      </x:c>
      <x:c r="H224" s="23" t="str">
        <x:v>Black Tea</x:v>
      </x:c>
      <x:c r="I224" s="23" t="n">
        <x:v>40.7</x:v>
      </x:c>
      <x:c r="J224" s="23" t="str">
        <x:v>behavioral_regression_candidate</x:v>
      </x:c>
      <x:c r="K224" s="23" t="str">
        <x:v>legacy_output_unverified</x:v>
      </x:c>
      <x:c r="L224" s="23" t="str"/>
      <x:c r="M224" s="23" t="str"/>
    </x:row>
    <x:row r="225">
      <x:c r="A225" s="23" t="str">
        <x:v>LT-0224</x:v>
      </x:c>
      <x:c r="B225" s="23" t="str">
        <x:v>Ing Pairings- Fish.xlsx</x:v>
      </x:c>
      <x:c r="C225" s="23" t="str">
        <x:v>Sheet1</x:v>
      </x:c>
      <x:c r="D225" s="23" t="str">
        <x:v>fish</x:v>
      </x:c>
      <x:c r="E225" s="23" t="str">
        <x:v>fish</x:v>
      </x:c>
      <x:c r="F225" s="23" t="str">
        <x:v>family:seafood</x:v>
      </x:c>
      <x:c r="G225" s="23" t="str">
        <x:v>maize</x:v>
      </x:c>
      <x:c r="H225" s="23" t="str">
        <x:v>Savory- Shoyu</x:v>
      </x:c>
      <x:c r="I225" s="23" t="n">
        <x:v>41.7</x:v>
      </x:c>
      <x:c r="J225" s="23" t="str">
        <x:v>behavioral_regression_candidate</x:v>
      </x:c>
      <x:c r="K225" s="23" t="str">
        <x:v>legacy_output_unverified</x:v>
      </x:c>
      <x:c r="L225" s="23" t="str"/>
      <x:c r="M225" s="23" t="str"/>
    </x:row>
    <x:row r="226">
      <x:c r="A226" s="23" t="str">
        <x:v>LT-0225</x:v>
      </x:c>
      <x:c r="B226" s="23" t="str">
        <x:v>Ing Pairings- Fish.xlsx</x:v>
      </x:c>
      <x:c r="C226" s="23" t="str">
        <x:v>Sheet1</x:v>
      </x:c>
      <x:c r="D226" s="23" t="str">
        <x:v>fish</x:v>
      </x:c>
      <x:c r="E226" s="23" t="str">
        <x:v>fish</x:v>
      </x:c>
      <x:c r="F226" s="23" t="str">
        <x:v>family:seafood</x:v>
      </x:c>
      <x:c r="G226" s="23" t="str">
        <x:v>mentha</x:v>
      </x:c>
      <x:c r="H226" s="23" t="str">
        <x:v>Katsuobushi</x:v>
      </x:c>
      <x:c r="I226" s="23" t="n">
        <x:v>59.9</x:v>
      </x:c>
      <x:c r="J226" s="23" t="str">
        <x:v>behavioral_regression_candidate</x:v>
      </x:c>
      <x:c r="K226" s="23" t="str">
        <x:v>legacy_output_unverified</x:v>
      </x:c>
      <x:c r="L226" s="23" t="str"/>
      <x:c r="M226" s="23" t="str"/>
    </x:row>
    <x:row r="227">
      <x:c r="A227" s="23" t="str">
        <x:v>LT-0226</x:v>
      </x:c>
      <x:c r="B227" s="23" t="str">
        <x:v>Ing Pairings- Fish.xlsx</x:v>
      </x:c>
      <x:c r="C227" s="23" t="str">
        <x:v>Sheet1</x:v>
      </x:c>
      <x:c r="D227" s="23" t="str">
        <x:v>fish</x:v>
      </x:c>
      <x:c r="E227" s="23" t="str">
        <x:v>fish</x:v>
      </x:c>
      <x:c r="F227" s="23" t="str">
        <x:v>family:seafood</x:v>
      </x:c>
      <x:c r="G227" s="23" t="str">
        <x:v>ocimum</x:v>
      </x:c>
      <x:c r="H227" s="23" t="str">
        <x:v>Sour- Vinegar</x:v>
      </x:c>
      <x:c r="I227" s="23" t="n">
        <x:v>50</x:v>
      </x:c>
      <x:c r="J227" s="23" t="str">
        <x:v>behavioral_regression_candidate</x:v>
      </x:c>
      <x:c r="K227" s="23" t="str">
        <x:v>legacy_output_unverified</x:v>
      </x:c>
      <x:c r="L227" s="23" t="str"/>
      <x:c r="M227" s="23" t="str"/>
    </x:row>
    <x:row r="228">
      <x:c r="A228" s="23" t="str">
        <x:v>LT-0227</x:v>
      </x:c>
      <x:c r="B228" s="23" t="str">
        <x:v>Ing Pairings- Fish.xlsx</x:v>
      </x:c>
      <x:c r="C228" s="23" t="str">
        <x:v>Sheet1</x:v>
      </x:c>
      <x:c r="D228" s="23" t="str">
        <x:v>fish</x:v>
      </x:c>
      <x:c r="E228" s="23" t="str">
        <x:v>fish</x:v>
      </x:c>
      <x:c r="F228" s="23" t="str">
        <x:v>family:seafood</x:v>
      </x:c>
      <x:c r="G228" s="23" t="str">
        <x:v>oregano</x:v>
      </x:c>
      <x:c r="H228" s="23" t="str">
        <x:v>Dairy- Milk</x:v>
      </x:c>
      <x:c r="I228" s="23" t="n">
        <x:v>50.8</x:v>
      </x:c>
      <x:c r="J228" s="23" t="str">
        <x:v>behavioral_regression_candidate</x:v>
      </x:c>
      <x:c r="K228" s="23" t="str">
        <x:v>legacy_output_unverified</x:v>
      </x:c>
      <x:c r="L228" s="23" t="str"/>
      <x:c r="M228" s="23" t="str"/>
    </x:row>
    <x:row r="229">
      <x:c r="A229" s="23" t="str">
        <x:v>LT-0228</x:v>
      </x:c>
      <x:c r="B229" s="23" t="str">
        <x:v>Ing Pairings- Fish.xlsx</x:v>
      </x:c>
      <x:c r="C229" s="23" t="str">
        <x:v>Sheet1</x:v>
      </x:c>
      <x:c r="D229" s="23" t="str">
        <x:v>fish</x:v>
      </x:c>
      <x:c r="E229" s="23" t="str">
        <x:v>fish</x:v>
      </x:c>
      <x:c r="F229" s="23" t="str">
        <x:v>family:seafood</x:v>
      </x:c>
      <x:c r="G229" s="23" t="str">
        <x:v>parsley</x:v>
      </x:c>
      <x:c r="H229" s="23" t="str">
        <x:v>Alcohol- Brandy</x:v>
      </x:c>
      <x:c r="I229" s="23" t="n">
        <x:v>33.1</x:v>
      </x:c>
      <x:c r="J229" s="23" t="str">
        <x:v>behavioral_regression_candidate</x:v>
      </x:c>
      <x:c r="K229" s="23" t="str">
        <x:v>legacy_output_unverified</x:v>
      </x:c>
      <x:c r="L229" s="23" t="str"/>
      <x:c r="M229" s="23" t="str"/>
    </x:row>
    <x:row r="230">
      <x:c r="A230" s="23" t="str">
        <x:v>LT-0229</x:v>
      </x:c>
      <x:c r="B230" s="23" t="str">
        <x:v>Ing Pairings- Fish.xlsx</x:v>
      </x:c>
      <x:c r="C230" s="23" t="str">
        <x:v>Sheet1</x:v>
      </x:c>
      <x:c r="D230" s="23" t="str">
        <x:v>fish</x:v>
      </x:c>
      <x:c r="E230" s="23" t="str">
        <x:v>fish</x:v>
      </x:c>
      <x:c r="F230" s="23" t="str">
        <x:v>family:seafood</x:v>
      </x:c>
      <x:c r="G230" s="23" t="str">
        <x:v>passion fruit</x:v>
      </x:c>
      <x:c r="H230" s="23" t="str">
        <x:v>Marine- Fish</x:v>
      </x:c>
      <x:c r="I230" s="23" t="n">
        <x:v>100</x:v>
      </x:c>
      <x:c r="J230" s="23" t="str">
        <x:v>behavioral_regression_candidate</x:v>
      </x:c>
      <x:c r="K230" s="23" t="str">
        <x:v>legacy_output_unverified</x:v>
      </x:c>
      <x:c r="L230" s="23" t="str"/>
      <x:c r="M230" s="23" t="str"/>
    </x:row>
    <x:row r="231">
      <x:c r="A231" s="23" t="str">
        <x:v>LT-0230</x:v>
      </x:c>
      <x:c r="B231" s="23" t="str">
        <x:v>Ing Pairings- Fish.xlsx</x:v>
      </x:c>
      <x:c r="C231" s="23" t="str">
        <x:v>Sheet1</x:v>
      </x:c>
      <x:c r="D231" s="23" t="str">
        <x:v>fish</x:v>
      </x:c>
      <x:c r="E231" s="23" t="str">
        <x:v>fish</x:v>
      </x:c>
      <x:c r="F231" s="23" t="str">
        <x:v>family:seafood</x:v>
      </x:c>
      <x:c r="G231" s="23" t="str">
        <x:v>peach</x:v>
      </x:c>
      <x:c r="H231" s="23" t="str">
        <x:v>Shrimp (cooked)</x:v>
      </x:c>
      <x:c r="I231" s="23" t="n">
        <x:v>48.6</x:v>
      </x:c>
      <x:c r="J231" s="23" t="str">
        <x:v>behavioral_regression_candidate</x:v>
      </x:c>
      <x:c r="K231" s="23" t="str">
        <x:v>legacy_output_unverified</x:v>
      </x:c>
      <x:c r="L231" s="23" t="str"/>
      <x:c r="M231" s="23" t="str"/>
    </x:row>
    <x:row r="232">
      <x:c r="A232" s="23" t="str">
        <x:v>LT-0231</x:v>
      </x:c>
      <x:c r="B232" s="23" t="str">
        <x:v>Ing Pairings- Fish.xlsx</x:v>
      </x:c>
      <x:c r="C232" s="23" t="str">
        <x:v>Sheet1</x:v>
      </x:c>
      <x:c r="D232" s="23" t="str">
        <x:v>fish</x:v>
      </x:c>
      <x:c r="E232" s="23" t="str">
        <x:v>fish</x:v>
      </x:c>
      <x:c r="F232" s="23" t="str">
        <x:v>family:seafood</x:v>
      </x:c>
      <x:c r="G232" s="23" t="str">
        <x:v>peanut</x:v>
      </x:c>
      <x:c r="H232" s="23" t="str"/>
      <x:c r="I232" s="23" t="str"/>
      <x:c r="J232" s="23" t="str">
        <x:v>behavioral_regression_candidate</x:v>
      </x:c>
      <x:c r="K232" s="23" t="str">
        <x:v>legacy_output_unverified</x:v>
      </x:c>
      <x:c r="L232" s="23" t="str"/>
      <x:c r="M232" s="23" t="str"/>
    </x:row>
    <x:row r="233">
      <x:c r="A233" s="23" t="str">
        <x:v>LT-0232</x:v>
      </x:c>
      <x:c r="B233" s="23" t="str">
        <x:v>Ing Pairings- Fish.xlsx</x:v>
      </x:c>
      <x:c r="C233" s="23" t="str">
        <x:v>Sheet1</x:v>
      </x:c>
      <x:c r="D233" s="23" t="str">
        <x:v>fish</x:v>
      </x:c>
      <x:c r="E233" s="23" t="str">
        <x:v>fish</x:v>
      </x:c>
      <x:c r="F233" s="23" t="str">
        <x:v>family:seafood</x:v>
      </x:c>
      <x:c r="G233" s="23" t="str">
        <x:v>pepper</x:v>
      </x:c>
      <x:c r="H233" s="23" t="str"/>
      <x:c r="I233" s="23" t="str"/>
      <x:c r="J233" s="23" t="str">
        <x:v>behavioral_regression_candidate</x:v>
      </x:c>
      <x:c r="K233" s="23" t="str">
        <x:v>legacy_output_unverified</x:v>
      </x:c>
      <x:c r="L233" s="23" t="str"/>
      <x:c r="M233" s="23" t="str"/>
    </x:row>
    <x:row r="234">
      <x:c r="A234" s="23" t="str">
        <x:v>LT-0233</x:v>
      </x:c>
      <x:c r="B234" s="23" t="str">
        <x:v>Ing Pairings- Fish.xlsx</x:v>
      </x:c>
      <x:c r="C234" s="23" t="str">
        <x:v>Sheet1</x:v>
      </x:c>
      <x:c r="D234" s="23" t="str">
        <x:v>fish</x:v>
      </x:c>
      <x:c r="E234" s="23" t="str">
        <x:v>fish</x:v>
      </x:c>
      <x:c r="F234" s="23" t="str">
        <x:v>family:seafood</x:v>
      </x:c>
      <x:c r="G234" s="23" t="str">
        <x:v>allspice</x:v>
      </x:c>
      <x:c r="H234" s="23" t="str"/>
      <x:c r="I234" s="23" t="str"/>
      <x:c r="J234" s="23" t="str">
        <x:v>behavioral_regression_candidate</x:v>
      </x:c>
      <x:c r="K234" s="23" t="str">
        <x:v>legacy_output_unverified</x:v>
      </x:c>
      <x:c r="L234" s="23" t="str"/>
      <x:c r="M234" s="23" t="str"/>
    </x:row>
    <x:row r="235">
      <x:c r="A235" s="23" t="str">
        <x:v>LT-0234</x:v>
      </x:c>
      <x:c r="B235" s="23" t="str">
        <x:v>Ing Pairings- Fish.xlsx</x:v>
      </x:c>
      <x:c r="C235" s="23" t="str">
        <x:v>Sheet1</x:v>
      </x:c>
      <x:c r="D235" s="23" t="str">
        <x:v>fish</x:v>
      </x:c>
      <x:c r="E235" s="23" t="str">
        <x:v>fish</x:v>
      </x:c>
      <x:c r="F235" s="23" t="str">
        <x:v>family:seafood</x:v>
      </x:c>
      <x:c r="G235" s="23" t="str">
        <x:v>pistachio</x:v>
      </x:c>
      <x:c r="H235" s="23" t="str"/>
      <x:c r="I235" s="23" t="str"/>
      <x:c r="J235" s="23" t="str">
        <x:v>behavioral_regression_candidate</x:v>
      </x:c>
      <x:c r="K235" s="23" t="str">
        <x:v>legacy_output_unverified</x:v>
      </x:c>
      <x:c r="L235" s="23" t="str"/>
      <x:c r="M235" s="23" t="str"/>
    </x:row>
    <x:row r="236">
      <x:c r="A236" s="23" t="str">
        <x:v>LT-0235</x:v>
      </x:c>
      <x:c r="B236" s="23" t="str">
        <x:v>Ing Pairings- Fish.xlsx</x:v>
      </x:c>
      <x:c r="C236" s="23" t="str">
        <x:v>Sheet1</x:v>
      </x:c>
      <x:c r="D236" s="23" t="str">
        <x:v>fish</x:v>
      </x:c>
      <x:c r="E236" s="23" t="str">
        <x:v>fish</x:v>
      </x:c>
      <x:c r="F236" s="23" t="str">
        <x:v>family:seafood</x:v>
      </x:c>
      <x:c r="G236" s="23" t="str">
        <x:v>plum</x:v>
      </x:c>
      <x:c r="H236" s="23" t="str"/>
      <x:c r="I236" s="23" t="str"/>
      <x:c r="J236" s="23" t="str">
        <x:v>behavioral_regression_candidate</x:v>
      </x:c>
      <x:c r="K236" s="23" t="str">
        <x:v>legacy_output_unverified</x:v>
      </x:c>
      <x:c r="L236" s="23" t="str"/>
      <x:c r="M236" s="23" t="str"/>
    </x:row>
    <x:row r="237">
      <x:c r="A237" s="23" t="str">
        <x:v>LT-0236</x:v>
      </x:c>
      <x:c r="B237" s="23" t="str">
        <x:v>Ing Pairings- Fish.xlsx</x:v>
      </x:c>
      <x:c r="C237" s="23" t="str">
        <x:v>Sheet1</x:v>
      </x:c>
      <x:c r="D237" s="23" t="str">
        <x:v>fish</x:v>
      </x:c>
      <x:c r="E237" s="23" t="str">
        <x:v>fish</x:v>
      </x:c>
      <x:c r="F237" s="23" t="str">
        <x:v>family:seafood</x:v>
      </x:c>
      <x:c r="G237" s="23" t="str">
        <x:v>pomegranate</x:v>
      </x:c>
      <x:c r="H237" s="23" t="str"/>
      <x:c r="I237" s="23" t="str"/>
      <x:c r="J237" s="23" t="str">
        <x:v>behavioral_regression_candidate</x:v>
      </x:c>
      <x:c r="K237" s="23" t="str">
        <x:v>legacy_output_unverified</x:v>
      </x:c>
      <x:c r="L237" s="23" t="str"/>
      <x:c r="M237" s="23" t="str"/>
    </x:row>
    <x:row r="238">
      <x:c r="A238" s="23" t="str">
        <x:v>LT-0237</x:v>
      </x:c>
      <x:c r="B238" s="23" t="str">
        <x:v>Ing Pairings- Fish.xlsx</x:v>
      </x:c>
      <x:c r="C238" s="23" t="str">
        <x:v>Sheet1</x:v>
      </x:c>
      <x:c r="D238" s="23" t="str">
        <x:v>fish</x:v>
      </x:c>
      <x:c r="E238" s="23" t="str">
        <x:v>fish</x:v>
      </x:c>
      <x:c r="F238" s="23" t="str">
        <x:v>family:seafood</x:v>
      </x:c>
      <x:c r="G238" s="23" t="str">
        <x:v>raspberry, blackberry</x:v>
      </x:c>
      <x:c r="H238" s="23" t="str"/>
      <x:c r="I238" s="23" t="str"/>
      <x:c r="J238" s="23" t="str">
        <x:v>behavioral_regression_candidate</x:v>
      </x:c>
      <x:c r="K238" s="23" t="str">
        <x:v>legacy_output_unverified</x:v>
      </x:c>
      <x:c r="L238" s="23" t="str"/>
      <x:c r="M238" s="23" t="str"/>
    </x:row>
    <x:row r="239">
      <x:c r="A239" s="23" t="str">
        <x:v>LT-0238</x:v>
      </x:c>
      <x:c r="B239" s="23" t="str">
        <x:v>Ing Pairings- Fish.xlsx</x:v>
      </x:c>
      <x:c r="C239" s="23" t="str">
        <x:v>Sheet1</x:v>
      </x:c>
      <x:c r="D239" s="23" t="str">
        <x:v>fish</x:v>
      </x:c>
      <x:c r="E239" s="23" t="str">
        <x:v>fish</x:v>
      </x:c>
      <x:c r="F239" s="23" t="str">
        <x:v>family:seafood</x:v>
      </x:c>
      <x:c r="G239" s="23" t="str">
        <x:v>rosemary</x:v>
      </x:c>
      <x:c r="H239" s="23" t="str"/>
      <x:c r="I239" s="23" t="str"/>
      <x:c r="J239" s="23" t="str">
        <x:v>behavioral_regression_candidate</x:v>
      </x:c>
      <x:c r="K239" s="23" t="str">
        <x:v>legacy_output_unverified</x:v>
      </x:c>
      <x:c r="L239" s="23" t="str"/>
      <x:c r="M239" s="23" t="str"/>
    </x:row>
    <x:row r="240">
      <x:c r="A240" s="23" t="str">
        <x:v>LT-0239</x:v>
      </x:c>
      <x:c r="B240" s="23" t="str">
        <x:v>Ing Pairings- Fish.xlsx</x:v>
      </x:c>
      <x:c r="C240" s="23" t="str">
        <x:v>Sheet1</x:v>
      </x:c>
      <x:c r="D240" s="23" t="str">
        <x:v>fish</x:v>
      </x:c>
      <x:c r="E240" s="23" t="str">
        <x:v>fish</x:v>
      </x:c>
      <x:c r="F240" s="23" t="str">
        <x:v>family:seafood</x:v>
      </x:c>
      <x:c r="G240" s="23" t="str">
        <x:v>salvia</x:v>
      </x:c>
      <x:c r="H240" s="23" t="str"/>
      <x:c r="I240" s="23" t="str"/>
      <x:c r="J240" s="23" t="str">
        <x:v>behavioral_regression_candidate</x:v>
      </x:c>
      <x:c r="K240" s="23" t="str">
        <x:v>legacy_output_unverified</x:v>
      </x:c>
      <x:c r="L240" s="23" t="str"/>
      <x:c r="M240" s="23" t="str"/>
    </x:row>
    <x:row r="241">
      <x:c r="A241" s="23" t="str">
        <x:v>LT-0240</x:v>
      </x:c>
      <x:c r="B241" s="23" t="str">
        <x:v>Ing Pairings- Fish.xlsx</x:v>
      </x:c>
      <x:c r="C241" s="23" t="str">
        <x:v>Sheet1</x:v>
      </x:c>
      <x:c r="D241" s="23" t="str">
        <x:v>fish</x:v>
      </x:c>
      <x:c r="E241" s="23" t="str">
        <x:v>fish</x:v>
      </x:c>
      <x:c r="F241" s="23" t="str">
        <x:v>family:seafood</x:v>
      </x:c>
      <x:c r="G241" s="23" t="str">
        <x:v>satureja</x:v>
      </x:c>
      <x:c r="H241" s="23" t="str"/>
      <x:c r="I241" s="23" t="str"/>
      <x:c r="J241" s="23" t="str">
        <x:v>behavioral_regression_candidate</x:v>
      </x:c>
      <x:c r="K241" s="23" t="str">
        <x:v>legacy_output_unverified</x:v>
      </x:c>
      <x:c r="L241" s="23" t="str"/>
      <x:c r="M241" s="23" t="str"/>
    </x:row>
    <x:row r="242">
      <x:c r="A242" s="23" t="str">
        <x:v>LT-0241</x:v>
      </x:c>
      <x:c r="B242" s="23" t="str">
        <x:v>Ing Pairings- Fish.xlsx</x:v>
      </x:c>
      <x:c r="C242" s="23" t="str">
        <x:v>Sheet1</x:v>
      </x:c>
      <x:c r="D242" s="23" t="str">
        <x:v>fish</x:v>
      </x:c>
      <x:c r="E242" s="23" t="str">
        <x:v>fish</x:v>
      </x:c>
      <x:c r="F242" s="23" t="str">
        <x:v>family:seafood</x:v>
      </x:c>
      <x:c r="G242" s="23" t="str">
        <x:v>star anise</x:v>
      </x:c>
      <x:c r="H242" s="23" t="str"/>
      <x:c r="I242" s="23" t="str"/>
      <x:c r="J242" s="23" t="str">
        <x:v>behavioral_regression_candidate</x:v>
      </x:c>
      <x:c r="K242" s="23" t="str">
        <x:v>legacy_output_unverified</x:v>
      </x:c>
      <x:c r="L242" s="23" t="str"/>
      <x:c r="M242" s="23" t="str"/>
    </x:row>
    <x:row r="243">
      <x:c r="A243" s="23" t="str">
        <x:v>LT-0242</x:v>
      </x:c>
      <x:c r="B243" s="23" t="str">
        <x:v>Ing Pairings- Fish.xlsx</x:v>
      </x:c>
      <x:c r="C243" s="23" t="str">
        <x:v>Sheet1</x:v>
      </x:c>
      <x:c r="D243" s="23" t="str">
        <x:v>fish</x:v>
      </x:c>
      <x:c r="E243" s="23" t="str">
        <x:v>fish</x:v>
      </x:c>
      <x:c r="F243" s="23" t="str">
        <x:v>family:seafood</x:v>
      </x:c>
      <x:c r="G243" s="23" t="str">
        <x:v>tarragon</x:v>
      </x:c>
      <x:c r="H243" s="23" t="str"/>
      <x:c r="I243" s="23" t="str"/>
      <x:c r="J243" s="23" t="str">
        <x:v>behavioral_regression_candidate</x:v>
      </x:c>
      <x:c r="K243" s="23" t="str">
        <x:v>legacy_output_unverified</x:v>
      </x:c>
      <x:c r="L243" s="23" t="str"/>
      <x:c r="M243" s="23" t="str"/>
    </x:row>
    <x:row r="244">
      <x:c r="A244" s="23" t="str">
        <x:v>LT-0243</x:v>
      </x:c>
      <x:c r="B244" s="23" t="str">
        <x:v>Ing Pairings- Fish.xlsx</x:v>
      </x:c>
      <x:c r="C244" s="23" t="str">
        <x:v>Sheet1</x:v>
      </x:c>
      <x:c r="D244" s="23" t="str">
        <x:v>fish</x:v>
      </x:c>
      <x:c r="E244" s="23" t="str">
        <x:v>fish</x:v>
      </x:c>
      <x:c r="F244" s="23" t="str">
        <x:v>family:seafood</x:v>
      </x:c>
      <x:c r="G244" s="23" t="str">
        <x:v>tea</x:v>
      </x:c>
      <x:c r="H244" s="23" t="str"/>
      <x:c r="I244" s="23" t="str"/>
      <x:c r="J244" s="23" t="str">
        <x:v>behavioral_regression_candidate</x:v>
      </x:c>
      <x:c r="K244" s="23" t="str">
        <x:v>legacy_output_unverified</x:v>
      </x:c>
      <x:c r="L244" s="23" t="str"/>
      <x:c r="M244" s="23" t="str"/>
    </x:row>
    <x:row r="245">
      <x:c r="A245" s="23" t="str">
        <x:v>LT-0244</x:v>
      </x:c>
      <x:c r="B245" s="23" t="str">
        <x:v>Ing Pairings- Fish.xlsx</x:v>
      </x:c>
      <x:c r="C245" s="23" t="str">
        <x:v>Sheet1</x:v>
      </x:c>
      <x:c r="D245" s="23" t="str">
        <x:v>fish</x:v>
      </x:c>
      <x:c r="E245" s="23" t="str">
        <x:v>fish</x:v>
      </x:c>
      <x:c r="F245" s="23" t="str">
        <x:v>family:seafood</x:v>
      </x:c>
      <x:c r="G245" s="23" t="str">
        <x:v>thyme</x:v>
      </x:c>
      <x:c r="H245" s="23" t="str"/>
      <x:c r="I245" s="23" t="str"/>
      <x:c r="J245" s="23" t="str">
        <x:v>behavioral_regression_candidate</x:v>
      </x:c>
      <x:c r="K245" s="23" t="str">
        <x:v>legacy_output_unverified</x:v>
      </x:c>
      <x:c r="L245" s="23" t="str"/>
      <x:c r="M245" s="23" t="str"/>
    </x:row>
    <x:row r="246">
      <x:c r="A246" s="23" t="str">
        <x:v>LT-0245</x:v>
      </x:c>
      <x:c r="B246" s="23" t="str">
        <x:v>Ing Pairings- Fish.xlsx</x:v>
      </x:c>
      <x:c r="C246" s="23" t="str">
        <x:v>Sheet1</x:v>
      </x:c>
      <x:c r="D246" s="23" t="str">
        <x:v>fish</x:v>
      </x:c>
      <x:c r="E246" s="23" t="str">
        <x:v>fish</x:v>
      </x:c>
      <x:c r="F246" s="23" t="str">
        <x:v>family:seafood</x:v>
      </x:c>
      <x:c r="G246" s="23" t="str">
        <x:v>tomato</x:v>
      </x:c>
      <x:c r="H246" s="23" t="str"/>
      <x:c r="I246" s="23" t="str"/>
      <x:c r="J246" s="23" t="str">
        <x:v>behavioral_regression_candidate</x:v>
      </x:c>
      <x:c r="K246" s="23" t="str">
        <x:v>legacy_output_unverified</x:v>
      </x:c>
      <x:c r="L246" s="23" t="str"/>
      <x:c r="M246" s="23" t="str"/>
    </x:row>
    <x:row r="247">
      <x:c r="A247" s="23" t="str">
        <x:v>LT-0246</x:v>
      </x:c>
      <x:c r="B247" s="23" t="str">
        <x:v>Ing Pairings- Fish.xlsx</x:v>
      </x:c>
      <x:c r="C247" s="23" t="str">
        <x:v>Sheet1</x:v>
      </x:c>
      <x:c r="D247" s="23" t="str">
        <x:v>fish</x:v>
      </x:c>
      <x:c r="E247" s="23" t="str">
        <x:v>fish</x:v>
      </x:c>
      <x:c r="F247" s="23" t="str">
        <x:v>family:seafood</x:v>
      </x:c>
      <x:c r="G247" s="23" t="str">
        <x:v>capsicum</x:v>
      </x:c>
      <x:c r="H247" s="23" t="str"/>
      <x:c r="I247" s="23" t="str"/>
      <x:c r="J247" s="23" t="str">
        <x:v>behavioral_regression_candidate</x:v>
      </x:c>
      <x:c r="K247" s="23" t="str">
        <x:v>legacy_output_unverified</x:v>
      </x:c>
      <x:c r="L247" s="23" t="str"/>
      <x:c r="M247" s="23" t="str"/>
    </x:row>
    <x:row r="248">
      <x:c r="A248" s="23" t="str">
        <x:v>LT-0247</x:v>
      </x:c>
      <x:c r="B248" s="23" t="str">
        <x:v>Ing Pairings- Fish.xlsx</x:v>
      </x:c>
      <x:c r="C248" s="23" t="str">
        <x:v>Sheet1</x:v>
      </x:c>
      <x:c r="D248" s="23" t="str">
        <x:v>fish</x:v>
      </x:c>
      <x:c r="E248" s="23" t="str">
        <x:v>fish</x:v>
      </x:c>
      <x:c r="F248" s="23" t="str">
        <x:v>family:seafood</x:v>
      </x:c>
      <x:c r="G248" s="23" t="str">
        <x:v>beef</x:v>
      </x:c>
      <x:c r="H248" s="23" t="str"/>
      <x:c r="I248" s="23" t="str"/>
      <x:c r="J248" s="23" t="str">
        <x:v>behavioral_regression_candidate</x:v>
      </x:c>
      <x:c r="K248" s="23" t="str">
        <x:v>legacy_output_unverified</x:v>
      </x:c>
      <x:c r="L248" s="23" t="str"/>
      <x:c r="M248" s="23" t="str"/>
    </x:row>
    <x:row r="249">
      <x:c r="A249" s="23" t="str">
        <x:v>LT-0248</x:v>
      </x:c>
      <x:c r="B249" s="23" t="str">
        <x:v>Ing Pairings- Fish.xlsx</x:v>
      </x:c>
      <x:c r="C249" s="23" t="str">
        <x:v>Sheet1</x:v>
      </x:c>
      <x:c r="D249" s="23" t="str">
        <x:v>fish</x:v>
      </x:c>
      <x:c r="E249" s="23" t="str">
        <x:v>fish</x:v>
      </x:c>
      <x:c r="F249" s="23" t="str">
        <x:v>family:seafood</x:v>
      </x:c>
      <x:c r="G249" s="23" t="str">
        <x:v>caviar</x:v>
      </x:c>
      <x:c r="H249" s="23" t="str"/>
      <x:c r="I249" s="23" t="str"/>
      <x:c r="J249" s="23" t="str">
        <x:v>behavioral_regression_candidate</x:v>
      </x:c>
      <x:c r="K249" s="23" t="str">
        <x:v>legacy_output_unverified</x:v>
      </x:c>
      <x:c r="L249" s="23" t="str"/>
      <x:c r="M249" s="23" t="str"/>
    </x:row>
    <x:row r="250">
      <x:c r="A250" s="23" t="str">
        <x:v>LT-0249</x:v>
      </x:c>
      <x:c r="B250" s="23" t="str">
        <x:v>Ing Pairings- Fish.xlsx</x:v>
      </x:c>
      <x:c r="C250" s="23" t="str">
        <x:v>Sheet1</x:v>
      </x:c>
      <x:c r="D250" s="23" t="str">
        <x:v>fish</x:v>
      </x:c>
      <x:c r="E250" s="23" t="str">
        <x:v>fish</x:v>
      </x:c>
      <x:c r="F250" s="23" t="str">
        <x:v>family:seafood</x:v>
      </x:c>
      <x:c r="G250" s="23" t="str">
        <x:v>cheese</x:v>
      </x:c>
      <x:c r="H250" s="23" t="str"/>
      <x:c r="I250" s="23" t="str"/>
      <x:c r="J250" s="23" t="str">
        <x:v>behavioral_regression_candidate</x:v>
      </x:c>
      <x:c r="K250" s="23" t="str">
        <x:v>legacy_output_unverified</x:v>
      </x:c>
      <x:c r="L250" s="23" t="str"/>
      <x:c r="M250" s="23" t="str"/>
    </x:row>
    <x:row r="251">
      <x:c r="A251" s="23" t="str">
        <x:v>LT-0250</x:v>
      </x:c>
      <x:c r="B251" s="23" t="str">
        <x:v>Ing Pairings- Fish.xlsx</x:v>
      </x:c>
      <x:c r="C251" s="23" t="str">
        <x:v>Sheet1</x:v>
      </x:c>
      <x:c r="D251" s="23" t="str">
        <x:v>fish</x:v>
      </x:c>
      <x:c r="E251" s="23" t="str">
        <x:v>fish</x:v>
      </x:c>
      <x:c r="F251" s="23" t="str">
        <x:v>family:seafood</x:v>
      </x:c>
      <x:c r="G251" s="23" t="str">
        <x:v>cocoa</x:v>
      </x:c>
      <x:c r="H251" s="23" t="str"/>
      <x:c r="I251" s="23" t="str"/>
      <x:c r="J251" s="23" t="str">
        <x:v>behavioral_regression_candidate</x:v>
      </x:c>
      <x:c r="K251" s="23" t="str">
        <x:v>legacy_output_unverified</x:v>
      </x:c>
      <x:c r="L251" s="23" t="str"/>
      <x:c r="M251" s="23" t="str"/>
    </x:row>
    <x:row r="252">
      <x:c r="A252" s="23" t="str">
        <x:v>LT-0251</x:v>
      </x:c>
      <x:c r="B252" s="23" t="str">
        <x:v>Ing Pairings- Fish.xlsx</x:v>
      </x:c>
      <x:c r="C252" s="23" t="str">
        <x:v>Sheet1</x:v>
      </x:c>
      <x:c r="D252" s="23" t="str">
        <x:v>fish</x:v>
      </x:c>
      <x:c r="E252" s="23" t="str">
        <x:v>fish</x:v>
      </x:c>
      <x:c r="F252" s="23" t="str">
        <x:v>family:seafood</x:v>
      </x:c>
      <x:c r="G252" s="23" t="str">
        <x:v>crab</x:v>
      </x:c>
      <x:c r="H252" s="23" t="str"/>
      <x:c r="I252" s="23" t="str"/>
      <x:c r="J252" s="23" t="str">
        <x:v>behavioral_regression_candidate</x:v>
      </x:c>
      <x:c r="K252" s="23" t="str">
        <x:v>legacy_output_unverified</x:v>
      </x:c>
      <x:c r="L252" s="23" t="str"/>
      <x:c r="M252" s="23" t="str"/>
    </x:row>
    <x:row r="253">
      <x:c r="A253" s="23" t="str">
        <x:v>LT-0252</x:v>
      </x:c>
      <x:c r="B253" s="23" t="str">
        <x:v>Ing Pairings- Fish.xlsx</x:v>
      </x:c>
      <x:c r="C253" s="23" t="str">
        <x:v>Sheet1</x:v>
      </x:c>
      <x:c r="D253" s="23" t="str">
        <x:v>fish</x:v>
      </x:c>
      <x:c r="E253" s="23" t="str">
        <x:v>fish</x:v>
      </x:c>
      <x:c r="F253" s="23" t="str">
        <x:v>family:seafood</x:v>
      </x:c>
      <x:c r="G253" s="23" t="str">
        <x:v>lamb</x:v>
      </x:c>
      <x:c r="H253" s="23" t="str"/>
      <x:c r="I253" s="23" t="str"/>
      <x:c r="J253" s="23" t="str">
        <x:v>behavioral_regression_candidate</x:v>
      </x:c>
      <x:c r="K253" s="23" t="str">
        <x:v>legacy_output_unverified</x:v>
      </x:c>
      <x:c r="L253" s="23" t="str"/>
      <x:c r="M253" s="23" t="str"/>
    </x:row>
    <x:row r="254">
      <x:c r="A254" s="23" t="str">
        <x:v>LT-0253</x:v>
      </x:c>
      <x:c r="B254" s="23" t="str">
        <x:v>Ing Pairings- Fish.xlsx</x:v>
      </x:c>
      <x:c r="C254" s="23" t="str">
        <x:v>Sheet1</x:v>
      </x:c>
      <x:c r="D254" s="23" t="str">
        <x:v>fish</x:v>
      </x:c>
      <x:c r="E254" s="23" t="str">
        <x:v>fish</x:v>
      </x:c>
      <x:c r="F254" s="23" t="str">
        <x:v>family:seafood</x:v>
      </x:c>
      <x:c r="G254" s="23" t="str">
        <x:v>mushroom</x:v>
      </x:c>
      <x:c r="H254" s="23" t="str"/>
      <x:c r="I254" s="23" t="str"/>
      <x:c r="J254" s="23" t="str">
        <x:v>behavioral_regression_candidate</x:v>
      </x:c>
      <x:c r="K254" s="23" t="str">
        <x:v>legacy_output_unverified</x:v>
      </x:c>
      <x:c r="L254" s="23" t="str"/>
      <x:c r="M254" s="23" t="str"/>
    </x:row>
    <x:row r="255">
      <x:c r="A255" s="23" t="str">
        <x:v>LT-0254</x:v>
      </x:c>
      <x:c r="B255" s="23" t="str">
        <x:v>Ing Pairings- Fish.xlsx</x:v>
      </x:c>
      <x:c r="C255" s="23" t="str">
        <x:v>Sheet1</x:v>
      </x:c>
      <x:c r="D255" s="23" t="str">
        <x:v>fish</x:v>
      </x:c>
      <x:c r="E255" s="23" t="str">
        <x:v>fish</x:v>
      </x:c>
      <x:c r="F255" s="23" t="str">
        <x:v>family:seafood</x:v>
      </x:c>
      <x:c r="G255" s="23" t="str">
        <x:v>oyster</x:v>
      </x:c>
      <x:c r="H255" s="23" t="str"/>
      <x:c r="I255" s="23" t="str"/>
      <x:c r="J255" s="23" t="str">
        <x:v>behavioral_regression_candidate</x:v>
      </x:c>
      <x:c r="K255" s="23" t="str">
        <x:v>legacy_output_unverified</x:v>
      </x:c>
      <x:c r="L255" s="23" t="str"/>
      <x:c r="M255" s="23" t="str"/>
    </x:row>
    <x:row r="256">
      <x:c r="A256" s="23" t="str">
        <x:v>LT-0255</x:v>
      </x:c>
      <x:c r="B256" s="23" t="str">
        <x:v>Ing Pairings- Fish.xlsx</x:v>
      </x:c>
      <x:c r="C256" s="23" t="str">
        <x:v>Sheet1</x:v>
      </x:c>
      <x:c r="D256" s="23" t="str">
        <x:v>fish</x:v>
      </x:c>
      <x:c r="E256" s="23" t="str">
        <x:v>fish</x:v>
      </x:c>
      <x:c r="F256" s="23" t="str">
        <x:v>family:seafood</x:v>
      </x:c>
      <x:c r="G256" s="23" t="str">
        <x:v>pork</x:v>
      </x:c>
      <x:c r="H256" s="23" t="str"/>
      <x:c r="I256" s="23" t="str"/>
      <x:c r="J256" s="23" t="str">
        <x:v>behavioral_regression_candidate</x:v>
      </x:c>
      <x:c r="K256" s="23" t="str">
        <x:v>legacy_output_unverified</x:v>
      </x:c>
      <x:c r="L256" s="23" t="str"/>
      <x:c r="M256" s="23" t="str"/>
    </x:row>
    <x:row r="257">
      <x:c r="A257" s="23" t="str">
        <x:v>LT-0256</x:v>
      </x:c>
      <x:c r="B257" s="23" t="str">
        <x:v>Ing Pairings- Fish.xlsx</x:v>
      </x:c>
      <x:c r="C257" s="23" t="str">
        <x:v>Sheet1</x:v>
      </x:c>
      <x:c r="D257" s="23" t="str">
        <x:v>fish</x:v>
      </x:c>
      <x:c r="E257" s="23" t="str">
        <x:v>fish</x:v>
      </x:c>
      <x:c r="F257" s="23" t="str">
        <x:v>family:seafood</x:v>
      </x:c>
      <x:c r="G257" s="23" t="str">
        <x:v>scallop</x:v>
      </x:c>
      <x:c r="H257" s="23" t="str"/>
      <x:c r="I257" s="23" t="str"/>
      <x:c r="J257" s="23" t="str">
        <x:v>behavioral_regression_candidate</x:v>
      </x:c>
      <x:c r="K257" s="23" t="str">
        <x:v>legacy_output_unverified</x:v>
      </x:c>
      <x:c r="L257" s="23" t="str"/>
      <x:c r="M257" s="23" t="str"/>
    </x:row>
    <x:row r="258">
      <x:c r="A258" s="23" t="str">
        <x:v>LT-0257</x:v>
      </x:c>
      <x:c r="B258" s="23" t="str">
        <x:v>Ing Pairings- Fish.xlsx</x:v>
      </x:c>
      <x:c r="C258" s="23" t="str">
        <x:v>Sheet1</x:v>
      </x:c>
      <x:c r="D258" s="23" t="str">
        <x:v>fish</x:v>
      </x:c>
      <x:c r="E258" s="23" t="str">
        <x:v>fish</x:v>
      </x:c>
      <x:c r="F258" s="23" t="str">
        <x:v>family:seafood</x:v>
      </x:c>
      <x:c r="G258" s="23" t="str">
        <x:v>squid</x:v>
      </x:c>
      <x:c r="H258" s="23" t="str"/>
      <x:c r="I258" s="23" t="str"/>
      <x:c r="J258" s="23" t="str">
        <x:v>behavioral_regression_candidate</x:v>
      </x:c>
      <x:c r="K258" s="23" t="str">
        <x:v>legacy_output_unverified</x:v>
      </x:c>
      <x:c r="L258" s="23" t="str"/>
      <x:c r="M258" s="23" t="str"/>
    </x:row>
    <x:row r="259">
      <x:c r="A259" s="23" t="str">
        <x:v>LT-0258</x:v>
      </x:c>
      <x:c r="B259" s="23" t="str">
        <x:v>Ing Pairings- Fish.xlsx</x:v>
      </x:c>
      <x:c r="C259" s="23" t="str">
        <x:v>Sheet1</x:v>
      </x:c>
      <x:c r="D259" s="23" t="str">
        <x:v>fish</x:v>
      </x:c>
      <x:c r="E259" s="23" t="str">
        <x:v>fish</x:v>
      </x:c>
      <x:c r="F259" s="23" t="str">
        <x:v>family:seafood</x:v>
      </x:c>
      <x:c r="G259" s="23" t="str">
        <x:v>bread</x:v>
      </x:c>
      <x:c r="H259" s="23" t="str"/>
      <x:c r="I259" s="23" t="str"/>
      <x:c r="J259" s="23" t="str">
        <x:v>behavioral_regression_candidate</x:v>
      </x:c>
      <x:c r="K259" s="23" t="str">
        <x:v>legacy_output_unverified</x:v>
      </x:c>
      <x:c r="L259" s="23" t="str"/>
      <x:c r="M259" s="23" t="str"/>
    </x:row>
    <x:row r="260">
      <x:c r="A260" s="23" t="str">
        <x:v>LT-0259</x:v>
      </x:c>
      <x:c r="B260" s="23" t="str">
        <x:v>Ing Pairings- Fish.xlsx</x:v>
      </x:c>
      <x:c r="C260" s="23" t="str">
        <x:v>Sheet1</x:v>
      </x:c>
      <x:c r="D260" s="23" t="str">
        <x:v>fish</x:v>
      </x:c>
      <x:c r="E260" s="23" t="str">
        <x:v>fish</x:v>
      </x:c>
      <x:c r="F260" s="23" t="str">
        <x:v>family:seafood</x:v>
      </x:c>
      <x:c r="G260" s="23" t="str">
        <x:v>wine</x:v>
      </x:c>
      <x:c r="H260" s="23" t="str"/>
      <x:c r="I260" s="23" t="str"/>
      <x:c r="J260" s="23" t="str">
        <x:v>behavioral_regression_candidate</x:v>
      </x:c>
      <x:c r="K260" s="23" t="str">
        <x:v>legacy_output_unverified</x:v>
      </x:c>
      <x:c r="L260" s="23" t="str"/>
      <x:c r="M260" s="23" t="str"/>
    </x:row>
    <x:row r="261">
      <x:c r="A261" s="23" t="str">
        <x:v>LT-0260</x:v>
      </x:c>
      <x:c r="B261" s="23" t="str">
        <x:v>Ing Pairings- Fish.xlsx</x:v>
      </x:c>
      <x:c r="C261" s="23" t="str">
        <x:v>Sheet1</x:v>
      </x:c>
      <x:c r="D261" s="23" t="str">
        <x:v>fish</x:v>
      </x:c>
      <x:c r="E261" s="23" t="str">
        <x:v>fish</x:v>
      </x:c>
      <x:c r="F261" s="23" t="str">
        <x:v>family:seafood</x:v>
      </x:c>
      <x:c r="G261" s="23" t="str">
        <x:v>sherry</x:v>
      </x:c>
      <x:c r="H261" s="23" t="str"/>
      <x:c r="I261" s="23" t="str"/>
      <x:c r="J261" s="23" t="str">
        <x:v>behavioral_regression_candidate</x:v>
      </x:c>
      <x:c r="K261" s="23" t="str">
        <x:v>legacy_output_unverified</x:v>
      </x:c>
      <x:c r="L261" s="23" t="str"/>
      <x:c r="M261" s="23" t="str"/>
    </x:row>
    <x:row r="262">
      <x:c r="A262" s="23" t="str">
        <x:v>LT-0261</x:v>
      </x:c>
      <x:c r="B262" s="23" t="str">
        <x:v>Ing Pairings- Fish.xlsx</x:v>
      </x:c>
      <x:c r="C262" s="23" t="str">
        <x:v>Sheet1</x:v>
      </x:c>
      <x:c r="D262" s="23" t="str">
        <x:v>fish</x:v>
      </x:c>
      <x:c r="E262" s="23" t="str">
        <x:v>fish</x:v>
      </x:c>
      <x:c r="F262" s="23" t="str">
        <x:v>family:seafood</x:v>
      </x:c>
      <x:c r="G262" s="23" t="str">
        <x:v>rutabaga</x:v>
      </x:c>
      <x:c r="H262" s="23" t="str"/>
      <x:c r="I262" s="23" t="str"/>
      <x:c r="J262" s="23" t="str">
        <x:v>behavioral_regression_candidate</x:v>
      </x:c>
      <x:c r="K262" s="23" t="str">
        <x:v>legacy_output_unverified</x:v>
      </x:c>
      <x:c r="L262" s="23" t="str"/>
      <x:c r="M262" s="23" t="str"/>
    </x:row>
    <x:row r="263">
      <x:c r="A263" s="23" t="str">
        <x:v>LT-0262</x:v>
      </x:c>
      <x:c r="B263" s="23" t="str">
        <x:v>Ing Pairings- Fish.xlsx</x:v>
      </x:c>
      <x:c r="C263" s="23" t="str">
        <x:v>Sheet1</x:v>
      </x:c>
      <x:c r="D263" s="23" t="str">
        <x:v>fish</x:v>
      </x:c>
      <x:c r="E263" s="23" t="str">
        <x:v>fish</x:v>
      </x:c>
      <x:c r="F263" s="23" t="str">
        <x:v>family:seafood</x:v>
      </x:c>
      <x:c r="G263" s="23" t="str">
        <x:v>egg</x:v>
      </x:c>
      <x:c r="H263" s="23" t="str"/>
      <x:c r="I263" s="23" t="str"/>
      <x:c r="J263" s="23" t="str">
        <x:v>behavioral_regression_candidate</x:v>
      </x:c>
      <x:c r="K263" s="23" t="str">
        <x:v>legacy_output_unverified</x:v>
      </x:c>
      <x:c r="L263" s="23" t="str"/>
      <x:c r="M263" s="23" t="str"/>
    </x:row>
    <x:row r="264">
      <x:c r="A264" s="23" t="str">
        <x:v>LT-0263</x:v>
      </x:c>
      <x:c r="B264" s="23" t="str">
        <x:v>Ing Pairings- Fish.xlsx</x:v>
      </x:c>
      <x:c r="C264" s="23" t="str">
        <x:v>Sheet1</x:v>
      </x:c>
      <x:c r="D264" s="23" t="str">
        <x:v>fish</x:v>
      </x:c>
      <x:c r="E264" s="23" t="str">
        <x:v>fish</x:v>
      </x:c>
      <x:c r="F264" s="23" t="str">
        <x:v>family:seafood</x:v>
      </x:c>
      <x:c r="G264" s="23" t="str">
        <x:v>papaya</x:v>
      </x:c>
      <x:c r="H264" s="23" t="str"/>
      <x:c r="I264" s="23" t="str"/>
      <x:c r="J264" s="23" t="str">
        <x:v>behavioral_regression_candidate</x:v>
      </x:c>
      <x:c r="K264" s="23" t="str">
        <x:v>legacy_output_unverified</x:v>
      </x:c>
      <x:c r="L264" s="23" t="str"/>
      <x:c r="M264" s="23" t="str"/>
    </x:row>
    <x:row r="265">
      <x:c r="A265" s="23" t="str">
        <x:v>LT-0264</x:v>
      </x:c>
      <x:c r="B265" s="23" t="str">
        <x:v>Ing Pairings- Fish.xlsx</x:v>
      </x:c>
      <x:c r="C265" s="23" t="str">
        <x:v>Sheet1</x:v>
      </x:c>
      <x:c r="D265" s="23" t="str">
        <x:v>fish</x:v>
      </x:c>
      <x:c r="E265" s="23" t="str">
        <x:v>fish</x:v>
      </x:c>
      <x:c r="F265" s="23" t="str">
        <x:v>family:seafood</x:v>
      </x:c>
      <x:c r="G265" s="23" t="str">
        <x:v>shrimp</x:v>
      </x:c>
      <x:c r="H265" s="23" t="str"/>
      <x:c r="I265" s="23" t="str"/>
      <x:c r="J265" s="23" t="str">
        <x:v>behavioral_regression_candidate</x:v>
      </x:c>
      <x:c r="K265" s="23" t="str">
        <x:v>legacy_output_unverified</x:v>
      </x:c>
      <x:c r="L265" s="23" t="str"/>
      <x:c r="M265" s="23" t="str"/>
    </x:row>
    <x:row r="266">
      <x:c r="A266" s="23" t="str">
        <x:v>LT-0265</x:v>
      </x:c>
      <x:c r="B266" s="23" t="str">
        <x:v>Ing Pairings- Fish.xlsx</x:v>
      </x:c>
      <x:c r="C266" s="23" t="str">
        <x:v>Sheet1</x:v>
      </x:c>
      <x:c r="D266" s="23" t="str">
        <x:v>fish</x:v>
      </x:c>
      <x:c r="E266" s="23" t="str">
        <x:v>fish</x:v>
      </x:c>
      <x:c r="F266" s="23" t="str">
        <x:v>family:seafood</x:v>
      </x:c>
      <x:c r="G266" s="23" t="str">
        <x:v>mustard</x:v>
      </x:c>
      <x:c r="H266" s="23" t="str"/>
      <x:c r="I266" s="23" t="str"/>
      <x:c r="J266" s="23" t="str">
        <x:v>behavioral_regression_candidate</x:v>
      </x:c>
      <x:c r="K266" s="23" t="str">
        <x:v>legacy_output_unverified</x:v>
      </x:c>
      <x:c r="L266" s="23" t="str"/>
      <x:c r="M266" s="23" t="str"/>
    </x:row>
    <x:row r="267">
      <x:c r="A267" s="23" t="str">
        <x:v>LT-0266</x:v>
      </x:c>
      <x:c r="B267" s="23" t="str">
        <x:v>Ing Pairings- Fish.xlsx</x:v>
      </x:c>
      <x:c r="C267" s="23" t="str">
        <x:v>Sheet1</x:v>
      </x:c>
      <x:c r="D267" s="23" t="str">
        <x:v>fish</x:v>
      </x:c>
      <x:c r="E267" s="23" t="str">
        <x:v>fish</x:v>
      </x:c>
      <x:c r="F267" s="23" t="str">
        <x:v>family:seafood</x:v>
      </x:c>
      <x:c r="G267" s="23" t="str">
        <x:v>melon</x:v>
      </x:c>
      <x:c r="H267" s="23" t="str"/>
      <x:c r="I267" s="23" t="str"/>
      <x:c r="J267" s="23" t="str">
        <x:v>behavioral_regression_candidate</x:v>
      </x:c>
      <x:c r="K267" s="23" t="str">
        <x:v>legacy_output_unverified</x:v>
      </x:c>
      <x:c r="L267" s="23" t="str"/>
      <x:c r="M267" s="23" t="str"/>
    </x:row>
    <x:row r="268">
      <x:c r="A268" s="23" t="str">
        <x:v>LT-0267</x:v>
      </x:c>
      <x:c r="B268" s="23" t="str">
        <x:v>Ing Pairings- Fish.xlsx</x:v>
      </x:c>
      <x:c r="C268" s="23" t="str">
        <x:v>Sheet1</x:v>
      </x:c>
      <x:c r="D268" s="23" t="str">
        <x:v>fish</x:v>
      </x:c>
      <x:c r="E268" s="23" t="str">
        <x:v>fish</x:v>
      </x:c>
      <x:c r="F268" s="23" t="str">
        <x:v>family:seafood</x:v>
      </x:c>
      <x:c r="G268" s="23" t="str">
        <x:v>saffron</x:v>
      </x:c>
      <x:c r="H268" s="23" t="str"/>
      <x:c r="I268" s="23" t="str"/>
      <x:c r="J268" s="23" t="str">
        <x:v>behavioral_regression_candidate</x:v>
      </x:c>
      <x:c r="K268" s="23" t="str">
        <x:v>legacy_output_unverified</x:v>
      </x:c>
      <x:c r="L268" s="23" t="str"/>
      <x:c r="M268" s="23" t="str"/>
    </x:row>
    <x:row r="269">
      <x:c r="A269" s="23" t="str">
        <x:v>LT-0268</x:v>
      </x:c>
      <x:c r="B269" s="23" t="str">
        <x:v>Ing Pairings- Lamb.xlsx</x:v>
      </x:c>
      <x:c r="C269" s="23" t="str">
        <x:v>Sheet1</x:v>
      </x:c>
      <x:c r="D269" s="23" t="str">
        <x:v>lamb</x:v>
      </x:c>
      <x:c r="E269" s="23" t="str">
        <x:v>lamb</x:v>
      </x:c>
      <x:c r="F269" s="23" t="str">
        <x:v>existing:vcf</x:v>
      </x:c>
      <x:c r="G269" s="23" t="str">
        <x:v>apple</x:v>
      </x:c>
      <x:c r="H269" s="23" t="str">
        <x:v>Floral- Camomile</x:v>
      </x:c>
      <x:c r="I269" s="23" t="n">
        <x:v>11.9</x:v>
      </x:c>
      <x:c r="J269" s="23" t="str">
        <x:v>behavioral_regression_candidate</x:v>
      </x:c>
      <x:c r="K269" s="23" t="str">
        <x:v>legacy_output_unverified</x:v>
      </x:c>
      <x:c r="L269" s="23" t="str"/>
      <x:c r="M269" s="23" t="str"/>
    </x:row>
    <x:row r="270">
      <x:c r="A270" s="23" t="str">
        <x:v>LT-0269</x:v>
      </x:c>
      <x:c r="B270" s="23" t="str">
        <x:v>Ing Pairings- Lamb.xlsx</x:v>
      </x:c>
      <x:c r="C270" s="23" t="str">
        <x:v>Sheet1</x:v>
      </x:c>
      <x:c r="D270" s="23" t="str">
        <x:v>lamb</x:v>
      </x:c>
      <x:c r="E270" s="23" t="str">
        <x:v>lamb</x:v>
      </x:c>
      <x:c r="F270" s="23" t="str">
        <x:v>existing:vcf</x:v>
      </x:c>
      <x:c r="G270" s="23" t="str">
        <x:v>apricot</x:v>
      </x:c>
      <x:c r="H270" s="23" t="str">
        <x:v>Lavender Honey</x:v>
      </x:c>
      <x:c r="I270" s="23" t="n">
        <x:v>20.5</x:v>
      </x:c>
      <x:c r="J270" s="23" t="str">
        <x:v>behavioral_regression_candidate</x:v>
      </x:c>
      <x:c r="K270" s="23" t="str">
        <x:v>legacy_output_unverified</x:v>
      </x:c>
      <x:c r="L270" s="23" t="str"/>
      <x:c r="M270" s="23" t="str"/>
    </x:row>
    <x:row r="271">
      <x:c r="A271" s="23" t="str">
        <x:v>LT-0270</x:v>
      </x:c>
      <x:c r="B271" s="23" t="str">
        <x:v>Ing Pairings- Lamb.xlsx</x:v>
      </x:c>
      <x:c r="C271" s="23" t="str">
        <x:v>Sheet1</x:v>
      </x:c>
      <x:c r="D271" s="23" t="str">
        <x:v>lamb</x:v>
      </x:c>
      <x:c r="E271" s="23" t="str">
        <x:v>lamb</x:v>
      </x:c>
      <x:c r="F271" s="23" t="str">
        <x:v>existing:vcf</x:v>
      </x:c>
      <x:c r="G271" s="23" t="str">
        <x:v>beer</x:v>
      </x:c>
      <x:c r="H271" s="23" t="str">
        <x:v>Elderberry</x:v>
      </x:c>
      <x:c r="I271" s="23" t="n">
        <x:v>31.2</x:v>
      </x:c>
      <x:c r="J271" s="23" t="str">
        <x:v>behavioral_regression_candidate</x:v>
      </x:c>
      <x:c r="K271" s="23" t="str">
        <x:v>legacy_output_unverified</x:v>
      </x:c>
      <x:c r="L271" s="23" t="str"/>
      <x:c r="M271" s="23" t="str"/>
    </x:row>
    <x:row r="272">
      <x:c r="A272" s="23" t="str">
        <x:v>LT-0271</x:v>
      </x:c>
      <x:c r="B272" s="23" t="str">
        <x:v>Ing Pairings- Lamb.xlsx</x:v>
      </x:c>
      <x:c r="C272" s="23" t="str">
        <x:v>Sheet1</x:v>
      </x:c>
      <x:c r="D272" s="23" t="str">
        <x:v>lamb</x:v>
      </x:c>
      <x:c r="E272" s="23" t="str">
        <x:v>lamb</x:v>
      </x:c>
      <x:c r="F272" s="23" t="str">
        <x:v>existing:vcf</x:v>
      </x:c>
      <x:c r="G272" s="23" t="str">
        <x:v>blue cheese</x:v>
      </x:c>
      <x:c r="H272" s="23" t="str">
        <x:v>Citrus- Citrus</x:v>
      </x:c>
      <x:c r="I272" s="23" t="n">
        <x:v>40.4</x:v>
      </x:c>
      <x:c r="J272" s="23" t="str">
        <x:v>behavioral_regression_candidate</x:v>
      </x:c>
      <x:c r="K272" s="23" t="str">
        <x:v>legacy_output_unverified</x:v>
      </x:c>
      <x:c r="L272" s="23" t="str"/>
      <x:c r="M272" s="23" t="str"/>
    </x:row>
    <x:row r="273">
      <x:c r="A273" s="23" t="str">
        <x:v>LT-0272</x:v>
      </x:c>
      <x:c r="B273" s="23" t="str">
        <x:v>Ing Pairings- Lamb.xlsx</x:v>
      </x:c>
      <x:c r="C273" s="23" t="str">
        <x:v>Sheet1</x:v>
      </x:c>
      <x:c r="D273" s="23" t="str">
        <x:v>lamb</x:v>
      </x:c>
      <x:c r="E273" s="23" t="str">
        <x:v>lamb</x:v>
      </x:c>
      <x:c r="F273" s="23" t="str">
        <x:v>existing:vcf</x:v>
      </x:c>
      <x:c r="G273" s="23" t="str">
        <x:v>cheese</x:v>
      </x:c>
      <x:c r="H273" s="23" t="str">
        <x:v>Tropical- Coconut</x:v>
      </x:c>
      <x:c r="I273" s="23" t="n">
        <x:v>38.5</x:v>
      </x:c>
      <x:c r="J273" s="23" t="str">
        <x:v>behavioral_regression_candidate</x:v>
      </x:c>
      <x:c r="K273" s="23" t="str">
        <x:v>legacy_output_unverified</x:v>
      </x:c>
      <x:c r="L273" s="23" t="str"/>
      <x:c r="M273" s="23" t="str"/>
    </x:row>
    <x:row r="274">
      <x:c r="A274" s="23" t="str">
        <x:v>LT-0273</x:v>
      </x:c>
      <x:c r="B274" s="23" t="str">
        <x:v>Ing Pairings- Lamb.xlsx</x:v>
      </x:c>
      <x:c r="C274" s="23" t="str">
        <x:v>Sheet1</x:v>
      </x:c>
      <x:c r="D274" s="23" t="str">
        <x:v>lamb</x:v>
      </x:c>
      <x:c r="E274" s="23" t="str">
        <x:v>lamb</x:v>
      </x:c>
      <x:c r="F274" s="23" t="str">
        <x:v>existing:vcf</x:v>
      </x:c>
      <x:c r="G274" s="23" t="str">
        <x:v>cherry</x:v>
      </x:c>
      <x:c r="H274" s="23" t="str">
        <x:v>Melon- Melon</x:v>
      </x:c>
      <x:c r="I274" s="23" t="n">
        <x:v>17.4</x:v>
      </x:c>
      <x:c r="J274" s="23" t="str">
        <x:v>behavioral_regression_candidate</x:v>
      </x:c>
      <x:c r="K274" s="23" t="str">
        <x:v>legacy_output_unverified</x:v>
      </x:c>
      <x:c r="L274" s="23" t="str"/>
      <x:c r="M274" s="23" t="str"/>
    </x:row>
    <x:row r="275">
      <x:c r="A275" s="23" t="str">
        <x:v>LT-0274</x:v>
      </x:c>
      <x:c r="B275" s="23" t="str">
        <x:v>Ing Pairings- Lamb.xlsx</x:v>
      </x:c>
      <x:c r="C275" s="23" t="str">
        <x:v>Sheet1</x:v>
      </x:c>
      <x:c r="D275" s="23" t="str">
        <x:v>lamb</x:v>
      </x:c>
      <x:c r="E275" s="23" t="str">
        <x:v>lamb</x:v>
      </x:c>
      <x:c r="F275" s="23" t="str">
        <x:v>existing:vcf</x:v>
      </x:c>
      <x:c r="G275" s="23" t="str">
        <x:v>cider</x:v>
      </x:c>
      <x:c r="H275" s="23" t="str">
        <x:v>Tree Fruit- Apple</x:v>
      </x:c>
      <x:c r="I275" s="23" t="n">
        <x:v>28.4</x:v>
      </x:c>
      <x:c r="J275" s="23" t="str">
        <x:v>behavioral_regression_candidate</x:v>
      </x:c>
      <x:c r="K275" s="23" t="str">
        <x:v>legacy_output_unverified</x:v>
      </x:c>
      <x:c r="L275" s="23" t="str"/>
      <x:c r="M275" s="23" t="str"/>
    </x:row>
    <x:row r="276">
      <x:c r="A276" s="23" t="str">
        <x:v>LT-0275</x:v>
      </x:c>
      <x:c r="B276" s="23" t="str">
        <x:v>Ing Pairings- Lamb.xlsx</x:v>
      </x:c>
      <x:c r="C276" s="23" t="str">
        <x:v>Sheet1</x:v>
      </x:c>
      <x:c r="D276" s="23" t="str">
        <x:v>lamb</x:v>
      </x:c>
      <x:c r="E276" s="23" t="str">
        <x:v>lamb</x:v>
      </x:c>
      <x:c r="F276" s="23" t="str">
        <x:v>existing:vcf</x:v>
      </x:c>
      <x:c r="G276" s="23" t="str">
        <x:v>cocoa</x:v>
      </x:c>
      <x:c r="H276" s="23" t="str">
        <x:v>Apricot</x:v>
      </x:c>
      <x:c r="I276" s="23" t="n">
        <x:v>23.9</x:v>
      </x:c>
      <x:c r="J276" s="23" t="str">
        <x:v>behavioral_regression_candidate</x:v>
      </x:c>
      <x:c r="K276" s="23" t="str">
        <x:v>legacy_output_unverified</x:v>
      </x:c>
      <x:c r="L276" s="23" t="str"/>
      <x:c r="M276" s="23" t="str"/>
    </x:row>
    <x:row r="277">
      <x:c r="A277" s="23" t="str">
        <x:v>LT-0276</x:v>
      </x:c>
      <x:c r="B277" s="23" t="str">
        <x:v>Ing Pairings- Lamb.xlsx</x:v>
      </x:c>
      <x:c r="C277" s="23" t="str">
        <x:v>Sheet1</x:v>
      </x:c>
      <x:c r="D277" s="23" t="str">
        <x:v>lamb</x:v>
      </x:c>
      <x:c r="E277" s="23" t="str">
        <x:v>lamb</x:v>
      </x:c>
      <x:c r="F277" s="23" t="str">
        <x:v>existing:vcf</x:v>
      </x:c>
      <x:c r="G277" s="23" t="str">
        <x:v>coconut</x:v>
      </x:c>
      <x:c r="H277" s="23" t="str">
        <x:v>Nectarine</x:v>
      </x:c>
      <x:c r="I277" s="23" t="n">
        <x:v>15.6</x:v>
      </x:c>
      <x:c r="J277" s="23" t="str">
        <x:v>behavioral_regression_candidate</x:v>
      </x:c>
      <x:c r="K277" s="23" t="str">
        <x:v>legacy_output_unverified</x:v>
      </x:c>
      <x:c r="L277" s="23" t="str"/>
      <x:c r="M277" s="23" t="str"/>
    </x:row>
    <x:row r="278">
      <x:c r="A278" s="23" t="str">
        <x:v>LT-0277</x:v>
      </x:c>
      <x:c r="B278" s="23" t="str">
        <x:v>Ing Pairings- Lamb.xlsx</x:v>
      </x:c>
      <x:c r="C278" s="23" t="str">
        <x:v>Sheet1</x:v>
      </x:c>
      <x:c r="D278" s="23" t="str">
        <x:v>lamb</x:v>
      </x:c>
      <x:c r="E278" s="23" t="str">
        <x:v>lamb</x:v>
      </x:c>
      <x:c r="F278" s="23" t="str">
        <x:v>existing:vcf</x:v>
      </x:c>
      <x:c r="G278" s="23" t="str">
        <x:v>coffee</x:v>
      </x:c>
      <x:c r="H278" s="23" t="str">
        <x:v>Berry- Strawberry</x:v>
      </x:c>
      <x:c r="I278" s="23" t="n">
        <x:v>30.3</x:v>
      </x:c>
      <x:c r="J278" s="23" t="str">
        <x:v>behavioral_regression_candidate</x:v>
      </x:c>
      <x:c r="K278" s="23" t="str">
        <x:v>legacy_output_unverified</x:v>
      </x:c>
      <x:c r="L278" s="23" t="str"/>
      <x:c r="M278" s="23" t="str"/>
    </x:row>
    <x:row r="279">
      <x:c r="A279" s="23" t="str">
        <x:v>LT-0278</x:v>
      </x:c>
      <x:c r="B279" s="23" t="str">
        <x:v>Ing Pairings- Lamb.xlsx</x:v>
      </x:c>
      <x:c r="C279" s="23" t="str">
        <x:v>Sheet1</x:v>
      </x:c>
      <x:c r="D279" s="23" t="str">
        <x:v>lamb</x:v>
      </x:c>
      <x:c r="E279" s="23" t="str">
        <x:v>lamb</x:v>
      </x:c>
      <x:c r="F279" s="23" t="str">
        <x:v>existing:vcf</x:v>
      </x:c>
      <x:c r="G279" s="23" t="str">
        <x:v>dill</x:v>
      </x:c>
      <x:c r="H279" s="23" t="str">
        <x:v>Vaccinium</x:v>
      </x:c>
      <x:c r="I279" s="23" t="n">
        <x:v>32.1</x:v>
      </x:c>
      <x:c r="J279" s="23" t="str">
        <x:v>behavioral_regression_candidate</x:v>
      </x:c>
      <x:c r="K279" s="23" t="str">
        <x:v>legacy_output_unverified</x:v>
      </x:c>
      <x:c r="L279" s="23" t="str"/>
      <x:c r="M279" s="23" t="str"/>
    </x:row>
    <x:row r="280">
      <x:c r="A280" s="23" t="str">
        <x:v>LT-0279</x:v>
      </x:c>
      <x:c r="B280" s="23" t="str">
        <x:v>Ing Pairings- Lamb.xlsx</x:v>
      </x:c>
      <x:c r="C280" s="23" t="str">
        <x:v>Sheet1</x:v>
      </x:c>
      <x:c r="D280" s="23" t="str">
        <x:v>lamb</x:v>
      </x:c>
      <x:c r="E280" s="23" t="str">
        <x:v>lamb</x:v>
      </x:c>
      <x:c r="F280" s="23" t="str">
        <x:v>existing:vcf</x:v>
      </x:c>
      <x:c r="G280" s="23" t="str">
        <x:v>grape</x:v>
      </x:c>
      <x:c r="H280" s="23" t="str">
        <x:v>Dried Fruit- Strawberry Jam</x:v>
      </x:c>
      <x:c r="I280" s="23" t="n">
        <x:v>22.4</x:v>
      </x:c>
      <x:c r="J280" s="23" t="str">
        <x:v>behavioral_regression_candidate</x:v>
      </x:c>
      <x:c r="K280" s="23" t="str">
        <x:v>legacy_output_unverified</x:v>
      </x:c>
      <x:c r="L280" s="23" t="str"/>
      <x:c r="M280" s="23" t="str"/>
    </x:row>
    <x:row r="281">
      <x:c r="A281" s="23" t="str">
        <x:v>LT-0280</x:v>
      </x:c>
      <x:c r="B281" s="23" t="str">
        <x:v>Ing Pairings- Lamb.xlsx</x:v>
      </x:c>
      <x:c r="C281" s="23" t="str">
        <x:v>Sheet1</x:v>
      </x:c>
      <x:c r="D281" s="23" t="str">
        <x:v>lamb</x:v>
      </x:c>
      <x:c r="E281" s="23" t="str">
        <x:v>lamb</x:v>
      </x:c>
      <x:c r="F281" s="23" t="str">
        <x:v>existing:vcf</x:v>
      </x:c>
      <x:c r="G281" s="23" t="str">
        <x:v>brape brandy</x:v>
      </x:c>
      <x:c r="H281" s="23" t="str">
        <x:v>Prune</x:v>
      </x:c>
      <x:c r="I281" s="23" t="n">
        <x:v>15.4</x:v>
      </x:c>
      <x:c r="J281" s="23" t="str">
        <x:v>behavioral_regression_candidate</x:v>
      </x:c>
      <x:c r="K281" s="23" t="str">
        <x:v>legacy_output_unverified</x:v>
      </x:c>
      <x:c r="L281" s="23" t="str"/>
      <x:c r="M281" s="23" t="str"/>
    </x:row>
    <x:row r="282">
      <x:c r="A282" s="23" t="str">
        <x:v>LT-0281</x:v>
      </x:c>
      <x:c r="B282" s="23" t="str">
        <x:v>Ing Pairings- Lamb.xlsx</x:v>
      </x:c>
      <x:c r="C282" s="23" t="str">
        <x:v>Sheet1</x:v>
      </x:c>
      <x:c r="D282" s="23" t="str">
        <x:v>lamb</x:v>
      </x:c>
      <x:c r="E282" s="23" t="str">
        <x:v>lamb</x:v>
      </x:c>
      <x:c r="F282" s="23" t="str">
        <x:v>existing:vcf</x:v>
      </x:c>
      <x:c r="G282" s="23" t="str">
        <x:v>honey</x:v>
      </x:c>
      <x:c r="H282" s="23" t="str">
        <x:v>Green- Celery</x:v>
      </x:c>
      <x:c r="I282" s="23" t="n">
        <x:v>12.8</x:v>
      </x:c>
      <x:c r="J282" s="23" t="str">
        <x:v>behavioral_regression_candidate</x:v>
      </x:c>
      <x:c r="K282" s="23" t="str">
        <x:v>legacy_output_unverified</x:v>
      </x:c>
      <x:c r="L282" s="23" t="str"/>
      <x:c r="M282" s="23" t="str"/>
    </x:row>
    <x:row r="283">
      <x:c r="A283" s="23" t="str">
        <x:v>LT-0282</x:v>
      </x:c>
      <x:c r="B283" s="23" t="str">
        <x:v>Ing Pairings- Lamb.xlsx</x:v>
      </x:c>
      <x:c r="C283" s="23" t="str">
        <x:v>Sheet1</x:v>
      </x:c>
      <x:c r="D283" s="23" t="str">
        <x:v>lamb</x:v>
      </x:c>
      <x:c r="E283" s="23" t="str">
        <x:v>lamb</x:v>
      </x:c>
      <x:c r="F283" s="23" t="str">
        <x:v>existing:vcf</x:v>
      </x:c>
      <x:c r="G283" s="23" t="str">
        <x:v>licorice</x:v>
      </x:c>
      <x:c r="H283" s="23" t="str">
        <x:v>Lettuce</x:v>
      </x:c>
      <x:c r="I283" s="23" t="n">
        <x:v>14.4</x:v>
      </x:c>
      <x:c r="J283" s="23" t="str">
        <x:v>behavioral_regression_candidate</x:v>
      </x:c>
      <x:c r="K283" s="23" t="str">
        <x:v>legacy_output_unverified</x:v>
      </x:c>
      <x:c r="L283" s="23" t="str"/>
      <x:c r="M283" s="23" t="str"/>
    </x:row>
    <x:row r="284">
      <x:c r="A284" s="23" t="str">
        <x:v>LT-0283</x:v>
      </x:c>
      <x:c r="B284" s="23" t="str">
        <x:v>Ing Pairings- Lamb.xlsx</x:v>
      </x:c>
      <x:c r="C284" s="23" t="str">
        <x:v>Sheet1</x:v>
      </x:c>
      <x:c r="D284" s="23" t="str">
        <x:v>lamb</x:v>
      </x:c>
      <x:c r="E284" s="23" t="str">
        <x:v>lamb</x:v>
      </x:c>
      <x:c r="F284" s="23" t="str">
        <x:v>existing:vcf</x:v>
      </x:c>
      <x:c r="G284" s="23" t="str">
        <x:v>mango</x:v>
      </x:c>
      <x:c r="H284" s="23" t="str">
        <x:v>Herbaceous- Parsley</x:v>
      </x:c>
      <x:c r="I284" s="23" t="n">
        <x:v>5.9</x:v>
      </x:c>
      <x:c r="J284" s="23" t="str">
        <x:v>behavioral_regression_candidate</x:v>
      </x:c>
      <x:c r="K284" s="23" t="str">
        <x:v>legacy_output_unverified</x:v>
      </x:c>
      <x:c r="L284" s="23" t="str"/>
      <x:c r="M284" s="23" t="str"/>
    </x:row>
    <x:row r="285">
      <x:c r="A285" s="23" t="str">
        <x:v>LT-0284</x:v>
      </x:c>
      <x:c r="B285" s="23" t="str">
        <x:v>Ing Pairings- Lamb.xlsx</x:v>
      </x:c>
      <x:c r="C285" s="23" t="str">
        <x:v>Sheet1</x:v>
      </x:c>
      <x:c r="D285" s="23" t="str">
        <x:v>lamb</x:v>
      </x:c>
      <x:c r="E285" s="23" t="str">
        <x:v>lamb</x:v>
      </x:c>
      <x:c r="F285" s="23" t="str">
        <x:v>existing:vcf</x:v>
      </x:c>
      <x:c r="G285" s="23" t="str">
        <x:v>milk</x:v>
      </x:c>
      <x:c r="H285" s="23" t="str">
        <x:v>ocimum basilicum</x:v>
      </x:c>
      <x:c r="I285" s="23" t="n">
        <x:v>2.8</x:v>
      </x:c>
      <x:c r="J285" s="23" t="str">
        <x:v>behavioral_regression_candidate</x:v>
      </x:c>
      <x:c r="K285" s="23" t="str">
        <x:v>legacy_output_unverified</x:v>
      </x:c>
      <x:c r="L285" s="23" t="str"/>
      <x:c r="M285" s="23" t="str"/>
    </x:row>
    <x:row r="286">
      <x:c r="A286" s="23" t="str">
        <x:v>LT-0285</x:v>
      </x:c>
      <x:c r="B286" s="23" t="str">
        <x:v>Ing Pairings- Lamb.xlsx</x:v>
      </x:c>
      <x:c r="C286" s="23" t="str">
        <x:v>Sheet1</x:v>
      </x:c>
      <x:c r="D286" s="23" t="str">
        <x:v>lamb</x:v>
      </x:c>
      <x:c r="E286" s="23" t="str">
        <x:v>lamb</x:v>
      </x:c>
      <x:c r="F286" s="23" t="str">
        <x:v>existing:vcf</x:v>
      </x:c>
      <x:c r="G286" s="23" t="str">
        <x:v>mushroom</x:v>
      </x:c>
      <x:c r="H286" s="23" t="str">
        <x:v>Earthy- Mushroom</x:v>
      </x:c>
      <x:c r="I286" s="23" t="n">
        <x:v>49.5</x:v>
      </x:c>
      <x:c r="J286" s="23" t="str">
        <x:v>behavioral_regression_candidate</x:v>
      </x:c>
      <x:c r="K286" s="23" t="str">
        <x:v>legacy_output_unverified</x:v>
      </x:c>
      <x:c r="L286" s="23" t="str"/>
      <x:c r="M286" s="23" t="str"/>
    </x:row>
    <x:row r="287">
      <x:c r="A287" s="23" t="str">
        <x:v>LT-0286</x:v>
      </x:c>
      <x:c r="B287" s="23" t="str">
        <x:v>Ing Pairings- Lamb.xlsx</x:v>
      </x:c>
      <x:c r="C287" s="23" t="str">
        <x:v>Sheet1</x:v>
      </x:c>
      <x:c r="D287" s="23" t="str">
        <x:v>lamb</x:v>
      </x:c>
      <x:c r="E287" s="23" t="str">
        <x:v>lamb</x:v>
      </x:c>
      <x:c r="F287" s="23" t="str">
        <x:v>existing:vcf</x:v>
      </x:c>
      <x:c r="G287" s="23" t="str">
        <x:v>mussel</x:v>
      </x:c>
      <x:c r="H287" s="23" t="str">
        <x:v>Wood- Rosemary</x:v>
      </x:c>
      <x:c r="I287" s="23" t="n">
        <x:v>1.8</x:v>
      </x:c>
      <x:c r="J287" s="23" t="str">
        <x:v>behavioral_regression_candidate</x:v>
      </x:c>
      <x:c r="K287" s="23" t="str">
        <x:v>legacy_output_unverified</x:v>
      </x:c>
      <x:c r="L287" s="23" t="str"/>
      <x:c r="M287" s="23" t="str"/>
    </x:row>
    <x:row r="288">
      <x:c r="A288" s="23" t="str">
        <x:v>LT-0287</x:v>
      </x:c>
      <x:c r="B288" s="23" t="str">
        <x:v>Ing Pairings- Lamb.xlsx</x:v>
      </x:c>
      <x:c r="C288" s="23" t="str">
        <x:v>Sheet1</x:v>
      </x:c>
      <x:c r="D288" s="23" t="str">
        <x:v>lamb</x:v>
      </x:c>
      <x:c r="E288" s="23" t="str">
        <x:v>lamb</x:v>
      </x:c>
      <x:c r="F288" s="23" t="str">
        <x:v>existing:vcf</x:v>
      </x:c>
      <x:c r="G288" s="23" t="str">
        <x:v>olive</x:v>
      </x:c>
      <x:c r="H288" s="23" t="str">
        <x:v>Ginger</x:v>
      </x:c>
      <x:c r="I288" s="23" t="n">
        <x:v>11.9</x:v>
      </x:c>
      <x:c r="J288" s="23" t="str">
        <x:v>behavioral_regression_candidate</x:v>
      </x:c>
      <x:c r="K288" s="23" t="str">
        <x:v>legacy_output_unverified</x:v>
      </x:c>
      <x:c r="L288" s="23" t="str"/>
      <x:c r="M288" s="23" t="str"/>
    </x:row>
    <x:row r="289">
      <x:c r="A289" s="23" t="str">
        <x:v>LT-0288</x:v>
      </x:c>
      <x:c r="B289" s="23" t="str">
        <x:v>Ing Pairings- Lamb.xlsx</x:v>
      </x:c>
      <x:c r="C289" s="23" t="str">
        <x:v>Sheet1</x:v>
      </x:c>
      <x:c r="D289" s="23" t="str">
        <x:v>lamb</x:v>
      </x:c>
      <x:c r="E289" s="23" t="str">
        <x:v>lamb</x:v>
      </x:c>
      <x:c r="F289" s="23" t="str">
        <x:v>existing:vcf</x:v>
      </x:c>
      <x:c r="G289" s="23" t="str">
        <x:v>plum</x:v>
      </x:c>
      <x:c r="H289" s="23" t="str">
        <x:v>Medicinal- Mastic</x:v>
      </x:c>
      <x:c r="I289" s="23" t="n">
        <x:v>9.2</x:v>
      </x:c>
      <x:c r="J289" s="23" t="str">
        <x:v>behavioral_regression_candidate</x:v>
      </x:c>
      <x:c r="K289" s="23" t="str">
        <x:v>legacy_output_unverified</x:v>
      </x:c>
      <x:c r="L289" s="23" t="str"/>
      <x:c r="M289" s="23" t="str"/>
    </x:row>
    <x:row r="290">
      <x:c r="A290" s="23" t="str">
        <x:v>LT-0289</x:v>
      </x:c>
      <x:c r="B290" s="23" t="str">
        <x:v>Ing Pairings- Lamb.xlsx</x:v>
      </x:c>
      <x:c r="C290" s="23" t="str">
        <x:v>Sheet1</x:v>
      </x:c>
      <x:c r="D290" s="23" t="str">
        <x:v>lamb</x:v>
      </x:c>
      <x:c r="E290" s="23" t="str">
        <x:v>lamb</x:v>
      </x:c>
      <x:c r="F290" s="23" t="str">
        <x:v>existing:vcf</x:v>
      </x:c>
      <x:c r="G290" s="23" t="str">
        <x:v>raspberry/blackberry</x:v>
      </x:c>
      <x:c r="H290" s="23" t="str">
        <x:v>Mentha</x:v>
      </x:c>
      <x:c r="I290" s="23" t="n">
        <x:v>23.9</x:v>
      </x:c>
      <x:c r="J290" s="23" t="str">
        <x:v>behavioral_regression_candidate</x:v>
      </x:c>
      <x:c r="K290" s="23" t="str">
        <x:v>legacy_output_unverified</x:v>
      </x:c>
      <x:c r="L290" s="23" t="str"/>
      <x:c r="M290" s="23" t="str"/>
    </x:row>
    <x:row r="291">
      <x:c r="A291" s="23" t="str">
        <x:v>LT-0290</x:v>
      </x:c>
      <x:c r="B291" s="23" t="str">
        <x:v>Ing Pairings- Lamb.xlsx</x:v>
      </x:c>
      <x:c r="C291" s="23" t="str">
        <x:v>Sheet1</x:v>
      </x:c>
      <x:c r="D291" s="23" t="str">
        <x:v>lamb</x:v>
      </x:c>
      <x:c r="E291" s="23" t="str">
        <x:v>lamb</x:v>
      </x:c>
      <x:c r="F291" s="23" t="str">
        <x:v>existing:vcf</x:v>
      </x:c>
      <x:c r="G291" s="23" t="str">
        <x:v>rum</x:v>
      </x:c>
      <x:c r="H291" s="23" t="str">
        <x:v>Spice- Pepper</x:v>
      </x:c>
      <x:c r="I291" s="23" t="n">
        <x:v>6.4</x:v>
      </x:c>
      <x:c r="J291" s="23" t="str">
        <x:v>behavioral_regression_candidate</x:v>
      </x:c>
      <x:c r="K291" s="23" t="str">
        <x:v>legacy_output_unverified</x:v>
      </x:c>
      <x:c r="L291" s="23" t="str"/>
      <x:c r="M291" s="23" t="str"/>
    </x:row>
    <x:row r="292">
      <x:c r="A292" s="23" t="str">
        <x:v>LT-0291</x:v>
      </x:c>
      <x:c r="B292" s="23" t="str">
        <x:v>Ing Pairings- Lamb.xlsx</x:v>
      </x:c>
      <x:c r="C292" s="23" t="str">
        <x:v>Sheet1</x:v>
      </x:c>
      <x:c r="D292" s="23" t="str">
        <x:v>lamb</x:v>
      </x:c>
      <x:c r="E292" s="23" t="str">
        <x:v>lamb</x:v>
      </x:c>
      <x:c r="F292" s="23" t="str">
        <x:v>existing:vcf</x:v>
      </x:c>
      <x:c r="G292" s="23" t="str">
        <x:v>rye bread</x:v>
      </x:c>
      <x:c r="H292" s="23" t="str">
        <x:v>Cardamom</x:v>
      </x:c>
      <x:c r="I292" s="23" t="n">
        <x:v>17.4</x:v>
      </x:c>
      <x:c r="J292" s="23" t="str">
        <x:v>behavioral_regression_candidate</x:v>
      </x:c>
      <x:c r="K292" s="23" t="str">
        <x:v>legacy_output_unverified</x:v>
      </x:c>
      <x:c r="L292" s="23" t="str"/>
      <x:c r="M292" s="23" t="str"/>
    </x:row>
    <x:row r="293">
      <x:c r="A293" s="23" t="str">
        <x:v>LT-0292</x:v>
      </x:c>
      <x:c r="B293" s="23" t="str">
        <x:v>Ing Pairings- Lamb.xlsx</x:v>
      </x:c>
      <x:c r="C293" s="23" t="str">
        <x:v>Sheet1</x:v>
      </x:c>
      <x:c r="D293" s="23" t="str">
        <x:v>lamb</x:v>
      </x:c>
      <x:c r="E293" s="23" t="str">
        <x:v>lamb</x:v>
      </x:c>
      <x:c r="F293" s="23" t="str">
        <x:v>existing:vcf</x:v>
      </x:c>
      <x:c r="G293" s="23" t="str">
        <x:v>sauerkraut</x:v>
      </x:c>
      <x:c r="H293" s="23" t="str">
        <x:v>Petrol- Oregano</x:v>
      </x:c>
      <x:c r="I293" s="23" t="n">
        <x:v>2.9</x:v>
      </x:c>
      <x:c r="J293" s="23" t="str">
        <x:v>behavioral_regression_candidate</x:v>
      </x:c>
      <x:c r="K293" s="23" t="str">
        <x:v>legacy_output_unverified</x:v>
      </x:c>
      <x:c r="L293" s="23" t="str"/>
      <x:c r="M293" s="23" t="str"/>
    </x:row>
    <x:row r="294">
      <x:c r="A294" s="23" t="str">
        <x:v>LT-0293</x:v>
      </x:c>
      <x:c r="B294" s="23" t="str">
        <x:v>Ing Pairings- Lamb.xlsx</x:v>
      </x:c>
      <x:c r="C294" s="23" t="str">
        <x:v>Sheet1</x:v>
      </x:c>
      <x:c r="D294" s="23" t="str">
        <x:v>lamb</x:v>
      </x:c>
      <x:c r="E294" s="23" t="str">
        <x:v>lamb</x:v>
      </x:c>
      <x:c r="F294" s="23" t="str">
        <x:v>existing:vcf</x:v>
      </x:c>
      <x:c r="G294" s="23" t="str">
        <x:v>sake</x:v>
      </x:c>
      <x:c r="H294" s="23" t="str">
        <x:v>Smoke- malt whisky</x:v>
      </x:c>
      <x:c r="I294" s="23" t="n">
        <x:v>23.9</x:v>
      </x:c>
      <x:c r="J294" s="23" t="str">
        <x:v>behavioral_regression_candidate</x:v>
      </x:c>
      <x:c r="K294" s="23" t="str">
        <x:v>legacy_output_unverified</x:v>
      </x:c>
      <x:c r="L294" s="23" t="str"/>
      <x:c r="M294" s="23" t="str"/>
    </x:row>
    <x:row r="295">
      <x:c r="A295" s="23" t="str">
        <x:v>LT-0294</x:v>
      </x:c>
      <x:c r="B295" s="23" t="str">
        <x:v>Ing Pairings- Lamb.xlsx</x:v>
      </x:c>
      <x:c r="C295" s="23" t="str">
        <x:v>Sheet1</x:v>
      </x:c>
      <x:c r="D295" s="23" t="str">
        <x:v>lamb</x:v>
      </x:c>
      <x:c r="E295" s="23" t="str">
        <x:v>lamb</x:v>
      </x:c>
      <x:c r="F295" s="23" t="str">
        <x:v>existing:vcf</x:v>
      </x:c>
      <x:c r="G295" s="23" t="str">
        <x:v>sherry</x:v>
      </x:c>
      <x:c r="H295" s="23" t="str">
        <x:v>Vanilla</x:v>
      </x:c>
      <x:c r="I295" s="23" t="n">
        <x:v>22.9</x:v>
      </x:c>
      <x:c r="J295" s="23" t="str">
        <x:v>behavioral_regression_candidate</x:v>
      </x:c>
      <x:c r="K295" s="23" t="str">
        <x:v>legacy_output_unverified</x:v>
      </x:c>
      <x:c r="L295" s="23" t="str"/>
      <x:c r="M295" s="23" t="str"/>
    </x:row>
    <x:row r="296">
      <x:c r="A296" s="23" t="str">
        <x:v>LT-0295</x:v>
      </x:c>
      <x:c r="B296" s="23" t="str">
        <x:v>Ing Pairings- Lamb.xlsx</x:v>
      </x:c>
      <x:c r="C296" s="23" t="str">
        <x:v>Sheet1</x:v>
      </x:c>
      <x:c r="D296" s="23" t="str">
        <x:v>lamb</x:v>
      </x:c>
      <x:c r="E296" s="23" t="str">
        <x:v>lamb</x:v>
      </x:c>
      <x:c r="F296" s="23" t="str">
        <x:v>existing:vcf</x:v>
      </x:c>
      <x:c r="G296" s="23" t="str">
        <x:v>strawberry</x:v>
      </x:c>
      <x:c r="H296" s="23" t="str">
        <x:v>Chocolate- Roasted Cocoa Beans</x:v>
      </x:c>
      <x:c r="I296" s="23" t="n">
        <x:v>30.3</x:v>
      </x:c>
      <x:c r="J296" s="23" t="str">
        <x:v>behavioral_regression_candidate</x:v>
      </x:c>
      <x:c r="K296" s="23" t="str">
        <x:v>legacy_output_unverified</x:v>
      </x:c>
      <x:c r="L296" s="23" t="str"/>
      <x:c r="M296" s="23" t="str"/>
    </x:row>
    <x:row r="297">
      <x:c r="A297" s="23" t="str">
        <x:v>LT-0296</x:v>
      </x:c>
      <x:c r="B297" s="23" t="str">
        <x:v>Ing Pairings- Lamb.xlsx</x:v>
      </x:c>
      <x:c r="C297" s="23" t="str">
        <x:v>Sheet1</x:v>
      </x:c>
      <x:c r="D297" s="23" t="str">
        <x:v>lamb</x:v>
      </x:c>
      <x:c r="E297" s="23" t="str">
        <x:v>lamb</x:v>
      </x:c>
      <x:c r="F297" s="23" t="str">
        <x:v>existing:vcf</x:v>
      </x:c>
      <x:c r="G297" s="23" t="str">
        <x:v>tarragon</x:v>
      </x:c>
      <x:c r="H297" s="23" t="str">
        <x:v>Meaty- Chicken (roasted)</x:v>
      </x:c>
      <x:c r="I297" s="23" t="n">
        <x:v>55</x:v>
      </x:c>
      <x:c r="J297" s="23" t="str">
        <x:v>behavioral_regression_candidate</x:v>
      </x:c>
      <x:c r="K297" s="23" t="str">
        <x:v>legacy_output_unverified</x:v>
      </x:c>
      <x:c r="L297" s="23" t="str"/>
      <x:c r="M297" s="23" t="str"/>
    </x:row>
    <x:row r="298">
      <x:c r="A298" s="23" t="str">
        <x:v>LT-0297</x:v>
      </x:c>
      <x:c r="B298" s="23" t="str">
        <x:v>Ing Pairings- Lamb.xlsx</x:v>
      </x:c>
      <x:c r="C298" s="23" t="str">
        <x:v>Sheet1</x:v>
      </x:c>
      <x:c r="D298" s="23" t="str">
        <x:v>lamb</x:v>
      </x:c>
      <x:c r="E298" s="23" t="str">
        <x:v>lamb</x:v>
      </x:c>
      <x:c r="F298" s="23" t="str">
        <x:v>existing:vcf</x:v>
      </x:c>
      <x:c r="G298" s="23" t="str">
        <x:v>tea</x:v>
      </x:c>
      <x:c r="H298" s="23" t="str">
        <x:v>Beef (roasted)</x:v>
      </x:c>
      <x:c r="I298" s="23" t="n">
        <x:v>47.7</x:v>
      </x:c>
      <x:c r="J298" s="23" t="str">
        <x:v>behavioral_regression_candidate</x:v>
      </x:c>
      <x:c r="K298" s="23" t="str">
        <x:v>legacy_output_unverified</x:v>
      </x:c>
      <x:c r="L298" s="23" t="str"/>
      <x:c r="M298" s="23" t="str"/>
    </x:row>
    <x:row r="299">
      <x:c r="A299" s="23" t="str">
        <x:v>LT-0298</x:v>
      </x:c>
      <x:c r="B299" s="23" t="str">
        <x:v>Ing Pairings- Lamb.xlsx</x:v>
      </x:c>
      <x:c r="C299" s="23" t="str">
        <x:v>Sheet1</x:v>
      </x:c>
      <x:c r="D299" s="23" t="str">
        <x:v>lamb</x:v>
      </x:c>
      <x:c r="E299" s="23" t="str">
        <x:v>lamb</x:v>
      </x:c>
      <x:c r="F299" s="23" t="str">
        <x:v>existing:vcf</x:v>
      </x:c>
      <x:c r="G299" s="23" t="str">
        <x:v>vaccinium</x:v>
      </x:c>
      <x:c r="H299" s="23" t="str">
        <x:v>Caramel- Coffee</x:v>
      </x:c>
      <x:c r="I299" s="23" t="n">
        <x:v>46.8</x:v>
      </x:c>
      <x:c r="J299" s="23" t="str">
        <x:v>behavioral_regression_candidate</x:v>
      </x:c>
      <x:c r="K299" s="23" t="str">
        <x:v>legacy_output_unverified</x:v>
      </x:c>
      <x:c r="L299" s="23" t="str"/>
      <x:c r="M299" s="23" t="str"/>
    </x:row>
    <x:row r="300">
      <x:c r="A300" s="23" t="str">
        <x:v>LT-0299</x:v>
      </x:c>
      <x:c r="B300" s="23" t="str">
        <x:v>Ing Pairings- Lamb.xlsx</x:v>
      </x:c>
      <x:c r="C300" s="23" t="str">
        <x:v>Sheet1</x:v>
      </x:c>
      <x:c r="D300" s="23" t="str">
        <x:v>lamb</x:v>
      </x:c>
      <x:c r="E300" s="23" t="str">
        <x:v>lamb</x:v>
      </x:c>
      <x:c r="F300" s="23" t="str">
        <x:v>existing:vcf</x:v>
      </x:c>
      <x:c r="G300" s="23" t="str">
        <x:v>wheaten bread</x:v>
      </x:c>
      <x:c r="H300" s="23" t="str">
        <x:v>Malt</x:v>
      </x:c>
      <x:c r="I300" s="23" t="n">
        <x:v>46.8</x:v>
      </x:c>
      <x:c r="J300" s="23" t="str">
        <x:v>behavioral_regression_candidate</x:v>
      </x:c>
      <x:c r="K300" s="23" t="str">
        <x:v>legacy_output_unverified</x:v>
      </x:c>
      <x:c r="L300" s="23" t="str"/>
      <x:c r="M300" s="23" t="str"/>
    </x:row>
    <x:row r="301">
      <x:c r="A301" s="23" t="str">
        <x:v>LT-0300</x:v>
      </x:c>
      <x:c r="B301" s="23" t="str">
        <x:v>Ing Pairings- Lamb.xlsx</x:v>
      </x:c>
      <x:c r="C301" s="23" t="str">
        <x:v>Sheet1</x:v>
      </x:c>
      <x:c r="D301" s="23" t="str">
        <x:v>lamb</x:v>
      </x:c>
      <x:c r="E301" s="23" t="str">
        <x:v>lamb</x:v>
      </x:c>
      <x:c r="F301" s="23" t="str">
        <x:v>existing:vcf</x:v>
      </x:c>
      <x:c r="G301" s="23" t="str">
        <x:v>whisky</x:v>
      </x:c>
      <x:c r="H301" s="23" t="str">
        <x:v>Nutty- Hazelnut</x:v>
      </x:c>
      <x:c r="I301" s="23" t="n">
        <x:v>39.4</x:v>
      </x:c>
      <x:c r="J301" s="23" t="str">
        <x:v>behavioral_regression_candidate</x:v>
      </x:c>
      <x:c r="K301" s="23" t="str">
        <x:v>legacy_output_unverified</x:v>
      </x:c>
      <x:c r="L301" s="23" t="str"/>
      <x:c r="M301" s="23" t="str"/>
    </x:row>
    <x:row r="302">
      <x:c r="A302" s="23" t="str">
        <x:v>LT-0301</x:v>
      </x:c>
      <x:c r="B302" s="23" t="str">
        <x:v>Ing Pairings- Lamb.xlsx</x:v>
      </x:c>
      <x:c r="C302" s="23" t="str">
        <x:v>Sheet1</x:v>
      </x:c>
      <x:c r="D302" s="23" t="str">
        <x:v>lamb</x:v>
      </x:c>
      <x:c r="E302" s="23" t="str">
        <x:v>lamb</x:v>
      </x:c>
      <x:c r="F302" s="23" t="str">
        <x:v>existing:vcf</x:v>
      </x:c>
      <x:c r="G302" s="23" t="str">
        <x:v>wine</x:v>
      </x:c>
      <x:c r="H302" s="23" t="str">
        <x:v>Walnut</x:v>
      </x:c>
      <x:c r="I302" s="23" t="n">
        <x:v>25.7</x:v>
      </x:c>
      <x:c r="J302" s="23" t="str">
        <x:v>behavioral_regression_candidate</x:v>
      </x:c>
      <x:c r="K302" s="23" t="str">
        <x:v>legacy_output_unverified</x:v>
      </x:c>
      <x:c r="L302" s="23" t="str"/>
      <x:c r="M302" s="23" t="str"/>
    </x:row>
    <x:row r="303">
      <x:c r="A303" s="23" t="str">
        <x:v>LT-0302</x:v>
      </x:c>
      <x:c r="B303" s="23" t="str">
        <x:v>Ing Pairings- Lamb.xlsx</x:v>
      </x:c>
      <x:c r="C303" s="23" t="str">
        <x:v>Sheet1</x:v>
      </x:c>
      <x:c r="D303" s="23" t="str">
        <x:v>lamb</x:v>
      </x:c>
      <x:c r="E303" s="23" t="str">
        <x:v>lamb</x:v>
      </x:c>
      <x:c r="F303" s="23" t="str">
        <x:v>existing:vcf</x:v>
      </x:c>
      <x:c r="G303" s="23" t="str">
        <x:v>truffle</x:v>
      </x:c>
      <x:c r="H303" s="23" t="str">
        <x:v>Toasted- Wheaten Bread</x:v>
      </x:c>
      <x:c r="I303" s="23" t="n">
        <x:v>45.9</x:v>
      </x:c>
      <x:c r="J303" s="23" t="str">
        <x:v>behavioral_regression_candidate</x:v>
      </x:c>
      <x:c r="K303" s="23" t="str">
        <x:v>legacy_output_unverified</x:v>
      </x:c>
      <x:c r="L303" s="23" t="str"/>
      <x:c r="M303" s="23" t="str"/>
    </x:row>
    <x:row r="304">
      <x:c r="A304" s="23" t="str">
        <x:v>LT-0303</x:v>
      </x:c>
      <x:c r="B304" s="23" t="str">
        <x:v>Ing Pairings- Lamb.xlsx</x:v>
      </x:c>
      <x:c r="C304" s="23" t="str">
        <x:v>Sheet1</x:v>
      </x:c>
      <x:c r="D304" s="23" t="str">
        <x:v>lamb</x:v>
      </x:c>
      <x:c r="E304" s="23" t="str">
        <x:v>lamb</x:v>
      </x:c>
      <x:c r="F304" s="23" t="str">
        <x:v>existing:vcf</x:v>
      </x:c>
      <x:c r="G304" s="23" t="str">
        <x:v>potato</x:v>
      </x:c>
      <x:c r="H304" s="23" t="str">
        <x:v>Sulphur- Allium</x:v>
      </x:c>
      <x:c r="I304" s="23" t="n">
        <x:v>24.8</x:v>
      </x:c>
      <x:c r="J304" s="23" t="str">
        <x:v>behavioral_regression_candidate</x:v>
      </x:c>
      <x:c r="K304" s="23" t="str">
        <x:v>legacy_output_unverified</x:v>
      </x:c>
      <x:c r="L304" s="23" t="str"/>
      <x:c r="M304" s="23" t="str"/>
    </x:row>
    <x:row r="305">
      <x:c r="A305" s="23" t="str">
        <x:v>LT-0304</x:v>
      </x:c>
      <x:c r="B305" s="23" t="str">
        <x:v>Ing Pairings- Lamb.xlsx</x:v>
      </x:c>
      <x:c r="C305" s="23" t="str">
        <x:v>Sheet1</x:v>
      </x:c>
      <x:c r="D305" s="23" t="str">
        <x:v>lamb</x:v>
      </x:c>
      <x:c r="E305" s="23" t="str">
        <x:v>lamb</x:v>
      </x:c>
      <x:c r="F305" s="23" t="str">
        <x:v>existing:vcf</x:v>
      </x:c>
      <x:c r="G305" s="23" t="str">
        <x:v>pork</x:v>
      </x:c>
      <x:c r="H305" s="23" t="str">
        <x:v>Pungent- Mustard</x:v>
      </x:c>
      <x:c r="I305" s="23" t="n">
        <x:v>11.8</x:v>
      </x:c>
      <x:c r="J305" s="23" t="str">
        <x:v>behavioral_regression_candidate</x:v>
      </x:c>
      <x:c r="K305" s="23" t="str">
        <x:v>legacy_output_unverified</x:v>
      </x:c>
      <x:c r="L305" s="23" t="str"/>
      <x:c r="M305" s="23" t="str"/>
    </x:row>
    <x:row r="306">
      <x:c r="A306" s="23" t="str">
        <x:v>LT-0305</x:v>
      </x:c>
      <x:c r="B306" s="23" t="str">
        <x:v>Ing Pairings- Lamb.xlsx</x:v>
      </x:c>
      <x:c r="C306" s="23" t="str">
        <x:v>Sheet1</x:v>
      </x:c>
      <x:c r="D306" s="23" t="str">
        <x:v>lamb</x:v>
      </x:c>
      <x:c r="E306" s="23" t="str">
        <x:v>lamb</x:v>
      </x:c>
      <x:c r="F306" s="23" t="str">
        <x:v>existing:vcf</x:v>
      </x:c>
      <x:c r="G306" s="23" t="str">
        <x:v>peanut</x:v>
      </x:c>
      <x:c r="H306" s="23" t="str">
        <x:v>Phenol- Wine</x:v>
      </x:c>
      <x:c r="I306" s="23" t="n">
        <x:v>24.8</x:v>
      </x:c>
      <x:c r="J306" s="23" t="str">
        <x:v>behavioral_regression_candidate</x:v>
      </x:c>
      <x:c r="K306" s="23" t="str">
        <x:v>legacy_output_unverified</x:v>
      </x:c>
      <x:c r="L306" s="23" t="str"/>
      <x:c r="M306" s="23" t="str"/>
    </x:row>
    <x:row r="307">
      <x:c r="A307" s="23" t="str">
        <x:v>LT-0306</x:v>
      </x:c>
      <x:c r="B307" s="23" t="str">
        <x:v>Ing Pairings- Lamb.xlsx</x:v>
      </x:c>
      <x:c r="C307" s="23" t="str">
        <x:v>Sheet1</x:v>
      </x:c>
      <x:c r="D307" s="23" t="str">
        <x:v>lamb</x:v>
      </x:c>
      <x:c r="E307" s="23" t="str">
        <x:v>lamb</x:v>
      </x:c>
      <x:c r="F307" s="23" t="str">
        <x:v>existing:vcf</x:v>
      </x:c>
      <x:c r="G307" s="23" t="str">
        <x:v>mentha</x:v>
      </x:c>
      <x:c r="H307" s="23" t="str">
        <x:v>Black Tea</x:v>
      </x:c>
      <x:c r="I307" s="23" t="n">
        <x:v>49.5</x:v>
      </x:c>
      <x:c r="J307" s="23" t="str">
        <x:v>behavioral_regression_candidate</x:v>
      </x:c>
      <x:c r="K307" s="23" t="str">
        <x:v>legacy_output_unverified</x:v>
      </x:c>
      <x:c r="L307" s="23" t="str"/>
      <x:c r="M307" s="23" t="str"/>
    </x:row>
    <x:row r="308">
      <x:c r="A308" s="23" t="str">
        <x:v>LT-0307</x:v>
      </x:c>
      <x:c r="B308" s="23" t="str">
        <x:v>Ing Pairings- Lamb.xlsx</x:v>
      </x:c>
      <x:c r="C308" s="23" t="str">
        <x:v>Sheet1</x:v>
      </x:c>
      <x:c r="D308" s="23" t="str">
        <x:v>lamb</x:v>
      </x:c>
      <x:c r="E308" s="23" t="str">
        <x:v>lamb</x:v>
      </x:c>
      <x:c r="F308" s="23" t="str">
        <x:v>existing:vcf</x:v>
      </x:c>
      <x:c r="G308" s="23" t="str">
        <x:v>melon</x:v>
      </x:c>
      <x:c r="H308" s="23" t="str">
        <x:v>Savory- Shoyu</x:v>
      </x:c>
      <x:c r="I308" s="23" t="n">
        <x:v>25.7</x:v>
      </x:c>
      <x:c r="J308" s="23" t="str">
        <x:v>behavioral_regression_candidate</x:v>
      </x:c>
      <x:c r="K308" s="23" t="str">
        <x:v>legacy_output_unverified</x:v>
      </x:c>
      <x:c r="L308" s="23" t="str"/>
      <x:c r="M308" s="23" t="str"/>
    </x:row>
    <x:row r="309">
      <x:c r="A309" s="23" t="str">
        <x:v>LT-0308</x:v>
      </x:c>
      <x:c r="B309" s="23" t="str">
        <x:v>Ing Pairings- Lamb.xlsx</x:v>
      </x:c>
      <x:c r="C309" s="23" t="str">
        <x:v>Sheet1</x:v>
      </x:c>
      <x:c r="D309" s="23" t="str">
        <x:v>lamb</x:v>
      </x:c>
      <x:c r="E309" s="23" t="str">
        <x:v>lamb</x:v>
      </x:c>
      <x:c r="F309" s="23" t="str">
        <x:v>existing:vcf</x:v>
      </x:c>
      <x:c r="G309" s="23" t="str">
        <x:v>maize</x:v>
      </x:c>
      <x:c r="H309" s="23" t="str">
        <x:v>Katsuobushi</x:v>
      </x:c>
      <x:c r="I309" s="23" t="n">
        <x:v>49.5</x:v>
      </x:c>
      <x:c r="J309" s="23" t="str">
        <x:v>behavioral_regression_candidate</x:v>
      </x:c>
      <x:c r="K309" s="23" t="str">
        <x:v>legacy_output_unverified</x:v>
      </x:c>
      <x:c r="L309" s="23" t="str"/>
      <x:c r="M309" s="23" t="str"/>
    </x:row>
    <x:row r="310">
      <x:c r="A310" s="23" t="str">
        <x:v>LT-0309</x:v>
      </x:c>
      <x:c r="B310" s="23" t="str">
        <x:v>Ing Pairings- Lamb.xlsx</x:v>
      </x:c>
      <x:c r="C310" s="23" t="str">
        <x:v>Sheet1</x:v>
      </x:c>
      <x:c r="D310" s="23" t="str">
        <x:v>lamb</x:v>
      </x:c>
      <x:c r="E310" s="23" t="str">
        <x:v>lamb</x:v>
      </x:c>
      <x:c r="F310" s="23" t="str">
        <x:v>existing:vcf</x:v>
      </x:c>
      <x:c r="G310" s="23" t="str">
        <x:v>guinea hen</x:v>
      </x:c>
      <x:c r="H310" s="23" t="str">
        <x:v>Sour- Vinegar</x:v>
      </x:c>
      <x:c r="I310" s="23" t="n">
        <x:v>14.2</x:v>
      </x:c>
      <x:c r="J310" s="23" t="str">
        <x:v>behavioral_regression_candidate</x:v>
      </x:c>
      <x:c r="K310" s="23" t="str">
        <x:v>legacy_output_unverified</x:v>
      </x:c>
      <x:c r="L310" s="23" t="str"/>
      <x:c r="M310" s="23" t="str"/>
    </x:row>
    <x:row r="311">
      <x:c r="A311" s="23" t="str">
        <x:v>LT-0310</x:v>
      </x:c>
      <x:c r="B311" s="23" t="str">
        <x:v>Ing Pairings- Lamb.xlsx</x:v>
      </x:c>
      <x:c r="C311" s="23" t="str">
        <x:v>Sheet1</x:v>
      </x:c>
      <x:c r="D311" s="23" t="str">
        <x:v>lamb</x:v>
      </x:c>
      <x:c r="E311" s="23" t="str">
        <x:v>lamb</x:v>
      </x:c>
      <x:c r="F311" s="23" t="str">
        <x:v>existing:vcf</x:v>
      </x:c>
      <x:c r="G311" s="23" t="str">
        <x:v>fish</x:v>
      </x:c>
      <x:c r="H311" s="23" t="str">
        <x:v>Dairy- Milk</x:v>
      </x:c>
      <x:c r="I311" s="23" t="n">
        <x:v>57.8</x:v>
      </x:c>
      <x:c r="J311" s="23" t="str">
        <x:v>behavioral_regression_candidate</x:v>
      </x:c>
      <x:c r="K311" s="23" t="str">
        <x:v>legacy_output_unverified</x:v>
      </x:c>
      <x:c r="L311" s="23" t="str"/>
      <x:c r="M311" s="23" t="str"/>
    </x:row>
    <x:row r="312">
      <x:c r="A312" s="23" t="str">
        <x:v>LT-0311</x:v>
      </x:c>
      <x:c r="B312" s="23" t="str">
        <x:v>Ing Pairings- Lamb.xlsx</x:v>
      </x:c>
      <x:c r="C312" s="23" t="str">
        <x:v>Sheet1</x:v>
      </x:c>
      <x:c r="D312" s="23" t="str">
        <x:v>lamb</x:v>
      </x:c>
      <x:c r="E312" s="23" t="str">
        <x:v>lamb</x:v>
      </x:c>
      <x:c r="F312" s="23" t="str">
        <x:v>existing:vcf</x:v>
      </x:c>
      <x:c r="G312" s="23" t="str">
        <x:v>hazelnut</x:v>
      </x:c>
      <x:c r="H312" s="23" t="str">
        <x:v>Alcohol- Brandy</x:v>
      </x:c>
      <x:c r="I312" s="23" t="n">
        <x:v>37.6</x:v>
      </x:c>
      <x:c r="J312" s="23" t="str">
        <x:v>behavioral_regression_candidate</x:v>
      </x:c>
      <x:c r="K312" s="23" t="str">
        <x:v>legacy_output_unverified</x:v>
      </x:c>
      <x:c r="L312" s="23" t="str"/>
      <x:c r="M312" s="23" t="str"/>
    </x:row>
    <x:row r="313">
      <x:c r="A313" s="23" t="str">
        <x:v>LT-0312</x:v>
      </x:c>
      <x:c r="B313" s="23" t="str">
        <x:v>Ing Pairings- Lamb.xlsx</x:v>
      </x:c>
      <x:c r="C313" s="23" t="str">
        <x:v>Sheet1</x:v>
      </x:c>
      <x:c r="D313" s="23" t="str">
        <x:v>lamb</x:v>
      </x:c>
      <x:c r="E313" s="23" t="str">
        <x:v>lamb</x:v>
      </x:c>
      <x:c r="F313" s="23" t="str">
        <x:v>existing:vcf</x:v>
      </x:c>
      <x:c r="G313" s="23" t="str">
        <x:v>fig</x:v>
      </x:c>
      <x:c r="H313" s="23" t="str">
        <x:v>Marine- Fish</x:v>
      </x:c>
      <x:c r="I313" s="23" t="n">
        <x:v>50.4</x:v>
      </x:c>
      <x:c r="J313" s="23" t="str">
        <x:v>behavioral_regression_candidate</x:v>
      </x:c>
      <x:c r="K313" s="23" t="str">
        <x:v>legacy_output_unverified</x:v>
      </x:c>
      <x:c r="L313" s="23" t="str"/>
      <x:c r="M313" s="23" t="str"/>
    </x:row>
    <x:row r="314">
      <x:c r="A314" s="23" t="str">
        <x:v>LT-0313</x:v>
      </x:c>
      <x:c r="B314" s="23" t="str">
        <x:v>Ing Pairings- Lamb.xlsx</x:v>
      </x:c>
      <x:c r="C314" s="23" t="str">
        <x:v>Sheet1</x:v>
      </x:c>
      <x:c r="D314" s="23" t="str">
        <x:v>lamb</x:v>
      </x:c>
      <x:c r="E314" s="23" t="str">
        <x:v>lamb</x:v>
      </x:c>
      <x:c r="F314" s="23" t="str">
        <x:v>existing:vcf</x:v>
      </x:c>
      <x:c r="G314" s="23" t="str">
        <x:v>coriander</x:v>
      </x:c>
      <x:c r="H314" s="23" t="str">
        <x:v>Shrimp (cooked)</x:v>
      </x:c>
      <x:c r="I314" s="23" t="n">
        <x:v>33.9</x:v>
      </x:c>
      <x:c r="J314" s="23" t="str">
        <x:v>behavioral_regression_candidate</x:v>
      </x:c>
      <x:c r="K314" s="23" t="str">
        <x:v>legacy_output_unverified</x:v>
      </x:c>
      <x:c r="L314" s="23" t="str"/>
      <x:c r="M314" s="23" t="str"/>
    </x:row>
    <x:row r="315">
      <x:c r="A315" s="23" t="str">
        <x:v>LT-0314</x:v>
      </x:c>
      <x:c r="B315" s="23" t="str">
        <x:v>Ing Pairings- Lamb.xlsx</x:v>
      </x:c>
      <x:c r="C315" s="23" t="str">
        <x:v>Sheet1</x:v>
      </x:c>
      <x:c r="D315" s="23" t="str">
        <x:v>lamb</x:v>
      </x:c>
      <x:c r="E315" s="23" t="str">
        <x:v>lamb</x:v>
      </x:c>
      <x:c r="F315" s="23" t="str">
        <x:v>existing:vcf</x:v>
      </x:c>
      <x:c r="G315" s="23" t="str">
        <x:v>clam</x:v>
      </x:c>
      <x:c r="H315" s="23" t="str"/>
      <x:c r="I315" s="23" t="str"/>
      <x:c r="J315" s="23" t="str">
        <x:v>behavioral_regression_candidate</x:v>
      </x:c>
      <x:c r="K315" s="23" t="str">
        <x:v>legacy_output_unverified</x:v>
      </x:c>
      <x:c r="L315" s="23" t="str"/>
      <x:c r="M315" s="23" t="str"/>
    </x:row>
    <x:row r="316">
      <x:c r="A316" s="23" t="str">
        <x:v>LT-0315</x:v>
      </x:c>
      <x:c r="B316" s="23" t="str">
        <x:v>Ing Pairings- Lamb.xlsx</x:v>
      </x:c>
      <x:c r="C316" s="23" t="str">
        <x:v>Sheet1</x:v>
      </x:c>
      <x:c r="D316" s="23" t="str">
        <x:v>lamb</x:v>
      </x:c>
      <x:c r="E316" s="23" t="str">
        <x:v>lamb</x:v>
      </x:c>
      <x:c r="F316" s="23" t="str">
        <x:v>existing:vcf</x:v>
      </x:c>
      <x:c r="G316" s="23" t="str">
        <x:v>citrus</x:v>
      </x:c>
      <x:c r="H316" s="23" t="str"/>
      <x:c r="I316" s="23" t="str"/>
      <x:c r="J316" s="23" t="str">
        <x:v>behavioral_regression_candidate</x:v>
      </x:c>
      <x:c r="K316" s="23" t="str">
        <x:v>legacy_output_unverified</x:v>
      </x:c>
      <x:c r="L316" s="23" t="str"/>
      <x:c r="M316" s="23" t="str"/>
    </x:row>
    <x:row r="317">
      <x:c r="A317" s="23" t="str">
        <x:v>LT-0316</x:v>
      </x:c>
      <x:c r="B317" s="23" t="str">
        <x:v>Ing Pairings- Lamb.xlsx</x:v>
      </x:c>
      <x:c r="C317" s="23" t="str">
        <x:v>Sheet1</x:v>
      </x:c>
      <x:c r="D317" s="23" t="str">
        <x:v>lamb</x:v>
      </x:c>
      <x:c r="E317" s="23" t="str">
        <x:v>lamb</x:v>
      </x:c>
      <x:c r="F317" s="23" t="str">
        <x:v>existing:vcf</x:v>
      </x:c>
      <x:c r="G317" s="23" t="str">
        <x:v>celery</x:v>
      </x:c>
      <x:c r="H317" s="23" t="str"/>
      <x:c r="I317" s="23" t="str"/>
      <x:c r="J317" s="23" t="str">
        <x:v>behavioral_regression_candidate</x:v>
      </x:c>
      <x:c r="K317" s="23" t="str">
        <x:v>legacy_output_unverified</x:v>
      </x:c>
      <x:c r="L317" s="23" t="str"/>
      <x:c r="M317" s="23" t="str"/>
    </x:row>
    <x:row r="318">
      <x:c r="A318" s="23" t="str">
        <x:v>LT-0317</x:v>
      </x:c>
      <x:c r="B318" s="23" t="str">
        <x:v>Ing Pairings- Lamb.xlsx</x:v>
      </x:c>
      <x:c r="C318" s="23" t="str">
        <x:v>Sheet1</x:v>
      </x:c>
      <x:c r="D318" s="23" t="str">
        <x:v>lamb</x:v>
      </x:c>
      <x:c r="E318" s="23" t="str">
        <x:v>lamb</x:v>
      </x:c>
      <x:c r="F318" s="23" t="str">
        <x:v>existing:vcf</x:v>
      </x:c>
      <x:c r="G318" s="23" t="str">
        <x:v>carrot</x:v>
      </x:c>
      <x:c r="H318" s="23" t="str"/>
      <x:c r="I318" s="23" t="str"/>
      <x:c r="J318" s="23" t="str">
        <x:v>behavioral_regression_candidate</x:v>
      </x:c>
      <x:c r="K318" s="23" t="str">
        <x:v>legacy_output_unverified</x:v>
      </x:c>
      <x:c r="L318" s="23" t="str"/>
      <x:c r="M318" s="23" t="str"/>
    </x:row>
    <x:row r="319">
      <x:c r="A319" s="23" t="str">
        <x:v>LT-0318</x:v>
      </x:c>
      <x:c r="B319" s="23" t="str">
        <x:v>Ing Pairings- Lamb.xlsx</x:v>
      </x:c>
      <x:c r="C319" s="23" t="str">
        <x:v>Sheet1</x:v>
      </x:c>
      <x:c r="D319" s="23" t="str">
        <x:v>lamb</x:v>
      </x:c>
      <x:c r="E319" s="23" t="str">
        <x:v>lamb</x:v>
      </x:c>
      <x:c r="F319" s="23" t="str">
        <x:v>existing:vcf</x:v>
      </x:c>
      <x:c r="G319" s="23" t="str">
        <x:v>eggplant</x:v>
      </x:c>
      <x:c r="H319" s="23" t="str"/>
      <x:c r="I319" s="23" t="str"/>
      <x:c r="J319" s="23" t="str">
        <x:v>behavioral_regression_candidate</x:v>
      </x:c>
      <x:c r="K319" s="23" t="str">
        <x:v>legacy_output_unverified</x:v>
      </x:c>
      <x:c r="L319" s="23" t="str"/>
      <x:c r="M319" s="23" t="str"/>
    </x:row>
    <x:row r="320">
      <x:c r="A320" s="23" t="str">
        <x:v>LT-0319</x:v>
      </x:c>
      <x:c r="B320" s="23" t="str">
        <x:v>Ing Pairings- Lamb.xlsx</x:v>
      </x:c>
      <x:c r="C320" s="23" t="str">
        <x:v>Sheet1</x:v>
      </x:c>
      <x:c r="D320" s="23" t="str">
        <x:v>lamb</x:v>
      </x:c>
      <x:c r="E320" s="23" t="str">
        <x:v>lamb</x:v>
      </x:c>
      <x:c r="F320" s="23" t="str">
        <x:v>existing:vcf</x:v>
      </x:c>
      <x:c r="G320" s="23" t="str">
        <x:v>artichoke</x:v>
      </x:c>
      <x:c r="H320" s="23" t="str"/>
      <x:c r="I320" s="23" t="str"/>
      <x:c r="J320" s="23" t="str">
        <x:v>behavioral_regression_candidate</x:v>
      </x:c>
      <x:c r="K320" s="23" t="str">
        <x:v>legacy_output_unverified</x:v>
      </x:c>
      <x:c r="L320" s="23" t="str"/>
      <x:c r="M320" s="23" t="str"/>
    </x:row>
    <x:row r="321">
      <x:c r="A321" s="23" t="str">
        <x:v>LT-0320</x:v>
      </x:c>
      <x:c r="B321" s="23" t="str">
        <x:v>Ing Pairings- Lamb.xlsx</x:v>
      </x:c>
      <x:c r="C321" s="23" t="str">
        <x:v>Sheet1</x:v>
      </x:c>
      <x:c r="D321" s="23" t="str">
        <x:v>lamb</x:v>
      </x:c>
      <x:c r="E321" s="23" t="str">
        <x:v>lamb</x:v>
      </x:c>
      <x:c r="F321" s="23" t="str">
        <x:v>existing:vcf</x:v>
      </x:c>
      <x:c r="G321" s="23" t="str">
        <x:v>annatto</x:v>
      </x:c>
      <x:c r="H321" s="23" t="str"/>
      <x:c r="I321" s="23" t="str"/>
      <x:c r="J321" s="23" t="str">
        <x:v>behavioral_regression_candidate</x:v>
      </x:c>
      <x:c r="K321" s="23" t="str">
        <x:v>legacy_output_unverified</x:v>
      </x:c>
      <x:c r="L321" s="23" t="str"/>
      <x:c r="M321" s="23" t="str"/>
    </x:row>
    <x:row r="322">
      <x:c r="A322" s="23" t="str">
        <x:v>LT-0321</x:v>
      </x:c>
      <x:c r="B322" s="23" t="str">
        <x:v>Ing Pairings- Lamb.xlsx</x:v>
      </x:c>
      <x:c r="C322" s="23" t="str">
        <x:v>Sheet1</x:v>
      </x:c>
      <x:c r="D322" s="23" t="str">
        <x:v>lamb</x:v>
      </x:c>
      <x:c r="E322" s="23" t="str">
        <x:v>lamb</x:v>
      </x:c>
      <x:c r="F322" s="23" t="str">
        <x:v>existing:vcf</x:v>
      </x:c>
      <x:c r="G322" s="23" t="str">
        <x:v>allium</x:v>
      </x:c>
      <x:c r="H322" s="23" t="str"/>
      <x:c r="I322" s="23" t="str"/>
      <x:c r="J322" s="23" t="str">
        <x:v>behavioral_regression_candidate</x:v>
      </x:c>
      <x:c r="K322" s="23" t="str">
        <x:v>legacy_output_unverified</x:v>
      </x:c>
      <x:c r="L322" s="23" t="str"/>
      <x:c r="M322" s="23" t="str"/>
    </x:row>
    <x:row r="323">
      <x:c r="A323" s="23" t="str">
        <x:v>LT-0322</x:v>
      </x:c>
      <x:c r="B323" s="23" t="str">
        <x:v>Ing Pairings- Lamb.xlsx</x:v>
      </x:c>
      <x:c r="C323" s="23" t="str">
        <x:v>Sheet1</x:v>
      </x:c>
      <x:c r="D323" s="23" t="str">
        <x:v>lamb</x:v>
      </x:c>
      <x:c r="E323" s="23" t="str">
        <x:v>lamb</x:v>
      </x:c>
      <x:c r="F323" s="23" t="str">
        <x:v>existing:vcf</x:v>
      </x:c>
      <x:c r="G323" s="23" t="str">
        <x:v>beef</x:v>
      </x:c>
      <x:c r="H323" s="23" t="str"/>
      <x:c r="I323" s="23" t="str"/>
      <x:c r="J323" s="23" t="str">
        <x:v>behavioral_regression_candidate</x:v>
      </x:c>
      <x:c r="K323" s="23" t="str">
        <x:v>legacy_output_unverified</x:v>
      </x:c>
      <x:c r="L323" s="23" t="str"/>
      <x:c r="M323" s="23" t="str"/>
    </x:row>
    <x:row r="324">
      <x:c r="A324" s="23" t="str">
        <x:v>LT-0323</x:v>
      </x:c>
      <x:c r="B324" s="23" t="str">
        <x:v>Ing Pairings- Lamb.xlsx</x:v>
      </x:c>
      <x:c r="C324" s="23" t="str">
        <x:v>Sheet1</x:v>
      </x:c>
      <x:c r="D324" s="23" t="str">
        <x:v>lamb</x:v>
      </x:c>
      <x:c r="E324" s="23" t="str">
        <x:v>lamb</x:v>
      </x:c>
      <x:c r="F324" s="23" t="str">
        <x:v>existing:vcf</x:v>
      </x:c>
      <x:c r="G324" s="23" t="str">
        <x:v>chicken</x:v>
      </x:c>
      <x:c r="H324" s="23" t="str"/>
      <x:c r="I324" s="23" t="str"/>
      <x:c r="J324" s="23" t="str">
        <x:v>behavioral_regression_candidate</x:v>
      </x:c>
      <x:c r="K324" s="23" t="str">
        <x:v>legacy_output_unverified</x:v>
      </x:c>
      <x:c r="L324" s="23" t="str"/>
      <x:c r="M324" s="23" t="str"/>
    </x:row>
    <x:row r="325">
      <x:c r="A325" s="23" t="str">
        <x:v>LT-0324</x:v>
      </x:c>
      <x:c r="B325" s="23" t="str">
        <x:v>Ing Pairings- Lamb.xlsx</x:v>
      </x:c>
      <x:c r="C325" s="23" t="str">
        <x:v>Sheet1</x:v>
      </x:c>
      <x:c r="D325" s="23" t="str">
        <x:v>lamb</x:v>
      </x:c>
      <x:c r="E325" s="23" t="str">
        <x:v>lamb</x:v>
      </x:c>
      <x:c r="F325" s="23" t="str">
        <x:v>existing:vcf</x:v>
      </x:c>
      <x:c r="G325" s="23" t="str">
        <x:v>lovage</x:v>
      </x:c>
      <x:c r="H325" s="23" t="str"/>
      <x:c r="I325" s="23" t="str"/>
      <x:c r="J325" s="23" t="str">
        <x:v>behavioral_regression_candidate</x:v>
      </x:c>
      <x:c r="K325" s="23" t="str">
        <x:v>legacy_output_unverified</x:v>
      </x:c>
      <x:c r="L325" s="23" t="str"/>
      <x:c r="M325" s="23" t="str"/>
    </x:row>
    <x:row r="326">
      <x:c r="A326" s="23" t="str">
        <x:v>LT-0325</x:v>
      </x:c>
      <x:c r="B326" s="23" t="str">
        <x:v>Ing Pairings- Lamb.xlsx</x:v>
      </x:c>
      <x:c r="C326" s="23" t="str">
        <x:v>Sheet1</x:v>
      </x:c>
      <x:c r="D326" s="23" t="str">
        <x:v>lamb</x:v>
      </x:c>
      <x:c r="E326" s="23" t="str">
        <x:v>lamb</x:v>
      </x:c>
      <x:c r="F326" s="23" t="str">
        <x:v>existing:vcf</x:v>
      </x:c>
      <x:c r="G326" s="23" t="str">
        <x:v>prickly pear</x:v>
      </x:c>
      <x:c r="H326" s="23" t="str"/>
      <x:c r="I326" s="23" t="str"/>
      <x:c r="J326" s="23" t="str">
        <x:v>behavioral_regression_candidate</x:v>
      </x:c>
      <x:c r="K326" s="23" t="str">
        <x:v>legacy_output_unverified</x:v>
      </x:c>
      <x:c r="L326" s="23" t="str"/>
      <x:c r="M326" s="23" t="str"/>
    </x:row>
    <x:row r="327">
      <x:c r="A327" s="23" t="str">
        <x:v>LT-0326</x:v>
      </x:c>
      <x:c r="B327" s="23" t="str">
        <x:v>Ing Pairings- Lamb.xlsx</x:v>
      </x:c>
      <x:c r="C327" s="23" t="str">
        <x:v>Sheet1</x:v>
      </x:c>
      <x:c r="D327" s="23" t="str">
        <x:v>lamb</x:v>
      </x:c>
      <x:c r="E327" s="23" t="str">
        <x:v>lamb</x:v>
      </x:c>
      <x:c r="F327" s="23" t="str">
        <x:v>existing:vcf</x:v>
      </x:c>
      <x:c r="G327" s="23" t="str">
        <x:v>soybean</x:v>
      </x:c>
      <x:c r="H327" s="23" t="str"/>
      <x:c r="I327" s="23" t="str"/>
      <x:c r="J327" s="23" t="str">
        <x:v>behavioral_regression_candidate</x:v>
      </x:c>
      <x:c r="K327" s="23" t="str">
        <x:v>legacy_output_unverified</x:v>
      </x:c>
      <x:c r="L327" s="23" t="str"/>
      <x:c r="M327" s="23" t="str"/>
    </x:row>
    <x:row r="328">
      <x:c r="A328" s="23" t="str">
        <x:v>LT-0327</x:v>
      </x:c>
      <x:c r="B328" s="23" t="str">
        <x:v>Ing Pairings- Lamb.xlsx</x:v>
      </x:c>
      <x:c r="C328" s="23" t="str">
        <x:v>Sheet1</x:v>
      </x:c>
      <x:c r="D328" s="23" t="str">
        <x:v>lamb</x:v>
      </x:c>
      <x:c r="E328" s="23" t="str">
        <x:v>lamb</x:v>
      </x:c>
      <x:c r="F328" s="23" t="str">
        <x:v>existing:vcf</x:v>
      </x:c>
      <x:c r="G328" s="23" t="str">
        <x:v>rosemary</x:v>
      </x:c>
      <x:c r="H328" s="23" t="str"/>
      <x:c r="I328" s="23" t="str"/>
      <x:c r="J328" s="23" t="str">
        <x:v>behavioral_regression_candidate</x:v>
      </x:c>
      <x:c r="K328" s="23" t="str">
        <x:v>legacy_output_unverified</x:v>
      </x:c>
      <x:c r="L328" s="23" t="str"/>
      <x:c r="M328" s="23" t="str"/>
    </x:row>
    <x:row r="329">
      <x:c r="A329" s="23" t="str">
        <x:v>LT-0328</x:v>
      </x:c>
      <x:c r="B329" s="23" t="str">
        <x:v>Ing Pairings- Lamb.xlsx</x:v>
      </x:c>
      <x:c r="C329" s="23" t="str">
        <x:v>Sheet1</x:v>
      </x:c>
      <x:c r="D329" s="23" t="str">
        <x:v>lamb</x:v>
      </x:c>
      <x:c r="E329" s="23" t="str">
        <x:v>lamb</x:v>
      </x:c>
      <x:c r="F329" s="23" t="str">
        <x:v>existing:vcf</x:v>
      </x:c>
      <x:c r="G329" s="23" t="str">
        <x:v>beans</x:v>
      </x:c>
      <x:c r="H329" s="23" t="str"/>
      <x:c r="I329" s="23" t="str"/>
      <x:c r="J329" s="23" t="str">
        <x:v>behavioral_regression_candidate</x:v>
      </x:c>
      <x:c r="K329" s="23" t="str">
        <x:v>legacy_output_unverified</x:v>
      </x:c>
      <x:c r="L329" s="23" t="str"/>
      <x:c r="M329" s="23" t="str"/>
    </x:row>
    <x:row r="330">
      <x:c r="A330" s="23" t="str">
        <x:v>LT-0329</x:v>
      </x:c>
      <x:c r="B330" s="23" t="str">
        <x:v>Ing Pairings- Lamb.xlsx</x:v>
      </x:c>
      <x:c r="C330" s="23" t="str">
        <x:v>Sheet1</x:v>
      </x:c>
      <x:c r="D330" s="23" t="str">
        <x:v>lamb</x:v>
      </x:c>
      <x:c r="E330" s="23" t="str">
        <x:v>lamb</x:v>
      </x:c>
      <x:c r="F330" s="23" t="str">
        <x:v>existing:vcf</x:v>
      </x:c>
      <x:c r="G330" s="23" t="str">
        <x:v>blue cheese</x:v>
      </x:c>
      <x:c r="H330" s="23" t="str"/>
      <x:c r="I330" s="23" t="str"/>
      <x:c r="J330" s="23" t="str">
        <x:v>behavioral_regression_candidate</x:v>
      </x:c>
      <x:c r="K330" s="23" t="str">
        <x:v>legacy_output_unverified</x:v>
      </x:c>
      <x:c r="L330" s="23" t="str"/>
      <x:c r="M330" s="23" t="str"/>
    </x:row>
    <x:row r="331">
      <x:c r="A331" s="23" t="str">
        <x:v>LT-0330</x:v>
      </x:c>
      <x:c r="B331" s="23" t="str">
        <x:v>Ing Pairings- Lamb.xlsx</x:v>
      </x:c>
      <x:c r="C331" s="23" t="str">
        <x:v>Sheet1</x:v>
      </x:c>
      <x:c r="D331" s="23" t="str">
        <x:v>lamb</x:v>
      </x:c>
      <x:c r="E331" s="23" t="str">
        <x:v>lamb</x:v>
      </x:c>
      <x:c r="F331" s="23" t="str">
        <x:v>existing:vcf</x:v>
      </x:c>
      <x:c r="G331" s="23" t="str">
        <x:v>oats</x:v>
      </x:c>
      <x:c r="H331" s="23" t="str"/>
      <x:c r="I331" s="23" t="str"/>
      <x:c r="J331" s="23" t="str">
        <x:v>behavioral_regression_candidate</x:v>
      </x:c>
      <x:c r="K331" s="23" t="str">
        <x:v>legacy_output_unverified</x:v>
      </x:c>
      <x:c r="L331" s="23" t="str"/>
      <x:c r="M331" s="23" t="str"/>
    </x:row>
    <x:row r="332">
      <x:c r="A332" s="23" t="str">
        <x:v>LT-0331</x:v>
      </x:c>
      <x:c r="B332" s="23" t="str">
        <x:v>Ing Pairings- Lamb.xlsx</x:v>
      </x:c>
      <x:c r="C332" s="23" t="str">
        <x:v>Sheet1</x:v>
      </x:c>
      <x:c r="D332" s="23" t="str">
        <x:v>lamb</x:v>
      </x:c>
      <x:c r="E332" s="23" t="str">
        <x:v>lamb</x:v>
      </x:c>
      <x:c r="F332" s="23" t="str">
        <x:v>existing:vcf</x:v>
      </x:c>
      <x:c r="G332" s="23" t="str">
        <x:v>peach</x:v>
      </x:c>
      <x:c r="H332" s="23" t="str"/>
      <x:c r="I332" s="23" t="str"/>
      <x:c r="J332" s="23" t="str">
        <x:v>behavioral_regression_candidate</x:v>
      </x:c>
      <x:c r="K332" s="23" t="str">
        <x:v>legacy_output_unverified</x:v>
      </x:c>
      <x:c r="L332" s="23" t="str"/>
      <x:c r="M332" s="23" t="str"/>
    </x:row>
    <x:row r="333">
      <x:c r="A333" s="23" t="str">
        <x:v>LT-0332</x:v>
      </x:c>
      <x:c r="B333" s="23" t="str">
        <x:v>Ing Pairings- Lamb.xlsx</x:v>
      </x:c>
      <x:c r="C333" s="23" t="str">
        <x:v>Sheet1</x:v>
      </x:c>
      <x:c r="D333" s="23" t="str">
        <x:v>lamb</x:v>
      </x:c>
      <x:c r="E333" s="23" t="str">
        <x:v>lamb</x:v>
      </x:c>
      <x:c r="F333" s="23" t="str">
        <x:v>existing:vcf</x:v>
      </x:c>
      <x:c r="G333" s="23" t="str">
        <x:v>pistachio</x:v>
      </x:c>
      <x:c r="H333" s="23" t="str"/>
      <x:c r="I333" s="23" t="str"/>
      <x:c r="J333" s="23" t="str">
        <x:v>behavioral_regression_candidate</x:v>
      </x:c>
      <x:c r="K333" s="23" t="str">
        <x:v>legacy_output_unverified</x:v>
      </x:c>
      <x:c r="L333" s="23" t="str"/>
      <x:c r="M333" s="23" t="str"/>
    </x:row>
    <x:row r="334">
      <x:c r="A334" s="23" t="str">
        <x:v>LT-0333</x:v>
      </x:c>
      <x:c r="B334" s="23" t="str">
        <x:v>Ing Pairings- Lamb.xlsx</x:v>
      </x:c>
      <x:c r="C334" s="23" t="str">
        <x:v>Sheet1</x:v>
      </x:c>
      <x:c r="D334" s="23" t="str">
        <x:v>lamb</x:v>
      </x:c>
      <x:c r="E334" s="23" t="str">
        <x:v>lamb</x:v>
      </x:c>
      <x:c r="F334" s="23" t="str">
        <x:v>existing:vcf</x:v>
      </x:c>
      <x:c r="G334" s="23" t="str">
        <x:v>shoyu</x:v>
      </x:c>
      <x:c r="H334" s="23" t="str"/>
      <x:c r="I334" s="23" t="str"/>
      <x:c r="J334" s="23" t="str">
        <x:v>behavioral_regression_candidate</x:v>
      </x:c>
      <x:c r="K334" s="23" t="str">
        <x:v>legacy_output_unverified</x:v>
      </x:c>
      <x:c r="L334" s="23" t="str"/>
      <x:c r="M334" s="23" t="str"/>
    </x:row>
    <x:row r="335">
      <x:c r="A335" s="23" t="str">
        <x:v>LT-0334</x:v>
      </x:c>
      <x:c r="B335" s="23" t="str">
        <x:v>Ing Pairings- Lamb.xlsx</x:v>
      </x:c>
      <x:c r="C335" s="23" t="str">
        <x:v>Sheet1</x:v>
      </x:c>
      <x:c r="D335" s="23" t="str">
        <x:v>lamb</x:v>
      </x:c>
      <x:c r="E335" s="23" t="str">
        <x:v>lamb</x:v>
      </x:c>
      <x:c r="F335" s="23" t="str">
        <x:v>existing:vcf</x:v>
      </x:c>
      <x:c r="G335" s="23" t="str">
        <x:v>sesame</x:v>
      </x:c>
      <x:c r="H335" s="23" t="str"/>
      <x:c r="I335" s="23" t="str"/>
      <x:c r="J335" s="23" t="str">
        <x:v>behavioral_regression_candidate</x:v>
      </x:c>
      <x:c r="K335" s="23" t="str">
        <x:v>legacy_output_unverified</x:v>
      </x:c>
      <x:c r="L335" s="23" t="str"/>
      <x:c r="M335" s="23" t="str"/>
    </x:row>
    <x:row r="336">
      <x:c r="A336" s="23" t="str">
        <x:v>LT-0335</x:v>
      </x:c>
      <x:c r="B336" s="23" t="str">
        <x:v>Ing Pairings- Lamb.xlsx</x:v>
      </x:c>
      <x:c r="C336" s="23" t="str">
        <x:v>Sheet1</x:v>
      </x:c>
      <x:c r="D336" s="23" t="str">
        <x:v>lamb</x:v>
      </x:c>
      <x:c r="E336" s="23" t="str">
        <x:v>lamb</x:v>
      </x:c>
      <x:c r="F336" s="23" t="str">
        <x:v>existing:vcf</x:v>
      </x:c>
      <x:c r="G336" s="23" t="str">
        <x:v>katsuobushi</x:v>
      </x:c>
      <x:c r="H336" s="23" t="str"/>
      <x:c r="I336" s="23" t="str"/>
      <x:c r="J336" s="23" t="str">
        <x:v>behavioral_regression_candidate</x:v>
      </x:c>
      <x:c r="K336" s="23" t="str">
        <x:v>legacy_output_unverified</x:v>
      </x:c>
      <x:c r="L336" s="23" t="str"/>
      <x:c r="M336" s="23" t="str"/>
    </x:row>
    <x:row r="337">
      <x:c r="A337" s="23" t="str">
        <x:v>LT-0336</x:v>
      </x:c>
      <x:c r="B337" s="23" t="str">
        <x:v>Ing Pairings- Lamb.xlsx</x:v>
      </x:c>
      <x:c r="C337" s="23" t="str">
        <x:v>Sheet1</x:v>
      </x:c>
      <x:c r="D337" s="23" t="str">
        <x:v>lamb</x:v>
      </x:c>
      <x:c r="E337" s="23" t="str">
        <x:v>lamb</x:v>
      </x:c>
      <x:c r="F337" s="23" t="str">
        <x:v>existing:vcf</x:v>
      </x:c>
      <x:c r="G337" s="23" t="str">
        <x:v>scallop</x:v>
      </x:c>
      <x:c r="H337" s="23" t="str"/>
      <x:c r="I337" s="23" t="str"/>
      <x:c r="J337" s="23" t="str">
        <x:v>behavioral_regression_candidate</x:v>
      </x:c>
      <x:c r="K337" s="23" t="str">
        <x:v>legacy_output_unverified</x:v>
      </x:c>
      <x:c r="L337" s="23" t="str"/>
      <x:c r="M337" s="23" t="str"/>
    </x:row>
    <x:row r="338">
      <x:c r="A338" s="23" t="str">
        <x:v>LT-0337</x:v>
      </x:c>
      <x:c r="B338" s="23" t="str">
        <x:v>Ing Pairings- Lamb.xlsx</x:v>
      </x:c>
      <x:c r="C338" s="23" t="str">
        <x:v>Sheet1</x:v>
      </x:c>
      <x:c r="D338" s="23" t="str">
        <x:v>lamb</x:v>
      </x:c>
      <x:c r="E338" s="23" t="str">
        <x:v>lamb</x:v>
      </x:c>
      <x:c r="F338" s="23" t="str">
        <x:v>existing:vcf</x:v>
      </x:c>
      <x:c r="G338" s="23" t="str">
        <x:v>shrimp</x:v>
      </x:c>
      <x:c r="H338" s="23" t="str"/>
      <x:c r="I338" s="23" t="str"/>
      <x:c r="J338" s="23" t="str">
        <x:v>behavioral_regression_candidate</x:v>
      </x:c>
      <x:c r="K338" s="23" t="str">
        <x:v>legacy_output_unverified</x:v>
      </x:c>
      <x:c r="L338" s="23" t="str"/>
      <x:c r="M338" s="23" t="str"/>
    </x:row>
    <x:row r="339">
      <x:c r="A339" s="23" t="str">
        <x:v>LT-0338</x:v>
      </x:c>
      <x:c r="B339" s="23" t="str">
        <x:v>Ing Pairings- Lamb.xlsx</x:v>
      </x:c>
      <x:c r="C339" s="23" t="str">
        <x:v>Sheet1</x:v>
      </x:c>
      <x:c r="D339" s="23" t="str">
        <x:v>lamb</x:v>
      </x:c>
      <x:c r="E339" s="23" t="str">
        <x:v>lamb</x:v>
      </x:c>
      <x:c r="F339" s="23" t="str">
        <x:v>existing:vcf</x:v>
      </x:c>
      <x:c r="G339" s="23" t="str">
        <x:v>okra</x:v>
      </x:c>
      <x:c r="H339" s="23" t="str"/>
      <x:c r="I339" s="23" t="str"/>
      <x:c r="J339" s="23" t="str">
        <x:v>behavioral_regression_candidate</x:v>
      </x:c>
      <x:c r="K339" s="23" t="str">
        <x:v>legacy_output_unverified</x:v>
      </x:c>
      <x:c r="L339" s="23" t="str"/>
      <x:c r="M339" s="23" t="str"/>
    </x:row>
    <x:row r="340">
      <x:c r="A340" s="23" t="str">
        <x:v>LT-0339</x:v>
      </x:c>
      <x:c r="B340" s="23" t="str">
        <x:v>Ing Pairings- Lamb.xlsx</x:v>
      </x:c>
      <x:c r="C340" s="23" t="str">
        <x:v>Sheet1</x:v>
      </x:c>
      <x:c r="D340" s="23" t="str">
        <x:v>lamb</x:v>
      </x:c>
      <x:c r="E340" s="23" t="str">
        <x:v>lamb</x:v>
      </x:c>
      <x:c r="F340" s="23" t="str">
        <x:v>existing:vcf</x:v>
      </x:c>
      <x:c r="G340" s="23" t="str">
        <x:v>popcorn</x:v>
      </x:c>
      <x:c r="H340" s="23" t="str"/>
      <x:c r="I340" s="23" t="str"/>
      <x:c r="J340" s="23" t="str">
        <x:v>behavioral_regression_candidate</x:v>
      </x:c>
      <x:c r="K340" s="23" t="str">
        <x:v>legacy_output_unverified</x:v>
      </x:c>
      <x:c r="L340" s="23" t="str"/>
      <x:c r="M340" s="23" t="str"/>
    </x:row>
    <x:row r="341">
      <x:c r="A341" s="23" t="str">
        <x:v>LT-0340</x:v>
      </x:c>
      <x:c r="B341" s="23" t="str">
        <x:v>Ing Pairings- Lamb.xlsx</x:v>
      </x:c>
      <x:c r="C341" s="23" t="str">
        <x:v>Sheet1</x:v>
      </x:c>
      <x:c r="D341" s="23" t="str">
        <x:v>lamb</x:v>
      </x:c>
      <x:c r="E341" s="23" t="str">
        <x:v>lamb</x:v>
      </x:c>
      <x:c r="F341" s="23" t="str">
        <x:v>existing:vcf</x:v>
      </x:c>
      <x:c r="G341" s="23" t="str">
        <x:v>almond</x:v>
      </x:c>
      <x:c r="H341" s="23" t="str"/>
      <x:c r="I341" s="23" t="str"/>
      <x:c r="J341" s="23" t="str">
        <x:v>behavioral_regression_candidate</x:v>
      </x:c>
      <x:c r="K341" s="23" t="str">
        <x:v>legacy_output_unverified</x:v>
      </x:c>
      <x:c r="L341" s="23" t="str"/>
      <x:c r="M341" s="23" t="str"/>
    </x:row>
    <x:row r="342">
      <x:c r="A342" s="23" t="str">
        <x:v>LT-0341</x:v>
      </x:c>
      <x:c r="B342" s="23" t="str">
        <x:v>Ing Pairings- Lamb.xlsx</x:v>
      </x:c>
      <x:c r="C342" s="23" t="str">
        <x:v>Sheet1</x:v>
      </x:c>
      <x:c r="D342" s="23" t="str">
        <x:v>lamb</x:v>
      </x:c>
      <x:c r="E342" s="23" t="str">
        <x:v>lamb</x:v>
      </x:c>
      <x:c r="F342" s="23" t="str">
        <x:v>existing:vcf</x:v>
      </x:c>
      <x:c r="G342" s="23" t="str">
        <x:v>asparagus</x:v>
      </x:c>
      <x:c r="H342" s="23" t="str"/>
      <x:c r="I342" s="23" t="str"/>
      <x:c r="J342" s="23" t="str">
        <x:v>behavioral_regression_candidate</x:v>
      </x:c>
      <x:c r="K342" s="23" t="str">
        <x:v>legacy_output_unverified</x:v>
      </x:c>
      <x:c r="L342" s="23" t="str"/>
      <x:c r="M342" s="23" t="str"/>
    </x:row>
    <x:row r="343">
      <x:c r="A343" s="23" t="str">
        <x:v>LT-0342</x:v>
      </x:c>
      <x:c r="B343" s="23" t="str">
        <x:v>Ing Pairings- Lamb.xlsx</x:v>
      </x:c>
      <x:c r="C343" s="23" t="str">
        <x:v>Sheet1</x:v>
      </x:c>
      <x:c r="D343" s="23" t="str">
        <x:v>lamb</x:v>
      </x:c>
      <x:c r="E343" s="23" t="str">
        <x:v>lamb</x:v>
      </x:c>
      <x:c r="F343" s="23" t="str">
        <x:v>existing:vcf</x:v>
      </x:c>
      <x:c r="G343" s="23" t="str">
        <x:v>capsicum</x:v>
      </x:c>
      <x:c r="H343" s="23" t="str"/>
      <x:c r="I343" s="23" t="str"/>
      <x:c r="J343" s="23" t="str">
        <x:v>behavioral_regression_candidate</x:v>
      </x:c>
      <x:c r="K343" s="23" t="str">
        <x:v>legacy_output_unverified</x:v>
      </x:c>
      <x:c r="L343" s="23" t="str"/>
      <x:c r="M343" s="23" t="str"/>
    </x:row>
    <x:row r="344">
      <x:c r="A344" s="23" t="str">
        <x:v>LT-0343</x:v>
      </x:c>
      <x:c r="B344" s="23" t="str">
        <x:v>Ing Pairings- Lamb.xlsx</x:v>
      </x:c>
      <x:c r="C344" s="23" t="str">
        <x:v>Sheet1</x:v>
      </x:c>
      <x:c r="D344" s="23" t="str">
        <x:v>lamb</x:v>
      </x:c>
      <x:c r="E344" s="23" t="str">
        <x:v>lamb</x:v>
      </x:c>
      <x:c r="F344" s="23" t="str">
        <x:v>existing:vcf</x:v>
      </x:c>
      <x:c r="G344" s="23" t="str">
        <x:v>cabbage</x:v>
      </x:c>
      <x:c r="H344" s="23" t="str"/>
      <x:c r="I344" s="23" t="str"/>
      <x:c r="J344" s="23" t="str">
        <x:v>behavioral_regression_candidate</x:v>
      </x:c>
      <x:c r="K344" s="23" t="str">
        <x:v>legacy_output_unverified</x:v>
      </x:c>
      <x:c r="L344" s="23" t="str"/>
      <x:c r="M344" s="23" t="str"/>
    </x:row>
    <x:row r="345">
      <x:c r="A345" s="23" t="str">
        <x:v>LT-0344</x:v>
      </x:c>
      <x:c r="B345" s="23" t="str">
        <x:v>Ing Pairings- Lamb.xlsx</x:v>
      </x:c>
      <x:c r="C345" s="23" t="str">
        <x:v>Sheet1</x:v>
      </x:c>
      <x:c r="D345" s="23" t="str">
        <x:v>lamb</x:v>
      </x:c>
      <x:c r="E345" s="23" t="str">
        <x:v>lamb</x:v>
      </x:c>
      <x:c r="F345" s="23" t="str">
        <x:v>existing:vcf</x:v>
      </x:c>
      <x:c r="G345" s="23" t="str">
        <x:v>avocado</x:v>
      </x:c>
      <x:c r="H345" s="23" t="str"/>
      <x:c r="I345" s="23" t="str"/>
      <x:c r="J345" s="23" t="str">
        <x:v>behavioral_regression_candidate</x:v>
      </x:c>
      <x:c r="K345" s="23" t="str">
        <x:v>legacy_output_unverified</x:v>
      </x:c>
      <x:c r="L345" s="23" t="str"/>
      <x:c r="M345" s="23" t="str"/>
    </x:row>
    <x:row r="346">
      <x:c r="A346" s="23" t="str">
        <x:v>LT-0345</x:v>
      </x:c>
      <x:c r="B346" s="23" t="str">
        <x:v>Ing Pairings- Lamb.xlsx</x:v>
      </x:c>
      <x:c r="C346" s="23" t="str">
        <x:v>Sheet1</x:v>
      </x:c>
      <x:c r="D346" s="23" t="str">
        <x:v>lamb</x:v>
      </x:c>
      <x:c r="E346" s="23" t="str">
        <x:v>lamb</x:v>
      </x:c>
      <x:c r="F346" s="23" t="str">
        <x:v>existing:vcf</x:v>
      </x:c>
      <x:c r="G346" s="23" t="str">
        <x:v>parsnip</x:v>
      </x:c>
      <x:c r="H346" s="23" t="str"/>
      <x:c r="I346" s="23" t="str"/>
      <x:c r="J346" s="23" t="str">
        <x:v>behavioral_regression_candidate</x:v>
      </x:c>
      <x:c r="K346" s="23" t="str">
        <x:v>legacy_output_unverified</x:v>
      </x:c>
      <x:c r="L346" s="23" t="str"/>
      <x:c r="M346" s="23" t="str"/>
    </x:row>
    <x:row r="347">
      <x:c r="A347" s="23" t="str">
        <x:v>LT-0346</x:v>
      </x:c>
      <x:c r="B347" s="23" t="str">
        <x:v>Ing Pairings- Lamb.xlsx</x:v>
      </x:c>
      <x:c r="C347" s="23" t="str">
        <x:v>Sheet1</x:v>
      </x:c>
      <x:c r="D347" s="23" t="str">
        <x:v>lamb</x:v>
      </x:c>
      <x:c r="E347" s="23" t="str">
        <x:v>lamb</x:v>
      </x:c>
      <x:c r="F347" s="23" t="str">
        <x:v>existing:vcf</x:v>
      </x:c>
      <x:c r="G347" s="23" t="str">
        <x:v>ocimum</x:v>
      </x:c>
      <x:c r="H347" s="23" t="str"/>
      <x:c r="I347" s="23" t="str"/>
      <x:c r="J347" s="23" t="str">
        <x:v>behavioral_regression_candidate</x:v>
      </x:c>
      <x:c r="K347" s="23" t="str">
        <x:v>legacy_output_unverified</x:v>
      </x:c>
      <x:c r="L347" s="23" t="str"/>
      <x:c r="M347" s="23" t="str"/>
    </x:row>
    <x:row r="348">
      <x:c r="A348" s="23" t="str">
        <x:v>LT-0347</x:v>
      </x:c>
      <x:c r="B348" s="23" t="str">
        <x:v>Ing Pairings- Lamb.xlsx</x:v>
      </x:c>
      <x:c r="C348" s="23" t="str">
        <x:v>Sheet1</x:v>
      </x:c>
      <x:c r="D348" s="23" t="str">
        <x:v>lamb</x:v>
      </x:c>
      <x:c r="E348" s="23" t="str">
        <x:v>lamb</x:v>
      </x:c>
      <x:c r="F348" s="23" t="str">
        <x:v>existing:vcf</x:v>
      </x:c>
      <x:c r="G348" s="23" t="str">
        <x:v>rice</x:v>
      </x:c>
      <x:c r="H348" s="23" t="str"/>
      <x:c r="I348" s="23" t="str"/>
      <x:c r="J348" s="23" t="str">
        <x:v>behavioral_regression_candidate</x:v>
      </x:c>
      <x:c r="K348" s="23" t="str">
        <x:v>legacy_output_unverified</x:v>
      </x:c>
      <x:c r="L348" s="23" t="str"/>
      <x:c r="M348" s="23" t="str"/>
    </x:row>
    <x:row r="349">
      <x:c r="A349" s="23" t="str">
        <x:v>LT-0348</x:v>
      </x:c>
      <x:c r="B349" s="23" t="str">
        <x:v>Ing Pairings- Lamb.xlsx</x:v>
      </x:c>
      <x:c r="C349" s="23" t="str">
        <x:v>Sheet1</x:v>
      </x:c>
      <x:c r="D349" s="23" t="str">
        <x:v>lamb</x:v>
      </x:c>
      <x:c r="E349" s="23" t="str">
        <x:v>lamb</x:v>
      </x:c>
      <x:c r="F349" s="23" t="str">
        <x:v>existing:vcf</x:v>
      </x:c>
      <x:c r="G349" s="23" t="str">
        <x:v>buckwheat</x:v>
      </x:c>
      <x:c r="H349" s="23" t="str"/>
      <x:c r="I349" s="23" t="str"/>
      <x:c r="J349" s="23" t="str">
        <x:v>behavioral_regression_candidate</x:v>
      </x:c>
      <x:c r="K349" s="23" t="str">
        <x:v>legacy_output_unverified</x:v>
      </x:c>
      <x:c r="L349" s="23" t="str"/>
      <x:c r="M349" s="23" t="str"/>
    </x:row>
    <x:row r="350">
      <x:c r="A350" s="23" t="str">
        <x:v>LT-0349</x:v>
      </x:c>
      <x:c r="B350" s="23" t="str">
        <x:v>Ing Pairings- Lamb.xlsx</x:v>
      </x:c>
      <x:c r="C350" s="23" t="str">
        <x:v>Sheet1</x:v>
      </x:c>
      <x:c r="D350" s="23" t="str">
        <x:v>lamb</x:v>
      </x:c>
      <x:c r="E350" s="23" t="str">
        <x:v>lamb</x:v>
      </x:c>
      <x:c r="F350" s="23" t="str">
        <x:v>existing:vcf</x:v>
      </x:c>
      <x:c r="G350" s="23" t="str">
        <x:v>salvia</x:v>
      </x:c>
      <x:c r="H350" s="23" t="str"/>
      <x:c r="I350" s="23" t="str"/>
      <x:c r="J350" s="23" t="str">
        <x:v>behavioral_regression_candidate</x:v>
      </x:c>
      <x:c r="K350" s="23" t="str">
        <x:v>legacy_output_unverified</x:v>
      </x:c>
      <x:c r="L350" s="23" t="str"/>
      <x:c r="M350" s="23" t="str"/>
    </x:row>
    <x:row r="351">
      <x:c r="A351" s="23" t="str">
        <x:v>LT-0350</x:v>
      </x:c>
      <x:c r="B351" s="23" t="str">
        <x:v>Ing Pairings- Lamb.xlsx</x:v>
      </x:c>
      <x:c r="C351" s="23" t="str">
        <x:v>Sheet1</x:v>
      </x:c>
      <x:c r="D351" s="23" t="str">
        <x:v>lamb</x:v>
      </x:c>
      <x:c r="E351" s="23" t="str">
        <x:v>lamb</x:v>
      </x:c>
      <x:c r="F351" s="23" t="str">
        <x:v>existing:vcf</x:v>
      </x:c>
      <x:c r="G351" s="23" t="str">
        <x:v>cucumber</x:v>
      </x:c>
      <x:c r="H351" s="23" t="str"/>
      <x:c r="I351" s="23" t="str"/>
      <x:c r="J351" s="23" t="str">
        <x:v>behavioral_regression_candidate</x:v>
      </x:c>
      <x:c r="K351" s="23" t="str">
        <x:v>legacy_output_unverified</x:v>
      </x:c>
      <x:c r="L351" s="23" t="str"/>
      <x:c r="M351" s="23" t="str"/>
    </x:row>
    <x:row r="352">
      <x:c r="A352" s="23" t="str">
        <x:v>LT-0351</x:v>
      </x:c>
      <x:c r="B352" s="23" t="str">
        <x:v>Ing Pairings- Lamb.xlsx</x:v>
      </x:c>
      <x:c r="C352" s="23" t="str">
        <x:v>Sheet1</x:v>
      </x:c>
      <x:c r="D352" s="23" t="str">
        <x:v>lamb</x:v>
      </x:c>
      <x:c r="E352" s="23" t="str">
        <x:v>lamb</x:v>
      </x:c>
      <x:c r="F352" s="23" t="str">
        <x:v>existing:vcf</x:v>
      </x:c>
      <x:c r="G352" s="23" t="str">
        <x:v>savory</x:v>
      </x:c>
      <x:c r="H352" s="23" t="str"/>
      <x:c r="I352" s="23" t="str"/>
      <x:c r="J352" s="23" t="str">
        <x:v>behavioral_regression_candidate</x:v>
      </x:c>
      <x:c r="K352" s="23" t="str">
        <x:v>legacy_output_unverified</x:v>
      </x:c>
      <x:c r="L352" s="23" t="str"/>
      <x:c r="M352" s="23" t="str"/>
    </x:row>
    <x:row r="353">
      <x:c r="A353" s="23" t="str">
        <x:v>LT-0352</x:v>
      </x:c>
      <x:c r="B353" s="23" t="str">
        <x:v>Ing Pairings- Lamb.xlsx</x:v>
      </x:c>
      <x:c r="C353" s="23" t="str">
        <x:v>Sheet1</x:v>
      </x:c>
      <x:c r="D353" s="23" t="str">
        <x:v>lamb</x:v>
      </x:c>
      <x:c r="E353" s="23" t="str">
        <x:v>lamb</x:v>
      </x:c>
      <x:c r="F353" s="23" t="str">
        <x:v>existing:vcf</x:v>
      </x:c>
      <x:c r="G353" s="23" t="str">
        <x:v>anchovy</x:v>
      </x:c>
      <x:c r="H353" s="23" t="str"/>
      <x:c r="I353" s="23" t="str"/>
      <x:c r="J353" s="23" t="str">
        <x:v>behavioral_regression_candidate</x:v>
      </x:c>
      <x:c r="K353" s="23" t="str">
        <x:v>legacy_output_unverified</x:v>
      </x:c>
      <x:c r="L353" s="23" t="str"/>
      <x:c r="M353" s="23" t="str"/>
    </x:row>
    <x:row r="354">
      <x:c r="A354" s="23" t="str">
        <x:v>LT-0353</x:v>
      </x:c>
      <x:c r="B354" s="23" t="str">
        <x:v>Ing Pairings- Lamb.xlsx</x:v>
      </x:c>
      <x:c r="C354" s="23" t="str">
        <x:v>Sheet1</x:v>
      </x:c>
      <x:c r="D354" s="23" t="str">
        <x:v>lamb</x:v>
      </x:c>
      <x:c r="E354" s="23" t="str">
        <x:v>lamb</x:v>
      </x:c>
      <x:c r="F354" s="23" t="str">
        <x:v>existing:vcf</x:v>
      </x:c>
      <x:c r="G354" s="23" t="str">
        <x:v>lavender</x:v>
      </x:c>
      <x:c r="H354" s="23" t="str"/>
      <x:c r="I354" s="23" t="str"/>
      <x:c r="J354" s="23" t="str">
        <x:v>behavioral_regression_candidate</x:v>
      </x:c>
      <x:c r="K354" s="23" t="str">
        <x:v>legacy_output_unverified</x:v>
      </x:c>
      <x:c r="L354" s="23" t="str"/>
      <x:c r="M354" s="23" t="str"/>
    </x:row>
    <x:row r="355">
      <x:c r="A355" s="23" t="str">
        <x:v>LT-0354</x:v>
      </x:c>
      <x:c r="B355" s="23" t="str">
        <x:v>Ing Pairings- Lamb.xlsx</x:v>
      </x:c>
      <x:c r="C355" s="23" t="str">
        <x:v>Sheet1</x:v>
      </x:c>
      <x:c r="D355" s="23" t="str">
        <x:v>lamb</x:v>
      </x:c>
      <x:c r="E355" s="23" t="str">
        <x:v>lamb</x:v>
      </x:c>
      <x:c r="F355" s="23" t="str">
        <x:v>existing:vcf</x:v>
      </x:c>
      <x:c r="G355" s="23" t="str">
        <x:v>marjoram</x:v>
      </x:c>
      <x:c r="H355" s="23" t="str"/>
      <x:c r="I355" s="23" t="str"/>
      <x:c r="J355" s="23" t="str">
        <x:v>behavioral_regression_candidate</x:v>
      </x:c>
      <x:c r="K355" s="23" t="str">
        <x:v>legacy_output_unverified</x:v>
      </x:c>
      <x:c r="L355" s="23" t="str"/>
      <x:c r="M355" s="23" t="str"/>
    </x:row>
    <x:row r="356">
      <x:c r="A356" s="23" t="str">
        <x:v>LT-0355</x:v>
      </x:c>
      <x:c r="B356" s="23" t="str">
        <x:v>Ing Pairings- Lamb.xlsx</x:v>
      </x:c>
      <x:c r="C356" s="23" t="str">
        <x:v>Sheet1</x:v>
      </x:c>
      <x:c r="D356" s="23" t="str">
        <x:v>lamb</x:v>
      </x:c>
      <x:c r="E356" s="23" t="str">
        <x:v>lamb</x:v>
      </x:c>
      <x:c r="F356" s="23" t="str">
        <x:v>existing:vcf</x:v>
      </x:c>
      <x:c r="G356" s="23" t="str">
        <x:v>satureja</x:v>
      </x:c>
      <x:c r="H356" s="23" t="str"/>
      <x:c r="I356" s="23" t="str"/>
      <x:c r="J356" s="23" t="str">
        <x:v>behavioral_regression_candidate</x:v>
      </x:c>
      <x:c r="K356" s="23" t="str">
        <x:v>legacy_output_unverified</x:v>
      </x:c>
      <x:c r="L356" s="23" t="str"/>
      <x:c r="M356" s="23" t="str"/>
    </x:row>
    <x:row r="357">
      <x:c r="A357" s="23" t="str">
        <x:v>LT-0356</x:v>
      </x:c>
      <x:c r="B357" s="23" t="str">
        <x:v>Ing Pairings- Lamb.xlsx</x:v>
      </x:c>
      <x:c r="C357" s="23" t="str">
        <x:v>Sheet1</x:v>
      </x:c>
      <x:c r="D357" s="23" t="str">
        <x:v>lamb</x:v>
      </x:c>
      <x:c r="E357" s="23" t="str">
        <x:v>lamb</x:v>
      </x:c>
      <x:c r="F357" s="23" t="str">
        <x:v>existing:vcf</x:v>
      </x:c>
      <x:c r="G357" s="23" t="str">
        <x:v>wheaten bread</x:v>
      </x:c>
      <x:c r="H357" s="23" t="str"/>
      <x:c r="I357" s="23" t="str"/>
      <x:c r="J357" s="23" t="str">
        <x:v>behavioral_regression_candidate</x:v>
      </x:c>
      <x:c r="K357" s="23" t="str">
        <x:v>legacy_output_unverified</x:v>
      </x:c>
      <x:c r="L357" s="23" t="str"/>
      <x:c r="M357" s="23" t="str"/>
    </x:row>
    <x:row r="358">
      <x:c r="A358" s="23" t="str">
        <x:v>LT-0357</x:v>
      </x:c>
      <x:c r="B358" s="23" t="str">
        <x:v>Ing Pairings- Lamb.xlsx</x:v>
      </x:c>
      <x:c r="C358" s="23" t="str">
        <x:v>Sheet1</x:v>
      </x:c>
      <x:c r="D358" s="23" t="str">
        <x:v>lamb</x:v>
      </x:c>
      <x:c r="E358" s="23" t="str">
        <x:v>lamb</x:v>
      </x:c>
      <x:c r="F358" s="23" t="str">
        <x:v>existing:vcf</x:v>
      </x:c>
      <x:c r="G358" s="23" t="str">
        <x:v>celery root</x:v>
      </x:c>
      <x:c r="H358" s="23" t="str"/>
      <x:c r="I358" s="23" t="str"/>
      <x:c r="J358" s="23" t="str">
        <x:v>behavioral_regression_candidate</x:v>
      </x:c>
      <x:c r="K358" s="23" t="str">
        <x:v>legacy_output_unverified</x:v>
      </x:c>
      <x:c r="L358" s="23" t="str"/>
      <x:c r="M358" s="23" t="str"/>
    </x:row>
    <x:row r="359">
      <x:c r="A359" s="23" t="str">
        <x:v>LT-0358</x:v>
      </x:c>
      <x:c r="B359" s="23" t="str">
        <x:v>Ing Pairings- Mollusks.xlsx</x:v>
      </x:c>
      <x:c r="C359" s="23" t="str">
        <x:v>Sheet1</x:v>
      </x:c>
      <x:c r="D359" s="23" t="str">
        <x:v>mollusks</x:v>
      </x:c>
      <x:c r="E359" s="23" t="str">
        <x:v>mollusks</x:v>
      </x:c>
      <x:c r="F359" s="23" t="str">
        <x:v>family:seafood</x:v>
      </x:c>
      <x:c r="G359" s="23" t="str">
        <x:v>allium</x:v>
      </x:c>
      <x:c r="H359" s="23" t="str">
        <x:v>Floral- Camomile</x:v>
      </x:c>
      <x:c r="I359" s="23" t="n">
        <x:v>18.8</x:v>
      </x:c>
      <x:c r="J359" s="23" t="str">
        <x:v>behavioral_regression_candidate</x:v>
      </x:c>
      <x:c r="K359" s="23" t="str">
        <x:v>legacy_output_unverified</x:v>
      </x:c>
      <x:c r="L359" s="23" t="str"/>
      <x:c r="M359" s="23" t="str"/>
    </x:row>
    <x:row r="360">
      <x:c r="A360" s="23" t="str">
        <x:v>LT-0359</x:v>
      </x:c>
      <x:c r="B360" s="23" t="str">
        <x:v>Ing Pairings- Mollusks.xlsx</x:v>
      </x:c>
      <x:c r="C360" s="23" t="str">
        <x:v>Sheet1</x:v>
      </x:c>
      <x:c r="D360" s="23" t="str">
        <x:v>mollusks</x:v>
      </x:c>
      <x:c r="E360" s="23" t="str">
        <x:v>mollusks</x:v>
      </x:c>
      <x:c r="F360" s="23" t="str">
        <x:v>family:seafood</x:v>
      </x:c>
      <x:c r="G360" s="23" t="str">
        <x:v>apple</x:v>
      </x:c>
      <x:c r="H360" s="23" t="str">
        <x:v>Lavender Honey</x:v>
      </x:c>
      <x:c r="I360" s="23" t="n">
        <x:v>45.8</x:v>
      </x:c>
      <x:c r="J360" s="23" t="str">
        <x:v>behavioral_regression_candidate</x:v>
      </x:c>
      <x:c r="K360" s="23" t="str">
        <x:v>legacy_output_unverified</x:v>
      </x:c>
      <x:c r="L360" s="23" t="str"/>
      <x:c r="M360" s="23" t="str"/>
    </x:row>
    <x:row r="361">
      <x:c r="A361" s="23" t="str">
        <x:v>LT-0360</x:v>
      </x:c>
      <x:c r="B361" s="23" t="str">
        <x:v>Ing Pairings- Mollusks.xlsx</x:v>
      </x:c>
      <x:c r="C361" s="23" t="str">
        <x:v>Sheet1</x:v>
      </x:c>
      <x:c r="D361" s="23" t="str">
        <x:v>mollusks</x:v>
      </x:c>
      <x:c r="E361" s="23" t="str">
        <x:v>mollusks</x:v>
      </x:c>
      <x:c r="F361" s="23" t="str">
        <x:v>family:seafood</x:v>
      </x:c>
      <x:c r="G361" s="23" t="str">
        <x:v>apricot</x:v>
      </x:c>
      <x:c r="H361" s="23" t="str">
        <x:v>Elderberry</x:v>
      </x:c>
      <x:c r="I361" s="23" t="n">
        <x:v>37.6</x:v>
      </x:c>
      <x:c r="J361" s="23" t="str">
        <x:v>behavioral_regression_candidate</x:v>
      </x:c>
      <x:c r="K361" s="23" t="str">
        <x:v>legacy_output_unverified</x:v>
      </x:c>
      <x:c r="L361" s="23" t="str"/>
      <x:c r="M361" s="23" t="str"/>
    </x:row>
    <x:row r="362">
      <x:c r="A362" s="23" t="str">
        <x:v>LT-0361</x:v>
      </x:c>
      <x:c r="B362" s="23" t="str">
        <x:v>Ing Pairings- Mollusks.xlsx</x:v>
      </x:c>
      <x:c r="C362" s="23" t="str">
        <x:v>Sheet1</x:v>
      </x:c>
      <x:c r="D362" s="23" t="str">
        <x:v>mollusks</x:v>
      </x:c>
      <x:c r="E362" s="23" t="str">
        <x:v>mollusks</x:v>
      </x:c>
      <x:c r="F362" s="23" t="str">
        <x:v>family:seafood</x:v>
      </x:c>
      <x:c r="G362" s="23" t="str">
        <x:v>asparagus</x:v>
      </x:c>
      <x:c r="H362" s="23" t="str">
        <x:v>Citrus- Citrus</x:v>
      </x:c>
      <x:c r="I362" s="23" t="n">
        <x:v>50.9</x:v>
      </x:c>
      <x:c r="J362" s="23" t="str">
        <x:v>behavioral_regression_candidate</x:v>
      </x:c>
      <x:c r="K362" s="23" t="str">
        <x:v>legacy_output_unverified</x:v>
      </x:c>
      <x:c r="L362" s="23" t="str"/>
      <x:c r="M362" s="23" t="str"/>
    </x:row>
    <x:row r="363">
      <x:c r="A363" s="23" t="str">
        <x:v>LT-0362</x:v>
      </x:c>
      <x:c r="B363" s="23" t="str">
        <x:v>Ing Pairings- Mollusks.xlsx</x:v>
      </x:c>
      <x:c r="C363" s="23" t="str">
        <x:v>Sheet1</x:v>
      </x:c>
      <x:c r="D363" s="23" t="str">
        <x:v>mollusks</x:v>
      </x:c>
      <x:c r="E363" s="23" t="str">
        <x:v>mollusks</x:v>
      </x:c>
      <x:c r="F363" s="23" t="str">
        <x:v>family:seafood</x:v>
      </x:c>
      <x:c r="G363" s="23" t="str">
        <x:v>avocado</x:v>
      </x:c>
      <x:c r="H363" s="23" t="str">
        <x:v>Tropical- Coconut</x:v>
      </x:c>
      <x:c r="I363" s="23" t="n">
        <x:v>32.9</x:v>
      </x:c>
      <x:c r="J363" s="23" t="str">
        <x:v>behavioral_regression_candidate</x:v>
      </x:c>
      <x:c r="K363" s="23" t="str">
        <x:v>legacy_output_unverified</x:v>
      </x:c>
      <x:c r="L363" s="23" t="str"/>
      <x:c r="M363" s="23" t="str"/>
    </x:row>
    <x:row r="364">
      <x:c r="A364" s="23" t="str">
        <x:v>LT-0363</x:v>
      </x:c>
      <x:c r="B364" s="23" t="str">
        <x:v>Ing Pairings- Mollusks.xlsx</x:v>
      </x:c>
      <x:c r="C364" s="23" t="str">
        <x:v>Sheet1</x:v>
      </x:c>
      <x:c r="D364" s="23" t="str">
        <x:v>mollusks</x:v>
      </x:c>
      <x:c r="E364" s="23" t="str">
        <x:v>mollusks</x:v>
      </x:c>
      <x:c r="F364" s="23" t="str">
        <x:v>family:seafood</x:v>
      </x:c>
      <x:c r="G364" s="23" t="str">
        <x:v>cabbage</x:v>
      </x:c>
      <x:c r="H364" s="23" t="str">
        <x:v>Melon- Melon</x:v>
      </x:c>
      <x:c r="I364" s="23" t="n">
        <x:v>30.7</x:v>
      </x:c>
      <x:c r="J364" s="23" t="str">
        <x:v>behavioral_regression_candidate</x:v>
      </x:c>
      <x:c r="K364" s="23" t="str">
        <x:v>legacy_output_unverified</x:v>
      </x:c>
      <x:c r="L364" s="23" t="str"/>
      <x:c r="M364" s="23" t="str"/>
    </x:row>
    <x:row r="365">
      <x:c r="A365" s="23" t="str">
        <x:v>LT-0364</x:v>
      </x:c>
      <x:c r="B365" s="23" t="str">
        <x:v>Ing Pairings- Mollusks.xlsx</x:v>
      </x:c>
      <x:c r="C365" s="23" t="str">
        <x:v>Sheet1</x:v>
      </x:c>
      <x:c r="D365" s="23" t="str">
        <x:v>mollusks</x:v>
      </x:c>
      <x:c r="E365" s="23" t="str">
        <x:v>mollusks</x:v>
      </x:c>
      <x:c r="F365" s="23" t="str">
        <x:v>family:seafood</x:v>
      </x:c>
      <x:c r="G365" s="23" t="str">
        <x:v>carrot</x:v>
      </x:c>
      <x:c r="H365" s="23" t="str">
        <x:v>Tree Fruit- Apple</x:v>
      </x:c>
      <x:c r="I365" s="23" t="n">
        <x:v>54.1</x:v>
      </x:c>
      <x:c r="J365" s="23" t="str">
        <x:v>behavioral_regression_candidate</x:v>
      </x:c>
      <x:c r="K365" s="23" t="str">
        <x:v>legacy_output_unverified</x:v>
      </x:c>
      <x:c r="L365" s="23" t="str"/>
      <x:c r="M365" s="23" t="str"/>
    </x:row>
    <x:row r="366">
      <x:c r="A366" s="23" t="str">
        <x:v>LT-0365</x:v>
      </x:c>
      <x:c r="B366" s="23" t="str">
        <x:v>Ing Pairings- Mollusks.xlsx</x:v>
      </x:c>
      <x:c r="C366" s="23" t="str">
        <x:v>Sheet1</x:v>
      </x:c>
      <x:c r="D366" s="23" t="str">
        <x:v>mollusks</x:v>
      </x:c>
      <x:c r="E366" s="23" t="str">
        <x:v>mollusks</x:v>
      </x:c>
      <x:c r="F366" s="23" t="str">
        <x:v>family:seafood</x:v>
      </x:c>
      <x:c r="G366" s="23" t="str">
        <x:v>celery</x:v>
      </x:c>
      <x:c r="H366" s="23" t="str">
        <x:v>Apricot</x:v>
      </x:c>
      <x:c r="I366" s="23" t="n">
        <x:v>47.6</x:v>
      </x:c>
      <x:c r="J366" s="23" t="str">
        <x:v>behavioral_regression_candidate</x:v>
      </x:c>
      <x:c r="K366" s="23" t="str">
        <x:v>legacy_output_unverified</x:v>
      </x:c>
      <x:c r="L366" s="23" t="str"/>
      <x:c r="M366" s="23" t="str"/>
    </x:row>
    <x:row r="367">
      <x:c r="A367" s="23" t="str">
        <x:v>LT-0366</x:v>
      </x:c>
      <x:c r="B367" s="23" t="str">
        <x:v>Ing Pairings- Mollusks.xlsx</x:v>
      </x:c>
      <x:c r="C367" s="23" t="str">
        <x:v>Sheet1</x:v>
      </x:c>
      <x:c r="D367" s="23" t="str">
        <x:v>mollusks</x:v>
      </x:c>
      <x:c r="E367" s="23" t="str">
        <x:v>mollusks</x:v>
      </x:c>
      <x:c r="F367" s="23" t="str">
        <x:v>family:seafood</x:v>
      </x:c>
      <x:c r="G367" s="23" t="str">
        <x:v>chicken</x:v>
      </x:c>
      <x:c r="H367" s="23" t="str">
        <x:v>Nectarine</x:v>
      </x:c>
      <x:c r="I367" s="23" t="n">
        <x:v>22.4</x:v>
      </x:c>
      <x:c r="J367" s="23" t="str">
        <x:v>behavioral_regression_candidate</x:v>
      </x:c>
      <x:c r="K367" s="23" t="str">
        <x:v>legacy_output_unverified</x:v>
      </x:c>
      <x:c r="L367" s="23" t="str"/>
      <x:c r="M367" s="23" t="str"/>
    </x:row>
    <x:row r="368">
      <x:c r="A368" s="23" t="str">
        <x:v>LT-0367</x:v>
      </x:c>
      <x:c r="B368" s="23" t="str">
        <x:v>Ing Pairings- Mollusks.xlsx</x:v>
      </x:c>
      <x:c r="C368" s="23" t="str">
        <x:v>Sheet1</x:v>
      </x:c>
      <x:c r="D368" s="23" t="str">
        <x:v>mollusks</x:v>
      </x:c>
      <x:c r="E368" s="23" t="str">
        <x:v>mollusks</x:v>
      </x:c>
      <x:c r="F368" s="23" t="str">
        <x:v>family:seafood</x:v>
      </x:c>
      <x:c r="G368" s="23" t="str">
        <x:v>cider</x:v>
      </x:c>
      <x:c r="H368" s="23" t="str">
        <x:v>Berry- Strawberry</x:v>
      </x:c>
      <x:c r="I368" s="23" t="n">
        <x:v>30.1</x:v>
      </x:c>
      <x:c r="J368" s="23" t="str">
        <x:v>behavioral_regression_candidate</x:v>
      </x:c>
      <x:c r="K368" s="23" t="str">
        <x:v>legacy_output_unverified</x:v>
      </x:c>
      <x:c r="L368" s="23" t="str"/>
      <x:c r="M368" s="23" t="str"/>
    </x:row>
    <x:row r="369">
      <x:c r="A369" s="23" t="str">
        <x:v>LT-0368</x:v>
      </x:c>
      <x:c r="B369" s="23" t="str">
        <x:v>Ing Pairings- Mollusks.xlsx</x:v>
      </x:c>
      <x:c r="C369" s="23" t="str">
        <x:v>Sheet1</x:v>
      </x:c>
      <x:c r="D369" s="23" t="str">
        <x:v>mollusks</x:v>
      </x:c>
      <x:c r="E369" s="23" t="str">
        <x:v>mollusks</x:v>
      </x:c>
      <x:c r="F369" s="23" t="str">
        <x:v>family:seafood</x:v>
      </x:c>
      <x:c r="G369" s="23" t="str">
        <x:v>citrus</x:v>
      </x:c>
      <x:c r="H369" s="23" t="str">
        <x:v>Vaccinium</x:v>
      </x:c>
      <x:c r="I369" s="23" t="n">
        <x:v>38</x:v>
      </x:c>
      <x:c r="J369" s="23" t="str">
        <x:v>behavioral_regression_candidate</x:v>
      </x:c>
      <x:c r="K369" s="23" t="str">
        <x:v>legacy_output_unverified</x:v>
      </x:c>
      <x:c r="L369" s="23" t="str"/>
      <x:c r="M369" s="23" t="str"/>
    </x:row>
    <x:row r="370">
      <x:c r="A370" s="23" t="str">
        <x:v>LT-0369</x:v>
      </x:c>
      <x:c r="B370" s="23" t="str">
        <x:v>Ing Pairings- Mollusks.xlsx</x:v>
      </x:c>
      <x:c r="C370" s="23" t="str">
        <x:v>Sheet1</x:v>
      </x:c>
      <x:c r="D370" s="23" t="str">
        <x:v>mollusks</x:v>
      </x:c>
      <x:c r="E370" s="23" t="str">
        <x:v>mollusks</x:v>
      </x:c>
      <x:c r="F370" s="23" t="str">
        <x:v>family:seafood</x:v>
      </x:c>
      <x:c r="G370" s="23" t="str">
        <x:v>coffee</x:v>
      </x:c>
      <x:c r="H370" s="23" t="str">
        <x:v>Dried Fruit- Strawberry Jam</x:v>
      </x:c>
      <x:c r="I370" s="23" t="n">
        <x:v>23.5</x:v>
      </x:c>
      <x:c r="J370" s="23" t="str">
        <x:v>behavioral_regression_candidate</x:v>
      </x:c>
      <x:c r="K370" s="23" t="str">
        <x:v>legacy_output_unverified</x:v>
      </x:c>
      <x:c r="L370" s="23" t="str"/>
      <x:c r="M370" s="23" t="str"/>
    </x:row>
    <x:row r="371">
      <x:c r="A371" s="23" t="str">
        <x:v>LT-0370</x:v>
      </x:c>
      <x:c r="B371" s="23" t="str">
        <x:v>Ing Pairings- Mollusks.xlsx</x:v>
      </x:c>
      <x:c r="C371" s="23" t="str">
        <x:v>Sheet1</x:v>
      </x:c>
      <x:c r="D371" s="23" t="str">
        <x:v>mollusks</x:v>
      </x:c>
      <x:c r="E371" s="23" t="str">
        <x:v>mollusks</x:v>
      </x:c>
      <x:c r="F371" s="23" t="str">
        <x:v>family:seafood</x:v>
      </x:c>
      <x:c r="G371" s="23" t="str">
        <x:v>cucumber</x:v>
      </x:c>
      <x:c r="H371" s="23" t="str">
        <x:v>Prune</x:v>
      </x:c>
      <x:c r="I371" s="23" t="n">
        <x:v>21.2</x:v>
      </x:c>
      <x:c r="J371" s="23" t="str">
        <x:v>behavioral_regression_candidate</x:v>
      </x:c>
      <x:c r="K371" s="23" t="str">
        <x:v>legacy_output_unverified</x:v>
      </x:c>
      <x:c r="L371" s="23" t="str"/>
      <x:c r="M371" s="23" t="str"/>
    </x:row>
    <x:row r="372">
      <x:c r="A372" s="23" t="str">
        <x:v>LT-0371</x:v>
      </x:c>
      <x:c r="B372" s="23" t="str">
        <x:v>Ing Pairings- Mollusks.xlsx</x:v>
      </x:c>
      <x:c r="C372" s="23" t="str">
        <x:v>Sheet1</x:v>
      </x:c>
      <x:c r="D372" s="23" t="str">
        <x:v>mollusks</x:v>
      </x:c>
      <x:c r="E372" s="23" t="str">
        <x:v>mollusks</x:v>
      </x:c>
      <x:c r="F372" s="23" t="str">
        <x:v>family:seafood</x:v>
      </x:c>
      <x:c r="G372" s="23" t="str">
        <x:v>egg</x:v>
      </x:c>
      <x:c r="H372" s="23" t="str">
        <x:v>Green- Celery</x:v>
      </x:c>
      <x:c r="I372" s="23" t="n">
        <x:v>23.5</x:v>
      </x:c>
      <x:c r="J372" s="23" t="str">
        <x:v>behavioral_regression_candidate</x:v>
      </x:c>
      <x:c r="K372" s="23" t="str">
        <x:v>legacy_output_unverified</x:v>
      </x:c>
      <x:c r="L372" s="23" t="str"/>
      <x:c r="M372" s="23" t="str"/>
    </x:row>
    <x:row r="373">
      <x:c r="A373" s="23" t="str">
        <x:v>LT-0372</x:v>
      </x:c>
      <x:c r="B373" s="23" t="str">
        <x:v>Ing Pairings- Mollusks.xlsx</x:v>
      </x:c>
      <x:c r="C373" s="23" t="str">
        <x:v>Sheet1</x:v>
      </x:c>
      <x:c r="D373" s="23" t="str">
        <x:v>mollusks</x:v>
      </x:c>
      <x:c r="E373" s="23" t="str">
        <x:v>mollusks</x:v>
      </x:c>
      <x:c r="F373" s="23" t="str">
        <x:v>family:seafood</x:v>
      </x:c>
      <x:c r="G373" s="23" t="str">
        <x:v>fig</x:v>
      </x:c>
      <x:c r="H373" s="23" t="str">
        <x:v>Lettuce</x:v>
      </x:c>
      <x:c r="I373" s="23" t="n">
        <x:v>26</x:v>
      </x:c>
      <x:c r="J373" s="23" t="str">
        <x:v>behavioral_regression_candidate</x:v>
      </x:c>
      <x:c r="K373" s="23" t="str">
        <x:v>legacy_output_unverified</x:v>
      </x:c>
      <x:c r="L373" s="23" t="str"/>
      <x:c r="M373" s="23" t="str"/>
    </x:row>
    <x:row r="374">
      <x:c r="A374" s="23" t="str">
        <x:v>LT-0373</x:v>
      </x:c>
      <x:c r="B374" s="23" t="str">
        <x:v>Ing Pairings- Mollusks.xlsx</x:v>
      </x:c>
      <x:c r="C374" s="23" t="str">
        <x:v>Sheet1</x:v>
      </x:c>
      <x:c r="D374" s="23" t="str">
        <x:v>mollusks</x:v>
      </x:c>
      <x:c r="E374" s="23" t="str">
        <x:v>mollusks</x:v>
      </x:c>
      <x:c r="F374" s="23" t="str">
        <x:v>family:seafood</x:v>
      </x:c>
      <x:c r="G374" s="23" t="str">
        <x:v>fish</x:v>
      </x:c>
      <x:c r="H374" s="23" t="str">
        <x:v>Herbaceous- Parsley</x:v>
      </x:c>
      <x:c r="I374" s="23" t="n">
        <x:v>15.3</x:v>
      </x:c>
      <x:c r="J374" s="23" t="str">
        <x:v>behavioral_regression_candidate</x:v>
      </x:c>
      <x:c r="K374" s="23" t="str">
        <x:v>legacy_output_unverified</x:v>
      </x:c>
      <x:c r="L374" s="23" t="str"/>
      <x:c r="M374" s="23" t="str"/>
    </x:row>
    <x:row r="375">
      <x:c r="A375" s="23" t="str">
        <x:v>LT-0374</x:v>
      </x:c>
      <x:c r="B375" s="23" t="str">
        <x:v>Ing Pairings- Mollusks.xlsx</x:v>
      </x:c>
      <x:c r="C375" s="23" t="str">
        <x:v>Sheet1</x:v>
      </x:c>
      <x:c r="D375" s="23" t="str">
        <x:v>mollusks</x:v>
      </x:c>
      <x:c r="E375" s="23" t="str">
        <x:v>mollusks</x:v>
      </x:c>
      <x:c r="F375" s="23" t="str">
        <x:v>family:seafood</x:v>
      </x:c>
      <x:c r="G375" s="23" t="str">
        <x:v>gin</x:v>
      </x:c>
      <x:c r="H375" s="23" t="str">
        <x:v>ocimum basilicum</x:v>
      </x:c>
      <x:c r="I375" s="23" t="n">
        <x:v>10.4</x:v>
      </x:c>
      <x:c r="J375" s="23" t="str">
        <x:v>behavioral_regression_candidate</x:v>
      </x:c>
      <x:c r="K375" s="23" t="str">
        <x:v>legacy_output_unverified</x:v>
      </x:c>
      <x:c r="L375" s="23" t="str"/>
      <x:c r="M375" s="23" t="str"/>
    </x:row>
    <x:row r="376">
      <x:c r="A376" s="23" t="str">
        <x:v>LT-0375</x:v>
      </x:c>
      <x:c r="B376" s="23" t="str">
        <x:v>Ing Pairings- Mollusks.xlsx</x:v>
      </x:c>
      <x:c r="C376" s="23" t="str">
        <x:v>Sheet1</x:v>
      </x:c>
      <x:c r="D376" s="23" t="str">
        <x:v>mollusks</x:v>
      </x:c>
      <x:c r="E376" s="23" t="str">
        <x:v>mollusks</x:v>
      </x:c>
      <x:c r="F376" s="23" t="str">
        <x:v>family:seafood</x:v>
      </x:c>
      <x:c r="G376" s="23" t="str">
        <x:v>grape</x:v>
      </x:c>
      <x:c r="H376" s="23" t="str">
        <x:v>Earthy- Mushroom</x:v>
      </x:c>
      <x:c r="I376" s="23" t="n">
        <x:v>70.6</x:v>
      </x:c>
      <x:c r="J376" s="23" t="str">
        <x:v>behavioral_regression_candidate</x:v>
      </x:c>
      <x:c r="K376" s="23" t="str">
        <x:v>legacy_output_unverified</x:v>
      </x:c>
      <x:c r="L376" s="23" t="str"/>
      <x:c r="M376" s="23" t="str"/>
    </x:row>
    <x:row r="377">
      <x:c r="A377" s="23" t="str">
        <x:v>LT-0376</x:v>
      </x:c>
      <x:c r="B377" s="23" t="str">
        <x:v>Ing Pairings- Mollusks.xlsx</x:v>
      </x:c>
      <x:c r="C377" s="23" t="str">
        <x:v>Sheet1</x:v>
      </x:c>
      <x:c r="D377" s="23" t="str">
        <x:v>mollusks</x:v>
      </x:c>
      <x:c r="E377" s="23" t="str">
        <x:v>mollusks</x:v>
      </x:c>
      <x:c r="F377" s="23" t="str">
        <x:v>family:seafood</x:v>
      </x:c>
      <x:c r="G377" s="23" t="str">
        <x:v>lentil</x:v>
      </x:c>
      <x:c r="H377" s="23" t="str">
        <x:v>Wood- Rosemary</x:v>
      </x:c>
      <x:c r="I377" s="23" t="n">
        <x:v>1.2</x:v>
      </x:c>
      <x:c r="J377" s="23" t="str">
        <x:v>behavioral_regression_candidate</x:v>
      </x:c>
      <x:c r="K377" s="23" t="str">
        <x:v>legacy_output_unverified</x:v>
      </x:c>
      <x:c r="L377" s="23" t="str"/>
      <x:c r="M377" s="23" t="str"/>
    </x:row>
    <x:row r="378">
      <x:c r="A378" s="23" t="str">
        <x:v>LT-0377</x:v>
      </x:c>
      <x:c r="B378" s="23" t="str">
        <x:v>Ing Pairings- Mollusks.xlsx</x:v>
      </x:c>
      <x:c r="C378" s="23" t="str">
        <x:v>Sheet1</x:v>
      </x:c>
      <x:c r="D378" s="23" t="str">
        <x:v>mollusks</x:v>
      </x:c>
      <x:c r="E378" s="23" t="str">
        <x:v>mollusks</x:v>
      </x:c>
      <x:c r="F378" s="23" t="str">
        <x:v>family:seafood</x:v>
      </x:c>
      <x:c r="G378" s="23" t="str">
        <x:v>maize</x:v>
      </x:c>
      <x:c r="H378" s="23" t="str">
        <x:v>Ginger</x:v>
      </x:c>
      <x:c r="I378" s="23" t="n">
        <x:v>13.5</x:v>
      </x:c>
      <x:c r="J378" s="23" t="str">
        <x:v>behavioral_regression_candidate</x:v>
      </x:c>
      <x:c r="K378" s="23" t="str">
        <x:v>legacy_output_unverified</x:v>
      </x:c>
      <x:c r="L378" s="23" t="str"/>
      <x:c r="M378" s="23" t="str"/>
    </x:row>
    <x:row r="379">
      <x:c r="A379" s="23" t="str">
        <x:v>LT-0378</x:v>
      </x:c>
      <x:c r="B379" s="23" t="str">
        <x:v>Ing Pairings- Mollusks.xlsx</x:v>
      </x:c>
      <x:c r="C379" s="23" t="str">
        <x:v>Sheet1</x:v>
      </x:c>
      <x:c r="D379" s="23" t="str">
        <x:v>mollusks</x:v>
      </x:c>
      <x:c r="E379" s="23" t="str">
        <x:v>mollusks</x:v>
      </x:c>
      <x:c r="F379" s="23" t="str">
        <x:v>family:seafood</x:v>
      </x:c>
      <x:c r="G379" s="23" t="str">
        <x:v>mango</x:v>
      </x:c>
      <x:c r="H379" s="23" t="str">
        <x:v>Medicinal- Mastic</x:v>
      </x:c>
      <x:c r="I379" s="23" t="n">
        <x:v>12.5</x:v>
      </x:c>
      <x:c r="J379" s="23" t="str">
        <x:v>behavioral_regression_candidate</x:v>
      </x:c>
      <x:c r="K379" s="23" t="str">
        <x:v>legacy_output_unverified</x:v>
      </x:c>
      <x:c r="L379" s="23" t="str"/>
      <x:c r="M379" s="23" t="str"/>
    </x:row>
    <x:row r="380">
      <x:c r="A380" s="23" t="str">
        <x:v>LT-0379</x:v>
      </x:c>
      <x:c r="B380" s="23" t="str">
        <x:v>Ing Pairings- Mollusks.xlsx</x:v>
      </x:c>
      <x:c r="C380" s="23" t="str">
        <x:v>Sheet1</x:v>
      </x:c>
      <x:c r="D380" s="23" t="str">
        <x:v>mollusks</x:v>
      </x:c>
      <x:c r="E380" s="23" t="str">
        <x:v>mollusks</x:v>
      </x:c>
      <x:c r="F380" s="23" t="str">
        <x:v>family:seafood</x:v>
      </x:c>
      <x:c r="G380" s="23" t="str">
        <x:v>mexcal</x:v>
      </x:c>
      <x:c r="H380" s="23" t="str">
        <x:v>Mentha</x:v>
      </x:c>
      <x:c r="I380" s="23" t="n">
        <x:v>30.7</x:v>
      </x:c>
      <x:c r="J380" s="23" t="str">
        <x:v>behavioral_regression_candidate</x:v>
      </x:c>
      <x:c r="K380" s="23" t="str">
        <x:v>legacy_output_unverified</x:v>
      </x:c>
      <x:c r="L380" s="23" t="str"/>
      <x:c r="M380" s="23" t="str"/>
    </x:row>
    <x:row r="381">
      <x:c r="A381" s="23" t="str">
        <x:v>LT-0380</x:v>
      </x:c>
      <x:c r="B381" s="23" t="str">
        <x:v>Ing Pairings- Mollusks.xlsx</x:v>
      </x:c>
      <x:c r="C381" s="23" t="str">
        <x:v>Sheet1</x:v>
      </x:c>
      <x:c r="D381" s="23" t="str">
        <x:v>mollusks</x:v>
      </x:c>
      <x:c r="E381" s="23" t="str">
        <x:v>mollusks</x:v>
      </x:c>
      <x:c r="F381" s="23" t="str">
        <x:v>family:seafood</x:v>
      </x:c>
      <x:c r="G381" s="23" t="str">
        <x:v>milk</x:v>
      </x:c>
      <x:c r="H381" s="23" t="str">
        <x:v>Spice- Pepper</x:v>
      </x:c>
      <x:c r="I381" s="23" t="n">
        <x:v>5.9</x:v>
      </x:c>
      <x:c r="J381" s="23" t="str">
        <x:v>behavioral_regression_candidate</x:v>
      </x:c>
      <x:c r="K381" s="23" t="str">
        <x:v>legacy_output_unverified</x:v>
      </x:c>
      <x:c r="L381" s="23" t="str"/>
      <x:c r="M381" s="23" t="str"/>
    </x:row>
    <x:row r="382">
      <x:c r="A382" s="23" t="str">
        <x:v>LT-0381</x:v>
      </x:c>
      <x:c r="B382" s="23" t="str">
        <x:v>Ing Pairings- Mollusks.xlsx</x:v>
      </x:c>
      <x:c r="C382" s="23" t="str">
        <x:v>Sheet1</x:v>
      </x:c>
      <x:c r="D382" s="23" t="str">
        <x:v>mollusks</x:v>
      </x:c>
      <x:c r="E382" s="23" t="str">
        <x:v>mollusks</x:v>
      </x:c>
      <x:c r="F382" s="23" t="str">
        <x:v>family:seafood</x:v>
      </x:c>
      <x:c r="G382" s="23" t="str">
        <x:v>olive</x:v>
      </x:c>
      <x:c r="H382" s="23" t="str">
        <x:v>Cardamom</x:v>
      </x:c>
      <x:c r="I382" s="23" t="n">
        <x:v>17.9</x:v>
      </x:c>
      <x:c r="J382" s="23" t="str">
        <x:v>behavioral_regression_candidate</x:v>
      </x:c>
      <x:c r="K382" s="23" t="str">
        <x:v>legacy_output_unverified</x:v>
      </x:c>
      <x:c r="L382" s="23" t="str"/>
      <x:c r="M382" s="23" t="str"/>
    </x:row>
    <x:row r="383">
      <x:c r="A383" s="23" t="str">
        <x:v>LT-0382</x:v>
      </x:c>
      <x:c r="B383" s="23" t="str">
        <x:v>Ing Pairings- Mollusks.xlsx</x:v>
      </x:c>
      <x:c r="C383" s="23" t="str">
        <x:v>Sheet1</x:v>
      </x:c>
      <x:c r="D383" s="23" t="str">
        <x:v>mollusks</x:v>
      </x:c>
      <x:c r="E383" s="23" t="str">
        <x:v>mollusks</x:v>
      </x:c>
      <x:c r="F383" s="23" t="str">
        <x:v>family:seafood</x:v>
      </x:c>
      <x:c r="G383" s="23" t="str">
        <x:v>passion fruit</x:v>
      </x:c>
      <x:c r="H383" s="23" t="str">
        <x:v>Petrol- Oregano</x:v>
      </x:c>
      <x:c r="I383" s="23" t="n">
        <x:v>1.2</x:v>
      </x:c>
      <x:c r="J383" s="23" t="str">
        <x:v>behavioral_regression_candidate</x:v>
      </x:c>
      <x:c r="K383" s="23" t="str">
        <x:v>legacy_output_unverified</x:v>
      </x:c>
      <x:c r="L383" s="23" t="str"/>
      <x:c r="M383" s="23" t="str"/>
    </x:row>
    <x:row r="384">
      <x:c r="A384" s="23" t="str">
        <x:v>LT-0383</x:v>
      </x:c>
      <x:c r="B384" s="23" t="str">
        <x:v>Ing Pairings- Mollusks.xlsx</x:v>
      </x:c>
      <x:c r="C384" s="23" t="str">
        <x:v>Sheet1</x:v>
      </x:c>
      <x:c r="D384" s="23" t="str">
        <x:v>mollusks</x:v>
      </x:c>
      <x:c r="E384" s="23" t="str">
        <x:v>mollusks</x:v>
      </x:c>
      <x:c r="F384" s="23" t="str">
        <x:v>family:seafood</x:v>
      </x:c>
      <x:c r="G384" s="23" t="str">
        <x:v>peanut</x:v>
      </x:c>
      <x:c r="H384" s="23" t="str">
        <x:v>Smoke- malt whisky</x:v>
      </x:c>
      <x:c r="I384" s="23" t="n">
        <x:v>24.5</x:v>
      </x:c>
      <x:c r="J384" s="23" t="str">
        <x:v>behavioral_regression_candidate</x:v>
      </x:c>
      <x:c r="K384" s="23" t="str">
        <x:v>legacy_output_unverified</x:v>
      </x:c>
      <x:c r="L384" s="23" t="str"/>
      <x:c r="M384" s="23" t="str"/>
    </x:row>
    <x:row r="385">
      <x:c r="A385" s="23" t="str">
        <x:v>LT-0384</x:v>
      </x:c>
      <x:c r="B385" s="23" t="str">
        <x:v>Ing Pairings- Mollusks.xlsx</x:v>
      </x:c>
      <x:c r="C385" s="23" t="str">
        <x:v>Sheet1</x:v>
      </x:c>
      <x:c r="D385" s="23" t="str">
        <x:v>mollusks</x:v>
      </x:c>
      <x:c r="E385" s="23" t="str">
        <x:v>mollusks</x:v>
      </x:c>
      <x:c r="F385" s="23" t="str">
        <x:v>family:seafood</x:v>
      </x:c>
      <x:c r="G385" s="23" t="str">
        <x:v>pear</x:v>
      </x:c>
      <x:c r="H385" s="23" t="str">
        <x:v>Vanilla</x:v>
      </x:c>
      <x:c r="I385" s="23" t="n">
        <x:v>40</x:v>
      </x:c>
      <x:c r="J385" s="23" t="str">
        <x:v>behavioral_regression_candidate</x:v>
      </x:c>
      <x:c r="K385" s="23" t="str">
        <x:v>legacy_output_unverified</x:v>
      </x:c>
      <x:c r="L385" s="23" t="str"/>
      <x:c r="M385" s="23" t="str"/>
    </x:row>
    <x:row r="386">
      <x:c r="A386" s="23" t="str">
        <x:v>LT-0385</x:v>
      </x:c>
      <x:c r="B386" s="23" t="str">
        <x:v>Ing Pairings- Mollusks.xlsx</x:v>
      </x:c>
      <x:c r="C386" s="23" t="str">
        <x:v>Sheet1</x:v>
      </x:c>
      <x:c r="D386" s="23" t="str">
        <x:v>mollusks</x:v>
      </x:c>
      <x:c r="E386" s="23" t="str">
        <x:v>mollusks</x:v>
      </x:c>
      <x:c r="F386" s="23" t="str">
        <x:v>family:seafood</x:v>
      </x:c>
      <x:c r="G386" s="23" t="str">
        <x:v>pea</x:v>
      </x:c>
      <x:c r="H386" s="23" t="str">
        <x:v>Chocolate- Roasted Cocoa Beans</x:v>
      </x:c>
      <x:c r="I386" s="23" t="n">
        <x:v>36.2</x:v>
      </x:c>
      <x:c r="J386" s="23" t="str">
        <x:v>behavioral_regression_candidate</x:v>
      </x:c>
      <x:c r="K386" s="23" t="str">
        <x:v>legacy_output_unverified</x:v>
      </x:c>
      <x:c r="L386" s="23" t="str"/>
      <x:c r="M386" s="23" t="str"/>
    </x:row>
    <x:row r="387">
      <x:c r="A387" s="23" t="str">
        <x:v>LT-0386</x:v>
      </x:c>
      <x:c r="B387" s="23" t="str">
        <x:v>Ing Pairings- Mollusks.xlsx</x:v>
      </x:c>
      <x:c r="C387" s="23" t="str">
        <x:v>Sheet1</x:v>
      </x:c>
      <x:c r="D387" s="23" t="str">
        <x:v>mollusks</x:v>
      </x:c>
      <x:c r="E387" s="23" t="str">
        <x:v>mollusks</x:v>
      </x:c>
      <x:c r="F387" s="23" t="str">
        <x:v>family:seafood</x:v>
      </x:c>
      <x:c r="G387" s="23" t="str">
        <x:v>raspberry/blackberry</x:v>
      </x:c>
      <x:c r="H387" s="23" t="str">
        <x:v>Meaty- Chicken (roasted)</x:v>
      </x:c>
      <x:c r="I387" s="23" t="n">
        <x:v>56.5</x:v>
      </x:c>
      <x:c r="J387" s="23" t="str">
        <x:v>behavioral_regression_candidate</x:v>
      </x:c>
      <x:c r="K387" s="23" t="str">
        <x:v>legacy_output_unverified</x:v>
      </x:c>
      <x:c r="L387" s="23" t="str"/>
      <x:c r="M387" s="23" t="str"/>
    </x:row>
    <x:row r="388">
      <x:c r="A388" s="23" t="str">
        <x:v>LT-0387</x:v>
      </x:c>
      <x:c r="B388" s="23" t="str">
        <x:v>Ing Pairings- Mollusks.xlsx</x:v>
      </x:c>
      <x:c r="C388" s="23" t="str">
        <x:v>Sheet1</x:v>
      </x:c>
      <x:c r="D388" s="23" t="str">
        <x:v>mollusks</x:v>
      </x:c>
      <x:c r="E388" s="23" t="str">
        <x:v>mollusks</x:v>
      </x:c>
      <x:c r="F388" s="23" t="str">
        <x:v>family:seafood</x:v>
      </x:c>
      <x:c r="G388" s="23" t="str">
        <x:v>rum</x:v>
      </x:c>
      <x:c r="H388" s="23" t="str">
        <x:v>Beef (roasted)</x:v>
      </x:c>
      <x:c r="I388" s="23" t="n">
        <x:v>49.4</x:v>
      </x:c>
      <x:c r="J388" s="23" t="str">
        <x:v>behavioral_regression_candidate</x:v>
      </x:c>
      <x:c r="K388" s="23" t="str">
        <x:v>legacy_output_unverified</x:v>
      </x:c>
      <x:c r="L388" s="23" t="str"/>
      <x:c r="M388" s="23" t="str"/>
    </x:row>
    <x:row r="389">
      <x:c r="A389" s="23" t="str">
        <x:v>LT-0388</x:v>
      </x:c>
      <x:c r="B389" s="23" t="str">
        <x:v>Ing Pairings- Mollusks.xlsx</x:v>
      </x:c>
      <x:c r="C389" s="23" t="str">
        <x:v>Sheet1</x:v>
      </x:c>
      <x:c r="D389" s="23" t="str">
        <x:v>mollusks</x:v>
      </x:c>
      <x:c r="E389" s="23" t="str">
        <x:v>mollusks</x:v>
      </x:c>
      <x:c r="F389" s="23" t="str">
        <x:v>family:seafood</x:v>
      </x:c>
      <x:c r="G389" s="23" t="str">
        <x:v>sake</x:v>
      </x:c>
      <x:c r="H389" s="23" t="str">
        <x:v>Caramel- Coffee</x:v>
      </x:c>
      <x:c r="I389" s="23" t="n">
        <x:v>49.1</x:v>
      </x:c>
      <x:c r="J389" s="23" t="str">
        <x:v>behavioral_regression_candidate</x:v>
      </x:c>
      <x:c r="K389" s="23" t="str">
        <x:v>legacy_output_unverified</x:v>
      </x:c>
      <x:c r="L389" s="23" t="str"/>
      <x:c r="M389" s="23" t="str"/>
    </x:row>
    <x:row r="390">
      <x:c r="A390" s="23" t="str">
        <x:v>LT-0389</x:v>
      </x:c>
      <x:c r="B390" s="23" t="str">
        <x:v>Ing Pairings- Mollusks.xlsx</x:v>
      </x:c>
      <x:c r="C390" s="23" t="str">
        <x:v>Sheet1</x:v>
      </x:c>
      <x:c r="D390" s="23" t="str">
        <x:v>mollusks</x:v>
      </x:c>
      <x:c r="E390" s="23" t="str">
        <x:v>mollusks</x:v>
      </x:c>
      <x:c r="F390" s="23" t="str">
        <x:v>family:seafood</x:v>
      </x:c>
      <x:c r="G390" s="23" t="str">
        <x:v>sherry</x:v>
      </x:c>
      <x:c r="H390" s="23" t="str">
        <x:v>Malt</x:v>
      </x:c>
      <x:c r="I390" s="23" t="str"/>
      <x:c r="J390" s="23" t="str">
        <x:v>behavioral_regression_candidate</x:v>
      </x:c>
      <x:c r="K390" s="23" t="str">
        <x:v>legacy_output_unverified</x:v>
      </x:c>
      <x:c r="L390" s="23" t="str"/>
      <x:c r="M390" s="23" t="str"/>
    </x:row>
    <x:row r="391">
      <x:c r="A391" s="23" t="str">
        <x:v>LT-0390</x:v>
      </x:c>
      <x:c r="B391" s="23" t="str">
        <x:v>Ing Pairings- Mollusks.xlsx</x:v>
      </x:c>
      <x:c r="C391" s="23" t="str">
        <x:v>Sheet1</x:v>
      </x:c>
      <x:c r="D391" s="23" t="str">
        <x:v>mollusks</x:v>
      </x:c>
      <x:c r="E391" s="23" t="str">
        <x:v>mollusks</x:v>
      </x:c>
      <x:c r="F391" s="23" t="str">
        <x:v>family:seafood</x:v>
      </x:c>
      <x:c r="G391" s="23" t="str">
        <x:v>shrimp</x:v>
      </x:c>
      <x:c r="H391" s="23" t="str">
        <x:v>Nutty- Hazelnut</x:v>
      </x:c>
      <x:c r="I391" s="23" t="n">
        <x:v>60</x:v>
      </x:c>
      <x:c r="J391" s="23" t="str">
        <x:v>behavioral_regression_candidate</x:v>
      </x:c>
      <x:c r="K391" s="23" t="str">
        <x:v>legacy_output_unverified</x:v>
      </x:c>
      <x:c r="L391" s="23" t="str"/>
      <x:c r="M391" s="23" t="str"/>
    </x:row>
    <x:row r="392">
      <x:c r="A392" s="23" t="str">
        <x:v>LT-0391</x:v>
      </x:c>
      <x:c r="B392" s="23" t="str">
        <x:v>Ing Pairings- Mollusks.xlsx</x:v>
      </x:c>
      <x:c r="C392" s="23" t="str">
        <x:v>Sheet1</x:v>
      </x:c>
      <x:c r="D392" s="23" t="str">
        <x:v>mollusks</x:v>
      </x:c>
      <x:c r="E392" s="23" t="str">
        <x:v>mollusks</x:v>
      </x:c>
      <x:c r="F392" s="23" t="str">
        <x:v>family:seafood</x:v>
      </x:c>
      <x:c r="G392" s="23" t="str">
        <x:v>banana</x:v>
      </x:c>
      <x:c r="H392" s="23" t="str">
        <x:v>Walnut</x:v>
      </x:c>
      <x:c r="I392" s="23" t="n">
        <x:v>28.8</x:v>
      </x:c>
      <x:c r="J392" s="23" t="str">
        <x:v>behavioral_regression_candidate</x:v>
      </x:c>
      <x:c r="K392" s="23" t="str">
        <x:v>legacy_output_unverified</x:v>
      </x:c>
      <x:c r="L392" s="23" t="str"/>
      <x:c r="M392" s="23" t="str"/>
    </x:row>
    <x:row r="393">
      <x:c r="A393" s="23" t="str">
        <x:v>LT-0392</x:v>
      </x:c>
      <x:c r="B393" s="23" t="str">
        <x:v>Ing Pairings- Mollusks.xlsx</x:v>
      </x:c>
      <x:c r="C393" s="23" t="str">
        <x:v>Sheet1</x:v>
      </x:c>
      <x:c r="D393" s="23" t="str">
        <x:v>mollusks</x:v>
      </x:c>
      <x:c r="E393" s="23" t="str">
        <x:v>mollusks</x:v>
      </x:c>
      <x:c r="F393" s="23" t="str">
        <x:v>family:seafood</x:v>
      </x:c>
      <x:c r="G393" s="23" t="str">
        <x:v>barley</x:v>
      </x:c>
      <x:c r="H393" s="23" t="str">
        <x:v>Toasted- Wheaten Bread</x:v>
      </x:c>
      <x:c r="I393" s="23" t="n">
        <x:v>48.5</x:v>
      </x:c>
      <x:c r="J393" s="23" t="str">
        <x:v>behavioral_regression_candidate</x:v>
      </x:c>
      <x:c r="K393" s="23" t="str">
        <x:v>legacy_output_unverified</x:v>
      </x:c>
      <x:c r="L393" s="23" t="str"/>
      <x:c r="M393" s="23" t="str"/>
    </x:row>
    <x:row r="394">
      <x:c r="A394" s="23" t="str">
        <x:v>LT-0393</x:v>
      </x:c>
      <x:c r="B394" s="23" t="str">
        <x:v>Ing Pairings- Mollusks.xlsx</x:v>
      </x:c>
      <x:c r="C394" s="23" t="str">
        <x:v>Sheet1</x:v>
      </x:c>
      <x:c r="D394" s="23" t="str">
        <x:v>mollusks</x:v>
      </x:c>
      <x:c r="E394" s="23" t="str">
        <x:v>mollusks</x:v>
      </x:c>
      <x:c r="F394" s="23" t="str">
        <x:v>family:seafood</x:v>
      </x:c>
      <x:c r="G394" s="23" t="str">
        <x:v>beef</x:v>
      </x:c>
      <x:c r="H394" s="23" t="str">
        <x:v>Sulphur- Allium</x:v>
      </x:c>
      <x:c r="I394" s="23" t="n">
        <x:v>38.7</x:v>
      </x:c>
      <x:c r="J394" s="23" t="str">
        <x:v>behavioral_regression_candidate</x:v>
      </x:c>
      <x:c r="K394" s="23" t="str">
        <x:v>legacy_output_unverified</x:v>
      </x:c>
      <x:c r="L394" s="23" t="str"/>
      <x:c r="M394" s="23" t="str"/>
    </x:row>
    <x:row r="395">
      <x:c r="A395" s="23" t="str">
        <x:v>LT-0394</x:v>
      </x:c>
      <x:c r="B395" s="23" t="str">
        <x:v>Ing Pairings- Mollusks.xlsx</x:v>
      </x:c>
      <x:c r="C395" s="23" t="str">
        <x:v>Sheet1</x:v>
      </x:c>
      <x:c r="D395" s="23" t="str">
        <x:v>mollusks</x:v>
      </x:c>
      <x:c r="E395" s="23" t="str">
        <x:v>mollusks</x:v>
      </x:c>
      <x:c r="F395" s="23" t="str">
        <x:v>family:seafood</x:v>
      </x:c>
      <x:c r="G395" s="23" t="str">
        <x:v>beer</x:v>
      </x:c>
      <x:c r="H395" s="23" t="str">
        <x:v>Pungent- Mustard</x:v>
      </x:c>
      <x:c r="I395" s="23" t="n">
        <x:v>11.8</x:v>
      </x:c>
      <x:c r="J395" s="23" t="str">
        <x:v>behavioral_regression_candidate</x:v>
      </x:c>
      <x:c r="K395" s="23" t="str">
        <x:v>legacy_output_unverified</x:v>
      </x:c>
      <x:c r="L395" s="23" t="str"/>
      <x:c r="M395" s="23" t="str"/>
    </x:row>
    <x:row r="396">
      <x:c r="A396" s="23" t="str">
        <x:v>LT-0395</x:v>
      </x:c>
      <x:c r="B396" s="23" t="str">
        <x:v>Ing Pairings- Mollusks.xlsx</x:v>
      </x:c>
      <x:c r="C396" s="23" t="str">
        <x:v>Sheet1</x:v>
      </x:c>
      <x:c r="D396" s="23" t="str">
        <x:v>mollusks</x:v>
      </x:c>
      <x:c r="E396" s="23" t="str">
        <x:v>mollusks</x:v>
      </x:c>
      <x:c r="F396" s="23" t="str">
        <x:v>family:seafood</x:v>
      </x:c>
      <x:c r="G396" s="23" t="str">
        <x:v>blue cheese</x:v>
      </x:c>
      <x:c r="H396" s="23" t="str">
        <x:v>Phenol- Wine</x:v>
      </x:c>
      <x:c r="I396" s="23" t="n">
        <x:v>35</x:v>
      </x:c>
      <x:c r="J396" s="23" t="str">
        <x:v>behavioral_regression_candidate</x:v>
      </x:c>
      <x:c r="K396" s="23" t="str">
        <x:v>legacy_output_unverified</x:v>
      </x:c>
      <x:c r="L396" s="23" t="str"/>
      <x:c r="M396" s="23" t="str"/>
    </x:row>
    <x:row r="397">
      <x:c r="A397" s="23" t="str">
        <x:v>LT-0396</x:v>
      </x:c>
      <x:c r="B397" s="23" t="str">
        <x:v>Ing Pairings- Mollusks.xlsx</x:v>
      </x:c>
      <x:c r="C397" s="23" t="str">
        <x:v>Sheet1</x:v>
      </x:c>
      <x:c r="D397" s="23" t="str">
        <x:v>mollusks</x:v>
      </x:c>
      <x:c r="E397" s="23" t="str">
        <x:v>mollusks</x:v>
      </x:c>
      <x:c r="F397" s="23" t="str">
        <x:v>family:seafood</x:v>
      </x:c>
      <x:c r="G397" s="23" t="str">
        <x:v>cauliflower</x:v>
      </x:c>
      <x:c r="H397" s="23" t="str">
        <x:v>Black Tea</x:v>
      </x:c>
      <x:c r="I397" s="23" t="n">
        <x:v>63.5</x:v>
      </x:c>
      <x:c r="J397" s="23" t="str">
        <x:v>behavioral_regression_candidate</x:v>
      </x:c>
      <x:c r="K397" s="23" t="str">
        <x:v>legacy_output_unverified</x:v>
      </x:c>
      <x:c r="L397" s="23" t="str"/>
      <x:c r="M397" s="23" t="str"/>
    </x:row>
    <x:row r="398">
      <x:c r="A398" s="23" t="str">
        <x:v>LT-0397</x:v>
      </x:c>
      <x:c r="B398" s="23" t="str">
        <x:v>Ing Pairings- Mollusks.xlsx</x:v>
      </x:c>
      <x:c r="C398" s="23" t="str">
        <x:v>Sheet1</x:v>
      </x:c>
      <x:c r="D398" s="23" t="str">
        <x:v>mollusks</x:v>
      </x:c>
      <x:c r="E398" s="23" t="str">
        <x:v>mollusks</x:v>
      </x:c>
      <x:c r="F398" s="23" t="str">
        <x:v>family:seafood</x:v>
      </x:c>
      <x:c r="G398" s="23" t="str">
        <x:v>caviar</x:v>
      </x:c>
      <x:c r="H398" s="23" t="str">
        <x:v>Savory- Shoyu</x:v>
      </x:c>
      <x:c r="I398" s="23" t="n">
        <x:v>29.5</x:v>
      </x:c>
      <x:c r="J398" s="23" t="str">
        <x:v>behavioral_regression_candidate</x:v>
      </x:c>
      <x:c r="K398" s="23" t="str">
        <x:v>legacy_output_unverified</x:v>
      </x:c>
      <x:c r="L398" s="23" t="str"/>
      <x:c r="M398" s="23" t="str"/>
    </x:row>
    <x:row r="399">
      <x:c r="A399" s="23" t="str">
        <x:v>LT-0398</x:v>
      </x:c>
      <x:c r="B399" s="23" t="str">
        <x:v>Ing Pairings- Mollusks.xlsx</x:v>
      </x:c>
      <x:c r="C399" s="23" t="str">
        <x:v>Sheet1</x:v>
      </x:c>
      <x:c r="D399" s="23" t="str">
        <x:v>mollusks</x:v>
      </x:c>
      <x:c r="E399" s="23" t="str">
        <x:v>mollusks</x:v>
      </x:c>
      <x:c r="F399" s="23" t="str">
        <x:v>family:seafood</x:v>
      </x:c>
      <x:c r="G399" s="23" t="str">
        <x:v>cheddar</x:v>
      </x:c>
      <x:c r="H399" s="23" t="str">
        <x:v>Katsuobushi</x:v>
      </x:c>
      <x:c r="I399" s="23" t="n">
        <x:v>63.5</x:v>
      </x:c>
      <x:c r="J399" s="23" t="str">
        <x:v>behavioral_regression_candidate</x:v>
      </x:c>
      <x:c r="K399" s="23" t="str">
        <x:v>legacy_output_unverified</x:v>
      </x:c>
      <x:c r="L399" s="23" t="str"/>
      <x:c r="M399" s="23" t="str"/>
    </x:row>
    <x:row r="400">
      <x:c r="A400" s="23" t="str">
        <x:v>LT-0399</x:v>
      </x:c>
      <x:c r="B400" s="23" t="str">
        <x:v>Ing Pairings- Mollusks.xlsx</x:v>
      </x:c>
      <x:c r="C400" s="23" t="str">
        <x:v>Sheet1</x:v>
      </x:c>
      <x:c r="D400" s="23" t="str">
        <x:v>mollusks</x:v>
      </x:c>
      <x:c r="E400" s="23" t="str">
        <x:v>mollusks</x:v>
      </x:c>
      <x:c r="F400" s="23" t="str">
        <x:v>family:seafood</x:v>
      </x:c>
      <x:c r="G400" s="23" t="str">
        <x:v>cheese</x:v>
      </x:c>
      <x:c r="H400" s="23" t="str">
        <x:v>Sour- Vinegar</x:v>
      </x:c>
      <x:c r="I400" s="23" t="n">
        <x:v>20.8</x:v>
      </x:c>
      <x:c r="J400" s="23" t="str">
        <x:v>behavioral_regression_candidate</x:v>
      </x:c>
      <x:c r="K400" s="23" t="str">
        <x:v>legacy_output_unverified</x:v>
      </x:c>
      <x:c r="L400" s="23" t="str"/>
      <x:c r="M400" s="23" t="str"/>
    </x:row>
    <x:row r="401">
      <x:c r="A401" s="23" t="str">
        <x:v>LT-0400</x:v>
      </x:c>
      <x:c r="B401" s="23" t="str">
        <x:v>Ing Pairings- Mollusks.xlsx</x:v>
      </x:c>
      <x:c r="C401" s="23" t="str">
        <x:v>Sheet1</x:v>
      </x:c>
      <x:c r="D401" s="23" t="str">
        <x:v>mollusks</x:v>
      </x:c>
      <x:c r="E401" s="23" t="str">
        <x:v>mollusks</x:v>
      </x:c>
      <x:c r="F401" s="23" t="str">
        <x:v>family:seafood</x:v>
      </x:c>
      <x:c r="G401" s="23" t="str">
        <x:v>hop</x:v>
      </x:c>
      <x:c r="H401" s="23" t="str">
        <x:v>Dairy- Milk</x:v>
      </x:c>
      <x:c r="I401" s="23" t="n">
        <x:v>74.1</x:v>
      </x:c>
      <x:c r="J401" s="23" t="str">
        <x:v>behavioral_regression_candidate</x:v>
      </x:c>
      <x:c r="K401" s="23" t="str">
        <x:v>legacy_output_unverified</x:v>
      </x:c>
      <x:c r="L401" s="23" t="str"/>
      <x:c r="M401" s="23" t="str"/>
    </x:row>
    <x:row r="402">
      <x:c r="A402" s="23" t="str">
        <x:v>LT-0401</x:v>
      </x:c>
      <x:c r="B402" s="23" t="str">
        <x:v>Ing Pairings- Mollusks.xlsx</x:v>
      </x:c>
      <x:c r="C402" s="23" t="str">
        <x:v>Sheet1</x:v>
      </x:c>
      <x:c r="D402" s="23" t="str">
        <x:v>mollusks</x:v>
      </x:c>
      <x:c r="E402" s="23" t="str">
        <x:v>mollusks</x:v>
      </x:c>
      <x:c r="F402" s="23" t="str">
        <x:v>family:seafood</x:v>
      </x:c>
      <x:c r="G402" s="23" t="str">
        <x:v>lettuce</x:v>
      </x:c>
      <x:c r="H402" s="23" t="str">
        <x:v>Alcohol- Brandy</x:v>
      </x:c>
      <x:c r="I402" s="23" t="n">
        <x:v>41.7</x:v>
      </x:c>
      <x:c r="J402" s="23" t="str">
        <x:v>behavioral_regression_candidate</x:v>
      </x:c>
      <x:c r="K402" s="23" t="str">
        <x:v>legacy_output_unverified</x:v>
      </x:c>
      <x:c r="L402" s="23" t="str"/>
      <x:c r="M402" s="23" t="str"/>
    </x:row>
    <x:row r="403">
      <x:c r="A403" s="23" t="str">
        <x:v>LT-0402</x:v>
      </x:c>
      <x:c r="B403" s="23" t="str">
        <x:v>Ing Pairings- Mollusks.xlsx</x:v>
      </x:c>
      <x:c r="C403" s="23" t="str">
        <x:v>Sheet1</x:v>
      </x:c>
      <x:c r="D403" s="23" t="str">
        <x:v>mollusks</x:v>
      </x:c>
      <x:c r="E403" s="23" t="str">
        <x:v>mollusks</x:v>
      </x:c>
      <x:c r="F403" s="23" t="str">
        <x:v>family:seafood</x:v>
      </x:c>
      <x:c r="G403" s="23" t="str">
        <x:v>malt</x:v>
      </x:c>
      <x:c r="H403" s="23" t="str">
        <x:v>Marine- Fish</x:v>
      </x:c>
      <x:c r="I403" s="23" t="n">
        <x:v>77.6</x:v>
      </x:c>
      <x:c r="J403" s="23" t="str">
        <x:v>behavioral_regression_candidate</x:v>
      </x:c>
      <x:c r="K403" s="23" t="str">
        <x:v>legacy_output_unverified</x:v>
      </x:c>
      <x:c r="L403" s="23" t="str"/>
      <x:c r="M403" s="23" t="str"/>
    </x:row>
    <x:row r="404">
      <x:c r="A404" s="23" t="str">
        <x:v>LT-0403</x:v>
      </x:c>
      <x:c r="B404" s="23" t="str">
        <x:v>Ing Pairings- Mollusks.xlsx</x:v>
      </x:c>
      <x:c r="C404" s="23" t="str">
        <x:v>Sheet1</x:v>
      </x:c>
      <x:c r="D404" s="23" t="str">
        <x:v>mollusks</x:v>
      </x:c>
      <x:c r="E404" s="23" t="str">
        <x:v>mollusks</x:v>
      </x:c>
      <x:c r="F404" s="23" t="str">
        <x:v>family:seafood</x:v>
      </x:c>
      <x:c r="G404" s="23" t="str">
        <x:v>oats</x:v>
      </x:c>
      <x:c r="H404" s="23" t="str">
        <x:v>Shrimp (cooked)</x:v>
      </x:c>
      <x:c r="I404" s="23" t="n">
        <x:v>77.6</x:v>
      </x:c>
      <x:c r="J404" s="23" t="str">
        <x:v>behavioral_regression_candidate</x:v>
      </x:c>
      <x:c r="K404" s="23" t="str">
        <x:v>legacy_output_unverified</x:v>
      </x:c>
      <x:c r="L404" s="23" t="str"/>
      <x:c r="M404" s="23" t="str"/>
    </x:row>
    <x:row r="405">
      <x:c r="A405" s="23" t="str">
        <x:v>LT-0404</x:v>
      </x:c>
      <x:c r="B405" s="23" t="str">
        <x:v>Ing Pairings- Mollusks.xlsx</x:v>
      </x:c>
      <x:c r="C405" s="23" t="str">
        <x:v>Sheet1</x:v>
      </x:c>
      <x:c r="D405" s="23" t="str">
        <x:v>mollusks</x:v>
      </x:c>
      <x:c r="E405" s="23" t="str">
        <x:v>mollusks</x:v>
      </x:c>
      <x:c r="F405" s="23" t="str">
        <x:v>family:seafood</x:v>
      </x:c>
      <x:c r="G405" s="23" t="str">
        <x:v>pork</x:v>
      </x:c>
      <x:c r="H405" s="23" t="str"/>
      <x:c r="I405" s="23" t="str"/>
      <x:c r="J405" s="23" t="str">
        <x:v>behavioral_regression_candidate</x:v>
      </x:c>
      <x:c r="K405" s="23" t="str">
        <x:v>legacy_output_unverified</x:v>
      </x:c>
      <x:c r="L405" s="23" t="str"/>
      <x:c r="M405" s="23" t="str"/>
    </x:row>
    <x:row r="406">
      <x:c r="A406" s="23" t="str">
        <x:v>LT-0405</x:v>
      </x:c>
      <x:c r="B406" s="23" t="str">
        <x:v>Ing Pairings- Mollusks.xlsx</x:v>
      </x:c>
      <x:c r="C406" s="23" t="str">
        <x:v>Sheet1</x:v>
      </x:c>
      <x:c r="D406" s="23" t="str">
        <x:v>mollusks</x:v>
      </x:c>
      <x:c r="E406" s="23" t="str">
        <x:v>mollusks</x:v>
      </x:c>
      <x:c r="F406" s="23" t="str">
        <x:v>family:seafood</x:v>
      </x:c>
      <x:c r="G406" s="23" t="str">
        <x:v>radish</x:v>
      </x:c>
      <x:c r="H406" s="23" t="str"/>
      <x:c r="I406" s="23" t="str"/>
      <x:c r="J406" s="23" t="str">
        <x:v>behavioral_regression_candidate</x:v>
      </x:c>
      <x:c r="K406" s="23" t="str">
        <x:v>legacy_output_unverified</x:v>
      </x:c>
      <x:c r="L406" s="23" t="str"/>
      <x:c r="M406" s="23" t="str"/>
    </x:row>
    <x:row r="407">
      <x:c r="A407" s="23" t="str">
        <x:v>LT-0406</x:v>
      </x:c>
      <x:c r="B407" s="23" t="str">
        <x:v>Ing Pairings- Mollusks.xlsx</x:v>
      </x:c>
      <x:c r="C407" s="23" t="str">
        <x:v>Sheet1</x:v>
      </x:c>
      <x:c r="D407" s="23" t="str">
        <x:v>mollusks</x:v>
      </x:c>
      <x:c r="E407" s="23" t="str">
        <x:v>mollusks</x:v>
      </x:c>
      <x:c r="F407" s="23" t="str">
        <x:v>family:seafood</x:v>
      </x:c>
      <x:c r="G407" s="23" t="str">
        <x:v>rutabaga</x:v>
      </x:c>
      <x:c r="H407" s="23" t="str"/>
      <x:c r="I407" s="23" t="str"/>
      <x:c r="J407" s="23" t="str">
        <x:v>behavioral_regression_candidate</x:v>
      </x:c>
      <x:c r="K407" s="23" t="str">
        <x:v>legacy_output_unverified</x:v>
      </x:c>
      <x:c r="L407" s="23" t="str"/>
      <x:c r="M407" s="23" t="str"/>
    </x:row>
    <x:row r="408">
      <x:c r="A408" s="23" t="str">
        <x:v>LT-0407</x:v>
      </x:c>
      <x:c r="B408" s="23" t="str">
        <x:v>Ing Pairings- Mollusks.xlsx</x:v>
      </x:c>
      <x:c r="C408" s="23" t="str">
        <x:v>Sheet1</x:v>
      </x:c>
      <x:c r="D408" s="23" t="str">
        <x:v>mollusks</x:v>
      </x:c>
      <x:c r="E408" s="23" t="str">
        <x:v>mollusks</x:v>
      </x:c>
      <x:c r="F408" s="23" t="str">
        <x:v>family:seafood</x:v>
      </x:c>
      <x:c r="G408" s="23" t="str">
        <x:v>soybean</x:v>
      </x:c>
      <x:c r="H408" s="23" t="str"/>
      <x:c r="I408" s="23" t="str"/>
      <x:c r="J408" s="23" t="str">
        <x:v>behavioral_regression_candidate</x:v>
      </x:c>
      <x:c r="K408" s="23" t="str">
        <x:v>legacy_output_unverified</x:v>
      </x:c>
      <x:c r="L408" s="23" t="str"/>
      <x:c r="M408" s="23" t="str"/>
    </x:row>
    <x:row r="409">
      <x:c r="A409" s="23" t="str">
        <x:v>LT-0408</x:v>
      </x:c>
      <x:c r="B409" s="23" t="str">
        <x:v>Ing Pairings- Mollusks.xlsx</x:v>
      </x:c>
      <x:c r="C409" s="23" t="str">
        <x:v>Sheet1</x:v>
      </x:c>
      <x:c r="D409" s="23" t="str">
        <x:v>mollusks</x:v>
      </x:c>
      <x:c r="E409" s="23" t="str">
        <x:v>mollusks</x:v>
      </x:c>
      <x:c r="F409" s="23" t="str">
        <x:v>family:seafood</x:v>
      </x:c>
      <x:c r="G409" s="23" t="str">
        <x:v>squid</x:v>
      </x:c>
      <x:c r="H409" s="23" t="str"/>
      <x:c r="I409" s="23" t="str"/>
      <x:c r="J409" s="23" t="str">
        <x:v>behavioral_regression_candidate</x:v>
      </x:c>
      <x:c r="K409" s="23" t="str">
        <x:v>legacy_output_unverified</x:v>
      </x:c>
      <x:c r="L409" s="23" t="str"/>
      <x:c r="M409" s="23" t="str"/>
    </x:row>
    <x:row r="410">
      <x:c r="A410" s="23" t="str">
        <x:v>LT-0409</x:v>
      </x:c>
      <x:c r="B410" s="23" t="str">
        <x:v>Ing Pairings- Mollusks.xlsx</x:v>
      </x:c>
      <x:c r="C410" s="23" t="str">
        <x:v>Sheet1</x:v>
      </x:c>
      <x:c r="D410" s="23" t="str">
        <x:v>mollusks</x:v>
      </x:c>
      <x:c r="E410" s="23" t="str">
        <x:v>mollusks</x:v>
      </x:c>
      <x:c r="F410" s="23" t="str">
        <x:v>family:seafood</x:v>
      </x:c>
      <x:c r="G410" s="23" t="str">
        <x:v>tomato</x:v>
      </x:c>
      <x:c r="H410" s="23" t="str"/>
      <x:c r="I410" s="23" t="str"/>
      <x:c r="J410" s="23" t="str">
        <x:v>behavioral_regression_candidate</x:v>
      </x:c>
      <x:c r="K410" s="23" t="str">
        <x:v>legacy_output_unverified</x:v>
      </x:c>
      <x:c r="L410" s="23" t="str"/>
      <x:c r="M410" s="23" t="str"/>
    </x:row>
    <x:row r="411">
      <x:c r="A411" s="23" t="str">
        <x:v>LT-0410</x:v>
      </x:c>
      <x:c r="B411" s="23" t="str">
        <x:v>Ing Pairings- Mollusks.xlsx</x:v>
      </x:c>
      <x:c r="C411" s="23" t="str">
        <x:v>Sheet1</x:v>
      </x:c>
      <x:c r="D411" s="23" t="str">
        <x:v>mollusks</x:v>
      </x:c>
      <x:c r="E411" s="23" t="str">
        <x:v>mollusks</x:v>
      </x:c>
      <x:c r="F411" s="23" t="str">
        <x:v>family:seafood</x:v>
      </x:c>
      <x:c r="G411" s="23" t="str">
        <x:v>wheaten bread</x:v>
      </x:c>
      <x:c r="H411" s="23" t="str"/>
      <x:c r="I411" s="23" t="str"/>
      <x:c r="J411" s="23" t="str">
        <x:v>behavioral_regression_candidate</x:v>
      </x:c>
      <x:c r="K411" s="23" t="str">
        <x:v>legacy_output_unverified</x:v>
      </x:c>
      <x:c r="L411" s="23" t="str"/>
      <x:c r="M411" s="23" t="str"/>
    </x:row>
    <x:row r="412">
      <x:c r="A412" s="23" t="str">
        <x:v>LT-0411</x:v>
      </x:c>
      <x:c r="B412" s="23" t="str">
        <x:v>Ing Pairings- Mollusks.xlsx</x:v>
      </x:c>
      <x:c r="C412" s="23" t="str">
        <x:v>Sheet1</x:v>
      </x:c>
      <x:c r="D412" s="23" t="str">
        <x:v>mollusks</x:v>
      </x:c>
      <x:c r="E412" s="23" t="str">
        <x:v>mollusks</x:v>
      </x:c>
      <x:c r="F412" s="23" t="str">
        <x:v>family:seafood</x:v>
      </x:c>
      <x:c r="G412" s="23" t="str">
        <x:v>wine</x:v>
      </x:c>
      <x:c r="H412" s="23" t="str"/>
      <x:c r="I412" s="23" t="str"/>
      <x:c r="J412" s="23" t="str">
        <x:v>behavioral_regression_candidate</x:v>
      </x:c>
      <x:c r="K412" s="23" t="str">
        <x:v>legacy_output_unverified</x:v>
      </x:c>
      <x:c r="L412" s="23" t="str"/>
      <x:c r="M412" s="23" t="str"/>
    </x:row>
    <x:row r="413">
      <x:c r="A413" s="23" t="str">
        <x:v>LT-0412</x:v>
      </x:c>
      <x:c r="B413" s="23" t="str">
        <x:v>Ing Pairings- Mollusks.xlsx</x:v>
      </x:c>
      <x:c r="C413" s="23" t="str">
        <x:v>Sheet1</x:v>
      </x:c>
      <x:c r="D413" s="23" t="str">
        <x:v>mollusks</x:v>
      </x:c>
      <x:c r="E413" s="23" t="str">
        <x:v>mollusks</x:v>
      </x:c>
      <x:c r="F413" s="23" t="str">
        <x:v>family:seafood</x:v>
      </x:c>
      <x:c r="G413" s="23" t="str">
        <x:v>wild rice</x:v>
      </x:c>
      <x:c r="H413" s="23" t="str"/>
      <x:c r="I413" s="23" t="str"/>
      <x:c r="J413" s="23" t="str">
        <x:v>behavioral_regression_candidate</x:v>
      </x:c>
      <x:c r="K413" s="23" t="str">
        <x:v>legacy_output_unverified</x:v>
      </x:c>
      <x:c r="L413" s="23" t="str"/>
      <x:c r="M413" s="23" t="str"/>
    </x:row>
    <x:row r="414">
      <x:c r="A414" s="23" t="str">
        <x:v>LT-0413</x:v>
      </x:c>
      <x:c r="B414" s="23" t="str">
        <x:v>Ing Pairings- Mollusks.xlsx</x:v>
      </x:c>
      <x:c r="C414" s="23" t="str">
        <x:v>Sheet1</x:v>
      </x:c>
      <x:c r="D414" s="23" t="str">
        <x:v>mollusks</x:v>
      </x:c>
      <x:c r="E414" s="23" t="str">
        <x:v>mollusks</x:v>
      </x:c>
      <x:c r="F414" s="23" t="str">
        <x:v>family:seafood</x:v>
      </x:c>
      <x:c r="G414" s="23" t="str">
        <x:v>whisky</x:v>
      </x:c>
      <x:c r="H414" s="23" t="str"/>
      <x:c r="I414" s="23" t="str"/>
      <x:c r="J414" s="23" t="str">
        <x:v>behavioral_regression_candidate</x:v>
      </x:c>
      <x:c r="K414" s="23" t="str">
        <x:v>legacy_output_unverified</x:v>
      </x:c>
      <x:c r="L414" s="23" t="str"/>
      <x:c r="M414" s="23" t="str"/>
    </x:row>
    <x:row r="415">
      <x:c r="A415" s="23" t="str">
        <x:v>LT-0414</x:v>
      </x:c>
      <x:c r="B415" s="23" t="str">
        <x:v>Ing Pairings- Mollusks.xlsx</x:v>
      </x:c>
      <x:c r="C415" s="23" t="str">
        <x:v>Sheet1</x:v>
      </x:c>
      <x:c r="D415" s="23" t="str">
        <x:v>mollusks</x:v>
      </x:c>
      <x:c r="E415" s="23" t="str">
        <x:v>mollusks</x:v>
      </x:c>
      <x:c r="F415" s="23" t="str">
        <x:v>family:seafood</x:v>
      </x:c>
      <x:c r="G415" s="23" t="str">
        <x:v>truffle</x:v>
      </x:c>
      <x:c r="H415" s="23" t="str"/>
      <x:c r="I415" s="23" t="str"/>
      <x:c r="J415" s="23" t="str">
        <x:v>behavioral_regression_candidate</x:v>
      </x:c>
      <x:c r="K415" s="23" t="str">
        <x:v>legacy_output_unverified</x:v>
      </x:c>
      <x:c r="L415" s="23" t="str"/>
      <x:c r="M415" s="23" t="str"/>
    </x:row>
    <x:row r="416">
      <x:c r="A416" s="23" t="str">
        <x:v>LT-0415</x:v>
      </x:c>
      <x:c r="B416" s="23" t="str">
        <x:v>Ing Pairings- Mollusks.xlsx</x:v>
      </x:c>
      <x:c r="C416" s="23" t="str">
        <x:v>Sheet1</x:v>
      </x:c>
      <x:c r="D416" s="23" t="str">
        <x:v>mollusks</x:v>
      </x:c>
      <x:c r="E416" s="23" t="str">
        <x:v>mollusks</x:v>
      </x:c>
      <x:c r="F416" s="23" t="str">
        <x:v>family:seafood</x:v>
      </x:c>
      <x:c r="G416" s="23" t="str">
        <x:v>tequila</x:v>
      </x:c>
      <x:c r="H416" s="23" t="str"/>
      <x:c r="I416" s="23" t="str"/>
      <x:c r="J416" s="23" t="str">
        <x:v>behavioral_regression_candidate</x:v>
      </x:c>
      <x:c r="K416" s="23" t="str">
        <x:v>legacy_output_unverified</x:v>
      </x:c>
      <x:c r="L416" s="23" t="str"/>
      <x:c r="M416" s="23" t="str"/>
    </x:row>
    <x:row r="417">
      <x:c r="A417" s="23" t="str">
        <x:v>LT-0416</x:v>
      </x:c>
      <x:c r="B417" s="23" t="str">
        <x:v>Ing Pairings- Mollusks.xlsx</x:v>
      </x:c>
      <x:c r="C417" s="23" t="str">
        <x:v>Sheet1</x:v>
      </x:c>
      <x:c r="D417" s="23" t="str">
        <x:v>mollusks</x:v>
      </x:c>
      <x:c r="E417" s="23" t="str">
        <x:v>mollusks</x:v>
      </x:c>
      <x:c r="F417" s="23" t="str">
        <x:v>family:seafood</x:v>
      </x:c>
      <x:c r="G417" s="23" t="str">
        <x:v>quince</x:v>
      </x:c>
      <x:c r="H417" s="23" t="str"/>
      <x:c r="I417" s="23" t="str"/>
      <x:c r="J417" s="23" t="str">
        <x:v>behavioral_regression_candidate</x:v>
      </x:c>
      <x:c r="K417" s="23" t="str">
        <x:v>legacy_output_unverified</x:v>
      </x:c>
      <x:c r="L417" s="23" t="str"/>
      <x:c r="M417" s="23" t="str"/>
    </x:row>
    <x:row r="418">
      <x:c r="A418" s="23" t="str">
        <x:v>LT-0417</x:v>
      </x:c>
      <x:c r="B418" s="23" t="str">
        <x:v>Ing Pairings- Mollusks.xlsx</x:v>
      </x:c>
      <x:c r="C418" s="23" t="str">
        <x:v>Sheet1</x:v>
      </x:c>
      <x:c r="D418" s="23" t="str">
        <x:v>mollusks</x:v>
      </x:c>
      <x:c r="E418" s="23" t="str">
        <x:v>mollusks</x:v>
      </x:c>
      <x:c r="F418" s="23" t="str">
        <x:v>family:seafood</x:v>
      </x:c>
      <x:c r="G418" s="23" t="str">
        <x:v>potato</x:v>
      </x:c>
      <x:c r="H418" s="23" t="str"/>
      <x:c r="I418" s="23" t="str"/>
      <x:c r="J418" s="23" t="str">
        <x:v>behavioral_regression_candidate</x:v>
      </x:c>
      <x:c r="K418" s="23" t="str">
        <x:v>legacy_output_unverified</x:v>
      </x:c>
      <x:c r="L418" s="23" t="str"/>
      <x:c r="M418" s="23" t="str"/>
    </x:row>
    <x:row r="419">
      <x:c r="A419" s="23" t="str">
        <x:v>LT-0418</x:v>
      </x:c>
      <x:c r="B419" s="23" t="str">
        <x:v>Ing Pairings- Mollusks.xlsx</x:v>
      </x:c>
      <x:c r="C419" s="23" t="str">
        <x:v>Sheet1</x:v>
      </x:c>
      <x:c r="D419" s="23" t="str">
        <x:v>mollusks</x:v>
      </x:c>
      <x:c r="E419" s="23" t="str">
        <x:v>mollusks</x:v>
      </x:c>
      <x:c r="F419" s="23" t="str">
        <x:v>family:seafood</x:v>
      </x:c>
      <x:c r="G419" s="23" t="str">
        <x:v>popcorn</x:v>
      </x:c>
      <x:c r="H419" s="23" t="str"/>
      <x:c r="I419" s="23" t="str"/>
      <x:c r="J419" s="23" t="str">
        <x:v>behavioral_regression_candidate</x:v>
      </x:c>
      <x:c r="K419" s="23" t="str">
        <x:v>legacy_output_unverified</x:v>
      </x:c>
      <x:c r="L419" s="23" t="str"/>
      <x:c r="M419" s="23" t="str"/>
    </x:row>
    <x:row r="420">
      <x:c r="A420" s="23" t="str">
        <x:v>LT-0419</x:v>
      </x:c>
      <x:c r="B420" s="23" t="str">
        <x:v>Ing Pairings- Mollusks.xlsx</x:v>
      </x:c>
      <x:c r="C420" s="23" t="str">
        <x:v>Sheet1</x:v>
      </x:c>
      <x:c r="D420" s="23" t="str">
        <x:v>mollusks</x:v>
      </x:c>
      <x:c r="E420" s="23" t="str">
        <x:v>mollusks</x:v>
      </x:c>
      <x:c r="F420" s="23" t="str">
        <x:v>family:seafood</x:v>
      </x:c>
      <x:c r="G420" s="23" t="str">
        <x:v>plum</x:v>
      </x:c>
      <x:c r="H420" s="23" t="str"/>
      <x:c r="I420" s="23" t="str"/>
      <x:c r="J420" s="23" t="str">
        <x:v>behavioral_regression_candidate</x:v>
      </x:c>
      <x:c r="K420" s="23" t="str">
        <x:v>legacy_output_unverified</x:v>
      </x:c>
      <x:c r="L420" s="23" t="str"/>
      <x:c r="M420" s="23" t="str"/>
    </x:row>
    <x:row r="421">
      <x:c r="A421" s="23" t="str">
        <x:v>LT-0420</x:v>
      </x:c>
      <x:c r="B421" s="23" t="str">
        <x:v>Ing Pairings- Mollusks.xlsx</x:v>
      </x:c>
      <x:c r="C421" s="23" t="str">
        <x:v>Sheet1</x:v>
      </x:c>
      <x:c r="D421" s="23" t="str">
        <x:v>mollusks</x:v>
      </x:c>
      <x:c r="E421" s="23" t="str">
        <x:v>mollusks</x:v>
      </x:c>
      <x:c r="F421" s="23" t="str">
        <x:v>family:seafood</x:v>
      </x:c>
      <x:c r="G421" s="23" t="str">
        <x:v>licorice</x:v>
      </x:c>
      <x:c r="H421" s="23" t="str"/>
      <x:c r="I421" s="23" t="str"/>
      <x:c r="J421" s="23" t="str">
        <x:v>behavioral_regression_candidate</x:v>
      </x:c>
      <x:c r="K421" s="23" t="str">
        <x:v>legacy_output_unverified</x:v>
      </x:c>
      <x:c r="L421" s="23" t="str"/>
      <x:c r="M421" s="23" t="str"/>
    </x:row>
    <x:row r="422">
      <x:c r="A422" s="23" t="str">
        <x:v>LT-0421</x:v>
      </x:c>
      <x:c r="B422" s="23" t="str">
        <x:v>Ing Pairings- Mollusks.xlsx</x:v>
      </x:c>
      <x:c r="C422" s="23" t="str">
        <x:v>Sheet1</x:v>
      </x:c>
      <x:c r="D422" s="23" t="str">
        <x:v>mollusks</x:v>
      </x:c>
      <x:c r="E422" s="23" t="str">
        <x:v>mollusks</x:v>
      </x:c>
      <x:c r="F422" s="23" t="str">
        <x:v>family:seafood</x:v>
      </x:c>
      <x:c r="G422" s="23" t="str">
        <x:v>hazelnut</x:v>
      </x:c>
      <x:c r="H422" s="23" t="str"/>
      <x:c r="I422" s="23" t="str"/>
      <x:c r="J422" s="23" t="str">
        <x:v>behavioral_regression_candidate</x:v>
      </x:c>
      <x:c r="K422" s="23" t="str">
        <x:v>legacy_output_unverified</x:v>
      </x:c>
      <x:c r="L422" s="23" t="str"/>
      <x:c r="M422" s="23" t="str"/>
    </x:row>
    <x:row r="423">
      <x:c r="A423" s="23" t="str">
        <x:v>LT-0422</x:v>
      </x:c>
      <x:c r="B423" s="23" t="str">
        <x:v>Ing Pairings- Mollusks.xlsx</x:v>
      </x:c>
      <x:c r="C423" s="23" t="str">
        <x:v>Sheet1</x:v>
      </x:c>
      <x:c r="D423" s="23" t="str">
        <x:v>mollusks</x:v>
      </x:c>
      <x:c r="E423" s="23" t="str">
        <x:v>mollusks</x:v>
      </x:c>
      <x:c r="F423" s="23" t="str">
        <x:v>family:seafood</x:v>
      </x:c>
      <x:c r="G423" s="23" t="str">
        <x:v>mushroom</x:v>
      </x:c>
      <x:c r="H423" s="23" t="str"/>
      <x:c r="I423" s="23" t="str"/>
      <x:c r="J423" s="23" t="str">
        <x:v>behavioral_regression_candidate</x:v>
      </x:c>
      <x:c r="K423" s="23" t="str">
        <x:v>legacy_output_unverified</x:v>
      </x:c>
      <x:c r="L423" s="23" t="str"/>
      <x:c r="M423" s="23" t="str"/>
    </x:row>
    <x:row r="424">
      <x:c r="A424" s="23" t="str">
        <x:v>LT-0423</x:v>
      </x:c>
      <x:c r="B424" s="23" t="str">
        <x:v>Ing Pairings- Mollusks.xlsx</x:v>
      </x:c>
      <x:c r="C424" s="23" t="str">
        <x:v>Sheet1</x:v>
      </x:c>
      <x:c r="D424" s="23" t="str">
        <x:v>mollusks</x:v>
      </x:c>
      <x:c r="E424" s="23" t="str">
        <x:v>mollusks</x:v>
      </x:c>
      <x:c r="F424" s="23" t="str">
        <x:v>family:seafood</x:v>
      </x:c>
      <x:c r="G424" s="23" t="str">
        <x:v>vanilla</x:v>
      </x:c>
      <x:c r="H424" s="23" t="str"/>
      <x:c r="I424" s="23" t="str"/>
      <x:c r="J424" s="23" t="str">
        <x:v>behavioral_regression_candidate</x:v>
      </x:c>
      <x:c r="K424" s="23" t="str">
        <x:v>legacy_output_unverified</x:v>
      </x:c>
      <x:c r="L424" s="23" t="str"/>
      <x:c r="M424" s="23" t="str"/>
    </x:row>
    <x:row r="425">
      <x:c r="A425" s="23" t="str">
        <x:v>LT-0424</x:v>
      </x:c>
      <x:c r="B425" s="23" t="str">
        <x:v>Ing Pairings- Mollusks.xlsx</x:v>
      </x:c>
      <x:c r="C425" s="23" t="str">
        <x:v>Sheet1</x:v>
      </x:c>
      <x:c r="D425" s="23" t="str">
        <x:v>mollusks</x:v>
      </x:c>
      <x:c r="E425" s="23" t="str">
        <x:v>mollusks</x:v>
      </x:c>
      <x:c r="F425" s="23" t="str">
        <x:v>family:seafood</x:v>
      </x:c>
      <x:c r="G425" s="23" t="str">
        <x:v>capsicum</x:v>
      </x:c>
      <x:c r="H425" s="23" t="str"/>
      <x:c r="I425" s="23" t="str"/>
      <x:c r="J425" s="23" t="str">
        <x:v>behavioral_regression_candidate</x:v>
      </x:c>
      <x:c r="K425" s="23" t="str">
        <x:v>legacy_output_unverified</x:v>
      </x:c>
      <x:c r="L425" s="23" t="str"/>
      <x:c r="M425" s="23" t="str"/>
    </x:row>
    <x:row r="426">
      <x:c r="A426" s="23" t="str">
        <x:v>LT-0425</x:v>
      </x:c>
      <x:c r="B426" s="23" t="str">
        <x:v>Ing Pairings- Mollusks.xlsx</x:v>
      </x:c>
      <x:c r="C426" s="23" t="str">
        <x:v>Sheet1</x:v>
      </x:c>
      <x:c r="D426" s="23" t="str">
        <x:v>mollusks</x:v>
      </x:c>
      <x:c r="E426" s="23" t="str">
        <x:v>mollusks</x:v>
      </x:c>
      <x:c r="F426" s="23" t="str">
        <x:v>family:seafood</x:v>
      </x:c>
      <x:c r="G426" s="23" t="str">
        <x:v>coriander</x:v>
      </x:c>
      <x:c r="H426" s="23" t="str"/>
      <x:c r="I426" s="23" t="str"/>
      <x:c r="J426" s="23" t="str">
        <x:v>behavioral_regression_candidate</x:v>
      </x:c>
      <x:c r="K426" s="23" t="str">
        <x:v>legacy_output_unverified</x:v>
      </x:c>
      <x:c r="L426" s="23" t="str"/>
      <x:c r="M426" s="23" t="str"/>
    </x:row>
    <x:row r="427">
      <x:c r="A427" s="23" t="str">
        <x:v>LT-0426</x:v>
      </x:c>
      <x:c r="B427" s="23" t="str">
        <x:v>Ing Pairings- Mollusks.xlsx</x:v>
      </x:c>
      <x:c r="C427" s="23" t="str">
        <x:v>Sheet1</x:v>
      </x:c>
      <x:c r="D427" s="23" t="str">
        <x:v>mollusks</x:v>
      </x:c>
      <x:c r="E427" s="23" t="str">
        <x:v>mollusks</x:v>
      </x:c>
      <x:c r="F427" s="23" t="str">
        <x:v>family:seafood</x:v>
      </x:c>
      <x:c r="G427" s="23" t="str">
        <x:v>crab</x:v>
      </x:c>
      <x:c r="H427" s="23" t="str"/>
      <x:c r="I427" s="23" t="str"/>
      <x:c r="J427" s="23" t="str">
        <x:v>behavioral_regression_candidate</x:v>
      </x:c>
      <x:c r="K427" s="23" t="str">
        <x:v>legacy_output_unverified</x:v>
      </x:c>
      <x:c r="L427" s="23" t="str"/>
      <x:c r="M427" s="23" t="str"/>
    </x:row>
    <x:row r="428">
      <x:c r="A428" s="23" t="str">
        <x:v>LT-0427</x:v>
      </x:c>
      <x:c r="B428" s="23" t="str">
        <x:v>Ing Pairings- Mollusks.xlsx</x:v>
      </x:c>
      <x:c r="C428" s="23" t="str">
        <x:v>Sheet1</x:v>
      </x:c>
      <x:c r="D428" s="23" t="str">
        <x:v>mollusks</x:v>
      </x:c>
      <x:c r="E428" s="23" t="str">
        <x:v>mollusks</x:v>
      </x:c>
      <x:c r="F428" s="23" t="str">
        <x:v>family:seafood</x:v>
      </x:c>
      <x:c r="G428" s="23" t="str">
        <x:v>lamb</x:v>
      </x:c>
      <x:c r="H428" s="23" t="str"/>
      <x:c r="I428" s="23" t="str"/>
      <x:c r="J428" s="23" t="str">
        <x:v>behavioral_regression_candidate</x:v>
      </x:c>
      <x:c r="K428" s="23" t="str">
        <x:v>legacy_output_unverified</x:v>
      </x:c>
      <x:c r="L428" s="23" t="str"/>
      <x:c r="M428" s="23" t="str"/>
    </x:row>
    <x:row r="429">
      <x:c r="A429" s="23" t="str">
        <x:v>LT-0428</x:v>
      </x:c>
      <x:c r="B429" s="23" t="str">
        <x:v>Ing Pairings- Mollusks.xlsx</x:v>
      </x:c>
      <x:c r="C429" s="23" t="str">
        <x:v>Sheet1</x:v>
      </x:c>
      <x:c r="D429" s="23" t="str">
        <x:v>mollusks</x:v>
      </x:c>
      <x:c r="E429" s="23" t="str">
        <x:v>mollusks</x:v>
      </x:c>
      <x:c r="F429" s="23" t="str">
        <x:v>family:seafood</x:v>
      </x:c>
      <x:c r="G429" s="23" t="str">
        <x:v>rice</x:v>
      </x:c>
      <x:c r="H429" s="23" t="str"/>
      <x:c r="I429" s="23" t="str"/>
      <x:c r="J429" s="23" t="str">
        <x:v>behavioral_regression_candidate</x:v>
      </x:c>
      <x:c r="K429" s="23" t="str">
        <x:v>legacy_output_unverified</x:v>
      </x:c>
      <x:c r="L429" s="23" t="str"/>
      <x:c r="M429" s="23" t="str"/>
    </x:row>
    <x:row r="430">
      <x:c r="A430" s="23" t="str">
        <x:v>LT-0429</x:v>
      </x:c>
      <x:c r="B430" s="23" t="str">
        <x:v>Ing Pairings- Mollusks.xlsx</x:v>
      </x:c>
      <x:c r="C430" s="23" t="str">
        <x:v>Sheet1</x:v>
      </x:c>
      <x:c r="D430" s="23" t="str">
        <x:v>mollusks</x:v>
      </x:c>
      <x:c r="E430" s="23" t="str">
        <x:v>mollusks</x:v>
      </x:c>
      <x:c r="F430" s="23" t="str">
        <x:v>family:seafood</x:v>
      </x:c>
      <x:c r="G430" s="23" t="str">
        <x:v>celery root</x:v>
      </x:c>
      <x:c r="H430" s="23" t="str"/>
      <x:c r="I430" s="23" t="str"/>
      <x:c r="J430" s="23" t="str">
        <x:v>behavioral_regression_candidate</x:v>
      </x:c>
      <x:c r="K430" s="23" t="str">
        <x:v>legacy_output_unverified</x:v>
      </x:c>
      <x:c r="L430" s="23" t="str"/>
      <x:c r="M430" s="23" t="str"/>
    </x:row>
    <x:row r="431">
      <x:c r="A431" s="23" t="str">
        <x:v>LT-0430</x:v>
      </x:c>
      <x:c r="B431" s="23" t="str">
        <x:v>Ing Pairings- Mollusks.xlsx</x:v>
      </x:c>
      <x:c r="C431" s="23" t="str">
        <x:v>Sheet1</x:v>
      </x:c>
      <x:c r="D431" s="23" t="str">
        <x:v>mollusks</x:v>
      </x:c>
      <x:c r="E431" s="23" t="str">
        <x:v>mollusks</x:v>
      </x:c>
      <x:c r="F431" s="23" t="str">
        <x:v>family:seafood</x:v>
      </x:c>
      <x:c r="G431" s="23" t="str">
        <x:v>saffron</x:v>
      </x:c>
      <x:c r="H431" s="23" t="str"/>
      <x:c r="I431" s="23" t="str"/>
      <x:c r="J431" s="23" t="str">
        <x:v>behavioral_regression_candidate</x:v>
      </x:c>
      <x:c r="K431" s="23" t="str">
        <x:v>legacy_output_unverified</x:v>
      </x:c>
      <x:c r="L431" s="23" t="str"/>
      <x:c r="M431" s="23" t="str"/>
    </x:row>
    <x:row r="432">
      <x:c r="A432" s="23" t="str">
        <x:v>LT-0431</x:v>
      </x:c>
      <x:c r="B432" s="23" t="str">
        <x:v>Ing Pairings- Pork.xlsx</x:v>
      </x:c>
      <x:c r="C432" s="23" t="str">
        <x:v>Sheet1</x:v>
      </x:c>
      <x:c r="D432" s="23" t="str">
        <x:v>pork</x:v>
      </x:c>
      <x:c r="E432" s="23" t="str">
        <x:v>pork</x:v>
      </x:c>
      <x:c r="F432" s="23" t="str">
        <x:v>existing:vcf</x:v>
      </x:c>
      <x:c r="G432" s="23" t="str">
        <x:v>apple</x:v>
      </x:c>
      <x:c r="H432" s="23" t="str"/>
      <x:c r="I432" s="23" t="str"/>
      <x:c r="J432" s="23" t="str">
        <x:v>behavioral_regression_candidate</x:v>
      </x:c>
      <x:c r="K432" s="23" t="str">
        <x:v>legacy_output_unverified</x:v>
      </x:c>
      <x:c r="L432" s="23" t="str"/>
      <x:c r="M432" s="23" t="str"/>
    </x:row>
    <x:row r="433">
      <x:c r="A433" s="23" t="str">
        <x:v>LT-0432</x:v>
      </x:c>
      <x:c r="B433" s="23" t="str">
        <x:v>Ing Pairings- Pork.xlsx</x:v>
      </x:c>
      <x:c r="C433" s="23" t="str">
        <x:v>Sheet1</x:v>
      </x:c>
      <x:c r="D433" s="23" t="str">
        <x:v>pork</x:v>
      </x:c>
      <x:c r="E433" s="23" t="str">
        <x:v>pork</x:v>
      </x:c>
      <x:c r="F433" s="23" t="str">
        <x:v>existing:vcf</x:v>
      </x:c>
      <x:c r="G433" s="23" t="str">
        <x:v>asparagus</x:v>
      </x:c>
      <x:c r="H433" s="23" t="str">
        <x:v>Floral- Camomile</x:v>
      </x:c>
      <x:c r="I433" s="23" t="n">
        <x:v>9</x:v>
      </x:c>
      <x:c r="J433" s="23" t="str">
        <x:v>behavioral_regression_candidate</x:v>
      </x:c>
      <x:c r="K433" s="23" t="str">
        <x:v>legacy_output_unverified</x:v>
      </x:c>
      <x:c r="L433" s="23" t="str"/>
      <x:c r="M433" s="23" t="str"/>
    </x:row>
    <x:row r="434">
      <x:c r="A434" s="23" t="str">
        <x:v>LT-0433</x:v>
      </x:c>
      <x:c r="B434" s="23" t="str">
        <x:v>Ing Pairings- Pork.xlsx</x:v>
      </x:c>
      <x:c r="C434" s="23" t="str">
        <x:v>Sheet1</x:v>
      </x:c>
      <x:c r="D434" s="23" t="str">
        <x:v>pork</x:v>
      </x:c>
      <x:c r="E434" s="23" t="str">
        <x:v>pork</x:v>
      </x:c>
      <x:c r="F434" s="23" t="str">
        <x:v>existing:vcf</x:v>
      </x:c>
      <x:c r="G434" s="23" t="str">
        <x:v>beef</x:v>
      </x:c>
      <x:c r="H434" s="23" t="str">
        <x:v>Lavender Honey</x:v>
      </x:c>
      <x:c r="I434" s="23" t="n">
        <x:v>14.3</x:v>
      </x:c>
      <x:c r="J434" s="23" t="str">
        <x:v>behavioral_regression_candidate</x:v>
      </x:c>
      <x:c r="K434" s="23" t="str">
        <x:v>legacy_output_unverified</x:v>
      </x:c>
      <x:c r="L434" s="23" t="str"/>
      <x:c r="M434" s="23" t="str"/>
    </x:row>
    <x:row r="435">
      <x:c r="A435" s="23" t="str">
        <x:v>LT-0434</x:v>
      </x:c>
      <x:c r="B435" s="23" t="str">
        <x:v>Ing Pairings- Pork.xlsx</x:v>
      </x:c>
      <x:c r="C435" s="23" t="str">
        <x:v>Sheet1</x:v>
      </x:c>
      <x:c r="D435" s="23" t="str">
        <x:v>pork</x:v>
      </x:c>
      <x:c r="E435" s="23" t="str">
        <x:v>pork</x:v>
      </x:c>
      <x:c r="F435" s="23" t="str">
        <x:v>existing:vcf</x:v>
      </x:c>
      <x:c r="G435" s="23" t="str">
        <x:v>buckwheat</x:v>
      </x:c>
      <x:c r="H435" s="23" t="str">
        <x:v>Elderberry</x:v>
      </x:c>
      <x:c r="I435" s="23" t="n">
        <x:v>15.2</x:v>
      </x:c>
      <x:c r="J435" s="23" t="str">
        <x:v>behavioral_regression_candidate</x:v>
      </x:c>
      <x:c r="K435" s="23" t="str">
        <x:v>legacy_output_unverified</x:v>
      </x:c>
      <x:c r="L435" s="23" t="str"/>
      <x:c r="M435" s="23" t="str"/>
    </x:row>
    <x:row r="436">
      <x:c r="A436" s="23" t="str">
        <x:v>LT-0435</x:v>
      </x:c>
      <x:c r="B436" s="23" t="str">
        <x:v>Ing Pairings- Pork.xlsx</x:v>
      </x:c>
      <x:c r="C436" s="23" t="str">
        <x:v>Sheet1</x:v>
      </x:c>
      <x:c r="D436" s="23" t="str">
        <x:v>pork</x:v>
      </x:c>
      <x:c r="E436" s="23" t="str">
        <x:v>pork</x:v>
      </x:c>
      <x:c r="F436" s="23" t="str">
        <x:v>existing:vcf</x:v>
      </x:c>
      <x:c r="G436" s="23" t="str">
        <x:v>capsicum</x:v>
      </x:c>
      <x:c r="H436" s="23" t="str">
        <x:v>Citrus- Citrus</x:v>
      </x:c>
      <x:c r="I436" s="23" t="n">
        <x:v>15.2</x:v>
      </x:c>
      <x:c r="J436" s="23" t="str">
        <x:v>behavioral_regression_candidate</x:v>
      </x:c>
      <x:c r="K436" s="23" t="str">
        <x:v>legacy_output_unverified</x:v>
      </x:c>
      <x:c r="L436" s="23" t="str"/>
      <x:c r="M436" s="23" t="str"/>
    </x:row>
    <x:row r="437">
      <x:c r="A437" s="23" t="str">
        <x:v>LT-0436</x:v>
      </x:c>
      <x:c r="B437" s="23" t="str">
        <x:v>Ing Pairings- Pork.xlsx</x:v>
      </x:c>
      <x:c r="C437" s="23" t="str">
        <x:v>Sheet1</x:v>
      </x:c>
      <x:c r="D437" s="23" t="str">
        <x:v>pork</x:v>
      </x:c>
      <x:c r="E437" s="23" t="str">
        <x:v>pork</x:v>
      </x:c>
      <x:c r="F437" s="23" t="str">
        <x:v>existing:vcf</x:v>
      </x:c>
      <x:c r="G437" s="23" t="str">
        <x:v>cardamom</x:v>
      </x:c>
      <x:c r="H437" s="23" t="str">
        <x:v>Tropical- Coconut</x:v>
      </x:c>
      <x:c r="I437" s="23" t="n">
        <x:v>24.2</x:v>
      </x:c>
      <x:c r="J437" s="23" t="str">
        <x:v>behavioral_regression_candidate</x:v>
      </x:c>
      <x:c r="K437" s="23" t="str">
        <x:v>legacy_output_unverified</x:v>
      </x:c>
      <x:c r="L437" s="23" t="str"/>
      <x:c r="M437" s="23" t="str"/>
    </x:row>
    <x:row r="438">
      <x:c r="A438" s="23" t="str">
        <x:v>LT-0437</x:v>
      </x:c>
      <x:c r="B438" s="23" t="str">
        <x:v>Ing Pairings- Pork.xlsx</x:v>
      </x:c>
      <x:c r="C438" s="23" t="str">
        <x:v>Sheet1</x:v>
      </x:c>
      <x:c r="D438" s="23" t="str">
        <x:v>pork</x:v>
      </x:c>
      <x:c r="E438" s="23" t="str">
        <x:v>pork</x:v>
      </x:c>
      <x:c r="F438" s="23" t="str">
        <x:v>existing:vcf</x:v>
      </x:c>
      <x:c r="G438" s="23" t="str">
        <x:v>cheese</x:v>
      </x:c>
      <x:c r="H438" s="23" t="str">
        <x:v>Melon- Melon</x:v>
      </x:c>
      <x:c r="I438" s="23" t="n">
        <x:v>16.7</x:v>
      </x:c>
      <x:c r="J438" s="23" t="str">
        <x:v>behavioral_regression_candidate</x:v>
      </x:c>
      <x:c r="K438" s="23" t="str">
        <x:v>legacy_output_unverified</x:v>
      </x:c>
      <x:c r="L438" s="23" t="str"/>
      <x:c r="M438" s="23" t="str"/>
    </x:row>
    <x:row r="439">
      <x:c r="A439" s="23" t="str">
        <x:v>LT-0438</x:v>
      </x:c>
      <x:c r="B439" s="23" t="str">
        <x:v>Ing Pairings- Pork.xlsx</x:v>
      </x:c>
      <x:c r="C439" s="23" t="str">
        <x:v>Sheet1</x:v>
      </x:c>
      <x:c r="D439" s="23" t="str">
        <x:v>pork</x:v>
      </x:c>
      <x:c r="E439" s="23" t="str">
        <x:v>pork</x:v>
      </x:c>
      <x:c r="F439" s="23" t="str">
        <x:v>existing:vcf</x:v>
      </x:c>
      <x:c r="G439" s="23" t="str">
        <x:v>chicken</x:v>
      </x:c>
      <x:c r="H439" s="23" t="str">
        <x:v>Tree Fruit- Apple</x:v>
      </x:c>
      <x:c r="I439" s="23" t="n">
        <x:v>16.7</x:v>
      </x:c>
      <x:c r="J439" s="23" t="str">
        <x:v>behavioral_regression_candidate</x:v>
      </x:c>
      <x:c r="K439" s="23" t="str">
        <x:v>legacy_output_unverified</x:v>
      </x:c>
      <x:c r="L439" s="23" t="str"/>
      <x:c r="M439" s="23" t="str"/>
    </x:row>
    <x:row r="440">
      <x:c r="A440" s="23" t="str">
        <x:v>LT-0439</x:v>
      </x:c>
      <x:c r="B440" s="23" t="str">
        <x:v>Ing Pairings- Pork.xlsx</x:v>
      </x:c>
      <x:c r="C440" s="23" t="str">
        <x:v>Sheet1</x:v>
      </x:c>
      <x:c r="D440" s="23" t="str">
        <x:v>pork</x:v>
      </x:c>
      <x:c r="E440" s="23" t="str">
        <x:v>pork</x:v>
      </x:c>
      <x:c r="F440" s="23" t="str">
        <x:v>existing:vcf</x:v>
      </x:c>
      <x:c r="G440" s="23" t="str">
        <x:v>citrus</x:v>
      </x:c>
      <x:c r="H440" s="23" t="str">
        <x:v>Apricot</x:v>
      </x:c>
      <x:c r="I440" s="23" t="n">
        <x:v>13.6</x:v>
      </x:c>
      <x:c r="J440" s="23" t="str">
        <x:v>behavioral_regression_candidate</x:v>
      </x:c>
      <x:c r="K440" s="23" t="str">
        <x:v>legacy_output_unverified</x:v>
      </x:c>
      <x:c r="L440" s="23" t="str"/>
      <x:c r="M440" s="23" t="str"/>
    </x:row>
    <x:row r="441">
      <x:c r="A441" s="23" t="str">
        <x:v>LT-0440</x:v>
      </x:c>
      <x:c r="B441" s="23" t="str">
        <x:v>Ing Pairings- Pork.xlsx</x:v>
      </x:c>
      <x:c r="C441" s="23" t="str">
        <x:v>Sheet1</x:v>
      </x:c>
      <x:c r="D441" s="23" t="str">
        <x:v>pork</x:v>
      </x:c>
      <x:c r="E441" s="23" t="str">
        <x:v>pork</x:v>
      </x:c>
      <x:c r="F441" s="23" t="str">
        <x:v>existing:vcf</x:v>
      </x:c>
      <x:c r="G441" s="23" t="str">
        <x:v>clam</x:v>
      </x:c>
      <x:c r="H441" s="23" t="str">
        <x:v>Nectarine</x:v>
      </x:c>
      <x:c r="I441" s="23" t="n">
        <x:v>12.1</x:v>
      </x:c>
      <x:c r="J441" s="23" t="str">
        <x:v>behavioral_regression_candidate</x:v>
      </x:c>
      <x:c r="K441" s="23" t="str">
        <x:v>legacy_output_unverified</x:v>
      </x:c>
      <x:c r="L441" s="23" t="str"/>
      <x:c r="M441" s="23" t="str"/>
    </x:row>
    <x:row r="442">
      <x:c r="A442" s="23" t="str">
        <x:v>LT-0441</x:v>
      </x:c>
      <x:c r="B442" s="23" t="str">
        <x:v>Ing Pairings- Pork.xlsx</x:v>
      </x:c>
      <x:c r="C442" s="23" t="str">
        <x:v>Sheet1</x:v>
      </x:c>
      <x:c r="D442" s="23" t="str">
        <x:v>pork</x:v>
      </x:c>
      <x:c r="E442" s="23" t="str">
        <x:v>pork</x:v>
      </x:c>
      <x:c r="F442" s="23" t="str">
        <x:v>existing:vcf</x:v>
      </x:c>
      <x:c r="G442" s="23" t="str">
        <x:v>cocoa</x:v>
      </x:c>
      <x:c r="H442" s="23" t="str">
        <x:v>Berry- Strawberry</x:v>
      </x:c>
      <x:c r="I442" s="23" t="n">
        <x:v>16.7</x:v>
      </x:c>
      <x:c r="J442" s="23" t="str">
        <x:v>behavioral_regression_candidate</x:v>
      </x:c>
      <x:c r="K442" s="23" t="str">
        <x:v>legacy_output_unverified</x:v>
      </x:c>
      <x:c r="L442" s="23" t="str"/>
      <x:c r="M442" s="23" t="str"/>
    </x:row>
    <x:row r="443">
      <x:c r="A443" s="23" t="str">
        <x:v>LT-0442</x:v>
      </x:c>
      <x:c r="B443" s="23" t="str">
        <x:v>Ing Pairings- Pork.xlsx</x:v>
      </x:c>
      <x:c r="C443" s="23" t="str">
        <x:v>Sheet1</x:v>
      </x:c>
      <x:c r="D443" s="23" t="str">
        <x:v>pork</x:v>
      </x:c>
      <x:c r="E443" s="23" t="str">
        <x:v>pork</x:v>
      </x:c>
      <x:c r="F443" s="23" t="str">
        <x:v>existing:vcf</x:v>
      </x:c>
      <x:c r="G443" s="23" t="str">
        <x:v>dill</x:v>
      </x:c>
      <x:c r="H443" s="23" t="str">
        <x:v>Vaccinium</x:v>
      </x:c>
      <x:c r="I443" s="23" t="n">
        <x:v>19.7</x:v>
      </x:c>
      <x:c r="J443" s="23" t="str">
        <x:v>behavioral_regression_candidate</x:v>
      </x:c>
      <x:c r="K443" s="23" t="str">
        <x:v>legacy_output_unverified</x:v>
      </x:c>
      <x:c r="L443" s="23" t="str"/>
      <x:c r="M443" s="23" t="str"/>
    </x:row>
    <x:row r="444">
      <x:c r="A444" s="23" t="str">
        <x:v>LT-0443</x:v>
      </x:c>
      <x:c r="B444" s="23" t="str">
        <x:v>Ing Pairings- Pork.xlsx</x:v>
      </x:c>
      <x:c r="C444" s="23" t="str">
        <x:v>Sheet1</x:v>
      </x:c>
      <x:c r="D444" s="23" t="str">
        <x:v>pork</x:v>
      </x:c>
      <x:c r="E444" s="23" t="str">
        <x:v>pork</x:v>
      </x:c>
      <x:c r="F444" s="23" t="str">
        <x:v>existing:vcf</x:v>
      </x:c>
      <x:c r="G444" s="23" t="str">
        <x:v>fig</x:v>
      </x:c>
      <x:c r="H444" s="23" t="str">
        <x:v>Dried Fruit- Strawberry Jam</x:v>
      </x:c>
      <x:c r="I444" s="23" t="n">
        <x:v>10.6</x:v>
      </x:c>
      <x:c r="J444" s="23" t="str">
        <x:v>behavioral_regression_candidate</x:v>
      </x:c>
      <x:c r="K444" s="23" t="str">
        <x:v>legacy_output_unverified</x:v>
      </x:c>
      <x:c r="L444" s="23" t="str"/>
      <x:c r="M444" s="23" t="str"/>
    </x:row>
    <x:row r="445">
      <x:c r="A445" s="23" t="str">
        <x:v>LT-0444</x:v>
      </x:c>
      <x:c r="B445" s="23" t="str">
        <x:v>Ing Pairings- Pork.xlsx</x:v>
      </x:c>
      <x:c r="C445" s="23" t="str">
        <x:v>Sheet1</x:v>
      </x:c>
      <x:c r="D445" s="23" t="str">
        <x:v>pork</x:v>
      </x:c>
      <x:c r="E445" s="23" t="str">
        <x:v>pork</x:v>
      </x:c>
      <x:c r="F445" s="23" t="str">
        <x:v>existing:vcf</x:v>
      </x:c>
      <x:c r="G445" s="23" t="str">
        <x:v>hazelnut</x:v>
      </x:c>
      <x:c r="H445" s="23" t="str">
        <x:v>Prune</x:v>
      </x:c>
      <x:c r="I445" s="23" t="n">
        <x:v>4.5</x:v>
      </x:c>
      <x:c r="J445" s="23" t="str">
        <x:v>behavioral_regression_candidate</x:v>
      </x:c>
      <x:c r="K445" s="23" t="str">
        <x:v>legacy_output_unverified</x:v>
      </x:c>
      <x:c r="L445" s="23" t="str"/>
      <x:c r="M445" s="23" t="str"/>
    </x:row>
    <x:row r="446">
      <x:c r="A446" s="23" t="str">
        <x:v>LT-0445</x:v>
      </x:c>
      <x:c r="B446" s="23" t="str">
        <x:v>Ing Pairings- Pork.xlsx</x:v>
      </x:c>
      <x:c r="C446" s="23" t="str">
        <x:v>Sheet1</x:v>
      </x:c>
      <x:c r="D446" s="23" t="str">
        <x:v>pork</x:v>
      </x:c>
      <x:c r="E446" s="23" t="str">
        <x:v>pork</x:v>
      </x:c>
      <x:c r="F446" s="23" t="str">
        <x:v>existing:vcf</x:v>
      </x:c>
      <x:c r="G446" s="23" t="str">
        <x:v>garpe</x:v>
      </x:c>
      <x:c r="H446" s="23" t="str">
        <x:v>Green- Celery</x:v>
      </x:c>
      <x:c r="I446" s="23" t="n">
        <x:v>12.1</x:v>
      </x:c>
      <x:c r="J446" s="23" t="str">
        <x:v>behavioral_regression_candidate</x:v>
      </x:c>
      <x:c r="K446" s="23" t="str">
        <x:v>legacy_output_unverified</x:v>
      </x:c>
      <x:c r="L446" s="23" t="str"/>
      <x:c r="M446" s="23" t="str"/>
    </x:row>
    <x:row r="447">
      <x:c r="A447" s="23" t="str">
        <x:v>LT-0446</x:v>
      </x:c>
      <x:c r="B447" s="23" t="str">
        <x:v>Ing Pairings- Pork.xlsx</x:v>
      </x:c>
      <x:c r="C447" s="23" t="str">
        <x:v>Sheet1</x:v>
      </x:c>
      <x:c r="D447" s="23" t="str">
        <x:v>pork</x:v>
      </x:c>
      <x:c r="E447" s="23" t="str">
        <x:v>pork</x:v>
      </x:c>
      <x:c r="F447" s="23" t="str">
        <x:v>existing:vcf</x:v>
      </x:c>
      <x:c r="G447" s="23" t="str">
        <x:v>honey</x:v>
      </x:c>
      <x:c r="H447" s="23" t="str">
        <x:v>Lettuce</x:v>
      </x:c>
      <x:c r="I447" s="23" t="n">
        <x:v>13.6</x:v>
      </x:c>
      <x:c r="J447" s="23" t="str">
        <x:v>behavioral_regression_candidate</x:v>
      </x:c>
      <x:c r="K447" s="23" t="str">
        <x:v>legacy_output_unverified</x:v>
      </x:c>
      <x:c r="L447" s="23" t="str"/>
      <x:c r="M447" s="23" t="str"/>
    </x:row>
    <x:row r="448">
      <x:c r="A448" s="23" t="str">
        <x:v>LT-0447</x:v>
      </x:c>
      <x:c r="B448" s="23" t="str">
        <x:v>Ing Pairings- Pork.xlsx</x:v>
      </x:c>
      <x:c r="C448" s="23" t="str">
        <x:v>Sheet1</x:v>
      </x:c>
      <x:c r="D448" s="23" t="str">
        <x:v>pork</x:v>
      </x:c>
      <x:c r="E448" s="23" t="str">
        <x:v>pork</x:v>
      </x:c>
      <x:c r="F448" s="23" t="str">
        <x:v>existing:vcf</x:v>
      </x:c>
      <x:c r="G448" s="23" t="str">
        <x:v>kiwi</x:v>
      </x:c>
      <x:c r="H448" s="23" t="str">
        <x:v>Herbaceous- Parsley</x:v>
      </x:c>
      <x:c r="I448" s="23" t="n">
        <x:v>4.5</x:v>
      </x:c>
      <x:c r="J448" s="23" t="str">
        <x:v>behavioral_regression_candidate</x:v>
      </x:c>
      <x:c r="K448" s="23" t="str">
        <x:v>legacy_output_unverified</x:v>
      </x:c>
      <x:c r="L448" s="23" t="str"/>
      <x:c r="M448" s="23" t="str"/>
    </x:row>
    <x:row r="449">
      <x:c r="A449" s="23" t="str">
        <x:v>LT-0448</x:v>
      </x:c>
      <x:c r="B449" s="23" t="str">
        <x:v>Ing Pairings- Pork.xlsx</x:v>
      </x:c>
      <x:c r="C449" s="23" t="str">
        <x:v>Sheet1</x:v>
      </x:c>
      <x:c r="D449" s="23" t="str">
        <x:v>pork</x:v>
      </x:c>
      <x:c r="E449" s="23" t="str">
        <x:v>pork</x:v>
      </x:c>
      <x:c r="F449" s="23" t="str">
        <x:v>existing:vcf</x:v>
      </x:c>
      <x:c r="G449" s="23" t="str">
        <x:v>litchi</x:v>
      </x:c>
      <x:c r="H449" s="23" t="str">
        <x:v>ocimum basilicum</x:v>
      </x:c>
      <x:c r="I449" s="23" t="n">
        <x:v>6</x:v>
      </x:c>
      <x:c r="J449" s="23" t="str">
        <x:v>behavioral_regression_candidate</x:v>
      </x:c>
      <x:c r="K449" s="23" t="str">
        <x:v>legacy_output_unverified</x:v>
      </x:c>
      <x:c r="L449" s="23" t="str"/>
      <x:c r="M449" s="23" t="str"/>
    </x:row>
    <x:row r="450">
      <x:c r="A450" s="23" t="str">
        <x:v>LT-0449</x:v>
      </x:c>
      <x:c r="B450" s="23" t="str">
        <x:v>Ing Pairings- Pork.xlsx</x:v>
      </x:c>
      <x:c r="C450" s="23" t="str">
        <x:v>Sheet1</x:v>
      </x:c>
      <x:c r="D450" s="23" t="str">
        <x:v>pork</x:v>
      </x:c>
      <x:c r="E450" s="23" t="str">
        <x:v>pork</x:v>
      </x:c>
      <x:c r="F450" s="23" t="str">
        <x:v>existing:vcf</x:v>
      </x:c>
      <x:c r="G450" s="23" t="str">
        <x:v>melon</x:v>
      </x:c>
      <x:c r="H450" s="23" t="str">
        <x:v>Earthy- Mushroom</x:v>
      </x:c>
      <x:c r="I450" s="23" t="n">
        <x:v>37.9</x:v>
      </x:c>
      <x:c r="J450" s="23" t="str">
        <x:v>behavioral_regression_candidate</x:v>
      </x:c>
      <x:c r="K450" s="23" t="str">
        <x:v>legacy_output_unverified</x:v>
      </x:c>
      <x:c r="L450" s="23" t="str"/>
      <x:c r="M450" s="23" t="str"/>
    </x:row>
    <x:row r="451">
      <x:c r="A451" s="23" t="str">
        <x:v>LT-0450</x:v>
      </x:c>
      <x:c r="B451" s="23" t="str">
        <x:v>Ing Pairings- Pork.xlsx</x:v>
      </x:c>
      <x:c r="C451" s="23" t="str">
        <x:v>Sheet1</x:v>
      </x:c>
      <x:c r="D451" s="23" t="str">
        <x:v>pork</x:v>
      </x:c>
      <x:c r="E451" s="23" t="str">
        <x:v>pork</x:v>
      </x:c>
      <x:c r="F451" s="23" t="str">
        <x:v>existing:vcf</x:v>
      </x:c>
      <x:c r="G451" s="23" t="str">
        <x:v>milk</x:v>
      </x:c>
      <x:c r="H451" s="23" t="str">
        <x:v>Wood- Rosemary</x:v>
      </x:c>
      <x:c r="I451" s="23" t="n">
        <x:v>3</x:v>
      </x:c>
      <x:c r="J451" s="23" t="str">
        <x:v>behavioral_regression_candidate</x:v>
      </x:c>
      <x:c r="K451" s="23" t="str">
        <x:v>legacy_output_unverified</x:v>
      </x:c>
      <x:c r="L451" s="23" t="str"/>
      <x:c r="M451" s="23" t="str"/>
    </x:row>
    <x:row r="452">
      <x:c r="A452" s="23" t="str">
        <x:v>LT-0451</x:v>
      </x:c>
      <x:c r="B452" s="23" t="str">
        <x:v>Ing Pairings- Pork.xlsx</x:v>
      </x:c>
      <x:c r="C452" s="23" t="str">
        <x:v>Sheet1</x:v>
      </x:c>
      <x:c r="D452" s="23" t="str">
        <x:v>pork</x:v>
      </x:c>
      <x:c r="E452" s="23" t="str">
        <x:v>pork</x:v>
      </x:c>
      <x:c r="F452" s="23" t="str">
        <x:v>existing:vcf</x:v>
      </x:c>
      <x:c r="G452" s="23" t="str">
        <x:v>mustard</x:v>
      </x:c>
      <x:c r="H452" s="23" t="str">
        <x:v>Ginger</x:v>
      </x:c>
      <x:c r="I452" s="23" t="n">
        <x:v>7.5</x:v>
      </x:c>
      <x:c r="J452" s="23" t="str">
        <x:v>behavioral_regression_candidate</x:v>
      </x:c>
      <x:c r="K452" s="23" t="str">
        <x:v>legacy_output_unverified</x:v>
      </x:c>
      <x:c r="L452" s="23" t="str"/>
      <x:c r="M452" s="23" t="str"/>
    </x:row>
    <x:row r="453">
      <x:c r="A453" s="23" t="str">
        <x:v>LT-0452</x:v>
      </x:c>
      <x:c r="B453" s="23" t="str">
        <x:v>Ing Pairings- Pork.xlsx</x:v>
      </x:c>
      <x:c r="C453" s="23" t="str">
        <x:v>Sheet1</x:v>
      </x:c>
      <x:c r="D453" s="23" t="str">
        <x:v>pork</x:v>
      </x:c>
      <x:c r="E453" s="23" t="str">
        <x:v>pork</x:v>
      </x:c>
      <x:c r="F453" s="23" t="str">
        <x:v>existing:vcf</x:v>
      </x:c>
      <x:c r="G453" s="23" t="str">
        <x:v>olive</x:v>
      </x:c>
      <x:c r="H453" s="23" t="str">
        <x:v>Medicinal- Mastic</x:v>
      </x:c>
      <x:c r="I453" s="23" t="n">
        <x:v>9</x:v>
      </x:c>
      <x:c r="J453" s="23" t="str">
        <x:v>behavioral_regression_candidate</x:v>
      </x:c>
      <x:c r="K453" s="23" t="str">
        <x:v>legacy_output_unverified</x:v>
      </x:c>
      <x:c r="L453" s="23" t="str"/>
      <x:c r="M453" s="23" t="str"/>
    </x:row>
    <x:row r="454">
      <x:c r="A454" s="23" t="str">
        <x:v>LT-0453</x:v>
      </x:c>
      <x:c r="B454" s="23" t="str">
        <x:v>Ing Pairings- Pork.xlsx</x:v>
      </x:c>
      <x:c r="C454" s="23" t="str">
        <x:v>Sheet1</x:v>
      </x:c>
      <x:c r="D454" s="23" t="str">
        <x:v>pork</x:v>
      </x:c>
      <x:c r="E454" s="23" t="str">
        <x:v>pork</x:v>
      </x:c>
      <x:c r="F454" s="23" t="str">
        <x:v>existing:vcf</x:v>
      </x:c>
      <x:c r="G454" s="23" t="str">
        <x:v>raspberry</x:v>
      </x:c>
      <x:c r="H454" s="23" t="str">
        <x:v>Mentha</x:v>
      </x:c>
      <x:c r="I454" s="23" t="n">
        <x:v>16.7</x:v>
      </x:c>
      <x:c r="J454" s="23" t="str">
        <x:v>behavioral_regression_candidate</x:v>
      </x:c>
      <x:c r="K454" s="23" t="str">
        <x:v>legacy_output_unverified</x:v>
      </x:c>
      <x:c r="L454" s="23" t="str"/>
      <x:c r="M454" s="23" t="str"/>
    </x:row>
    <x:row r="455">
      <x:c r="A455" s="23" t="str">
        <x:v>LT-0454</x:v>
      </x:c>
      <x:c r="B455" s="23" t="str">
        <x:v>Ing Pairings- Pork.xlsx</x:v>
      </x:c>
      <x:c r="C455" s="23" t="str">
        <x:v>Sheet1</x:v>
      </x:c>
      <x:c r="D455" s="23" t="str">
        <x:v>pork</x:v>
      </x:c>
      <x:c r="E455" s="23" t="str">
        <x:v>pork</x:v>
      </x:c>
      <x:c r="F455" s="23" t="str">
        <x:v>existing:vcf</x:v>
      </x:c>
      <x:c r="G455" s="23" t="str">
        <x:v>sherry</x:v>
      </x:c>
      <x:c r="H455" s="23" t="str">
        <x:v>Spice- Pepper</x:v>
      </x:c>
      <x:c r="I455" s="23" t="n">
        <x:v>1.5</x:v>
      </x:c>
      <x:c r="J455" s="23" t="str">
        <x:v>behavioral_regression_candidate</x:v>
      </x:c>
      <x:c r="K455" s="23" t="str">
        <x:v>legacy_output_unverified</x:v>
      </x:c>
      <x:c r="L455" s="23" t="str"/>
      <x:c r="M455" s="23" t="str"/>
    </x:row>
    <x:row r="456">
      <x:c r="A456" s="23" t="str">
        <x:v>LT-0455</x:v>
      </x:c>
      <x:c r="B456" s="23" t="str">
        <x:v>Ing Pairings- Pork.xlsx</x:v>
      </x:c>
      <x:c r="C456" s="23" t="str">
        <x:v>Sheet1</x:v>
      </x:c>
      <x:c r="D456" s="23" t="str">
        <x:v>pork</x:v>
      </x:c>
      <x:c r="E456" s="23" t="str">
        <x:v>pork</x:v>
      </x:c>
      <x:c r="F456" s="23" t="str">
        <x:v>existing:vcf</x:v>
      </x:c>
      <x:c r="G456" s="23" t="str">
        <x:v>soy</x:v>
      </x:c>
      <x:c r="H456" s="23" t="str">
        <x:v>Cardamom</x:v>
      </x:c>
      <x:c r="I456" s="23" t="n">
        <x:v>10.6</x:v>
      </x:c>
      <x:c r="J456" s="23" t="str">
        <x:v>behavioral_regression_candidate</x:v>
      </x:c>
      <x:c r="K456" s="23" t="str">
        <x:v>legacy_output_unverified</x:v>
      </x:c>
      <x:c r="L456" s="23" t="str"/>
      <x:c r="M456" s="23" t="str"/>
    </x:row>
    <x:row r="457">
      <x:c r="A457" s="23" t="str">
        <x:v>LT-0456</x:v>
      </x:c>
      <x:c r="B457" s="23" t="str">
        <x:v>Ing Pairings- Pork.xlsx</x:v>
      </x:c>
      <x:c r="C457" s="23" t="str">
        <x:v>Sheet1</x:v>
      </x:c>
      <x:c r="D457" s="23" t="str">
        <x:v>pork</x:v>
      </x:c>
      <x:c r="E457" s="23" t="str">
        <x:v>pork</x:v>
      </x:c>
      <x:c r="F457" s="23" t="str">
        <x:v>existing:vcf</x:v>
      </x:c>
      <x:c r="G457" s="23" t="str">
        <x:v>tea</x:v>
      </x:c>
      <x:c r="H457" s="23" t="str">
        <x:v>Petrol- Oregano</x:v>
      </x:c>
      <x:c r="I457" s="23" t="n">
        <x:v>1.5</x:v>
      </x:c>
      <x:c r="J457" s="23" t="str">
        <x:v>behavioral_regression_candidate</x:v>
      </x:c>
      <x:c r="K457" s="23" t="str">
        <x:v>legacy_output_unverified</x:v>
      </x:c>
      <x:c r="L457" s="23" t="str"/>
      <x:c r="M457" s="23" t="str"/>
    </x:row>
    <x:row r="458">
      <x:c r="A458" s="23" t="str">
        <x:v>LT-0457</x:v>
      </x:c>
      <x:c r="B458" s="23" t="str">
        <x:v>Ing Pairings- Pork.xlsx</x:v>
      </x:c>
      <x:c r="C458" s="23" t="str">
        <x:v>Sheet1</x:v>
      </x:c>
      <x:c r="D458" s="23" t="str">
        <x:v>pork</x:v>
      </x:c>
      <x:c r="E458" s="23" t="str">
        <x:v>pork</x:v>
      </x:c>
      <x:c r="F458" s="23" t="str">
        <x:v>existing:vcf</x:v>
      </x:c>
      <x:c r="G458" s="23" t="str">
        <x:v>tomato</x:v>
      </x:c>
      <x:c r="H458" s="23" t="str">
        <x:v>Smoke- malt whisky</x:v>
      </x:c>
      <x:c r="I458" s="23" t="n">
        <x:v>25.8</x:v>
      </x:c>
      <x:c r="J458" s="23" t="str">
        <x:v>behavioral_regression_candidate</x:v>
      </x:c>
      <x:c r="K458" s="23" t="str">
        <x:v>legacy_output_unverified</x:v>
      </x:c>
      <x:c r="L458" s="23" t="str"/>
      <x:c r="M458" s="23" t="str"/>
    </x:row>
    <x:row r="459">
      <x:c r="A459" s="23" t="str">
        <x:v>LT-0458</x:v>
      </x:c>
      <x:c r="B459" s="23" t="str">
        <x:v>Ing Pairings- Pork.xlsx</x:v>
      </x:c>
      <x:c r="C459" s="23" t="str">
        <x:v>Sheet1</x:v>
      </x:c>
      <x:c r="D459" s="23" t="str">
        <x:v>pork</x:v>
      </x:c>
      <x:c r="E459" s="23" t="str">
        <x:v>pork</x:v>
      </x:c>
      <x:c r="F459" s="23" t="str">
        <x:v>existing:vcf</x:v>
      </x:c>
      <x:c r="G459" s="23" t="str">
        <x:v>wine</x:v>
      </x:c>
      <x:c r="H459" s="23" t="str">
        <x:v>Vanilla</x:v>
      </x:c>
      <x:c r="I459" s="23" t="n">
        <x:v>12.1</x:v>
      </x:c>
      <x:c r="J459" s="23" t="str">
        <x:v>behavioral_regression_candidate</x:v>
      </x:c>
      <x:c r="K459" s="23" t="str">
        <x:v>legacy_output_unverified</x:v>
      </x:c>
      <x:c r="L459" s="23" t="str"/>
      <x:c r="M459" s="23" t="str"/>
    </x:row>
    <x:row r="460">
      <x:c r="A460" s="23" t="str">
        <x:v>LT-0459</x:v>
      </x:c>
      <x:c r="B460" s="23" t="str">
        <x:v>Ing Pairings- Pork.xlsx</x:v>
      </x:c>
      <x:c r="C460" s="23" t="str">
        <x:v>Sheet1</x:v>
      </x:c>
      <x:c r="D460" s="23" t="str">
        <x:v>pork</x:v>
      </x:c>
      <x:c r="E460" s="23" t="str">
        <x:v>pork</x:v>
      </x:c>
      <x:c r="F460" s="23" t="str">
        <x:v>existing:vcf</x:v>
      </x:c>
      <x:c r="G460" s="23" t="str">
        <x:v>beer</x:v>
      </x:c>
      <x:c r="H460" s="23" t="str">
        <x:v>Chocolate- Roasted Cocoa Beans</x:v>
      </x:c>
      <x:c r="I460" s="23" t="n">
        <x:v>36.3</x:v>
      </x:c>
      <x:c r="J460" s="23" t="str">
        <x:v>behavioral_regression_candidate</x:v>
      </x:c>
      <x:c r="K460" s="23" t="str">
        <x:v>legacy_output_unverified</x:v>
      </x:c>
      <x:c r="L460" s="23" t="str"/>
      <x:c r="M460" s="23" t="str"/>
    </x:row>
    <x:row r="461">
      <x:c r="A461" s="23" t="str">
        <x:v>LT-0460</x:v>
      </x:c>
      <x:c r="B461" s="23" t="str">
        <x:v>Ing Pairings- Pork.xlsx</x:v>
      </x:c>
      <x:c r="C461" s="23" t="str">
        <x:v>Sheet1</x:v>
      </x:c>
      <x:c r="D461" s="23" t="str">
        <x:v>pork</x:v>
      </x:c>
      <x:c r="E461" s="23" t="str">
        <x:v>pork</x:v>
      </x:c>
      <x:c r="F461" s="23" t="str">
        <x:v>existing:vcf</x:v>
      </x:c>
      <x:c r="G461" s="23" t="str">
        <x:v>coffee</x:v>
      </x:c>
      <x:c r="H461" s="23" t="str">
        <x:v>Meaty- Chicken (roasted)</x:v>
      </x:c>
      <x:c r="I461" s="23" t="n">
        <x:v>43.9</x:v>
      </x:c>
      <x:c r="J461" s="23" t="str">
        <x:v>behavioral_regression_candidate</x:v>
      </x:c>
      <x:c r="K461" s="23" t="str">
        <x:v>legacy_output_unverified</x:v>
      </x:c>
      <x:c r="L461" s="23" t="str"/>
      <x:c r="M461" s="23" t="str"/>
    </x:row>
    <x:row r="462">
      <x:c r="A462" s="23" t="str">
        <x:v>LT-0461</x:v>
      </x:c>
      <x:c r="B462" s="23" t="str">
        <x:v>Ing Pairings- Pork.xlsx</x:v>
      </x:c>
      <x:c r="C462" s="23" t="str">
        <x:v>Sheet1</x:v>
      </x:c>
      <x:c r="D462" s="23" t="str">
        <x:v>pork</x:v>
      </x:c>
      <x:c r="E462" s="23" t="str">
        <x:v>pork</x:v>
      </x:c>
      <x:c r="F462" s="23" t="str">
        <x:v>existing:vcf</x:v>
      </x:c>
      <x:c r="G462" s="23" t="str">
        <x:v>egg</x:v>
      </x:c>
      <x:c r="H462" s="23" t="str">
        <x:v>Beef (roasted)</x:v>
      </x:c>
      <x:c r="I462" s="23" t="n">
        <x:v>54.5</x:v>
      </x:c>
      <x:c r="J462" s="23" t="str">
        <x:v>behavioral_regression_candidate</x:v>
      </x:c>
      <x:c r="K462" s="23" t="str">
        <x:v>legacy_output_unverified</x:v>
      </x:c>
      <x:c r="L462" s="23" t="str"/>
      <x:c r="M462" s="23" t="str"/>
    </x:row>
    <x:row r="463">
      <x:c r="A463" s="23" t="str">
        <x:v>LT-0462</x:v>
      </x:c>
      <x:c r="B463" s="23" t="str">
        <x:v>Ing Pairings- Pork.xlsx</x:v>
      </x:c>
      <x:c r="C463" s="23" t="str">
        <x:v>Sheet1</x:v>
      </x:c>
      <x:c r="D463" s="23" t="str">
        <x:v>pork</x:v>
      </x:c>
      <x:c r="E463" s="23" t="str">
        <x:v>pork</x:v>
      </x:c>
      <x:c r="F463" s="23" t="str">
        <x:v>existing:vcf</x:v>
      </x:c>
      <x:c r="G463" s="23" t="str">
        <x:v>malt</x:v>
      </x:c>
      <x:c r="H463" s="23" t="str">
        <x:v>Caramel- Coffee</x:v>
      </x:c>
      <x:c r="I463" s="23" t="n">
        <x:v>69.7</x:v>
      </x:c>
      <x:c r="J463" s="23" t="str">
        <x:v>behavioral_regression_candidate</x:v>
      </x:c>
      <x:c r="K463" s="23" t="str">
        <x:v>legacy_output_unverified</x:v>
      </x:c>
      <x:c r="L463" s="23" t="str"/>
      <x:c r="M463" s="23" t="str"/>
    </x:row>
    <x:row r="464">
      <x:c r="A464" s="23" t="str">
        <x:v>LT-0463</x:v>
      </x:c>
      <x:c r="B464" s="23" t="str">
        <x:v>Ing Pairings- Pork.xlsx</x:v>
      </x:c>
      <x:c r="C464" s="23" t="str">
        <x:v>Sheet1</x:v>
      </x:c>
      <x:c r="D464" s="23" t="str">
        <x:v>pork</x:v>
      </x:c>
      <x:c r="E464" s="23" t="str">
        <x:v>pork</x:v>
      </x:c>
      <x:c r="F464" s="23" t="str">
        <x:v>existing:vcf</x:v>
      </x:c>
      <x:c r="G464" s="23" t="str">
        <x:v>tamarind</x:v>
      </x:c>
      <x:c r="H464" s="23" t="str">
        <x:v>Malt</x:v>
      </x:c>
      <x:c r="I464" s="23" t="n">
        <x:v>54.5</x:v>
      </x:c>
      <x:c r="J464" s="23" t="str">
        <x:v>behavioral_regression_candidate</x:v>
      </x:c>
      <x:c r="K464" s="23" t="str">
        <x:v>legacy_output_unverified</x:v>
      </x:c>
      <x:c r="L464" s="23" t="str"/>
      <x:c r="M464" s="23" t="str"/>
    </x:row>
    <x:row r="465">
      <x:c r="A465" s="23" t="str">
        <x:v>LT-0464</x:v>
      </x:c>
      <x:c r="B465" s="23" t="str">
        <x:v>Ing Pairings- Pork.xlsx</x:v>
      </x:c>
      <x:c r="C465" s="23" t="str">
        <x:v>Sheet1</x:v>
      </x:c>
      <x:c r="D465" s="23" t="str">
        <x:v>pork</x:v>
      </x:c>
      <x:c r="E465" s="23" t="str">
        <x:v>pork</x:v>
      </x:c>
      <x:c r="F465" s="23" t="str">
        <x:v>existing:vcf</x:v>
      </x:c>
      <x:c r="G465" s="23" t="str">
        <x:v>allium</x:v>
      </x:c>
      <x:c r="H465" s="23" t="str">
        <x:v>Nutty- Hazelnut</x:v>
      </x:c>
      <x:c r="I465" s="23" t="n">
        <x:v>51.5</x:v>
      </x:c>
      <x:c r="J465" s="23" t="str">
        <x:v>behavioral_regression_candidate</x:v>
      </x:c>
      <x:c r="K465" s="23" t="str">
        <x:v>legacy_output_unverified</x:v>
      </x:c>
      <x:c r="L465" s="23" t="str"/>
      <x:c r="M465" s="23" t="str"/>
    </x:row>
    <x:row r="466">
      <x:c r="A466" s="23" t="str">
        <x:v>LT-0465</x:v>
      </x:c>
      <x:c r="B466" s="23" t="str">
        <x:v>Ing Pairings- Pork.xlsx</x:v>
      </x:c>
      <x:c r="C466" s="23" t="str">
        <x:v>Sheet1</x:v>
      </x:c>
      <x:c r="D466" s="23" t="str">
        <x:v>pork</x:v>
      </x:c>
      <x:c r="E466" s="23" t="str">
        <x:v>pork</x:v>
      </x:c>
      <x:c r="F466" s="23" t="str">
        <x:v>existing:vcf</x:v>
      </x:c>
      <x:c r="G466" s="23" t="str">
        <x:v>annatto</x:v>
      </x:c>
      <x:c r="H466" s="23" t="str">
        <x:v>Walnut</x:v>
      </x:c>
      <x:c r="I466" s="23" t="n">
        <x:v>16.7</x:v>
      </x:c>
      <x:c r="J466" s="23" t="str">
        <x:v>behavioral_regression_candidate</x:v>
      </x:c>
      <x:c r="K466" s="23" t="str">
        <x:v>legacy_output_unverified</x:v>
      </x:c>
      <x:c r="L466" s="23" t="str"/>
      <x:c r="M466" s="23" t="str"/>
    </x:row>
    <x:row r="467">
      <x:c r="A467" s="23" t="str">
        <x:v>LT-0466</x:v>
      </x:c>
      <x:c r="B467" s="23" t="str">
        <x:v>Ing Pairings- Pork.xlsx</x:v>
      </x:c>
      <x:c r="C467" s="23" t="str">
        <x:v>Sheet1</x:v>
      </x:c>
      <x:c r="D467" s="23" t="str">
        <x:v>pork</x:v>
      </x:c>
      <x:c r="E467" s="23" t="str">
        <x:v>pork</x:v>
      </x:c>
      <x:c r="F467" s="23" t="str">
        <x:v>existing:vcf</x:v>
      </x:c>
      <x:c r="G467" s="23" t="str">
        <x:v>oats</x:v>
      </x:c>
      <x:c r="H467" s="23" t="str">
        <x:v>Toasted- Wheaten Bread</x:v>
      </x:c>
      <x:c r="I467" s="23" t="n">
        <x:v>50</x:v>
      </x:c>
      <x:c r="J467" s="23" t="str">
        <x:v>behavioral_regression_candidate</x:v>
      </x:c>
      <x:c r="K467" s="23" t="str">
        <x:v>legacy_output_unverified</x:v>
      </x:c>
      <x:c r="L467" s="23" t="str"/>
      <x:c r="M467" s="23" t="str"/>
    </x:row>
    <x:row r="468">
      <x:c r="A468" s="23" t="str">
        <x:v>LT-0467</x:v>
      </x:c>
      <x:c r="B468" s="23" t="str">
        <x:v>Ing Pairings- Pork.xlsx</x:v>
      </x:c>
      <x:c r="C468" s="23" t="str">
        <x:v>Sheet1</x:v>
      </x:c>
      <x:c r="D468" s="23" t="str">
        <x:v>pork</x:v>
      </x:c>
      <x:c r="E468" s="23" t="str">
        <x:v>pork</x:v>
      </x:c>
      <x:c r="F468" s="23" t="str">
        <x:v>existing:vcf</x:v>
      </x:c>
      <x:c r="G468" s="23" t="str">
        <x:v>okra</x:v>
      </x:c>
      <x:c r="H468" s="23" t="str">
        <x:v>Sulphur- Allium</x:v>
      </x:c>
      <x:c r="I468" s="23" t="n">
        <x:v>24.2</x:v>
      </x:c>
      <x:c r="J468" s="23" t="str">
        <x:v>behavioral_regression_candidate</x:v>
      </x:c>
      <x:c r="K468" s="23" t="str">
        <x:v>legacy_output_unverified</x:v>
      </x:c>
      <x:c r="L468" s="23" t="str"/>
      <x:c r="M468" s="23" t="str"/>
    </x:row>
    <x:row r="469">
      <x:c r="A469" s="23" t="str">
        <x:v>LT-0468</x:v>
      </x:c>
      <x:c r="B469" s="23" t="str">
        <x:v>Ing Pairings- Pork.xlsx</x:v>
      </x:c>
      <x:c r="C469" s="23" t="str">
        <x:v>Sheet1</x:v>
      </x:c>
      <x:c r="D469" s="23" t="str">
        <x:v>pork</x:v>
      </x:c>
      <x:c r="E469" s="23" t="str">
        <x:v>pork</x:v>
      </x:c>
      <x:c r="F469" s="23" t="str">
        <x:v>existing:vcf</x:v>
      </x:c>
      <x:c r="G469" s="23" t="str">
        <x:v>peanut</x:v>
      </x:c>
      <x:c r="H469" s="23" t="str">
        <x:v>Pungent- Mustard</x:v>
      </x:c>
      <x:c r="I469" s="23" t="n">
        <x:v>10.6</x:v>
      </x:c>
      <x:c r="J469" s="23" t="str">
        <x:v>behavioral_regression_candidate</x:v>
      </x:c>
      <x:c r="K469" s="23" t="str">
        <x:v>legacy_output_unverified</x:v>
      </x:c>
      <x:c r="L469" s="23" t="str"/>
      <x:c r="M469" s="23" t="str"/>
    </x:row>
    <x:row r="470">
      <x:c r="A470" s="23" t="str">
        <x:v>LT-0469</x:v>
      </x:c>
      <x:c r="B470" s="23" t="str">
        <x:v>Ing Pairings- Pork.xlsx</x:v>
      </x:c>
      <x:c r="C470" s="23" t="str">
        <x:v>Sheet1</x:v>
      </x:c>
      <x:c r="D470" s="23" t="str">
        <x:v>pork</x:v>
      </x:c>
      <x:c r="E470" s="23" t="str">
        <x:v>pork</x:v>
      </x:c>
      <x:c r="F470" s="23" t="str">
        <x:v>existing:vcf</x:v>
      </x:c>
      <x:c r="G470" s="23" t="str">
        <x:v>rice</x:v>
      </x:c>
      <x:c r="H470" s="23" t="str">
        <x:v>Phenol- Wine</x:v>
      </x:c>
      <x:c r="I470" s="23" t="n">
        <x:v>25.8</x:v>
      </x:c>
      <x:c r="J470" s="23" t="str">
        <x:v>behavioral_regression_candidate</x:v>
      </x:c>
      <x:c r="K470" s="23" t="str">
        <x:v>legacy_output_unverified</x:v>
      </x:c>
      <x:c r="L470" s="23" t="str"/>
      <x:c r="M470" s="23" t="str"/>
    </x:row>
    <x:row r="471">
      <x:c r="A471" s="23" t="str">
        <x:v>LT-0470</x:v>
      </x:c>
      <x:c r="B471" s="23" t="str">
        <x:v>Ing Pairings- Pork.xlsx</x:v>
      </x:c>
      <x:c r="C471" s="23" t="str">
        <x:v>Sheet1</x:v>
      </x:c>
      <x:c r="D471" s="23" t="str">
        <x:v>pork</x:v>
      </x:c>
      <x:c r="E471" s="23" t="str">
        <x:v>pork</x:v>
      </x:c>
      <x:c r="F471" s="23" t="str">
        <x:v>existing:vcf</x:v>
      </x:c>
      <x:c r="G471" s="23" t="str">
        <x:v>sherry</x:v>
      </x:c>
      <x:c r="H471" s="23" t="str">
        <x:v>Black Tea</x:v>
      </x:c>
      <x:c r="I471" s="23" t="n">
        <x:v>48.5</x:v>
      </x:c>
      <x:c r="J471" s="23" t="str">
        <x:v>behavioral_regression_candidate</x:v>
      </x:c>
      <x:c r="K471" s="23" t="str">
        <x:v>legacy_output_unverified</x:v>
      </x:c>
      <x:c r="L471" s="23" t="str"/>
      <x:c r="M471" s="23" t="str"/>
    </x:row>
    <x:row r="472">
      <x:c r="A472" s="23" t="str">
        <x:v>LT-0471</x:v>
      </x:c>
      <x:c r="B472" s="23" t="str">
        <x:v>Ing Pairings- Pork.xlsx</x:v>
      </x:c>
      <x:c r="C472" s="23" t="str">
        <x:v>Sheet1</x:v>
      </x:c>
      <x:c r="D472" s="23" t="str">
        <x:v>pork</x:v>
      </x:c>
      <x:c r="E472" s="23" t="str">
        <x:v>pork</x:v>
      </x:c>
      <x:c r="F472" s="23" t="str">
        <x:v>existing:vcf</x:v>
      </x:c>
      <x:c r="G472" s="23" t="str">
        <x:v>shoyu</x:v>
      </x:c>
      <x:c r="H472" s="23" t="str">
        <x:v>Savory- Shoyu</x:v>
      </x:c>
      <x:c r="I472" s="23" t="n">
        <x:v>34.8</x:v>
      </x:c>
      <x:c r="J472" s="23" t="str">
        <x:v>behavioral_regression_candidate</x:v>
      </x:c>
      <x:c r="K472" s="23" t="str">
        <x:v>legacy_output_unverified</x:v>
      </x:c>
      <x:c r="L472" s="23" t="str"/>
      <x:c r="M472" s="23" t="str"/>
    </x:row>
    <x:row r="473">
      <x:c r="A473" s="23" t="str">
        <x:v>LT-0472</x:v>
      </x:c>
      <x:c r="B473" s="23" t="str">
        <x:v>Ing Pairings- Pork.xlsx</x:v>
      </x:c>
      <x:c r="C473" s="23" t="str">
        <x:v>Sheet1</x:v>
      </x:c>
      <x:c r="D473" s="23" t="str">
        <x:v>pork</x:v>
      </x:c>
      <x:c r="E473" s="23" t="str">
        <x:v>pork</x:v>
      </x:c>
      <x:c r="F473" s="23" t="str">
        <x:v>existing:vcf</x:v>
      </x:c>
      <x:c r="G473" s="23" t="str">
        <x:v>shrimp</x:v>
      </x:c>
      <x:c r="H473" s="23" t="str">
        <x:v>Katsuobushi</x:v>
      </x:c>
      <x:c r="I473" s="23" t="n">
        <x:v>43.9</x:v>
      </x:c>
      <x:c r="J473" s="23" t="str">
        <x:v>behavioral_regression_candidate</x:v>
      </x:c>
      <x:c r="K473" s="23" t="str">
        <x:v>legacy_output_unverified</x:v>
      </x:c>
      <x:c r="L473" s="23" t="str"/>
      <x:c r="M473" s="23" t="str"/>
    </x:row>
    <x:row r="474">
      <x:c r="A474" s="23" t="str">
        <x:v>LT-0473</x:v>
      </x:c>
      <x:c r="B474" s="23" t="str">
        <x:v>Ing Pairings- Pork.xlsx</x:v>
      </x:c>
      <x:c r="C474" s="23" t="str">
        <x:v>Sheet1</x:v>
      </x:c>
      <x:c r="D474" s="23" t="str">
        <x:v>pork</x:v>
      </x:c>
      <x:c r="E474" s="23" t="str">
        <x:v>pork</x:v>
      </x:c>
      <x:c r="F474" s="23" t="str">
        <x:v>existing:vcf</x:v>
      </x:c>
      <x:c r="G474" s="23" t="str">
        <x:v>whisky</x:v>
      </x:c>
      <x:c r="H474" s="23" t="str">
        <x:v>Sour- Vinegar</x:v>
      </x:c>
      <x:c r="I474" s="23" t="n">
        <x:v>6</x:v>
      </x:c>
      <x:c r="J474" s="23" t="str">
        <x:v>behavioral_regression_candidate</x:v>
      </x:c>
      <x:c r="K474" s="23" t="str">
        <x:v>legacy_output_unverified</x:v>
      </x:c>
      <x:c r="L474" s="23" t="str"/>
      <x:c r="M474" s="23" t="str"/>
    </x:row>
    <x:row r="475">
      <x:c r="A475" s="23" t="str">
        <x:v>LT-0474</x:v>
      </x:c>
      <x:c r="B475" s="23" t="str">
        <x:v>Ing Pairings- Pork.xlsx</x:v>
      </x:c>
      <x:c r="C475" s="23" t="str">
        <x:v>Sheet1</x:v>
      </x:c>
      <x:c r="D475" s="23" t="str">
        <x:v>pork</x:v>
      </x:c>
      <x:c r="E475" s="23" t="str">
        <x:v>pork</x:v>
      </x:c>
      <x:c r="F475" s="23" t="str">
        <x:v>existing:vcf</x:v>
      </x:c>
      <x:c r="G475" s="23" t="str">
        <x:v>almond</x:v>
      </x:c>
      <x:c r="H475" s="23" t="str">
        <x:v>Dairy- Milk</x:v>
      </x:c>
      <x:c r="I475" s="23" t="n">
        <x:v>27.3</x:v>
      </x:c>
      <x:c r="J475" s="23" t="str">
        <x:v>behavioral_regression_candidate</x:v>
      </x:c>
      <x:c r="K475" s="23" t="str">
        <x:v>legacy_output_unverified</x:v>
      </x:c>
      <x:c r="L475" s="23" t="str"/>
      <x:c r="M475" s="23" t="str"/>
    </x:row>
    <x:row r="476">
      <x:c r="A476" s="23" t="str">
        <x:v>LT-0475</x:v>
      </x:c>
      <x:c r="B476" s="23" t="str">
        <x:v>Ing Pairings- Pork.xlsx</x:v>
      </x:c>
      <x:c r="C476" s="23" t="str">
        <x:v>Sheet1</x:v>
      </x:c>
      <x:c r="D476" s="23" t="str">
        <x:v>pork</x:v>
      </x:c>
      <x:c r="E476" s="23" t="str">
        <x:v>pork</x:v>
      </x:c>
      <x:c r="F476" s="23" t="str">
        <x:v>existing:vcf</x:v>
      </x:c>
      <x:c r="G476" s="23" t="str">
        <x:v>barley</x:v>
      </x:c>
      <x:c r="H476" s="23" t="str">
        <x:v>Alcohol- Brandy</x:v>
      </x:c>
      <x:c r="I476" s="23" t="n">
        <x:v>28.8</x:v>
      </x:c>
      <x:c r="J476" s="23" t="str">
        <x:v>behavioral_regression_candidate</x:v>
      </x:c>
      <x:c r="K476" s="23" t="str">
        <x:v>legacy_output_unverified</x:v>
      </x:c>
      <x:c r="L476" s="23" t="str"/>
      <x:c r="M476" s="23" t="str"/>
    </x:row>
    <x:row r="477">
      <x:c r="A477" s="23" t="str">
        <x:v>LT-0476</x:v>
      </x:c>
      <x:c r="B477" s="23" t="str">
        <x:v>Ing Pairings- Pork.xlsx</x:v>
      </x:c>
      <x:c r="C477" s="23" t="str">
        <x:v>Sheet1</x:v>
      </x:c>
      <x:c r="D477" s="23" t="str">
        <x:v>pork</x:v>
      </x:c>
      <x:c r="E477" s="23" t="str">
        <x:v>pork</x:v>
      </x:c>
      <x:c r="F477" s="23" t="str">
        <x:v>existing:vcf</x:v>
      </x:c>
      <x:c r="G477" s="23" t="str">
        <x:v>beans</x:v>
      </x:c>
      <x:c r="H477" s="23" t="str">
        <x:v>Marine- Fish</x:v>
      </x:c>
      <x:c r="I477" s="23" t="n">
        <x:v>37.9</x:v>
      </x:c>
      <x:c r="J477" s="23" t="str">
        <x:v>behavioral_regression_candidate</x:v>
      </x:c>
      <x:c r="K477" s="23" t="str">
        <x:v>legacy_output_unverified</x:v>
      </x:c>
      <x:c r="L477" s="23" t="str"/>
      <x:c r="M477" s="23" t="str"/>
    </x:row>
    <x:row r="478">
      <x:c r="A478" s="23" t="str">
        <x:v>LT-0477</x:v>
      </x:c>
      <x:c r="B478" s="23" t="str">
        <x:v>Ing Pairings- Pork.xlsx</x:v>
      </x:c>
      <x:c r="C478" s="23" t="str">
        <x:v>Sheet1</x:v>
      </x:c>
      <x:c r="D478" s="23" t="str">
        <x:v>pork</x:v>
      </x:c>
      <x:c r="E478" s="23" t="str">
        <x:v>pork</x:v>
      </x:c>
      <x:c r="F478" s="23" t="str">
        <x:v>existing:vcf</x:v>
      </x:c>
      <x:c r="G478" s="23" t="str">
        <x:v>coconut</x:v>
      </x:c>
      <x:c r="H478" s="23" t="str">
        <x:v>Shrimp (cooked)</x:v>
      </x:c>
      <x:c r="I478" s="23" t="n">
        <x:v>39.4</x:v>
      </x:c>
      <x:c r="J478" s="23" t="str">
        <x:v>behavioral_regression_candidate</x:v>
      </x:c>
      <x:c r="K478" s="23" t="str">
        <x:v>legacy_output_unverified</x:v>
      </x:c>
      <x:c r="L478" s="23" t="str"/>
      <x:c r="M478" s="23" t="str"/>
    </x:row>
    <x:row r="479">
      <x:c r="A479" s="23" t="str">
        <x:v>LT-0478</x:v>
      </x:c>
      <x:c r="B479" s="23" t="str">
        <x:v>Ing Pairings- Pork.xlsx</x:v>
      </x:c>
      <x:c r="C479" s="23" t="str">
        <x:v>Sheet1</x:v>
      </x:c>
      <x:c r="D479" s="23" t="str">
        <x:v>pork</x:v>
      </x:c>
      <x:c r="E479" s="23" t="str">
        <x:v>pork</x:v>
      </x:c>
      <x:c r="F479" s="23" t="str">
        <x:v>existing:vcf</x:v>
      </x:c>
      <x:c r="G479" s="23" t="str">
        <x:v>sesame seed</x:v>
      </x:c>
      <x:c r="H479" s="23" t="str"/>
      <x:c r="I479" s="23" t="str"/>
      <x:c r="J479" s="23" t="str">
        <x:v>behavioral_regression_candidate</x:v>
      </x:c>
      <x:c r="K479" s="23" t="str">
        <x:v>legacy_output_unverified</x:v>
      </x:c>
      <x:c r="L479" s="23" t="str"/>
      <x:c r="M479" s="23" t="str"/>
    </x:row>
    <x:row r="480">
      <x:c r="A480" s="23" t="str">
        <x:v>LT-0479</x:v>
      </x:c>
      <x:c r="B480" s="23" t="str">
        <x:v>Ing Pairings- Pork.xlsx</x:v>
      </x:c>
      <x:c r="C480" s="23" t="str">
        <x:v>Sheet1</x:v>
      </x:c>
      <x:c r="D480" s="23" t="str">
        <x:v>pork</x:v>
      </x:c>
      <x:c r="E480" s="23" t="str">
        <x:v>pork</x:v>
      </x:c>
      <x:c r="F480" s="23" t="str">
        <x:v>existing:vcf</x:v>
      </x:c>
      <x:c r="G480" s="23" t="str">
        <x:v>popcorn</x:v>
      </x:c>
      <x:c r="H480" s="23" t="str"/>
      <x:c r="I480" s="23" t="str"/>
      <x:c r="J480" s="23" t="str">
        <x:v>behavioral_regression_candidate</x:v>
      </x:c>
      <x:c r="K480" s="23" t="str">
        <x:v>legacy_output_unverified</x:v>
      </x:c>
      <x:c r="L480" s="23" t="str"/>
      <x:c r="M480" s="23" t="str"/>
    </x:row>
    <x:row r="481">
      <x:c r="A481" s="23" t="str">
        <x:v>LT-0480</x:v>
      </x:c>
      <x:c r="B481" s="23" t="str">
        <x:v>Ing Pairings- Pork.xlsx</x:v>
      </x:c>
      <x:c r="C481" s="23" t="str">
        <x:v>Sheet1</x:v>
      </x:c>
      <x:c r="D481" s="23" t="str">
        <x:v>pork</x:v>
      </x:c>
      <x:c r="E481" s="23" t="str">
        <x:v>pork</x:v>
      </x:c>
      <x:c r="F481" s="23" t="str">
        <x:v>existing:vcf</x:v>
      </x:c>
      <x:c r="G481" s="23" t="str">
        <x:v>maize</x:v>
      </x:c>
      <x:c r="H481" s="23" t="str"/>
      <x:c r="I481" s="23" t="str"/>
      <x:c r="J481" s="23" t="str">
        <x:v>behavioral_regression_candidate</x:v>
      </x:c>
      <x:c r="K481" s="23" t="str">
        <x:v>legacy_output_unverified</x:v>
      </x:c>
      <x:c r="L481" s="23" t="str"/>
      <x:c r="M481" s="23" t="str"/>
    </x:row>
    <x:row r="482">
      <x:c r="A482" s="23" t="str">
        <x:v>LT-0481</x:v>
      </x:c>
      <x:c r="B482" s="23" t="str">
        <x:v>Ing Pairings- Pork.xlsx</x:v>
      </x:c>
      <x:c r="C482" s="23" t="str">
        <x:v>Sheet1</x:v>
      </x:c>
      <x:c r="D482" s="23" t="str">
        <x:v>pork</x:v>
      </x:c>
      <x:c r="E482" s="23" t="str">
        <x:v>pork</x:v>
      </x:c>
      <x:c r="F482" s="23" t="str">
        <x:v>existing:vcf</x:v>
      </x:c>
      <x:c r="G482" s="23" t="str">
        <x:v>scallop</x:v>
      </x:c>
      <x:c r="H482" s="23" t="str"/>
      <x:c r="I482" s="23" t="str"/>
      <x:c r="J482" s="23" t="str">
        <x:v>behavioral_regression_candidate</x:v>
      </x:c>
      <x:c r="K482" s="23" t="str">
        <x:v>legacy_output_unverified</x:v>
      </x:c>
      <x:c r="L482" s="23" t="str"/>
      <x:c r="M482" s="23" t="str"/>
    </x:row>
    <x:row r="483">
      <x:c r="A483" s="23" t="str">
        <x:v>LT-0482</x:v>
      </x:c>
      <x:c r="B483" s="23" t="str">
        <x:v>Ing Pairings- Pork.xlsx</x:v>
      </x:c>
      <x:c r="C483" s="23" t="str">
        <x:v>Sheet1</x:v>
      </x:c>
      <x:c r="D483" s="23" t="str">
        <x:v>pork</x:v>
      </x:c>
      <x:c r="E483" s="23" t="str">
        <x:v>pork</x:v>
      </x:c>
      <x:c r="F483" s="23" t="str">
        <x:v>existing:vcf</x:v>
      </x:c>
      <x:c r="G483" s="23" t="str">
        <x:v>cabbage</x:v>
      </x:c>
      <x:c r="H483" s="23" t="str"/>
      <x:c r="I483" s="23" t="str"/>
      <x:c r="J483" s="23" t="str">
        <x:v>behavioral_regression_candidate</x:v>
      </x:c>
      <x:c r="K483" s="23" t="str">
        <x:v>legacy_output_unverified</x:v>
      </x:c>
      <x:c r="L483" s="23" t="str"/>
      <x:c r="M483" s="23" t="str"/>
    </x:row>
    <x:row r="484">
      <x:c r="A484" s="23" t="str">
        <x:v>LT-0483</x:v>
      </x:c>
      <x:c r="B484" s="23" t="str">
        <x:v>Ing Pairings- Pork.xlsx</x:v>
      </x:c>
      <x:c r="C484" s="23" t="str">
        <x:v>Sheet1</x:v>
      </x:c>
      <x:c r="D484" s="23" t="str">
        <x:v>pork</x:v>
      </x:c>
      <x:c r="E484" s="23" t="str">
        <x:v>pork</x:v>
      </x:c>
      <x:c r="F484" s="23" t="str">
        <x:v>existing:vcf</x:v>
      </x:c>
      <x:c r="G484" s="23" t="str">
        <x:v>potato</x:v>
      </x:c>
      <x:c r="H484" s="23" t="str"/>
      <x:c r="I484" s="23" t="str"/>
      <x:c r="J484" s="23" t="str">
        <x:v>behavioral_regression_candidate</x:v>
      </x:c>
      <x:c r="K484" s="23" t="str">
        <x:v>legacy_output_unverified</x:v>
      </x:c>
      <x:c r="L484" s="23" t="str"/>
      <x:c r="M484" s="23" t="str"/>
    </x:row>
    <x:row r="485">
      <x:c r="A485" s="23" t="str">
        <x:v>LT-0484</x:v>
      </x:c>
      <x:c r="B485" s="23" t="str">
        <x:v>Ing Pairings- Pork.xlsx</x:v>
      </x:c>
      <x:c r="C485" s="23" t="str">
        <x:v>Sheet1</x:v>
      </x:c>
      <x:c r="D485" s="23" t="str">
        <x:v>pork</x:v>
      </x:c>
      <x:c r="E485" s="23" t="str">
        <x:v>pork</x:v>
      </x:c>
      <x:c r="F485" s="23" t="str">
        <x:v>existing:vcf</x:v>
      </x:c>
      <x:c r="G485" s="23" t="str">
        <x:v>wheaten bread</x:v>
      </x:c>
      <x:c r="H485" s="23" t="str"/>
      <x:c r="I485" s="23" t="str"/>
      <x:c r="J485" s="23" t="str">
        <x:v>behavioral_regression_candidate</x:v>
      </x:c>
      <x:c r="K485" s="23" t="str">
        <x:v>legacy_output_unverified</x:v>
      </x:c>
      <x:c r="L485" s="23" t="str"/>
      <x:c r="M485" s="23" t="str"/>
    </x:row>
    <x:row r="486">
      <x:c r="A486" s="23" t="str">
        <x:v>LT-0485</x:v>
      </x:c>
      <x:c r="B486" s="23" t="str">
        <x:v>Ing Pairings- Pork.xlsx</x:v>
      </x:c>
      <x:c r="C486" s="23" t="str">
        <x:v>Sheet1</x:v>
      </x:c>
      <x:c r="D486" s="23" t="str">
        <x:v>pork</x:v>
      </x:c>
      <x:c r="E486" s="23" t="str">
        <x:v>pork</x:v>
      </x:c>
      <x:c r="F486" s="23" t="str">
        <x:v>existing:vcf</x:v>
      </x:c>
      <x:c r="G486" s="23" t="str">
        <x:v>oysters</x:v>
      </x:c>
      <x:c r="H486" s="23" t="str"/>
      <x:c r="I486" s="23" t="str"/>
      <x:c r="J486" s="23" t="str">
        <x:v>behavioral_regression_candidate</x:v>
      </x:c>
      <x:c r="K486" s="23" t="str">
        <x:v>legacy_output_unverified</x:v>
      </x:c>
      <x:c r="L486" s="23" t="str"/>
      <x:c r="M486" s="23" t="str"/>
    </x:row>
    <x:row r="487">
      <x:c r="A487" s="23" t="str">
        <x:v>LT-0486</x:v>
      </x:c>
      <x:c r="B487" s="23" t="str">
        <x:v>Ing Pairings- Pork.xlsx</x:v>
      </x:c>
      <x:c r="C487" s="23" t="str">
        <x:v>Sheet1</x:v>
      </x:c>
      <x:c r="D487" s="23" t="str">
        <x:v>pork</x:v>
      </x:c>
      <x:c r="E487" s="23" t="str">
        <x:v>pork</x:v>
      </x:c>
      <x:c r="F487" s="23" t="str">
        <x:v>existing:vcf</x:v>
      </x:c>
      <x:c r="G487" s="23" t="str">
        <x:v>plum</x:v>
      </x:c>
      <x:c r="H487" s="23" t="str"/>
      <x:c r="I487" s="23" t="str"/>
      <x:c r="J487" s="23" t="str">
        <x:v>behavioral_regression_candidate</x:v>
      </x:c>
      <x:c r="K487" s="23" t="str">
        <x:v>legacy_output_unverified</x:v>
      </x:c>
      <x:c r="L487" s="23" t="str"/>
      <x:c r="M487" s="23" t="str"/>
    </x:row>
    <x:row r="488">
      <x:c r="A488" s="23" t="str">
        <x:v>LT-0487</x:v>
      </x:c>
      <x:c r="B488" s="23" t="str">
        <x:v>Ing Pairings- Pork.xlsx</x:v>
      </x:c>
      <x:c r="C488" s="23" t="str">
        <x:v>Sheet1</x:v>
      </x:c>
      <x:c r="D488" s="23" t="str">
        <x:v>pork</x:v>
      </x:c>
      <x:c r="E488" s="23" t="str">
        <x:v>pork</x:v>
      </x:c>
      <x:c r="F488" s="23" t="str">
        <x:v>existing:vcf</x:v>
      </x:c>
      <x:c r="G488" s="23" t="str">
        <x:v>rum</x:v>
      </x:c>
      <x:c r="H488" s="23" t="str"/>
      <x:c r="I488" s="23" t="str"/>
      <x:c r="J488" s="23" t="str">
        <x:v>behavioral_regression_candidate</x:v>
      </x:c>
      <x:c r="K488" s="23" t="str">
        <x:v>legacy_output_unverified</x:v>
      </x:c>
      <x:c r="L488" s="23" t="str"/>
      <x:c r="M488" s="23" t="str"/>
    </x:row>
    <x:row r="489">
      <x:c r="A489" s="23" t="str">
        <x:v>LT-0488</x:v>
      </x:c>
      <x:c r="B489" s="23" t="str">
        <x:v>Ing Pairings- Pork.xlsx</x:v>
      </x:c>
      <x:c r="C489" s="23" t="str">
        <x:v>Sheet1</x:v>
      </x:c>
      <x:c r="D489" s="23" t="str">
        <x:v>pork</x:v>
      </x:c>
      <x:c r="E489" s="23" t="str">
        <x:v>pork</x:v>
      </x:c>
      <x:c r="F489" s="23" t="str">
        <x:v>existing:vcf</x:v>
      </x:c>
      <x:c r="G489" s="23" t="str">
        <x:v>sweet potato</x:v>
      </x:c>
      <x:c r="H489" s="23" t="str"/>
      <x:c r="I489" s="23" t="str"/>
      <x:c r="J489" s="23" t="str">
        <x:v>behavioral_regression_candidate</x:v>
      </x:c>
      <x:c r="K489" s="23" t="str">
        <x:v>legacy_output_unverified</x:v>
      </x:c>
      <x:c r="L489" s="23" t="str"/>
      <x:c r="M489" s="23" t="str"/>
    </x:row>
    <x:row r="490">
      <x:c r="A490" s="23" t="str">
        <x:v>LT-0489</x:v>
      </x:c>
      <x:c r="B490" s="23" t="str">
        <x:v>Ing Pairings- Pork.xlsx</x:v>
      </x:c>
      <x:c r="C490" s="23" t="str">
        <x:v>Sheet1</x:v>
      </x:c>
      <x:c r="D490" s="23" t="str">
        <x:v>pork</x:v>
      </x:c>
      <x:c r="E490" s="23" t="str">
        <x:v>pork</x:v>
      </x:c>
      <x:c r="F490" s="23" t="str">
        <x:v>existing:vcf</x:v>
      </x:c>
      <x:c r="G490" s="23" t="str">
        <x:v>sage</x:v>
      </x:c>
      <x:c r="H490" s="23" t="str"/>
      <x:c r="I490" s="23" t="str"/>
      <x:c r="J490" s="23" t="str">
        <x:v>behavioral_regression_candidate</x:v>
      </x:c>
      <x:c r="K490" s="23" t="str">
        <x:v>legacy_output_unverified</x:v>
      </x:c>
      <x:c r="L490" s="23" t="str"/>
      <x:c r="M490" s="23" t="str"/>
    </x:row>
    <x:row r="491">
      <x:c r="A491" s="23" t="str">
        <x:v>LT-0490</x:v>
      </x:c>
      <x:c r="B491" s="23" t="str">
        <x:v>Ing Pairings- Pork.xlsx</x:v>
      </x:c>
      <x:c r="C491" s="23" t="str">
        <x:v>Sheet1</x:v>
      </x:c>
      <x:c r="D491" s="23" t="str">
        <x:v>pork</x:v>
      </x:c>
      <x:c r="E491" s="23" t="str">
        <x:v>pork</x:v>
      </x:c>
      <x:c r="F491" s="23" t="str">
        <x:v>existing:vcf</x:v>
      </x:c>
      <x:c r="G491" s="23" t="str">
        <x:v>thyme</x:v>
      </x:c>
      <x:c r="H491" s="23" t="str"/>
      <x:c r="I491" s="23" t="str"/>
      <x:c r="J491" s="23" t="str">
        <x:v>behavioral_regression_candidate</x:v>
      </x:c>
      <x:c r="K491" s="23" t="str">
        <x:v>legacy_output_unverified</x:v>
      </x:c>
      <x:c r="L491" s="23" t="str"/>
      <x:c r="M491" s="23" t="str"/>
    </x:row>
    <x:row r="492">
      <x:c r="A492" s="23" t="str">
        <x:v>LT-0491</x:v>
      </x:c>
      <x:c r="B492" s="23" t="str">
        <x:v>Ing Pairings- Pork.xlsx</x:v>
      </x:c>
      <x:c r="C492" s="23" t="str">
        <x:v>Sheet1</x:v>
      </x:c>
      <x:c r="D492" s="23" t="str">
        <x:v>pork</x:v>
      </x:c>
      <x:c r="E492" s="23" t="str">
        <x:v>pork</x:v>
      </x:c>
      <x:c r="F492" s="23" t="str">
        <x:v>existing:vcf</x:v>
      </x:c>
      <x:c r="G492" s="23" t="str">
        <x:v>rosemary</x:v>
      </x:c>
      <x:c r="H492" s="23" t="str"/>
      <x:c r="I492" s="23" t="str"/>
      <x:c r="J492" s="23" t="str">
        <x:v>behavioral_regression_candidate</x:v>
      </x:c>
      <x:c r="K492" s="23" t="str">
        <x:v>legacy_output_unverified</x:v>
      </x:c>
      <x:c r="L492" s="23" t="str"/>
      <x:c r="M492" s="23" t="str"/>
    </x:row>
    <x:row r="493">
      <x:c r="A493" s="23" t="str">
        <x:v>LT-0492</x:v>
      </x:c>
      <x:c r="B493" s="23" t="str">
        <x:v>Ing Pairings- Poultry.xlsx</x:v>
      </x:c>
      <x:c r="C493" s="23" t="str">
        <x:v>Sheet1</x:v>
      </x:c>
      <x:c r="D493" s="23" t="str">
        <x:v>poultry</x:v>
      </x:c>
      <x:c r="E493" s="23" t="str">
        <x:v>poultry</x:v>
      </x:c>
      <x:c r="F493" s="23" t="str">
        <x:v>family:poultry</x:v>
      </x:c>
      <x:c r="G493" s="23" t="str">
        <x:v>anise</x:v>
      </x:c>
      <x:c r="H493" s="23" t="str"/>
      <x:c r="I493" s="23" t="str"/>
      <x:c r="J493" s="23" t="str">
        <x:v>behavioral_regression_candidate</x:v>
      </x:c>
      <x:c r="K493" s="23" t="str">
        <x:v>legacy_output_unverified</x:v>
      </x:c>
      <x:c r="L493" s="23" t="str"/>
      <x:c r="M493" s="23" t="str"/>
    </x:row>
    <x:row r="494">
      <x:c r="A494" s="23" t="str">
        <x:v>LT-0493</x:v>
      </x:c>
      <x:c r="B494" s="23" t="str">
        <x:v>Ing Pairings- Poultry.xlsx</x:v>
      </x:c>
      <x:c r="C494" s="23" t="str">
        <x:v>Sheet1</x:v>
      </x:c>
      <x:c r="D494" s="23" t="str">
        <x:v>poultry</x:v>
      </x:c>
      <x:c r="E494" s="23" t="str">
        <x:v>poultry</x:v>
      </x:c>
      <x:c r="F494" s="23" t="str">
        <x:v>family:poultry</x:v>
      </x:c>
      <x:c r="G494" s="23" t="str">
        <x:v>apricot</x:v>
      </x:c>
      <x:c r="H494" s="23" t="str">
        <x:v>Floral- Camomile</x:v>
      </x:c>
      <x:c r="I494" s="23" t="n">
        <x:v>13.8</x:v>
      </x:c>
      <x:c r="J494" s="23" t="str">
        <x:v>behavioral_regression_candidate</x:v>
      </x:c>
      <x:c r="K494" s="23" t="str">
        <x:v>legacy_output_unverified</x:v>
      </x:c>
      <x:c r="L494" s="23" t="str"/>
      <x:c r="M494" s="23" t="str"/>
    </x:row>
    <x:row r="495">
      <x:c r="A495" s="23" t="str">
        <x:v>LT-0494</x:v>
      </x:c>
      <x:c r="B495" s="23" t="str">
        <x:v>Ing Pairings- Poultry.xlsx</x:v>
      </x:c>
      <x:c r="C495" s="23" t="str">
        <x:v>Sheet1</x:v>
      </x:c>
      <x:c r="D495" s="23" t="str">
        <x:v>poultry</x:v>
      </x:c>
      <x:c r="E495" s="23" t="str">
        <x:v>poultry</x:v>
      </x:c>
      <x:c r="F495" s="23" t="str">
        <x:v>family:poultry</x:v>
      </x:c>
      <x:c r="G495" s="23" t="str">
        <x:v>beans</x:v>
      </x:c>
      <x:c r="H495" s="23" t="str">
        <x:v>Lavender Honey</x:v>
      </x:c>
      <x:c r="I495" s="23" t="n">
        <x:v>53</x:v>
      </x:c>
      <x:c r="J495" s="23" t="str">
        <x:v>behavioral_regression_candidate</x:v>
      </x:c>
      <x:c r="K495" s="23" t="str">
        <x:v>legacy_output_unverified</x:v>
      </x:c>
      <x:c r="L495" s="23" t="str"/>
      <x:c r="M495" s="23" t="str"/>
    </x:row>
    <x:row r="496">
      <x:c r="A496" s="23" t="str">
        <x:v>LT-0495</x:v>
      </x:c>
      <x:c r="B496" s="23" t="str">
        <x:v>Ing Pairings- Poultry.xlsx</x:v>
      </x:c>
      <x:c r="C496" s="23" t="str">
        <x:v>Sheet1</x:v>
      </x:c>
      <x:c r="D496" s="23" t="str">
        <x:v>poultry</x:v>
      </x:c>
      <x:c r="E496" s="23" t="str">
        <x:v>poultry</x:v>
      </x:c>
      <x:c r="F496" s="23" t="str">
        <x:v>family:poultry</x:v>
      </x:c>
      <x:c r="G496" s="23" t="str">
        <x:v>black currant</x:v>
      </x:c>
      <x:c r="H496" s="23" t="str">
        <x:v>Elderberry</x:v>
      </x:c>
      <x:c r="I496" s="23" t="n">
        <x:v>27.5</x:v>
      </x:c>
      <x:c r="J496" s="23" t="str">
        <x:v>behavioral_regression_candidate</x:v>
      </x:c>
      <x:c r="K496" s="23" t="str">
        <x:v>legacy_output_unverified</x:v>
      </x:c>
      <x:c r="L496" s="23" t="str"/>
      <x:c r="M496" s="23" t="str"/>
    </x:row>
    <x:row r="497">
      <x:c r="A497" s="23" t="str">
        <x:v>LT-0496</x:v>
      </x:c>
      <x:c r="B497" s="23" t="str">
        <x:v>Ing Pairings- Poultry.xlsx</x:v>
      </x:c>
      <x:c r="C497" s="23" t="str">
        <x:v>Sheet1</x:v>
      </x:c>
      <x:c r="D497" s="23" t="str">
        <x:v>poultry</x:v>
      </x:c>
      <x:c r="E497" s="23" t="str">
        <x:v>poultry</x:v>
      </x:c>
      <x:c r="F497" s="23" t="str">
        <x:v>family:poultry</x:v>
      </x:c>
      <x:c r="G497" s="23" t="str">
        <x:v>camomile</x:v>
      </x:c>
      <x:c r="H497" s="23" t="str">
        <x:v>Citrus- Citrus</x:v>
      </x:c>
      <x:c r="I497" s="23" t="n">
        <x:v>52.9</x:v>
      </x:c>
      <x:c r="J497" s="23" t="str">
        <x:v>behavioral_regression_candidate</x:v>
      </x:c>
      <x:c r="K497" s="23" t="str">
        <x:v>legacy_output_unverified</x:v>
      </x:c>
      <x:c r="L497" s="23" t="str"/>
      <x:c r="M497" s="23" t="str"/>
    </x:row>
    <x:row r="498">
      <x:c r="A498" s="23" t="str">
        <x:v>LT-0497</x:v>
      </x:c>
      <x:c r="B498" s="23" t="str">
        <x:v>Ing Pairings- Poultry.xlsx</x:v>
      </x:c>
      <x:c r="C498" s="23" t="str">
        <x:v>Sheet1</x:v>
      </x:c>
      <x:c r="D498" s="23" t="str">
        <x:v>poultry</x:v>
      </x:c>
      <x:c r="E498" s="23" t="str">
        <x:v>poultry</x:v>
      </x:c>
      <x:c r="F498" s="23" t="str">
        <x:v>family:poultry</x:v>
      </x:c>
      <x:c r="G498" s="23" t="str">
        <x:v>capsicum</x:v>
      </x:c>
      <x:c r="H498" s="23" t="str">
        <x:v>Tropical- Coconut</x:v>
      </x:c>
      <x:c r="I498" s="23" t="n">
        <x:v>27.5</x:v>
      </x:c>
      <x:c r="J498" s="23" t="str">
        <x:v>behavioral_regression_candidate</x:v>
      </x:c>
      <x:c r="K498" s="23" t="str">
        <x:v>legacy_output_unverified</x:v>
      </x:c>
      <x:c r="L498" s="23" t="str"/>
      <x:c r="M498" s="23" t="str"/>
    </x:row>
    <x:row r="499">
      <x:c r="A499" s="23" t="str">
        <x:v>LT-0498</x:v>
      </x:c>
      <x:c r="B499" s="23" t="str">
        <x:v>Ing Pairings- Poultry.xlsx</x:v>
      </x:c>
      <x:c r="C499" s="23" t="str">
        <x:v>Sheet1</x:v>
      </x:c>
      <x:c r="D499" s="23" t="str">
        <x:v>poultry</x:v>
      </x:c>
      <x:c r="E499" s="23" t="str">
        <x:v>poultry</x:v>
      </x:c>
      <x:c r="F499" s="23" t="str">
        <x:v>family:poultry</x:v>
      </x:c>
      <x:c r="G499" s="23" t="str">
        <x:v>caraway</x:v>
      </x:c>
      <x:c r="H499" s="23" t="str">
        <x:v>Melon- Melon</x:v>
      </x:c>
      <x:c r="I499" s="23" t="n">
        <x:v>36.3</x:v>
      </x:c>
      <x:c r="J499" s="23" t="str">
        <x:v>behavioral_regression_candidate</x:v>
      </x:c>
      <x:c r="K499" s="23" t="str">
        <x:v>legacy_output_unverified</x:v>
      </x:c>
      <x:c r="L499" s="23" t="str"/>
      <x:c r="M499" s="23" t="str"/>
    </x:row>
    <x:row r="500">
      <x:c r="A500" s="23" t="str">
        <x:v>LT-0499</x:v>
      </x:c>
      <x:c r="B500" s="23" t="str">
        <x:v>Ing Pairings- Poultry.xlsx</x:v>
      </x:c>
      <x:c r="C500" s="23" t="str">
        <x:v>Sheet1</x:v>
      </x:c>
      <x:c r="D500" s="23" t="str">
        <x:v>poultry</x:v>
      </x:c>
      <x:c r="E500" s="23" t="str">
        <x:v>poultry</x:v>
      </x:c>
      <x:c r="F500" s="23" t="str">
        <x:v>family:poultry</x:v>
      </x:c>
      <x:c r="G500" s="23" t="str">
        <x:v>cardamom</x:v>
      </x:c>
      <x:c r="H500" s="23" t="str">
        <x:v>Tree Fruit- Apple</x:v>
      </x:c>
      <x:c r="I500" s="23" t="n">
        <x:v>27.5</x:v>
      </x:c>
      <x:c r="J500" s="23" t="str">
        <x:v>behavioral_regression_candidate</x:v>
      </x:c>
      <x:c r="K500" s="23" t="str">
        <x:v>legacy_output_unverified</x:v>
      </x:c>
      <x:c r="L500" s="23" t="str"/>
      <x:c r="M500" s="23" t="str"/>
    </x:row>
    <x:row r="501">
      <x:c r="A501" s="23" t="str">
        <x:v>LT-0500</x:v>
      </x:c>
      <x:c r="B501" s="23" t="str">
        <x:v>Ing Pairings- Poultry.xlsx</x:v>
      </x:c>
      <x:c r="C501" s="23" t="str">
        <x:v>Sheet1</x:v>
      </x:c>
      <x:c r="D501" s="23" t="str">
        <x:v>poultry</x:v>
      </x:c>
      <x:c r="E501" s="23" t="str">
        <x:v>poultry</x:v>
      </x:c>
      <x:c r="F501" s="23" t="str">
        <x:v>family:poultry</x:v>
      </x:c>
      <x:c r="G501" s="23" t="str">
        <x:v>carrot</x:v>
      </x:c>
      <x:c r="H501" s="23" t="str">
        <x:v>Apricot</x:v>
      </x:c>
      <x:c r="I501" s="23" t="n">
        <x:v>28.4</x:v>
      </x:c>
      <x:c r="J501" s="23" t="str">
        <x:v>behavioral_regression_candidate</x:v>
      </x:c>
      <x:c r="K501" s="23" t="str">
        <x:v>legacy_output_unverified</x:v>
      </x:c>
      <x:c r="L501" s="23" t="str"/>
      <x:c r="M501" s="23" t="str"/>
    </x:row>
    <x:row r="502">
      <x:c r="A502" s="23" t="str">
        <x:v>LT-0501</x:v>
      </x:c>
      <x:c r="B502" s="23" t="str">
        <x:v>Ing Pairings- Poultry.xlsx</x:v>
      </x:c>
      <x:c r="C502" s="23" t="str">
        <x:v>Sheet1</x:v>
      </x:c>
      <x:c r="D502" s="23" t="str">
        <x:v>poultry</x:v>
      </x:c>
      <x:c r="E502" s="23" t="str">
        <x:v>poultry</x:v>
      </x:c>
      <x:c r="F502" s="23" t="str">
        <x:v>family:poultry</x:v>
      </x:c>
      <x:c r="G502" s="23" t="str">
        <x:v>celery</x:v>
      </x:c>
      <x:c r="H502" s="23" t="str">
        <x:v>Nectarine</x:v>
      </x:c>
      <x:c r="I502" s="23" t="n">
        <x:v>28.8</x:v>
      </x:c>
      <x:c r="J502" s="23" t="str">
        <x:v>behavioral_regression_candidate</x:v>
      </x:c>
      <x:c r="K502" s="23" t="str">
        <x:v>legacy_output_unverified</x:v>
      </x:c>
      <x:c r="L502" s="23" t="str"/>
      <x:c r="M502" s="23" t="str"/>
    </x:row>
    <x:row r="503">
      <x:c r="A503" s="23" t="str">
        <x:v>LT-0502</x:v>
      </x:c>
      <x:c r="B503" s="23" t="str">
        <x:v>Ing Pairings- Poultry.xlsx</x:v>
      </x:c>
      <x:c r="C503" s="23" t="str">
        <x:v>Sheet1</x:v>
      </x:c>
      <x:c r="D503" s="23" t="str">
        <x:v>poultry</x:v>
      </x:c>
      <x:c r="E503" s="23" t="str">
        <x:v>poultry</x:v>
      </x:c>
      <x:c r="F503" s="23" t="str">
        <x:v>family:poultry</x:v>
      </x:c>
      <x:c r="G503" s="23" t="str">
        <x:v>chayote</x:v>
      </x:c>
      <x:c r="H503" s="23" t="str">
        <x:v>Berry- Strawberry</x:v>
      </x:c>
      <x:c r="I503" s="23" t="n">
        <x:v>37.5</x:v>
      </x:c>
      <x:c r="J503" s="23" t="str">
        <x:v>behavioral_regression_candidate</x:v>
      </x:c>
      <x:c r="K503" s="23" t="str">
        <x:v>legacy_output_unverified</x:v>
      </x:c>
      <x:c r="L503" s="23" t="str"/>
      <x:c r="M503" s="23" t="str"/>
    </x:row>
    <x:row r="504">
      <x:c r="A504" s="23" t="str">
        <x:v>LT-0503</x:v>
      </x:c>
      <x:c r="B504" s="23" t="str">
        <x:v>Ing Pairings- Poultry.xlsx</x:v>
      </x:c>
      <x:c r="C504" s="23" t="str">
        <x:v>Sheet1</x:v>
      </x:c>
      <x:c r="D504" s="23" t="str">
        <x:v>poultry</x:v>
      </x:c>
      <x:c r="E504" s="23" t="str">
        <x:v>poultry</x:v>
      </x:c>
      <x:c r="F504" s="23" t="str">
        <x:v>family:poultry</x:v>
      </x:c>
      <x:c r="G504" s="23" t="str">
        <x:v>cheese</x:v>
      </x:c>
      <x:c r="H504" s="23" t="str">
        <x:v>Vaccinium</x:v>
      </x:c>
      <x:c r="I504" s="23" t="n">
        <x:v>37.3</x:v>
      </x:c>
      <x:c r="J504" s="23" t="str">
        <x:v>behavioral_regression_candidate</x:v>
      </x:c>
      <x:c r="K504" s="23" t="str">
        <x:v>legacy_output_unverified</x:v>
      </x:c>
      <x:c r="L504" s="23" t="str"/>
      <x:c r="M504" s="23" t="str"/>
    </x:row>
    <x:row r="505">
      <x:c r="A505" s="23" t="str">
        <x:v>LT-0504</x:v>
      </x:c>
      <x:c r="B505" s="23" t="str">
        <x:v>Ing Pairings- Poultry.xlsx</x:v>
      </x:c>
      <x:c r="C505" s="23" t="str">
        <x:v>Sheet1</x:v>
      </x:c>
      <x:c r="D505" s="23" t="str">
        <x:v>poultry</x:v>
      </x:c>
      <x:c r="E505" s="23" t="str">
        <x:v>poultry</x:v>
      </x:c>
      <x:c r="F505" s="23" t="str">
        <x:v>family:poultry</x:v>
      </x:c>
      <x:c r="G505" s="23" t="str">
        <x:v>chestnut</x:v>
      </x:c>
      <x:c r="H505" s="23" t="str">
        <x:v>Dried Fruit- Strawberry Jam</x:v>
      </x:c>
      <x:c r="I505" s="23" t="n">
        <x:v>42.9</x:v>
      </x:c>
      <x:c r="J505" s="23" t="str">
        <x:v>behavioral_regression_candidate</x:v>
      </x:c>
      <x:c r="K505" s="23" t="str">
        <x:v>legacy_output_unverified</x:v>
      </x:c>
      <x:c r="L505" s="23" t="str"/>
      <x:c r="M505" s="23" t="str"/>
    </x:row>
    <x:row r="506">
      <x:c r="A506" s="23" t="str">
        <x:v>LT-0505</x:v>
      </x:c>
      <x:c r="B506" s="23" t="str">
        <x:v>Ing Pairings- Poultry.xlsx</x:v>
      </x:c>
      <x:c r="C506" s="23" t="str">
        <x:v>Sheet1</x:v>
      </x:c>
      <x:c r="D506" s="23" t="str">
        <x:v>poultry</x:v>
      </x:c>
      <x:c r="E506" s="23" t="str">
        <x:v>poultry</x:v>
      </x:c>
      <x:c r="F506" s="23" t="str">
        <x:v>family:poultry</x:v>
      </x:c>
      <x:c r="G506" s="23" t="str">
        <x:v>citrus</x:v>
      </x:c>
      <x:c r="H506" s="23" t="str">
        <x:v>Prune</x:v>
      </x:c>
      <x:c r="I506" s="23" t="n">
        <x:v>21.2</x:v>
      </x:c>
      <x:c r="J506" s="23" t="str">
        <x:v>behavioral_regression_candidate</x:v>
      </x:c>
      <x:c r="K506" s="23" t="str">
        <x:v>legacy_output_unverified</x:v>
      </x:c>
      <x:c r="L506" s="23" t="str"/>
      <x:c r="M506" s="23" t="str"/>
    </x:row>
    <x:row r="507">
      <x:c r="A507" s="23" t="str">
        <x:v>LT-0506</x:v>
      </x:c>
      <x:c r="B507" s="23" t="str">
        <x:v>Ing Pairings- Poultry.xlsx</x:v>
      </x:c>
      <x:c r="C507" s="23" t="str">
        <x:v>Sheet1</x:v>
      </x:c>
      <x:c r="D507" s="23" t="str">
        <x:v>poultry</x:v>
      </x:c>
      <x:c r="E507" s="23" t="str">
        <x:v>poultry</x:v>
      </x:c>
      <x:c r="F507" s="23" t="str">
        <x:v>family:poultry</x:v>
      </x:c>
      <x:c r="G507" s="23" t="str">
        <x:v>clove</x:v>
      </x:c>
      <x:c r="H507" s="23" t="str">
        <x:v>Green- Celery</x:v>
      </x:c>
      <x:c r="I507" s="23" t="n">
        <x:v>14.6</x:v>
      </x:c>
      <x:c r="J507" s="23" t="str">
        <x:v>behavioral_regression_candidate</x:v>
      </x:c>
      <x:c r="K507" s="23" t="str">
        <x:v>legacy_output_unverified</x:v>
      </x:c>
      <x:c r="L507" s="23" t="str"/>
      <x:c r="M507" s="23" t="str"/>
    </x:row>
    <x:row r="508">
      <x:c r="A508" s="23" t="str">
        <x:v>LT-0507</x:v>
      </x:c>
      <x:c r="B508" s="23" t="str">
        <x:v>Ing Pairings- Poultry.xlsx</x:v>
      </x:c>
      <x:c r="C508" s="23" t="str">
        <x:v>Sheet1</x:v>
      </x:c>
      <x:c r="D508" s="23" t="str">
        <x:v>poultry</x:v>
      </x:c>
      <x:c r="E508" s="23" t="str">
        <x:v>poultry</x:v>
      </x:c>
      <x:c r="F508" s="23" t="str">
        <x:v>family:poultry</x:v>
      </x:c>
      <x:c r="G508" s="23" t="str">
        <x:v>cocoa</x:v>
      </x:c>
      <x:c r="H508" s="23" t="str">
        <x:v>Lettuce</x:v>
      </x:c>
      <x:c r="I508" s="23" t="n">
        <x:v>26.3</x:v>
      </x:c>
      <x:c r="J508" s="23" t="str">
        <x:v>behavioral_regression_candidate</x:v>
      </x:c>
      <x:c r="K508" s="23" t="str">
        <x:v>legacy_output_unverified</x:v>
      </x:c>
      <x:c r="L508" s="23" t="str"/>
      <x:c r="M508" s="23" t="str"/>
    </x:row>
    <x:row r="509">
      <x:c r="A509" s="23" t="str">
        <x:v>LT-0508</x:v>
      </x:c>
      <x:c r="B509" s="23" t="str">
        <x:v>Ing Pairings- Poultry.xlsx</x:v>
      </x:c>
      <x:c r="C509" s="23" t="str">
        <x:v>Sheet1</x:v>
      </x:c>
      <x:c r="D509" s="23" t="str">
        <x:v>poultry</x:v>
      </x:c>
      <x:c r="E509" s="23" t="str">
        <x:v>poultry</x:v>
      </x:c>
      <x:c r="F509" s="23" t="str">
        <x:v>family:poultry</x:v>
      </x:c>
      <x:c r="G509" s="23" t="str">
        <x:v>cofee</x:v>
      </x:c>
      <x:c r="H509" s="23" t="str">
        <x:v>Herbaceous- Parsley</x:v>
      </x:c>
      <x:c r="I509" s="23" t="n">
        <x:v>21.1</x:v>
      </x:c>
      <x:c r="J509" s="23" t="str">
        <x:v>behavioral_regression_candidate</x:v>
      </x:c>
      <x:c r="K509" s="23" t="str">
        <x:v>legacy_output_unverified</x:v>
      </x:c>
      <x:c r="L509" s="23" t="str"/>
      <x:c r="M509" s="23" t="str"/>
    </x:row>
    <x:row r="510">
      <x:c r="A510" s="23" t="str">
        <x:v>LT-0509</x:v>
      </x:c>
      <x:c r="B510" s="23" t="str">
        <x:v>Ing Pairings- Poultry.xlsx</x:v>
      </x:c>
      <x:c r="C510" s="23" t="str">
        <x:v>Sheet1</x:v>
      </x:c>
      <x:c r="D510" s="23" t="str">
        <x:v>poultry</x:v>
      </x:c>
      <x:c r="E510" s="23" t="str">
        <x:v>poultry</x:v>
      </x:c>
      <x:c r="F510" s="23" t="str">
        <x:v>family:poultry</x:v>
      </x:c>
      <x:c r="G510" s="23" t="str">
        <x:v>coriander</x:v>
      </x:c>
      <x:c r="H510" s="23" t="str">
        <x:v>ocimum basilicum</x:v>
      </x:c>
      <x:c r="I510" s="23" t="n">
        <x:v>8.9</x:v>
      </x:c>
      <x:c r="J510" s="23" t="str">
        <x:v>behavioral_regression_candidate</x:v>
      </x:c>
      <x:c r="K510" s="23" t="str">
        <x:v>legacy_output_unverified</x:v>
      </x:c>
      <x:c r="L510" s="23" t="str"/>
      <x:c r="M510" s="23" t="str"/>
    </x:row>
    <x:row r="511">
      <x:c r="A511" s="23" t="str">
        <x:v>LT-0510</x:v>
      </x:c>
      <x:c r="B511" s="23" t="str">
        <x:v>Ing Pairings- Poultry.xlsx</x:v>
      </x:c>
      <x:c r="C511" s="23" t="str">
        <x:v>Sheet1</x:v>
      </x:c>
      <x:c r="D511" s="23" t="str">
        <x:v>poultry</x:v>
      </x:c>
      <x:c r="E511" s="23" t="str">
        <x:v>poultry</x:v>
      </x:c>
      <x:c r="F511" s="23" t="str">
        <x:v>family:poultry</x:v>
      </x:c>
      <x:c r="G511" s="23" t="str">
        <x:v>crab</x:v>
      </x:c>
      <x:c r="H511" s="23" t="str">
        <x:v>Earthy- Mushroom</x:v>
      </x:c>
      <x:c r="I511" s="23" t="n">
        <x:v>67.5</x:v>
      </x:c>
      <x:c r="J511" s="23" t="str">
        <x:v>behavioral_regression_candidate</x:v>
      </x:c>
      <x:c r="K511" s="23" t="str">
        <x:v>legacy_output_unverified</x:v>
      </x:c>
      <x:c r="L511" s="23" t="str"/>
      <x:c r="M511" s="23" t="str"/>
    </x:row>
    <x:row r="512">
      <x:c r="A512" s="23" t="str">
        <x:v>LT-0511</x:v>
      </x:c>
      <x:c r="B512" s="23" t="str">
        <x:v>Ing Pairings- Poultry.xlsx</x:v>
      </x:c>
      <x:c r="C512" s="23" t="str">
        <x:v>Sheet1</x:v>
      </x:c>
      <x:c r="D512" s="23" t="str">
        <x:v>poultry</x:v>
      </x:c>
      <x:c r="E512" s="23" t="str">
        <x:v>poultry</x:v>
      </x:c>
      <x:c r="F512" s="23" t="str">
        <x:v>family:poultry</x:v>
      </x:c>
      <x:c r="G512" s="23" t="str">
        <x:v>crayfish</x:v>
      </x:c>
      <x:c r="H512" s="23" t="str">
        <x:v>Wood- Rosemary</x:v>
      </x:c>
      <x:c r="I512" s="23" t="n">
        <x:v>5</x:v>
      </x:c>
      <x:c r="J512" s="23" t="str">
        <x:v>behavioral_regression_candidate</x:v>
      </x:c>
      <x:c r="K512" s="23" t="str">
        <x:v>legacy_output_unverified</x:v>
      </x:c>
      <x:c r="L512" s="23" t="str"/>
      <x:c r="M512" s="23" t="str"/>
    </x:row>
    <x:row r="513">
      <x:c r="A513" s="23" t="str">
        <x:v>LT-0512</x:v>
      </x:c>
      <x:c r="B513" s="23" t="str">
        <x:v>Ing Pairings- Poultry.xlsx</x:v>
      </x:c>
      <x:c r="C513" s="23" t="str">
        <x:v>Sheet1</x:v>
      </x:c>
      <x:c r="D513" s="23" t="str">
        <x:v>poultry</x:v>
      </x:c>
      <x:c r="E513" s="23" t="str">
        <x:v>poultry</x:v>
      </x:c>
      <x:c r="F513" s="23" t="str">
        <x:v>family:poultry</x:v>
      </x:c>
      <x:c r="G513" s="23" t="str">
        <x:v>cumin</x:v>
      </x:c>
      <x:c r="H513" s="23" t="str">
        <x:v>Ginger</x:v>
      </x:c>
      <x:c r="I513" s="23" t="n">
        <x:v>12.6</x:v>
      </x:c>
      <x:c r="J513" s="23" t="str">
        <x:v>behavioral_regression_candidate</x:v>
      </x:c>
      <x:c r="K513" s="23" t="str">
        <x:v>legacy_output_unverified</x:v>
      </x:c>
      <x:c r="L513" s="23" t="str"/>
      <x:c r="M513" s="23" t="str"/>
    </x:row>
    <x:row r="514">
      <x:c r="A514" s="23" t="str">
        <x:v>LT-0513</x:v>
      </x:c>
      <x:c r="B514" s="23" t="str">
        <x:v>Ing Pairings- Poultry.xlsx</x:v>
      </x:c>
      <x:c r="C514" s="23" t="str">
        <x:v>Sheet1</x:v>
      </x:c>
      <x:c r="D514" s="23" t="str">
        <x:v>poultry</x:v>
      </x:c>
      <x:c r="E514" s="23" t="str">
        <x:v>poultry</x:v>
      </x:c>
      <x:c r="F514" s="23" t="str">
        <x:v>family:poultry</x:v>
      </x:c>
      <x:c r="G514" s="23" t="str">
        <x:v>curcuma</x:v>
      </x:c>
      <x:c r="H514" s="23" t="str">
        <x:v>Medicinal- Mastic</x:v>
      </x:c>
      <x:c r="I514" s="23" t="n">
        <x:v>11.8</x:v>
      </x:c>
      <x:c r="J514" s="23" t="str">
        <x:v>behavioral_regression_candidate</x:v>
      </x:c>
      <x:c r="K514" s="23" t="str">
        <x:v>legacy_output_unverified</x:v>
      </x:c>
      <x:c r="L514" s="23" t="str"/>
      <x:c r="M514" s="23" t="str"/>
    </x:row>
    <x:row r="515">
      <x:c r="A515" s="23" t="str">
        <x:v>LT-0514</x:v>
      </x:c>
      <x:c r="B515" s="23" t="str">
        <x:v>Ing Pairings- Poultry.xlsx</x:v>
      </x:c>
      <x:c r="C515" s="23" t="str">
        <x:v>Sheet1</x:v>
      </x:c>
      <x:c r="D515" s="23" t="str">
        <x:v>poultry</x:v>
      </x:c>
      <x:c r="E515" s="23" t="str">
        <x:v>poultry</x:v>
      </x:c>
      <x:c r="F515" s="23" t="str">
        <x:v>family:poultry</x:v>
      </x:c>
      <x:c r="G515" s="23" t="str">
        <x:v>date</x:v>
      </x:c>
      <x:c r="H515" s="23" t="str">
        <x:v>Mentha</x:v>
      </x:c>
      <x:c r="I515" s="23" t="n">
        <x:v>37.5</x:v>
      </x:c>
      <x:c r="J515" s="23" t="str">
        <x:v>behavioral_regression_candidate</x:v>
      </x:c>
      <x:c r="K515" s="23" t="str">
        <x:v>legacy_output_unverified</x:v>
      </x:c>
      <x:c r="L515" s="23" t="str"/>
      <x:c r="M515" s="23" t="str"/>
    </x:row>
    <x:row r="516">
      <x:c r="A516" s="23" t="str">
        <x:v>LT-0515</x:v>
      </x:c>
      <x:c r="B516" s="23" t="str">
        <x:v>Ing Pairings- Poultry.xlsx</x:v>
      </x:c>
      <x:c r="C516" s="23" t="str">
        <x:v>Sheet1</x:v>
      </x:c>
      <x:c r="D516" s="23" t="str">
        <x:v>poultry</x:v>
      </x:c>
      <x:c r="E516" s="23" t="str">
        <x:v>poultry</x:v>
      </x:c>
      <x:c r="F516" s="23" t="str">
        <x:v>family:poultry</x:v>
      </x:c>
      <x:c r="G516" s="23" t="str">
        <x:v>dill</x:v>
      </x:c>
      <x:c r="H516" s="23" t="str">
        <x:v>Spice- Pepper</x:v>
      </x:c>
      <x:c r="I516" s="23" t="n">
        <x:v>3.9</x:v>
      </x:c>
      <x:c r="J516" s="23" t="str">
        <x:v>behavioral_regression_candidate</x:v>
      </x:c>
      <x:c r="K516" s="23" t="str">
        <x:v>legacy_output_unverified</x:v>
      </x:c>
      <x:c r="L516" s="23" t="str"/>
      <x:c r="M516" s="23" t="str"/>
    </x:row>
    <x:row r="517">
      <x:c r="A517" s="23" t="str">
        <x:v>LT-0516</x:v>
      </x:c>
      <x:c r="B517" s="23" t="str">
        <x:v>Ing Pairings- Poultry.xlsx</x:v>
      </x:c>
      <x:c r="C517" s="23" t="str">
        <x:v>Sheet1</x:v>
      </x:c>
      <x:c r="D517" s="23" t="str">
        <x:v>poultry</x:v>
      </x:c>
      <x:c r="E517" s="23" t="str">
        <x:v>poultry</x:v>
      </x:c>
      <x:c r="F517" s="23" t="str">
        <x:v>family:poultry</x:v>
      </x:c>
      <x:c r="G517" s="23" t="str">
        <x:v>fennel</x:v>
      </x:c>
      <x:c r="H517" s="23" t="str">
        <x:v>Cardamom</x:v>
      </x:c>
      <x:c r="I517" s="23" t="n">
        <x:v>17.5</x:v>
      </x:c>
      <x:c r="J517" s="23" t="str">
        <x:v>behavioral_regression_candidate</x:v>
      </x:c>
      <x:c r="K517" s="23" t="str">
        <x:v>legacy_output_unverified</x:v>
      </x:c>
      <x:c r="L517" s="23" t="str"/>
      <x:c r="M517" s="23" t="str"/>
    </x:row>
    <x:row r="518">
      <x:c r="A518" s="23" t="str">
        <x:v>LT-0517</x:v>
      </x:c>
      <x:c r="B518" s="23" t="str">
        <x:v>Ing Pairings- Poultry.xlsx</x:v>
      </x:c>
      <x:c r="C518" s="23" t="str">
        <x:v>Sheet1</x:v>
      </x:c>
      <x:c r="D518" s="23" t="str">
        <x:v>poultry</x:v>
      </x:c>
      <x:c r="E518" s="23" t="str">
        <x:v>poultry</x:v>
      </x:c>
      <x:c r="F518" s="23" t="str">
        <x:v>family:poultry</x:v>
      </x:c>
      <x:c r="G518" s="23" t="str">
        <x:v>ginger</x:v>
      </x:c>
      <x:c r="H518" s="23" t="str">
        <x:v>Petrol- Oregano</x:v>
      </x:c>
      <x:c r="I518" s="23" t="n">
        <x:v>11.5</x:v>
      </x:c>
      <x:c r="J518" s="23" t="str">
        <x:v>behavioral_regression_candidate</x:v>
      </x:c>
      <x:c r="K518" s="23" t="str">
        <x:v>legacy_output_unverified</x:v>
      </x:c>
      <x:c r="L518" s="23" t="str"/>
      <x:c r="M518" s="23" t="str"/>
    </x:row>
    <x:row r="519">
      <x:c r="A519" s="23" t="str">
        <x:v>LT-0518</x:v>
      </x:c>
      <x:c r="B519" s="23" t="str">
        <x:v>Ing Pairings- Poultry.xlsx</x:v>
      </x:c>
      <x:c r="C519" s="23" t="str">
        <x:v>Sheet1</x:v>
      </x:c>
      <x:c r="D519" s="23" t="str">
        <x:v>poultry</x:v>
      </x:c>
      <x:c r="E519" s="23" t="str">
        <x:v>poultry</x:v>
      </x:c>
      <x:c r="F519" s="23" t="str">
        <x:v>family:poultry</x:v>
      </x:c>
      <x:c r="G519" s="23" t="str">
        <x:v>guava</x:v>
      </x:c>
      <x:c r="H519" s="23" t="str">
        <x:v>Smoke- malt whisky</x:v>
      </x:c>
      <x:c r="I519" s="23" t="n">
        <x:v>21.3</x:v>
      </x:c>
      <x:c r="J519" s="23" t="str">
        <x:v>behavioral_regression_candidate</x:v>
      </x:c>
      <x:c r="K519" s="23" t="str">
        <x:v>legacy_output_unverified</x:v>
      </x:c>
      <x:c r="L519" s="23" t="str"/>
      <x:c r="M519" s="23" t="str"/>
    </x:row>
    <x:row r="520">
      <x:c r="A520" s="23" t="str">
        <x:v>LT-0519</x:v>
      </x:c>
      <x:c r="B520" s="23" t="str">
        <x:v>Ing Pairings- Poultry.xlsx</x:v>
      </x:c>
      <x:c r="C520" s="23" t="str">
        <x:v>Sheet1</x:v>
      </x:c>
      <x:c r="D520" s="23" t="str">
        <x:v>poultry</x:v>
      </x:c>
      <x:c r="E520" s="23" t="str">
        <x:v>poultry</x:v>
      </x:c>
      <x:c r="F520" s="23" t="str">
        <x:v>family:poultry</x:v>
      </x:c>
      <x:c r="G520" s="23" t="str">
        <x:v>laurel</x:v>
      </x:c>
      <x:c r="H520" s="23" t="str">
        <x:v>Vanilla</x:v>
      </x:c>
      <x:c r="I520" s="23" t="n">
        <x:v>26.9</x:v>
      </x:c>
      <x:c r="J520" s="23" t="str">
        <x:v>behavioral_regression_candidate</x:v>
      </x:c>
      <x:c r="K520" s="23" t="str">
        <x:v>legacy_output_unverified</x:v>
      </x:c>
      <x:c r="L520" s="23" t="str"/>
      <x:c r="M520" s="23" t="str"/>
    </x:row>
    <x:row r="521">
      <x:c r="A521" s="23" t="str">
        <x:v>LT-0520</x:v>
      </x:c>
      <x:c r="B521" s="23" t="str">
        <x:v>Ing Pairings- Poultry.xlsx</x:v>
      </x:c>
      <x:c r="C521" s="23" t="str">
        <x:v>Sheet1</x:v>
      </x:c>
      <x:c r="D521" s="23" t="str">
        <x:v>poultry</x:v>
      </x:c>
      <x:c r="E521" s="23" t="str">
        <x:v>poultry</x:v>
      </x:c>
      <x:c r="F521" s="23" t="str">
        <x:v>family:poultry</x:v>
      </x:c>
      <x:c r="G521" s="23" t="str">
        <x:v>lovage</x:v>
      </x:c>
      <x:c r="H521" s="23" t="str">
        <x:v>Chocolate- Roasted Cocoa Beans</x:v>
      </x:c>
      <x:c r="I521" s="23" t="n">
        <x:v>35</x:v>
      </x:c>
      <x:c r="J521" s="23" t="str">
        <x:v>behavioral_regression_candidate</x:v>
      </x:c>
      <x:c r="K521" s="23" t="str">
        <x:v>legacy_output_unverified</x:v>
      </x:c>
      <x:c r="L521" s="23" t="str"/>
      <x:c r="M521" s="23" t="str"/>
    </x:row>
    <x:row r="522">
      <x:c r="A522" s="23" t="str">
        <x:v>LT-0521</x:v>
      </x:c>
      <x:c r="B522" s="23" t="str">
        <x:v>Ing Pairings- Poultry.xlsx</x:v>
      </x:c>
      <x:c r="C522" s="23" t="str">
        <x:v>Sheet1</x:v>
      </x:c>
      <x:c r="D522" s="23" t="str">
        <x:v>poultry</x:v>
      </x:c>
      <x:c r="E522" s="23" t="str">
        <x:v>poultry</x:v>
      </x:c>
      <x:c r="F522" s="23" t="str">
        <x:v>family:poultry</x:v>
      </x:c>
      <x:c r="G522" s="23" t="str">
        <x:v>mace</x:v>
      </x:c>
      <x:c r="H522" s="23" t="str">
        <x:v>Meaty- Chicken (roasted)</x:v>
      </x:c>
      <x:c r="I522" s="23" t="n">
        <x:v>100</x:v>
      </x:c>
      <x:c r="J522" s="23" t="str">
        <x:v>behavioral_regression_candidate</x:v>
      </x:c>
      <x:c r="K522" s="23" t="str">
        <x:v>legacy_output_unverified</x:v>
      </x:c>
      <x:c r="L522" s="23" t="str"/>
      <x:c r="M522" s="23" t="str"/>
    </x:row>
    <x:row r="523">
      <x:c r="A523" s="23" t="str">
        <x:v>LT-0522</x:v>
      </x:c>
      <x:c r="B523" s="23" t="str">
        <x:v>Ing Pairings- Poultry.xlsx</x:v>
      </x:c>
      <x:c r="C523" s="23" t="str">
        <x:v>Sheet1</x:v>
      </x:c>
      <x:c r="D523" s="23" t="str">
        <x:v>poultry</x:v>
      </x:c>
      <x:c r="E523" s="23" t="str">
        <x:v>poultry</x:v>
      </x:c>
      <x:c r="F523" s="23" t="str">
        <x:v>family:poultry</x:v>
      </x:c>
      <x:c r="G523" s="23" t="str">
        <x:v>mentha</x:v>
      </x:c>
      <x:c r="H523" s="23" t="str">
        <x:v>Beef (roasted)</x:v>
      </x:c>
      <x:c r="I523" s="23" t="n">
        <x:v>62.5</x:v>
      </x:c>
      <x:c r="J523" s="23" t="str">
        <x:v>behavioral_regression_candidate</x:v>
      </x:c>
      <x:c r="K523" s="23" t="str">
        <x:v>legacy_output_unverified</x:v>
      </x:c>
      <x:c r="L523" s="23" t="str"/>
      <x:c r="M523" s="23" t="str"/>
    </x:row>
    <x:row r="524">
      <x:c r="A524" s="23" t="str">
        <x:v>LT-0523</x:v>
      </x:c>
      <x:c r="B524" s="23" t="str">
        <x:v>Ing Pairings- Poultry.xlsx</x:v>
      </x:c>
      <x:c r="C524" s="23" t="str">
        <x:v>Sheet1</x:v>
      </x:c>
      <x:c r="D524" s="23" t="str">
        <x:v>poultry</x:v>
      </x:c>
      <x:c r="E524" s="23" t="str">
        <x:v>poultry</x:v>
      </x:c>
      <x:c r="F524" s="23" t="str">
        <x:v>family:poultry</x:v>
      </x:c>
      <x:c r="G524" s="23" t="str">
        <x:v>nutmeg</x:v>
      </x:c>
      <x:c r="H524" s="23" t="str">
        <x:v>Caramel- Coffee</x:v>
      </x:c>
      <x:c r="I524" s="23" t="n">
        <x:v>50.2</x:v>
      </x:c>
      <x:c r="J524" s="23" t="str">
        <x:v>behavioral_regression_candidate</x:v>
      </x:c>
      <x:c r="K524" s="23" t="str">
        <x:v>legacy_output_unverified</x:v>
      </x:c>
      <x:c r="L524" s="23" t="str"/>
      <x:c r="M524" s="23" t="str"/>
    </x:row>
    <x:row r="525">
      <x:c r="A525" s="23" t="str">
        <x:v>LT-0524</x:v>
      </x:c>
      <x:c r="B525" s="23" t="str">
        <x:v>Ing Pairings- Poultry.xlsx</x:v>
      </x:c>
      <x:c r="C525" s="23" t="str">
        <x:v>Sheet1</x:v>
      </x:c>
      <x:c r="D525" s="23" t="str">
        <x:v>poultry</x:v>
      </x:c>
      <x:c r="E525" s="23" t="str">
        <x:v>poultry</x:v>
      </x:c>
      <x:c r="F525" s="23" t="str">
        <x:v>family:poultry</x:v>
      </x:c>
      <x:c r="G525" s="23" t="str">
        <x:v>ocimum</x:v>
      </x:c>
      <x:c r="H525" s="23" t="str">
        <x:v>Malt</x:v>
      </x:c>
      <x:c r="I525" s="23" t="n">
        <x:v>41.3</x:v>
      </x:c>
      <x:c r="J525" s="23" t="str">
        <x:v>behavioral_regression_candidate</x:v>
      </x:c>
      <x:c r="K525" s="23" t="str">
        <x:v>legacy_output_unverified</x:v>
      </x:c>
      <x:c r="L525" s="23" t="str"/>
      <x:c r="M525" s="23" t="str"/>
    </x:row>
    <x:row r="526">
      <x:c r="A526" s="23" t="str">
        <x:v>LT-0525</x:v>
      </x:c>
      <x:c r="B526" s="23" t="str">
        <x:v>Ing Pairings- Poultry.xlsx</x:v>
      </x:c>
      <x:c r="C526" s="23" t="str">
        <x:v>Sheet1</x:v>
      </x:c>
      <x:c r="D526" s="23" t="str">
        <x:v>poultry</x:v>
      </x:c>
      <x:c r="E526" s="23" t="str">
        <x:v>poultry</x:v>
      </x:c>
      <x:c r="F526" s="23" t="str">
        <x:v>family:poultry</x:v>
      </x:c>
      <x:c r="G526" s="23" t="str">
        <x:v>origanum</x:v>
      </x:c>
      <x:c r="H526" s="23" t="str">
        <x:v>Nutty- Hazelnut</x:v>
      </x:c>
      <x:c r="I526" s="23" t="n">
        <x:v>45.9</x:v>
      </x:c>
      <x:c r="J526" s="23" t="str">
        <x:v>behavioral_regression_candidate</x:v>
      </x:c>
      <x:c r="K526" s="23" t="str">
        <x:v>legacy_output_unverified</x:v>
      </x:c>
      <x:c r="L526" s="23" t="str"/>
      <x:c r="M526" s="23" t="str"/>
    </x:row>
    <x:row r="527">
      <x:c r="A527" s="23" t="str">
        <x:v>LT-0526</x:v>
      </x:c>
      <x:c r="B527" s="23" t="str">
        <x:v>Ing Pairings- Poultry.xlsx</x:v>
      </x:c>
      <x:c r="C527" s="23" t="str">
        <x:v>Sheet1</x:v>
      </x:c>
      <x:c r="D527" s="23" t="str">
        <x:v>poultry</x:v>
      </x:c>
      <x:c r="E527" s="23" t="str">
        <x:v>poultry</x:v>
      </x:c>
      <x:c r="F527" s="23" t="str">
        <x:v>family:poultry</x:v>
      </x:c>
      <x:c r="G527" s="23" t="str">
        <x:v>parsley</x:v>
      </x:c>
      <x:c r="H527" s="23" t="str">
        <x:v>Walnut</x:v>
      </x:c>
      <x:c r="I527" s="23" t="n">
        <x:v>47.5</x:v>
      </x:c>
      <x:c r="J527" s="23" t="str">
        <x:v>behavioral_regression_candidate</x:v>
      </x:c>
      <x:c r="K527" s="23" t="str">
        <x:v>legacy_output_unverified</x:v>
      </x:c>
      <x:c r="L527" s="23" t="str"/>
      <x:c r="M527" s="23" t="str"/>
    </x:row>
    <x:row r="528">
      <x:c r="A528" s="23" t="str">
        <x:v>LT-0527</x:v>
      </x:c>
      <x:c r="B528" s="23" t="str">
        <x:v>Ing Pairings- Poultry.xlsx</x:v>
      </x:c>
      <x:c r="C528" s="23" t="str">
        <x:v>Sheet1</x:v>
      </x:c>
      <x:c r="D528" s="23" t="str">
        <x:v>poultry</x:v>
      </x:c>
      <x:c r="E528" s="23" t="str">
        <x:v>poultry</x:v>
      </x:c>
      <x:c r="F528" s="23" t="str">
        <x:v>family:poultry</x:v>
      </x:c>
      <x:c r="G528" s="23" t="str">
        <x:v>pepper</x:v>
      </x:c>
      <x:c r="H528" s="23" t="str">
        <x:v>Toasted- Wheaten Bread</x:v>
      </x:c>
      <x:c r="I528" s="23" t="n">
        <x:v>53.8</x:v>
      </x:c>
      <x:c r="J528" s="23" t="str">
        <x:v>behavioral_regression_candidate</x:v>
      </x:c>
      <x:c r="K528" s="23" t="str">
        <x:v>legacy_output_unverified</x:v>
      </x:c>
      <x:c r="L528" s="23" t="str"/>
      <x:c r="M528" s="23" t="str"/>
    </x:row>
    <x:row r="529">
      <x:c r="A529" s="23" t="str">
        <x:v>LT-0528</x:v>
      </x:c>
      <x:c r="B529" s="23" t="str">
        <x:v>Ing Pairings- Poultry.xlsx</x:v>
      </x:c>
      <x:c r="C529" s="23" t="str">
        <x:v>Sheet1</x:v>
      </x:c>
      <x:c r="D529" s="23" t="str">
        <x:v>poultry</x:v>
      </x:c>
      <x:c r="E529" s="23" t="str">
        <x:v>poultry</x:v>
      </x:c>
      <x:c r="F529" s="23" t="str">
        <x:v>family:poultry</x:v>
      </x:c>
      <x:c r="G529" s="23" t="str">
        <x:v>pimento</x:v>
      </x:c>
      <x:c r="H529" s="23" t="str">
        <x:v>Sulphur- Allium</x:v>
      </x:c>
      <x:c r="I529" s="23" t="n">
        <x:v>30.2</x:v>
      </x:c>
      <x:c r="J529" s="23" t="str">
        <x:v>behavioral_regression_candidate</x:v>
      </x:c>
      <x:c r="K529" s="23" t="str">
        <x:v>legacy_output_unverified</x:v>
      </x:c>
      <x:c r="L529" s="23" t="str"/>
      <x:c r="M529" s="23" t="str"/>
    </x:row>
    <x:row r="530">
      <x:c r="A530" s="23" t="str">
        <x:v>LT-0529</x:v>
      </x:c>
      <x:c r="B530" s="23" t="str">
        <x:v>Ing Pairings- Poultry.xlsx</x:v>
      </x:c>
      <x:c r="C530" s="23" t="str">
        <x:v>Sheet1</x:v>
      </x:c>
      <x:c r="D530" s="23" t="str">
        <x:v>poultry</x:v>
      </x:c>
      <x:c r="E530" s="23" t="str">
        <x:v>poultry</x:v>
      </x:c>
      <x:c r="F530" s="23" t="str">
        <x:v>family:poultry</x:v>
      </x:c>
      <x:c r="G530" s="23" t="str">
        <x:v>pistachio</x:v>
      </x:c>
      <x:c r="H530" s="23" t="str">
        <x:v>Pungent- Mustard</x:v>
      </x:c>
      <x:c r="I530" s="23" t="n">
        <x:v>17.1</x:v>
      </x:c>
      <x:c r="J530" s="23" t="str">
        <x:v>behavioral_regression_candidate</x:v>
      </x:c>
      <x:c r="K530" s="23" t="str">
        <x:v>legacy_output_unverified</x:v>
      </x:c>
      <x:c r="L530" s="23" t="str"/>
      <x:c r="M530" s="23" t="str"/>
    </x:row>
    <x:row r="531">
      <x:c r="A531" s="23" t="str">
        <x:v>LT-0530</x:v>
      </x:c>
      <x:c r="B531" s="23" t="str">
        <x:v>Ing Pairings- Poultry.xlsx</x:v>
      </x:c>
      <x:c r="C531" s="23" t="str">
        <x:v>Sheet1</x:v>
      </x:c>
      <x:c r="D531" s="23" t="str">
        <x:v>poultry</x:v>
      </x:c>
      <x:c r="E531" s="23" t="str">
        <x:v>poultry</x:v>
      </x:c>
      <x:c r="F531" s="23" t="str">
        <x:v>family:poultry</x:v>
      </x:c>
      <x:c r="G531" s="23" t="str">
        <x:v>rosemary</x:v>
      </x:c>
      <x:c r="H531" s="23" t="str">
        <x:v>Phenol- Wine</x:v>
      </x:c>
      <x:c r="I531" s="23" t="n">
        <x:v>41.3</x:v>
      </x:c>
      <x:c r="J531" s="23" t="str">
        <x:v>behavioral_regression_candidate</x:v>
      </x:c>
      <x:c r="K531" s="23" t="str">
        <x:v>legacy_output_unverified</x:v>
      </x:c>
      <x:c r="L531" s="23" t="str"/>
      <x:c r="M531" s="23" t="str"/>
    </x:row>
    <x:row r="532">
      <x:c r="A532" s="23" t="str">
        <x:v>LT-0531</x:v>
      </x:c>
      <x:c r="B532" s="23" t="str">
        <x:v>Ing Pairings- Poultry.xlsx</x:v>
      </x:c>
      <x:c r="C532" s="23" t="str">
        <x:v>Sheet1</x:v>
      </x:c>
      <x:c r="D532" s="23" t="str">
        <x:v>poultry</x:v>
      </x:c>
      <x:c r="E532" s="23" t="str">
        <x:v>poultry</x:v>
      </x:c>
      <x:c r="F532" s="23" t="str">
        <x:v>family:poultry</x:v>
      </x:c>
      <x:c r="G532" s="23" t="str">
        <x:v>salvia</x:v>
      </x:c>
      <x:c r="H532" s="23" t="str">
        <x:v>Black Tea</x:v>
      </x:c>
      <x:c r="I532" s="23" t="n">
        <x:v>51.4</x:v>
      </x:c>
      <x:c r="J532" s="23" t="str">
        <x:v>behavioral_regression_candidate</x:v>
      </x:c>
      <x:c r="K532" s="23" t="str">
        <x:v>legacy_output_unverified</x:v>
      </x:c>
      <x:c r="L532" s="23" t="str"/>
      <x:c r="M532" s="23" t="str"/>
    </x:row>
    <x:row r="533">
      <x:c r="A533" s="23" t="str">
        <x:v>LT-0532</x:v>
      </x:c>
      <x:c r="B533" s="23" t="str">
        <x:v>Ing Pairings- Poultry.xlsx</x:v>
      </x:c>
      <x:c r="C533" s="23" t="str">
        <x:v>Sheet1</x:v>
      </x:c>
      <x:c r="D533" s="23" t="str">
        <x:v>poultry</x:v>
      </x:c>
      <x:c r="E533" s="23" t="str">
        <x:v>poultry</x:v>
      </x:c>
      <x:c r="F533" s="23" t="str">
        <x:v>family:poultry</x:v>
      </x:c>
      <x:c r="G533" s="23" t="str">
        <x:v>satureja</x:v>
      </x:c>
      <x:c r="H533" s="23" t="str">
        <x:v>Savory- Shoyu</x:v>
      </x:c>
      <x:c r="I533" s="23" t="n">
        <x:v>31.4</x:v>
      </x:c>
      <x:c r="J533" s="23" t="str">
        <x:v>behavioral_regression_candidate</x:v>
      </x:c>
      <x:c r="K533" s="23" t="str">
        <x:v>legacy_output_unverified</x:v>
      </x:c>
      <x:c r="L533" s="23" t="str"/>
      <x:c r="M533" s="23" t="str"/>
    </x:row>
    <x:row r="534">
      <x:c r="A534" s="23" t="str">
        <x:v>LT-0533</x:v>
      </x:c>
      <x:c r="B534" s="23" t="str">
        <x:v>Ing Pairings- Poultry.xlsx</x:v>
      </x:c>
      <x:c r="C534" s="23" t="str">
        <x:v>Sheet1</x:v>
      </x:c>
      <x:c r="D534" s="23" t="str">
        <x:v>poultry</x:v>
      </x:c>
      <x:c r="E534" s="23" t="str">
        <x:v>poultry</x:v>
      </x:c>
      <x:c r="F534" s="23" t="str">
        <x:v>family:poultry</x:v>
      </x:c>
      <x:c r="G534" s="23" t="str">
        <x:v>tarragon</x:v>
      </x:c>
      <x:c r="H534" s="23" t="str">
        <x:v>Katsuobushi</x:v>
      </x:c>
      <x:c r="I534" s="23" t="n">
        <x:v>57.5</x:v>
      </x:c>
      <x:c r="J534" s="23" t="str">
        <x:v>behavioral_regression_candidate</x:v>
      </x:c>
      <x:c r="K534" s="23" t="str">
        <x:v>legacy_output_unverified</x:v>
      </x:c>
      <x:c r="L534" s="23" t="str"/>
      <x:c r="M534" s="23" t="str"/>
    </x:row>
    <x:row r="535">
      <x:c r="A535" s="23" t="str">
        <x:v>LT-0534</x:v>
      </x:c>
      <x:c r="B535" s="23" t="str">
        <x:v>Ing Pairings- Poultry.xlsx</x:v>
      </x:c>
      <x:c r="C535" s="23" t="str">
        <x:v>Sheet1</x:v>
      </x:c>
      <x:c r="D535" s="23" t="str">
        <x:v>poultry</x:v>
      </x:c>
      <x:c r="E535" s="23" t="str">
        <x:v>poultry</x:v>
      </x:c>
      <x:c r="F535" s="23" t="str">
        <x:v>family:poultry</x:v>
      </x:c>
      <x:c r="G535" s="23" t="str">
        <x:v>thyme</x:v>
      </x:c>
      <x:c r="H535" s="23" t="str">
        <x:v>Sour- Vinegar</x:v>
      </x:c>
      <x:c r="I535" s="23" t="n">
        <x:v>21.3</x:v>
      </x:c>
      <x:c r="J535" s="23" t="str">
        <x:v>behavioral_regression_candidate</x:v>
      </x:c>
      <x:c r="K535" s="23" t="str">
        <x:v>legacy_output_unverified</x:v>
      </x:c>
      <x:c r="L535" s="23" t="str"/>
      <x:c r="M535" s="23" t="str"/>
    </x:row>
    <x:row r="536">
      <x:c r="A536" s="23" t="str">
        <x:v>LT-0535</x:v>
      </x:c>
      <x:c r="B536" s="23" t="str">
        <x:v>Ing Pairings- Poultry.xlsx</x:v>
      </x:c>
      <x:c r="C536" s="23" t="str">
        <x:v>Sheet1</x:v>
      </x:c>
      <x:c r="D536" s="23" t="str">
        <x:v>poultry</x:v>
      </x:c>
      <x:c r="E536" s="23" t="str">
        <x:v>poultry</x:v>
      </x:c>
      <x:c r="F536" s="23" t="str">
        <x:v>family:poultry</x:v>
      </x:c>
      <x:c r="G536" s="23" t="str">
        <x:v>banana</x:v>
      </x:c>
      <x:c r="H536" s="23" t="str">
        <x:v>Dairy- Milk</x:v>
      </x:c>
      <x:c r="I536" s="23" t="n">
        <x:v>69.3</x:v>
      </x:c>
      <x:c r="J536" s="23" t="str">
        <x:v>behavioral_regression_candidate</x:v>
      </x:c>
      <x:c r="K536" s="23" t="str">
        <x:v>legacy_output_unverified</x:v>
      </x:c>
      <x:c r="L536" s="23" t="str"/>
      <x:c r="M536" s="23" t="str"/>
    </x:row>
    <x:row r="537">
      <x:c r="A537" s="23" t="str">
        <x:v>LT-0536</x:v>
      </x:c>
      <x:c r="B537" s="23" t="str">
        <x:v>Ing Pairings- Poultry.xlsx</x:v>
      </x:c>
      <x:c r="C537" s="23" t="str">
        <x:v>Sheet1</x:v>
      </x:c>
      <x:c r="D537" s="23" t="str">
        <x:v>poultry</x:v>
      </x:c>
      <x:c r="E537" s="23" t="str">
        <x:v>poultry</x:v>
      </x:c>
      <x:c r="F537" s="23" t="str">
        <x:v>family:poultry</x:v>
      </x:c>
      <x:c r="G537" s="23" t="str">
        <x:v>allium</x:v>
      </x:c>
      <x:c r="H537" s="23" t="str">
        <x:v>Alcohol- Brandy</x:v>
      </x:c>
      <x:c r="I537" s="23" t="n">
        <x:v>35.3</x:v>
      </x:c>
      <x:c r="J537" s="23" t="str">
        <x:v>behavioral_regression_candidate</x:v>
      </x:c>
      <x:c r="K537" s="23" t="str">
        <x:v>legacy_output_unverified</x:v>
      </x:c>
      <x:c r="L537" s="23" t="str"/>
      <x:c r="M537" s="23" t="str"/>
    </x:row>
    <x:row r="538">
      <x:c r="A538" s="23" t="str">
        <x:v>LT-0537</x:v>
      </x:c>
      <x:c r="B538" s="23" t="str">
        <x:v>Ing Pairings- Poultry.xlsx</x:v>
      </x:c>
      <x:c r="C538" s="23" t="str">
        <x:v>Sheet1</x:v>
      </x:c>
      <x:c r="D538" s="23" t="str">
        <x:v>poultry</x:v>
      </x:c>
      <x:c r="E538" s="23" t="str">
        <x:v>poultry</x:v>
      </x:c>
      <x:c r="F538" s="23" t="str">
        <x:v>family:poultry</x:v>
      </x:c>
      <x:c r="G538" s="23" t="str">
        <x:v>apple</x:v>
      </x:c>
      <x:c r="H538" s="23" t="str">
        <x:v>Marine- Fish</x:v>
      </x:c>
      <x:c r="I538" s="23" t="n">
        <x:v>51.8</x:v>
      </x:c>
      <x:c r="J538" s="23" t="str">
        <x:v>behavioral_regression_candidate</x:v>
      </x:c>
      <x:c r="K538" s="23" t="str">
        <x:v>legacy_output_unverified</x:v>
      </x:c>
      <x:c r="L538" s="23" t="str"/>
      <x:c r="M538" s="23" t="str"/>
    </x:row>
    <x:row r="539">
      <x:c r="A539" s="23" t="str">
        <x:v>LT-0538</x:v>
      </x:c>
      <x:c r="B539" s="23" t="str">
        <x:v>Ing Pairings- Poultry.xlsx</x:v>
      </x:c>
      <x:c r="C539" s="23" t="str">
        <x:v>Sheet1</x:v>
      </x:c>
      <x:c r="D539" s="23" t="str">
        <x:v>poultry</x:v>
      </x:c>
      <x:c r="E539" s="23" t="str">
        <x:v>poultry</x:v>
      </x:c>
      <x:c r="F539" s="23" t="str">
        <x:v>family:poultry</x:v>
      </x:c>
      <x:c r="G539" s="23" t="str">
        <x:v>beef</x:v>
      </x:c>
      <x:c r="H539" s="23" t="str">
        <x:v>Shrimp (cooked)</x:v>
      </x:c>
      <x:c r="I539" s="23" t="n">
        <x:v>43.8</x:v>
      </x:c>
      <x:c r="J539" s="23" t="str">
        <x:v>behavioral_regression_candidate</x:v>
      </x:c>
      <x:c r="K539" s="23" t="str">
        <x:v>legacy_output_unverified</x:v>
      </x:c>
      <x:c r="L539" s="23" t="str"/>
      <x:c r="M539" s="23" t="str"/>
    </x:row>
    <x:row r="540">
      <x:c r="A540" s="23" t="str">
        <x:v>LT-0539</x:v>
      </x:c>
      <x:c r="B540" s="23" t="str">
        <x:v>Ing Pairings- Poultry.xlsx</x:v>
      </x:c>
      <x:c r="C540" s="23" t="str">
        <x:v>Sheet1</x:v>
      </x:c>
      <x:c r="D540" s="23" t="str">
        <x:v>poultry</x:v>
      </x:c>
      <x:c r="E540" s="23" t="str">
        <x:v>poultry</x:v>
      </x:c>
      <x:c r="F540" s="23" t="str">
        <x:v>family:poultry</x:v>
      </x:c>
      <x:c r="G540" s="23" t="str">
        <x:v>cherry</x:v>
      </x:c>
      <x:c r="H540" s="23" t="str"/>
      <x:c r="I540" s="23" t="str"/>
      <x:c r="J540" s="23" t="str">
        <x:v>behavioral_regression_candidate</x:v>
      </x:c>
      <x:c r="K540" s="23" t="str">
        <x:v>legacy_output_unverified</x:v>
      </x:c>
      <x:c r="L540" s="23" t="str"/>
      <x:c r="M540" s="23" t="str"/>
    </x:row>
    <x:row r="541">
      <x:c r="A541" s="23" t="str">
        <x:v>LT-0540</x:v>
      </x:c>
      <x:c r="B541" s="23" t="str">
        <x:v>Ing Pairings- Poultry.xlsx</x:v>
      </x:c>
      <x:c r="C541" s="23" t="str">
        <x:v>Sheet1</x:v>
      </x:c>
      <x:c r="D541" s="23" t="str">
        <x:v>poultry</x:v>
      </x:c>
      <x:c r="E541" s="23" t="str">
        <x:v>poultry</x:v>
      </x:c>
      <x:c r="F541" s="23" t="str">
        <x:v>family:poultry</x:v>
      </x:c>
      <x:c r="G541" s="23" t="str">
        <x:v>chervil</x:v>
      </x:c>
      <x:c r="H541" s="23" t="str"/>
      <x:c r="I541" s="23" t="str"/>
      <x:c r="J541" s="23" t="str">
        <x:v>behavioral_regression_candidate</x:v>
      </x:c>
      <x:c r="K541" s="23" t="str">
        <x:v>legacy_output_unverified</x:v>
      </x:c>
      <x:c r="L541" s="23" t="str"/>
      <x:c r="M541" s="23" t="str"/>
    </x:row>
    <x:row r="542">
      <x:c r="A542" s="23" t="str">
        <x:v>LT-0541</x:v>
      </x:c>
      <x:c r="B542" s="23" t="str">
        <x:v>Ing Pairings- Poultry.xlsx</x:v>
      </x:c>
      <x:c r="C542" s="23" t="str">
        <x:v>Sheet1</x:v>
      </x:c>
      <x:c r="D542" s="23" t="str">
        <x:v>poultry</x:v>
      </x:c>
      <x:c r="E542" s="23" t="str">
        <x:v>poultry</x:v>
      </x:c>
      <x:c r="F542" s="23" t="str">
        <x:v>family:poultry</x:v>
      </x:c>
      <x:c r="G542" s="23" t="str">
        <x:v>coconut</x:v>
      </x:c>
      <x:c r="H542" s="23" t="str"/>
      <x:c r="I542" s="23" t="str"/>
      <x:c r="J542" s="23" t="str">
        <x:v>behavioral_regression_candidate</x:v>
      </x:c>
      <x:c r="K542" s="23" t="str">
        <x:v>legacy_output_unverified</x:v>
      </x:c>
      <x:c r="L542" s="23" t="str"/>
      <x:c r="M542" s="23" t="str"/>
    </x:row>
    <x:row r="543">
      <x:c r="A543" s="23" t="str">
        <x:v>LT-0542</x:v>
      </x:c>
      <x:c r="B543" s="23" t="str">
        <x:v>Ing Pairings- Poultry.xlsx</x:v>
      </x:c>
      <x:c r="C543" s="23" t="str">
        <x:v>Sheet1</x:v>
      </x:c>
      <x:c r="D543" s="23" t="str">
        <x:v>poultry</x:v>
      </x:c>
      <x:c r="E543" s="23" t="str">
        <x:v>poultry</x:v>
      </x:c>
      <x:c r="F543" s="23" t="str">
        <x:v>family:poultry</x:v>
      </x:c>
      <x:c r="G543" s="23" t="str">
        <x:v>dill</x:v>
      </x:c>
      <x:c r="H543" s="23" t="str"/>
      <x:c r="I543" s="23" t="str"/>
      <x:c r="J543" s="23" t="str">
        <x:v>behavioral_regression_candidate</x:v>
      </x:c>
      <x:c r="K543" s="23" t="str">
        <x:v>legacy_output_unverified</x:v>
      </x:c>
      <x:c r="L543" s="23" t="str"/>
      <x:c r="M543" s="23" t="str"/>
    </x:row>
    <x:row r="544">
      <x:c r="A544" s="23" t="str">
        <x:v>LT-0543</x:v>
      </x:c>
      <x:c r="B544" s="23" t="str">
        <x:v>Ing Pairings- Poultry.xlsx</x:v>
      </x:c>
      <x:c r="C544" s="23" t="str">
        <x:v>Sheet1</x:v>
      </x:c>
      <x:c r="D544" s="23" t="str">
        <x:v>poultry</x:v>
      </x:c>
      <x:c r="E544" s="23" t="str">
        <x:v>poultry</x:v>
      </x:c>
      <x:c r="F544" s="23" t="str">
        <x:v>family:poultry</x:v>
      </x:c>
      <x:c r="G544" s="23" t="str">
        <x:v>egg</x:v>
      </x:c>
      <x:c r="H544" s="23" t="str"/>
      <x:c r="I544" s="23" t="str"/>
      <x:c r="J544" s="23" t="str">
        <x:v>behavioral_regression_candidate</x:v>
      </x:c>
      <x:c r="K544" s="23" t="str">
        <x:v>legacy_output_unverified</x:v>
      </x:c>
      <x:c r="L544" s="23" t="str"/>
      <x:c r="M544" s="23" t="str"/>
    </x:row>
    <x:row r="545">
      <x:c r="A545" s="23" t="str">
        <x:v>LT-0544</x:v>
      </x:c>
      <x:c r="B545" s="23" t="str">
        <x:v>Ing Pairings- Poultry.xlsx</x:v>
      </x:c>
      <x:c r="C545" s="23" t="str">
        <x:v>Sheet1</x:v>
      </x:c>
      <x:c r="D545" s="23" t="str">
        <x:v>poultry</x:v>
      </x:c>
      <x:c r="E545" s="23" t="str">
        <x:v>poultry</x:v>
      </x:c>
      <x:c r="F545" s="23" t="str">
        <x:v>family:poultry</x:v>
      </x:c>
      <x:c r="G545" s="23" t="str">
        <x:v>endive</x:v>
      </x:c>
      <x:c r="H545" s="23" t="str"/>
      <x:c r="I545" s="23" t="str"/>
      <x:c r="J545" s="23" t="str">
        <x:v>behavioral_regression_candidate</x:v>
      </x:c>
      <x:c r="K545" s="23" t="str">
        <x:v>legacy_output_unverified</x:v>
      </x:c>
      <x:c r="L545" s="23" t="str"/>
      <x:c r="M545" s="23" t="str"/>
    </x:row>
    <x:row r="546">
      <x:c r="A546" s="23" t="str">
        <x:v>LT-0545</x:v>
      </x:c>
      <x:c r="B546" s="23" t="str">
        <x:v>Ing Pairings- Poultry.xlsx</x:v>
      </x:c>
      <x:c r="C546" s="23" t="str">
        <x:v>Sheet1</x:v>
      </x:c>
      <x:c r="D546" s="23" t="str">
        <x:v>poultry</x:v>
      </x:c>
      <x:c r="E546" s="23" t="str">
        <x:v>poultry</x:v>
      </x:c>
      <x:c r="F546" s="23" t="str">
        <x:v>family:poultry</x:v>
      </x:c>
      <x:c r="G546" s="23" t="str">
        <x:v>hazelnut</x:v>
      </x:c>
      <x:c r="H546" s="23" t="str"/>
      <x:c r="I546" s="23" t="str"/>
      <x:c r="J546" s="23" t="str">
        <x:v>behavioral_regression_candidate</x:v>
      </x:c>
      <x:c r="K546" s="23" t="str">
        <x:v>legacy_output_unverified</x:v>
      </x:c>
      <x:c r="L546" s="23" t="str"/>
      <x:c r="M546" s="23" t="str"/>
    </x:row>
    <x:row r="547">
      <x:c r="A547" s="23" t="str">
        <x:v>LT-0546</x:v>
      </x:c>
      <x:c r="B547" s="23" t="str">
        <x:v>Ing Pairings- Poultry.xlsx</x:v>
      </x:c>
      <x:c r="C547" s="23" t="str">
        <x:v>Sheet1</x:v>
      </x:c>
      <x:c r="D547" s="23" t="str">
        <x:v>poultry</x:v>
      </x:c>
      <x:c r="E547" s="23" t="str">
        <x:v>poultry</x:v>
      </x:c>
      <x:c r="F547" s="23" t="str">
        <x:v>family:poultry</x:v>
      </x:c>
      <x:c r="G547" s="23" t="str">
        <x:v>fish</x:v>
      </x:c>
      <x:c r="H547" s="23" t="str"/>
      <x:c r="I547" s="23" t="str"/>
      <x:c r="J547" s="23" t="str">
        <x:v>behavioral_regression_candidate</x:v>
      </x:c>
      <x:c r="K547" s="23" t="str">
        <x:v>legacy_output_unverified</x:v>
      </x:c>
      <x:c r="L547" s="23" t="str"/>
      <x:c r="M547" s="23" t="str"/>
    </x:row>
    <x:row r="548">
      <x:c r="A548" s="23" t="str">
        <x:v>LT-0547</x:v>
      </x:c>
      <x:c r="B548" s="23" t="str">
        <x:v>Ing Pairings- Poultry.xlsx</x:v>
      </x:c>
      <x:c r="C548" s="23" t="str">
        <x:v>Sheet1</x:v>
      </x:c>
      <x:c r="D548" s="23" t="str">
        <x:v>poultry</x:v>
      </x:c>
      <x:c r="E548" s="23" t="str">
        <x:v>poultry</x:v>
      </x:c>
      <x:c r="F548" s="23" t="str">
        <x:v>family:poultry</x:v>
      </x:c>
      <x:c r="G548" s="23" t="str">
        <x:v>grape</x:v>
      </x:c>
      <x:c r="H548" s="23" t="str"/>
      <x:c r="I548" s="23" t="str"/>
      <x:c r="J548" s="23" t="str">
        <x:v>behavioral_regression_candidate</x:v>
      </x:c>
      <x:c r="K548" s="23" t="str">
        <x:v>legacy_output_unverified</x:v>
      </x:c>
      <x:c r="L548" s="23" t="str"/>
      <x:c r="M548" s="23" t="str"/>
    </x:row>
    <x:row r="549">
      <x:c r="A549" s="23" t="str">
        <x:v>LT-0548</x:v>
      </x:c>
      <x:c r="B549" s="23" t="str">
        <x:v>Ing Pairings- Poultry.xlsx</x:v>
      </x:c>
      <x:c r="C549" s="23" t="str">
        <x:v>Sheet1</x:v>
      </x:c>
      <x:c r="D549" s="23" t="str">
        <x:v>poultry</x:v>
      </x:c>
      <x:c r="E549" s="23" t="str">
        <x:v>poultry</x:v>
      </x:c>
      <x:c r="F549" s="23" t="str">
        <x:v>family:poultry</x:v>
      </x:c>
      <x:c r="G549" s="23" t="str">
        <x:v>mushroom</x:v>
      </x:c>
      <x:c r="H549" s="23" t="str"/>
      <x:c r="I549" s="23" t="str"/>
      <x:c r="J549" s="23" t="str">
        <x:v>behavioral_regression_candidate</x:v>
      </x:c>
      <x:c r="K549" s="23" t="str">
        <x:v>legacy_output_unverified</x:v>
      </x:c>
      <x:c r="L549" s="23" t="str"/>
      <x:c r="M549" s="23" t="str"/>
    </x:row>
    <x:row r="550">
      <x:c r="A550" s="23" t="str">
        <x:v>LT-0549</x:v>
      </x:c>
      <x:c r="B550" s="23" t="str">
        <x:v>Ing Pairings- Poultry.xlsx</x:v>
      </x:c>
      <x:c r="C550" s="23" t="str">
        <x:v>Sheet1</x:v>
      </x:c>
      <x:c r="D550" s="23" t="str">
        <x:v>poultry</x:v>
      </x:c>
      <x:c r="E550" s="23" t="str">
        <x:v>poultry</x:v>
      </x:c>
      <x:c r="F550" s="23" t="str">
        <x:v>family:poultry</x:v>
      </x:c>
      <x:c r="G550" s="23" t="str">
        <x:v>milk</x:v>
      </x:c>
      <x:c r="H550" s="23" t="str"/>
      <x:c r="I550" s="23" t="str"/>
      <x:c r="J550" s="23" t="str">
        <x:v>behavioral_regression_candidate</x:v>
      </x:c>
      <x:c r="K550" s="23" t="str">
        <x:v>legacy_output_unverified</x:v>
      </x:c>
      <x:c r="L550" s="23" t="str"/>
      <x:c r="M550" s="23" t="str"/>
    </x:row>
    <x:row r="551">
      <x:c r="A551" s="23" t="str">
        <x:v>LT-0550</x:v>
      </x:c>
      <x:c r="B551" s="23" t="str">
        <x:v>Ing Pairings- Poultry.xlsx</x:v>
      </x:c>
      <x:c r="C551" s="23" t="str">
        <x:v>Sheet1</x:v>
      </x:c>
      <x:c r="D551" s="23" t="str">
        <x:v>poultry</x:v>
      </x:c>
      <x:c r="E551" s="23" t="str">
        <x:v>poultry</x:v>
      </x:c>
      <x:c r="F551" s="23" t="str">
        <x:v>family:poultry</x:v>
      </x:c>
      <x:c r="G551" s="23" t="str">
        <x:v>honey</x:v>
      </x:c>
      <x:c r="H551" s="23" t="str"/>
      <x:c r="I551" s="23" t="str"/>
      <x:c r="J551" s="23" t="str">
        <x:v>behavioral_regression_candidate</x:v>
      </x:c>
      <x:c r="K551" s="23" t="str">
        <x:v>legacy_output_unverified</x:v>
      </x:c>
      <x:c r="L551" s="23" t="str"/>
      <x:c r="M551" s="23" t="str"/>
    </x:row>
    <x:row r="552">
      <x:c r="A552" s="23" t="str">
        <x:v>LT-0551</x:v>
      </x:c>
      <x:c r="B552" s="23" t="str">
        <x:v>Ing Pairings- Poultry.xlsx</x:v>
      </x:c>
      <x:c r="C552" s="23" t="str">
        <x:v>Sheet1</x:v>
      </x:c>
      <x:c r="D552" s="23" t="str">
        <x:v>poultry</x:v>
      </x:c>
      <x:c r="E552" s="23" t="str">
        <x:v>poultry</x:v>
      </x:c>
      <x:c r="F552" s="23" t="str">
        <x:v>family:poultry</x:v>
      </x:c>
      <x:c r="G552" s="23" t="str">
        <x:v>guinea hen</x:v>
      </x:c>
      <x:c r="H552" s="23" t="str"/>
      <x:c r="I552" s="23" t="str"/>
      <x:c r="J552" s="23" t="str">
        <x:v>behavioral_regression_candidate</x:v>
      </x:c>
      <x:c r="K552" s="23" t="str">
        <x:v>legacy_output_unverified</x:v>
      </x:c>
      <x:c r="L552" s="23" t="str"/>
      <x:c r="M552" s="23" t="str"/>
    </x:row>
    <x:row r="553">
      <x:c r="A553" s="23" t="str">
        <x:v>LT-0552</x:v>
      </x:c>
      <x:c r="B553" s="23" t="str">
        <x:v>Ing Pairings- Poultry.xlsx</x:v>
      </x:c>
      <x:c r="C553" s="23" t="str">
        <x:v>Sheet1</x:v>
      </x:c>
      <x:c r="D553" s="23" t="str">
        <x:v>poultry</x:v>
      </x:c>
      <x:c r="E553" s="23" t="str">
        <x:v>poultry</x:v>
      </x:c>
      <x:c r="F553" s="23" t="str">
        <x:v>family:poultry</x:v>
      </x:c>
      <x:c r="G553" s="23" t="str">
        <x:v>lettuce</x:v>
      </x:c>
      <x:c r="H553" s="23" t="str"/>
      <x:c r="I553" s="23" t="str"/>
      <x:c r="J553" s="23" t="str">
        <x:v>behavioral_regression_candidate</x:v>
      </x:c>
      <x:c r="K553" s="23" t="str">
        <x:v>legacy_output_unverified</x:v>
      </x:c>
      <x:c r="L553" s="23" t="str"/>
      <x:c r="M553" s="23" t="str"/>
    </x:row>
    <x:row r="554">
      <x:c r="A554" s="23" t="str">
        <x:v>LT-0553</x:v>
      </x:c>
      <x:c r="B554" s="23" t="str">
        <x:v>Ing Pairings- Poultry.xlsx</x:v>
      </x:c>
      <x:c r="C554" s="23" t="str">
        <x:v>Sheet1</x:v>
      </x:c>
      <x:c r="D554" s="23" t="str">
        <x:v>poultry</x:v>
      </x:c>
      <x:c r="E554" s="23" t="str">
        <x:v>poultry</x:v>
      </x:c>
      <x:c r="F554" s="23" t="str">
        <x:v>family:poultry</x:v>
      </x:c>
      <x:c r="G554" s="23" t="str">
        <x:v>tea</x:v>
      </x:c>
      <x:c r="H554" s="23" t="str"/>
      <x:c r="I554" s="23" t="str"/>
      <x:c r="J554" s="23" t="str">
        <x:v>behavioral_regression_candidate</x:v>
      </x:c>
      <x:c r="K554" s="23" t="str">
        <x:v>legacy_output_unverified</x:v>
      </x:c>
      <x:c r="L554" s="23" t="str"/>
      <x:c r="M554" s="23" t="str"/>
    </x:row>
    <x:row r="555">
      <x:c r="A555" s="23" t="str">
        <x:v>LT-0554</x:v>
      </x:c>
      <x:c r="B555" s="23" t="str">
        <x:v>Ing Pairings- Poultry.xlsx</x:v>
      </x:c>
      <x:c r="C555" s="23" t="str">
        <x:v>Sheet1</x:v>
      </x:c>
      <x:c r="D555" s="23" t="str">
        <x:v>poultry</x:v>
      </x:c>
      <x:c r="E555" s="23" t="str">
        <x:v>poultry</x:v>
      </x:c>
      <x:c r="F555" s="23" t="str">
        <x:v>family:poultry</x:v>
      </x:c>
      <x:c r="G555" s="23" t="str">
        <x:v>tomato</x:v>
      </x:c>
      <x:c r="H555" s="23" t="str"/>
      <x:c r="I555" s="23" t="str"/>
      <x:c r="J555" s="23" t="str">
        <x:v>behavioral_regression_candidate</x:v>
      </x:c>
      <x:c r="K555" s="23" t="str">
        <x:v>legacy_output_unverified</x:v>
      </x:c>
      <x:c r="L555" s="23" t="str"/>
      <x:c r="M555" s="23" t="str"/>
    </x:row>
    <x:row r="556">
      <x:c r="A556" s="23" t="str">
        <x:v>LT-0555</x:v>
      </x:c>
      <x:c r="B556" s="23" t="str">
        <x:v>Ing Pairings- Poultry.xlsx</x:v>
      </x:c>
      <x:c r="C556" s="23" t="str">
        <x:v>Sheet1</x:v>
      </x:c>
      <x:c r="D556" s="23" t="str">
        <x:v>poultry</x:v>
      </x:c>
      <x:c r="E556" s="23" t="str">
        <x:v>poultry</x:v>
      </x:c>
      <x:c r="F556" s="23" t="str">
        <x:v>family:poultry</x:v>
      </x:c>
      <x:c r="G556" s="23" t="str">
        <x:v>oat</x:v>
      </x:c>
      <x:c r="H556" s="23" t="str"/>
      <x:c r="I556" s="23" t="str"/>
      <x:c r="J556" s="23" t="str">
        <x:v>behavioral_regression_candidate</x:v>
      </x:c>
      <x:c r="K556" s="23" t="str">
        <x:v>legacy_output_unverified</x:v>
      </x:c>
      <x:c r="L556" s="23" t="str"/>
      <x:c r="M556" s="23" t="str"/>
    </x:row>
    <x:row r="557">
      <x:c r="A557" s="23" t="str">
        <x:v>LT-0556</x:v>
      </x:c>
      <x:c r="B557" s="23" t="str">
        <x:v>Ing Pairings- Poultry.xlsx</x:v>
      </x:c>
      <x:c r="C557" s="23" t="str">
        <x:v>Sheet1</x:v>
      </x:c>
      <x:c r="D557" s="23" t="str">
        <x:v>poultry</x:v>
      </x:c>
      <x:c r="E557" s="23" t="str">
        <x:v>poultry</x:v>
      </x:c>
      <x:c r="F557" s="23" t="str">
        <x:v>family:poultry</x:v>
      </x:c>
      <x:c r="G557" s="23" t="str">
        <x:v>olive</x:v>
      </x:c>
      <x:c r="H557" s="23" t="str"/>
      <x:c r="I557" s="23" t="str"/>
      <x:c r="J557" s="23" t="str">
        <x:v>behavioral_regression_candidate</x:v>
      </x:c>
      <x:c r="K557" s="23" t="str">
        <x:v>legacy_output_unverified</x:v>
      </x:c>
      <x:c r="L557" s="23" t="str"/>
      <x:c r="M557" s="23" t="str"/>
    </x:row>
    <x:row r="558">
      <x:c r="A558" s="23" t="str">
        <x:v>LT-0557</x:v>
      </x:c>
      <x:c r="B558" s="23" t="str">
        <x:v>Ing Pairings- Poultry.xlsx</x:v>
      </x:c>
      <x:c r="C558" s="23" t="str">
        <x:v>Sheet1</x:v>
      </x:c>
      <x:c r="D558" s="23" t="str">
        <x:v>poultry</x:v>
      </x:c>
      <x:c r="E558" s="23" t="str">
        <x:v>poultry</x:v>
      </x:c>
      <x:c r="F558" s="23" t="str">
        <x:v>family:poultry</x:v>
      </x:c>
      <x:c r="G558" s="23" t="str">
        <x:v>potato</x:v>
      </x:c>
      <x:c r="H558" s="23" t="str"/>
      <x:c r="I558" s="23" t="str"/>
      <x:c r="J558" s="23" t="str">
        <x:v>behavioral_regression_candidate</x:v>
      </x:c>
      <x:c r="K558" s="23" t="str">
        <x:v>legacy_output_unverified</x:v>
      </x:c>
      <x:c r="L558" s="23" t="str"/>
      <x:c r="M558" s="23" t="str"/>
    </x:row>
    <x:row r="559">
      <x:c r="A559" s="23" t="str">
        <x:v>LT-0558</x:v>
      </x:c>
      <x:c r="B559" s="23" t="str">
        <x:v>Ing Pairings- Poultry.xlsx</x:v>
      </x:c>
      <x:c r="C559" s="23" t="str">
        <x:v>Sheet1</x:v>
      </x:c>
      <x:c r="D559" s="23" t="str">
        <x:v>poultry</x:v>
      </x:c>
      <x:c r="E559" s="23" t="str">
        <x:v>poultry</x:v>
      </x:c>
      <x:c r="F559" s="23" t="str">
        <x:v>family:poultry</x:v>
      </x:c>
      <x:c r="G559" s="23" t="str">
        <x:v>vaccinium</x:v>
      </x:c>
      <x:c r="H559" s="23" t="str"/>
      <x:c r="I559" s="23" t="str"/>
      <x:c r="J559" s="23" t="str">
        <x:v>behavioral_regression_candidate</x:v>
      </x:c>
      <x:c r="K559" s="23" t="str">
        <x:v>legacy_output_unverified</x:v>
      </x:c>
      <x:c r="L559" s="23" t="str"/>
      <x:c r="M559" s="23" t="str"/>
    </x:row>
    <x:row r="560">
      <x:c r="A560" s="23" t="str">
        <x:v>LT-0559</x:v>
      </x:c>
      <x:c r="B560" s="23" t="str">
        <x:v>Ing Pairings- Poultry.xlsx</x:v>
      </x:c>
      <x:c r="C560" s="23" t="str">
        <x:v>Sheet1</x:v>
      </x:c>
      <x:c r="D560" s="23" t="str">
        <x:v>poultry</x:v>
      </x:c>
      <x:c r="E560" s="23" t="str">
        <x:v>poultry</x:v>
      </x:c>
      <x:c r="F560" s="23" t="str">
        <x:v>family:poultry</x:v>
      </x:c>
      <x:c r="G560" s="23" t="str">
        <x:v>walnut</x:v>
      </x:c>
      <x:c r="H560" s="23" t="str"/>
      <x:c r="I560" s="23" t="str"/>
      <x:c r="J560" s="23" t="str">
        <x:v>behavioral_regression_candidate</x:v>
      </x:c>
      <x:c r="K560" s="23" t="str">
        <x:v>legacy_output_unverified</x:v>
      </x:c>
      <x:c r="L560" s="23" t="str"/>
      <x:c r="M560" s="23" t="str"/>
    </x:row>
    <x:row r="561">
      <x:c r="A561" s="23" t="str">
        <x:v>LT-0560</x:v>
      </x:c>
      <x:c r="B561" s="23" t="str">
        <x:v>Ing Pairings- Poultry.xlsx</x:v>
      </x:c>
      <x:c r="C561" s="23" t="str">
        <x:v>Sheet1</x:v>
      </x:c>
      <x:c r="D561" s="23" t="str">
        <x:v>poultry</x:v>
      </x:c>
      <x:c r="E561" s="23" t="str">
        <x:v>poultry</x:v>
      </x:c>
      <x:c r="F561" s="23" t="str">
        <x:v>family:poultry</x:v>
      </x:c>
      <x:c r="G561" s="23" t="str">
        <x:v>wine</x:v>
      </x:c>
      <x:c r="H561" s="23" t="str"/>
      <x:c r="I561" s="23" t="str"/>
      <x:c r="J561" s="23" t="str">
        <x:v>behavioral_regression_candidate</x:v>
      </x:c>
      <x:c r="K561" s="23" t="str">
        <x:v>legacy_output_unverified</x:v>
      </x:c>
      <x:c r="L561" s="23" t="str"/>
      <x:c r="M561" s="23" t="str"/>
    </x:row>
    <x:row r="562">
      <x:c r="A562" s="23" t="str">
        <x:v>LT-0561</x:v>
      </x:c>
      <x:c r="B562" s="23" t="str">
        <x:v>Ing Pairings- Poultry.xlsx</x:v>
      </x:c>
      <x:c r="C562" s="23" t="str">
        <x:v>Sheet1</x:v>
      </x:c>
      <x:c r="D562" s="23" t="str">
        <x:v>poultry</x:v>
      </x:c>
      <x:c r="E562" s="23" t="str">
        <x:v>poultry</x:v>
      </x:c>
      <x:c r="F562" s="23" t="str">
        <x:v>family:poultry</x:v>
      </x:c>
      <x:c r="G562" s="23" t="str">
        <x:v>passion fruit</x:v>
      </x:c>
      <x:c r="H562" s="23" t="str"/>
      <x:c r="I562" s="23" t="str"/>
      <x:c r="J562" s="23" t="str">
        <x:v>behavioral_regression_candidate</x:v>
      </x:c>
      <x:c r="K562" s="23" t="str">
        <x:v>legacy_output_unverified</x:v>
      </x:c>
      <x:c r="L562" s="23" t="str"/>
      <x:c r="M562" s="23" t="str"/>
    </x:row>
    <x:row r="563">
      <x:c r="A563" s="23" t="str">
        <x:v>LT-0562</x:v>
      </x:c>
      <x:c r="B563" s="23" t="str">
        <x:v>Ing Pairings- Poultry.xlsx</x:v>
      </x:c>
      <x:c r="C563" s="23" t="str">
        <x:v>Sheet1</x:v>
      </x:c>
      <x:c r="D563" s="23" t="str">
        <x:v>poultry</x:v>
      </x:c>
      <x:c r="E563" s="23" t="str">
        <x:v>poultry</x:v>
      </x:c>
      <x:c r="F563" s="23" t="str">
        <x:v>family:poultry</x:v>
      </x:c>
      <x:c r="G563" s="23" t="str">
        <x:v>plum</x:v>
      </x:c>
      <x:c r="H563" s="23" t="str"/>
      <x:c r="I563" s="23" t="str"/>
      <x:c r="J563" s="23" t="str">
        <x:v>behavioral_regression_candidate</x:v>
      </x:c>
      <x:c r="K563" s="23" t="str">
        <x:v>legacy_output_unverified</x:v>
      </x:c>
      <x:c r="L563" s="23" t="str"/>
      <x:c r="M563" s="23" t="str"/>
    </x:row>
    <x:row r="564">
      <x:c r="A564" s="23" t="str">
        <x:v>LT-0563</x:v>
      </x:c>
      <x:c r="B564" s="23" t="str">
        <x:v>Ing Pairings- Poultry.xlsx</x:v>
      </x:c>
      <x:c r="C564" s="23" t="str">
        <x:v>Sheet1</x:v>
      </x:c>
      <x:c r="D564" s="23" t="str">
        <x:v>poultry</x:v>
      </x:c>
      <x:c r="E564" s="23" t="str">
        <x:v>poultry</x:v>
      </x:c>
      <x:c r="F564" s="23" t="str">
        <x:v>family:poultry</x:v>
      </x:c>
      <x:c r="G564" s="23" t="str">
        <x:v>raspberry</x:v>
      </x:c>
      <x:c r="H564" s="23" t="str"/>
      <x:c r="I564" s="23" t="str"/>
      <x:c r="J564" s="23" t="str">
        <x:v>behavioral_regression_candidate</x:v>
      </x:c>
      <x:c r="K564" s="23" t="str">
        <x:v>legacy_output_unverified</x:v>
      </x:c>
      <x:c r="L564" s="23" t="str"/>
      <x:c r="M564" s="23" t="str"/>
    </x:row>
    <x:row r="565">
      <x:c r="A565" s="23" t="str">
        <x:v>LT-0564</x:v>
      </x:c>
      <x:c r="B565" s="23" t="str">
        <x:v>Ing Pairings- Poultry.xlsx</x:v>
      </x:c>
      <x:c r="C565" s="23" t="str">
        <x:v>Sheet1</x:v>
      </x:c>
      <x:c r="D565" s="23" t="str">
        <x:v>poultry</x:v>
      </x:c>
      <x:c r="E565" s="23" t="str">
        <x:v>poultry</x:v>
      </x:c>
      <x:c r="F565" s="23" t="str">
        <x:v>family:poultry</x:v>
      </x:c>
      <x:c r="G565" s="23" t="str">
        <x:v>sherry</x:v>
      </x:c>
      <x:c r="H565" s="23" t="str"/>
      <x:c r="I565" s="23" t="str"/>
      <x:c r="J565" s="23" t="str">
        <x:v>behavioral_regression_candidate</x:v>
      </x:c>
      <x:c r="K565" s="23" t="str">
        <x:v>legacy_output_unverified</x:v>
      </x:c>
      <x:c r="L565" s="23" t="str"/>
      <x:c r="M565" s="23" t="str"/>
    </x:row>
    <x:row r="566">
      <x:c r="A566" s="23" t="str">
        <x:v>LT-0565</x:v>
      </x:c>
      <x:c r="B566" s="23" t="str">
        <x:v>Ing Pairings- Poultry.xlsx</x:v>
      </x:c>
      <x:c r="C566" s="23" t="str">
        <x:v>Sheet1</x:v>
      </x:c>
      <x:c r="D566" s="23" t="str">
        <x:v>poultry</x:v>
      </x:c>
      <x:c r="E566" s="23" t="str">
        <x:v>poultry</x:v>
      </x:c>
      <x:c r="F566" s="23" t="str">
        <x:v>family:poultry</x:v>
      </x:c>
      <x:c r="G566" s="23" t="str">
        <x:v>mustard</x:v>
      </x:c>
      <x:c r="H566" s="23" t="str"/>
      <x:c r="I566" s="23" t="str"/>
      <x:c r="J566" s="23" t="str">
        <x:v>behavioral_regression_candidate</x:v>
      </x:c>
      <x:c r="K566" s="23" t="str">
        <x:v>legacy_output_unverified</x:v>
      </x:c>
      <x:c r="L566" s="23" t="str"/>
      <x:c r="M566" s="23" t="str"/>
    </x:row>
    <x:row r="567">
      <x:c r="A567" s="23" t="str">
        <x:v>LT-0566</x:v>
      </x:c>
      <x:c r="B567" s="23" t="str">
        <x:v>Ing Pairings- Poultry.xlsx</x:v>
      </x:c>
      <x:c r="C567" s="23" t="str">
        <x:v>Sheet1</x:v>
      </x:c>
      <x:c r="D567" s="23" t="str">
        <x:v>poultry</x:v>
      </x:c>
      <x:c r="E567" s="23" t="str">
        <x:v>poultry</x:v>
      </x:c>
      <x:c r="F567" s="23" t="str">
        <x:v>family:poultry</x:v>
      </x:c>
      <x:c r="G567" s="23" t="str">
        <x:v>maize</x:v>
      </x:c>
      <x:c r="H567" s="23" t="str"/>
      <x:c r="I567" s="23" t="str"/>
      <x:c r="J567" s="23" t="str">
        <x:v>behavioral_regression_candidate</x:v>
      </x:c>
      <x:c r="K567" s="23" t="str">
        <x:v>legacy_output_unverified</x:v>
      </x:c>
      <x:c r="L567" s="23" t="str"/>
      <x:c r="M567" s="23" t="str"/>
    </x:row>
    <x:row r="568">
      <x:c r="A568" s="23" t="str">
        <x:v>LT-0567</x:v>
      </x:c>
      <x:c r="B568" s="23" t="str">
        <x:v>Ing Pairings- Poultry.xlsx</x:v>
      </x:c>
      <x:c r="C568" s="23" t="str">
        <x:v>Sheet1</x:v>
      </x:c>
      <x:c r="D568" s="23" t="str">
        <x:v>poultry</x:v>
      </x:c>
      <x:c r="E568" s="23" t="str">
        <x:v>poultry</x:v>
      </x:c>
      <x:c r="F568" s="23" t="str">
        <x:v>family:poultry</x:v>
      </x:c>
      <x:c r="G568" s="23" t="str">
        <x:v>cabbage</x:v>
      </x:c>
      <x:c r="H568" s="23" t="str"/>
      <x:c r="I568" s="23" t="str"/>
      <x:c r="J568" s="23" t="str">
        <x:v>behavioral_regression_candidate</x:v>
      </x:c>
      <x:c r="K568" s="23" t="str">
        <x:v>legacy_output_unverified</x:v>
      </x:c>
      <x:c r="L568" s="23" t="str"/>
      <x:c r="M568" s="23" t="str"/>
    </x:row>
    <x:row r="569">
      <x:c r="A569" s="23" t="str">
        <x:v>LT-0568</x:v>
      </x:c>
      <x:c r="B569" s="23" t="str">
        <x:v>Ing Pairings- Poultry.xlsx</x:v>
      </x:c>
      <x:c r="C569" s="23" t="str">
        <x:v>Sheet1</x:v>
      </x:c>
      <x:c r="D569" s="23" t="str">
        <x:v>poultry</x:v>
      </x:c>
      <x:c r="E569" s="23" t="str">
        <x:v>poultry</x:v>
      </x:c>
      <x:c r="F569" s="23" t="str">
        <x:v>family:poultry</x:v>
      </x:c>
      <x:c r="G569" s="23" t="str">
        <x:v>cinnamon</x:v>
      </x:c>
      <x:c r="H569" s="23" t="str"/>
      <x:c r="I569" s="23" t="str"/>
      <x:c r="J569" s="23" t="str">
        <x:v>behavioral_regression_candidate</x:v>
      </x:c>
      <x:c r="K569" s="23" t="str">
        <x:v>legacy_output_unverified</x:v>
      </x:c>
      <x:c r="L569" s="23" t="str"/>
      <x:c r="M569" s="23" t="str"/>
    </x:row>
    <x:row r="570">
      <x:c r="A570" s="23" t="str">
        <x:v>LT-0569</x:v>
      </x:c>
      <x:c r="B570" s="23" t="str">
        <x:v>Ing Pairings- Poultry.xlsx</x:v>
      </x:c>
      <x:c r="C570" s="23" t="str">
        <x:v>Sheet1</x:v>
      </x:c>
      <x:c r="D570" s="23" t="str">
        <x:v>poultry</x:v>
      </x:c>
      <x:c r="E570" s="23" t="str">
        <x:v>poultry</x:v>
      </x:c>
      <x:c r="F570" s="23" t="str">
        <x:v>family:poultry</x:v>
      </x:c>
      <x:c r="G570" s="23" t="str">
        <x:v>artichoke</x:v>
      </x:c>
      <x:c r="H570" s="23" t="str"/>
      <x:c r="I570" s="23" t="str"/>
      <x:c r="J570" s="23" t="str">
        <x:v>behavioral_regression_candidate</x:v>
      </x:c>
      <x:c r="K570" s="23" t="str">
        <x:v>legacy_output_unverified</x:v>
      </x:c>
      <x:c r="L570" s="23" t="str"/>
      <x:c r="M570" s="23" t="str"/>
    </x:row>
    <x:row r="571">
      <x:c r="A571" s="23" t="str">
        <x:v>LT-0570</x:v>
      </x:c>
      <x:c r="B571" s="23" t="str">
        <x:v>Ing Pairings- Poultry.xlsx</x:v>
      </x:c>
      <x:c r="C571" s="23" t="str">
        <x:v>Sheet1</x:v>
      </x:c>
      <x:c r="D571" s="23" t="str">
        <x:v>poultry</x:v>
      </x:c>
      <x:c r="E571" s="23" t="str">
        <x:v>poultry</x:v>
      </x:c>
      <x:c r="F571" s="23" t="str">
        <x:v>family:poultry</x:v>
      </x:c>
      <x:c r="G571" s="23" t="str">
        <x:v>pineapple</x:v>
      </x:c>
      <x:c r="H571" s="23" t="str"/>
      <x:c r="I571" s="23" t="str"/>
      <x:c r="J571" s="23" t="str">
        <x:v>behavioral_regression_candidate</x:v>
      </x:c>
      <x:c r="K571" s="23" t="str">
        <x:v>legacy_output_unverified</x:v>
      </x:c>
      <x:c r="L571" s="23" t="str"/>
      <x:c r="M571" s="23" t="str"/>
    </x:row>
    <x:row r="572">
      <x:c r="A572" s="23" t="str">
        <x:v>LT-0571</x:v>
      </x:c>
      <x:c r="B572" s="23" t="str">
        <x:v>Ing Pairings- Poultry.xlsx</x:v>
      </x:c>
      <x:c r="C572" s="23" t="str">
        <x:v>Sheet1</x:v>
      </x:c>
      <x:c r="D572" s="23" t="str">
        <x:v>poultry</x:v>
      </x:c>
      <x:c r="E572" s="23" t="str">
        <x:v>poultry</x:v>
      </x:c>
      <x:c r="F572" s="23" t="str">
        <x:v>family:poultry</x:v>
      </x:c>
      <x:c r="G572" s="23" t="str">
        <x:v>strawberry</x:v>
      </x:c>
      <x:c r="H572" s="23" t="str"/>
      <x:c r="I572" s="23" t="str"/>
      <x:c r="J572" s="23" t="str">
        <x:v>behavioral_regression_candidate</x:v>
      </x:c>
      <x:c r="K572" s="23" t="str">
        <x:v>legacy_output_unverified</x:v>
      </x:c>
      <x:c r="L572" s="23" t="str"/>
      <x:c r="M572" s="23" t="str"/>
    </x:row>
    <x:row r="573">
      <x:c r="A573" s="23" t="str">
        <x:v>LT-0572</x:v>
      </x:c>
      <x:c r="B573" s="23" t="str">
        <x:v>Ing Pairings- Poultry.xlsx</x:v>
      </x:c>
      <x:c r="C573" s="23" t="str">
        <x:v>Sheet1</x:v>
      </x:c>
      <x:c r="D573" s="23" t="str">
        <x:v>poultry</x:v>
      </x:c>
      <x:c r="E573" s="23" t="str">
        <x:v>poultry</x:v>
      </x:c>
      <x:c r="F573" s="23" t="str">
        <x:v>family:poultry</x:v>
      </x:c>
      <x:c r="G573" s="23" t="str">
        <x:v>tamarind</x:v>
      </x:c>
      <x:c r="H573" s="23" t="str"/>
      <x:c r="I573" s="23" t="str"/>
      <x:c r="J573" s="23" t="str">
        <x:v>behavioral_regression_candidate</x:v>
      </x:c>
      <x:c r="K573" s="23" t="str">
        <x:v>legacy_output_unverified</x:v>
      </x:c>
      <x:c r="L573" s="23" t="str"/>
      <x:c r="M573" s="23" t="str"/>
    </x:row>
    <x:row r="574">
      <x:c r="A574" s="23" t="str">
        <x:v>LT-0573</x:v>
      </x:c>
      <x:c r="B574" s="23" t="str">
        <x:v>Ing Pairings- Poultry.xlsx</x:v>
      </x:c>
      <x:c r="C574" s="23" t="str">
        <x:v>Sheet1</x:v>
      </x:c>
      <x:c r="D574" s="23" t="str">
        <x:v>poultry</x:v>
      </x:c>
      <x:c r="E574" s="23" t="str">
        <x:v>poultry</x:v>
      </x:c>
      <x:c r="F574" s="23" t="str">
        <x:v>family:poultry</x:v>
      </x:c>
      <x:c r="G574" s="23" t="str">
        <x:v>shoyu</x:v>
      </x:c>
      <x:c r="H574" s="23" t="str"/>
      <x:c r="I574" s="23" t="str"/>
      <x:c r="J574" s="23" t="str">
        <x:v>behavioral_regression_candidate</x:v>
      </x:c>
      <x:c r="K574" s="23" t="str">
        <x:v>legacy_output_unverified</x:v>
      </x:c>
      <x:c r="L574" s="23" t="str"/>
      <x:c r="M574" s="23" t="str"/>
    </x:row>
    <x:row r="575">
      <x:c r="A575" s="23" t="str">
        <x:v>LT-0574</x:v>
      </x:c>
      <x:c r="B575" s="23" t="str">
        <x:v>Ing Pairings- Poultry.xlsx</x:v>
      </x:c>
      <x:c r="C575" s="23" t="str">
        <x:v>Sheet1</x:v>
      </x:c>
      <x:c r="D575" s="23" t="str">
        <x:v>poultry</x:v>
      </x:c>
      <x:c r="E575" s="23" t="str">
        <x:v>poultry</x:v>
      </x:c>
      <x:c r="F575" s="23" t="str">
        <x:v>family:poultry</x:v>
      </x:c>
      <x:c r="G575" s="23" t="str">
        <x:v>scallop</x:v>
      </x:c>
      <x:c r="H575" s="23" t="str"/>
      <x:c r="I575" s="23" t="str"/>
      <x:c r="J575" s="23" t="str">
        <x:v>behavioral_regression_candidate</x:v>
      </x:c>
      <x:c r="K575" s="23" t="str">
        <x:v>legacy_output_unverified</x:v>
      </x:c>
      <x:c r="L575" s="23" t="str"/>
      <x:c r="M575" s="23" t="str"/>
    </x:row>
    <x:row r="576">
      <x:c r="A576" s="23" t="str">
        <x:v>LT-0575</x:v>
      </x:c>
      <x:c r="B576" s="23" t="str">
        <x:v>Ing Pairings- Poultry.xlsx</x:v>
      </x:c>
      <x:c r="C576" s="23" t="str">
        <x:v>Sheet1</x:v>
      </x:c>
      <x:c r="D576" s="23" t="str">
        <x:v>poultry</x:v>
      </x:c>
      <x:c r="E576" s="23" t="str">
        <x:v>poultry</x:v>
      </x:c>
      <x:c r="F576" s="23" t="str">
        <x:v>family:poultry</x:v>
      </x:c>
      <x:c r="G576" s="23" t="str">
        <x:v>watercress</x:v>
      </x:c>
      <x:c r="H576" s="23" t="str"/>
      <x:c r="I576" s="23" t="str"/>
      <x:c r="J576" s="23" t="str">
        <x:v>behavioral_regression_candidate</x:v>
      </x:c>
      <x:c r="K576" s="23" t="str">
        <x:v>legacy_output_unverified</x:v>
      </x:c>
      <x:c r="L576" s="23" t="str"/>
      <x:c r="M576" s="23" t="str"/>
    </x:row>
    <x:row r="577">
      <x:c r="A577" s="23" t="str">
        <x:v>LT-0576</x:v>
      </x:c>
      <x:c r="B577" s="23" t="str">
        <x:v>Ing Pairings- Poultry.xlsx</x:v>
      </x:c>
      <x:c r="C577" s="23" t="str">
        <x:v>Sheet1</x:v>
      </x:c>
      <x:c r="D577" s="23" t="str">
        <x:v>poultry</x:v>
      </x:c>
      <x:c r="E577" s="23" t="str">
        <x:v>poultry</x:v>
      </x:c>
      <x:c r="F577" s="23" t="str">
        <x:v>family:poultry</x:v>
      </x:c>
      <x:c r="G577" s="23" t="str">
        <x:v>peas</x:v>
      </x:c>
      <x:c r="H577" s="23" t="str"/>
      <x:c r="I577" s="23" t="str"/>
      <x:c r="J577" s="23" t="str">
        <x:v>behavioral_regression_candidate</x:v>
      </x:c>
      <x:c r="K577" s="23" t="str">
        <x:v>legacy_output_unverified</x:v>
      </x:c>
      <x:c r="L577" s="23" t="str"/>
      <x:c r="M577" s="23" t="str"/>
    </x:row>
    <x:row r="578">
      <x:c r="A578" s="23" t="str">
        <x:v>LT-0577</x:v>
      </x:c>
      <x:c r="B578" s="23" t="str">
        <x:v>Ing Pairings- Poultry.xlsx</x:v>
      </x:c>
      <x:c r="C578" s="23" t="str">
        <x:v>Sheet1</x:v>
      </x:c>
      <x:c r="D578" s="23" t="str">
        <x:v>poultry</x:v>
      </x:c>
      <x:c r="E578" s="23" t="str">
        <x:v>poultry</x:v>
      </x:c>
      <x:c r="F578" s="23" t="str">
        <x:v>family:poultry</x:v>
      </x:c>
      <x:c r="G578" s="23" t="str">
        <x:v>beer</x:v>
      </x:c>
      <x:c r="H578" s="23" t="str"/>
      <x:c r="I578" s="23" t="str"/>
      <x:c r="J578" s="23" t="str">
        <x:v>behavioral_regression_candidate</x:v>
      </x:c>
      <x:c r="K578" s="23" t="str">
        <x:v>legacy_output_unverified</x:v>
      </x:c>
      <x:c r="L578" s="23" t="str"/>
      <x:c r="M578" s="23" t="str"/>
    </x:row>
    <x:row r="579">
      <x:c r="A579" s="23" t="str">
        <x:v>LT-0578</x:v>
      </x:c>
      <x:c r="B579" s="23" t="str">
        <x:v>Ing Pairings- Poultry.xlsx</x:v>
      </x:c>
      <x:c r="C579" s="23" t="str">
        <x:v>Sheet1</x:v>
      </x:c>
      <x:c r="D579" s="23" t="str">
        <x:v>poultry</x:v>
      </x:c>
      <x:c r="E579" s="23" t="str">
        <x:v>poultry</x:v>
      </x:c>
      <x:c r="F579" s="23" t="str">
        <x:v>family:poultry</x:v>
      </x:c>
      <x:c r="G579" s="23" t="str">
        <x:v>asparagus</x:v>
      </x:c>
      <x:c r="H579" s="23" t="str"/>
      <x:c r="I579" s="23" t="str"/>
      <x:c r="J579" s="23" t="str">
        <x:v>behavioral_regression_candidate</x:v>
      </x:c>
      <x:c r="K579" s="23" t="str">
        <x:v>legacy_output_unverified</x:v>
      </x:c>
      <x:c r="L579" s="23" t="str"/>
      <x:c r="M579" s="23" t="str"/>
    </x:row>
    <x:row r="580">
      <x:c r="A580" s="23" t="str">
        <x:v>LT-0579</x:v>
      </x:c>
      <x:c r="B580" s="23" t="str">
        <x:v>Ing Pairings- Poultry.xlsx</x:v>
      </x:c>
      <x:c r="C580" s="23" t="str">
        <x:v>Sheet1</x:v>
      </x:c>
      <x:c r="D580" s="23" t="str">
        <x:v>poultry</x:v>
      </x:c>
      <x:c r="E580" s="23" t="str">
        <x:v>poultry</x:v>
      </x:c>
      <x:c r="F580" s="23" t="str">
        <x:v>family:poultry</x:v>
      </x:c>
      <x:c r="G580" s="23" t="str">
        <x:v>kiwi</x:v>
      </x:c>
      <x:c r="H580" s="23" t="str"/>
      <x:c r="I580" s="23" t="str"/>
      <x:c r="J580" s="23" t="str">
        <x:v>behavioral_regression_candidate</x:v>
      </x:c>
      <x:c r="K580" s="23" t="str">
        <x:v>legacy_output_unverified</x:v>
      </x:c>
      <x:c r="L580" s="23" t="str"/>
      <x:c r="M580" s="23" t="str"/>
    </x:row>
    <x:row r="581">
      <x:c r="A581" s="23" t="str">
        <x:v>LT-0580</x:v>
      </x:c>
      <x:c r="B581" s="23" t="str">
        <x:v>Ing Pairings- Poultry.xlsx</x:v>
      </x:c>
      <x:c r="C581" s="23" t="str">
        <x:v>Sheet1</x:v>
      </x:c>
      <x:c r="D581" s="23" t="str">
        <x:v>poultry</x:v>
      </x:c>
      <x:c r="E581" s="23" t="str">
        <x:v>poultry</x:v>
      </x:c>
      <x:c r="F581" s="23" t="str">
        <x:v>family:poultry</x:v>
      </x:c>
      <x:c r="G581" s="23" t="str">
        <x:v>sesame seed</x:v>
      </x:c>
      <x:c r="H581" s="23" t="str"/>
      <x:c r="I581" s="23" t="str"/>
      <x:c r="J581" s="23" t="str">
        <x:v>behavioral_regression_candidate</x:v>
      </x:c>
      <x:c r="K581" s="23" t="str">
        <x:v>legacy_output_unverified</x:v>
      </x:c>
      <x:c r="L581" s="23" t="str"/>
      <x:c r="M581" s="23" t="str"/>
    </x:row>
    <x:row r="582">
      <x:c r="A582" s="23" t="str">
        <x:v>LT-0581</x:v>
      </x:c>
      <x:c r="B582" s="23" t="str">
        <x:v>Ing Pairings- Poultry.xlsx</x:v>
      </x:c>
      <x:c r="C582" s="23" t="str">
        <x:v>Sheet1</x:v>
      </x:c>
      <x:c r="D582" s="23" t="str">
        <x:v>poultry</x:v>
      </x:c>
      <x:c r="E582" s="23" t="str">
        <x:v>poultry</x:v>
      </x:c>
      <x:c r="F582" s="23" t="str">
        <x:v>family:poultry</x:v>
      </x:c>
      <x:c r="G582" s="23" t="str">
        <x:v>pecan</x:v>
      </x:c>
      <x:c r="H582" s="23" t="str"/>
      <x:c r="I582" s="23" t="str"/>
      <x:c r="J582" s="23" t="str">
        <x:v>behavioral_regression_candidate</x:v>
      </x:c>
      <x:c r="K582" s="23" t="str">
        <x:v>legacy_output_unverified</x:v>
      </x:c>
      <x:c r="L582" s="23" t="str"/>
      <x:c r="M582" s="23" t="str"/>
    </x:row>
    <x:row r="583">
      <x:c r="A583" s="23" t="str">
        <x:v>LT-0582</x:v>
      </x:c>
      <x:c r="B583" s="23" t="str">
        <x:v>Ing Pairings- Poultry.xlsx</x:v>
      </x:c>
      <x:c r="C583" s="23" t="str">
        <x:v>Sheet1</x:v>
      </x:c>
      <x:c r="D583" s="23" t="str">
        <x:v>poultry</x:v>
      </x:c>
      <x:c r="E583" s="23" t="str">
        <x:v>poultry</x:v>
      </x:c>
      <x:c r="F583" s="23" t="str">
        <x:v>family:poultry</x:v>
      </x:c>
      <x:c r="G583" s="23" t="str">
        <x:v>peanut</x:v>
      </x:c>
      <x:c r="H583" s="23" t="str"/>
      <x:c r="I583" s="23" t="str"/>
      <x:c r="J583" s="23" t="str">
        <x:v>behavioral_regression_candidate</x:v>
      </x:c>
      <x:c r="K583" s="23" t="str">
        <x:v>legacy_output_unverified</x:v>
      </x:c>
      <x:c r="L583" s="23" t="str"/>
      <x:c r="M583" s="23" t="str"/>
    </x:row>
    <x:row r="584">
      <x:c r="A584" s="23" t="str">
        <x:v>LT-0583</x:v>
      </x:c>
      <x:c r="B584" s="23" t="str">
        <x:v>Ing Pairings- Poultry.xlsx</x:v>
      </x:c>
      <x:c r="C584" s="23" t="str">
        <x:v>Sheet1</x:v>
      </x:c>
      <x:c r="D584" s="23" t="str">
        <x:v>poultry</x:v>
      </x:c>
      <x:c r="E584" s="23" t="str">
        <x:v>poultry</x:v>
      </x:c>
      <x:c r="F584" s="23" t="str">
        <x:v>family:poultry</x:v>
      </x:c>
      <x:c r="G584" s="23" t="str">
        <x:v>parsnip</x:v>
      </x:c>
      <x:c r="H584" s="23" t="str"/>
      <x:c r="I584" s="23" t="str"/>
      <x:c r="J584" s="23" t="str">
        <x:v>behavioral_regression_candidate</x:v>
      </x:c>
      <x:c r="K584" s="23" t="str">
        <x:v>legacy_output_unverified</x:v>
      </x:c>
      <x:c r="L584" s="23" t="str"/>
      <x:c r="M584" s="23" t="str"/>
    </x:row>
    <x:row r="585">
      <x:c r="A585" s="23" t="str">
        <x:v>LT-0584</x:v>
      </x:c>
      <x:c r="B585" s="23" t="str">
        <x:v>Ing Pairings- Poultry.xlsx</x:v>
      </x:c>
      <x:c r="C585" s="23" t="str">
        <x:v>Sheet1</x:v>
      </x:c>
      <x:c r="D585" s="23" t="str">
        <x:v>poultry</x:v>
      </x:c>
      <x:c r="E585" s="23" t="str">
        <x:v>poultry</x:v>
      </x:c>
      <x:c r="F585" s="23" t="str">
        <x:v>family:poultry</x:v>
      </x:c>
      <x:c r="G585" s="23" t="str">
        <x:v>avocado</x:v>
      </x:c>
      <x:c r="H585" s="23" t="str"/>
      <x:c r="I585" s="23" t="str"/>
      <x:c r="J585" s="23" t="str">
        <x:v>behavioral_regression_candidate</x:v>
      </x:c>
      <x:c r="K585" s="23" t="str">
        <x:v>legacy_output_unverified</x:v>
      </x:c>
      <x:c r="L585" s="23" t="str"/>
      <x:c r="M585" s="23" t="str"/>
    </x:row>
    <x:row r="586">
      <x:c r="A586" s="23" t="str">
        <x:v>LT-0585</x:v>
      </x:c>
      <x:c r="B586" s="23" t="str">
        <x:v>Ing Pairings- Poultry.xlsx</x:v>
      </x:c>
      <x:c r="C586" s="23" t="str">
        <x:v>Sheet1</x:v>
      </x:c>
      <x:c r="D586" s="23" t="str">
        <x:v>poultry</x:v>
      </x:c>
      <x:c r="E586" s="23" t="str">
        <x:v>poultry</x:v>
      </x:c>
      <x:c r="F586" s="23" t="str">
        <x:v>family:poultry</x:v>
      </x:c>
      <x:c r="G586" s="23" t="str">
        <x:v>cashew</x:v>
      </x:c>
      <x:c r="H586" s="23" t="str"/>
      <x:c r="I586" s="23" t="str"/>
      <x:c r="J586" s="23" t="str">
        <x:v>behavioral_regression_candidate</x:v>
      </x:c>
      <x:c r="K586" s="23" t="str">
        <x:v>legacy_output_unverified</x:v>
      </x:c>
      <x:c r="L586" s="23" t="str"/>
      <x:c r="M586" s="23" t="str"/>
    </x:row>
    <x:row r="587">
      <x:c r="A587" s="23" t="str">
        <x:v>LT-0586</x:v>
      </x:c>
      <x:c r="B587" s="23" t="str">
        <x:v>Ing Pairings- Poultry.xlsx</x:v>
      </x:c>
      <x:c r="C587" s="23" t="str">
        <x:v>Sheet1</x:v>
      </x:c>
      <x:c r="D587" s="23" t="str">
        <x:v>poultry</x:v>
      </x:c>
      <x:c r="E587" s="23" t="str">
        <x:v>poultry</x:v>
      </x:c>
      <x:c r="F587" s="23" t="str">
        <x:v>family:poultry</x:v>
      </x:c>
      <x:c r="G587" s="23" t="str">
        <x:v>melon</x:v>
      </x:c>
      <x:c r="H587" s="23" t="str"/>
      <x:c r="I587" s="23" t="str"/>
      <x:c r="J587" s="23" t="str">
        <x:v>behavioral_regression_candidate</x:v>
      </x:c>
      <x:c r="K587" s="23" t="str">
        <x:v>legacy_output_unverified</x:v>
      </x:c>
      <x:c r="L587" s="23" t="str"/>
      <x:c r="M587" s="23" t="str"/>
    </x:row>
    <x:row r="588">
      <x:c r="A588" s="23" t="str">
        <x:v>LT-0587</x:v>
      </x:c>
      <x:c r="B588" s="23" t="str">
        <x:v>Ing Pairings- Poultry.xlsx</x:v>
      </x:c>
      <x:c r="C588" s="23" t="str">
        <x:v>Sheet1</x:v>
      </x:c>
      <x:c r="D588" s="23" t="str">
        <x:v>poultry</x:v>
      </x:c>
      <x:c r="E588" s="23" t="str">
        <x:v>poultry</x:v>
      </x:c>
      <x:c r="F588" s="23" t="str">
        <x:v>family:poultry</x:v>
      </x:c>
      <x:c r="G588" s="23" t="str">
        <x:v>vanilla</x:v>
      </x:c>
      <x:c r="H588" s="23" t="str"/>
      <x:c r="I588" s="23" t="str"/>
      <x:c r="J588" s="23" t="str">
        <x:v>behavioral_regression_candidate</x:v>
      </x:c>
      <x:c r="K588" s="23" t="str">
        <x:v>legacy_output_unverified</x:v>
      </x:c>
      <x:c r="L588" s="23" t="str"/>
      <x:c r="M588" s="23" t="str"/>
    </x:row>
    <x:row r="589">
      <x:c r="A589" s="23" t="str">
        <x:v>LT-0588</x:v>
      </x:c>
      <x:c r="B589" s="23" t="str">
        <x:v>Ing Pairings- Poultry.xlsx</x:v>
      </x:c>
      <x:c r="C589" s="23" t="str">
        <x:v>Sheet1</x:v>
      </x:c>
      <x:c r="D589" s="23" t="str">
        <x:v>poultry</x:v>
      </x:c>
      <x:c r="E589" s="23" t="str">
        <x:v>poultry</x:v>
      </x:c>
      <x:c r="F589" s="23" t="str">
        <x:v>family:poultry</x:v>
      </x:c>
      <x:c r="G589" s="23" t="str">
        <x:v>starfruit</x:v>
      </x:c>
      <x:c r="H589" s="23" t="str"/>
      <x:c r="I589" s="23" t="str"/>
      <x:c r="J589" s="23" t="str">
        <x:v>behavioral_regression_candidate</x:v>
      </x:c>
      <x:c r="K589" s="23" t="str">
        <x:v>legacy_output_unverified</x:v>
      </x:c>
      <x:c r="L589" s="23" t="str"/>
      <x:c r="M589" s="23" t="str"/>
    </x:row>
    <x:row r="590">
      <x:c r="A590" s="23" t="str">
        <x:v>LT-0589</x:v>
      </x:c>
      <x:c r="B590" s="23" t="str">
        <x:v>Ing Pairings- Poultry.xlsx</x:v>
      </x:c>
      <x:c r="C590" s="23" t="str">
        <x:v>Sheet1</x:v>
      </x:c>
      <x:c r="D590" s="23" t="str">
        <x:v>poultry</x:v>
      </x:c>
      <x:c r="E590" s="23" t="str">
        <x:v>poultry</x:v>
      </x:c>
      <x:c r="F590" s="23" t="str">
        <x:v>family:poultry</x:v>
      </x:c>
      <x:c r="G590" s="23" t="str">
        <x:v>lentil</x:v>
      </x:c>
      <x:c r="H590" s="23" t="str"/>
      <x:c r="I590" s="23" t="str"/>
      <x:c r="J590" s="23" t="str">
        <x:v>behavioral_regression_candidate</x:v>
      </x:c>
      <x:c r="K590" s="23" t="str">
        <x:v>legacy_output_unverified</x:v>
      </x:c>
      <x:c r="L590" s="23" t="str"/>
      <x:c r="M590" s="23" t="str"/>
    </x:row>
    <x:row r="591">
      <x:c r="A591" s="23" t="str">
        <x:v>LT-0590</x:v>
      </x:c>
      <x:c r="B591" s="23" t="str">
        <x:v>Ing Pairings- Poultry.xlsx</x:v>
      </x:c>
      <x:c r="C591" s="23" t="str">
        <x:v>Sheet1</x:v>
      </x:c>
      <x:c r="D591" s="23" t="str">
        <x:v>poultry</x:v>
      </x:c>
      <x:c r="E591" s="23" t="str">
        <x:v>poultry</x:v>
      </x:c>
      <x:c r="F591" s="23" t="str">
        <x:v>family:poultry</x:v>
      </x:c>
      <x:c r="G591" s="23" t="str">
        <x:v>pomegranate</x:v>
      </x:c>
      <x:c r="H591" s="23" t="str"/>
      <x:c r="I591" s="23" t="str"/>
      <x:c r="J591" s="23" t="str">
        <x:v>behavioral_regression_candidate</x:v>
      </x:c>
      <x:c r="K591" s="23" t="str">
        <x:v>legacy_output_unverified</x:v>
      </x:c>
      <x:c r="L591" s="23" t="str"/>
      <x:c r="M591" s="23" t="str"/>
    </x:row>
    <x:row r="592">
      <x:c r="A592" s="23" t="str">
        <x:v>LT-0591</x:v>
      </x:c>
      <x:c r="B592" s="23" t="str">
        <x:v>Ing Pairings- Poultry.xlsx</x:v>
      </x:c>
      <x:c r="C592" s="23" t="str">
        <x:v>Sheet1</x:v>
      </x:c>
      <x:c r="D592" s="23" t="str">
        <x:v>poultry</x:v>
      </x:c>
      <x:c r="E592" s="23" t="str">
        <x:v>poultry</x:v>
      </x:c>
      <x:c r="F592" s="23" t="str">
        <x:v>family:poultry</x:v>
      </x:c>
      <x:c r="G592" s="23" t="str">
        <x:v>wild rice</x:v>
      </x:c>
      <x:c r="H592" s="23" t="str"/>
      <x:c r="I592" s="23" t="str"/>
      <x:c r="J592" s="23" t="str">
        <x:v>behavioral_regression_candidate</x:v>
      </x:c>
      <x:c r="K592" s="23" t="str">
        <x:v>legacy_output_unverified</x:v>
      </x:c>
      <x:c r="L592" s="23" t="str"/>
      <x:c r="M592" s="23" t="str"/>
    </x:row>
    <x:row r="593">
      <x:c r="A593" s="23" t="str">
        <x:v>LT-0592</x:v>
      </x:c>
      <x:c r="B593" s="23" t="str">
        <x:v>Ing Pairings- Poultry.xlsx</x:v>
      </x:c>
      <x:c r="C593" s="23" t="str">
        <x:v>Sheet1</x:v>
      </x:c>
      <x:c r="D593" s="23" t="str">
        <x:v>poultry</x:v>
      </x:c>
      <x:c r="E593" s="23" t="str">
        <x:v>poultry</x:v>
      </x:c>
      <x:c r="F593" s="23" t="str">
        <x:v>family:poultry</x:v>
      </x:c>
      <x:c r="G593" s="23" t="str">
        <x:v>litchi</x:v>
      </x:c>
      <x:c r="H593" s="23" t="str"/>
      <x:c r="I593" s="23" t="str"/>
      <x:c r="J593" s="23" t="str">
        <x:v>behavioral_regression_candidate</x:v>
      </x:c>
      <x:c r="K593" s="23" t="str">
        <x:v>legacy_output_unverified</x:v>
      </x:c>
      <x:c r="L593" s="23" t="str"/>
      <x:c r="M593" s="23" t="str"/>
    </x:row>
    <x:row r="594">
      <x:c r="A594" s="23" t="str">
        <x:v>LT-0593</x:v>
      </x:c>
      <x:c r="B594" s="23" t="str">
        <x:v>Ing Pairings- Poultry.xlsx</x:v>
      </x:c>
      <x:c r="C594" s="23" t="str">
        <x:v>Sheet1</x:v>
      </x:c>
      <x:c r="D594" s="23" t="str">
        <x:v>poultry</x:v>
      </x:c>
      <x:c r="E594" s="23" t="str">
        <x:v>poultry</x:v>
      </x:c>
      <x:c r="F594" s="23" t="str">
        <x:v>family:poultry</x:v>
      </x:c>
      <x:c r="G594" s="23" t="str">
        <x:v>swiss chard</x:v>
      </x:c>
      <x:c r="H594" s="23" t="str"/>
      <x:c r="I594" s="23" t="str"/>
      <x:c r="J594" s="23" t="str">
        <x:v>behavioral_regression_candidate</x:v>
      </x:c>
      <x:c r="K594" s="23" t="str">
        <x:v>legacy_output_unverified</x:v>
      </x:c>
      <x:c r="L594" s="23" t="str"/>
      <x:c r="M594" s="23" t="str"/>
    </x:row>
    <x:row r="595">
      <x:c r="A595" s="23" t="str">
        <x:v>LT-0594</x:v>
      </x:c>
      <x:c r="B595" s="23" t="str">
        <x:v>Ing Pairings- Poultry.xlsx</x:v>
      </x:c>
      <x:c r="C595" s="23" t="str">
        <x:v>Sheet1</x:v>
      </x:c>
      <x:c r="D595" s="23" t="str">
        <x:v>poultry</x:v>
      </x:c>
      <x:c r="E595" s="23" t="str">
        <x:v>poultry</x:v>
      </x:c>
      <x:c r="F595" s="23" t="str">
        <x:v>family:poultry</x:v>
      </x:c>
      <x:c r="G595" s="23" t="str">
        <x:v>liver</x:v>
      </x:c>
      <x:c r="H595" s="23" t="str"/>
      <x:c r="I595" s="23" t="str"/>
      <x:c r="J595" s="23" t="str">
        <x:v>behavioral_regression_candidate</x:v>
      </x:c>
      <x:c r="K595" s="23" t="str">
        <x:v>legacy_output_unverified</x:v>
      </x:c>
      <x:c r="L595" s="23" t="str"/>
      <x:c r="M595" s="23" t="str"/>
    </x:row>
    <x:row r="596">
      <x:c r="A596" s="23" t="str">
        <x:v>LT-0595</x:v>
      </x:c>
      <x:c r="B596" s="23" t="str">
        <x:v>Ing Pairings- Poultry.xlsx</x:v>
      </x:c>
      <x:c r="C596" s="23" t="str">
        <x:v>Sheet1</x:v>
      </x:c>
      <x:c r="D596" s="23" t="str">
        <x:v>poultry</x:v>
      </x:c>
      <x:c r="E596" s="23" t="str">
        <x:v>poultry</x:v>
      </x:c>
      <x:c r="F596" s="23" t="str">
        <x:v>family:poultry</x:v>
      </x:c>
      <x:c r="G596" s="23" t="str">
        <x:v>saffron</x:v>
      </x:c>
      <x:c r="H596" s="23" t="str"/>
      <x:c r="I596" s="23" t="str"/>
      <x:c r="J596" s="23" t="str">
        <x:v>behavioral_regression_candidate</x:v>
      </x:c>
      <x:c r="K596" s="23" t="str">
        <x:v>legacy_output_unverified</x:v>
      </x:c>
      <x:c r="L596" s="23" t="str"/>
      <x:c r="M596" s="23" t="str"/>
    </x:row>
    <x:row r="597">
      <x:c r="A597" s="23" t="str">
        <x:v>LT-0596</x:v>
      </x:c>
      <x:c r="B597" s="23" t="str">
        <x:v>Ing Pairings- Venison.xlsx</x:v>
      </x:c>
      <x:c r="C597" s="23" t="str">
        <x:v>Sheet1</x:v>
      </x:c>
      <x:c r="D597" s="23" t="str">
        <x:v>venison</x:v>
      </x:c>
      <x:c r="E597" s="23" t="str">
        <x:v>game meat (general)</x:v>
      </x:c>
      <x:c r="F597" s="23" t="str">
        <x:v>family:game</x:v>
      </x:c>
      <x:c r="G597" s="23" t="str">
        <x:v>anise</x:v>
      </x:c>
      <x:c r="H597" s="23" t="str">
        <x:v>Floral- Camomile</x:v>
      </x:c>
      <x:c r="I597" s="23" t="n">
        <x:v>13.8</x:v>
      </x:c>
      <x:c r="J597" s="23" t="str">
        <x:v>behavioral_regression_candidate</x:v>
      </x:c>
      <x:c r="K597" s="23" t="str">
        <x:v>legacy_output_unverified</x:v>
      </x:c>
      <x:c r="L597" s="23" t="str"/>
      <x:c r="M597" s="23" t="str"/>
    </x:row>
    <x:row r="598">
      <x:c r="A598" s="23" t="str">
        <x:v>LT-0597</x:v>
      </x:c>
      <x:c r="B598" s="23" t="str">
        <x:v>Ing Pairings- Venison.xlsx</x:v>
      </x:c>
      <x:c r="C598" s="23" t="str">
        <x:v>Sheet1</x:v>
      </x:c>
      <x:c r="D598" s="23" t="str">
        <x:v>venison</x:v>
      </x:c>
      <x:c r="E598" s="23" t="str">
        <x:v>game meat (general)</x:v>
      </x:c>
      <x:c r="F598" s="23" t="str">
        <x:v>family:game</x:v>
      </x:c>
      <x:c r="G598" s="23" t="str">
        <x:v>annatto</x:v>
      </x:c>
      <x:c r="H598" s="23" t="str">
        <x:v>Lavender Honey</x:v>
      </x:c>
      <x:c r="I598" s="23" t="n">
        <x:v>22.4</x:v>
      </x:c>
      <x:c r="J598" s="23" t="str">
        <x:v>behavioral_regression_candidate</x:v>
      </x:c>
      <x:c r="K598" s="23" t="str">
        <x:v>legacy_output_unverified</x:v>
      </x:c>
      <x:c r="L598" s="23" t="str"/>
      <x:c r="M598" s="23" t="str"/>
    </x:row>
    <x:row r="599">
      <x:c r="A599" s="23" t="str">
        <x:v>LT-0598</x:v>
      </x:c>
      <x:c r="B599" s="23" t="str">
        <x:v>Ing Pairings- Venison.xlsx</x:v>
      </x:c>
      <x:c r="C599" s="23" t="str">
        <x:v>Sheet1</x:v>
      </x:c>
      <x:c r="D599" s="23" t="str">
        <x:v>venison</x:v>
      </x:c>
      <x:c r="E599" s="23" t="str">
        <x:v>game meat (general)</x:v>
      </x:c>
      <x:c r="F599" s="23" t="str">
        <x:v>family:game</x:v>
      </x:c>
      <x:c r="G599" s="23" t="str">
        <x:v>apple</x:v>
      </x:c>
      <x:c r="H599" s="23" t="str">
        <x:v>Elderberry</x:v>
      </x:c>
      <x:c r="I599" s="23" t="n">
        <x:v>28.7</x:v>
      </x:c>
      <x:c r="J599" s="23" t="str">
        <x:v>behavioral_regression_candidate</x:v>
      </x:c>
      <x:c r="K599" s="23" t="str">
        <x:v>legacy_output_unverified</x:v>
      </x:c>
      <x:c r="L599" s="23" t="str"/>
      <x:c r="M599" s="23" t="str"/>
    </x:row>
    <x:row r="600">
      <x:c r="A600" s="23" t="str">
        <x:v>LT-0599</x:v>
      </x:c>
      <x:c r="B600" s="23" t="str">
        <x:v>Ing Pairings- Venison.xlsx</x:v>
      </x:c>
      <x:c r="C600" s="23" t="str">
        <x:v>Sheet1</x:v>
      </x:c>
      <x:c r="D600" s="23" t="str">
        <x:v>venison</x:v>
      </x:c>
      <x:c r="E600" s="23" t="str">
        <x:v>game meat (general)</x:v>
      </x:c>
      <x:c r="F600" s="23" t="str">
        <x:v>family:game</x:v>
      </x:c>
      <x:c r="G600" s="23" t="str">
        <x:v>ashanti</x:v>
      </x:c>
      <x:c r="H600" s="23" t="str">
        <x:v>Citrus- Citrus</x:v>
      </x:c>
      <x:c r="I600" s="23" t="n">
        <x:v>42</x:v>
      </x:c>
      <x:c r="J600" s="23" t="str">
        <x:v>behavioral_regression_candidate</x:v>
      </x:c>
      <x:c r="K600" s="23" t="str">
        <x:v>legacy_output_unverified</x:v>
      </x:c>
      <x:c r="L600" s="23" t="str"/>
      <x:c r="M600" s="23" t="str"/>
    </x:row>
    <x:row r="601">
      <x:c r="A601" s="23" t="str">
        <x:v>LT-0600</x:v>
      </x:c>
      <x:c r="B601" s="23" t="str">
        <x:v>Ing Pairings- Venison.xlsx</x:v>
      </x:c>
      <x:c r="C601" s="23" t="str">
        <x:v>Sheet1</x:v>
      </x:c>
      <x:c r="D601" s="23" t="str">
        <x:v>venison</x:v>
      </x:c>
      <x:c r="E601" s="23" t="str">
        <x:v>game meat (general)</x:v>
      </x:c>
      <x:c r="F601" s="23" t="str">
        <x:v>family:game</x:v>
      </x:c>
      <x:c r="G601" s="23" t="str">
        <x:v>black currant</x:v>
      </x:c>
      <x:c r="H601" s="23" t="str">
        <x:v>Tropical- Coconut</x:v>
      </x:c>
      <x:c r="I601" s="23" t="n">
        <x:v>36.3</x:v>
      </x:c>
      <x:c r="J601" s="23" t="str">
        <x:v>behavioral_regression_candidate</x:v>
      </x:c>
      <x:c r="K601" s="23" t="str">
        <x:v>legacy_output_unverified</x:v>
      </x:c>
      <x:c r="L601" s="23" t="str"/>
      <x:c r="M601" s="23" t="str"/>
    </x:row>
    <x:row r="602">
      <x:c r="A602" s="23" t="str">
        <x:v>LT-0601</x:v>
      </x:c>
      <x:c r="B602" s="23" t="str">
        <x:v>Ing Pairings- Venison.xlsx</x:v>
      </x:c>
      <x:c r="C602" s="23" t="str">
        <x:v>Sheet1</x:v>
      </x:c>
      <x:c r="D602" s="23" t="str">
        <x:v>venison</x:v>
      </x:c>
      <x:c r="E602" s="23" t="str">
        <x:v>game meat (general)</x:v>
      </x:c>
      <x:c r="F602" s="23" t="str">
        <x:v>family:game</x:v>
      </x:c>
      <x:c r="G602" s="23" t="str">
        <x:v>nutmeg</x:v>
      </x:c>
      <x:c r="H602" s="23" t="str">
        <x:v>Melon- Melon</x:v>
      </x:c>
      <x:c r="I602" s="23" t="n">
        <x:v>18.8</x:v>
      </x:c>
      <x:c r="J602" s="23" t="str">
        <x:v>behavioral_regression_candidate</x:v>
      </x:c>
      <x:c r="K602" s="23" t="str">
        <x:v>legacy_output_unverified</x:v>
      </x:c>
      <x:c r="L602" s="23" t="str"/>
      <x:c r="M602" s="23" t="str"/>
    </x:row>
    <x:row r="603">
      <x:c r="A603" s="23" t="str">
        <x:v>LT-0602</x:v>
      </x:c>
      <x:c r="B603" s="23" t="str">
        <x:v>Ing Pairings- Venison.xlsx</x:v>
      </x:c>
      <x:c r="C603" s="23" t="str">
        <x:v>Sheet1</x:v>
      </x:c>
      <x:c r="D603" s="23" t="str">
        <x:v>venison</x:v>
      </x:c>
      <x:c r="E603" s="23" t="str">
        <x:v>game meat (general)</x:v>
      </x:c>
      <x:c r="F603" s="23" t="str">
        <x:v>family:game</x:v>
      </x:c>
      <x:c r="G603" s="23" t="str">
        <x:v>camomile</x:v>
      </x:c>
      <x:c r="H603" s="23" t="str">
        <x:v>Tree Fruit- Apple</x:v>
      </x:c>
      <x:c r="I603" s="23" t="n">
        <x:v>32.1</x:v>
      </x:c>
      <x:c r="J603" s="23" t="str">
        <x:v>behavioral_regression_candidate</x:v>
      </x:c>
      <x:c r="K603" s="23" t="str">
        <x:v>legacy_output_unverified</x:v>
      </x:c>
      <x:c r="L603" s="23" t="str"/>
      <x:c r="M603" s="23" t="str"/>
    </x:row>
    <x:row r="604">
      <x:c r="A604" s="23" t="str">
        <x:v>LT-0603</x:v>
      </x:c>
      <x:c r="B604" s="23" t="str">
        <x:v>Ing Pairings- Venison.xlsx</x:v>
      </x:c>
      <x:c r="C604" s="23" t="str">
        <x:v>Sheet1</x:v>
      </x:c>
      <x:c r="D604" s="23" t="str">
        <x:v>venison</x:v>
      </x:c>
      <x:c r="E604" s="23" t="str">
        <x:v>game meat (general)</x:v>
      </x:c>
      <x:c r="F604" s="23" t="str">
        <x:v>family:game</x:v>
      </x:c>
      <x:c r="G604" s="23" t="str">
        <x:v>capsicum</x:v>
      </x:c>
      <x:c r="H604" s="23" t="str">
        <x:v>Apricot</x:v>
      </x:c>
      <x:c r="I604" s="23" t="n">
        <x:v>26.7</x:v>
      </x:c>
      <x:c r="J604" s="23" t="str">
        <x:v>behavioral_regression_candidate</x:v>
      </x:c>
      <x:c r="K604" s="23" t="str">
        <x:v>legacy_output_unverified</x:v>
      </x:c>
      <x:c r="L604" s="23" t="str"/>
      <x:c r="M604" s="23" t="str"/>
    </x:row>
    <x:row r="605">
      <x:c r="A605" s="23" t="str">
        <x:v>LT-0604</x:v>
      </x:c>
      <x:c r="B605" s="23" t="str">
        <x:v>Ing Pairings- Venison.xlsx</x:v>
      </x:c>
      <x:c r="C605" s="23" t="str">
        <x:v>Sheet1</x:v>
      </x:c>
      <x:c r="D605" s="23" t="str">
        <x:v>venison</x:v>
      </x:c>
      <x:c r="E605" s="23" t="str">
        <x:v>game meat (general)</x:v>
      </x:c>
      <x:c r="F605" s="23" t="str">
        <x:v>family:game</x:v>
      </x:c>
      <x:c r="G605" s="23" t="str">
        <x:v>caraway</x:v>
      </x:c>
      <x:c r="H605" s="23" t="str">
        <x:v>Nectarine</x:v>
      </x:c>
      <x:c r="I605" s="23" t="n">
        <x:v>17.9</x:v>
      </x:c>
      <x:c r="J605" s="23" t="str">
        <x:v>behavioral_regression_candidate</x:v>
      </x:c>
      <x:c r="K605" s="23" t="str">
        <x:v>legacy_output_unverified</x:v>
      </x:c>
      <x:c r="L605" s="23" t="str"/>
      <x:c r="M605" s="23" t="str"/>
    </x:row>
    <x:row r="606">
      <x:c r="A606" s="23" t="str">
        <x:v>LT-0605</x:v>
      </x:c>
      <x:c r="B606" s="23" t="str">
        <x:v>Ing Pairings- Venison.xlsx</x:v>
      </x:c>
      <x:c r="C606" s="23" t="str">
        <x:v>Sheet1</x:v>
      </x:c>
      <x:c r="D606" s="23" t="str">
        <x:v>venison</x:v>
      </x:c>
      <x:c r="E606" s="23" t="str">
        <x:v>game meat (general)</x:v>
      </x:c>
      <x:c r="F606" s="23" t="str">
        <x:v>family:game</x:v>
      </x:c>
      <x:c r="G606" s="23" t="str">
        <x:v>cardamom</x:v>
      </x:c>
      <x:c r="H606" s="23" t="str">
        <x:v>Berry- Strawberry</x:v>
      </x:c>
      <x:c r="I606" s="23" t="n">
        <x:v>36.7</x:v>
      </x:c>
      <x:c r="J606" s="23" t="str">
        <x:v>behavioral_regression_candidate</x:v>
      </x:c>
      <x:c r="K606" s="23" t="str">
        <x:v>legacy_output_unverified</x:v>
      </x:c>
      <x:c r="L606" s="23" t="str"/>
      <x:c r="M606" s="23" t="str"/>
    </x:row>
    <x:row r="607">
      <x:c r="A607" s="23" t="str">
        <x:v>LT-0606</x:v>
      </x:c>
      <x:c r="B607" s="23" t="str">
        <x:v>Ing Pairings- Venison.xlsx</x:v>
      </x:c>
      <x:c r="C607" s="23" t="str">
        <x:v>Sheet1</x:v>
      </x:c>
      <x:c r="D607" s="23" t="str">
        <x:v>venison</x:v>
      </x:c>
      <x:c r="E607" s="23" t="str">
        <x:v>game meat (general)</x:v>
      </x:c>
      <x:c r="F607" s="23" t="str">
        <x:v>family:game</x:v>
      </x:c>
      <x:c r="G607" s="23" t="str">
        <x:v>carrot</x:v>
      </x:c>
      <x:c r="H607" s="23" t="str">
        <x:v>Vaccinium</x:v>
      </x:c>
      <x:c r="I607" s="23" t="n">
        <x:v>34.5</x:v>
      </x:c>
      <x:c r="J607" s="23" t="str">
        <x:v>behavioral_regression_candidate</x:v>
      </x:c>
      <x:c r="K607" s="23" t="str">
        <x:v>legacy_output_unverified</x:v>
      </x:c>
      <x:c r="L607" s="23" t="str"/>
      <x:c r="M607" s="23" t="str"/>
    </x:row>
    <x:row r="608">
      <x:c r="A608" s="23" t="str">
        <x:v>LT-0607</x:v>
      </x:c>
      <x:c r="B608" s="23" t="str">
        <x:v>Ing Pairings- Venison.xlsx</x:v>
      </x:c>
      <x:c r="C608" s="23" t="str">
        <x:v>Sheet1</x:v>
      </x:c>
      <x:c r="D608" s="23" t="str">
        <x:v>venison</x:v>
      </x:c>
      <x:c r="E608" s="23" t="str">
        <x:v>game meat (general)</x:v>
      </x:c>
      <x:c r="F608" s="23" t="str">
        <x:v>family:game</x:v>
      </x:c>
      <x:c r="G608" s="23" t="str">
        <x:v>celery</x:v>
      </x:c>
      <x:c r="H608" s="23" t="str">
        <x:v>Dried Fruit- Strawberry Jam</x:v>
      </x:c>
      <x:c r="I608" s="23" t="n">
        <x:v>34.6</x:v>
      </x:c>
      <x:c r="J608" s="23" t="str">
        <x:v>behavioral_regression_candidate</x:v>
      </x:c>
      <x:c r="K608" s="23" t="str">
        <x:v>legacy_output_unverified</x:v>
      </x:c>
      <x:c r="L608" s="23" t="str"/>
      <x:c r="M608" s="23" t="str"/>
    </x:row>
    <x:row r="609">
      <x:c r="A609" s="23" t="str">
        <x:v>LT-0608</x:v>
      </x:c>
      <x:c r="B609" s="23" t="str">
        <x:v>Ing Pairings- Venison.xlsx</x:v>
      </x:c>
      <x:c r="C609" s="23" t="str">
        <x:v>Sheet1</x:v>
      </x:c>
      <x:c r="D609" s="23" t="str">
        <x:v>venison</x:v>
      </x:c>
      <x:c r="E609" s="23" t="str">
        <x:v>game meat (general)</x:v>
      </x:c>
      <x:c r="F609" s="23" t="str">
        <x:v>family:game</x:v>
      </x:c>
      <x:c r="G609" s="23" t="str">
        <x:v>cinnamon</x:v>
      </x:c>
      <x:c r="H609" s="23" t="str">
        <x:v>Prune</x:v>
      </x:c>
      <x:c r="I609" s="23" t="n">
        <x:v>28.7</x:v>
      </x:c>
      <x:c r="J609" s="23" t="str">
        <x:v>behavioral_regression_candidate</x:v>
      </x:c>
      <x:c r="K609" s="23" t="str">
        <x:v>legacy_output_unverified</x:v>
      </x:c>
      <x:c r="L609" s="23" t="str"/>
      <x:c r="M609" s="23" t="str"/>
    </x:row>
    <x:row r="610">
      <x:c r="A610" s="23" t="str">
        <x:v>LT-0609</x:v>
      </x:c>
      <x:c r="B610" s="23" t="str">
        <x:v>Ing Pairings- Venison.xlsx</x:v>
      </x:c>
      <x:c r="C610" s="23" t="str">
        <x:v>Sheet1</x:v>
      </x:c>
      <x:c r="D610" s="23" t="str">
        <x:v>venison</x:v>
      </x:c>
      <x:c r="E610" s="23" t="str">
        <x:v>game meat (general)</x:v>
      </x:c>
      <x:c r="F610" s="23" t="str">
        <x:v>family:game</x:v>
      </x:c>
      <x:c r="G610" s="23" t="str">
        <x:v>citrus</x:v>
      </x:c>
      <x:c r="H610" s="23" t="str">
        <x:v>Green- Celery</x:v>
      </x:c>
      <x:c r="I610" s="23" t="n">
        <x:v>11.2</x:v>
      </x:c>
      <x:c r="J610" s="23" t="str">
        <x:v>behavioral_regression_candidate</x:v>
      </x:c>
      <x:c r="K610" s="23" t="str">
        <x:v>legacy_output_unverified</x:v>
      </x:c>
      <x:c r="L610" s="23" t="str"/>
      <x:c r="M610" s="23" t="str"/>
    </x:row>
    <x:row r="611">
      <x:c r="A611" s="23" t="str">
        <x:v>LT-0610</x:v>
      </x:c>
      <x:c r="B611" s="23" t="str">
        <x:v>Ing Pairings- Venison.xlsx</x:v>
      </x:c>
      <x:c r="C611" s="23" t="str">
        <x:v>Sheet1</x:v>
      </x:c>
      <x:c r="D611" s="23" t="str">
        <x:v>venison</x:v>
      </x:c>
      <x:c r="E611" s="23" t="str">
        <x:v>game meat (general)</x:v>
      </x:c>
      <x:c r="F611" s="23" t="str">
        <x:v>family:game</x:v>
      </x:c>
      <x:c r="G611" s="23" t="str">
        <x:v>coriander</x:v>
      </x:c>
      <x:c r="H611" s="23" t="str">
        <x:v>Lettuce</x:v>
      </x:c>
      <x:c r="I611" s="23" t="n">
        <x:v>8.9</x:v>
      </x:c>
      <x:c r="J611" s="23" t="str">
        <x:v>behavioral_regression_candidate</x:v>
      </x:c>
      <x:c r="K611" s="23" t="str">
        <x:v>legacy_output_unverified</x:v>
      </x:c>
      <x:c r="L611" s="23" t="str"/>
      <x:c r="M611" s="23" t="str"/>
    </x:row>
    <x:row r="612">
      <x:c r="A612" s="23" t="str">
        <x:v>LT-0611</x:v>
      </x:c>
      <x:c r="B612" s="23" t="str">
        <x:v>Ing Pairings- Venison.xlsx</x:v>
      </x:c>
      <x:c r="C612" s="23" t="str">
        <x:v>Sheet1</x:v>
      </x:c>
      <x:c r="D612" s="23" t="str">
        <x:v>venison</x:v>
      </x:c>
      <x:c r="E612" s="23" t="str">
        <x:v>game meat (general)</x:v>
      </x:c>
      <x:c r="F612" s="23" t="str">
        <x:v>family:game</x:v>
      </x:c>
      <x:c r="G612" s="23" t="str">
        <x:v>ginger</x:v>
      </x:c>
      <x:c r="H612" s="23" t="str">
        <x:v>Herbaceous- Parsley</x:v>
      </x:c>
      <x:c r="I612" s="23" t="n">
        <x:v>9.2</x:v>
      </x:c>
      <x:c r="J612" s="23" t="str">
        <x:v>behavioral_regression_candidate</x:v>
      </x:c>
      <x:c r="K612" s="23" t="str">
        <x:v>legacy_output_unverified</x:v>
      </x:c>
      <x:c r="L612" s="23" t="str"/>
      <x:c r="M612" s="23" t="str"/>
    </x:row>
    <x:row r="613">
      <x:c r="A613" s="23" t="str">
        <x:v>LT-0612</x:v>
      </x:c>
      <x:c r="B613" s="23" t="str">
        <x:v>Ing Pairings- Venison.xlsx</x:v>
      </x:c>
      <x:c r="C613" s="23" t="str">
        <x:v>Sheet1</x:v>
      </x:c>
      <x:c r="D613" s="23" t="str">
        <x:v>venison</x:v>
      </x:c>
      <x:c r="E613" s="23" t="str">
        <x:v>game meat (general)</x:v>
      </x:c>
      <x:c r="F613" s="23" t="str">
        <x:v>family:game</x:v>
      </x:c>
      <x:c r="G613" s="23" t="str">
        <x:v>laurel</x:v>
      </x:c>
      <x:c r="H613" s="23" t="str">
        <x:v>ocimum basilicum</x:v>
      </x:c>
      <x:c r="I613" s="23" t="n">
        <x:v>14.4</x:v>
      </x:c>
      <x:c r="J613" s="23" t="str">
        <x:v>behavioral_regression_candidate</x:v>
      </x:c>
      <x:c r="K613" s="23" t="str">
        <x:v>legacy_output_unverified</x:v>
      </x:c>
      <x:c r="L613" s="23" t="str"/>
      <x:c r="M613" s="23" t="str"/>
    </x:row>
    <x:row r="614">
      <x:c r="A614" s="23" t="str">
        <x:v>LT-0613</x:v>
      </x:c>
      <x:c r="B614" s="23" t="str">
        <x:v>Ing Pairings- Venison.xlsx</x:v>
      </x:c>
      <x:c r="C614" s="23" t="str">
        <x:v>Sheet1</x:v>
      </x:c>
      <x:c r="D614" s="23" t="str">
        <x:v>venison</x:v>
      </x:c>
      <x:c r="E614" s="23" t="str">
        <x:v>game meat (general)</x:v>
      </x:c>
      <x:c r="F614" s="23" t="str">
        <x:v>family:game</x:v>
      </x:c>
      <x:c r="G614" s="23" t="str">
        <x:v>lemongrass</x:v>
      </x:c>
      <x:c r="H614" s="23" t="str">
        <x:v>Earthy- Mushroom</x:v>
      </x:c>
      <x:c r="I614" s="23" t="n">
        <x:v>56.7</x:v>
      </x:c>
      <x:c r="J614" s="23" t="str">
        <x:v>behavioral_regression_candidate</x:v>
      </x:c>
      <x:c r="K614" s="23" t="str">
        <x:v>legacy_output_unverified</x:v>
      </x:c>
      <x:c r="L614" s="23" t="str"/>
      <x:c r="M614" s="23" t="str"/>
    </x:row>
    <x:row r="615">
      <x:c r="A615" s="23" t="str">
        <x:v>LT-0614</x:v>
      </x:c>
      <x:c r="B615" s="23" t="str">
        <x:v>Ing Pairings- Venison.xlsx</x:v>
      </x:c>
      <x:c r="C615" s="23" t="str">
        <x:v>Sheet1</x:v>
      </x:c>
      <x:c r="D615" s="23" t="str">
        <x:v>venison</x:v>
      </x:c>
      <x:c r="E615" s="23" t="str">
        <x:v>game meat (general)</x:v>
      </x:c>
      <x:c r="F615" s="23" t="str">
        <x:v>family:game</x:v>
      </x:c>
      <x:c r="G615" s="23" t="str">
        <x:v>lovage</x:v>
      </x:c>
      <x:c r="H615" s="23" t="str">
        <x:v>Wood- Rosemary</x:v>
      </x:c>
      <x:c r="I615" s="23" t="n">
        <x:v>16.7</x:v>
      </x:c>
      <x:c r="J615" s="23" t="str">
        <x:v>behavioral_regression_candidate</x:v>
      </x:c>
      <x:c r="K615" s="23" t="str">
        <x:v>legacy_output_unverified</x:v>
      </x:c>
      <x:c r="L615" s="23" t="str"/>
      <x:c r="M615" s="23" t="str"/>
    </x:row>
    <x:row r="616">
      <x:c r="A616" s="23" t="str">
        <x:v>LT-0615</x:v>
      </x:c>
      <x:c r="B616" s="23" t="str">
        <x:v>Ing Pairings- Venison.xlsx</x:v>
      </x:c>
      <x:c r="C616" s="23" t="str">
        <x:v>Sheet1</x:v>
      </x:c>
      <x:c r="D616" s="23" t="str">
        <x:v>venison</x:v>
      </x:c>
      <x:c r="E616" s="23" t="str">
        <x:v>game meat (general)</x:v>
      </x:c>
      <x:c r="F616" s="23" t="str">
        <x:v>family:game</x:v>
      </x:c>
      <x:c r="G616" s="23" t="str">
        <x:v>mentha</x:v>
      </x:c>
      <x:c r="H616" s="23" t="str">
        <x:v>Ginger</x:v>
      </x:c>
      <x:c r="I616" s="23" t="n">
        <x:v>14.6</x:v>
      </x:c>
      <x:c r="J616" s="23" t="str">
        <x:v>behavioral_regression_candidate</x:v>
      </x:c>
      <x:c r="K616" s="23" t="str">
        <x:v>legacy_output_unverified</x:v>
      </x:c>
      <x:c r="L616" s="23" t="str"/>
      <x:c r="M616" s="23" t="str"/>
    </x:row>
    <x:row r="617">
      <x:c r="A617" s="23" t="str">
        <x:v>LT-0616</x:v>
      </x:c>
      <x:c r="B617" s="23" t="str">
        <x:v>Ing Pairings- Venison.xlsx</x:v>
      </x:c>
      <x:c r="C617" s="23" t="str">
        <x:v>Sheet1</x:v>
      </x:c>
      <x:c r="D617" s="23" t="str">
        <x:v>venison</x:v>
      </x:c>
      <x:c r="E617" s="23" t="str">
        <x:v>game meat (general)</x:v>
      </x:c>
      <x:c r="F617" s="23" t="str">
        <x:v>family:game</x:v>
      </x:c>
      <x:c r="G617" s="23" t="str">
        <x:v>ocimum</x:v>
      </x:c>
      <x:c r="H617" s="23" t="str">
        <x:v>Medicinal- Mastic</x:v>
      </x:c>
      <x:c r="I617" s="23" t="n">
        <x:v>13.6</x:v>
      </x:c>
      <x:c r="J617" s="23" t="str">
        <x:v>behavioral_regression_candidate</x:v>
      </x:c>
      <x:c r="K617" s="23" t="str">
        <x:v>legacy_output_unverified</x:v>
      </x:c>
      <x:c r="L617" s="23" t="str"/>
      <x:c r="M617" s="23" t="str"/>
    </x:row>
    <x:row r="618">
      <x:c r="A618" s="23" t="str">
        <x:v>LT-0617</x:v>
      </x:c>
      <x:c r="B618" s="23" t="str">
        <x:v>Ing Pairings- Venison.xlsx</x:v>
      </x:c>
      <x:c r="C618" s="23" t="str">
        <x:v>Sheet1</x:v>
      </x:c>
      <x:c r="D618" s="23" t="str">
        <x:v>venison</x:v>
      </x:c>
      <x:c r="E618" s="23" t="str">
        <x:v>game meat (general)</x:v>
      </x:c>
      <x:c r="F618" s="23" t="str">
        <x:v>family:game</x:v>
      </x:c>
      <x:c r="G618" s="23" t="str">
        <x:v>origanum</x:v>
      </x:c>
      <x:c r="H618" s="23" t="str">
        <x:v>Mentha</x:v>
      </x:c>
      <x:c r="I618" s="23" t="n">
        <x:v>28.7</x:v>
      </x:c>
      <x:c r="J618" s="23" t="str">
        <x:v>behavioral_regression_candidate</x:v>
      </x:c>
      <x:c r="K618" s="23" t="str">
        <x:v>legacy_output_unverified</x:v>
      </x:c>
      <x:c r="L618" s="23" t="str"/>
      <x:c r="M618" s="23" t="str"/>
    </x:row>
    <x:row r="619">
      <x:c r="A619" s="23" t="str">
        <x:v>LT-0618</x:v>
      </x:c>
      <x:c r="B619" s="23" t="str">
        <x:v>Ing Pairings- Venison.xlsx</x:v>
      </x:c>
      <x:c r="C619" s="23" t="str">
        <x:v>Sheet1</x:v>
      </x:c>
      <x:c r="D619" s="23" t="str">
        <x:v>venison</x:v>
      </x:c>
      <x:c r="E619" s="23" t="str">
        <x:v>game meat (general)</x:v>
      </x:c>
      <x:c r="F619" s="23" t="str">
        <x:v>family:game</x:v>
      </x:c>
      <x:c r="G619" s="23" t="str">
        <x:v>pepper</x:v>
      </x:c>
      <x:c r="H619" s="23" t="str">
        <x:v>Spice- Pepper</x:v>
      </x:c>
      <x:c r="I619" s="23" t="n">
        <x:v>18.9</x:v>
      </x:c>
      <x:c r="J619" s="23" t="str">
        <x:v>behavioral_regression_candidate</x:v>
      </x:c>
      <x:c r="K619" s="23" t="str">
        <x:v>legacy_output_unverified</x:v>
      </x:c>
      <x:c r="L619" s="23" t="str"/>
      <x:c r="M619" s="23" t="str"/>
    </x:row>
    <x:row r="620">
      <x:c r="A620" s="23" t="str">
        <x:v>LT-0619</x:v>
      </x:c>
      <x:c r="B620" s="23" t="str">
        <x:v>Ing Pairings- Venison.xlsx</x:v>
      </x:c>
      <x:c r="C620" s="23" t="str">
        <x:v>Sheet1</x:v>
      </x:c>
      <x:c r="D620" s="23" t="str">
        <x:v>venison</x:v>
      </x:c>
      <x:c r="E620" s="23" t="str">
        <x:v>game meat (general)</x:v>
      </x:c>
      <x:c r="F620" s="23" t="str">
        <x:v>family:game</x:v>
      </x:c>
      <x:c r="G620" s="23" t="str">
        <x:v>allspice</x:v>
      </x:c>
      <x:c r="H620" s="23" t="str">
        <x:v>Cardamom</x:v>
      </x:c>
      <x:c r="I620" s="23" t="n">
        <x:v>35.6</x:v>
      </x:c>
      <x:c r="J620" s="23" t="str">
        <x:v>behavioral_regression_candidate</x:v>
      </x:c>
      <x:c r="K620" s="23" t="str">
        <x:v>legacy_output_unverified</x:v>
      </x:c>
      <x:c r="L620" s="23" t="str"/>
      <x:c r="M620" s="23" t="str"/>
    </x:row>
    <x:row r="621">
      <x:c r="A621" s="23" t="str">
        <x:v>LT-0620</x:v>
      </x:c>
      <x:c r="B621" s="23" t="str">
        <x:v>Ing Pairings- Venison.xlsx</x:v>
      </x:c>
      <x:c r="C621" s="23" t="str">
        <x:v>Sheet1</x:v>
      </x:c>
      <x:c r="D621" s="23" t="str">
        <x:v>venison</x:v>
      </x:c>
      <x:c r="E621" s="23" t="str">
        <x:v>game meat (general)</x:v>
      </x:c>
      <x:c r="F621" s="23" t="str">
        <x:v>family:game</x:v>
      </x:c>
      <x:c r="G621" s="23" t="str">
        <x:v>pistachio</x:v>
      </x:c>
      <x:c r="H621" s="23" t="str">
        <x:v>Petrol- Oregano</x:v>
      </x:c>
      <x:c r="I621" s="23" t="n">
        <x:v>8.9</x:v>
      </x:c>
      <x:c r="J621" s="23" t="str">
        <x:v>behavioral_regression_candidate</x:v>
      </x:c>
      <x:c r="K621" s="23" t="str">
        <x:v>legacy_output_unverified</x:v>
      </x:c>
      <x:c r="L621" s="23" t="str"/>
      <x:c r="M621" s="23" t="str"/>
    </x:row>
    <x:row r="622">
      <x:c r="A622" s="23" t="str">
        <x:v>LT-0621</x:v>
      </x:c>
      <x:c r="B622" s="23" t="str">
        <x:v>Ing Pairings- Venison.xlsx</x:v>
      </x:c>
      <x:c r="C622" s="23" t="str">
        <x:v>Sheet1</x:v>
      </x:c>
      <x:c r="D622" s="23" t="str">
        <x:v>venison</x:v>
      </x:c>
      <x:c r="E622" s="23" t="str">
        <x:v>game meat (general)</x:v>
      </x:c>
      <x:c r="F622" s="23" t="str">
        <x:v>family:game</x:v>
      </x:c>
      <x:c r="G622" s="23" t="str">
        <x:v>pomergranate</x:v>
      </x:c>
      <x:c r="H622" s="23" t="str">
        <x:v>Smoke- malt whisky</x:v>
      </x:c>
      <x:c r="I622" s="23" t="n">
        <x:v>27.8</x:v>
      </x:c>
      <x:c r="J622" s="23" t="str">
        <x:v>behavioral_regression_candidate</x:v>
      </x:c>
      <x:c r="K622" s="23" t="str">
        <x:v>legacy_output_unverified</x:v>
      </x:c>
      <x:c r="L622" s="23" t="str"/>
      <x:c r="M622" s="23" t="str"/>
    </x:row>
    <x:row r="623">
      <x:c r="A623" s="23" t="str">
        <x:v>LT-0622</x:v>
      </x:c>
      <x:c r="B623" s="23" t="str">
        <x:v>Ing Pairings- Venison.xlsx</x:v>
      </x:c>
      <x:c r="C623" s="23" t="str">
        <x:v>Sheet1</x:v>
      </x:c>
      <x:c r="D623" s="23" t="str">
        <x:v>venison</x:v>
      </x:c>
      <x:c r="E623" s="23" t="str">
        <x:v>game meat (general)</x:v>
      </x:c>
      <x:c r="F623" s="23" t="str">
        <x:v>family:game</x:v>
      </x:c>
      <x:c r="G623" s="23" t="str">
        <x:v>rosemary</x:v>
      </x:c>
      <x:c r="H623" s="23" t="str">
        <x:v>Vanilla</x:v>
      </x:c>
      <x:c r="I623" s="23" t="n">
        <x:v>27.8</x:v>
      </x:c>
      <x:c r="J623" s="23" t="str">
        <x:v>behavioral_regression_candidate</x:v>
      </x:c>
      <x:c r="K623" s="23" t="str">
        <x:v>legacy_output_unverified</x:v>
      </x:c>
      <x:c r="L623" s="23" t="str"/>
      <x:c r="M623" s="23" t="str"/>
    </x:row>
    <x:row r="624">
      <x:c r="A624" s="23" t="str">
        <x:v>LT-0623</x:v>
      </x:c>
      <x:c r="B624" s="23" t="str">
        <x:v>Ing Pairings- Venison.xlsx</x:v>
      </x:c>
      <x:c r="C624" s="23" t="str">
        <x:v>Sheet1</x:v>
      </x:c>
      <x:c r="D624" s="23" t="str">
        <x:v>venison</x:v>
      </x:c>
      <x:c r="E624" s="23" t="str">
        <x:v>game meat (general)</x:v>
      </x:c>
      <x:c r="F624" s="23" t="str">
        <x:v>family:game</x:v>
      </x:c>
      <x:c r="G624" s="23" t="str">
        <x:v>salvia</x:v>
      </x:c>
      <x:c r="H624" s="23" t="str">
        <x:v>Chocolate- Roasted Cocoa Beans</x:v>
      </x:c>
      <x:c r="I624" s="23" t="n">
        <x:v>46.6</x:v>
      </x:c>
      <x:c r="J624" s="23" t="str">
        <x:v>behavioral_regression_candidate</x:v>
      </x:c>
      <x:c r="K624" s="23" t="str">
        <x:v>legacy_output_unverified</x:v>
      </x:c>
      <x:c r="L624" s="23" t="str"/>
      <x:c r="M624" s="23" t="str"/>
    </x:row>
    <x:row r="625">
      <x:c r="A625" s="23" t="str">
        <x:v>LT-0624</x:v>
      </x:c>
      <x:c r="B625" s="23" t="str">
        <x:v>Ing Pairings- Venison.xlsx</x:v>
      </x:c>
      <x:c r="C625" s="23" t="str">
        <x:v>Sheet1</x:v>
      </x:c>
      <x:c r="D625" s="23" t="str">
        <x:v>venison</x:v>
      </x:c>
      <x:c r="E625" s="23" t="str">
        <x:v>game meat (general)</x:v>
      </x:c>
      <x:c r="F625" s="23" t="str">
        <x:v>family:game</x:v>
      </x:c>
      <x:c r="G625" s="23" t="str">
        <x:v>satureja</x:v>
      </x:c>
      <x:c r="H625" s="23" t="str">
        <x:v>Meaty- Chicken (roasted)</x:v>
      </x:c>
      <x:c r="I625" s="23" t="n">
        <x:v>55</x:v>
      </x:c>
      <x:c r="J625" s="23" t="str">
        <x:v>behavioral_regression_candidate</x:v>
      </x:c>
      <x:c r="K625" s="23" t="str">
        <x:v>legacy_output_unverified</x:v>
      </x:c>
      <x:c r="L625" s="23" t="str"/>
      <x:c r="M625" s="23" t="str"/>
    </x:row>
    <x:row r="626">
      <x:c r="A626" s="23" t="str">
        <x:v>LT-0625</x:v>
      </x:c>
      <x:c r="B626" s="23" t="str">
        <x:v>Ing Pairings- Venison.xlsx</x:v>
      </x:c>
      <x:c r="C626" s="23" t="str">
        <x:v>Sheet1</x:v>
      </x:c>
      <x:c r="D626" s="23" t="str">
        <x:v>venison</x:v>
      </x:c>
      <x:c r="E626" s="23" t="str">
        <x:v>game meat (general)</x:v>
      </x:c>
      <x:c r="F626" s="23" t="str">
        <x:v>family:game</x:v>
      </x:c>
      <x:c r="G626" s="23" t="str">
        <x:v>tarragon</x:v>
      </x:c>
      <x:c r="H626" s="23" t="str">
        <x:v>Beef (roasted)</x:v>
      </x:c>
      <x:c r="I626" s="23" t="n">
        <x:v>47.7</x:v>
      </x:c>
      <x:c r="J626" s="23" t="str">
        <x:v>behavioral_regression_candidate</x:v>
      </x:c>
      <x:c r="K626" s="23" t="str">
        <x:v>legacy_output_unverified</x:v>
      </x:c>
      <x:c r="L626" s="23" t="str"/>
      <x:c r="M626" s="23" t="str"/>
    </x:row>
    <x:row r="627">
      <x:c r="A627" s="23" t="str">
        <x:v>LT-0626</x:v>
      </x:c>
      <x:c r="B627" s="23" t="str">
        <x:v>Ing Pairings- Venison.xlsx</x:v>
      </x:c>
      <x:c r="C627" s="23" t="str">
        <x:v>Sheet1</x:v>
      </x:c>
      <x:c r="D627" s="23" t="str">
        <x:v>venison</x:v>
      </x:c>
      <x:c r="E627" s="23" t="str">
        <x:v>game meat (general)</x:v>
      </x:c>
      <x:c r="F627" s="23" t="str">
        <x:v>family:game</x:v>
      </x:c>
      <x:c r="G627" s="23" t="str">
        <x:v>thyme</x:v>
      </x:c>
      <x:c r="H627" s="23" t="str">
        <x:v>Caramel- Coffee</x:v>
      </x:c>
      <x:c r="I627" s="23" t="n">
        <x:v>46.8</x:v>
      </x:c>
      <x:c r="J627" s="23" t="str">
        <x:v>behavioral_regression_candidate</x:v>
      </x:c>
      <x:c r="K627" s="23" t="str">
        <x:v>legacy_output_unverified</x:v>
      </x:c>
      <x:c r="L627" s="23" t="str"/>
      <x:c r="M627" s="23" t="str"/>
    </x:row>
    <x:row r="628">
      <x:c r="A628" s="23" t="str">
        <x:v>LT-0627</x:v>
      </x:c>
      <x:c r="B628" s="23" t="str">
        <x:v>Ing Pairings- Venison.xlsx</x:v>
      </x:c>
      <x:c r="C628" s="23" t="str">
        <x:v>Sheet1</x:v>
      </x:c>
      <x:c r="D628" s="23" t="str">
        <x:v>venison</x:v>
      </x:c>
      <x:c r="E628" s="23" t="str">
        <x:v>game meat (general)</x:v>
      </x:c>
      <x:c r="F628" s="23" t="str">
        <x:v>family:game</x:v>
      </x:c>
      <x:c r="G628" s="23" t="str">
        <x:v>tomato</x:v>
      </x:c>
      <x:c r="H628" s="23" t="str">
        <x:v>Malt</x:v>
      </x:c>
      <x:c r="I628" s="23" t="n">
        <x:v>46.8</x:v>
      </x:c>
      <x:c r="J628" s="23" t="str">
        <x:v>behavioral_regression_candidate</x:v>
      </x:c>
      <x:c r="K628" s="23" t="str">
        <x:v>legacy_output_unverified</x:v>
      </x:c>
      <x:c r="L628" s="23" t="str"/>
      <x:c r="M628" s="23" t="str"/>
    </x:row>
    <x:row r="629">
      <x:c r="A629" s="23" t="str">
        <x:v>LT-0628</x:v>
      </x:c>
      <x:c r="B629" s="23" t="str">
        <x:v>Ing Pairings- Venison.xlsx</x:v>
      </x:c>
      <x:c r="C629" s="23" t="str">
        <x:v>Sheet1</x:v>
      </x:c>
      <x:c r="D629" s="23" t="str">
        <x:v>venison</x:v>
      </x:c>
      <x:c r="E629" s="23" t="str">
        <x:v>game meat (general)</x:v>
      </x:c>
      <x:c r="F629" s="23" t="str">
        <x:v>family:game</x:v>
      </x:c>
      <x:c r="G629" s="23" t="str">
        <x:v>juniper</x:v>
      </x:c>
      <x:c r="H629" s="23" t="str">
        <x:v>Nutty- Hazelnut</x:v>
      </x:c>
      <x:c r="I629" s="23" t="n">
        <x:v>43.5</x:v>
      </x:c>
      <x:c r="J629" s="23" t="str">
        <x:v>behavioral_regression_candidate</x:v>
      </x:c>
      <x:c r="K629" s="23" t="str">
        <x:v>legacy_output_unverified</x:v>
      </x:c>
      <x:c r="L629" s="23" t="str"/>
      <x:c r="M629" s="23" t="str"/>
    </x:row>
    <x:row r="630">
      <x:c r="A630" s="23" t="str">
        <x:v>LT-0629</x:v>
      </x:c>
      <x:c r="B630" s="23" t="str">
        <x:v>Ing Pairings- Venison.xlsx</x:v>
      </x:c>
      <x:c r="C630" s="23" t="str">
        <x:v>Sheet1</x:v>
      </x:c>
      <x:c r="D630" s="23" t="str">
        <x:v>venison</x:v>
      </x:c>
      <x:c r="E630" s="23" t="str">
        <x:v>game meat (general)</x:v>
      </x:c>
      <x:c r="F630" s="23" t="str">
        <x:v>family:game</x:v>
      </x:c>
      <x:c r="G630" s="23" t="str">
        <x:v>mustard</x:v>
      </x:c>
      <x:c r="H630" s="23" t="str">
        <x:v>Walnut</x:v>
      </x:c>
      <x:c r="I630" s="23" t="n">
        <x:v>32.4</x:v>
      </x:c>
      <x:c r="J630" s="23" t="str">
        <x:v>behavioral_regression_candidate</x:v>
      </x:c>
      <x:c r="K630" s="23" t="str">
        <x:v>legacy_output_unverified</x:v>
      </x:c>
      <x:c r="L630" s="23" t="str"/>
      <x:c r="M630" s="23" t="str"/>
    </x:row>
    <x:row r="631">
      <x:c r="A631" s="23" t="str">
        <x:v>LT-0630</x:v>
      </x:c>
      <x:c r="B631" s="23" t="str">
        <x:v>Ing Pairings- Venison.xlsx</x:v>
      </x:c>
      <x:c r="C631" s="23" t="str">
        <x:v>Sheet1</x:v>
      </x:c>
      <x:c r="D631" s="23" t="str">
        <x:v>venison</x:v>
      </x:c>
      <x:c r="E631" s="23" t="str">
        <x:v>game meat (general)</x:v>
      </x:c>
      <x:c r="F631" s="23" t="str">
        <x:v>family:game</x:v>
      </x:c>
      <x:c r="G631" s="23" t="str">
        <x:v>radish</x:v>
      </x:c>
      <x:c r="H631" s="23" t="str">
        <x:v>Toasted- Wheaten Bread</x:v>
      </x:c>
      <x:c r="I631" s="23" t="n">
        <x:v>45.9</x:v>
      </x:c>
      <x:c r="J631" s="23" t="str">
        <x:v>behavioral_regression_candidate</x:v>
      </x:c>
      <x:c r="K631" s="23" t="str">
        <x:v>legacy_output_unverified</x:v>
      </x:c>
      <x:c r="L631" s="23" t="str"/>
      <x:c r="M631" s="23" t="str"/>
    </x:row>
    <x:row r="632">
      <x:c r="A632" s="23" t="str">
        <x:v>LT-0631</x:v>
      </x:c>
      <x:c r="B632" s="23" t="str">
        <x:v>Ing Pairings- Venison.xlsx</x:v>
      </x:c>
      <x:c r="C632" s="23" t="str">
        <x:v>Sheet1</x:v>
      </x:c>
      <x:c r="D632" s="23" t="str">
        <x:v>venison</x:v>
      </x:c>
      <x:c r="E632" s="23" t="str">
        <x:v>game meat (general)</x:v>
      </x:c>
      <x:c r="F632" s="23" t="str">
        <x:v>family:game</x:v>
      </x:c>
      <x:c r="G632" s="23" t="str">
        <x:v>vanilla</x:v>
      </x:c>
      <x:c r="H632" s="23" t="str">
        <x:v>Sulphur- Allium</x:v>
      </x:c>
      <x:c r="I632" s="23" t="n">
        <x:v>24.8</x:v>
      </x:c>
      <x:c r="J632" s="23" t="str">
        <x:v>behavioral_regression_candidate</x:v>
      </x:c>
      <x:c r="K632" s="23" t="str">
        <x:v>legacy_output_unverified</x:v>
      </x:c>
      <x:c r="L632" s="23" t="str"/>
      <x:c r="M632" s="23" t="str"/>
    </x:row>
    <x:row r="633">
      <x:c r="A633" s="23" t="str">
        <x:v>LT-0632</x:v>
      </x:c>
      <x:c r="B633" s="23" t="str">
        <x:v>Ing Pairings- Venison.xlsx</x:v>
      </x:c>
      <x:c r="C633" s="23" t="str">
        <x:v>Sheet1</x:v>
      </x:c>
      <x:c r="D633" s="23" t="str">
        <x:v>venison</x:v>
      </x:c>
      <x:c r="E633" s="23" t="str">
        <x:v>game meat (general)</x:v>
      </x:c>
      <x:c r="F633" s="23" t="str">
        <x:v>family:game</x:v>
      </x:c>
      <x:c r="G633" s="23" t="str">
        <x:v>tamarind</x:v>
      </x:c>
      <x:c r="H633" s="23" t="str">
        <x:v>Pungent- Mustard</x:v>
      </x:c>
      <x:c r="I633" s="23" t="n">
        <x:v>11.8</x:v>
      </x:c>
      <x:c r="J633" s="23" t="str">
        <x:v>behavioral_regression_candidate</x:v>
      </x:c>
      <x:c r="K633" s="23" t="str">
        <x:v>legacy_output_unverified</x:v>
      </x:c>
      <x:c r="L633" s="23" t="str"/>
      <x:c r="M633" s="23" t="str"/>
    </x:row>
    <x:row r="634">
      <x:c r="A634" s="23" t="str">
        <x:v>LT-0633</x:v>
      </x:c>
      <x:c r="B634" s="23" t="str">
        <x:v>Ing Pairings- Venison.xlsx</x:v>
      </x:c>
      <x:c r="C634" s="23" t="str">
        <x:v>Sheet1</x:v>
      </x:c>
      <x:c r="D634" s="23" t="str">
        <x:v>venison</x:v>
      </x:c>
      <x:c r="E634" s="23" t="str">
        <x:v>game meat (general)</x:v>
      </x:c>
      <x:c r="F634" s="23" t="str">
        <x:v>family:game</x:v>
      </x:c>
      <x:c r="G634" s="23" t="str">
        <x:v>maize</x:v>
      </x:c>
      <x:c r="H634" s="23" t="str">
        <x:v>Phenol- Wine</x:v>
      </x:c>
      <x:c r="I634" s="23" t="n">
        <x:v>24.8</x:v>
      </x:c>
      <x:c r="J634" s="23" t="str">
        <x:v>behavioral_regression_candidate</x:v>
      </x:c>
      <x:c r="K634" s="23" t="str">
        <x:v>legacy_output_unverified</x:v>
      </x:c>
      <x:c r="L634" s="23" t="str"/>
      <x:c r="M634" s="23" t="str"/>
    </x:row>
    <x:row r="635">
      <x:c r="A635" s="23" t="str">
        <x:v>LT-0634</x:v>
      </x:c>
      <x:c r="B635" s="23" t="str">
        <x:v>Ing Pairings- Venison.xlsx</x:v>
      </x:c>
      <x:c r="C635" s="23" t="str">
        <x:v>Sheet1</x:v>
      </x:c>
      <x:c r="D635" s="23" t="str">
        <x:v>venison</x:v>
      </x:c>
      <x:c r="E635" s="23" t="str">
        <x:v>game meat (general)</x:v>
      </x:c>
      <x:c r="F635" s="23" t="str">
        <x:v>family:game</x:v>
      </x:c>
      <x:c r="G635" s="23" t="str">
        <x:v>eucalyptus</x:v>
      </x:c>
      <x:c r="H635" s="23" t="str">
        <x:v>Black Tea</x:v>
      </x:c>
      <x:c r="I635" s="23" t="n">
        <x:v>49.5</x:v>
      </x:c>
      <x:c r="J635" s="23" t="str">
        <x:v>behavioral_regression_candidate</x:v>
      </x:c>
      <x:c r="K635" s="23" t="str">
        <x:v>legacy_output_unverified</x:v>
      </x:c>
      <x:c r="L635" s="23" t="str"/>
      <x:c r="M635" s="23" t="str"/>
    </x:row>
    <x:row r="636">
      <x:c r="A636" s="23" t="str">
        <x:v>LT-0635</x:v>
      </x:c>
      <x:c r="B636" s="23" t="str">
        <x:v>Ing Pairings- Venison.xlsx</x:v>
      </x:c>
      <x:c r="C636" s="23" t="str">
        <x:v>Sheet1</x:v>
      </x:c>
      <x:c r="D636" s="23" t="str">
        <x:v>venison</x:v>
      </x:c>
      <x:c r="E636" s="23" t="str">
        <x:v>game meat (general)</x:v>
      </x:c>
      <x:c r="F636" s="23" t="str">
        <x:v>family:game</x:v>
      </x:c>
      <x:c r="G636" s="23" t="str">
        <x:v>dill</x:v>
      </x:c>
      <x:c r="H636" s="23" t="str">
        <x:v>Savory- Shoyu</x:v>
      </x:c>
      <x:c r="I636" s="23" t="n">
        <x:v>25.7</x:v>
      </x:c>
      <x:c r="J636" s="23" t="str">
        <x:v>behavioral_regression_candidate</x:v>
      </x:c>
      <x:c r="K636" s="23" t="str">
        <x:v>legacy_output_unverified</x:v>
      </x:c>
      <x:c r="L636" s="23" t="str"/>
      <x:c r="M636" s="23" t="str"/>
    </x:row>
    <x:row r="637">
      <x:c r="A637" s="23" t="str">
        <x:v>LT-0636</x:v>
      </x:c>
      <x:c r="B637" s="23" t="str">
        <x:v>Ing Pairings- Venison.xlsx</x:v>
      </x:c>
      <x:c r="C637" s="23" t="str">
        <x:v>Sheet1</x:v>
      </x:c>
      <x:c r="D637" s="23" t="str">
        <x:v>venison</x:v>
      </x:c>
      <x:c r="E637" s="23" t="str">
        <x:v>game meat (general)</x:v>
      </x:c>
      <x:c r="F637" s="23" t="str">
        <x:v>family:game</x:v>
      </x:c>
      <x:c r="G637" s="23" t="str">
        <x:v>cashew</x:v>
      </x:c>
      <x:c r="H637" s="23" t="str">
        <x:v>Katsuobushi</x:v>
      </x:c>
      <x:c r="I637" s="23" t="n">
        <x:v>49.5</x:v>
      </x:c>
      <x:c r="J637" s="23" t="str">
        <x:v>behavioral_regression_candidate</x:v>
      </x:c>
      <x:c r="K637" s="23" t="str">
        <x:v>legacy_output_unverified</x:v>
      </x:c>
      <x:c r="L637" s="23" t="str"/>
      <x:c r="M637" s="23" t="str"/>
    </x:row>
    <x:row r="638">
      <x:c r="A638" s="23" t="str">
        <x:v>LT-0637</x:v>
      </x:c>
      <x:c r="B638" s="23" t="str">
        <x:v>Ing Pairings- Venison.xlsx</x:v>
      </x:c>
      <x:c r="C638" s="23" t="str">
        <x:v>Sheet1</x:v>
      </x:c>
      <x:c r="D638" s="23" t="str">
        <x:v>venison</x:v>
      </x:c>
      <x:c r="E638" s="23" t="str">
        <x:v>game meat (general)</x:v>
      </x:c>
      <x:c r="F638" s="23" t="str">
        <x:v>family:game</x:v>
      </x:c>
      <x:c r="G638" s="23" t="str">
        <x:v>eggplant</x:v>
      </x:c>
      <x:c r="H638" s="23" t="str">
        <x:v>Sour- Vinegar</x:v>
      </x:c>
      <x:c r="I638" s="23" t="n">
        <x:v>23.7</x:v>
      </x:c>
      <x:c r="J638" s="23" t="str">
        <x:v>behavioral_regression_candidate</x:v>
      </x:c>
      <x:c r="K638" s="23" t="str">
        <x:v>legacy_output_unverified</x:v>
      </x:c>
      <x:c r="L638" s="23" t="str"/>
      <x:c r="M638" s="23" t="str"/>
    </x:row>
    <x:row r="639">
      <x:c r="A639" s="23" t="str">
        <x:v>LT-0638</x:v>
      </x:c>
      <x:c r="B639" s="23" t="str">
        <x:v>Ing Pairings- Venison.xlsx</x:v>
      </x:c>
      <x:c r="C639" s="23" t="str">
        <x:v>Sheet1</x:v>
      </x:c>
      <x:c r="D639" s="23" t="str">
        <x:v>venison</x:v>
      </x:c>
      <x:c r="E639" s="23" t="str">
        <x:v>game meat (general)</x:v>
      </x:c>
      <x:c r="F639" s="23" t="str">
        <x:v>family:game</x:v>
      </x:c>
      <x:c r="G639" s="23" t="str">
        <x:v>artichoke</x:v>
      </x:c>
      <x:c r="H639" s="23" t="str">
        <x:v>Dairy- Milk</x:v>
      </x:c>
      <x:c r="I639" s="23" t="n">
        <x:v>57.8</x:v>
      </x:c>
      <x:c r="J639" s="23" t="str">
        <x:v>behavioral_regression_candidate</x:v>
      </x:c>
      <x:c r="K639" s="23" t="str">
        <x:v>legacy_output_unverified</x:v>
      </x:c>
      <x:c r="L639" s="23" t="str"/>
      <x:c r="M639" s="23" t="str"/>
    </x:row>
    <x:row r="640">
      <x:c r="A640" s="23" t="str">
        <x:v>LT-0639</x:v>
      </x:c>
      <x:c r="B640" s="23" t="str">
        <x:v>Ing Pairings- Venison.xlsx</x:v>
      </x:c>
      <x:c r="C640" s="23" t="str">
        <x:v>Sheet1</x:v>
      </x:c>
      <x:c r="D640" s="23" t="str">
        <x:v>venison</x:v>
      </x:c>
      <x:c r="E640" s="23" t="str">
        <x:v>game meat (general)</x:v>
      </x:c>
      <x:c r="F640" s="23" t="str">
        <x:v>family:game</x:v>
      </x:c>
      <x:c r="G640" s="23" t="str">
        <x:v>allium</x:v>
      </x:c>
      <x:c r="H640" s="23" t="str">
        <x:v>Alcohol- Brandy</x:v>
      </x:c>
      <x:c r="I640" s="23" t="n">
        <x:v>40.3</x:v>
      </x:c>
      <x:c r="J640" s="23" t="str">
        <x:v>behavioral_regression_candidate</x:v>
      </x:c>
      <x:c r="K640" s="23" t="str">
        <x:v>legacy_output_unverified</x:v>
      </x:c>
      <x:c r="L640" s="23" t="str"/>
      <x:c r="M640" s="23" t="str"/>
    </x:row>
    <x:row r="641">
      <x:c r="A641" s="23" t="str">
        <x:v>LT-0640</x:v>
      </x:c>
      <x:c r="B641" s="23" t="str">
        <x:v>Ing Pairings- Venison.xlsx</x:v>
      </x:c>
      <x:c r="C641" s="23" t="str">
        <x:v>Sheet1</x:v>
      </x:c>
      <x:c r="D641" s="23" t="str">
        <x:v>venison</x:v>
      </x:c>
      <x:c r="E641" s="23" t="str">
        <x:v>game meat (general)</x:v>
      </x:c>
      <x:c r="F641" s="23" t="str">
        <x:v>family:game</x:v>
      </x:c>
      <x:c r="G641" s="23" t="str">
        <x:v>beer</x:v>
      </x:c>
      <x:c r="H641" s="23" t="str">
        <x:v>Marine- Fish</x:v>
      </x:c>
      <x:c r="I641" s="23" t="n">
        <x:v>43.5</x:v>
      </x:c>
      <x:c r="J641" s="23" t="str">
        <x:v>behavioral_regression_candidate</x:v>
      </x:c>
      <x:c r="K641" s="23" t="str">
        <x:v>legacy_output_unverified</x:v>
      </x:c>
      <x:c r="L641" s="23" t="str"/>
      <x:c r="M641" s="23" t="str"/>
    </x:row>
    <x:row r="642">
      <x:c r="A642" s="23" t="str">
        <x:v>LT-0641</x:v>
      </x:c>
      <x:c r="B642" s="23" t="str">
        <x:v>Ing Pairings- Venison.xlsx</x:v>
      </x:c>
      <x:c r="C642" s="23" t="str">
        <x:v>Sheet1</x:v>
      </x:c>
      <x:c r="D642" s="23" t="str">
        <x:v>venison</x:v>
      </x:c>
      <x:c r="E642" s="23" t="str">
        <x:v>game meat (general)</x:v>
      </x:c>
      <x:c r="F642" s="23" t="str">
        <x:v>family:game</x:v>
      </x:c>
      <x:c r="G642" s="23" t="str">
        <x:v>beetroot</x:v>
      </x:c>
      <x:c r="H642" s="23" t="str">
        <x:v>Shrimp (cooked)</x:v>
      </x:c>
      <x:c r="I642" s="23" t="n">
        <x:v>28.9</x:v>
      </x:c>
      <x:c r="J642" s="23" t="str">
        <x:v>behavioral_regression_candidate</x:v>
      </x:c>
      <x:c r="K642" s="23" t="str">
        <x:v>legacy_output_unverified</x:v>
      </x:c>
      <x:c r="L642" s="23" t="str"/>
      <x:c r="M642" s="23" t="str"/>
    </x:row>
    <x:row r="643">
      <x:c r="A643" s="23" t="str">
        <x:v>LT-0642</x:v>
      </x:c>
      <x:c r="B643" s="23" t="str">
        <x:v>Ing Pairings- Venison.xlsx</x:v>
      </x:c>
      <x:c r="C643" s="23" t="str">
        <x:v>Sheet1</x:v>
      </x:c>
      <x:c r="D643" s="23" t="str">
        <x:v>venison</x:v>
      </x:c>
      <x:c r="E643" s="23" t="str">
        <x:v>game meat (general)</x:v>
      </x:c>
      <x:c r="F643" s="23" t="str">
        <x:v>family:game</x:v>
      </x:c>
      <x:c r="G643" s="23" t="str">
        <x:v>cauliflower</x:v>
      </x:c>
      <x:c r="H643" s="23" t="str"/>
      <x:c r="I643" s="23" t="str"/>
      <x:c r="J643" s="23" t="str">
        <x:v>behavioral_regression_candidate</x:v>
      </x:c>
      <x:c r="K643" s="23" t="str">
        <x:v>legacy_output_unverified</x:v>
      </x:c>
      <x:c r="L643" s="23" t="str"/>
      <x:c r="M643" s="23" t="str"/>
    </x:row>
    <x:row r="644">
      <x:c r="A644" s="23" t="str">
        <x:v>LT-0643</x:v>
      </x:c>
      <x:c r="B644" s="23" t="str">
        <x:v>Ing Pairings- Venison.xlsx</x:v>
      </x:c>
      <x:c r="C644" s="23" t="str">
        <x:v>Sheet1</x:v>
      </x:c>
      <x:c r="D644" s="23" t="str">
        <x:v>venison</x:v>
      </x:c>
      <x:c r="E644" s="23" t="str">
        <x:v>game meat (general)</x:v>
      </x:c>
      <x:c r="F644" s="23" t="str">
        <x:v>family:game</x:v>
      </x:c>
      <x:c r="G644" s="23" t="str">
        <x:v>cheese</x:v>
      </x:c>
      <x:c r="H644" s="23" t="str"/>
      <x:c r="I644" s="23" t="str"/>
      <x:c r="J644" s="23" t="str">
        <x:v>behavioral_regression_candidate</x:v>
      </x:c>
      <x:c r="K644" s="23" t="str">
        <x:v>legacy_output_unverified</x:v>
      </x:c>
      <x:c r="L644" s="23" t="str"/>
      <x:c r="M644" s="23" t="str"/>
    </x:row>
    <x:row r="645">
      <x:c r="A645" s="23" t="str">
        <x:v>LT-0644</x:v>
      </x:c>
      <x:c r="B645" s="23" t="str">
        <x:v>Ing Pairings- Venison.xlsx</x:v>
      </x:c>
      <x:c r="C645" s="23" t="str">
        <x:v>Sheet1</x:v>
      </x:c>
      <x:c r="D645" s="23" t="str">
        <x:v>venison</x:v>
      </x:c>
      <x:c r="E645" s="23" t="str">
        <x:v>game meat (general)</x:v>
      </x:c>
      <x:c r="F645" s="23" t="str">
        <x:v>family:game</x:v>
      </x:c>
      <x:c r="G645" s="23" t="str">
        <x:v>cocoa</x:v>
      </x:c>
      <x:c r="H645" s="23" t="str"/>
      <x:c r="I645" s="23" t="str"/>
      <x:c r="J645" s="23" t="str">
        <x:v>behavioral_regression_candidate</x:v>
      </x:c>
      <x:c r="K645" s="23" t="str">
        <x:v>legacy_output_unverified</x:v>
      </x:c>
      <x:c r="L645" s="23" t="str"/>
      <x:c r="M645" s="23" t="str"/>
    </x:row>
    <x:row r="646">
      <x:c r="A646" s="23" t="str">
        <x:v>LT-0645</x:v>
      </x:c>
      <x:c r="B646" s="23" t="str">
        <x:v>Ing Pairings- Venison.xlsx</x:v>
      </x:c>
      <x:c r="C646" s="23" t="str">
        <x:v>Sheet1</x:v>
      </x:c>
      <x:c r="D646" s="23" t="str">
        <x:v>venison</x:v>
      </x:c>
      <x:c r="E646" s="23" t="str">
        <x:v>game meat (general)</x:v>
      </x:c>
      <x:c r="F646" s="23" t="str">
        <x:v>family:game</x:v>
      </x:c>
      <x:c r="G646" s="23" t="str">
        <x:v>coconut</x:v>
      </x:c>
      <x:c r="H646" s="23" t="str"/>
      <x:c r="I646" s="23" t="str"/>
      <x:c r="J646" s="23" t="str">
        <x:v>behavioral_regression_candidate</x:v>
      </x:c>
      <x:c r="K646" s="23" t="str">
        <x:v>legacy_output_unverified</x:v>
      </x:c>
      <x:c r="L646" s="23" t="str"/>
      <x:c r="M646" s="23" t="str"/>
    </x:row>
    <x:row r="647">
      <x:c r="A647" s="23" t="str">
        <x:v>LT-0646</x:v>
      </x:c>
      <x:c r="B647" s="23" t="str">
        <x:v>Ing Pairings- Venison.xlsx</x:v>
      </x:c>
      <x:c r="C647" s="23" t="str">
        <x:v>Sheet1</x:v>
      </x:c>
      <x:c r="D647" s="23" t="str">
        <x:v>venison</x:v>
      </x:c>
      <x:c r="E647" s="23" t="str">
        <x:v>game meat (general)</x:v>
      </x:c>
      <x:c r="F647" s="23" t="str">
        <x:v>family:game</x:v>
      </x:c>
      <x:c r="G647" s="23" t="str">
        <x:v>coffee</x:v>
      </x:c>
      <x:c r="H647" s="23" t="str"/>
      <x:c r="I647" s="23" t="str"/>
      <x:c r="J647" s="23" t="str">
        <x:v>behavioral_regression_candidate</x:v>
      </x:c>
      <x:c r="K647" s="23" t="str">
        <x:v>legacy_output_unverified</x:v>
      </x:c>
      <x:c r="L647" s="23" t="str"/>
      <x:c r="M647" s="23" t="str"/>
    </x:row>
    <x:row r="648">
      <x:c r="A648" s="23" t="str">
        <x:v>LT-0647</x:v>
      </x:c>
      <x:c r="B648" s="23" t="str">
        <x:v>Ing Pairings- Venison.xlsx</x:v>
      </x:c>
      <x:c r="C648" s="23" t="str">
        <x:v>Sheet1</x:v>
      </x:c>
      <x:c r="D648" s="23" t="str">
        <x:v>venison</x:v>
      </x:c>
      <x:c r="E648" s="23" t="str">
        <x:v>game meat (general)</x:v>
      </x:c>
      <x:c r="F648" s="23" t="str">
        <x:v>family:game</x:v>
      </x:c>
      <x:c r="G648" s="23" t="str">
        <x:v>elderberry</x:v>
      </x:c>
      <x:c r="H648" s="23" t="str"/>
      <x:c r="I648" s="23" t="str"/>
      <x:c r="J648" s="23" t="str">
        <x:v>behavioral_regression_candidate</x:v>
      </x:c>
      <x:c r="K648" s="23" t="str">
        <x:v>legacy_output_unverified</x:v>
      </x:c>
      <x:c r="L648" s="23" t="str"/>
      <x:c r="M648" s="23" t="str"/>
    </x:row>
    <x:row r="649">
      <x:c r="A649" s="23" t="str">
        <x:v>LT-0648</x:v>
      </x:c>
      <x:c r="B649" s="23" t="str">
        <x:v>Ing Pairings- Venison.xlsx</x:v>
      </x:c>
      <x:c r="C649" s="23" t="str">
        <x:v>Sheet1</x:v>
      </x:c>
      <x:c r="D649" s="23" t="str">
        <x:v>venison</x:v>
      </x:c>
      <x:c r="E649" s="23" t="str">
        <x:v>game meat (general)</x:v>
      </x:c>
      <x:c r="F649" s="23" t="str">
        <x:v>family:game</x:v>
      </x:c>
      <x:c r="G649" s="23" t="str">
        <x:v>lemon balm</x:v>
      </x:c>
      <x:c r="H649" s="23" t="str"/>
      <x:c r="I649" s="23" t="str"/>
      <x:c r="J649" s="23" t="str">
        <x:v>behavioral_regression_candidate</x:v>
      </x:c>
      <x:c r="K649" s="23" t="str">
        <x:v>legacy_output_unverified</x:v>
      </x:c>
      <x:c r="L649" s="23" t="str"/>
      <x:c r="M649" s="23" t="str"/>
    </x:row>
    <x:row r="650">
      <x:c r="A650" s="23" t="str">
        <x:v>LT-0649</x:v>
      </x:c>
      <x:c r="B650" s="23" t="str">
        <x:v>Ing Pairings- Venison.xlsx</x:v>
      </x:c>
      <x:c r="C650" s="23" t="str">
        <x:v>Sheet1</x:v>
      </x:c>
      <x:c r="D650" s="23" t="str">
        <x:v>venison</x:v>
      </x:c>
      <x:c r="E650" s="23" t="str">
        <x:v>game meat (general)</x:v>
      </x:c>
      <x:c r="F650" s="23" t="str">
        <x:v>family:game</x:v>
      </x:c>
      <x:c r="G650" s="23" t="str">
        <x:v>melon</x:v>
      </x:c>
      <x:c r="H650" s="23" t="str"/>
      <x:c r="I650" s="23" t="str"/>
      <x:c r="J650" s="23" t="str">
        <x:v>behavioral_regression_candidate</x:v>
      </x:c>
      <x:c r="K650" s="23" t="str">
        <x:v>legacy_output_unverified</x:v>
      </x:c>
      <x:c r="L650" s="23" t="str"/>
      <x:c r="M650" s="23" t="str"/>
    </x:row>
    <x:row r="651">
      <x:c r="A651" s="23" t="str">
        <x:v>LT-0650</x:v>
      </x:c>
      <x:c r="B651" s="23" t="str">
        <x:v>Ing Pairings- Venison.xlsx</x:v>
      </x:c>
      <x:c r="C651" s="23" t="str">
        <x:v>Sheet1</x:v>
      </x:c>
      <x:c r="D651" s="23" t="str">
        <x:v>venison</x:v>
      </x:c>
      <x:c r="E651" s="23" t="str">
        <x:v>game meat (general)</x:v>
      </x:c>
      <x:c r="F651" s="23" t="str">
        <x:v>family:game</x:v>
      </x:c>
      <x:c r="G651" s="23" t="str">
        <x:v>mushroom</x:v>
      </x:c>
      <x:c r="H651" s="23" t="str"/>
      <x:c r="I651" s="23" t="str"/>
      <x:c r="J651" s="23" t="str">
        <x:v>behavioral_regression_candidate</x:v>
      </x:c>
      <x:c r="K651" s="23" t="str">
        <x:v>legacy_output_unverified</x:v>
      </x:c>
      <x:c r="L651" s="23" t="str"/>
      <x:c r="M651" s="23" t="str"/>
    </x:row>
    <x:row r="652">
      <x:c r="A652" s="23" t="str">
        <x:v>LT-0651</x:v>
      </x:c>
      <x:c r="B652" s="23" t="str">
        <x:v>Ing Pairings- Venison.xlsx</x:v>
      </x:c>
      <x:c r="C652" s="23" t="str">
        <x:v>Sheet1</x:v>
      </x:c>
      <x:c r="D652" s="23" t="str">
        <x:v>venison</x:v>
      </x:c>
      <x:c r="E652" s="23" t="str">
        <x:v>game meat (general)</x:v>
      </x:c>
      <x:c r="F652" s="23" t="str">
        <x:v>family:game</x:v>
      </x:c>
      <x:c r="G652" s="23" t="str">
        <x:v>peanut</x:v>
      </x:c>
      <x:c r="H652" s="23" t="str"/>
      <x:c r="I652" s="23" t="str"/>
      <x:c r="J652" s="23" t="str">
        <x:v>behavioral_regression_candidate</x:v>
      </x:c>
      <x:c r="K652" s="23" t="str">
        <x:v>legacy_output_unverified</x:v>
      </x:c>
      <x:c r="L652" s="23" t="str"/>
      <x:c r="M652" s="23" t="str"/>
    </x:row>
    <x:row r="653">
      <x:c r="A653" s="23" t="str">
        <x:v>LT-0652</x:v>
      </x:c>
      <x:c r="B653" s="23" t="str">
        <x:v>Ing Pairings- Venison.xlsx</x:v>
      </x:c>
      <x:c r="C653" s="23" t="str">
        <x:v>Sheet1</x:v>
      </x:c>
      <x:c r="D653" s="23" t="str">
        <x:v>venison</x:v>
      </x:c>
      <x:c r="E653" s="23" t="str">
        <x:v>game meat (general)</x:v>
      </x:c>
      <x:c r="F653" s="23" t="str">
        <x:v>family:game</x:v>
      </x:c>
      <x:c r="G653" s="23" t="str">
        <x:v>pecan</x:v>
      </x:c>
      <x:c r="H653" s="23" t="str"/>
      <x:c r="I653" s="23" t="str"/>
      <x:c r="J653" s="23" t="str">
        <x:v>behavioral_regression_candidate</x:v>
      </x:c>
      <x:c r="K653" s="23" t="str">
        <x:v>legacy_output_unverified</x:v>
      </x:c>
      <x:c r="L653" s="23" t="str"/>
      <x:c r="M653" s="23" t="str"/>
    </x:row>
    <x:row r="654">
      <x:c r="A654" s="23" t="str">
        <x:v>LT-0653</x:v>
      </x:c>
      <x:c r="B654" s="23" t="str">
        <x:v>Ing Pairings- Venison.xlsx</x:v>
      </x:c>
      <x:c r="C654" s="23" t="str">
        <x:v>Sheet1</x:v>
      </x:c>
      <x:c r="D654" s="23" t="str">
        <x:v>venison</x:v>
      </x:c>
      <x:c r="E654" s="23" t="str">
        <x:v>game meat (general)</x:v>
      </x:c>
      <x:c r="F654" s="23" t="str">
        <x:v>family:game</x:v>
      </x:c>
      <x:c r="G654" s="23" t="str">
        <x:v>sake</x:v>
      </x:c>
      <x:c r="H654" s="23" t="str"/>
      <x:c r="I654" s="23" t="str"/>
      <x:c r="J654" s="23" t="str">
        <x:v>behavioral_regression_candidate</x:v>
      </x:c>
      <x:c r="K654" s="23" t="str">
        <x:v>legacy_output_unverified</x:v>
      </x:c>
      <x:c r="L654" s="23" t="str"/>
      <x:c r="M654" s="23" t="str"/>
    </x:row>
    <x:row r="655">
      <x:c r="A655" s="23" t="str">
        <x:v>LT-0654</x:v>
      </x:c>
      <x:c r="B655" s="23" t="str">
        <x:v>Ing Pairings- Venison.xlsx</x:v>
      </x:c>
      <x:c r="C655" s="23" t="str">
        <x:v>Sheet1</x:v>
      </x:c>
      <x:c r="D655" s="23" t="str">
        <x:v>venison</x:v>
      </x:c>
      <x:c r="E655" s="23" t="str">
        <x:v>game meat (general)</x:v>
      </x:c>
      <x:c r="F655" s="23" t="str">
        <x:v>family:game</x:v>
      </x:c>
      <x:c r="G655" s="23" t="str">
        <x:v>salvia</x:v>
      </x:c>
      <x:c r="H655" s="23" t="str"/>
      <x:c r="I655" s="23" t="str"/>
      <x:c r="J655" s="23" t="str">
        <x:v>behavioral_regression_candidate</x:v>
      </x:c>
      <x:c r="K655" s="23" t="str">
        <x:v>legacy_output_unverified</x:v>
      </x:c>
      <x:c r="L655" s="23" t="str"/>
      <x:c r="M655" s="23" t="str"/>
    </x:row>
    <x:row r="656">
      <x:c r="A656" s="23" t="str">
        <x:v>LT-0655</x:v>
      </x:c>
      <x:c r="B656" s="23" t="str">
        <x:v>Ing Pairings- Venison.xlsx</x:v>
      </x:c>
      <x:c r="C656" s="23" t="str">
        <x:v>Sheet1</x:v>
      </x:c>
      <x:c r="D656" s="23" t="str">
        <x:v>venison</x:v>
      </x:c>
      <x:c r="E656" s="23" t="str">
        <x:v>game meat (general)</x:v>
      </x:c>
      <x:c r="F656" s="23" t="str">
        <x:v>family:game</x:v>
      </x:c>
      <x:c r="G656" s="23" t="str">
        <x:v>satureja</x:v>
      </x:c>
      <x:c r="H656" s="23" t="str"/>
      <x:c r="I656" s="23" t="str"/>
      <x:c r="J656" s="23" t="str">
        <x:v>behavioral_regression_candidate</x:v>
      </x:c>
      <x:c r="K656" s="23" t="str">
        <x:v>legacy_output_unverified</x:v>
      </x:c>
      <x:c r="L656" s="23" t="str"/>
      <x:c r="M656" s="23" t="str"/>
    </x:row>
    <x:row r="657">
      <x:c r="A657" s="23" t="str">
        <x:v>LT-0656</x:v>
      </x:c>
      <x:c r="B657" s="23" t="str">
        <x:v>Ing Pairings- Venison.xlsx</x:v>
      </x:c>
      <x:c r="C657" s="23" t="str">
        <x:v>Sheet1</x:v>
      </x:c>
      <x:c r="D657" s="23" t="str">
        <x:v>venison</x:v>
      </x:c>
      <x:c r="E657" s="23" t="str">
        <x:v>game meat (general)</x:v>
      </x:c>
      <x:c r="F657" s="23" t="str">
        <x:v>family:game</x:v>
      </x:c>
      <x:c r="G657" s="23" t="str">
        <x:v>sweet potato</x:v>
      </x:c>
      <x:c r="H657" s="23" t="str"/>
      <x:c r="I657" s="23" t="str"/>
      <x:c r="J657" s="23" t="str">
        <x:v>behavioral_regression_candidate</x:v>
      </x:c>
      <x:c r="K657" s="23" t="str">
        <x:v>legacy_output_unverified</x:v>
      </x:c>
      <x:c r="L657" s="23" t="str"/>
      <x:c r="M657" s="23" t="str"/>
    </x:row>
    <x:row r="658">
      <x:c r="A658" s="23" t="str">
        <x:v>LT-0657</x:v>
      </x:c>
      <x:c r="B658" s="23" t="str">
        <x:v>Ing Pairings- Venison.xlsx</x:v>
      </x:c>
      <x:c r="C658" s="23" t="str">
        <x:v>Sheet1</x:v>
      </x:c>
      <x:c r="D658" s="23" t="str">
        <x:v>venison</x:v>
      </x:c>
      <x:c r="E658" s="23" t="str">
        <x:v>game meat (general)</x:v>
      </x:c>
      <x:c r="F658" s="23" t="str">
        <x:v>family:game</x:v>
      </x:c>
      <x:c r="G658" s="23" t="str">
        <x:v>shoyu</x:v>
      </x:c>
      <x:c r="H658" s="23" t="str"/>
      <x:c r="I658" s="23" t="str"/>
      <x:c r="J658" s="23" t="str">
        <x:v>behavioral_regression_candidate</x:v>
      </x:c>
      <x:c r="K658" s="23" t="str">
        <x:v>legacy_output_unverified</x:v>
      </x:c>
      <x:c r="L658" s="23" t="str"/>
      <x:c r="M658" s="23" t="str"/>
    </x:row>
    <x:row r="659">
      <x:c r="A659" s="23" t="str">
        <x:v>LT-0658</x:v>
      </x:c>
      <x:c r="B659" s="23" t="str">
        <x:v>Ing Pairings- Venison.xlsx</x:v>
      </x:c>
      <x:c r="C659" s="23" t="str">
        <x:v>Sheet1</x:v>
      </x:c>
      <x:c r="D659" s="23" t="str">
        <x:v>venison</x:v>
      </x:c>
      <x:c r="E659" s="23" t="str">
        <x:v>game meat (general)</x:v>
      </x:c>
      <x:c r="F659" s="23" t="str">
        <x:v>family:game</x:v>
      </x:c>
      <x:c r="G659" s="23" t="str">
        <x:v>passion fruit</x:v>
      </x:c>
      <x:c r="H659" s="23" t="str"/>
      <x:c r="I659" s="23" t="str"/>
      <x:c r="J659" s="23" t="str">
        <x:v>behavioral_regression_candidate</x:v>
      </x:c>
      <x:c r="K659" s="23" t="str">
        <x:v>legacy_output_unverified</x:v>
      </x:c>
      <x:c r="L659" s="23" t="str"/>
      <x:c r="M659" s="23" t="str"/>
    </x:row>
    <x:row r="660">
      <x:c r="A660" s="23" t="str">
        <x:v>LT-0659</x:v>
      </x:c>
      <x:c r="B660" s="23" t="str">
        <x:v>Ing Pairings- Venison.xlsx</x:v>
      </x:c>
      <x:c r="C660" s="23" t="str">
        <x:v>Sheet1</x:v>
      </x:c>
      <x:c r="D660" s="23" t="str">
        <x:v>venison</x:v>
      </x:c>
      <x:c r="E660" s="23" t="str">
        <x:v>game meat (general)</x:v>
      </x:c>
      <x:c r="F660" s="23" t="str">
        <x:v>family:game</x:v>
      </x:c>
      <x:c r="G660" s="23" t="str">
        <x:v>peach</x:v>
      </x:c>
      <x:c r="H660" s="23" t="str"/>
      <x:c r="I660" s="23" t="str"/>
      <x:c r="J660" s="23" t="str">
        <x:v>behavioral_regression_candidate</x:v>
      </x:c>
      <x:c r="K660" s="23" t="str">
        <x:v>legacy_output_unverified</x:v>
      </x:c>
      <x:c r="L660" s="23" t="str"/>
      <x:c r="M660" s="23" t="str"/>
    </x:row>
    <x:row r="661">
      <x:c r="A661" s="23" t="str">
        <x:v>LT-0660</x:v>
      </x:c>
      <x:c r="B661" s="23" t="str">
        <x:v>Ing Pairings- Venison.xlsx</x:v>
      </x:c>
      <x:c r="C661" s="23" t="str">
        <x:v>Sheet1</x:v>
      </x:c>
      <x:c r="D661" s="23" t="str">
        <x:v>venison</x:v>
      </x:c>
      <x:c r="E661" s="23" t="str">
        <x:v>game meat (general)</x:v>
      </x:c>
      <x:c r="F661" s="23" t="str">
        <x:v>family:game</x:v>
      </x:c>
      <x:c r="G661" s="23" t="str">
        <x:v>plum</x:v>
      </x:c>
      <x:c r="H661" s="23" t="str"/>
      <x:c r="I661" s="23" t="str"/>
      <x:c r="J661" s="23" t="str">
        <x:v>behavioral_regression_candidate</x:v>
      </x:c>
      <x:c r="K661" s="23" t="str">
        <x:v>legacy_output_unverified</x:v>
      </x:c>
      <x:c r="L661" s="23" t="str"/>
      <x:c r="M661" s="23" t="str"/>
    </x:row>
    <x:row r="662">
      <x:c r="A662" s="23" t="str">
        <x:v>LT-0661</x:v>
      </x:c>
      <x:c r="B662" s="23" t="str">
        <x:v>Ing Pairings- Venison.xlsx</x:v>
      </x:c>
      <x:c r="C662" s="23" t="str">
        <x:v>Sheet1</x:v>
      </x:c>
      <x:c r="D662" s="23" t="str">
        <x:v>venison</x:v>
      </x:c>
      <x:c r="E662" s="23" t="str">
        <x:v>game meat (general)</x:v>
      </x:c>
      <x:c r="F662" s="23" t="str">
        <x:v>family:game</x:v>
      </x:c>
      <x:c r="G662" s="23" t="str">
        <x:v>olive</x:v>
      </x:c>
      <x:c r="H662" s="23" t="str"/>
      <x:c r="I662" s="23" t="str"/>
      <x:c r="J662" s="23" t="str">
        <x:v>behavioral_regression_candidate</x:v>
      </x:c>
      <x:c r="K662" s="23" t="str">
        <x:v>legacy_output_unverified</x:v>
      </x:c>
      <x:c r="L662" s="23" t="str"/>
      <x:c r="M662" s="23" t="str"/>
    </x:row>
    <x:row r="663">
      <x:c r="A663" s="23" t="str">
        <x:v>LT-0662</x:v>
      </x:c>
      <x:c r="B663" s="23" t="str">
        <x:v>Ing Pairings- Venison.xlsx</x:v>
      </x:c>
      <x:c r="C663" s="23" t="str">
        <x:v>Sheet1</x:v>
      </x:c>
      <x:c r="D663" s="23" t="str">
        <x:v>venison</x:v>
      </x:c>
      <x:c r="E663" s="23" t="str">
        <x:v>game meat (general)</x:v>
      </x:c>
      <x:c r="F663" s="23" t="str">
        <x:v>family:game</x:v>
      </x:c>
      <x:c r="G663" s="23" t="str">
        <x:v>nectarine</x:v>
      </x:c>
      <x:c r="H663" s="23" t="str"/>
      <x:c r="I663" s="23" t="str"/>
      <x:c r="J663" s="23" t="str">
        <x:v>behavioral_regression_candidate</x:v>
      </x:c>
      <x:c r="K663" s="23" t="str">
        <x:v>legacy_output_unverified</x:v>
      </x:c>
      <x:c r="L663" s="23" t="str"/>
      <x:c r="M663" s="23" t="str"/>
    </x:row>
    <x:row r="664">
      <x:c r="A664" s="23" t="str">
        <x:v>LT-0663</x:v>
      </x:c>
      <x:c r="B664" s="23" t="str">
        <x:v>Ing Pairings- Venison.xlsx</x:v>
      </x:c>
      <x:c r="C664" s="23" t="str">
        <x:v>Sheet1</x:v>
      </x:c>
      <x:c r="D664" s="23" t="str">
        <x:v>venison</x:v>
      </x:c>
      <x:c r="E664" s="23" t="str">
        <x:v>game meat (general)</x:v>
      </x:c>
      <x:c r="F664" s="23" t="str">
        <x:v>family:game</x:v>
      </x:c>
      <x:c r="G664" s="23" t="str">
        <x:v>chervil</x:v>
      </x:c>
      <x:c r="H664" s="23" t="str"/>
      <x:c r="I664" s="23" t="str"/>
      <x:c r="J664" s="23" t="str">
        <x:v>behavioral_regression_candidate</x:v>
      </x:c>
      <x:c r="K664" s="23" t="str">
        <x:v>legacy_output_unverified</x:v>
      </x:c>
      <x:c r="L664" s="23" t="str"/>
      <x:c r="M664" s="23" t="str"/>
    </x:row>
    <x:row r="665">
      <x:c r="A665" s="23" t="str">
        <x:v>LT-0664</x:v>
      </x:c>
      <x:c r="B665" s="23" t="str">
        <x:v>Ing Pairings- Venison.xlsx</x:v>
      </x:c>
      <x:c r="C665" s="23" t="str">
        <x:v>Sheet1</x:v>
      </x:c>
      <x:c r="D665" s="23" t="str">
        <x:v>venison</x:v>
      </x:c>
      <x:c r="E665" s="23" t="str">
        <x:v>game meat (general)</x:v>
      </x:c>
      <x:c r="F665" s="23" t="str">
        <x:v>family:game</x:v>
      </x:c>
      <x:c r="G665" s="23" t="str">
        <x:v>potato</x:v>
      </x:c>
      <x:c r="H665" s="23" t="str"/>
      <x:c r="I665" s="23" t="str"/>
      <x:c r="J665" s="23" t="str">
        <x:v>behavioral_regression_candidate</x:v>
      </x:c>
      <x:c r="K665" s="23" t="str">
        <x:v>legacy_output_unverified</x:v>
      </x:c>
      <x:c r="L665" s="23" t="str"/>
      <x:c r="M665" s="23" t="str"/>
    </x:row>
    <x:row r="666">
      <x:c r="A666" s="23" t="str">
        <x:v>LT-0665</x:v>
      </x:c>
      <x:c r="B666" s="23" t="str">
        <x:v>Ing Pairings- Venison.xlsx</x:v>
      </x:c>
      <x:c r="C666" s="23" t="str">
        <x:v>Sheet1</x:v>
      </x:c>
      <x:c r="D666" s="23" t="str">
        <x:v>venison</x:v>
      </x:c>
      <x:c r="E666" s="23" t="str">
        <x:v>game meat (general)</x:v>
      </x:c>
      <x:c r="F666" s="23" t="str">
        <x:v>family:game</x:v>
      </x:c>
      <x:c r="G666" s="23" t="str">
        <x:v>fig</x:v>
      </x:c>
      <x:c r="H666" s="23" t="str"/>
      <x:c r="I666" s="23" t="str"/>
      <x:c r="J666" s="23" t="str">
        <x:v>behavioral_regression_candidate</x:v>
      </x:c>
      <x:c r="K666" s="23" t="str">
        <x:v>legacy_output_unverified</x:v>
      </x:c>
      <x:c r="L666" s="23" t="str"/>
      <x:c r="M666" s="23" t="str"/>
    </x:row>
    <x:row r="667">
      <x:c r="A667" s="23" t="str">
        <x:v>LT-0666</x:v>
      </x:c>
      <x:c r="B667" s="23" t="str">
        <x:v>Ing Pairings- Venison.xlsx</x:v>
      </x:c>
      <x:c r="C667" s="23" t="str">
        <x:v>Sheet1</x:v>
      </x:c>
      <x:c r="D667" s="23" t="str">
        <x:v>venison</x:v>
      </x:c>
      <x:c r="E667" s="23" t="str">
        <x:v>game meat (general)</x:v>
      </x:c>
      <x:c r="F667" s="23" t="str">
        <x:v>family:game</x:v>
      </x:c>
      <x:c r="G667" s="23" t="str">
        <x:v>cherry</x:v>
      </x:c>
      <x:c r="H667" s="23" t="str"/>
      <x:c r="I667" s="23" t="str"/>
      <x:c r="J667" s="23" t="str">
        <x:v>behavioral_regression_candidate</x:v>
      </x:c>
      <x:c r="K667" s="23" t="str">
        <x:v>legacy_output_unverified</x:v>
      </x:c>
      <x:c r="L667" s="23" t="str"/>
      <x:c r="M667" s="23" t="str"/>
    </x:row>
    <x:row r="668">
      <x:c r="A668" s="23" t="str">
        <x:v>LT-0667</x:v>
      </x:c>
      <x:c r="B668" s="23" t="str">
        <x:v>Ing Pairings- Venison.xlsx</x:v>
      </x:c>
      <x:c r="C668" s="23" t="str">
        <x:v>Sheet1</x:v>
      </x:c>
      <x:c r="D668" s="23" t="str">
        <x:v>venison</x:v>
      </x:c>
      <x:c r="E668" s="23" t="str">
        <x:v>game meat (general)</x:v>
      </x:c>
      <x:c r="F668" s="23" t="str">
        <x:v>family:game</x:v>
      </x:c>
      <x:c r="G668" s="23" t="str">
        <x:v>apple</x:v>
      </x:c>
      <x:c r="H668" s="23" t="str"/>
      <x:c r="I668" s="23" t="str"/>
      <x:c r="J668" s="23" t="str">
        <x:v>behavioral_regression_candidate</x:v>
      </x:c>
      <x:c r="K668" s="23" t="str">
        <x:v>legacy_output_unverified</x:v>
      </x:c>
      <x:c r="L668" s="23" t="str"/>
      <x:c r="M668" s="23" t="str"/>
    </x:row>
    <x:row r="669">
      <x:c r="A669" s="23" t="str">
        <x:v>LT-0668</x:v>
      </x:c>
      <x:c r="B669" s="23" t="str">
        <x:v>Ing Pairings- Venison.xlsx</x:v>
      </x:c>
      <x:c r="C669" s="23" t="str">
        <x:v>Sheet1</x:v>
      </x:c>
      <x:c r="D669" s="23" t="str">
        <x:v>venison</x:v>
      </x:c>
      <x:c r="E669" s="23" t="str">
        <x:v>game meat (general)</x:v>
      </x:c>
      <x:c r="F669" s="23" t="str">
        <x:v>family:game</x:v>
      </x:c>
      <x:c r="G669" s="23" t="str">
        <x:v>apple brandy</x:v>
      </x:c>
      <x:c r="H669" s="23" t="str"/>
      <x:c r="I669" s="23" t="str"/>
      <x:c r="J669" s="23" t="str">
        <x:v>behavioral_regression_candidate</x:v>
      </x:c>
      <x:c r="K669" s="23" t="str">
        <x:v>legacy_output_unverified</x:v>
      </x:c>
      <x:c r="L669" s="23" t="str"/>
      <x:c r="M669" s="23" t="str"/>
    </x:row>
    <x:row r="670">
      <x:c r="A670" s="23" t="str">
        <x:v>LT-0669</x:v>
      </x:c>
      <x:c r="B670" s="23" t="str">
        <x:v>Ing Pairings- Venison.xlsx</x:v>
      </x:c>
      <x:c r="C670" s="23" t="str">
        <x:v>Sheet1</x:v>
      </x:c>
      <x:c r="D670" s="23" t="str">
        <x:v>venison</x:v>
      </x:c>
      <x:c r="E670" s="23" t="str">
        <x:v>game meat (general)</x:v>
      </x:c>
      <x:c r="F670" s="23" t="str">
        <x:v>family:game</x:v>
      </x:c>
      <x:c r="G670" s="23" t="str">
        <x:v>beef</x:v>
      </x:c>
      <x:c r="H670" s="23" t="str"/>
      <x:c r="I670" s="23" t="str"/>
      <x:c r="J670" s="23" t="str">
        <x:v>behavioral_regression_candidate</x:v>
      </x:c>
      <x:c r="K670" s="23" t="str">
        <x:v>legacy_output_unverified</x:v>
      </x:c>
      <x:c r="L670" s="23" t="str"/>
      <x:c r="M670" s="23" t="str"/>
    </x:row>
    <x:row r="671">
      <x:c r="A671" s="23" t="str">
        <x:v>LT-0670</x:v>
      </x:c>
      <x:c r="B671" s="23" t="str">
        <x:v>Ing Pairings- Venison.xlsx</x:v>
      </x:c>
      <x:c r="C671" s="23" t="str">
        <x:v>Sheet1</x:v>
      </x:c>
      <x:c r="D671" s="23" t="str">
        <x:v>venison</x:v>
      </x:c>
      <x:c r="E671" s="23" t="str">
        <x:v>game meat (general)</x:v>
      </x:c>
      <x:c r="F671" s="23" t="str">
        <x:v>family:game</x:v>
      </x:c>
      <x:c r="G671" s="23" t="str">
        <x:v>blue cheese</x:v>
      </x:c>
      <x:c r="H671" s="23" t="str"/>
      <x:c r="I671" s="23" t="str"/>
      <x:c r="J671" s="23" t="str">
        <x:v>behavioral_regression_candidate</x:v>
      </x:c>
      <x:c r="K671" s="23" t="str">
        <x:v>legacy_output_unverified</x:v>
      </x:c>
      <x:c r="L671" s="23" t="str"/>
      <x:c r="M671" s="23" t="str"/>
    </x:row>
    <x:row r="672">
      <x:c r="A672" s="23" t="str">
        <x:v>LT-0671</x:v>
      </x:c>
      <x:c r="B672" s="23" t="str">
        <x:v>Ing Pairings- Venison.xlsx</x:v>
      </x:c>
      <x:c r="C672" s="23" t="str">
        <x:v>Sheet1</x:v>
      </x:c>
      <x:c r="D672" s="23" t="str">
        <x:v>venison</x:v>
      </x:c>
      <x:c r="E672" s="23" t="str">
        <x:v>game meat (general)</x:v>
      </x:c>
      <x:c r="F672" s="23" t="str">
        <x:v>family:game</x:v>
      </x:c>
      <x:c r="G672" s="23" t="str">
        <x:v>cashew</x:v>
      </x:c>
      <x:c r="H672" s="23" t="str"/>
      <x:c r="I672" s="23" t="str"/>
      <x:c r="J672" s="23" t="str">
        <x:v>behavioral_regression_candidate</x:v>
      </x:c>
      <x:c r="K672" s="23" t="str">
        <x:v>legacy_output_unverified</x:v>
      </x:c>
      <x:c r="L672" s="23" t="str"/>
      <x:c r="M672" s="23" t="str"/>
    </x:row>
    <x:row r="673">
      <x:c r="A673" s="23" t="str">
        <x:v>LT-0672</x:v>
      </x:c>
      <x:c r="B673" s="23" t="str">
        <x:v>Ing Pairings- Venison.xlsx</x:v>
      </x:c>
      <x:c r="C673" s="23" t="str">
        <x:v>Sheet1</x:v>
      </x:c>
      <x:c r="D673" s="23" t="str">
        <x:v>venison</x:v>
      </x:c>
      <x:c r="E673" s="23" t="str">
        <x:v>game meat (general)</x:v>
      </x:c>
      <x:c r="F673" s="23" t="str">
        <x:v>family:game</x:v>
      </x:c>
      <x:c r="G673" s="23" t="str">
        <x:v>cheddar</x:v>
      </x:c>
      <x:c r="H673" s="23" t="str"/>
      <x:c r="I673" s="23" t="str"/>
      <x:c r="J673" s="23" t="str">
        <x:v>behavioral_regression_candidate</x:v>
      </x:c>
      <x:c r="K673" s="23" t="str">
        <x:v>legacy_output_unverified</x:v>
      </x:c>
      <x:c r="L673" s="23" t="str"/>
      <x:c r="M673" s="23" t="str"/>
    </x:row>
    <x:row r="674">
      <x:c r="A674" s="23" t="str">
        <x:v>LT-0673</x:v>
      </x:c>
      <x:c r="B674" s="23" t="str">
        <x:v>Ing Pairings- Venison.xlsx</x:v>
      </x:c>
      <x:c r="C674" s="23" t="str">
        <x:v>Sheet1</x:v>
      </x:c>
      <x:c r="D674" s="23" t="str">
        <x:v>venison</x:v>
      </x:c>
      <x:c r="E674" s="23" t="str">
        <x:v>game meat (general)</x:v>
      </x:c>
      <x:c r="F674" s="23" t="str">
        <x:v>family:game</x:v>
      </x:c>
      <x:c r="G674" s="23" t="str">
        <x:v>chicken</x:v>
      </x:c>
      <x:c r="H674" s="23" t="str"/>
      <x:c r="I674" s="23" t="str"/>
      <x:c r="J674" s="23" t="str">
        <x:v>behavioral_regression_candidate</x:v>
      </x:c>
      <x:c r="K674" s="23" t="str">
        <x:v>legacy_output_unverified</x:v>
      </x:c>
      <x:c r="L674" s="23" t="str"/>
      <x:c r="M674" s="23" t="str"/>
    </x:row>
    <x:row r="675">
      <x:c r="A675" s="23" t="str">
        <x:v>LT-0674</x:v>
      </x:c>
      <x:c r="B675" s="23" t="str">
        <x:v>Ing Pairings- Venison.xlsx</x:v>
      </x:c>
      <x:c r="C675" s="23" t="str">
        <x:v>Sheet1</x:v>
      </x:c>
      <x:c r="D675" s="23" t="str">
        <x:v>venison</x:v>
      </x:c>
      <x:c r="E675" s="23" t="str">
        <x:v>game meat (general)</x:v>
      </x:c>
      <x:c r="F675" s="23" t="str">
        <x:v>family:game</x:v>
      </x:c>
      <x:c r="G675" s="23" t="str">
        <x:v>cider</x:v>
      </x:c>
      <x:c r="H675" s="23" t="str"/>
      <x:c r="I675" s="23" t="str"/>
      <x:c r="J675" s="23" t="str">
        <x:v>behavioral_regression_candidate</x:v>
      </x:c>
      <x:c r="K675" s="23" t="str">
        <x:v>legacy_output_unverified</x:v>
      </x:c>
      <x:c r="L675" s="23" t="str"/>
      <x:c r="M675" s="23" t="str"/>
    </x:row>
    <x:row r="676">
      <x:c r="A676" s="23" t="str">
        <x:v>LT-0675</x:v>
      </x:c>
      <x:c r="B676" s="23" t="str">
        <x:v>Ing Pairings- Venison.xlsx</x:v>
      </x:c>
      <x:c r="C676" s="23" t="str">
        <x:v>Sheet1</x:v>
      </x:c>
      <x:c r="D676" s="23" t="str">
        <x:v>venison</x:v>
      </x:c>
      <x:c r="E676" s="23" t="str">
        <x:v>game meat (general)</x:v>
      </x:c>
      <x:c r="F676" s="23" t="str">
        <x:v>family:game</x:v>
      </x:c>
      <x:c r="G676" s="23" t="str">
        <x:v>crab</x:v>
      </x:c>
      <x:c r="H676" s="23" t="str"/>
      <x:c r="I676" s="23" t="str"/>
      <x:c r="J676" s="23" t="str">
        <x:v>behavioral_regression_candidate</x:v>
      </x:c>
      <x:c r="K676" s="23" t="str">
        <x:v>legacy_output_unverified</x:v>
      </x:c>
      <x:c r="L676" s="23" t="str"/>
      <x:c r="M676" s="23" t="str"/>
    </x:row>
    <x:row r="677">
      <x:c r="A677" s="23" t="str">
        <x:v>LT-0676</x:v>
      </x:c>
      <x:c r="B677" s="23" t="str">
        <x:v>Ing Pairings- Venison.xlsx</x:v>
      </x:c>
      <x:c r="C677" s="23" t="str">
        <x:v>Sheet1</x:v>
      </x:c>
      <x:c r="D677" s="23" t="str">
        <x:v>venison</x:v>
      </x:c>
      <x:c r="E677" s="23" t="str">
        <x:v>game meat (general)</x:v>
      </x:c>
      <x:c r="F677" s="23" t="str">
        <x:v>family:game</x:v>
      </x:c>
      <x:c r="G677" s="23" t="str">
        <x:v>curry</x:v>
      </x:c>
      <x:c r="H677" s="23" t="str"/>
      <x:c r="I677" s="23" t="str"/>
      <x:c r="J677" s="23" t="str">
        <x:v>behavioral_regression_candidate</x:v>
      </x:c>
      <x:c r="K677" s="23" t="str">
        <x:v>legacy_output_unverified</x:v>
      </x:c>
      <x:c r="L677" s="23" t="str"/>
      <x:c r="M677" s="23" t="str"/>
    </x:row>
    <x:row r="678">
      <x:c r="A678" s="23" t="str">
        <x:v>LT-0677</x:v>
      </x:c>
      <x:c r="B678" s="23" t="str">
        <x:v>Ing Pairings- Venison.xlsx</x:v>
      </x:c>
      <x:c r="C678" s="23" t="str">
        <x:v>Sheet1</x:v>
      </x:c>
      <x:c r="D678" s="23" t="str">
        <x:v>venison</x:v>
      </x:c>
      <x:c r="E678" s="23" t="str">
        <x:v>game meat (general)</x:v>
      </x:c>
      <x:c r="F678" s="23" t="str">
        <x:v>family:game</x:v>
      </x:c>
      <x:c r="G678" s="23" t="str">
        <x:v>fish</x:v>
      </x:c>
      <x:c r="H678" s="23" t="str"/>
      <x:c r="I678" s="23" t="str"/>
      <x:c r="J678" s="23" t="str">
        <x:v>behavioral_regression_candidate</x:v>
      </x:c>
      <x:c r="K678" s="23" t="str">
        <x:v>legacy_output_unverified</x:v>
      </x:c>
      <x:c r="L678" s="23" t="str"/>
      <x:c r="M678" s="23" t="str"/>
    </x:row>
    <x:row r="679">
      <x:c r="A679" s="23" t="str">
        <x:v>LT-0678</x:v>
      </x:c>
      <x:c r="B679" s="23" t="str">
        <x:v>Ing Pairings- Venison.xlsx</x:v>
      </x:c>
      <x:c r="C679" s="23" t="str">
        <x:v>Sheet1</x:v>
      </x:c>
      <x:c r="D679" s="23" t="str">
        <x:v>venison</x:v>
      </x:c>
      <x:c r="E679" s="23" t="str">
        <x:v>game meat (general)</x:v>
      </x:c>
      <x:c r="F679" s="23" t="str">
        <x:v>family:game</x:v>
      </x:c>
      <x:c r="G679" s="23" t="str">
        <x:v>whisky</x:v>
      </x:c>
      <x:c r="H679" s="23" t="str"/>
      <x:c r="I679" s="23" t="str"/>
      <x:c r="J679" s="23" t="str">
        <x:v>behavioral_regression_candidate</x:v>
      </x:c>
      <x:c r="K679" s="23" t="str">
        <x:v>legacy_output_unverified</x:v>
      </x:c>
      <x:c r="L679" s="23" t="str"/>
      <x:c r="M679" s="23" t="str"/>
    </x:row>
    <x:row r="680">
      <x:c r="A680" s="23" t="str">
        <x:v>LT-0679</x:v>
      </x:c>
      <x:c r="B680" s="23" t="str">
        <x:v>Ing Pairings- Venison.xlsx</x:v>
      </x:c>
      <x:c r="C680" s="23" t="str">
        <x:v>Sheet1</x:v>
      </x:c>
      <x:c r="D680" s="23" t="str">
        <x:v>venison</x:v>
      </x:c>
      <x:c r="E680" s="23" t="str">
        <x:v>game meat (general)</x:v>
      </x:c>
      <x:c r="F680" s="23" t="str">
        <x:v>family:game</x:v>
      </x:c>
      <x:c r="G680" s="23" t="str">
        <x:v>rice</x:v>
      </x:c>
      <x:c r="H680" s="23" t="str"/>
      <x:c r="I680" s="23" t="str"/>
      <x:c r="J680" s="23" t="str">
        <x:v>behavioral_regression_candidate</x:v>
      </x:c>
      <x:c r="K680" s="23" t="str">
        <x:v>legacy_output_unverified</x:v>
      </x:c>
      <x:c r="L680" s="23" t="str"/>
      <x:c r="M680" s="23" t="str"/>
    </x:row>
    <x:row r="681">
      <x:c r="A681" s="23" t="str">
        <x:v>LT-0680</x:v>
      </x:c>
      <x:c r="B681" s="23" t="str">
        <x:v>Ing Pairings- Venison.xlsx</x:v>
      </x:c>
      <x:c r="C681" s="23" t="str">
        <x:v>Sheet1</x:v>
      </x:c>
      <x:c r="D681" s="23" t="str">
        <x:v>venison</x:v>
      </x:c>
      <x:c r="E681" s="23" t="str">
        <x:v>game meat (general)</x:v>
      </x:c>
      <x:c r="F681" s="23" t="str">
        <x:v>family:game</x:v>
      </x:c>
      <x:c r="G681" s="23" t="str">
        <x:v>pork</x:v>
      </x:c>
      <x:c r="H681" s="23" t="str"/>
      <x:c r="I681" s="23" t="str"/>
      <x:c r="J681" s="23" t="str">
        <x:v>behavioral_regression_candidate</x:v>
      </x:c>
      <x:c r="K681" s="23" t="str">
        <x:v>legacy_output_unverified</x:v>
      </x:c>
      <x:c r="L681" s="23" t="str"/>
      <x:c r="M681" s="23" t="str"/>
    </x:row>
    <x:row r="682">
      <x:c r="A682" s="23" t="str">
        <x:v>LT-0681</x:v>
      </x:c>
      <x:c r="B682" s="23" t="str">
        <x:v>Ing Pairings- Venison.xlsx</x:v>
      </x:c>
      <x:c r="C682" s="23" t="str">
        <x:v>Sheet1</x:v>
      </x:c>
      <x:c r="D682" s="23" t="str">
        <x:v>venison</x:v>
      </x:c>
      <x:c r="E682" s="23" t="str">
        <x:v>game meat (general)</x:v>
      </x:c>
      <x:c r="F682" s="23" t="str">
        <x:v>family:game</x:v>
      </x:c>
      <x:c r="G682" s="23" t="str">
        <x:v>honey</x:v>
      </x:c>
      <x:c r="H682" s="23" t="str"/>
      <x:c r="I682" s="23" t="str"/>
      <x:c r="J682" s="23" t="str">
        <x:v>behavioral_regression_candidate</x:v>
      </x:c>
      <x:c r="K682" s="23" t="str">
        <x:v>legacy_output_unverified</x:v>
      </x:c>
      <x:c r="L682" s="23" t="str"/>
      <x:c r="M682" s="23" t="str"/>
    </x:row>
    <x:row r="683">
      <x:c r="A683" s="23" t="str">
        <x:v>LT-0682</x:v>
      </x:c>
      <x:c r="B683" s="23" t="str">
        <x:v>Ing Pairings- Venison.xlsx</x:v>
      </x:c>
      <x:c r="C683" s="23" t="str">
        <x:v>Sheet1</x:v>
      </x:c>
      <x:c r="D683" s="23" t="str">
        <x:v>venison</x:v>
      </x:c>
      <x:c r="E683" s="23" t="str">
        <x:v>game meat (general)</x:v>
      </x:c>
      <x:c r="F683" s="23" t="str">
        <x:v>family:game</x:v>
      </x:c>
      <x:c r="G683" s="23" t="str">
        <x:v>grape</x:v>
      </x:c>
      <x:c r="H683" s="23" t="str"/>
      <x:c r="I683" s="23" t="str"/>
      <x:c r="J683" s="23" t="str">
        <x:v>behavioral_regression_candidate</x:v>
      </x:c>
      <x:c r="K683" s="23" t="str">
        <x:v>legacy_output_unverified</x:v>
      </x:c>
      <x:c r="L683" s="23" t="str"/>
      <x:c r="M683" s="23" t="str"/>
    </x:row>
    <x:row r="684">
      <x:c r="A684" s="23" t="str">
        <x:v>LT-0683</x:v>
      </x:c>
      <x:c r="B684" s="23" t="str">
        <x:v>Ing Pairings- Venison.xlsx</x:v>
      </x:c>
      <x:c r="C684" s="23" t="str">
        <x:v>Sheet1</x:v>
      </x:c>
      <x:c r="D684" s="23" t="str">
        <x:v>venison</x:v>
      </x:c>
      <x:c r="E684" s="23" t="str">
        <x:v>game meat (general)</x:v>
      </x:c>
      <x:c r="F684" s="23" t="str">
        <x:v>family:game</x:v>
      </x:c>
      <x:c r="G684" s="23" t="str">
        <x:v>chestnut</x:v>
      </x:c>
      <x:c r="H684" s="23" t="str"/>
      <x:c r="I684" s="23" t="str"/>
      <x:c r="J684" s="23" t="str">
        <x:v>behavioral_regression_candidate</x:v>
      </x:c>
      <x:c r="K684" s="23" t="str">
        <x:v>legacy_output_unverified</x:v>
      </x:c>
      <x:c r="L684" s="23" t="str"/>
      <x:c r="M684" s="23" t="str"/>
    </x:row>
    <x:row r="685">
      <x:c r="A685" s="23" t="str">
        <x:v>LT-0684</x:v>
      </x:c>
      <x:c r="B685" s="23" t="str">
        <x:v>Ing Pairings- Venison.xlsx</x:v>
      </x:c>
      <x:c r="C685" s="23" t="str">
        <x:v>Sheet1</x:v>
      </x:c>
      <x:c r="D685" s="23" t="str">
        <x:v>venison</x:v>
      </x:c>
      <x:c r="E685" s="23" t="str">
        <x:v>game meat (general)</x:v>
      </x:c>
      <x:c r="F685" s="23" t="str">
        <x:v>family:game</x:v>
      </x:c>
      <x:c r="G685" s="23" t="str">
        <x:v>avocado</x:v>
      </x:c>
      <x:c r="H685" s="23" t="str"/>
      <x:c r="I685" s="23" t="str"/>
      <x:c r="J685" s="23" t="str">
        <x:v>behavioral_regression_candidate</x:v>
      </x:c>
      <x:c r="K685" s="23" t="str">
        <x:v>legacy_output_unverified</x:v>
      </x:c>
      <x:c r="L685" s="23" t="str"/>
      <x:c r="M685" s="23" t="str"/>
    </x:row>
    <x:row r="686">
      <x:c r="A686" s="23" t="str">
        <x:v>LT-0685</x:v>
      </x:c>
      <x:c r="B686" s="23" t="str">
        <x:v>Ing Pairings- Venison.xlsx</x:v>
      </x:c>
      <x:c r="C686" s="23" t="str">
        <x:v>Sheet1</x:v>
      </x:c>
      <x:c r="D686" s="23" t="str">
        <x:v>venison</x:v>
      </x:c>
      <x:c r="E686" s="23" t="str">
        <x:v>game meat (general)</x:v>
      </x:c>
      <x:c r="F686" s="23" t="str">
        <x:v>family:game</x:v>
      </x:c>
      <x:c r="G686" s="23" t="str">
        <x:v>sour cherry</x:v>
      </x:c>
      <x:c r="H686" s="23" t="str"/>
      <x:c r="I686" s="23" t="str"/>
      <x:c r="J686" s="23" t="str">
        <x:v>behavioral_regression_candidate</x:v>
      </x:c>
      <x:c r="K686" s="23" t="str">
        <x:v>legacy_output_unverified</x:v>
      </x:c>
      <x:c r="L686" s="23" t="str"/>
      <x:c r="M686" s="23" t="str"/>
    </x:row>
    <x:row r="687">
      <x:c r="A687" s="23" t="str">
        <x:v>LT-0686</x:v>
      </x:c>
      <x:c r="B687" s="23" t="str">
        <x:v>Ing Pairings- Venison.xlsx</x:v>
      </x:c>
      <x:c r="C687" s="23" t="str">
        <x:v>Sheet1</x:v>
      </x:c>
      <x:c r="D687" s="23" t="str">
        <x:v>venison</x:v>
      </x:c>
      <x:c r="E687" s="23" t="str">
        <x:v>game meat (general)</x:v>
      </x:c>
      <x:c r="F687" s="23" t="str">
        <x:v>family:game</x:v>
      </x:c>
      <x:c r="G687" s="23" t="str">
        <x:v>strawberry</x:v>
      </x:c>
      <x:c r="H687" s="23" t="str"/>
      <x:c r="I687" s="23" t="str"/>
      <x:c r="J687" s="23" t="str">
        <x:v>behavioral_regression_candidate</x:v>
      </x:c>
      <x:c r="K687" s="23" t="str">
        <x:v>legacy_output_unverified</x:v>
      </x:c>
      <x:c r="L687" s="23" t="str"/>
      <x:c r="M687" s="23" t="str"/>
    </x:row>
    <x:row r="688">
      <x:c r="A688" s="23" t="str">
        <x:v>LT-0687</x:v>
      </x:c>
      <x:c r="B688" s="23" t="str">
        <x:v>Ing Pairings- Venison.xlsx</x:v>
      </x:c>
      <x:c r="C688" s="23" t="str">
        <x:v>Sheet1</x:v>
      </x:c>
      <x:c r="D688" s="23" t="str">
        <x:v>venison</x:v>
      </x:c>
      <x:c r="E688" s="23" t="str">
        <x:v>game meat (general)</x:v>
      </x:c>
      <x:c r="F688" s="23" t="str">
        <x:v>family:game</x:v>
      </x:c>
      <x:c r="G688" s="23" t="str">
        <x:v>bread</x:v>
      </x:c>
      <x:c r="H688" s="23" t="str"/>
      <x:c r="I688" s="23" t="str"/>
      <x:c r="J688" s="23" t="str">
        <x:v>behavioral_regression_candidate</x:v>
      </x:c>
      <x:c r="K688" s="23" t="str">
        <x:v>legacy_output_unverified</x:v>
      </x:c>
      <x:c r="L688" s="23" t="str"/>
      <x:c r="M688" s="23" t="str"/>
    </x:row>
    <x:row r="689">
      <x:c r="A689" s="23" t="str">
        <x:v>LT-0688</x:v>
      </x:c>
      <x:c r="B689" s="23" t="str">
        <x:v>Ing Pairings- Venison.xlsx</x:v>
      </x:c>
      <x:c r="C689" s="23" t="str">
        <x:v>Sheet1</x:v>
      </x:c>
      <x:c r="D689" s="23" t="str">
        <x:v>venison</x:v>
      </x:c>
      <x:c r="E689" s="23" t="str">
        <x:v>game meat (general)</x:v>
      </x:c>
      <x:c r="F689" s="23" t="str">
        <x:v>family:game</x:v>
      </x:c>
      <x:c r="G689" s="23" t="str">
        <x:v>sherry</x:v>
      </x:c>
      <x:c r="H689" s="23" t="str"/>
      <x:c r="I689" s="23" t="str"/>
      <x:c r="J689" s="23" t="str">
        <x:v>behavioral_regression_candidate</x:v>
      </x:c>
      <x:c r="K689" s="23" t="str">
        <x:v>legacy_output_unverified</x:v>
      </x:c>
      <x:c r="L689" s="23" t="str"/>
      <x:c r="M689" s="23" t="str"/>
    </x:row>
    <x:row r="690">
      <x:c r="A690" s="23" t="str">
        <x:v>LT-0689</x:v>
      </x:c>
      <x:c r="B690" s="23" t="str">
        <x:v>Ing Pairings- Venison.xlsx</x:v>
      </x:c>
      <x:c r="C690" s="23" t="str">
        <x:v>Sheet1</x:v>
      </x:c>
      <x:c r="D690" s="23" t="str">
        <x:v>venison</x:v>
      </x:c>
      <x:c r="E690" s="23" t="str">
        <x:v>game meat (general)</x:v>
      </x:c>
      <x:c r="F690" s="23" t="str">
        <x:v>family:game</x:v>
      </x:c>
      <x:c r="G690" s="23" t="str">
        <x:v>wine</x:v>
      </x:c>
      <x:c r="H690" s="23" t="str"/>
      <x:c r="I690" s="23" t="str"/>
      <x:c r="J690" s="23" t="str">
        <x:v>behavioral_regression_candidate</x:v>
      </x:c>
      <x:c r="K690" s="23" t="str">
        <x:v>legacy_output_unverified</x:v>
      </x:c>
      <x:c r="L690" s="23" t="str"/>
      <x:c r="M690" s="23" t="str"/>
    </x:row>
    <x:row r="691">
      <x:c r="A691" s="23" t="str">
        <x:v>LT-0690</x:v>
      </x:c>
      <x:c r="B691" s="23" t="str">
        <x:v>Ing Pairings- Venison.xlsx</x:v>
      </x:c>
      <x:c r="C691" s="23" t="str">
        <x:v>Sheet1</x:v>
      </x:c>
      <x:c r="D691" s="23" t="str">
        <x:v>venison</x:v>
      </x:c>
      <x:c r="E691" s="23" t="str">
        <x:v>game meat (general)</x:v>
      </x:c>
      <x:c r="F691" s="23" t="str">
        <x:v>family:game</x:v>
      </x:c>
      <x:c r="G691" s="23" t="str">
        <x:v>swiss chard</x:v>
      </x:c>
      <x:c r="H691" s="23" t="str"/>
      <x:c r="I691" s="23" t="str"/>
      <x:c r="J691" s="23" t="str">
        <x:v>behavioral_regression_candidate</x:v>
      </x:c>
      <x:c r="K691" s="23" t="str">
        <x:v>legacy_output_unverified</x:v>
      </x:c>
      <x:c r="L691" s="23" t="str"/>
      <x:c r="M691" s="23" t="str"/>
    </x:row>
    <x:row r="692">
      <x:c r="A692" s="23" t="str">
        <x:v>LT-0691</x:v>
      </x:c>
      <x:c r="B692" s="23" t="str">
        <x:v>Ing Pairings- Venison.xlsx</x:v>
      </x:c>
      <x:c r="C692" s="23" t="str">
        <x:v>Sheet1</x:v>
      </x:c>
      <x:c r="D692" s="23" t="str">
        <x:v>venison</x:v>
      </x:c>
      <x:c r="E692" s="23" t="str">
        <x:v>game meat (general)</x:v>
      </x:c>
      <x:c r="F692" s="23" t="str">
        <x:v>family:game</x:v>
      </x:c>
      <x:c r="G692" s="23" t="str">
        <x:v>liver</x:v>
      </x:c>
      <x:c r="H692" s="23" t="str"/>
      <x:c r="I692" s="23" t="str"/>
      <x:c r="J692" s="23" t="str">
        <x:v>behavioral_regression_candidate</x:v>
      </x:c>
      <x:c r="K692" s="23" t="str">
        <x:v>legacy_output_unverified</x:v>
      </x:c>
      <x:c r="L692" s="23" t="str"/>
      <x:c r="M692" s="23" t="str"/>
    </x:row>
    <x:row r="693">
      <x:c r="A693" s="23" t="str">
        <x:v>LT-0692</x:v>
      </x:c>
      <x:c r="B693" s="23" t="str">
        <x:v>Ing Pairings- Venison.xlsx</x:v>
      </x:c>
      <x:c r="C693" s="23" t="str">
        <x:v>Sheet1</x:v>
      </x:c>
      <x:c r="D693" s="23" t="str">
        <x:v>venison</x:v>
      </x:c>
      <x:c r="E693" s="23" t="str">
        <x:v>game meat (general)</x:v>
      </x:c>
      <x:c r="F693" s="23" t="str">
        <x:v>family:game</x:v>
      </x:c>
      <x:c r="G693" s="23" t="str">
        <x:v>molasses</x:v>
      </x:c>
      <x:c r="H693" s="23" t="str"/>
      <x:c r="I693" s="23" t="str"/>
      <x:c r="J693" s="23" t="str">
        <x:v>behavioral_regression_candidate</x:v>
      </x:c>
      <x:c r="K693" s="23" t="str">
        <x:v>legacy_output_unverified</x:v>
      </x:c>
      <x:c r="L693" s="23" t="str"/>
      <x:c r="M693" s="23" t="str"/>
    </x:row>
  </x:sheetData>
  <x:pageMargins left="0.7" right="0.7" top="0.75" bottom="0.75" header="0.3" footer="0.3"/>
  <x:tableParts count="1">
    <x:tablePart xmlns:r="http://schemas.openxmlformats.org/officeDocument/2006/relationships" r:id="R1a8c3d0c2f8d4977"/>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18" hidden="0" customWidth="1"/>
    <x:col min="4" max="4" width="22" hidden="0" customWidth="1"/>
    <x:col min="5" max="5" width="28" hidden="0" customWidth="1"/>
    <x:col min="6" max="6" width="34" hidden="0" customWidth="1"/>
    <x:col min="7" max="7" width="42" hidden="0" customWidth="1"/>
    <x:col min="8" max="8" width="50" hidden="0" customWidth="1"/>
    <x:col min="9" max="9" width="28" hidden="0" customWidth="1"/>
    <x:col min="10" max="10" width="22" hidden="0" customWidth="1"/>
    <x:col min="11" max="11" width="28" hidden="0" customWidth="1"/>
    <x:col min="12" max="12" width="16" hidden="0" customWidth="1"/>
    <x:col min="13" max="13" width="40" hidden="0" customWidth="1"/>
  </x:cols>
  <x:sheetData>
    <x:row r="1">
      <x:c r="A1" s="22" t="str">
        <x:v>example_id</x:v>
      </x:c>
      <x:c r="B1" s="22" t="str">
        <x:v>source_workbook</x:v>
      </x:c>
      <x:c r="C1" s="22" t="str">
        <x:v>source_scope_raw</x:v>
      </x:c>
      <x:c r="D1" s="22" t="str">
        <x:v>interpreted_scope</x:v>
      </x:c>
      <x:c r="E1" s="22" t="str">
        <x:v>pairing_label_raw</x:v>
      </x:c>
      <x:c r="F1" s="22" t="str">
        <x:v>common_compound_raw</x:v>
      </x:c>
      <x:c r="G1" s="22" t="str">
        <x:v>aroma_raw</x:v>
      </x:c>
      <x:c r="H1" s="22" t="str">
        <x:v>also_shared_with_raw</x:v>
      </x:c>
      <x:c r="I1" s="22" t="str">
        <x:v>use_role</x:v>
      </x:c>
      <x:c r="J1" s="22" t="str">
        <x:v>legacy_status</x:v>
      </x:c>
      <x:c r="K1" s="22" t="str">
        <x:v>canonical_compound_name</x:v>
      </x:c>
      <x:c r="L1" s="22" t="str">
        <x:v>cas</x:v>
      </x:c>
      <x:c r="M1" s="22" t="str">
        <x:v>review_notes</x:v>
      </x:c>
    </x:row>
    <x:row r="2">
      <x:c r="A2" s="23" t="str">
        <x:v>LE-0001</x:v>
      </x:c>
      <x:c r="B2" s="23" t="str">
        <x:v>Ing Pairings- Beef.xlsx</x:v>
      </x:c>
      <x:c r="C2" s="23" t="str">
        <x:v>beef</x:v>
      </x:c>
      <x:c r="D2" s="23" t="str">
        <x:v>beef</x:v>
      </x:c>
      <x:c r="E2" s="23" t="str">
        <x:v>Beef + Cocoa</x:v>
      </x:c>
      <x:c r="F2" s="23" t="str">
        <x:v>acetophenone</x:v>
      </x:c>
      <x:c r="G2" s="23" t="str">
        <x:v>almond, flower, meat, must, plastic</x:v>
      </x:c>
      <x:c r="H2" s="23" t="str">
        <x:v>buckwheat, cauliflower, corn, tamarind, wine</x:v>
      </x:c>
      <x:c r="I2" s="23" t="str">
        <x:v>explanation_regression_lead</x:v>
      </x:c>
      <x:c r="J2" s="23" t="str">
        <x:v>legacy_output_unverified</x:v>
      </x:c>
      <x:c r="K2" s="23" t="str">
        <x:v>acetophenone</x:v>
      </x:c>
      <x:c r="L2" s="23" t="str">
        <x:v>98-86-2</x:v>
      </x:c>
      <x:c r="M2" s="23" t="str">
        <x:v>Identity verified; no qualifying primary beef evidence. Beef+Cocoa remains legacy regression only.</x:v>
      </x:c>
    </x:row>
    <x:row r="3">
      <x:c r="A3" s="23" t="str">
        <x:v>LE-0002</x:v>
      </x:c>
      <x:c r="B3" s="23" t="str">
        <x:v>Ing Pairings- Beef.xlsx</x:v>
      </x:c>
      <x:c r="C3" s="23" t="str">
        <x:v>beef</x:v>
      </x:c>
      <x:c r="D3" s="23" t="str">
        <x:v>beef</x:v>
      </x:c>
      <x:c r="E3" s="23" t="str">
        <x:v>Beef + Cocoa</x:v>
      </x:c>
      <x:c r="F3" s="23" t="str">
        <x:v>isopentanal</x:v>
      </x:c>
      <x:c r="G3" s="23" t="str">
        <x:v>cocoa, cooked vegetable, fresh, green, malt, spice</x:v>
      </x:c>
      <x:c r="H3" s="23" t="str">
        <x:v>beer, hazelnut, ginger, whisky</x:v>
      </x:c>
      <x:c r="I3" s="23" t="str">
        <x:v>explanation_regression_lead</x:v>
      </x:c>
      <x:c r="J3" s="23" t="str">
        <x:v>legacy_output_unverified</x:v>
      </x:c>
      <x:c r="K3" s="23" t="str">
        <x:v>3-methylbutanal</x:v>
      </x:c>
      <x:c r="L3" s="23" t="str">
        <x:v>590-86-3</x:v>
      </x:c>
      <x:c r="M3" s="23" t="str">
        <x:v>Beef occurrence verified only in dry-aged context (SRC-BEEF-AGE-CONTROL-001); generic Beef+Cocoa remains unverified.</x:v>
      </x:c>
    </x:row>
    <x:row r="4">
      <x:c r="A4" s="23" t="str">
        <x:v>LE-0003</x:v>
      </x:c>
      <x:c r="B4" s="23" t="str">
        <x:v>Ing Pairings- Beef.xlsx</x:v>
      </x:c>
      <x:c r="C4" s="23" t="str">
        <x:v>beef</x:v>
      </x:c>
      <x:c r="D4" s="23" t="str">
        <x:v>beef</x:v>
      </x:c>
      <x:c r="E4" s="23" t="str">
        <x:v>Beef + Beer</x:v>
      </x:c>
      <x:c r="F4" s="23" t="str">
        <x:v>naphthalene</x:v>
      </x:c>
      <x:c r="G4" s="23" t="str">
        <x:v>mothball, tar</x:v>
      </x:c>
      <x:c r="H4" s="23" t="str">
        <x:v>beans, capsicum, peanut, sage, shrimp</x:v>
      </x:c>
      <x:c r="I4" s="23" t="str">
        <x:v>explanation_regression_lead</x:v>
      </x:c>
      <x:c r="J4" s="23" t="str">
        <x:v>legacy_output_unverified</x:v>
      </x:c>
      <x:c r="K4" s="23" t="str">
        <x:v>naphthalene</x:v>
      </x:c>
      <x:c r="L4" s="23" t="str">
        <x:v>91-20-3</x:v>
      </x:c>
      <x:c r="M4" s="23" t="str">
        <x:v>Identity verified; no qualifying beef evidence located.</x:v>
      </x:c>
    </x:row>
    <x:row r="5">
      <x:c r="A5" s="23" t="str">
        <x:v>LE-0004</x:v>
      </x:c>
      <x:c r="B5" s="23" t="str">
        <x:v>Ing Pairings- Beef.xlsx</x:v>
      </x:c>
      <x:c r="C5" s="23" t="str">
        <x:v>beef</x:v>
      </x:c>
      <x:c r="D5" s="23" t="str">
        <x:v>beef</x:v>
      </x:c>
      <x:c r="E5" s="23" t="str">
        <x:v>Beef + Beer</x:v>
      </x:c>
      <x:c r="F5" s="23" t="str">
        <x:v>limonene</x:v>
      </x:c>
      <x:c r="G5" s="23" t="str">
        <x:v>balsamic, citrus, fragant, fruit, greenery, herb</x:v>
      </x:c>
      <x:c r="H5" s="23" t="str">
        <x:v>apple, caraway, chervil, fig, okra, sweet potato</x:v>
      </x:c>
      <x:c r="I5" s="23" t="str">
        <x:v>explanation_regression_lead</x:v>
      </x:c>
      <x:c r="J5" s="23" t="str">
        <x:v>legacy_output_unverified</x:v>
      </x:c>
      <x:c r="K5" s="23" t="str">
        <x:v>limonene</x:v>
      </x:c>
      <x:c r="L5" s="23" t="str">
        <x:v>138-86-3</x:v>
      </x:c>
      <x:c r="M5" s="23" t="str">
        <x:v>Identity verified; no qualifying primary analytical beef evidence located.</x:v>
      </x:c>
    </x:row>
    <x:row r="6">
      <x:c r="A6" s="23" t="str">
        <x:v>LE-0005</x:v>
      </x:c>
      <x:c r="B6" s="23" t="str">
        <x:v>Ing Pairings- Beef.xlsx</x:v>
      </x:c>
      <x:c r="C6" s="23" t="str">
        <x:v>beef</x:v>
      </x:c>
      <x:c r="D6" s="23" t="str">
        <x:v>beef</x:v>
      </x:c>
      <x:c r="E6" s="23" t="str">
        <x:v>Beef + Cabbage</x:v>
      </x:c>
      <x:c r="F6" s="23" t="str">
        <x:v>hexane</x:v>
      </x:c>
      <x:c r="G6" s="23" t="str">
        <x:v>alkane</x:v>
      </x:c>
      <x:c r="H6" s="23" t="str">
        <x:v>honey, milk products, pistachio, thyme</x:v>
      </x:c>
      <x:c r="I6" s="23" t="str">
        <x:v>explanation_regression_lead</x:v>
      </x:c>
      <x:c r="J6" s="23" t="str">
        <x:v>legacy_output_unverified</x:v>
      </x:c>
      <x:c r="K6" s="23" t="str">
        <x:v>hexane</x:v>
      </x:c>
      <x:c r="L6" s="23" t="str">
        <x:v>110-54-3</x:v>
      </x:c>
      <x:c r="M6" s="23" t="str">
        <x:v>Identity verified; generic beef membership remains unsupported.</x:v>
      </x:c>
    </x:row>
    <x:row r="7">
      <x:c r="A7" s="23" t="str">
        <x:v>LE-0006</x:v>
      </x:c>
      <x:c r="B7" s="23" t="str">
        <x:v>Ing Pairings- Beef.xlsx</x:v>
      </x:c>
      <x:c r="C7" s="23" t="str">
        <x:v>beef</x:v>
      </x:c>
      <x:c r="D7" s="23" t="str">
        <x:v>beef</x:v>
      </x:c>
      <x:c r="E7" s="23" t="str">
        <x:v>Beef + Cabbage</x:v>
      </x:c>
      <x:c r="F7" s="23" t="str">
        <x:v>2-pentylfuran</x:v>
      </x:c>
      <x:c r="G7" s="23" t="str">
        <x:v>butter, floral, fruit, green bean</x:v>
      </x:c>
      <x:c r="H7" s="23" t="str">
        <x:v>artichoke, clam, parsley, tea, tomato</x:v>
      </x:c>
      <x:c r="I7" s="23" t="str">
        <x:v>explanation_regression_lead</x:v>
      </x:c>
      <x:c r="J7" s="23" t="str">
        <x:v>legacy_output_unverified</x:v>
      </x:c>
      <x:c r="K7" s="23" t="str">
        <x:v>2-pentylfuran</x:v>
      </x:c>
      <x:c r="L7" s="23" t="str">
        <x:v>3777-69-3</x:v>
      </x:c>
      <x:c r="M7" s="23" t="str">
        <x:v>Beef membership strongly verified raw/roast OAV and stewed GC-O/AEDA (SRC-BEEF-ROAST-001; SRC-BEEF-STEW-001). Pairing itself remains regression-only.</x:v>
      </x:c>
    </x:row>
    <x:row r="8">
      <x:c r="A8" s="23" t="str">
        <x:v>LE-0007</x:v>
      </x:c>
      <x:c r="B8" s="23" t="str">
        <x:v>Ing Pairings- Beef.xlsx</x:v>
      </x:c>
      <x:c r="C8" s="23" t="str">
        <x:v>beef</x:v>
      </x:c>
      <x:c r="D8" s="23" t="str">
        <x:v>beef</x:v>
      </x:c>
      <x:c r="E8" s="23" t="str">
        <x:v>Beef + Grape</x:v>
      </x:c>
      <x:c r="F8" s="23" t="str">
        <x:v>trimethyloxazole</x:v>
      </x:c>
      <x:c r="G8" s="23" t="str">
        <x:v>nut, sweet</x:v>
      </x:c>
      <x:c r="H8" s="23" t="str">
        <x:v>chicken, cocoa, oats, potato, soy sauce</x:v>
      </x:c>
      <x:c r="I8" s="23" t="str">
        <x:v>explanation_regression_lead</x:v>
      </x:c>
      <x:c r="J8" s="23" t="str">
        <x:v>legacy_output_unverified</x:v>
      </x:c>
      <x:c r="K8" s="23" t="str">
        <x:v>2,4,5-trimethyloxazole</x:v>
      </x:c>
      <x:c r="L8" s="23" t="str">
        <x:v>20662-84-4</x:v>
      </x:c>
      <x:c r="M8" s="23" t="str">
        <x:v>Identity verified; no primary analytical beef source located.</x:v>
      </x:c>
    </x:row>
    <x:row r="9">
      <x:c r="A9" s="23" t="str">
        <x:v>LE-0008</x:v>
      </x:c>
      <x:c r="B9" s="23" t="str">
        <x:v>Ing Pairings- Beef.xlsx</x:v>
      </x:c>
      <x:c r="C9" s="23" t="str">
        <x:v>beef</x:v>
      </x:c>
      <x:c r="D9" s="23" t="str">
        <x:v>beef</x:v>
      </x:c>
      <x:c r="E9" s="23" t="str">
        <x:v>Beef + Grape</x:v>
      </x:c>
      <x:c r="F9" s="23" t="str">
        <x:v>pseudocumene</x:v>
      </x:c>
      <x:c r="G9" s="23" t="str">
        <x:v>pesticide, plastic</x:v>
      </x:c>
      <x:c r="H9" s="23" t="str">
        <x:v>coffee, crab, vanilla, walnut, watercress</x:v>
      </x:c>
      <x:c r="I9" s="23" t="str">
        <x:v>explanation_regression_lead</x:v>
      </x:c>
      <x:c r="J9" s="23" t="str">
        <x:v>legacy_output_unverified</x:v>
      </x:c>
      <x:c r="K9" s="23" t="str">
        <x:v>1,2,4-trimethylbenzene</x:v>
      </x:c>
      <x:c r="L9" s="23" t="str">
        <x:v>95-63-6</x:v>
      </x:c>
      <x:c r="M9" s="23" t="str">
        <x:v>Direct cooked-beef detection exists (SRC-BEEF-DIET-001) but no sensory validation; Beef+Grape remains unverified.</x:v>
      </x:c>
    </x:row>
    <x:row r="10">
      <x:c r="A10" s="23" t="str">
        <x:v>LE-0009</x:v>
      </x:c>
      <x:c r="B10" s="23" t="str">
        <x:v>Ing Pairings- Crustacean.xlsx</x:v>
      </x:c>
      <x:c r="C10" s="23" t="str">
        <x:v>crustacean</x:v>
      </x:c>
      <x:c r="D10" s="23" t="str">
        <x:v>crustacean</x:v>
      </x:c>
      <x:c r="E10" s="23" t="str">
        <x:v>Shrimp + Lamb</x:v>
      </x:c>
      <x:c r="F10" s="23" t="str">
        <x:v>4-hydroxynonanoic acid lactone</x:v>
      </x:c>
      <x:c r="G10" s="23" t="str">
        <x:v>apricot, cocoa, coconut, peach, sweet</x:v>
      </x:c>
      <x:c r="H10" s="23" t="str">
        <x:v>beans, fenugreek, mushrooms, oregano</x:v>
      </x:c>
      <x:c r="I10" s="23" t="str">
        <x:v>explanation_regression_lead</x:v>
      </x:c>
      <x:c r="J10" s="23" t="str">
        <x:v>legacy_output_unverified</x:v>
      </x:c>
      <x:c r="K10" s="23" t="str"/>
      <x:c r="L10" s="23" t="str"/>
      <x:c r="M10" s="23" t="str"/>
    </x:row>
    <x:row r="11">
      <x:c r="A11" s="23" t="str">
        <x:v>LE-0010</x:v>
      </x:c>
      <x:c r="B11" s="23" t="str">
        <x:v>Ing Pairings- Crustacean.xlsx</x:v>
      </x:c>
      <x:c r="C11" s="23" t="str">
        <x:v>crustacean</x:v>
      </x:c>
      <x:c r="D11" s="23" t="str">
        <x:v>crustacean</x:v>
      </x:c>
      <x:c r="E11" s="23" t="str">
        <x:v>Shrimp + Lamb</x:v>
      </x:c>
      <x:c r="F11" s="23" t="str">
        <x:v>2-methylpyridine</x:v>
      </x:c>
      <x:c r="G11" s="23" t="str">
        <x:v>ash, sweat</x:v>
      </x:c>
      <x:c r="H11" s="23" t="str">
        <x:v>allium, katsuobushi, oats, peanut, rice</x:v>
      </x:c>
      <x:c r="I11" s="23" t="str">
        <x:v>explanation_regression_lead</x:v>
      </x:c>
      <x:c r="J11" s="23" t="str">
        <x:v>legacy_output_unverified</x:v>
      </x:c>
      <x:c r="K11" s="23" t="str"/>
      <x:c r="L11" s="23" t="str"/>
      <x:c r="M11" s="23" t="str"/>
    </x:row>
    <x:row r="12">
      <x:c r="A12" s="23" t="str">
        <x:v>LE-0011</x:v>
      </x:c>
      <x:c r="B12" s="23" t="str">
        <x:v>Ing Pairings- Crustacean.xlsx</x:v>
      </x:c>
      <x:c r="C12" s="23" t="str">
        <x:v>crustacean</x:v>
      </x:c>
      <x:c r="D12" s="23" t="str">
        <x:v>crustacean</x:v>
      </x:c>
      <x:c r="E12" s="23" t="str">
        <x:v>Crayfish + Pumpkin</x:v>
      </x:c>
      <x:c r="F12" s="23" t="str">
        <x:v>2,3-pentanedione</x:v>
      </x:c>
      <x:c r="G12" s="23" t="str">
        <x:v>bitter, butter, caramel, cream, fruit, sweet</x:v>
      </x:c>
      <x:c r="H12" s="23" t="str">
        <x:v>coffee, hazelnut, okra, rye bread</x:v>
      </x:c>
      <x:c r="I12" s="23" t="str">
        <x:v>explanation_regression_lead</x:v>
      </x:c>
      <x:c r="J12" s="23" t="str">
        <x:v>legacy_output_unverified</x:v>
      </x:c>
      <x:c r="K12" s="23" t="str"/>
      <x:c r="L12" s="23" t="str"/>
      <x:c r="M12" s="23" t="str"/>
    </x:row>
    <x:row r="13">
      <x:c r="A13" s="23" t="str">
        <x:v>LE-0012</x:v>
      </x:c>
      <x:c r="B13" s="23" t="str">
        <x:v>Ing Pairings- Crustacean.xlsx</x:v>
      </x:c>
      <x:c r="C13" s="23" t="str">
        <x:v>crustacean</x:v>
      </x:c>
      <x:c r="D13" s="23" t="str">
        <x:v>crustacean</x:v>
      </x:c>
      <x:c r="E13" s="23" t="str">
        <x:v>Crayfish + Pumpkin</x:v>
      </x:c>
      <x:c r="F13" s="23" t="str">
        <x:v>2,5-dimethylpyrazine</x:v>
      </x:c>
      <x:c r="G13" s="23" t="str">
        <x:v>burnt plastic, cocoa, medicine, roast beef, roasted nut</x:v>
      </x:c>
      <x:c r="H13" s="23" t="str">
        <x:v>asparagus, barley, pork, rice</x:v>
      </x:c>
      <x:c r="I13" s="23" t="str">
        <x:v>explanation_regression_lead</x:v>
      </x:c>
      <x:c r="J13" s="23" t="str">
        <x:v>legacy_output_unverified</x:v>
      </x:c>
      <x:c r="K13" s="23" t="str"/>
      <x:c r="L13" s="23" t="str"/>
      <x:c r="M13" s="23" t="str"/>
    </x:row>
    <x:row r="14">
      <x:c r="A14" s="23" t="str">
        <x:v>LE-0013</x:v>
      </x:c>
      <x:c r="B14" s="23" t="str">
        <x:v>Ing Pairings- Crustacean.xlsx</x:v>
      </x:c>
      <x:c r="C14" s="23" t="str">
        <x:v>crustacean</x:v>
      </x:c>
      <x:c r="D14" s="23" t="str">
        <x:v>crustacean</x:v>
      </x:c>
      <x:c r="E14" s="23" t="str">
        <x:v>Crab + Cherry</x:v>
      </x:c>
      <x:c r="F14" s="23" t="str">
        <x:v>2-ethyl-1-hexanol</x:v>
      </x:c>
      <x:c r="G14" s="23" t="str">
        <x:v>citrus, green, oil, rose</x:v>
      </x:c>
      <x:c r="H14" s="23" t="str">
        <x:v>grape, lettuce, milk, olive, tomato</x:v>
      </x:c>
      <x:c r="I14" s="23" t="str">
        <x:v>explanation_regression_lead</x:v>
      </x:c>
      <x:c r="J14" s="23" t="str">
        <x:v>legacy_output_unverified</x:v>
      </x:c>
      <x:c r="K14" s="23" t="str"/>
      <x:c r="L14" s="23" t="str"/>
      <x:c r="M14" s="23" t="str"/>
    </x:row>
    <x:row r="15">
      <x:c r="A15" s="23" t="str">
        <x:v>LE-0014</x:v>
      </x:c>
      <x:c r="B15" s="23" t="str">
        <x:v>Ing Pairings- Crustacean.xlsx</x:v>
      </x:c>
      <x:c r="C15" s="23" t="str">
        <x:v>crustacean</x:v>
      </x:c>
      <x:c r="D15" s="23" t="str">
        <x:v>crustacean</x:v>
      </x:c>
      <x:c r="E15" s="23" t="str">
        <x:v>Crab + Cherry</x:v>
      </x:c>
      <x:c r="F15" s="23" t="str">
        <x:v>1,3-dimethylbenzene</x:v>
      </x:c>
      <x:c r="G15" s="23" t="str">
        <x:v>fried, medicine, nut, plastic, rancid</x:v>
      </x:c>
      <x:c r="H15" s="23" t="str">
        <x:v>avocado, dill, endive, walnut</x:v>
      </x:c>
      <x:c r="I15" s="23" t="str">
        <x:v>explanation_regression_lead</x:v>
      </x:c>
      <x:c r="J15" s="23" t="str">
        <x:v>legacy_output_unverified</x:v>
      </x:c>
      <x:c r="K15" s="23" t="str"/>
      <x:c r="L15" s="23" t="str"/>
      <x:c r="M15" s="23" t="str"/>
    </x:row>
    <x:row r="16">
      <x:c r="A16" s="23" t="str">
        <x:v>LE-0015</x:v>
      </x:c>
      <x:c r="B16" s="23" t="str">
        <x:v>Ing Pairings- Crustacean.xlsx</x:v>
      </x:c>
      <x:c r="C16" s="23" t="str">
        <x:v>crustacean</x:v>
      </x:c>
      <x:c r="D16" s="23" t="str">
        <x:v>crustacean</x:v>
      </x:c>
      <x:c r="E16" s="23" t="str">
        <x:v>Lobster + Beef</x:v>
      </x:c>
      <x:c r="F16" s="23" t="str">
        <x:v>2,4-dithiapentane</x:v>
      </x:c>
      <x:c r="G16" s="23" t="str">
        <x:v>sulphur, garlic</x:v>
      </x:c>
      <x:c r="H16" s="23" t="str">
        <x:v>litchi, milk, mushroom, truffle</x:v>
      </x:c>
      <x:c r="I16" s="23" t="str">
        <x:v>explanation_regression_lead</x:v>
      </x:c>
      <x:c r="J16" s="23" t="str">
        <x:v>legacy_output_unverified</x:v>
      </x:c>
      <x:c r="K16" s="23" t="str"/>
      <x:c r="L16" s="23" t="str"/>
      <x:c r="M16" s="23" t="str"/>
    </x:row>
    <x:row r="17">
      <x:c r="A17" s="23" t="str">
        <x:v>LE-0016</x:v>
      </x:c>
      <x:c r="B17" s="23" t="str">
        <x:v>Ing Pairings- Crustacean.xlsx</x:v>
      </x:c>
      <x:c r="C17" s="23" t="str">
        <x:v>crustacean</x:v>
      </x:c>
      <x:c r="D17" s="23" t="str">
        <x:v>crustacean</x:v>
      </x:c>
      <x:c r="E17" s="23" t="str">
        <x:v>Lobster + Beef</x:v>
      </x:c>
      <x:c r="F17" s="23" t="str">
        <x:v>octanal</x:v>
      </x:c>
      <x:c r="G17" s="23" t="str">
        <x:v>citrus, fat, floral, green, pungent</x:v>
      </x:c>
      <x:c r="H17" s="23" t="str">
        <x:v>artichoke, olive, pomegranate, shallot</x:v>
      </x:c>
      <x:c r="I17" s="23" t="str">
        <x:v>explanation_regression_lead</x:v>
      </x:c>
      <x:c r="J17" s="23" t="str">
        <x:v>legacy_output_unverified</x:v>
      </x:c>
      <x:c r="K17" s="23" t="str"/>
      <x:c r="L17" s="23" t="str"/>
      <x:c r="M17" s="23" t="str"/>
    </x:row>
    <x:row r="18">
      <x:c r="A18" s="23" t="str">
        <x:v>LE-0017</x:v>
      </x:c>
      <x:c r="B18" s="23" t="str">
        <x:v>Ing Pairings- Fish.xlsx</x:v>
      </x:c>
      <x:c r="C18" s="23" t="str">
        <x:v>fish</x:v>
      </x:c>
      <x:c r="D18" s="23" t="str">
        <x:v>fish</x:v>
      </x:c>
      <x:c r="E18" s="23" t="str">
        <x:v>Lean Fish + Melon</x:v>
      </x:c>
      <x:c r="F18" s="23" t="str">
        <x:v>1-penten-3-ol</x:v>
      </x:c>
      <x:c r="G18" s="23" t="str">
        <x:v>burnt, butter, fish, green, meat, oxidized, wet earth</x:v>
      </x:c>
      <x:c r="H18" s="23" t="str">
        <x:v>apricot, clam, olive, tomato</x:v>
      </x:c>
      <x:c r="I18" s="23" t="str">
        <x:v>explanation_regression_lead</x:v>
      </x:c>
      <x:c r="J18" s="23" t="str">
        <x:v>legacy_output_unverified</x:v>
      </x:c>
      <x:c r="K18" s="23" t="str"/>
      <x:c r="L18" s="23" t="str"/>
      <x:c r="M18" s="23" t="str"/>
    </x:row>
    <x:row r="19">
      <x:c r="A19" s="23" t="str">
        <x:v>LE-0018</x:v>
      </x:c>
      <x:c r="B19" s="23" t="str">
        <x:v>Ing Pairings- Fish.xlsx</x:v>
      </x:c>
      <x:c r="C19" s="23" t="str">
        <x:v>fish</x:v>
      </x:c>
      <x:c r="D19" s="23" t="str">
        <x:v>fish</x:v>
      </x:c>
      <x:c r="E19" s="23" t="str">
        <x:v>Lean Fish + Melon</x:v>
      </x:c>
      <x:c r="F19" s="23" t="str">
        <x:v>2,3-butanediol</x:v>
      </x:c>
      <x:c r="G19" s="23" t="str">
        <x:v>fruit, herb, onion</x:v>
      </x:c>
      <x:c r="H19" s="23" t="str">
        <x:v>bell pepper, date, fig, sherry, vinegar</x:v>
      </x:c>
      <x:c r="I19" s="23" t="str">
        <x:v>explanation_regression_lead</x:v>
      </x:c>
      <x:c r="J19" s="23" t="str">
        <x:v>legacy_output_unverified</x:v>
      </x:c>
      <x:c r="K19" s="23" t="str"/>
      <x:c r="L19" s="23" t="str"/>
      <x:c r="M19" s="23" t="str"/>
    </x:row>
    <x:row r="20">
      <x:c r="A20" s="23" t="str">
        <x:v>LE-0019</x:v>
      </x:c>
      <x:c r="B20" s="23" t="str">
        <x:v>Ing Pairings- Fish.xlsx</x:v>
      </x:c>
      <x:c r="C20" s="23" t="str">
        <x:v>fish</x:v>
      </x:c>
      <x:c r="D20" s="23" t="str">
        <x:v>fish</x:v>
      </x:c>
      <x:c r="E20" s="23" t="str">
        <x:v>Lean Fish + Peanut</x:v>
      </x:c>
      <x:c r="F20" s="23" t="str">
        <x:v>2-decenal</x:v>
      </x:c>
      <x:c r="G20" s="23" t="str">
        <x:v>fat, fish, orange, paint</x:v>
      </x:c>
      <x:c r="H20" s="23" t="str">
        <x:v>carrot, cilantro, lamb, olive, walnut</x:v>
      </x:c>
      <x:c r="I20" s="23" t="str">
        <x:v>explanation_regression_lead</x:v>
      </x:c>
      <x:c r="J20" s="23" t="str">
        <x:v>legacy_output_unverified</x:v>
      </x:c>
      <x:c r="K20" s="23" t="str"/>
      <x:c r="L20" s="23" t="str"/>
      <x:c r="M20" s="23" t="str"/>
    </x:row>
    <x:row r="21">
      <x:c r="A21" s="23" t="str">
        <x:v>LE-0020</x:v>
      </x:c>
      <x:c r="B21" s="23" t="str">
        <x:v>Ing Pairings- Fish.xlsx</x:v>
      </x:c>
      <x:c r="C21" s="23" t="str">
        <x:v>fish</x:v>
      </x:c>
      <x:c r="D21" s="23" t="str">
        <x:v>fish</x:v>
      </x:c>
      <x:c r="E21" s="23" t="str">
        <x:v>Lean Fish + Peanut</x:v>
      </x:c>
      <x:c r="F21" s="23" t="str">
        <x:v>napthalene</x:v>
      </x:c>
      <x:c r="G21" s="23" t="str">
        <x:v>mothball, tar</x:v>
      </x:c>
      <x:c r="H21" s="23" t="str">
        <x:v>avocado, chile, kiwi, orange, sage</x:v>
      </x:c>
      <x:c r="I21" s="23" t="str">
        <x:v>explanation_regression_lead</x:v>
      </x:c>
      <x:c r="J21" s="23" t="str">
        <x:v>legacy_output_unverified</x:v>
      </x:c>
      <x:c r="K21" s="23" t="str">
        <x:v>naphthalene</x:v>
      </x:c>
      <x:c r="L21" s="23" t="str">
        <x:v>91-20-3</x:v>
      </x:c>
      <x:c r="M21" s="23" t="str">
        <x:v>Normalized obvious spelling error from raw 'napthalene'; raw pairing output retained.</x:v>
      </x:c>
    </x:row>
    <x:row r="22">
      <x:c r="A22" s="23" t="str">
        <x:v>LE-0021</x:v>
      </x:c>
      <x:c r="B22" s="23" t="str">
        <x:v>Ing Pairings- Fish.xlsx</x:v>
      </x:c>
      <x:c r="C22" s="23" t="str">
        <x:v>fish</x:v>
      </x:c>
      <x:c r="D22" s="23" t="str">
        <x:v>fish</x:v>
      </x:c>
      <x:c r="E22" s="23" t="str">
        <x:v>Fatty Fish + Coffee</x:v>
      </x:c>
      <x:c r="F22" s="23" t="str">
        <x:v>phenol</x:v>
      </x:c>
      <x:c r="G22" s="23" t="str">
        <x:v>medicine, phenol, sharp, smoke, spice</x:v>
      </x:c>
      <x:c r="H22" s="23" t="str">
        <x:v>cocoa, olive, pork, sake, sesame seed</x:v>
      </x:c>
      <x:c r="I22" s="23" t="str">
        <x:v>explanation_regression_lead</x:v>
      </x:c>
      <x:c r="J22" s="23" t="str">
        <x:v>legacy_output_unverified</x:v>
      </x:c>
      <x:c r="K22" s="23" t="str"/>
      <x:c r="L22" s="23" t="str"/>
      <x:c r="M22" s="23" t="str"/>
    </x:row>
    <x:row r="23">
      <x:c r="A23" s="23" t="str">
        <x:v>LE-0022</x:v>
      </x:c>
      <x:c r="B23" s="23" t="str">
        <x:v>Ing Pairings- Fish.xlsx</x:v>
      </x:c>
      <x:c r="C23" s="23" t="str">
        <x:v>fish</x:v>
      </x:c>
      <x:c r="D23" s="23" t="str">
        <x:v>fish</x:v>
      </x:c>
      <x:c r="E23" s="23" t="str">
        <x:v>Fatty Fish + Coffee</x:v>
      </x:c>
      <x:c r="F23" s="23" t="str">
        <x:v>2-ethyl-1-hexanol</x:v>
      </x:c>
      <x:c r="G23" s="23" t="str">
        <x:v>citrus, green, oil, rose</x:v>
      </x:c>
      <x:c r="H23" s="23" t="str">
        <x:v>annatto, lettuce, mint, pomegranate, sweet potato</x:v>
      </x:c>
      <x:c r="I23" s="23" t="str">
        <x:v>explanation_regression_lead</x:v>
      </x:c>
      <x:c r="J23" s="23" t="str">
        <x:v>legacy_output_unverified</x:v>
      </x:c>
      <x:c r="K23" s="23" t="str"/>
      <x:c r="L23" s="23" t="str"/>
      <x:c r="M23" s="23" t="str"/>
    </x:row>
    <x:row r="24">
      <x:c r="A24" s="23" t="str">
        <x:v>LE-0023</x:v>
      </x:c>
      <x:c r="B24" s="23" t="str">
        <x:v>Ing Pairings- Fish.xlsx</x:v>
      </x:c>
      <x:c r="C24" s="23" t="str">
        <x:v>fish</x:v>
      </x:c>
      <x:c r="D24" s="23" t="str">
        <x:v>fish</x:v>
      </x:c>
      <x:c r="E24" s="23" t="str">
        <x:v>Fatty Fish + Beer</x:v>
      </x:c>
      <x:c r="F24" s="23" t="str">
        <x:v>pyrrolidine</x:v>
      </x:c>
      <x:c r="G24" s="23" t="str">
        <x:v>alkaline</x:v>
      </x:c>
      <x:c r="H24" s="23" t="str">
        <x:v>barley, caviar, polenta, radish</x:v>
      </x:c>
      <x:c r="I24" s="23" t="str">
        <x:v>explanation_regression_lead</x:v>
      </x:c>
      <x:c r="J24" s="23" t="str">
        <x:v>legacy_output_unverified</x:v>
      </x:c>
      <x:c r="K24" s="23" t="str"/>
      <x:c r="L24" s="23" t="str"/>
      <x:c r="M24" s="23" t="str"/>
    </x:row>
    <x:row r="25">
      <x:c r="A25" s="23" t="str">
        <x:v>LE-0024</x:v>
      </x:c>
      <x:c r="B25" s="23" t="str">
        <x:v>Ing Pairings- Fish.xlsx</x:v>
      </x:c>
      <x:c r="C25" s="23" t="str">
        <x:v>fish</x:v>
      </x:c>
      <x:c r="D25" s="23" t="str">
        <x:v>fish</x:v>
      </x:c>
      <x:c r="E25" s="23" t="str">
        <x:v>Fatty Fish + Beer</x:v>
      </x:c>
      <x:c r="F25" s="23" t="str">
        <x:v>formic acid</x:v>
      </x:c>
      <x:c r="G25" s="23" t="str">
        <x:v>pungent</x:v>
      </x:c>
      <x:c r="H25" s="23" t="str">
        <x:v>citrus, brandy, peas, yogurt</x:v>
      </x:c>
      <x:c r="I25" s="23" t="str">
        <x:v>explanation_regression_lead</x:v>
      </x:c>
      <x:c r="J25" s="23" t="str">
        <x:v>legacy_output_unverified</x:v>
      </x:c>
      <x:c r="K25" s="23" t="str"/>
      <x:c r="L25" s="23" t="str"/>
      <x:c r="M25" s="23" t="str"/>
    </x:row>
    <x:row r="26">
      <x:c r="A26" s="23" t="str">
        <x:v>LE-0025</x:v>
      </x:c>
      <x:c r="B26" s="23" t="str">
        <x:v>Ing Pairings- Lamb.xlsx</x:v>
      </x:c>
      <x:c r="C26" s="23" t="str">
        <x:v>lamb</x:v>
      </x:c>
      <x:c r="D26" s="23" t="str">
        <x:v>lamb</x:v>
      </x:c>
      <x:c r="E26" s="23" t="str">
        <x:v>Lamb + Shrimp</x:v>
      </x:c>
      <x:c r="F26" s="23" t="str">
        <x:v>trimethylpyrazine</x:v>
      </x:c>
      <x:c r="G26" s="23" t="str">
        <x:v>cocoa, earth, must, potato, roast</x:v>
      </x:c>
      <x:c r="H26" s="23" t="str">
        <x:v>almond, asparagus, okra, sesame</x:v>
      </x:c>
      <x:c r="I26" s="23" t="str">
        <x:v>explanation_regression_lead</x:v>
      </x:c>
      <x:c r="J26" s="23" t="str">
        <x:v>legacy_output_unverified</x:v>
      </x:c>
      <x:c r="K26" s="23" t="str"/>
      <x:c r="L26" s="23" t="str"/>
      <x:c r="M26" s="23" t="str"/>
    </x:row>
    <x:row r="27">
      <x:c r="A27" s="23" t="str">
        <x:v>LE-0026</x:v>
      </x:c>
      <x:c r="B27" s="23" t="str">
        <x:v>Ing Pairings- Lamb.xlsx</x:v>
      </x:c>
      <x:c r="C27" s="23" t="str">
        <x:v>lamb</x:v>
      </x:c>
      <x:c r="D27" s="23" t="str">
        <x:v>lamb</x:v>
      </x:c>
      <x:c r="E27" s="23" t="str">
        <x:v>Lamb + Shrimp</x:v>
      </x:c>
      <x:c r="F27" s="23" t="str">
        <x:v>2-methylpyridine</x:v>
      </x:c>
      <x:c r="G27" s="23" t="str">
        <x:v>ash, sweat</x:v>
      </x:c>
      <x:c r="H27" s="23" t="str">
        <x:v>beans, oats, wild rice</x:v>
      </x:c>
      <x:c r="I27" s="23" t="str">
        <x:v>explanation_regression_lead</x:v>
      </x:c>
      <x:c r="J27" s="23" t="str">
        <x:v>legacy_output_unverified</x:v>
      </x:c>
      <x:c r="K27" s="23" t="str"/>
      <x:c r="L27" s="23" t="str"/>
      <x:c r="M27" s="23" t="str"/>
    </x:row>
    <x:row r="28">
      <x:c r="A28" s="23" t="str">
        <x:v>LE-0027</x:v>
      </x:c>
      <x:c r="B28" s="23" t="str">
        <x:v>Ing Pairings- Lamb.xlsx</x:v>
      </x:c>
      <x:c r="C28" s="23" t="str">
        <x:v>lamb</x:v>
      </x:c>
      <x:c r="D28" s="23" t="str">
        <x:v>lamb</x:v>
      </x:c>
      <x:c r="E28" s="23" t="str">
        <x:v>Lamb + Strawberry</x:v>
      </x:c>
      <x:c r="F28" s="23" t="str">
        <x:v>butanoic acid</x:v>
      </x:c>
      <x:c r="G28" s="23" t="str">
        <x:v>butter, cheese, rancid, sour, sweat</x:v>
      </x:c>
      <x:c r="H28" s="23" t="str">
        <x:v>bread, mushroom, tarragon, wine</x:v>
      </x:c>
      <x:c r="I28" s="23" t="str">
        <x:v>explanation_regression_lead</x:v>
      </x:c>
      <x:c r="J28" s="23" t="str">
        <x:v>legacy_output_unverified</x:v>
      </x:c>
      <x:c r="K28" s="23" t="str"/>
      <x:c r="L28" s="23" t="str"/>
      <x:c r="M28" s="23" t="str"/>
    </x:row>
    <x:row r="29">
      <x:c r="A29" s="23" t="str">
        <x:v>LE-0028</x:v>
      </x:c>
      <x:c r="B29" s="23" t="str">
        <x:v>Ing Pairings- Lamb.xlsx</x:v>
      </x:c>
      <x:c r="C29" s="23" t="str">
        <x:v>lamb</x:v>
      </x:c>
      <x:c r="D29" s="23" t="str">
        <x:v>lamb</x:v>
      </x:c>
      <x:c r="E29" s="23" t="str">
        <x:v>Lamb + Strawberry</x:v>
      </x:c>
      <x:c r="F29" s="23" t="str">
        <x:v>heptanal</x:v>
      </x:c>
      <x:c r="G29" s="23" t="str">
        <x:v>citrus, dry fish, fat, green, nut, rancid</x:v>
      </x:c>
      <x:c r="H29" s="23" t="str">
        <x:v>artichoke, chervil, eggplant, garlic, olive</x:v>
      </x:c>
      <x:c r="I29" s="23" t="str">
        <x:v>explanation_regression_lead</x:v>
      </x:c>
      <x:c r="J29" s="23" t="str">
        <x:v>legacy_output_unverified</x:v>
      </x:c>
      <x:c r="K29" s="23" t="str"/>
      <x:c r="L29" s="23" t="str"/>
      <x:c r="M29" s="23" t="str"/>
    </x:row>
    <x:row r="30">
      <x:c r="A30" s="23" t="str">
        <x:v>LE-0029</x:v>
      </x:c>
      <x:c r="B30" s="23" t="str">
        <x:v>Ing Pairings- Lamb.xlsx</x:v>
      </x:c>
      <x:c r="C30" s="23" t="str">
        <x:v>lamb</x:v>
      </x:c>
      <x:c r="D30" s="23" t="str">
        <x:v>lamb</x:v>
      </x:c>
      <x:c r="E30" s="23" t="str">
        <x:v>Lamb + Mint</x:v>
      </x:c>
      <x:c r="F30" s="23" t="str">
        <x:v>5-hydroxydodecanoic acid lactone</x:v>
      </x:c>
      <x:c r="G30" s="23" t="str">
        <x:v>fruit, sweet</x:v>
      </x:c>
      <x:c r="H30" s="23" t="str">
        <x:v>blue cheese, macadamia, sherry</x:v>
      </x:c>
      <x:c r="I30" s="23" t="str">
        <x:v>explanation_regression_lead</x:v>
      </x:c>
      <x:c r="J30" s="23" t="str">
        <x:v>legacy_output_unverified</x:v>
      </x:c>
      <x:c r="K30" s="23" t="str"/>
      <x:c r="L30" s="23" t="str"/>
      <x:c r="M30" s="23" t="str"/>
    </x:row>
    <x:row r="31">
      <x:c r="A31" s="23" t="str">
        <x:v>LE-0030</x:v>
      </x:c>
      <x:c r="B31" s="23" t="str">
        <x:v>Ing Pairings- Lamb.xlsx</x:v>
      </x:c>
      <x:c r="C31" s="23" t="str">
        <x:v>lamb</x:v>
      </x:c>
      <x:c r="D31" s="23" t="str">
        <x:v>lamb</x:v>
      </x:c>
      <x:c r="E31" s="23" t="str">
        <x:v>Lamb + Mint</x:v>
      </x:c>
      <x:c r="F31" s="23" t="str">
        <x:v>heptanoic acid</x:v>
      </x:c>
      <x:c r="G31" s="23" t="str">
        <x:v>apricot, floral, rancid, sour, sweat</x:v>
      </x:c>
      <x:c r="H31" s="23" t="str">
        <x:v>coffee, lemon, licorice, sauerkraut</x:v>
      </x:c>
      <x:c r="I31" s="23" t="str">
        <x:v>explanation_regression_lead</x:v>
      </x:c>
      <x:c r="J31" s="23" t="str">
        <x:v>legacy_output_unverified</x:v>
      </x:c>
      <x:c r="K31" s="23" t="str"/>
      <x:c r="L31" s="23" t="str"/>
      <x:c r="M31" s="23" t="str"/>
    </x:row>
    <x:row r="32">
      <x:c r="A32" s="23" t="str">
        <x:v>LE-0031</x:v>
      </x:c>
      <x:c r="B32" s="23" t="str">
        <x:v>Ing Pairings- Mollusks.xlsx</x:v>
      </x:c>
      <x:c r="C32" s="23" t="str">
        <x:v>mollusks</x:v>
      </x:c>
      <x:c r="D32" s="23" t="str">
        <x:v>mollusks</x:v>
      </x:c>
      <x:c r="E32" s="23" t="str">
        <x:v>Clam + Cauliflower</x:v>
      </x:c>
      <x:c r="F32" s="23" t="str">
        <x:v>dimethylamine</x:v>
      </x:c>
      <x:c r="G32" s="23" t="str">
        <x:v>fish</x:v>
      </x:c>
      <x:c r="H32" s="23" t="str">
        <x:v>barley, celery, radish, wine</x:v>
      </x:c>
      <x:c r="I32" s="23" t="str">
        <x:v>explanation_regression_lead</x:v>
      </x:c>
      <x:c r="J32" s="23" t="str">
        <x:v>legacy_output_unverified</x:v>
      </x:c>
      <x:c r="K32" s="23" t="str"/>
      <x:c r="L32" s="23" t="str"/>
      <x:c r="M32" s="23" t="str"/>
    </x:row>
    <x:row r="33">
      <x:c r="A33" s="23" t="str">
        <x:v>LE-0032</x:v>
      </x:c>
      <x:c r="B33" s="23" t="str">
        <x:v>Ing Pairings- Mollusks.xlsx</x:v>
      </x:c>
      <x:c r="C33" s="23" t="str">
        <x:v>mollusks</x:v>
      </x:c>
      <x:c r="D33" s="23" t="str">
        <x:v>mollusks</x:v>
      </x:c>
      <x:c r="E33" s="23" t="str">
        <x:v>Clam + Cauliflower</x:v>
      </x:c>
      <x:c r="F33" s="23" t="str">
        <x:v>2-butanone</x:v>
      </x:c>
      <x:c r="G33" s="23" t="str">
        <x:v>ether, fragant, fruit, pleasant, sweet</x:v>
      </x:c>
      <x:c r="H33" s="23" t="str">
        <x:v>beans ,chile, garlic, thyme</x:v>
      </x:c>
      <x:c r="I33" s="23" t="str">
        <x:v>explanation_regression_lead</x:v>
      </x:c>
      <x:c r="J33" s="23" t="str">
        <x:v>legacy_output_unverified</x:v>
      </x:c>
      <x:c r="K33" s="23" t="str"/>
      <x:c r="L33" s="23" t="str"/>
      <x:c r="M33" s="23" t="str"/>
    </x:row>
    <x:row r="34">
      <x:c r="A34" s="23" t="str">
        <x:v>LE-0033</x:v>
      </x:c>
      <x:c r="B34" s="23" t="str">
        <x:v>Ing Pairings- Mollusks.xlsx</x:v>
      </x:c>
      <x:c r="C34" s="23" t="str">
        <x:v>mollusks</x:v>
      </x:c>
      <x:c r="D34" s="23" t="str">
        <x:v>mollusks</x:v>
      </x:c>
      <x:c r="E34" s="23" t="str">
        <x:v>Mussels + Vanilla</x:v>
      </x:c>
      <x:c r="F34" s="23" t="str">
        <x:v>benzene</x:v>
      </x:c>
      <x:c r="G34" s="23" t="str">
        <x:v>solvent</x:v>
      </x:c>
      <x:c r="H34" s="23" t="str">
        <x:v>basil, ginger, parsley, pineapple</x:v>
      </x:c>
      <x:c r="I34" s="23" t="str">
        <x:v>explanation_regression_lead</x:v>
      </x:c>
      <x:c r="J34" s="23" t="str">
        <x:v>legacy_output_unverified</x:v>
      </x:c>
      <x:c r="K34" s="23" t="str"/>
      <x:c r="L34" s="23" t="str"/>
      <x:c r="M34" s="23" t="str"/>
    </x:row>
    <x:row r="35">
      <x:c r="A35" s="23" t="str">
        <x:v>LE-0034</x:v>
      </x:c>
      <x:c r="B35" s="23" t="str">
        <x:v>Ing Pairings- Mollusks.xlsx</x:v>
      </x:c>
      <x:c r="C35" s="23" t="str">
        <x:v>mollusks</x:v>
      </x:c>
      <x:c r="D35" s="23" t="str">
        <x:v>mollusks</x:v>
      </x:c>
      <x:c r="E35" s="23" t="str">
        <x:v>Mussels + Vanilla</x:v>
      </x:c>
      <x:c r="F35" s="23" t="str">
        <x:v>methyl dodecanoate</x:v>
      </x:c>
      <x:c r="G35" s="23" t="str">
        <x:v>coconut, fat</x:v>
      </x:c>
      <x:c r="H35" s="23" t="str">
        <x:v>coconut, elderberry, mustard, wine</x:v>
      </x:c>
      <x:c r="I35" s="23" t="str">
        <x:v>explanation_regression_lead</x:v>
      </x:c>
      <x:c r="J35" s="23" t="str">
        <x:v>legacy_output_unverified</x:v>
      </x:c>
      <x:c r="K35" s="23" t="str"/>
      <x:c r="L35" s="23" t="str"/>
      <x:c r="M35" s="23" t="str"/>
    </x:row>
    <x:row r="36">
      <x:c r="A36" s="23" t="str">
        <x:v>LE-0035</x:v>
      </x:c>
      <x:c r="B36" s="23" t="str">
        <x:v>Ing Pairings- Mollusks.xlsx</x:v>
      </x:c>
      <x:c r="C36" s="23" t="str">
        <x:v>mollusks</x:v>
      </x:c>
      <x:c r="D36" s="23" t="str">
        <x:v>mollusks</x:v>
      </x:c>
      <x:c r="E36" s="23" t="str">
        <x:v>Squid + Zucchini</x:v>
      </x:c>
      <x:c r="F36" s="23" t="str">
        <x:v>1-Penten-3-ol</x:v>
      </x:c>
      <x:c r="G36" s="23" t="str">
        <x:v>burnt, fish, green, meat, wet earth</x:v>
      </x:c>
      <x:c r="H36" s="23" t="str">
        <x:v>cherry, ginger, lime, okra, tomato</x:v>
      </x:c>
      <x:c r="I36" s="23" t="str">
        <x:v>explanation_regression_lead</x:v>
      </x:c>
      <x:c r="J36" s="23" t="str">
        <x:v>legacy_output_unverified</x:v>
      </x:c>
      <x:c r="K36" s="23" t="str"/>
      <x:c r="L36" s="23" t="str"/>
      <x:c r="M36" s="23" t="str"/>
    </x:row>
    <x:row r="37">
      <x:c r="A37" s="23" t="str">
        <x:v>LE-0036</x:v>
      </x:c>
      <x:c r="B37" s="23" t="str">
        <x:v>Ing Pairings- Mollusks.xlsx</x:v>
      </x:c>
      <x:c r="C37" s="23" t="str">
        <x:v>mollusks</x:v>
      </x:c>
      <x:c r="D37" s="23" t="str">
        <x:v>mollusks</x:v>
      </x:c>
      <x:c r="E37" s="23" t="str">
        <x:v>Squid + Zucchini</x:v>
      </x:c>
      <x:c r="F37" s="23" t="str">
        <x:v>2-methylbutanal</x:v>
      </x:c>
      <x:c r="G37" s="23" t="str">
        <x:v>almond, cocoa, fermented, hazelnut, malt</x:v>
      </x:c>
      <x:c r="H37" s="23" t="str">
        <x:v>mint, pistachio, pomegranate, vinegar</x:v>
      </x:c>
      <x:c r="I37" s="23" t="str">
        <x:v>explanation_regression_lead</x:v>
      </x:c>
      <x:c r="J37" s="23" t="str">
        <x:v>legacy_output_unverified</x:v>
      </x:c>
      <x:c r="K37" s="23" t="str"/>
      <x:c r="L37" s="23" t="str"/>
      <x:c r="M37" s="23" t="str"/>
    </x:row>
    <x:row r="38">
      <x:c r="A38" s="23" t="str">
        <x:v>LE-0037</x:v>
      </x:c>
      <x:c r="B38" s="23" t="str">
        <x:v>Ing Pairings- Mollusks.xlsx</x:v>
      </x:c>
      <x:c r="C38" s="23" t="str">
        <x:v>mollusks</x:v>
      </x:c>
      <x:c r="D38" s="23" t="str">
        <x:v>mollusks</x:v>
      </x:c>
      <x:c r="E38" s="23" t="str">
        <x:v>Scallop + Asparagus</x:v>
      </x:c>
      <x:c r="F38" s="23" t="str">
        <x:v>acetaldehyde</x:v>
      </x:c>
      <x:c r="G38" s="23" t="str">
        <x:v>ether, floral, green apple, pungent, sweet</x:v>
      </x:c>
      <x:c r="H38" s="23" t="str">
        <x:v>egg, lentil, peas, sake</x:v>
      </x:c>
      <x:c r="I38" s="23" t="str">
        <x:v>explanation_regression_lead</x:v>
      </x:c>
      <x:c r="J38" s="23" t="str">
        <x:v>legacy_output_unverified</x:v>
      </x:c>
      <x:c r="K38" s="23" t="str"/>
      <x:c r="L38" s="23" t="str"/>
      <x:c r="M38" s="23" t="str"/>
    </x:row>
    <x:row r="39">
      <x:c r="A39" s="23" t="str">
        <x:v>LE-0038</x:v>
      </x:c>
      <x:c r="B39" s="23" t="str">
        <x:v>Ing Pairings- Mollusks.xlsx</x:v>
      </x:c>
      <x:c r="C39" s="23" t="str">
        <x:v>mollusks</x:v>
      </x:c>
      <x:c r="D39" s="23" t="str">
        <x:v>mollusks</x:v>
      </x:c>
      <x:c r="E39" s="23" t="str">
        <x:v>Scallop + Asparagus</x:v>
      </x:c>
      <x:c r="F39" s="23" t="str">
        <x:v>2-nonanone</x:v>
      </x:c>
      <x:c r="G39" s="23" t="str">
        <x:v>fragant, fruit, green, hot milk, soap</x:v>
      </x:c>
      <x:c r="H39" s="23" t="str">
        <x:v>bacon, caviar, lemongrass, rice</x:v>
      </x:c>
      <x:c r="I39" s="23" t="str">
        <x:v>explanation_regression_lead</x:v>
      </x:c>
      <x:c r="J39" s="23" t="str">
        <x:v>legacy_output_unverified</x:v>
      </x:c>
      <x:c r="K39" s="23" t="str"/>
      <x:c r="L39" s="23" t="str"/>
      <x:c r="M39" s="23" t="str"/>
    </x:row>
    <x:row r="40">
      <x:c r="A40" s="23" t="str">
        <x:v>LE-0039</x:v>
      </x:c>
      <x:c r="B40" s="23" t="str">
        <x:v>Ing Pairings- Pork.xlsx</x:v>
      </x:c>
      <x:c r="C40" s="23" t="str">
        <x:v>pork</x:v>
      </x:c>
      <x:c r="D40" s="23" t="str">
        <x:v>pork</x:v>
      </x:c>
      <x:c r="E40" s="23" t="str">
        <x:v>Pork + Apple</x:v>
      </x:c>
      <x:c r="F40" s="23" t="str">
        <x:v>2-acetylfuran</x:v>
      </x:c>
      <x:c r="G40" s="23" t="str">
        <x:v>balsamic, cocoa, coffee, smoke, tobacco</x:v>
      </x:c>
      <x:c r="H40" s="23" t="str">
        <x:v>allium, almond, cocoa, sweet potato, oyster</x:v>
      </x:c>
      <x:c r="I40" s="23" t="str">
        <x:v>explanation_regression_lead</x:v>
      </x:c>
      <x:c r="J40" s="23" t="str">
        <x:v>legacy_output_unverified</x:v>
      </x:c>
      <x:c r="K40" s="23" t="str"/>
      <x:c r="L40" s="23" t="str"/>
      <x:c r="M40" s="23" t="str"/>
    </x:row>
    <x:row r="41">
      <x:c r="A41" s="23" t="str">
        <x:v>LE-0040</x:v>
      </x:c>
      <x:c r="B41" s="23" t="str">
        <x:v>Ing Pairings- Pork.xlsx</x:v>
      </x:c>
      <x:c r="C41" s="23" t="str">
        <x:v>pork</x:v>
      </x:c>
      <x:c r="D41" s="23" t="str">
        <x:v>pork</x:v>
      </x:c>
      <x:c r="E41" s="23" t="str">
        <x:v>Pork + Apple</x:v>
      </x:c>
      <x:c r="F41" s="23" t="str">
        <x:v>1-heptanol</x:v>
      </x:c>
      <x:c r="G41" s="23" t="str">
        <x:v>chemical, green, putrid, wood</x:v>
      </x:c>
      <x:c r="H41" s="23" t="str">
        <x:v>citrus, mustard, olive, sherry,</x:v>
      </x:c>
      <x:c r="I41" s="23" t="str">
        <x:v>explanation_regression_lead</x:v>
      </x:c>
      <x:c r="J41" s="23" t="str">
        <x:v>legacy_output_unverified</x:v>
      </x:c>
      <x:c r="K41" s="23" t="str"/>
      <x:c r="L41" s="23" t="str"/>
      <x:c r="M41" s="23" t="str"/>
    </x:row>
    <x:row r="42">
      <x:c r="A42" s="23" t="str">
        <x:v>LE-0041</x:v>
      </x:c>
      <x:c r="B42" s="23" t="str">
        <x:v>Ing Pairings- Pork.xlsx</x:v>
      </x:c>
      <x:c r="C42" s="23" t="str">
        <x:v>pork</x:v>
      </x:c>
      <x:c r="D42" s="23" t="str">
        <x:v>pork</x:v>
      </x:c>
      <x:c r="E42" s="23" t="str">
        <x:v>Pork + Hazelnut</x:v>
      </x:c>
      <x:c r="F42" s="23" t="str">
        <x:v>pyrrole</x:v>
      </x:c>
      <x:c r="G42" s="23" t="str">
        <x:v>nut, sweet</x:v>
      </x:c>
      <x:c r="H42" s="23" t="str">
        <x:v>coffee, egg, mushroom, tamarind</x:v>
      </x:c>
      <x:c r="I42" s="23" t="str">
        <x:v>explanation_regression_lead</x:v>
      </x:c>
      <x:c r="J42" s="23" t="str">
        <x:v>legacy_output_unverified</x:v>
      </x:c>
      <x:c r="K42" s="23" t="str"/>
      <x:c r="L42" s="23" t="str"/>
      <x:c r="M42" s="23" t="str"/>
    </x:row>
    <x:row r="43">
      <x:c r="A43" s="23" t="str">
        <x:v>LE-0042</x:v>
      </x:c>
      <x:c r="B43" s="23" t="str">
        <x:v>Ing Pairings- Pork.xlsx</x:v>
      </x:c>
      <x:c r="C43" s="23" t="str">
        <x:v>pork</x:v>
      </x:c>
      <x:c r="D43" s="23" t="str">
        <x:v>pork</x:v>
      </x:c>
      <x:c r="E43" s="23" t="str">
        <x:v>Pork + Hazelnut</x:v>
      </x:c>
      <x:c r="F43" s="23" t="str">
        <x:v>2-furanmethanethiol</x:v>
      </x:c>
      <x:c r="G43" s="23" t="str">
        <x:v>coffee, roasted meat</x:v>
      </x:c>
      <x:c r="H43" s="23" t="str">
        <x:v>beef, peanut, popcorn, sesame seed</x:v>
      </x:c>
      <x:c r="I43" s="23" t="str">
        <x:v>explanation_regression_lead</x:v>
      </x:c>
      <x:c r="J43" s="23" t="str">
        <x:v>legacy_output_unverified</x:v>
      </x:c>
      <x:c r="K43" s="23" t="str"/>
      <x:c r="L43" s="23" t="str"/>
      <x:c r="M43" s="23" t="str"/>
    </x:row>
    <x:row r="44">
      <x:c r="A44" s="23" t="str">
        <x:v>LE-0043</x:v>
      </x:c>
      <x:c r="B44" s="23" t="str">
        <x:v>Ing Pairings- Pork.xlsx</x:v>
      </x:c>
      <x:c r="C44" s="23" t="str">
        <x:v>pork</x:v>
      </x:c>
      <x:c r="D44" s="23" t="str">
        <x:v>pork</x:v>
      </x:c>
      <x:c r="E44" s="23" t="str">
        <x:v>Pork + Clam</x:v>
      </x:c>
      <x:c r="F44" s="23" t="str">
        <x:v>2-acetylthiazole</x:v>
      </x:c>
      <x:c r="G44" s="23" t="str">
        <x:v>nut, popcorn, roast, sulphur</x:v>
      </x:c>
      <x:c r="H44" s="23" t="str">
        <x:v>artichoke, beer, corn, cabbage</x:v>
      </x:c>
      <x:c r="I44" s="23" t="str">
        <x:v>explanation_regression_lead</x:v>
      </x:c>
      <x:c r="J44" s="23" t="str">
        <x:v>legacy_output_unverified</x:v>
      </x:c>
      <x:c r="K44" s="23" t="str"/>
      <x:c r="L44" s="23" t="str"/>
      <x:c r="M44" s="23" t="str"/>
    </x:row>
    <x:row r="45">
      <x:c r="A45" s="23" t="str">
        <x:v>LE-0044</x:v>
      </x:c>
      <x:c r="B45" s="23" t="str">
        <x:v>Ing Pairings- Pork.xlsx</x:v>
      </x:c>
      <x:c r="C45" s="23" t="str">
        <x:v>pork</x:v>
      </x:c>
      <x:c r="D45" s="23" t="str">
        <x:v>pork</x:v>
      </x:c>
      <x:c r="E45" s="23" t="str">
        <x:v>Pork + Clam</x:v>
      </x:c>
      <x:c r="F45" s="23" t="str">
        <x:v>trimethylpyrazine</x:v>
      </x:c>
      <x:c r="G45" s="23" t="str">
        <x:v>cocoa, earth, must, potato, roast</x:v>
      </x:c>
      <x:c r="H45" s="23" t="str">
        <x:v>barley, coconut, okra, peanut, whisky</x:v>
      </x:c>
      <x:c r="I45" s="23" t="str">
        <x:v>explanation_regression_lead</x:v>
      </x:c>
      <x:c r="J45" s="23" t="str">
        <x:v>legacy_output_unverified</x:v>
      </x:c>
      <x:c r="K45" s="23" t="str"/>
      <x:c r="L45" s="23" t="str"/>
      <x:c r="M45" s="23" t="str"/>
    </x:row>
    <x:row r="46">
      <x:c r="A46" s="23" t="str">
        <x:v>LE-0045</x:v>
      </x:c>
      <x:c r="B46" s="23" t="str">
        <x:v>Ing Pairings- Pork.xlsx</x:v>
      </x:c>
      <x:c r="C46" s="23" t="str">
        <x:v>pork</x:v>
      </x:c>
      <x:c r="D46" s="23" t="str">
        <x:v>pork</x:v>
      </x:c>
      <x:c r="E46" s="23" t="str">
        <x:v>Pork + Coffee</x:v>
      </x:c>
      <x:c r="F46" s="23" t="str">
        <x:v>4,5-dimethylthiazole</x:v>
      </x:c>
      <x:c r="G46" s="23" t="str">
        <x:v>green, nut, roast, roasted, smoke</x:v>
      </x:c>
      <x:c r="H46" s="23" t="str">
        <x:v>malt, oats, peach, scallop</x:v>
      </x:c>
      <x:c r="I46" s="23" t="str">
        <x:v>explanation_regression_lead</x:v>
      </x:c>
      <x:c r="J46" s="23" t="str">
        <x:v>legacy_output_unverified</x:v>
      </x:c>
      <x:c r="K46" s="23" t="str"/>
      <x:c r="L46" s="23" t="str"/>
      <x:c r="M46" s="23" t="str"/>
    </x:row>
    <x:row r="47">
      <x:c r="A47" s="23" t="str">
        <x:v>LE-0046</x:v>
      </x:c>
      <x:c r="B47" s="23" t="str">
        <x:v>Ing Pairings- Pork.xlsx</x:v>
      </x:c>
      <x:c r="C47" s="23" t="str">
        <x:v>pork</x:v>
      </x:c>
      <x:c r="D47" s="23" t="str">
        <x:v>pork</x:v>
      </x:c>
      <x:c r="E47" s="23" t="str">
        <x:v>Pork + Coffee</x:v>
      </x:c>
      <x:c r="F47" s="23" t="str">
        <x:v>2-acetylthiophene</x:v>
      </x:c>
      <x:c r="G47" s="23" t="str">
        <x:v>sulphur</x:v>
      </x:c>
      <x:c r="H47" s="23" t="str">
        <x:v>asparagus, tomato, shrimp paste, bread</x:v>
      </x:c>
      <x:c r="I47" s="23" t="str">
        <x:v>explanation_regression_lead</x:v>
      </x:c>
      <x:c r="J47" s="23" t="str">
        <x:v>legacy_output_unverified</x:v>
      </x:c>
      <x:c r="K47" s="23" t="str"/>
      <x:c r="L47" s="23" t="str"/>
      <x:c r="M47" s="23" t="str"/>
    </x:row>
    <x:row r="48">
      <x:c r="A48" s="23" t="str">
        <x:v>LE-0047</x:v>
      </x:c>
      <x:c r="B48" s="23" t="str">
        <x:v>Ing Pairings- Poultry.xlsx</x:v>
      </x:c>
      <x:c r="C48" s="23" t="str">
        <x:v>poultry</x:v>
      </x:c>
      <x:c r="D48" s="23" t="str">
        <x:v>poultry</x:v>
      </x:c>
      <x:c r="E48" s="23" t="str">
        <x:v>Turkey + Apricot</x:v>
      </x:c>
      <x:c r="F48" s="23" t="str">
        <x:v>1-isopropyl-4-methylbenzene</x:v>
      </x:c>
      <x:c r="G48" s="23" t="str">
        <x:v>citrus, fresh, gasoline, solvent</x:v>
      </x:c>
      <x:c r="H48" s="23" t="str">
        <x:v>anise, black currant, basil, pistachio,  turmeric</x:v>
      </x:c>
      <x:c r="I48" s="23" t="str">
        <x:v>explanation_regression_lead</x:v>
      </x:c>
      <x:c r="J48" s="23" t="str">
        <x:v>legacy_output_unverified</x:v>
      </x:c>
      <x:c r="K48" s="23" t="str"/>
      <x:c r="L48" s="23" t="str"/>
      <x:c r="M48" s="23" t="str"/>
    </x:row>
    <x:row r="49">
      <x:c r="A49" s="23" t="str">
        <x:v>LE-0048</x:v>
      </x:c>
      <x:c r="B49" s="23" t="str">
        <x:v>Ing Pairings- Poultry.xlsx</x:v>
      </x:c>
      <x:c r="C49" s="23" t="str">
        <x:v>poultry</x:v>
      </x:c>
      <x:c r="D49" s="23" t="str">
        <x:v>poultry</x:v>
      </x:c>
      <x:c r="E49" s="23" t="str">
        <x:v>Turkey + Apricot</x:v>
      </x:c>
      <x:c r="F49" s="23" t="str">
        <x:v>benzyl alcohol</x:v>
      </x:c>
      <x:c r="G49" s="23" t="str">
        <x:v>boiled cherries, moss, roasted bread, rose, sweet</x:v>
      </x:c>
      <x:c r="H49" s="23" t="str">
        <x:v>citrus, cinnamon, mustard, sage</x:v>
      </x:c>
      <x:c r="I49" s="23" t="str">
        <x:v>explanation_regression_lead</x:v>
      </x:c>
      <x:c r="J49" s="23" t="str">
        <x:v>legacy_output_unverified</x:v>
      </x:c>
      <x:c r="K49" s="23" t="str"/>
      <x:c r="L49" s="23" t="str"/>
      <x:c r="M49" s="23" t="str"/>
    </x:row>
    <x:row r="50">
      <x:c r="A50" s="23" t="str">
        <x:v>LE-0049</x:v>
      </x:c>
      <x:c r="B50" s="23" t="str">
        <x:v>Ing Pairings- Poultry.xlsx</x:v>
      </x:c>
      <x:c r="C50" s="23" t="str">
        <x:v>poultry</x:v>
      </x:c>
      <x:c r="D50" s="23" t="str">
        <x:v>poultry</x:v>
      </x:c>
      <x:c r="E50" s="23" t="str">
        <x:v>Duck + Dill</x:v>
      </x:c>
      <x:c r="F50" s="23" t="str">
        <x:v>piperonal</x:v>
      </x:c>
      <x:c r="G50" s="23" t="str">
        <x:v>anise, sweet</x:v>
      </x:c>
      <x:c r="H50" s="23" t="str">
        <x:v>melon, blueberry, pepper, sherry, vanilla</x:v>
      </x:c>
      <x:c r="I50" s="23" t="str">
        <x:v>explanation_regression_lead</x:v>
      </x:c>
      <x:c r="J50" s="23" t="str">
        <x:v>legacy_output_unverified</x:v>
      </x:c>
      <x:c r="K50" s="23" t="str"/>
      <x:c r="L50" s="23" t="str"/>
      <x:c r="M50" s="23" t="str"/>
    </x:row>
    <x:row r="51">
      <x:c r="A51" s="23" t="str">
        <x:v>LE-0050</x:v>
      </x:c>
      <x:c r="B51" s="23" t="str">
        <x:v>Ing Pairings- Poultry.xlsx</x:v>
      </x:c>
      <x:c r="C51" s="23" t="str">
        <x:v>poultry</x:v>
      </x:c>
      <x:c r="D51" s="23" t="str">
        <x:v>poultry</x:v>
      </x:c>
      <x:c r="E51" s="23" t="str">
        <x:v>Duck + Dill</x:v>
      </x:c>
      <x:c r="F51" s="23" t="str">
        <x:v>ethylbenzene</x:v>
      </x:c>
      <x:c r="G51" s="23" t="str">
        <x:v>gasoline</x:v>
      </x:c>
      <x:c r="H51" s="23" t="str">
        <x:v>cheese, egg, olive, tomato, walnut</x:v>
      </x:c>
      <x:c r="I51" s="23" t="str">
        <x:v>explanation_regression_lead</x:v>
      </x:c>
      <x:c r="J51" s="23" t="str">
        <x:v>legacy_output_unverified</x:v>
      </x:c>
      <x:c r="K51" s="23" t="str"/>
      <x:c r="L51" s="23" t="str"/>
      <x:c r="M51" s="23" t="str"/>
    </x:row>
    <x:row r="52">
      <x:c r="A52" s="23" t="str">
        <x:v>LE-0051</x:v>
      </x:c>
      <x:c r="B52" s="23" t="str">
        <x:v>Ing Pairings- Poultry.xlsx</x:v>
      </x:c>
      <x:c r="C52" s="23" t="str">
        <x:v>poultry</x:v>
      </x:c>
      <x:c r="D52" s="23" t="str">
        <x:v>poultry</x:v>
      </x:c>
      <x:c r="E52" s="23" t="str">
        <x:v>Chicken + Banana</x:v>
      </x:c>
      <x:c r="F52" s="23" t="str">
        <x:v>undecane</x:v>
      </x:c>
      <x:c r="G52" s="23" t="str">
        <x:v>alkane</x:v>
      </x:c>
      <x:c r="H52" s="23" t="str">
        <x:v>chervil, cream, endive, garlic, walnut</x:v>
      </x:c>
      <x:c r="I52" s="23" t="str">
        <x:v>explanation_regression_lead</x:v>
      </x:c>
      <x:c r="J52" s="23" t="str">
        <x:v>legacy_output_unverified</x:v>
      </x:c>
      <x:c r="K52" s="23" t="str"/>
      <x:c r="L52" s="23" t="str"/>
      <x:c r="M52" s="23" t="str"/>
    </x:row>
    <x:row r="53">
      <x:c r="A53" s="23" t="str">
        <x:v>LE-0052</x:v>
      </x:c>
      <x:c r="B53" s="23" t="str">
        <x:v>Ing Pairings- Poultry.xlsx</x:v>
      </x:c>
      <x:c r="C53" s="23" t="str">
        <x:v>poultry</x:v>
      </x:c>
      <x:c r="D53" s="23" t="str">
        <x:v>poultry</x:v>
      </x:c>
      <x:c r="E53" s="23" t="str">
        <x:v>Chicken + Banana</x:v>
      </x:c>
      <x:c r="F53" s="23" t="str">
        <x:v>(E)-2-hexenal (=leaf aldehyde)</x:v>
      </x:c>
      <x:c r="G53" s="23" t="str">
        <x:v>fat, floral, fruit, green grass, pungent</x:v>
      </x:c>
      <x:c r="H53" s="23" t="str">
        <x:v>arugula, leek, olive, radish</x:v>
      </x:c>
      <x:c r="I53" s="23" t="str">
        <x:v>explanation_regression_lead</x:v>
      </x:c>
      <x:c r="J53" s="23" t="str">
        <x:v>legacy_output_unverified</x:v>
      </x:c>
      <x:c r="K53" s="23" t="str"/>
      <x:c r="L53" s="23" t="str"/>
      <x:c r="M53" s="23" t="str"/>
    </x:row>
    <x:row r="54">
      <x:c r="A54" s="23" t="str">
        <x:v>LE-0053</x:v>
      </x:c>
      <x:c r="B54" s="23" t="str">
        <x:v>Ing Pairings- Poultry.xlsx</x:v>
      </x:c>
      <x:c r="C54" s="23" t="str">
        <x:v>poultry</x:v>
      </x:c>
      <x:c r="D54" s="23" t="str">
        <x:v>poultry</x:v>
      </x:c>
      <x:c r="E54" s="23" t="str">
        <x:v>Poultry + Crayfish</x:v>
      </x:c>
      <x:c r="F54" s="23" t="str">
        <x:v>(E,E)-2,4-decadienal</x:v>
      </x:c>
      <x:c r="G54" s="23" t="str">
        <x:v>coriander, deep fried, fat, oil, oxidized</x:v>
      </x:c>
      <x:c r="H54" s="23" t="str">
        <x:v>chile, corn, mushroom, pecan, sweet potato</x:v>
      </x:c>
      <x:c r="I54" s="23" t="str">
        <x:v>explanation_regression_lead</x:v>
      </x:c>
      <x:c r="J54" s="23" t="str">
        <x:v>legacy_output_unverified</x:v>
      </x:c>
      <x:c r="K54" s="23" t="str"/>
      <x:c r="L54" s="23" t="str"/>
      <x:c r="M54" s="23" t="str"/>
    </x:row>
    <x:row r="55">
      <x:c r="A55" s="23" t="str">
        <x:v>LE-0054</x:v>
      </x:c>
      <x:c r="B55" s="23" t="str">
        <x:v>Ing Pairings- Poultry.xlsx</x:v>
      </x:c>
      <x:c r="C55" s="23" t="str">
        <x:v>poultry</x:v>
      </x:c>
      <x:c r="D55" s="23" t="str">
        <x:v>poultry</x:v>
      </x:c>
      <x:c r="E55" s="23" t="str">
        <x:v>Poultry + Crayfish</x:v>
      </x:c>
      <x:c r="F55" s="23" t="str">
        <x:v>octanal</x:v>
      </x:c>
      <x:c r="G55" s="23" t="str">
        <x:v>citrus, fat, floral, green, pungent</x:v>
      </x:c>
      <x:c r="H55" s="23" t="str">
        <x:v>artichoke, caraway, coriander, ginger, oyster</x:v>
      </x:c>
      <x:c r="I55" s="23" t="str">
        <x:v>explanation_regression_lead</x:v>
      </x:c>
      <x:c r="J55" s="23" t="str">
        <x:v>legacy_output_unverified</x:v>
      </x:c>
      <x:c r="K55" s="23" t="str"/>
      <x:c r="L55" s="23" t="str"/>
      <x:c r="M55" s="23" t="str"/>
    </x:row>
    <x:row r="56">
      <x:c r="A56" s="23" t="str">
        <x:v>LE-0055</x:v>
      </x:c>
      <x:c r="B56" s="23" t="str">
        <x:v>Ing Pairings- Venison.xlsx</x:v>
      </x:c>
      <x:c r="C56" s="23" t="str">
        <x:v>venison</x:v>
      </x:c>
      <x:c r="D56" s="23" t="str">
        <x:v>game meat (general)</x:v>
      </x:c>
      <x:c r="E56" s="23" t="str">
        <x:v>Venison + Eucalyptus</x:v>
      </x:c>
      <x:c r="F56" s="23" t="str">
        <x:v>octadecane</x:v>
      </x:c>
      <x:c r="G56" s="23" t="str">
        <x:v>alkane</x:v>
      </x:c>
      <x:c r="H56" s="23" t="str">
        <x:v>cashew, dill, mustard, radish, scallion</x:v>
      </x:c>
      <x:c r="I56" s="23" t="str">
        <x:v>explanation_regression_lead</x:v>
      </x:c>
      <x:c r="J56" s="23" t="str">
        <x:v>legacy_output_unverified</x:v>
      </x:c>
      <x:c r="K56" s="23" t="str"/>
      <x:c r="L56" s="23" t="str"/>
      <x:c r="M56" s="23" t="str"/>
    </x:row>
    <x:row r="57">
      <x:c r="A57" s="23" t="str">
        <x:v>LE-0056</x:v>
      </x:c>
      <x:c r="B57" s="23" t="str">
        <x:v>Ing Pairings- Venison.xlsx</x:v>
      </x:c>
      <x:c r="C57" s="23" t="str">
        <x:v>venison</x:v>
      </x:c>
      <x:c r="D57" s="23" t="str">
        <x:v>game meat (general)</x:v>
      </x:c>
      <x:c r="E57" s="23" t="str">
        <x:v>Venison + Cilantro</x:v>
      </x:c>
      <x:c r="F57" s="23" t="str">
        <x:v>heptanal</x:v>
      </x:c>
      <x:c r="G57" s="23" t="str">
        <x:v>citrus, dry fish, fat, green, nut</x:v>
      </x:c>
      <x:c r="H57" s="23" t="str">
        <x:v>beer, fig, sour cream, potato</x:v>
      </x:c>
      <x:c r="I57" s="23" t="str">
        <x:v>explanation_regression_lead</x:v>
      </x:c>
      <x:c r="J57" s="23" t="str">
        <x:v>legacy_output_unverified</x:v>
      </x:c>
      <x:c r="K57" s="23" t="str"/>
      <x:c r="L57" s="23" t="str"/>
      <x:c r="M57" s="23" t="str"/>
    </x:row>
    <x:row r="58">
      <x:c r="A58" s="23" t="str">
        <x:v>LE-0057</x:v>
      </x:c>
      <x:c r="B58" s="23" t="str">
        <x:v>Ing Pairings- Venison.xlsx</x:v>
      </x:c>
      <x:c r="C58" s="23" t="str">
        <x:v>venison</x:v>
      </x:c>
      <x:c r="D58" s="23" t="str">
        <x:v>game meat (general)</x:v>
      </x:c>
      <x:c r="E58" s="23" t="str">
        <x:v>Venison + Cilantro</x:v>
      </x:c>
      <x:c r="F58" s="23" t="str">
        <x:v>a-pinene</x:v>
      </x:c>
      <x:c r="G58" s="23" t="str">
        <x:v>cedarwood, pine, resin, sharp, turpentine</x:v>
      </x:c>
      <x:c r="H58" s="23" t="str">
        <x:v>lemongrass, jalapeno, juniper, shiso, pomegranate</x:v>
      </x:c>
      <x:c r="I58" s="23" t="str">
        <x:v>explanation_regression_lead</x:v>
      </x:c>
      <x:c r="J58" s="23" t="str">
        <x:v>legacy_output_unverified</x:v>
      </x:c>
      <x:c r="K58" s="23" t="str"/>
      <x:c r="L58" s="23" t="str"/>
      <x:c r="M58" s="23" t="str"/>
    </x:row>
    <x:row r="59">
      <x:c r="A59" s="23" t="str">
        <x:v>LE-0058</x:v>
      </x:c>
      <x:c r="B59" s="23" t="str">
        <x:v>Ing Pairings- Venison.xlsx</x:v>
      </x:c>
      <x:c r="C59" s="23" t="str">
        <x:v>venison</x:v>
      </x:c>
      <x:c r="D59" s="23" t="str">
        <x:v>game meat (general)</x:v>
      </x:c>
      <x:c r="E59" s="23" t="str">
        <x:v>Vension + Strawberry</x:v>
      </x:c>
      <x:c r="F59" s="23" t="str">
        <x:v>γ-dodecalactone</x:v>
      </x:c>
      <x:c r="G59" s="23" t="str">
        <x:v>apricot, flower, fruit, peach, sweet</x:v>
      </x:c>
      <x:c r="H59" s="23" t="str">
        <x:v>chervil, mushroom, nectarine, olive</x:v>
      </x:c>
      <x:c r="I59" s="23" t="str">
        <x:v>explanation_regression_lead</x:v>
      </x:c>
      <x:c r="J59" s="23" t="str">
        <x:v>legacy_output_unverified</x:v>
      </x:c>
      <x:c r="K59" s="23" t="str"/>
      <x:c r="L59" s="23" t="str"/>
      <x:c r="M59" s="23" t="str"/>
    </x:row>
    <x:row r="60">
      <x:c r="A60" s="23" t="str">
        <x:v>LE-0059</x:v>
      </x:c>
      <x:c r="B60" s="23" t="str">
        <x:v>Ing Pairings- Venison.xlsx</x:v>
      </x:c>
      <x:c r="C60" s="23" t="str">
        <x:v>venison</x:v>
      </x:c>
      <x:c r="D60" s="23" t="str">
        <x:v>game meat (general)</x:v>
      </x:c>
      <x:c r="E60" s="23" t="str">
        <x:v>Vension + Strawberry</x:v>
      </x:c>
      <x:c r="F60" s="23" t="str">
        <x:v>butyric acid</x:v>
      </x:c>
      <x:c r="G60" s="23" t="str">
        <x:v>butter, cheese, rancid, sour, sweat</x:v>
      </x:c>
      <x:c r="H60" s="23" t="str">
        <x:v>apple, butter, coffee, sour cherry</x:v>
      </x:c>
      <x:c r="I60" s="23" t="str">
        <x:v>explanation_regression_lead</x:v>
      </x:c>
      <x:c r="J60" s="23" t="str">
        <x:v>legacy_output_unverified</x:v>
      </x:c>
      <x:c r="K60" s="23" t="str"/>
      <x:c r="L60" s="23" t="str"/>
      <x:c r="M60" s="23" t="str"/>
    </x:row>
  </x:sheetData>
  <x:pageMargins left="0.7" right="0.7" top="0.75" bottom="0.75" header="0.3" footer="0.3"/>
  <x:tableParts count="1">
    <x:tablePart xmlns:r="http://schemas.openxmlformats.org/officeDocument/2006/relationships" r:id="Rf58e141d38204f2e"/>
  </x:tableParts>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0" hidden="0" customWidth="1"/>
    <x:col min="5" max="5" width="18" hidden="0" customWidth="1"/>
    <x:col min="6" max="6" width="52" hidden="0" customWidth="1"/>
    <x:col min="7" max="7" width="58" hidden="0" customWidth="1"/>
    <x:col min="8" max="8" width="62" hidden="0" customWidth="1"/>
    <x:col min="9" max="9" width="18" hidden="0" customWidth="1"/>
    <x:col min="10" max="10" width="18" hidden="0" customWidth="1"/>
    <x:col min="11" max="11" width="24" hidden="0" customWidth="1"/>
    <x:col min="12" max="12" width="40" hidden="0" customWidth="1"/>
  </x:cols>
  <x:sheetData>
    <x:row r="1">
      <x:c r="A1" s="22" t="str">
        <x:v>queue_id</x:v>
      </x:c>
      <x:c r="B1" s="22" t="str">
        <x:v>priority_order</x:v>
      </x:c>
      <x:c r="C1" s="22" t="str">
        <x:v>protein_raw</x:v>
      </x:c>
      <x:c r="D1" s="22" t="str">
        <x:v>family_id_raw</x:v>
      </x:c>
      <x:c r="E1" s="22" t="str">
        <x:v>preparation_raw</x:v>
      </x:c>
      <x:c r="F1" s="22" t="str">
        <x:v>why_it_matters_raw</x:v>
      </x:c>
      <x:c r="G1" s="22" t="str">
        <x:v>legacy_seed</x:v>
      </x:c>
      <x:c r="H1" s="22" t="str">
        <x:v>recommended_first_action</x:v>
      </x:c>
      <x:c r="I1" s="22" t="str">
        <x:v>status</x:v>
      </x:c>
      <x:c r="J1" s="22" t="str">
        <x:v>researcher</x:v>
      </x:c>
      <x:c r="K1" s="22" t="str">
        <x:v>source_found</x:v>
      </x:c>
      <x:c r="L1" s="22" t="str">
        <x:v>notes</x:v>
      </x:c>
    </x:row>
    <x:row r="2">
      <x:c r="A2" s="23" t="str">
        <x:v>RQ-001</x:v>
      </x:c>
      <x:c r="B2" s="23" t="n">
        <x:v>1</x:v>
      </x:c>
      <x:c r="C2" s="23" t="str">
        <x:v>chicken</x:v>
      </x:c>
      <x:c r="D2" s="23" t="str">
        <x:v>family:poultry</x:v>
      </x:c>
      <x:c r="E2" s="23" t="str">
        <x:v>raw</x:v>
      </x:c>
      <x:c r="F2" s="23" t="str">
        <x:v>The single most-used protein in professional kitchens. Absent entirely.</x:v>
      </x:c>
      <x:c r="G2" s="23" t="str">
        <x:v>Pairings- Poultry.xlsx (generic poultry compounds); Ing Pairings- Poultry.xlsx (behavioral/member pairing leads); Chicken + Banana example provides member-level compound leads</x:v>
      </x:c>
      <x:c r="H2" s="23" t="str">
        <x:v>verify member + preparation; do not inherit generic poultry automatically</x:v>
      </x:c>
      <x:c r="I2" s="23" t="str">
        <x:v>verified_seed</x:v>
      </x:c>
      <x:c r="J2" s="23" t="str">
        <x:v>CulinAI</x:v>
      </x:c>
      <x:c r="K2" s="23" t="str">
        <x:v>yes</x:v>
      </x:c>
      <x:c r="L2" s="23" t="str">
        <x:v>Direct raw source SRC-CHICK-RAW-001; six above-threshold VOC seed.</x:v>
      </x:c>
    </x:row>
    <x:row r="3">
      <x:c r="A3" s="23" t="str">
        <x:v>RQ-002</x:v>
      </x:c>
      <x:c r="B3" s="23" t="n">
        <x:v>1</x:v>
      </x:c>
      <x:c r="C3" s="23" t="str">
        <x:v>chicken</x:v>
      </x:c>
      <x:c r="D3" s="23" t="str">
        <x:v>family:poultry</x:v>
      </x:c>
      <x:c r="E3" s="23" t="str">
        <x:v>roasted</x:v>
      </x:c>
      <x:c r="F3" s="23" t="str">
        <x:v>The single most-used protein in professional kitchens. Absent entirely.</x:v>
      </x:c>
      <x:c r="G3" s="23" t="str">
        <x:v>Pairings- Poultry.xlsx (generic poultry compounds); Ing Pairings- Poultry.xlsx (behavioral/member pairing leads); Chicken + Banana example provides member-level compound leads</x:v>
      </x:c>
      <x:c r="H3" s="23" t="str">
        <x:v>verify member + preparation; do not inherit generic poultry automatically</x:v>
      </x:c>
      <x:c r="I3" s="23" t="str">
        <x:v>verified_state_specific</x:v>
      </x:c>
      <x:c r="J3" s="23" t="str">
        <x:v>CulinAI</x:v>
      </x:c>
      <x:c r="K3" s="23" t="str">
        <x:v>yes</x:v>
      </x:c>
      <x:c r="L3" s="23" t="str">
        <x:v>Direct roasted source SRC-CHICK-ROAST-001; 10 shared critical compounds; recipe/spice context flagged.</x:v>
      </x:c>
    </x:row>
    <x:row r="4">
      <x:c r="A4" s="23" t="str">
        <x:v>RQ-003</x:v>
      </x:c>
      <x:c r="B4" s="23" t="n">
        <x:v>1</x:v>
      </x:c>
      <x:c r="C4" s="23" t="str">
        <x:v>chicken</x:v>
      </x:c>
      <x:c r="D4" s="23" t="str">
        <x:v>family:poultry</x:v>
      </x:c>
      <x:c r="E4" s="23" t="str">
        <x:v>poached</x:v>
      </x:c>
      <x:c r="F4" s="23" t="str">
        <x:v>The single most-used protein in professional kitchens. Absent entirely.</x:v>
      </x:c>
      <x:c r="G4" s="23" t="str">
        <x:v>Pairings- Poultry.xlsx (generic poultry compounds); Ing Pairings- Poultry.xlsx (behavioral/member pairing leads); Chicken + Banana example provides member-level compound leads</x:v>
      </x:c>
      <x:c r="H4" s="23" t="str">
        <x:v>verify member + preparation; do not inherit generic poultry automatically</x:v>
      </x:c>
      <x:c r="I4" s="23" t="str">
        <x:v>verified_thin</x:v>
      </x:c>
      <x:c r="J4" s="23" t="str">
        <x:v>CulinAI</x:v>
      </x:c>
      <x:c r="K4" s="23" t="str">
        <x:v>yes</x:v>
      </x:c>
      <x:c r="L4" s="23" t="str">
        <x:v>Direct poached source SRC-CHICK-POACH-001; three holding-sensitive markers only, not full profile.</x:v>
      </x:c>
    </x:row>
    <x:row r="5">
      <x:c r="A5" s="23" t="str">
        <x:v>RQ-004</x:v>
      </x:c>
      <x:c r="B5" s="23" t="n">
        <x:v>1</x:v>
      </x:c>
      <x:c r="C5" s="23" t="str">
        <x:v>chicken</x:v>
      </x:c>
      <x:c r="D5" s="23" t="str">
        <x:v>family:poultry</x:v>
      </x:c>
      <x:c r="E5" s="23" t="str">
        <x:v>fried</x:v>
      </x:c>
      <x:c r="F5" s="23" t="str">
        <x:v>The single most-used protein in professional kitchens. Absent entirely.</x:v>
      </x:c>
      <x:c r="G5" s="23" t="str">
        <x:v>Pairings- Poultry.xlsx (generic poultry compounds); Ing Pairings- Poultry.xlsx (behavioral/member pairing leads); Chicken + Banana example provides member-level compound leads</x:v>
      </x:c>
      <x:c r="H5" s="23" t="str">
        <x:v>verify member + preparation; do not inherit generic poultry automatically</x:v>
      </x:c>
      <x:c r="I5" s="23" t="str">
        <x:v>source_verified_profile_pending</x:v>
      </x:c>
      <x:c r="J5" s="23" t="str">
        <x:v>CulinAI</x:v>
      </x:c>
      <x:c r="K5" s="23" t="str">
        <x:v>yes</x:v>
      </x:c>
      <x:c r="L5" s="23" t="str">
        <x:v>Direct fried source SRC-CHICK-FRY-001 verifies 28 OAV-selected key compounds; exact compound table still needs extraction.</x:v>
      </x:c>
    </x:row>
    <x:row r="6">
      <x:c r="A6" s="23" t="str">
        <x:v>RQ-005</x:v>
      </x:c>
      <x:c r="B6" s="23" t="n">
        <x:v>1</x:v>
      </x:c>
      <x:c r="C6" s="23" t="str">
        <x:v>chicken</x:v>
      </x:c>
      <x:c r="D6" s="23" t="str">
        <x:v>family:poultry</x:v>
      </x:c>
      <x:c r="E6" s="23" t="str">
        <x:v>grilled</x:v>
      </x:c>
      <x:c r="F6" s="23" t="str">
        <x:v>The single most-used protein in professional kitchens. Absent entirely.</x:v>
      </x:c>
      <x:c r="G6" s="23" t="str">
        <x:v>Pairings- Poultry.xlsx (generic poultry compounds); Ing Pairings- Poultry.xlsx (behavioral/member pairing leads); Chicken + Banana example provides member-level compound leads</x:v>
      </x:c>
      <x:c r="H6" s="23" t="str">
        <x:v>verify member + preparation; do not inherit generic poultry automatically</x:v>
      </x:c>
      <x:c r="I6" s="23" t="str">
        <x:v>source_verified_profile_pending</x:v>
      </x:c>
      <x:c r="J6" s="23" t="str">
        <x:v>CulinAI</x:v>
      </x:c>
      <x:c r="K6" s="23" t="str">
        <x:v>yes</x:v>
      </x:c>
      <x:c r="L6" s="23" t="str">
        <x:v>Direct grilled source SRC-CHICK-GRILL-001 verifies volatile behavior but accessible source is not compound-resolved.</x:v>
      </x:c>
    </x:row>
    <x:row r="7">
      <x:c r="A7" s="23" t="str">
        <x:v>RQ-006</x:v>
      </x:c>
      <x:c r="B7" s="23" t="n">
        <x:v>2</x:v>
      </x:c>
      <x:c r="C7" s="23" t="str">
        <x:v>duck</x:v>
      </x:c>
      <x:c r="D7" s="23" t="str">
        <x:v>family:poultry</x:v>
      </x:c>
      <x:c r="E7" s="23" t="str">
        <x:v>raw</x:v>
      </x:c>
      <x:c r="F7" s="23" t="str">
        <x:v>Your worked example. Confit vs seared is the clearest Form-lens demonstration in the product.</x:v>
      </x:c>
      <x:c r="G7" s="23" t="str">
        <x:v>Pairings- Poultry.xlsx (generic poultry compounds); Ing Pairings- Poultry.xlsx (behavioral/member pairing leads); Duck + Dill example provides member-level compound leads</x:v>
      </x:c>
      <x:c r="H7" s="23" t="str">
        <x:v>verify member + preparation; do not inherit generic poultry automatically</x:v>
      </x:c>
      <x:c r="I7" s="23" t="str">
        <x:v>verified_seed</x:v>
      </x:c>
      <x:c r="J7" s="23" t="str">
        <x:v>CulinAI</x:v>
      </x:c>
      <x:c r="K7" s="23" t="str">
        <x:v>yes</x:v>
      </x:c>
      <x:c r="L7" s="23" t="str">
        <x:v>Direct raw duck source: SRC-DUCK-RAW-001.</x:v>
      </x:c>
    </x:row>
    <x:row r="8">
      <x:c r="A8" s="23" t="str">
        <x:v>RQ-007</x:v>
      </x:c>
      <x:c r="B8" s="23" t="n">
        <x:v>2</x:v>
      </x:c>
      <x:c r="C8" s="23" t="str">
        <x:v>duck</x:v>
      </x:c>
      <x:c r="D8" s="23" t="str">
        <x:v>family:poultry</x:v>
      </x:c>
      <x:c r="E8" s="23" t="str">
        <x:v>roasted</x:v>
      </x:c>
      <x:c r="F8" s="23" t="str">
        <x:v>Your worked example. Confit vs seared is the clearest Form-lens demonstration in the product.</x:v>
      </x:c>
      <x:c r="G8" s="23" t="str">
        <x:v>Pairings- Poultry.xlsx (generic poultry compounds); Ing Pairings- Poultry.xlsx (behavioral/member pairing leads); Duck + Dill example provides member-level compound leads</x:v>
      </x:c>
      <x:c r="H8" s="23" t="str">
        <x:v>verify member + preparation; do not inherit generic poultry automatically</x:v>
      </x:c>
      <x:c r="I8" s="23" t="str">
        <x:v>verified_seed</x:v>
      </x:c>
      <x:c r="J8" s="23" t="str">
        <x:v>CulinAI</x:v>
      </x:c>
      <x:c r="K8" s="23" t="str">
        <x:v>yes</x:v>
      </x:c>
      <x:c r="L8" s="23" t="str">
        <x:v>Direct roasted duck source: SRC-DUCK-ROAST-001. Also source state for EQ-DUCK-001.</x:v>
      </x:c>
    </x:row>
    <x:row r="9">
      <x:c r="A9" s="23" t="str">
        <x:v>RQ-008</x:v>
      </x:c>
      <x:c r="B9" s="23" t="n">
        <x:v>2</x:v>
      </x:c>
      <x:c r="C9" s="23" t="str">
        <x:v>duck</x:v>
      </x:c>
      <x:c r="D9" s="23" t="str">
        <x:v>family:poultry</x:v>
      </x:c>
      <x:c r="E9" s="23" t="str">
        <x:v>confit</x:v>
      </x:c>
      <x:c r="F9" s="23" t="str">
        <x:v>Your worked example. Confit vs seared is the clearest Form-lens demonstration in the product.</x:v>
      </x:c>
      <x:c r="G9" s="23" t="str">
        <x:v>Pairings- Poultry.xlsx (generic poultry compounds); Ing Pairings- Poultry.xlsx (behavioral/member pairing leads); Duck + Dill example provides member-level compound leads</x:v>
      </x:c>
      <x:c r="H9" s="23" t="str">
        <x:v>verify member + preparation; do not inherit generic poultry automatically</x:v>
      </x:c>
      <x:c r="I9" s="23" t="str">
        <x:v>founder_equivalence</x:v>
      </x:c>
      <x:c r="J9" s="23" t="str">
        <x:v>CulinAI</x:v>
      </x:c>
      <x:c r="K9" s="23" t="str">
        <x:v>yes</x:v>
      </x:c>
      <x:c r="L9" s="23" t="str">
        <x:v>Uses EQ-DUCK-002: confit inherits cooked profile from SRC-DUCK-COOK-001; aromatics/cooking medium modeled separately.</x:v>
      </x:c>
    </x:row>
    <x:row r="10">
      <x:c r="A10" s="23" t="str">
        <x:v>RQ-009</x:v>
      </x:c>
      <x:c r="B10" s="23" t="n">
        <x:v>2</x:v>
      </x:c>
      <x:c r="C10" s="23" t="str">
        <x:v>duck</x:v>
      </x:c>
      <x:c r="D10" s="23" t="str">
        <x:v>family:poultry</x:v>
      </x:c>
      <x:c r="E10" s="23" t="str">
        <x:v>seared</x:v>
      </x:c>
      <x:c r="F10" s="23" t="str">
        <x:v>Your worked example. Confit vs seared is the clearest Form-lens demonstration in the product.</x:v>
      </x:c>
      <x:c r="G10" s="23" t="str">
        <x:v>Pairings- Poultry.xlsx (generic poultry compounds); Ing Pairings- Poultry.xlsx (behavioral/member pairing leads); Duck + Dill example provides member-level compound leads</x:v>
      </x:c>
      <x:c r="H10" s="23" t="str">
        <x:v>verify member + preparation; do not inherit generic poultry automatically</x:v>
      </x:c>
      <x:c r="I10" s="23" t="str">
        <x:v>founder_equivalence</x:v>
      </x:c>
      <x:c r="J10" s="23" t="str">
        <x:v>CulinAI</x:v>
      </x:c>
      <x:c r="K10" s="23" t="str">
        <x:v>yes</x:v>
      </x:c>
      <x:c r="L10" s="23" t="str">
        <x:v>Uses EQ-DUCK-001: seared inherits roasted profile from SRC-DUCK-ROAST-001.</x:v>
      </x:c>
    </x:row>
    <x:row r="11">
      <x:c r="A11" s="23" t="str">
        <x:v>RQ-010</x:v>
      </x:c>
      <x:c r="B11" s="23" t="n">
        <x:v>2</x:v>
      </x:c>
      <x:c r="C11" s="23" t="str">
        <x:v>duck</x:v>
      </x:c>
      <x:c r="D11" s="23" t="str">
        <x:v>family:poultry</x:v>
      </x:c>
      <x:c r="E11" s="23" t="str">
        <x:v>smoked</x:v>
      </x:c>
      <x:c r="F11" s="23" t="str">
        <x:v>Your worked example. Confit vs seared is the clearest Form-lens demonstration in the product.</x:v>
      </x:c>
      <x:c r="G11" s="23" t="str">
        <x:v>Pairings- Poultry.xlsx (generic poultry compounds); Ing Pairings- Poultry.xlsx (behavioral/member pairing leads); Duck + Dill example provides member-level compound leads</x:v>
      </x:c>
      <x:c r="H11" s="23" t="str">
        <x:v>verify member + preparation; do not inherit generic poultry automatically</x:v>
      </x:c>
      <x:c r="I11" s="23" t="str">
        <x:v>verified_seed</x:v>
      </x:c>
      <x:c r="J11" s="23" t="str">
        <x:v>CulinAI</x:v>
      </x:c>
      <x:c r="K11" s="23" t="str">
        <x:v>yes</x:v>
      </x:c>
      <x:c r="L11" s="23" t="str">
        <x:v>Direct smoked duck source: SRC-DUCK-SMOKE-001.</x:v>
      </x:c>
    </x:row>
    <x:row r="12">
      <x:c r="A12" s="23" t="str">
        <x:v>RQ-011</x:v>
      </x:c>
      <x:c r="B12" s="23" t="n">
        <x:v>3</x:v>
      </x:c>
      <x:c r="C12" s="23" t="str">
        <x:v>beef</x:v>
      </x:c>
      <x:c r="D12" s="23" t="str">
        <x:v>family:beef</x:v>
      </x:c>
      <x:c r="E12" s="23" t="str">
        <x:v>raw</x:v>
      </x:c>
      <x:c r="F12" s="23" t="str">
        <x:v>Absent entirely despite lamb and pork being present.</x:v>
      </x:c>
      <x:c r="G12" s="23" t="str">
        <x:v>Pairings- Beef.xlsx + Ing Pairings- Beef.xlsx</x:v>
      </x:c>
      <x:c r="H12" s="23" t="str">
        <x:v>reconcile legacy beef compounds, then state-resolve by preparation</x:v>
      </x:c>
      <x:c r="I12" s="23" t="str">
        <x:v>verified_seed_strong</x:v>
      </x:c>
      <x:c r="J12" s="23" t="str">
        <x:v>CulinAI</x:v>
      </x:c>
      <x:c r="K12" s="23" t="str">
        <x:v>yes</x:v>
      </x:c>
      <x:c r="L12" s="23" t="str">
        <x:v>Raw OAV baseline + independent marbling OAV layer governed. Remaining raw breed/feed work is enrichment.</x:v>
      </x:c>
    </x:row>
    <x:row r="13">
      <x:c r="A13" s="23" t="str">
        <x:v>RQ-012</x:v>
      </x:c>
      <x:c r="B13" s="23" t="n">
        <x:v>3</x:v>
      </x:c>
      <x:c r="C13" s="23" t="str">
        <x:v>beef</x:v>
      </x:c>
      <x:c r="D13" s="23" t="str">
        <x:v>family:beef</x:v>
      </x:c>
      <x:c r="E13" s="23" t="str">
        <x:v>grilled</x:v>
      </x:c>
      <x:c r="F13" s="23" t="str">
        <x:v>Absent entirely despite lamb and pork being present.</x:v>
      </x:c>
      <x:c r="G13" s="23" t="str">
        <x:v>Pairings- Beef.xlsx + Ing Pairings- Beef.xlsx</x:v>
      </x:c>
      <x:c r="H13" s="23" t="str">
        <x:v>reconcile legacy beef compounds, then state-resolve by preparation</x:v>
      </x:c>
      <x:c r="I13" s="23" t="str">
        <x:v>verified_strong</x:v>
      </x:c>
      <x:c r="J13" s="23" t="str">
        <x:v>CulinAI</x:v>
      </x:c>
      <x:c r="K13" s="23" t="str">
        <x:v>yes</x:v>
      </x:c>
      <x:c r="L13" s="23" t="str">
        <x:v>Fresh grill doneness series + GC-O grilled odorants + IMF/grade weighting governed. No roast inheritance required.</x:v>
      </x:c>
    </x:row>
    <x:row r="14">
      <x:c r="A14" s="23" t="str">
        <x:v>RQ-013</x:v>
      </x:c>
      <x:c r="B14" s="23" t="n">
        <x:v>3</x:v>
      </x:c>
      <x:c r="C14" s="23" t="str">
        <x:v>beef</x:v>
      </x:c>
      <x:c r="D14" s="23" t="str">
        <x:v>family:beef</x:v>
      </x:c>
      <x:c r="E14" s="23" t="str">
        <x:v>roasted</x:v>
      </x:c>
      <x:c r="F14" s="23" t="str">
        <x:v>Absent entirely despite lamb and pork being present.</x:v>
      </x:c>
      <x:c r="G14" s="23" t="str">
        <x:v>Pairings- Beef.xlsx + Ing Pairings- Beef.xlsx</x:v>
      </x:c>
      <x:c r="H14" s="23" t="str">
        <x:v>reconcile legacy beef compounds, then state-resolve by preparation</x:v>
      </x:c>
      <x:c r="I14" s="23" t="str">
        <x:v>verified_strong</x:v>
      </x:c>
      <x:c r="J14" s="23" t="str">
        <x:v>CulinAI</x:v>
      </x:c>
      <x:c r="K14" s="23" t="str">
        <x:v>yes</x:v>
      </x:c>
      <x:c r="L14" s="23" t="str">
        <x:v>Raw-to-roast OAV time course plus lipidomics mechanism and cross-technique high-heat validation. Additional roast sensomics is enrichment.</x:v>
      </x:c>
    </x:row>
    <x:row r="15">
      <x:c r="A15" s="23" t="str">
        <x:v>RQ-014</x:v>
      </x:c>
      <x:c r="B15" s="23" t="n">
        <x:v>3</x:v>
      </x:c>
      <x:c r="C15" s="23" t="str">
        <x:v>beef</x:v>
      </x:c>
      <x:c r="D15" s="23" t="str">
        <x:v>family:beef</x:v>
      </x:c>
      <x:c r="E15" s="23" t="str">
        <x:v>braised</x:v>
      </x:c>
      <x:c r="F15" s="23" t="str">
        <x:v>Absent entirely despite lamb and pork being present.</x:v>
      </x:c>
      <x:c r="G15" s="23" t="str">
        <x:v>Pairings- Beef.xlsx + Ing Pairings- Beef.xlsx</x:v>
      </x:c>
      <x:c r="H15" s="23" t="str">
        <x:v>reconcile legacy beef compounds, then state-resolve by preparation</x:v>
      </x:c>
      <x:c r="I15" s="23" t="str">
        <x:v>verified_strong_current_phase</x:v>
      </x:c>
      <x:c r="J15" s="23" t="str">
        <x:v>CulinAI</x:v>
      </x:c>
      <x:c r="K15" s="23" t="str">
        <x:v>yes</x:v>
      </x:c>
      <x:c r="L15" s="23" t="str">
        <x:v>Clean water+salt stewed chuck GC-O/AEDA baseline governed; no added-aromatic confound. Additional braise geometries are enrichment.</x:v>
      </x:c>
    </x:row>
    <x:row r="16">
      <x:c r="A16" s="23" t="str">
        <x:v>RQ-015</x:v>
      </x:c>
      <x:c r="B16" s="23" t="n">
        <x:v>3</x:v>
      </x:c>
      <x:c r="C16" s="23" t="str">
        <x:v>beef</x:v>
      </x:c>
      <x:c r="D16" s="23" t="str">
        <x:v>family:beef</x:v>
      </x:c>
      <x:c r="E16" s="23" t="str">
        <x:v>dry-aged</x:v>
      </x:c>
      <x:c r="F16" s="23" t="str">
        <x:v>Absent entirely despite lamb and pork being present.</x:v>
      </x:c>
      <x:c r="G16" s="23" t="str">
        <x:v>Pairings- Beef.xlsx + Ing Pairings- Beef.xlsx</x:v>
      </x:c>
      <x:c r="H16" s="23" t="str">
        <x:v>reconcile legacy beef compounds, then state-resolve by preparation</x:v>
      </x:c>
      <x:c r="I16" s="23" t="str">
        <x:v>verified_strong_current_phase</x:v>
      </x:c>
      <x:c r="J16" s="23" t="str">
        <x:v>CulinAI</x:v>
      </x:c>
      <x:c r="K16" s="23" t="str">
        <x:v>yes</x:v>
      </x:c>
      <x:c r="L16" s="23" t="str">
        <x:v>Matched dry/wet 28-day quantitative deltas + grilled dry/wet GC-O/sensory consequence governed. Dry aging is no longer an architecture blocker.</x:v>
      </x:c>
    </x:row>
    <x:row r="17">
      <x:c r="A17" s="23" t="str">
        <x:v>RQ-016</x:v>
      </x:c>
      <x:c r="B17" s="23" t="n">
        <x:v>4</x:v>
      </x:c>
      <x:c r="C17" s="23" t="str">
        <x:v>turkey</x:v>
      </x:c>
      <x:c r="D17" s="23" t="str">
        <x:v>family:poultry</x:v>
      </x:c>
      <x:c r="E17" s="23" t="str">
        <x:v>raw</x:v>
      </x:c>
      <x:c r="F17" s="23" t="str">
        <x:v>Completes the poultry family.</x:v>
      </x:c>
      <x:c r="G17" s="23" t="str">
        <x:v>Pairings- Poultry.xlsx (generic poultry compounds); Ing Pairings- Poultry.xlsx (behavioral/member pairing leads); 2 compounds explicitly marked 'in turkey, not chicken'</x:v>
      </x:c>
      <x:c r="H17" s="23" t="str">
        <x:v>verify member + preparation; do not inherit generic poultry automatically</x:v>
      </x:c>
      <x:c r="I17" s="23" t="str">
        <x:v>verified_seed</x:v>
      </x:c>
      <x:c r="J17" s="23" t="str">
        <x:v>CulinAI</x:v>
      </x:c>
      <x:c r="K17" s="23" t="str">
        <x:v>yes</x:v>
      </x:c>
      <x:c r="L17" s="23" t="str">
        <x:v>Direct raw turkey source SRC-TURKEY-RAW-001; 9 measured/source-OAV-inferred odor-active compounds. Triggers FV-POULTRY-001.</x:v>
      </x:c>
    </x:row>
    <x:row r="18">
      <x:c r="A18" s="23" t="str">
        <x:v>RQ-017</x:v>
      </x:c>
      <x:c r="B18" s="23" t="n">
        <x:v>4</x:v>
      </x:c>
      <x:c r="C18" s="23" t="str">
        <x:v>turkey</x:v>
      </x:c>
      <x:c r="D18" s="23" t="str">
        <x:v>family:poultry</x:v>
      </x:c>
      <x:c r="E18" s="23" t="str">
        <x:v>roasted</x:v>
      </x:c>
      <x:c r="F18" s="23" t="str">
        <x:v>Completes the poultry family.</x:v>
      </x:c>
      <x:c r="G18" s="23" t="str">
        <x:v>Pairings- Poultry.xlsx (generic poultry compounds); Ing Pairings- Poultry.xlsx (behavioral/member pairing leads); 2 compounds explicitly marked 'in turkey, not chicken'</x:v>
      </x:c>
      <x:c r="H18" s="23" t="str">
        <x:v>verify member + preparation; do not inherit generic poultry automatically</x:v>
      </x:c>
      <x:c r="I18" s="23" t="str">
        <x:v>founder_review_pending</x:v>
      </x:c>
      <x:c r="J18" s="23" t="str">
        <x:v>CulinAI</x:v>
      </x:c>
      <x:c r="K18" s="23" t="str">
        <x:v>partial</x:v>
      </x:c>
      <x:c r="L18" s="23" t="str">
        <x:v>No clean intrinsic roast profile found. Cooked species-signature evidence exists; temporary roast model proposed in FV-POULTRY-005.</x:v>
      </x:c>
    </x:row>
    <x:row r="19">
      <x:c r="A19" s="23" t="str">
        <x:v>RQ-018</x:v>
      </x:c>
      <x:c r="B19" s="23" t="n">
        <x:v>4</x:v>
      </x:c>
      <x:c r="C19" s="23" t="str">
        <x:v>turkey</x:v>
      </x:c>
      <x:c r="D19" s="23" t="str">
        <x:v>family:poultry</x:v>
      </x:c>
      <x:c r="E19" s="23" t="str">
        <x:v>smoked</x:v>
      </x:c>
      <x:c r="F19" s="23" t="str">
        <x:v>Completes the poultry family.</x:v>
      </x:c>
      <x:c r="G19" s="23" t="str">
        <x:v>Pairings- Poultry.xlsx (generic poultry compounds); Ing Pairings- Poultry.xlsx (behavioral/member pairing leads); 2 compounds explicitly marked 'in turkey, not chicken'</x:v>
      </x:c>
      <x:c r="H19" s="23" t="str">
        <x:v>verify member + preparation; do not inherit generic poultry automatically</x:v>
      </x:c>
      <x:c r="I19" s="23" t="str">
        <x:v>source_gap</x:v>
      </x:c>
      <x:c r="J19" s="23" t="str">
        <x:v>CulinAI</x:v>
      </x:c>
      <x:c r="K19" s="23" t="str">
        <x:v>no</x:v>
      </x:c>
      <x:c r="L19" s="23" t="str">
        <x:v>No qualifying compound-resolved smoked-turkey source found. Smoke-overlay hypothesis parked in FV-POULTRY-006.</x:v>
      </x:c>
    </x:row>
    <x:row r="20">
      <x:c r="A20" s="23" t="str">
        <x:v>RQ-019</x:v>
      </x:c>
      <x:c r="B20" s="23" t="n">
        <x:v>5</x:v>
      </x:c>
      <x:c r="C20" s="23" t="str">
        <x:v>veal</x:v>
      </x:c>
      <x:c r="D20" s="23" t="str">
        <x:v>family:beef</x:v>
      </x:c>
      <x:c r="E20" s="23" t="str">
        <x:v>raw</x:v>
      </x:c>
      <x:c r="F20" s="23" t="str">
        <x:v>Distinct enough from beef to matter; often paired differently.</x:v>
      </x:c>
      <x:c r="G20" s="23" t="str">
        <x:v>Pairings- Beef.xlsx only as a family-adjacent lead</x:v>
      </x:c>
      <x:c r="H20" s="23" t="str">
        <x:v>research veal independently; do not inherit beef profile</x:v>
      </x:c>
      <x:c r="I20" s="23" t="str">
        <x:v>hold_pending_beef_ingestion</x:v>
      </x:c>
      <x:c r="J20" s="23" t="str">
        <x:v>CulinAI</x:v>
      </x:c>
      <x:c r="K20" s="23" t="str">
        <x:v>no</x:v>
      </x:c>
      <x:c r="L20" s="23" t="str">
        <x:v>Priority-0/Step-2 gate: do not collect new literature until the beef ingestion/scoring run determines whether current governed profile depth is usable or requires an MR-10 normalization pass.</x:v>
      </x:c>
    </x:row>
    <x:row r="21">
      <x:c r="A21" s="23" t="str">
        <x:v>RQ-020</x:v>
      </x:c>
      <x:c r="B21" s="23" t="n">
        <x:v>5</x:v>
      </x:c>
      <x:c r="C21" s="23" t="str">
        <x:v>veal</x:v>
      </x:c>
      <x:c r="D21" s="23" t="str">
        <x:v>family:beef</x:v>
      </x:c>
      <x:c r="E21" s="23" t="str">
        <x:v>roasted</x:v>
      </x:c>
      <x:c r="F21" s="23" t="str">
        <x:v>Distinct enough from beef to matter; often paired differently.</x:v>
      </x:c>
      <x:c r="G21" s="23" t="str">
        <x:v>Pairings- Beef.xlsx only as a family-adjacent lead</x:v>
      </x:c>
      <x:c r="H21" s="23" t="str">
        <x:v>research veal independently; do not inherit beef profile</x:v>
      </x:c>
      <x:c r="I21" s="23" t="str">
        <x:v>hold_pending_beef_ingestion</x:v>
      </x:c>
      <x:c r="J21" s="23" t="str">
        <x:v>CulinAI</x:v>
      </x:c>
      <x:c r="K21" s="23" t="str">
        <x:v>no</x:v>
      </x:c>
      <x:c r="L21" s="23" t="str">
        <x:v>Priority-0/Step-2 gate: do not collect new literature until the beef ingestion/scoring run determines whether current governed profile depth is usable or requires an MR-10 normalization pass.</x:v>
      </x:c>
    </x:row>
    <x:row r="22">
      <x:c r="A22" s="23" t="str">
        <x:v>RQ-021</x:v>
      </x:c>
      <x:c r="B22" s="23" t="n">
        <x:v>5</x:v>
      </x:c>
      <x:c r="C22" s="23" t="str">
        <x:v>veal</x:v>
      </x:c>
      <x:c r="D22" s="23" t="str">
        <x:v>family:beef</x:v>
      </x:c>
      <x:c r="E22" s="23" t="str">
        <x:v>braised</x:v>
      </x:c>
      <x:c r="F22" s="23" t="str">
        <x:v>Distinct enough from beef to matter; often paired differently.</x:v>
      </x:c>
      <x:c r="G22" s="23" t="str">
        <x:v>Pairings- Beef.xlsx only as a family-adjacent lead</x:v>
      </x:c>
      <x:c r="H22" s="23" t="str">
        <x:v>research veal independently; do not inherit beef profile</x:v>
      </x:c>
      <x:c r="I22" s="23" t="str">
        <x:v>hold_pending_beef_ingestion</x:v>
      </x:c>
      <x:c r="J22" s="23" t="str">
        <x:v>CulinAI</x:v>
      </x:c>
      <x:c r="K22" s="23" t="str">
        <x:v>no</x:v>
      </x:c>
      <x:c r="L22" s="23" t="str">
        <x:v>Priority-0/Step-2 gate: do not collect new literature until the beef ingestion/scoring run determines whether current governed profile depth is usable or requires an MR-10 normalization pass.</x:v>
      </x:c>
    </x:row>
    <x:row r="23">
      <x:c r="A23" s="23" t="str">
        <x:v>RQ-022</x:v>
      </x:c>
      <x:c r="B23" s="23" t="n">
        <x:v>6</x:v>
      </x:c>
      <x:c r="C23" s="23" t="str">
        <x:v>goose</x:v>
      </x:c>
      <x:c r="D23" s="23" t="str">
        <x:v>family:poultry</x:v>
      </x:c>
      <x:c r="E23" s="23" t="str">
        <x:v>raw</x:v>
      </x:c>
      <x:c r="F23" s="23" t="str">
        <x:v>Fat profile diverges from duck — useful contrast pair.</x:v>
      </x:c>
      <x:c r="G23" s="23" t="str">
        <x:v>Pairings- Poultry.xlsx (generic poultry compounds); Ing Pairings- Poultry.xlsx (behavioral/member pairing leads)</x:v>
      </x:c>
      <x:c r="H23" s="23" t="str">
        <x:v>verify member + preparation; do not inherit generic poultry automatically</x:v>
      </x:c>
      <x:c r="I23" s="23" t="str">
        <x:v>verified_thin</x:v>
      </x:c>
      <x:c r="J23" s="23" t="str">
        <x:v>CulinAI</x:v>
      </x:c>
      <x:c r="K23" s="23" t="str">
        <x:v>yes</x:v>
      </x:c>
      <x:c r="L23" s="23" t="str">
        <x:v>Direct raw sources SRC-GOOSE-RAW-001 and SRC-GOOSE-COOK-001. Profile intentionally thin; does not yet validate full poultry raw core.</x:v>
      </x:c>
    </x:row>
    <x:row r="24">
      <x:c r="A24" s="23" t="str">
        <x:v>RQ-023</x:v>
      </x:c>
      <x:c r="B24" s="23" t="n">
        <x:v>6</x:v>
      </x:c>
      <x:c r="C24" s="23" t="str">
        <x:v>goose</x:v>
      </x:c>
      <x:c r="D24" s="23" t="str">
        <x:v>family:poultry</x:v>
      </x:c>
      <x:c r="E24" s="23" t="str">
        <x:v>roasted</x:v>
      </x:c>
      <x:c r="F24" s="23" t="str">
        <x:v>Fat profile diverges from duck — useful contrast pair.</x:v>
      </x:c>
      <x:c r="G24" s="23" t="str">
        <x:v>Pairings- Poultry.xlsx (generic poultry compounds); Ing Pairings- Poultry.xlsx (behavioral/member pairing leads)</x:v>
      </x:c>
      <x:c r="H24" s="23" t="str">
        <x:v>verify member + preparation; do not inherit generic poultry automatically</x:v>
      </x:c>
      <x:c r="I24" s="23" t="str">
        <x:v>verified_strong</x:v>
      </x:c>
      <x:c r="J24" s="23" t="str">
        <x:v>CulinAI</x:v>
      </x:c>
      <x:c r="K24" s="23" t="str">
        <x:v>yes</x:v>
      </x:c>
      <x:c r="L24" s="23" t="str">
        <x:v>Direct roasted key-aroma source SRC-GOOSE-ROAST-001 plus cross-waterfowl comparison SRC-WATERFOWL-COMP-001.</x:v>
      </x:c>
    </x:row>
    <x:row r="25">
      <x:c r="A25" s="23" t="str">
        <x:v>RQ-024</x:v>
      </x:c>
      <x:c r="B25" s="23" t="n">
        <x:v>6</x:v>
      </x:c>
      <x:c r="C25" s="23" t="str">
        <x:v>goose</x:v>
      </x:c>
      <x:c r="D25" s="23" t="str">
        <x:v>family:poultry</x:v>
      </x:c>
      <x:c r="E25" s="23" t="str">
        <x:v>confit</x:v>
      </x:c>
      <x:c r="F25" s="23" t="str">
        <x:v>Fat profile diverges from duck — useful contrast pair.</x:v>
      </x:c>
      <x:c r="G25" s="23" t="str">
        <x:v>Pairings- Poultry.xlsx (generic poultry compounds); Ing Pairings- Poultry.xlsx (behavioral/member pairing leads)</x:v>
      </x:c>
      <x:c r="H25" s="23" t="str">
        <x:v>verify member + preparation; do not inherit generic poultry automatically</x:v>
      </x:c>
      <x:c r="I25" s="23" t="str">
        <x:v>founder_review_pending</x:v>
      </x:c>
      <x:c r="J25" s="23" t="str">
        <x:v>CulinAI</x:v>
      </x:c>
      <x:c r="K25" s="23" t="str">
        <x:v>partial</x:v>
      </x:c>
      <x:c r="L25" s="23" t="str">
        <x:v>No direct confit source. Candidate cooked-core + technique-overlay equivalence is FV-BIRD-006.</x:v>
      </x:c>
    </x:row>
    <x:row r="26">
      <x:c r="A26" s="23" t="str">
        <x:v>RQ-025</x:v>
      </x:c>
      <x:c r="B26" s="23" t="n">
        <x:v>7</x:v>
      </x:c>
      <x:c r="C26" s="23" t="str">
        <x:v>venison</x:v>
      </x:c>
      <x:c r="D26" s="23" t="str">
        <x:v>family:game</x:v>
      </x:c>
      <x:c r="E26" s="23" t="str">
        <x:v>raw</x:v>
      </x:c>
      <x:c r="F26" s="23" t="str">
        <x:v>Game flavour is largely compound-driven; good test of the lens.</x:v>
      </x:c>
      <x:c r="G26" s="23" t="str">
        <x:v>Pairings- Vension.xlsx + Ing Pairings- Venison.xlsx — representative general-game legacy pool only</x:v>
      </x:c>
      <x:c r="H26" s="23" t="str">
        <x:v>Use species-specific red-deer evidence only; general-game legacy remains a search seed.</x:v>
      </x:c>
      <x:c r="I26" s="23" t="str">
        <x:v>red_deer_raw_gap_species_scope_resolved_v26</x:v>
      </x:c>
      <x:c r="J26" s="23" t="str">
        <x:v>CulinAI</x:v>
      </x:c>
      <x:c r="K26" s="23" t="str">
        <x:v>partial</x:v>
      </x:c>
      <x:c r="L26" s="23" t="str">
        <x:v>No high-quality full raw-red-deer volatile table ingested in v26. Cooked red-deer 55-VOC source establishes species membership; raw state remains an explicit species-specific gap rather than inheriting generic game rows.</x:v>
      </x:c>
    </x:row>
    <x:row r="27">
      <x:c r="A27" s="23" t="str">
        <x:v>RQ-026</x:v>
      </x:c>
      <x:c r="B27" s="23" t="n">
        <x:v>7</x:v>
      </x:c>
      <x:c r="C27" s="23" t="str">
        <x:v>venison</x:v>
      </x:c>
      <x:c r="D27" s="23" t="str">
        <x:v>family:game</x:v>
      </x:c>
      <x:c r="E27" s="23" t="str">
        <x:v>roasted</x:v>
      </x:c>
      <x:c r="F27" s="23" t="str">
        <x:v>Game flavour is largely compound-driven; good test of the lens.</x:v>
      </x:c>
      <x:c r="G27" s="23" t="str">
        <x:v>Pairings- Vension.xlsx + Ing Pairings- Venison.xlsx — representative general-game legacy pool only</x:v>
      </x:c>
      <x:c r="H27" s="23" t="str">
        <x:v>Use SRC-GAME-DEER-COOK-001 as the cooked venison anchor; do not infer a generic roast profile from legacy data.</x:v>
      </x:c>
      <x:c r="I27" s="23" t="str">
        <x:v>red_deer_cooked_source_55_rows_acquisition_pending_v26</x:v>
      </x:c>
      <x:c r="J27" s="23" t="str">
        <x:v>CulinAI</x:v>
      </x:c>
      <x:c r="K27" s="23" t="str">
        <x:v>yes</x:v>
      </x:c>
      <x:c r="L27" s="23" t="str">
        <x:v>Wild Iberian red-deer cooked loin: 55 VOCs; aldehydes ~84%; key OIR compounds dimethyl trisulfide, (E,E)-2,4-decadienal, decanal and dodecanal. Full Table 1 row extraction remains acquisition-pending.</x:v>
      </x:c>
    </x:row>
    <x:row r="28">
      <x:c r="A28" s="23" t="str">
        <x:v>RQ-027</x:v>
      </x:c>
      <x:c r="B28" s="23" t="n">
        <x:v>7</x:v>
      </x:c>
      <x:c r="C28" s="23" t="str">
        <x:v>venison</x:v>
      </x:c>
      <x:c r="D28" s="23" t="str">
        <x:v>family:game</x:v>
      </x:c>
      <x:c r="E28" s="23" t="str">
        <x:v>braised</x:v>
      </x:c>
      <x:c r="F28" s="23" t="str">
        <x:v>Game flavour is largely compound-driven; good test of the lens.</x:v>
      </x:c>
      <x:c r="G28" s="23" t="str">
        <x:v>Pairings- Vension.xlsx + Ing Pairings- Venison.xlsx — representative general-game legacy pool only</x:v>
      </x:c>
      <x:c r="H28" s="23" t="str">
        <x:v>Use species-specific deer state source for stew/grill context; do not promote generic-game braise rows.</x:v>
      </x:c>
      <x:c r="I28" s="23" t="str">
        <x:v>red_deer_state_context_v26</x:v>
      </x:c>
      <x:c r="J28" s="23" t="str">
        <x:v>CulinAI</x:v>
      </x:c>
      <x:c r="K28" s="23" t="str">
        <x:v>yes</x:v>
      </x:c>
      <x:c r="L28" s="23" t="str">
        <x:v>SRC-GAME-DEER-STATE-001 directly compares stewed/grilled and minced/steak deer. It is a state/method source, not a full braised detected table.</x:v>
      </x:c>
    </x:row>
    <x:row r="29">
      <x:c r="A29" s="23" t="str">
        <x:v>RQ-028</x:v>
      </x:c>
      <x:c r="B29" s="23" t="n">
        <x:v>8</x:v>
      </x:c>
      <x:c r="C29" s="23" t="str">
        <x:v>rabbit</x:v>
      </x:c>
      <x:c r="D29" s="23" t="str">
        <x:v>family:game</x:v>
      </x:c>
      <x:c r="E29" s="23" t="str">
        <x:v>raw</x:v>
      </x:c>
      <x:c r="F29" s="23" t="str"/>
      <x:c r="G29" s="23" t="str">
        <x:v>Pairings- Vension.xlsx + Ing Pairings- Venison.xlsx — representative general-game legacy pool only</x:v>
      </x:c>
      <x:c r="H29" s="23" t="str">
        <x:v>Use direct raw-rabbit source and the full 63-row rabbit species anchor; no general-game inheritance.</x:v>
      </x:c>
      <x:c r="I29" s="23" t="str">
        <x:v>rabbit_raw_direct_source_140_supplement_pending_v26</x:v>
      </x:c>
      <x:c r="J29" s="23" t="str">
        <x:v>CulinAI</x:v>
      </x:c>
      <x:c r="K29" s="23" t="str">
        <x:v>yes</x:v>
      </x:c>
      <x:c r="L29" s="23" t="str">
        <x:v>Modern raw rabbit longissimus source reports 140 VOCs and 31 OAV≥1; Supplementary Table S3 remains row-acquisition pending. Full 63-row Hyla rabbit table independently establishes species chemistry.</x:v>
      </x:c>
    </x:row>
    <x:row r="30">
      <x:c r="A30" s="23" t="str">
        <x:v>RQ-029</x:v>
      </x:c>
      <x:c r="B30" s="23" t="n">
        <x:v>8</x:v>
      </x:c>
      <x:c r="C30" s="23" t="str">
        <x:v>rabbit</x:v>
      </x:c>
      <x:c r="D30" s="23" t="str">
        <x:v>family:game</x:v>
      </x:c>
      <x:c r="E30" s="23" t="str">
        <x:v>braised</x:v>
      </x:c>
      <x:c r="F30" s="23" t="str"/>
      <x:c r="G30" s="23" t="str">
        <x:v>Pairings- Vension.xlsx + Ing Pairings- Venison.xlsx — representative general-game legacy pool only</x:v>
      </x:c>
      <x:c r="H30" s="23" t="str">
        <x:v>Use rabbit state sources; braise remains approximated only at query/state-mechanism level unless a direct braise source is added.</x:v>
      </x:c>
      <x:c r="I30" s="23" t="str">
        <x:v>rabbit_cooked_species_anchor_v26</x:v>
      </x:c>
      <x:c r="J30" s="23" t="str">
        <x:v>CulinAI</x:v>
      </x:c>
      <x:c r="K30" s="23" t="str">
        <x:v>yes</x:v>
      </x:c>
      <x:c r="L30" s="23" t="str">
        <x:v>Full 63-row quantitative rabbit table is ingested under a 75°C SPME condition selected to simulate boiled aroma. A 2025 source adds 45 VOCs across boiled/roasted/fried states.</x:v>
      </x:c>
    </x:row>
    <x:row r="31">
      <x:c r="A31" s="23" t="str">
        <x:v>RQ-030</x:v>
      </x:c>
      <x:c r="B31" s="23" t="n">
        <x:v>8</x:v>
      </x:c>
      <x:c r="C31" s="23" t="str">
        <x:v>rabbit</x:v>
      </x:c>
      <x:c r="D31" s="23" t="str">
        <x:v>family:game</x:v>
      </x:c>
      <x:c r="E31" s="23" t="str">
        <x:v>roasted</x:v>
      </x:c>
      <x:c r="F31" s="23" t="str"/>
      <x:c r="G31" s="23" t="str">
        <x:v>Pairings- Vension.xlsx + Ing Pairings- Venison.xlsx — representative general-game legacy pool only</x:v>
      </x:c>
      <x:c r="H31" s="23" t="str">
        <x:v>Use the 2025 boiled/roasted/fried rabbit comparison for roast-state enrichment.</x:v>
      </x:c>
      <x:c r="I31" s="23" t="str">
        <x:v>rabbit_roast_direct_state_source_v26</x:v>
      </x:c>
      <x:c r="J31" s="23" t="str">
        <x:v>CulinAI</x:v>
      </x:c>
      <x:c r="K31" s="23" t="str">
        <x:v>yes</x:v>
      </x:c>
      <x:c r="L31" s="23" t="str">
        <x:v>SRC-GAME-RABBIT-COOK-001 directly covers roasting, boiling and frying with 45 VOCs; exact 45-row table remains source-count enrichment because the row table is not exposed.</x:v>
      </x:c>
    </x:row>
    <x:row r="32">
      <x:c r="A32" s="23" t="str">
        <x:v>RQ-031</x:v>
      </x:c>
      <x:c r="B32" s="23" t="n">
        <x:v>9</x:v>
      </x:c>
      <x:c r="C32" s="23" t="str">
        <x:v>squab / pigeon</x:v>
      </x:c>
      <x:c r="D32" s="23" t="str">
        <x:v>family:game_bird</x:v>
      </x:c>
      <x:c r="E32" s="23" t="str">
        <x:v>raw</x:v>
      </x:c>
      <x:c r="F32" s="23" t="str"/>
      <x:c r="G32" s="23" t="str">
        <x:v>Possible poultry legacy adjacency, but template taxonomy conflicts</x:v>
      </x:c>
      <x:c r="H32" s="23" t="str">
        <x:v>resolve poultry vs game_bird family before inheritance</x:v>
      </x:c>
      <x:c r="I32" s="23" t="str">
        <x:v>governed_precursor_reference</x:v>
      </x:c>
      <x:c r="J32" s="23" t="str">
        <x:v>CulinAI</x:v>
      </x:c>
      <x:c r="K32" s="23" t="str">
        <x:v>yes</x:v>
      </x:c>
      <x:c r="L32" s="23" t="str">
        <x:v>Five native meaty/fatty compounds source-attributed mainly to raw squab are now governed as precursor-origin evidence; direct raw profile still pending.</x:v>
      </x:c>
    </x:row>
    <x:row r="33">
      <x:c r="A33" s="23" t="str">
        <x:v>RQ-032</x:v>
      </x:c>
      <x:c r="B33" s="23" t="n">
        <x:v>9</x:v>
      </x:c>
      <x:c r="C33" s="23" t="str">
        <x:v>squab / pigeon</x:v>
      </x:c>
      <x:c r="D33" s="23" t="str">
        <x:v>family:game_bird</x:v>
      </x:c>
      <x:c r="E33" s="23" t="str">
        <x:v>roasted</x:v>
      </x:c>
      <x:c r="F33" s="23" t="str"/>
      <x:c r="G33" s="23" t="str">
        <x:v>Possible poultry legacy adjacency, but template taxonomy conflicts</x:v>
      </x:c>
      <x:c r="H33" s="23" t="str">
        <x:v>resolve poultry vs game_bird family before inheritance</x:v>
      </x:c>
      <x:c r="I33" s="23" t="str">
        <x:v>governed_thin_profile</x:v>
      </x:c>
      <x:c r="J33" s="23" t="str">
        <x:v>CulinAI</x:v>
      </x:c>
      <x:c r="K33" s="23" t="str">
        <x:v>yes</x:v>
      </x:c>
      <x:c r="L33" s="23" t="str">
        <x:v>Roasted pigeon: 18 GC-O/OAV key compounds verified, but only 5-methyl-2,3-diethylpyrazine explicitly named in accessible primary record; no invented completion.</x:v>
      </x:c>
    </x:row>
    <x:row r="34">
      <x:c r="A34" s="23" t="str">
        <x:v>RQ-033</x:v>
      </x:c>
      <x:c r="B34" s="23" t="n">
        <x:v>10</x:v>
      </x:c>
      <x:c r="C34" s="23" t="str">
        <x:v>quail</x:v>
      </x:c>
      <x:c r="D34" s="23" t="str">
        <x:v>family:game_bird</x:v>
      </x:c>
      <x:c r="E34" s="23" t="str">
        <x:v>raw</x:v>
      </x:c>
      <x:c r="F34" s="23" t="str"/>
      <x:c r="G34" s="23" t="str">
        <x:v>No direct legacy compound sheet</x:v>
      </x:c>
      <x:c r="H34" s="23" t="str">
        <x:v>research from scratch; do not infer from poultry/game</x:v>
      </x:c>
      <x:c r="I34" s="23" t="str">
        <x:v>source_verified_profile_pending</x:v>
      </x:c>
      <x:c r="J34" s="23" t="str">
        <x:v>CulinAI</x:v>
      </x:c>
      <x:c r="K34" s="23" t="str">
        <x:v>yes</x:v>
      </x:c>
      <x:c r="L34" s="23" t="str">
        <x:v>Modern quail source SRC-QUAIL-ROAST-002 includes a 0-min unroasted baseline with 31 VOCs; compound-resolved baseline names remain pending primary-table access.</x:v>
      </x:c>
    </x:row>
    <x:row r="35">
      <x:c r="A35" s="23" t="str">
        <x:v>RQ-034</x:v>
      </x:c>
      <x:c r="B35" s="23" t="n">
        <x:v>10</x:v>
      </x:c>
      <x:c r="C35" s="23" t="str">
        <x:v>quail</x:v>
      </x:c>
      <x:c r="D35" s="23" t="str">
        <x:v>family:game_bird</x:v>
      </x:c>
      <x:c r="E35" s="23" t="str">
        <x:v>roasted</x:v>
      </x:c>
      <x:c r="F35" s="23" t="str"/>
      <x:c r="G35" s="23" t="str">
        <x:v>No direct legacy compound sheet</x:v>
      </x:c>
      <x:c r="H35" s="23" t="str">
        <x:v>research from scratch; do not infer from poultry/game</x:v>
      </x:c>
      <x:c r="I35" s="23" t="str">
        <x:v>modern_cross_validated</x:v>
      </x:c>
      <x:c r="J35" s="23" t="str">
        <x:v>CulinAI</x:v>
      </x:c>
      <x:c r="K35" s="23" t="str">
        <x:v>yes</x:v>
      </x:c>
      <x:c r="L35" s="23" t="str">
        <x:v>Governed Table-17 roasted profile is independently strengthened by SRC-QUAIL-ROAST-002: 51 VOCs at 40 min and 19 OAV&gt;1 key odorants. Modern key-odorant identities remain intentionally unfilled until primary table extraction.</x:v>
      </x:c>
    </x:row>
    <x:row r="36">
      <x:c r="A36" s="23" t="str">
        <x:v>RQ-035</x:v>
      </x:c>
      <x:c r="B36" s="23" t="n">
        <x:v>10</x:v>
      </x:c>
      <x:c r="C36" s="23" t="str">
        <x:v>quail</x:v>
      </x:c>
      <x:c r="D36" s="23" t="str">
        <x:v>family:game_bird</x:v>
      </x:c>
      <x:c r="E36" s="23" t="str">
        <x:v>grilled</x:v>
      </x:c>
      <x:c r="F36" s="23" t="str"/>
      <x:c r="G36" s="23" t="str">
        <x:v>No direct legacy compound sheet</x:v>
      </x:c>
      <x:c r="H36" s="23" t="str">
        <x:v>research from scratch; do not infer from poultry/game</x:v>
      </x:c>
      <x:c r="I36" s="23" t="str">
        <x:v>hold_pending_beef_ingestion</x:v>
      </x:c>
      <x:c r="J36" s="23" t="str">
        <x:v>CulinAI</x:v>
      </x:c>
      <x:c r="K36" s="23" t="str">
        <x:v>no</x:v>
      </x:c>
      <x:c r="L36" s="23" t="str">
        <x:v>Priority-0/Step-2 gate: do not collect new literature until the beef ingestion/scoring run determines whether current governed profile depth is usable or requires an MR-10 normalization pass.</x:v>
      </x:c>
    </x:row>
    <x:row r="37">
      <x:c r="A37" s="23" t="str">
        <x:v>RQ-036</x:v>
      </x:c>
      <x:c r="B37" s="23" t="n">
        <x:v>11</x:v>
      </x:c>
      <x:c r="C37" s="23" t="str">
        <x:v>butter</x:v>
      </x:c>
      <x:c r="D37" s="23" t="str">
        <x:v>family:dairy</x:v>
      </x:c>
      <x:c r="E37" s="23" t="str">
        <x:v>fresh</x:v>
      </x:c>
      <x:c r="F37" s="23" t="str">
        <x:v>Dairy has 2 products total. Browned butter is a Maillard case with obvious pairing value.</x:v>
      </x:c>
      <x:c r="G37" s="23" t="str">
        <x:v>No direct legacy compound seed identified</x:v>
      </x:c>
      <x:c r="H37" s="23" t="str">
        <x:v>research from source literature</x:v>
      </x:c>
      <x:c r="I37" s="23" t="str">
        <x:v>governed_full_table_v20</x:v>
      </x:c>
      <x:c r="J37" s="23" t="str">
        <x:v>CulinAI</x:v>
      </x:c>
      <x:c r="K37" s="23" t="str">
        <x:v>yes</x:v>
      </x:c>
      <x:c r="L37" s="23" t="str">
        <x:v>Sweet-cream butter governed by full 33-row GC-MS table; cultured-butter comparison in same source.</x:v>
      </x:c>
    </x:row>
    <x:row r="38">
      <x:c r="A38" s="23" t="str">
        <x:v>RQ-037</x:v>
      </x:c>
      <x:c r="B38" s="23" t="n">
        <x:v>11</x:v>
      </x:c>
      <x:c r="C38" s="23" t="str">
        <x:v>butter</x:v>
      </x:c>
      <x:c r="D38" s="23" t="str">
        <x:v>family:dairy</x:v>
      </x:c>
      <x:c r="E38" s="23" t="str">
        <x:v>cultured</x:v>
      </x:c>
      <x:c r="F38" s="23" t="str">
        <x:v>Dairy has 2 products total. Browned butter is a Maillard case with obvious pairing value.</x:v>
      </x:c>
      <x:c r="G38" s="23" t="str">
        <x:v>No direct legacy compound seed identified</x:v>
      </x:c>
      <x:c r="H38" s="23" t="str">
        <x:v>research from source literature</x:v>
      </x:c>
      <x:c r="I38" s="23" t="str">
        <x:v>governed_full_table_v20</x:v>
      </x:c>
      <x:c r="J38" s="23" t="str">
        <x:v>CulinAI</x:v>
      </x:c>
      <x:c r="K38" s="23" t="str">
        <x:v>yes</x:v>
      </x:c>
      <x:c r="L38" s="23" t="str">
        <x:v>Cultured butter governed in same 33-row commercial butter table; fermentation-specific lactone and acid/ketone weighting retained.</x:v>
      </x:c>
    </x:row>
    <x:row r="39">
      <x:c r="A39" s="23" t="str">
        <x:v>RQ-038</x:v>
      </x:c>
      <x:c r="B39" s="23" t="n">
        <x:v>11</x:v>
      </x:c>
      <x:c r="C39" s="23" t="str">
        <x:v>butter</x:v>
      </x:c>
      <x:c r="D39" s="23" t="str">
        <x:v>family:dairy</x:v>
      </x:c>
      <x:c r="E39" s="23" t="str">
        <x:v>browned</x:v>
      </x:c>
      <x:c r="F39" s="23" t="str">
        <x:v>Dairy has 2 products total. Browned butter is a Maillard case with obvious pairing value.</x:v>
      </x:c>
      <x:c r="G39" s="23" t="str">
        <x:v>No direct legacy compound seed identified</x:v>
      </x:c>
      <x:c r="H39" s="23" t="str">
        <x:v>Use full 77-row institutional/conference-derived aroma-active table plus peer-reviewed Maillard/lactone mechanism evidence.</x:v>
      </x:c>
      <x:c r="I39" s="23" t="str">
        <x:v>brown_butter_full_aroma_profile_v24</x:v>
      </x:c>
      <x:c r="J39" s="23" t="str">
        <x:v>CulinAI</x:v>
      </x:c>
      <x:c r="K39" s="23" t="str">
        <x:v>yes</x:v>
      </x:c>
      <x:c r="L39" s="23" t="str">
        <x:v>SRC-BUTTER-BROWN-AROMA-001: 77/77 aroma-active brown/control rows ingested with measured/NIST RI where available. This closes the aroma-profile gap; it is not an exhaustive all-detected VOC table.</x:v>
      </x:c>
    </x:row>
    <x:row r="40">
      <x:c r="A40" s="23" t="str">
        <x:v>RQ-039</x:v>
      </x:c>
      <x:c r="B40" s="23" t="n">
        <x:v>12</x:v>
      </x:c>
      <x:c r="C40" s="23" t="str">
        <x:v>cream</x:v>
      </x:c>
      <x:c r="D40" s="23" t="str">
        <x:v>family:dairy</x:v>
      </x:c>
      <x:c r="E40" s="23" t="str">
        <x:v>fresh</x:v>
      </x:c>
      <x:c r="F40" s="23" t="str"/>
      <x:c r="G40" s="23" t="str">
        <x:v>No direct legacy compound seed identified</x:v>
      </x:c>
      <x:c r="H40" s="23" t="str">
        <x:v>research from source literature</x:v>
      </x:c>
      <x:c r="I40" s="23" t="str">
        <x:v>governed_architecture_source_count_v20</x:v>
      </x:c>
      <x:c r="J40" s="23" t="str">
        <x:v>CulinAI</x:v>
      </x:c>
      <x:c r="K40" s="23" t="str">
        <x:v>yes</x:v>
      </x:c>
      <x:c r="L40" s="23" t="str">
        <x:v>Unfermented whipping-cream control included in 46-VOC &gt;80% NIST-match experiment; full supplemental row names remain enrichment.</x:v>
      </x:c>
    </x:row>
    <x:row r="41">
      <x:c r="A41" s="23" t="str">
        <x:v>RQ-040</x:v>
      </x:c>
      <x:c r="B41" s="23" t="n">
        <x:v>12</x:v>
      </x:c>
      <x:c r="C41" s="23" t="str">
        <x:v>cream</x:v>
      </x:c>
      <x:c r="D41" s="23" t="str">
        <x:v>family:dairy</x:v>
      </x:c>
      <x:c r="E41" s="23" t="str">
        <x:v>cultured</x:v>
      </x:c>
      <x:c r="F41" s="23" t="str"/>
      <x:c r="G41" s="23" t="str">
        <x:v>No direct legacy compound seed identified</x:v>
      </x:c>
      <x:c r="H41" s="23" t="str">
        <x:v>research from source literature</x:v>
      </x:c>
      <x:c r="I41" s="23" t="str">
        <x:v>governed_fermented_cream_v20</x:v>
      </x:c>
      <x:c r="J41" s="23" t="str">
        <x:v>CulinAI</x:v>
      </x:c>
      <x:c r="K41" s="23" t="str">
        <x:v>yes</x:v>
      </x:c>
      <x:c r="L41" s="23" t="str">
        <x:v>Fermented cream governed by 46-VOC source-count/method evidence plus 32-VOC/OAV/sensory time-course source.</x:v>
      </x:c>
    </x:row>
    <x:row r="42">
      <x:c r="A42" s="23" t="str">
        <x:v>RQ-041</x:v>
      </x:c>
      <x:c r="B42" s="23" t="n">
        <x:v>13</x:v>
      </x:c>
      <x:c r="C42" s="23" t="str">
        <x:v>hard cheese</x:v>
      </x:c>
      <x:c r="D42" s="23" t="str">
        <x:v>family:dairy</x:v>
      </x:c>
      <x:c r="E42" s="23" t="str">
        <x:v>aged</x:v>
      </x:c>
      <x:c r="F42" s="23" t="str">
        <x:v>Cheese ages into a very different compound profile — high value, currently absent.</x:v>
      </x:c>
      <x:c r="G42" s="23" t="str">
        <x:v>No direct legacy compound seed identified</x:v>
      </x:c>
      <x:c r="H42" s="23" t="str">
        <x:v>research from source literature</x:v>
      </x:c>
      <x:c r="I42" s="23" t="str">
        <x:v>hold_pending_beef_ingestion</x:v>
      </x:c>
      <x:c r="J42" s="23" t="str">
        <x:v>CulinAI</x:v>
      </x:c>
      <x:c r="K42" s="23" t="str">
        <x:v>no</x:v>
      </x:c>
      <x:c r="L42" s="23" t="str">
        <x:v>Priority-0/Step-2 gate: do not collect new literature until the beef ingestion/scoring run determines whether current governed profile depth is usable or requires an MR-10 normalization pass.</x:v>
      </x:c>
    </x:row>
    <x:row r="43">
      <x:c r="A43" s="23" t="str">
        <x:v>RQ-042</x:v>
      </x:c>
      <x:c r="B43" s="23" t="n">
        <x:v>14</x:v>
      </x:c>
      <x:c r="C43" s="23" t="str">
        <x:v>egg</x:v>
      </x:c>
      <x:c r="D43" s="23" t="str">
        <x:v>family:egg</x:v>
      </x:c>
      <x:c r="E43" s="23" t="str">
        <x:v>raw</x:v>
      </x:c>
      <x:c r="F43" s="23" t="str"/>
      <x:c r="G43" s="23" t="str">
        <x:v>Pairings- Egg.xlsx + Ing Pairings- Egg.xlsx (legacy search/regression seeds only)</x:v>
      </x:c>
      <x:c r="H43" s="23" t="str">
        <x:v>Direct primary sources by compartment; yolk/white/whole remain separate under MR-13; legacy Egg rows remain search seeds only.</x:v>
      </x:c>
      <x:c r="I43" s="23" t="str">
        <x:v>egg_raw_direct_sources_partial_MR10_v23</x:v>
      </x:c>
      <x:c r="J43" s="23" t="str">
        <x:v>CulinAI</x:v>
      </x:c>
      <x:c r="K43" s="23" t="str">
        <x:v>yes</x:v>
      </x:c>
      <x:c r="L43" s="23" t="str">
        <x:v>Raw yolk: direct Plagemann source + Zhou raw/thermal design; raw white: direct ~50-VOC control source + 29-VOC process design; raw whole: 15-compound context source with weak IDQA. Exact full raw tables remain enrichment.</x:v>
      </x:c>
    </x:row>
    <x:row r="44">
      <x:c r="A44" s="23" t="str">
        <x:v>RQ-043</x:v>
      </x:c>
      <x:c r="B44" s="23" t="n">
        <x:v>14</x:v>
      </x:c>
      <x:c r="C44" s="23" t="str">
        <x:v>egg</x:v>
      </x:c>
      <x:c r="D44" s="23" t="str">
        <x:v>family:egg</x:v>
      </x:c>
      <x:c r="E44" s="23" t="str">
        <x:v>boiled</x:v>
      </x:c>
      <x:c r="F44" s="23" t="str"/>
      <x:c r="G44" s="23" t="str">
        <x:v>Pairings- Egg.xlsx + Ing Pairings- Egg.xlsx (legacy search/regression seeds only)</x:v>
      </x:c>
      <x:c r="H44" s="23" t="str">
        <x:v>Use full 123-row commercial/native chicken boiled-yolk table as canonical detected anchor; retain whole/white evidence independently.</x:v>
      </x:c>
      <x:c r="I44" s="23" t="str">
        <x:v>egg_boiled_yolk_full_MR10_v23</x:v>
      </x:c>
      <x:c r="J44" s="23" t="str">
        <x:v>CulinAI</x:v>
      </x:c>
      <x:c r="K44" s="23" t="str">
        <x:v>yes</x:v>
      </x:c>
      <x:c r="L44" s="23" t="str">
        <x:v>Raw yolk: direct Plagemann source + Zhou raw/thermal design; raw white: direct sources; raw whole: 15-compound context source with weak IDQA. Yolk/white exact row gaps are re-mining of held sources, not new collection. Stronger raw whole egg is the true new-collection gap.</x:v>
      </x:c>
    </x:row>
    <x:row r="45">
      <x:c r="A45" s="23" t="str">
        <x:v>RQ-044</x:v>
      </x:c>
      <x:c r="B45" s="23" t="n">
        <x:v>14</x:v>
      </x:c>
      <x:c r="C45" s="23" t="str">
        <x:v>egg</x:v>
      </x:c>
      <x:c r="D45" s="23" t="str">
        <x:v>family:egg</x:v>
      </x:c>
      <x:c r="E45" s="23" t="str">
        <x:v>fried</x:v>
      </x:c>
      <x:c r="F45" s="23" t="str"/>
      <x:c r="G45" s="23" t="str">
        <x:v>Pairings- Egg.xlsx + Ing Pairings- Egg.xlsx (legacy search/regression seeds only)</x:v>
      </x:c>
      <x:c r="H45" s="23" t="str">
        <x:v>Use direct yolk thermal source plus scrambled whole-egg sensomics; do not fill the 68-row fried-yolk table from key-aroma summaries.</x:v>
      </x:c>
      <x:c r="I45" s="23" t="str">
        <x:v>egg_high_heat_direct_full_supplement_pending_v23</x:v>
      </x:c>
      <x:c r="J45" s="23" t="str">
        <x:v>CulinAI</x:v>
      </x:c>
      <x:c r="K45" s="23" t="str">
        <x:v>yes</x:v>
      </x:c>
      <x:c r="L45" s="23" t="str">
        <x:v>Raw/boiled/fried yolk source reports 68 VOCs and 14 fried-yolk key compounds; full Table S2 remains pending. Scrambled whole egg has 22 quantitative target rows / 17 detected.</x:v>
      </x:c>
    </x:row>
    <x:row r="46">
      <x:c r="A46" s="23" t="str">
        <x:v>RQ-045</x:v>
      </x:c>
      <x:c r="B46" s="23" t="n">
        <x:v>14</x:v>
      </x:c>
      <x:c r="C46" s="23" t="str">
        <x:v>egg</x:v>
      </x:c>
      <x:c r="D46" s="23" t="str">
        <x:v>family:egg</x:v>
      </x:c>
      <x:c r="E46" s="23" t="str">
        <x:v>cured</x:v>
      </x:c>
      <x:c r="F46" s="23" t="str"/>
      <x:c r="G46" s="23" t="str">
        <x:v>Pairings- Egg.xlsx + Ing Pairings- Egg.xlsx (legacy search/regression seeds only)</x:v>
      </x:c>
      <x:c r="H46" s="23" t="str">
        <x:v>Keep salted/century products species- and compartment-specific; full salted-yolk table is canonical preserved-state detected anchor.</x:v>
      </x:c>
      <x:c r="I46" s="23" t="str">
        <x:v>egg_preserved_yolk_full_white_partial_v23</x:v>
      </x:c>
      <x:c r="J46" s="23" t="str">
        <x:v>CulinAI</x:v>
      </x:c>
      <x:c r="K46" s="23" t="str">
        <x:v>yes</x:v>
      </x:c>
      <x:c r="L46" s="23" t="str">
        <x:v>Raw/boiled/fried yolk source reports 68 VOCs and 14 fried-yolk key compounds; full Table S2 is a held-source re-mining task. Scrambled whole egg has 22 quantitative sensory targets / 17 detected and remains sensory_complete_not_full_detection; a full detected scrambled table is a high-value targeted collection candidate after regenerate.</x:v>
      </x:c>
    </x:row>
    <x:row r="47">
      <x:c r="A47" s="23" t="str">
        <x:v>RQ-046</x:v>
      </x:c>
      <x:c r="B47" s="23" t="n">
        <x:v>15</x:v>
      </x:c>
      <x:c r="C47" s="23" t="str">
        <x:v>shellfish (expand)</x:v>
      </x:c>
      <x:c r="D47" s="23" t="str">
        <x:v>family:seafood</x:v>
      </x:c>
      <x:c r="E47" s="23" t="str">
        <x:v>raw</x:v>
      </x:c>
      <x:c r="F47" s="23" t="str">
        <x:v>21 seafood products exist but coverage of shellfish states is thin.</x:v>
      </x:c>
      <x:c r="G47" s="23" t="str">
        <x:v>Pairings- Crustacean.xlsx + Pairings- Mollusks.xlsx and matching Ing Pairings sheets</x:v>
      </x:c>
      <x:c r="H47" s="23" t="str">
        <x:v>superseded by member-specific shellfish coverage rows RQ-058–RQ-062; preserve legacy raw-state leads only</x:v>
      </x:c>
      <x:c r="I47" s="23" t="str">
        <x:v>superseded_member_decomposition_v21</x:v>
      </x:c>
      <x:c r="J47" s="23" t="str">
        <x:v>CulinAI</x:v>
      </x:c>
      <x:c r="K47" s="23" t="str">
        <x:v>yes</x:v>
      </x:c>
      <x:c r="L47" s="23" t="str">
        <x:v>Salted/roasted duck yolk: 45/45 rows; preserved yolk: 53 odor-active / 19 OAV≥1; salted white: 43-VOC source count / 20 characteristic compounds. The salted-white 43-row gap is re-mining, not new literature collection.</x:v>
      </x:c>
    </x:row>
    <x:row r="48">
      <x:c r="A48" s="23" t="str">
        <x:v>RQ-047</x:v>
      </x:c>
      <x:c r="B48" s="23" t="n">
        <x:v>15</x:v>
      </x:c>
      <x:c r="C48" s="23" t="str">
        <x:v>shellfish (expand)</x:v>
      </x:c>
      <x:c r="D48" s="23" t="str">
        <x:v>family:seafood</x:v>
      </x:c>
      <x:c r="E48" s="23" t="str">
        <x:v>steamed</x:v>
      </x:c>
      <x:c r="F48" s="23" t="str">
        <x:v>21 seafood products exist but coverage of shellfish states is thin.</x:v>
      </x:c>
      <x:c r="G48" s="23" t="str">
        <x:v>Pairings- Crustacean.xlsx + Pairings- Mollusks.xlsx and matching Ing Pairings sheets</x:v>
      </x:c>
      <x:c r="H48" s="23" t="str">
        <x:v>superseded by member-specific shellfish coverage rows RQ-058–RQ-062; state evidence lives on actual species</x:v>
      </x:c>
      <x:c r="I48" s="23" t="str">
        <x:v>superseded_member_decomposition_v21</x:v>
      </x:c>
      <x:c r="J48" s="23" t="str">
        <x:v>CulinAI</x:v>
      </x:c>
      <x:c r="K48" s="23" t="str">
        <x:v>yes</x:v>
      </x:c>
      <x:c r="L48" s="23" t="str">
        <x:v>Steamed/boiled/cooked evidence is now assigned to shrimp, crayfish, scallop, clam/mussel member sources.</x:v>
      </x:c>
    </x:row>
    <x:row r="49">
      <x:c r="A49" s="23" t="str">
        <x:v>RQ-048</x:v>
      </x:c>
      <x:c r="B49" s="23" t="n">
        <x:v>15</x:v>
      </x:c>
      <x:c r="C49" s="23" t="str">
        <x:v>shellfish (expand)</x:v>
      </x:c>
      <x:c r="D49" s="23" t="str">
        <x:v>family:seafood</x:v>
      </x:c>
      <x:c r="E49" s="23" t="str">
        <x:v>grilled</x:v>
      </x:c>
      <x:c r="F49" s="23" t="str">
        <x:v>21 seafood products exist but coverage of shellfish states is thin.</x:v>
      </x:c>
      <x:c r="G49" s="23" t="str">
        <x:v>Pairings- Crustacean.xlsx + Pairings- Mollusks.xlsx and matching Ing Pairings sheets</x:v>
      </x:c>
      <x:c r="H49" s="23" t="str">
        <x:v>superseded by member-specific shellfish coverage rows RQ-058–RQ-062; high-heat states retained by species</x:v>
      </x:c>
      <x:c r="I49" s="23" t="str">
        <x:v>superseded_member_decomposition_v21</x:v>
      </x:c>
      <x:c r="J49" s="23" t="str">
        <x:v>CulinAI</x:v>
      </x:c>
      <x:c r="K49" s="23" t="str">
        <x:v>yes</x:v>
      </x:c>
      <x:c r="L49" s="23" t="str">
        <x:v>Roast/fry evidence now sits on shrimp, crayfish and scallop sources rather than a generic shellfish row.</x:v>
      </x:c>
    </x:row>
    <x:row r="50">
      <x:c r="A50" t="str">
        <x:v>RQ-049</x:v>
      </x:c>
      <x:c r="B50" t="n">
        <x:v>10</x:v>
      </x:c>
      <x:c r="C50" t="str">
        <x:v>pheasant</x:v>
      </x:c>
      <x:c r="D50" t="str">
        <x:v>family:game_bird</x:v>
      </x:c>
      <x:c r="E50" t="str">
        <x:v>roasted</x:v>
      </x:c>
      <x:c r="F50" t="str">
        <x:v>Direct comparative evidence suggests strong shared roasted-landfowl chemistry; useful cluster validator.</x:v>
      </x:c>
      <x:c r="G50" t="str">
        <x:v>SRC-LANDFOWL-COMP-001</x:v>
      </x:c>
      <x:c r="H50" t="str">
        <x:v>extract 38 shared landfowl compounds and 13 pheasant-specific detections; evaluate abundance/importance rather than binary presence only</x:v>
      </x:c>
      <x:c r="I50" t="str">
        <x:v>governed_profile_complete_at_evidence_ceiling</x:v>
      </x:c>
      <x:c r="J50" t="str">
        <x:v>CulinAI</x:v>
      </x:c>
      <x:c r="K50" t="str">
        <x:v>yes</x:v>
      </x:c>
      <x:c r="L50" t="str">
        <x:v>Roasted pheasant governed profile retained. 2020 direct sensory source added, but no newer compound-resolved GC-O/OAV hierarchy located; modern sensory weighting is enrichment, not a phase blocker.</x:v>
      </x:c>
    </x:row>
    <x:row r="51">
      <x:c r="A51" t="str">
        <x:v>RQ-050</x:v>
      </x:c>
      <x:c r="B51" t="n">
        <x:v>10</x:v>
      </x:c>
      <x:c r="C51" t="str">
        <x:v>partridge</x:v>
      </x:c>
      <x:c r="D51" t="str">
        <x:v>family:game_bird</x:v>
      </x:c>
      <x:c r="E51" t="str">
        <x:v>roasted</x:v>
      </x:c>
      <x:c r="F51" t="str">
        <x:v>Direct comparative evidence suggests strong shared roasted-landfowl chemistry; useful cluster validator.</x:v>
      </x:c>
      <x:c r="G51" t="str">
        <x:v>SRC-LANDFOWL-COMP-001</x:v>
      </x:c>
      <x:c r="H51" t="str">
        <x:v>extract 38 shared landfowl compounds and 6 partridge-specific detections; evaluate abundance/importance rather than binary presence only</x:v>
      </x:c>
      <x:c r="I51" t="str">
        <x:v>governed_profile_complete_at_evidence_ceiling</x:v>
      </x:c>
      <x:c r="J51" t="str">
        <x:v>CulinAI</x:v>
      </x:c>
      <x:c r="K51" t="str">
        <x:v>yes</x:v>
      </x:c>
      <x:c r="L51" t="str">
        <x:v>Roasted partridge governed profile retained. No newer qualifying compound-resolved molecular-sensory source located; modern sensory weighting is enrichment, not a phase blocker.</x:v>
      </x:c>
    </x:row>
    <x:row r="52">
      <x:c r="A52" t="str">
        <x:v>RQ-051</x:v>
      </x:c>
      <x:c r="B52" t="n">
        <x:v>9</x:v>
      </x:c>
      <x:c r="C52" t="str">
        <x:v>squab / pigeon</x:v>
      </x:c>
      <x:c r="D52" t="str">
        <x:v>family:game_bird</x:v>
      </x:c>
      <x:c r="E52" t="str">
        <x:v>boiled</x:v>
      </x:c>
      <x:c r="F52" t="str">
        <x:v>Direct pigeon state comparison now available.</x:v>
      </x:c>
      <x:c r="G52" t="str">
        <x:v>SRC-PIGEON-PROCESS-001</x:v>
      </x:c>
      <x:c r="H52" t="str">
        <x:v>find compound-resolved GC-MS/GC-O profile; use current source only for state distinction</x:v>
      </x:c>
      <x:c r="I52" t="str">
        <x:v>state_verified_compounds_pending</x:v>
      </x:c>
      <x:c r="J52" t="str">
        <x:v>CulinAI</x:v>
      </x:c>
      <x:c r="K52" t="str">
        <x:v>yes</x:v>
      </x:c>
      <x:c r="L52" t="str">
        <x:v>2026 Shiqi pigeon source confirms distinct boiled odor profile but is not compound-resolved.</x:v>
      </x:c>
    </x:row>
    <x:row r="53">
      <x:c r="A53" t="str">
        <x:v>RQ-052</x:v>
      </x:c>
      <x:c r="B53" t="n">
        <x:v>9</x:v>
      </x:c>
      <x:c r="C53" t="str">
        <x:v>squab / pigeon</x:v>
      </x:c>
      <x:c r="D53" t="str">
        <x:v>family:game_bird</x:v>
      </x:c>
      <x:c r="E53" t="str">
        <x:v>fried</x:v>
      </x:c>
      <x:c r="F53" t="str">
        <x:v>Direct pigeon state comparison now available.</x:v>
      </x:c>
      <x:c r="G53" t="str">
        <x:v>SRC-PIGEON-PROCESS-001</x:v>
      </x:c>
      <x:c r="H53" t="str">
        <x:v>find compound-resolved GC-MS/GC-O profile; use current source only for state distinction</x:v>
      </x:c>
      <x:c r="I53" t="str">
        <x:v>state_verified_compounds_pending</x:v>
      </x:c>
      <x:c r="J53" t="str">
        <x:v>CulinAI</x:v>
      </x:c>
      <x:c r="K53" t="str">
        <x:v>yes</x:v>
      </x:c>
      <x:c r="L53" t="str">
        <x:v>2026 Shiqi pigeon source confirms distinct fried odor profile but is not compound-resolved.</x:v>
      </x:c>
    </x:row>
    <x:row r="54">
      <x:c r="A54" t="str">
        <x:v>RQ-053</x:v>
      </x:c>
      <x:c r="B54" t="n">
        <x:v>16</x:v>
      </x:c>
      <x:c r="C54" t="str">
        <x:v>Atlantic salmon</x:v>
      </x:c>
      <x:c r="D54" t="str">
        <x:v>family:seafood_finfish</x:v>
      </x:c>
      <x:c r="E54" t="str">
        <x:v>raw / boiled / steamed / oven</x:v>
      </x:c>
      <x:c r="F54" t="str">
        <x:v>Fatty-fish anchor for fin-fish family architecture and full-table completeness.</x:v>
      </x:c>
      <x:c r="G54" t="str">
        <x:v>Pairings- Fish (lean).xlsx only as legacy adjacency; not a salmon-specific source</x:v>
      </x:c>
      <x:c r="H54" t="str">
        <x:v>retain full culinary table; use independent fresh-salmon LRI source for MR-09 anchor validation</x:v>
      </x:c>
      <x:c r="I54" t="str">
        <x:v>governed_full_table_plus_independent_QA_v19</x:v>
      </x:c>
      <x:c r="J54" t="str">
        <x:v>CulinAI</x:v>
      </x:c>
      <x:c r="K54" t="str">
        <x:v>yes</x:v>
      </x:c>
      <x:c r="L54" t="str">
        <x:v>SRC-FISH-SALMON-COOK-001 remains 48/48 full-table culinary evidence. SRC-FISH-COD-SALMON-RAW-IDQA-001 independently supplies LRI/standard-based identification and exact-name corroborates 21/48 culinary rows.</x:v>
      </x:c>
    </x:row>
    <x:row r="55">
      <x:c r="A55" t="str">
        <x:v>RQ-054</x:v>
      </x:c>
      <x:c r="B55" t="n">
        <x:v>16</x:v>
      </x:c>
      <x:c r="C55" t="str">
        <x:v>sea bass</x:v>
      </x:c>
      <x:c r="D55" t="str">
        <x:v>family:seafood_finfish</x:v>
      </x:c>
      <x:c r="E55" t="str">
        <x:v>raw / steamed</x:v>
      </x:c>
      <x:c r="F55" t="str">
        <x:v>White-fish anchor and state/handling delta check.</x:v>
      </x:c>
      <x:c r="G55" t="str">
        <x:v>Pairings- Fish (lean).xlsx legacy compound pool</x:v>
      </x:c>
      <x:c r="H55" t="str">
        <x:v>full named GC-IMS table + state comparison; do not infer fat class from this source alone</x:v>
      </x:c>
      <x:c r="I55" t="str">
        <x:v>governed_full_named_table_v17</x:v>
      </x:c>
      <x:c r="J55" t="str">
        <x:v>CulinAI</x:v>
      </x:c>
      <x:c r="K55" t="str">
        <x:v>yes</x:v>
      </x:c>
      <x:c r="L55" t="str">
        <x:v>SRC-FISH-SEABASS-STEAM-001; 44 named analytical features / 31 distinct named compounds extracted; source reports 31 raw and 39 cooked VOCs including unidentified features.</x:v>
      </x:c>
    </x:row>
    <x:row r="56">
      <x:c r="A56" t="str">
        <x:v>RQ-055</x:v>
      </x:c>
      <x:c r="B56" t="n">
        <x:v>16</x:v>
      </x:c>
      <x:c r="C56" t="str">
        <x:v>mackerel</x:v>
      </x:c>
      <x:c r="D56" t="str">
        <x:v>family:seafood_finfish</x:v>
      </x:c>
      <x:c r="E56" t="str">
        <x:v>raw / heated; white vs red muscle</x:v>
      </x:c>
      <x:c r="F56" t="str">
        <x:v>Second fatty-fish stress check; internal white/red muscle contrast is useful for the lipid-weighting hypothesis.</x:v>
      </x:c>
      <x:c r="G56" t="str">
        <x:v>Legacy fatty-fish section begins after LC-0047 structural marker</x:v>
      </x:c>
      <x:c r="H56" t="str">
        <x:v>extract full primary table under MR-09/MR-10; compare white vs red muscle membership and abundance</x:v>
      </x:c>
      <x:c r="I56" t="str">
        <x:v>stress_check_pass_partial_table_v18</x:v>
      </x:c>
      <x:c r="J56" t="str">
        <x:v>CulinAI</x:v>
      </x:c>
      <x:c r="K56" t="str">
        <x:v>yes</x:v>
      </x:c>
      <x:c r="L56" t="str">
        <x:v>SRC-FISH-MACKEREL-HEAT-001: source counts fully reconciled at 32 raw-white / 39 heated-white / 41 raw-red / 52 heated-red. Exact RT+similarity+abundance recovered for 43 Table-2 rows; remaining rows intentionally not reconstructed beyond accessible primary text.</x:v>
      </x:c>
    </x:row>
    <x:row r="57">
      <x:c r="A57" t="str">
        <x:v>RQ-056</x:v>
      </x:c>
      <x:c r="B57" t="n">
        <x:v>16</x:v>
      </x:c>
      <x:c r="C57" t="str">
        <x:v>cod or haddock</x:v>
      </x:c>
      <x:c r="D57" t="str">
        <x:v>family:seafood_finfish</x:v>
      </x:c>
      <x:c r="E57" t="str">
        <x:v>raw / cooked</x:v>
      </x:c>
      <x:c r="F57" t="str">
        <x:v>True lean-fish stress check before final family inheritance approval.</x:v>
      </x:c>
      <x:c r="G57" t="str">
        <x:v>Pairings- Fish (lean).xlsx legacy compound pool</x:v>
      </x:c>
      <x:c r="H57" t="str">
        <x:v>cod member complete; clean matched neutral raw→cooked experiment is optional transformation refinement</x:v>
      </x:c>
      <x:c r="I57" t="str">
        <x:v>governed_full_raw_and_cooked_member_v19</x:v>
      </x:c>
      <x:c r="J57" t="str">
        <x:v>CulinAI</x:v>
      </x:c>
      <x:c r="K57" t="str">
        <x:v>yes</x:v>
      </x:c>
      <x:c r="L57" t="str">
        <x:v>Fresh cod: 101-row full identification inventory with LRI and 48 standard-confirmed identities. Cooked cod: 72-row baked table with CAS/RI/RT/drift and cod-specific values; sugar/salt/MSG process overlay explicitly flagged.</x:v>
      </x:c>
    </x:row>
    <x:row r="58">
      <x:c r="A58" t="str">
        <x:v>RQ-057</x:v>
      </x:c>
      <x:c r="B58" t="n">
        <x:v>11</x:v>
      </x:c>
      <x:c r="C58" t="str">
        <x:v>crème fraîche</x:v>
      </x:c>
      <x:c r="D58" t="str">
        <x:v>family:dairy_carrier</x:v>
      </x:c>
      <x:c r="E58" t="str">
        <x:v>cultured / fresh</x:v>
      </x:c>
      <x:c r="F58" t="str">
        <x:v>High-fat cultured cream is a load-bearing culinary carrier and sauce component.</x:v>
      </x:c>
      <x:c r="G58" t="str">
        <x:v>No direct legacy seed</x:v>
      </x:c>
      <x:c r="H58" t="str">
        <x:v>Use fermented-cream mechanism as candidate inheritance; seek direct crème fraîche source only if product-specific deltas become consequential.</x:v>
      </x:c>
      <x:c r="I58" t="str">
        <x:v>founder_equivalence_ready_v20</x:v>
      </x:c>
      <x:c r="J58" t="str">
        <x:v>CulinAI</x:v>
      </x:c>
      <x:c r="K58" t="str">
        <x:v>yes</x:v>
      </x:c>
      <x:c r="L58" t="str">
        <x:v>FV-DAIRY-001. Direct chemical evidence is fermented cream; crème fraîche remains an explicit runtime equivalence candidate rather than mislabeled measured data.</x:v>
      </x:c>
    </x:row>
    <x:row r="59">
      <x:c r="A59" t="str">
        <x:v>RQ-058</x:v>
      </x:c>
      <x:c r="B59" t="n">
        <x:v>15</x:v>
      </x:c>
      <x:c r="C59" t="str">
        <x:v>shrimp</x:v>
      </x:c>
      <x:c r="D59" t="str">
        <x:v>family:crustacean</x:v>
      </x:c>
      <x:c r="E59" t="str">
        <x:v>raw / boiled / dried / roasted</x:v>
      </x:c>
      <x:c r="F59" t="str">
        <x:v>Thin shellfish member with direct multi-state culinary value.</x:v>
      </x:c>
      <x:c r="G59" t="str">
        <x:v>Pairings- Crustacean.xlsx SHRIMP section + Ing Pairings regression examples</x:v>
      </x:c>
      <x:c r="H59" t="str">
        <x:v>Use full 54-row raw/sous-vide/steamed GC-MS table as canonical member anchor; retain 86-VOC processing study and &gt;80%-match OAV study as broader-state/sensory layers.</x:v>
      </x:c>
      <x:c r="I59" t="str">
        <x:v>governed_full_table_v25</x:v>
      </x:c>
      <x:c r="J59" t="str">
        <x:v>CulinAI</x:v>
      </x:c>
      <x:c r="K59" t="str">
        <x:v>yes</x:v>
      </x:c>
      <x:c r="L59" t="str">
        <x:v>SRC-SHRIMP-SOUSVIDE-001: 54/54 rows ingested. DI-20 preserves source prose/table reconciliation mismatch. Original Duppeti 86-row processing table remains nonblocking broader-state enrichment.</x:v>
      </x:c>
    </x:row>
    <x:row r="60">
      <x:c r="A60" t="str">
        <x:v>RQ-059</x:v>
      </x:c>
      <x:c r="B60" t="n">
        <x:v>15</x:v>
      </x:c>
      <x:c r="C60" t="str">
        <x:v>crab</x:v>
      </x:c>
      <x:c r="D60" t="str">
        <x:v>family:crustacean</x:v>
      </x:c>
      <x:c r="E60" t="str">
        <x:v>muscle / cooked</x:v>
      </x:c>
      <x:c r="F60" t="str">
        <x:v>Thin shellfish member with explicit legacy crab section.</x:v>
      </x:c>
      <x:c r="G60" t="str">
        <x:v>Pairings- Crustacean.xlsx CRAB section</x:v>
      </x:c>
      <x:c r="H60" t="str">
        <x:v>Use direct muscle table and independent GC-O source.</x:v>
      </x:c>
      <x:c r="I60" t="str">
        <x:v>governed_full_table_v21</x:v>
      </x:c>
      <x:c r="J60" t="str">
        <x:v>CulinAI</x:v>
      </x:c>
      <x:c r="K60" t="str">
        <x:v>yes</x:v>
      </x:c>
      <x:c r="L60" t="str">
        <x:v>34/34 Chinese mitten crab muscle rows ingested with CAS/RI/RT/drift and diet-group intensities; independent 69-VOC/9-GC-O source adds sensory weighting.</x:v>
      </x:c>
    </x:row>
    <x:row r="61">
      <x:c r="A61" t="str">
        <x:v>RQ-060</x:v>
      </x:c>
      <x:c r="B61" t="n">
        <x:v>15</x:v>
      </x:c>
      <x:c r="C61" t="str">
        <x:v>lobster / crayfish</x:v>
      </x:c>
      <x:c r="D61" t="str">
        <x:v>family:crustacean</x:v>
      </x:c>
      <x:c r="E61" t="str">
        <x:v>cooked tail / multiple techniques</x:v>
      </x:c>
      <x:c r="F61" t="str">
        <x:v>Paired coverage cluster for two culinary crustaceans; do not collapse measured species.</x:v>
      </x:c>
      <x:c r="G61" t="str">
        <x:v>Crayfish legacy section + Lobster pairing-output example</x:v>
      </x:c>
      <x:c r="H61" t="str">
        <x:v>Crayfish full Table 4 now governs the cluster's detected chemistry; lobster remains an independent sensory/key member.</x:v>
      </x:c>
      <x:c r="I61" t="str">
        <x:v>crayfish_full_table_lobster_sensory_v24</x:v>
      </x:c>
      <x:c r="J61" t="str">
        <x:v>CulinAI</x:v>
      </x:c>
      <x:c r="K61" t="str">
        <x:v>yes</x:v>
      </x:c>
      <x:c r="L61" t="str">
        <x:v>SRC-CRAYFISH-TAIL-001: 68/68 rows ingested with CAS, RI, RT, drift and HW/NHW/HB/NHB values. Beer and hepatopancreas remain explicit overlays. Lobster 47-row full odorant extraction remains open.</x:v>
      </x:c>
    </x:row>
    <x:row r="62">
      <x:c r="A62" t="str">
        <x:v>RQ-061</x:v>
      </x:c>
      <x:c r="B62" t="n">
        <x:v>15</x:v>
      </x:c>
      <x:c r="C62" t="str">
        <x:v>scallop</x:v>
      </x:c>
      <x:c r="D62" t="str">
        <x:v>family:bivalve_mollusk</x:v>
      </x:c>
      <x:c r="E62" t="str">
        <x:v>raw / boiled / roasted / fried / microwaved</x:v>
      </x:c>
      <x:c r="F62" t="str">
        <x:v>Thin bivalve member and strongest accessible full-table multi-state source.</x:v>
      </x:c>
      <x:c r="G62" t="str">
        <x:v>Generic Pairings- Mollusks.xlsx + Scallop + Asparagus regression example</x:v>
      </x:c>
      <x:c r="H62" t="str">
        <x:v>Use full 59-feature source table; generic mollusk legacy rows remain leads only.</x:v>
      </x:c>
      <x:c r="I62" t="str">
        <x:v>governed_full_table_v21</x:v>
      </x:c>
      <x:c r="J62" t="str">
        <x:v>CulinAI</x:v>
      </x:c>
      <x:c r="K62" t="str">
        <x:v>yes</x:v>
      </x:c>
      <x:c r="L62" t="str">
        <x:v>59/59 GC-IMS features (48 distinct VOCs) ingested with RI/RT/drift and five state peak volumes.</x:v>
      </x:c>
    </x:row>
    <x:row r="63">
      <x:c r="A63" t="str">
        <x:v>RQ-062</x:v>
      </x:c>
      <x:c r="B63" t="n">
        <x:v>15</x:v>
      </x:c>
      <x:c r="C63" t="str">
        <x:v>clam / mussel</x:v>
      </x:c>
      <x:c r="D63" t="str">
        <x:v>family:bivalve_mollusk</x:v>
      </x:c>
      <x:c r="E63" t="str">
        <x:v>raw→boiled / cooked</x:v>
      </x:c>
      <x:c r="F63" t="str">
        <x:v>Paired bivalve coverage cluster; measured members remain separate.</x:v>
      </x:c>
      <x:c r="G63" t="str">
        <x:v>Generic Pairings- Mollusks.xlsx + clam/mussel pairing examples</x:v>
      </x:c>
      <x:c r="H63" t="str">
        <x:v>Use clam raw→boil source plus cooked mussel GC-MS/GC-O source.</x:v>
      </x:c>
      <x:c r="I63" t="str">
        <x:v>covered_both_members_v21</x:v>
      </x:c>
      <x:c r="J63" t="str">
        <x:v>CulinAI</x:v>
      </x:c>
      <x:c r="K63" t="str">
        <x:v>yes</x:v>
      </x:c>
      <x:c r="L63" t="str">
        <x:v>Clam 62 VOCs with QDA/PLSR state linkage; mussel 85 VOCs + 33 GC-O-active odorants with strong identity support.</x:v>
      </x:c>
    </x:row>
  </x:sheetData>
  <x:conditionalFormatting sqref="I2:I49">
    <x:cfRule type="expression" dxfId="1" priority="1">
      <x:formula>I2="complete"</x:formula>
    </x:cfRule>
    <x:cfRule type="expression" dxfId="2" priority="2">
      <x:formula>I2="blocked"</x:formula>
    </x:cfRule>
  </x:conditionalFormatting>
  <x:dataValidations count="1">
    <x:dataValidation type="list" sqref="I2:I49">
      <x:formula1>"not_started,source_found,extracting,ready_for_review,complete,blocked"</x:formula1>
    </x:dataValidation>
  </x:dataValidations>
  <x:pageMargins left="0.7" right="0.7" top="0.75" bottom="0.75" header="0.3" footer="0.3"/>
  <x:tableParts count="1">
    <x:tablePart xmlns:r="http://schemas.openxmlformats.org/officeDocument/2006/relationships" r:id="R6367ba0dcd064cd4"/>
  </x:tableParts>
</x:worksheet>
</file>

<file path=xl/worksheets/sheet7.xml><?xml version="1.0" encoding="utf-8"?>
<x:worksheet xmlns:x="http://schemas.openxmlformats.org/spreadsheetml/2006/main">
  <x:sheetFormatPr defaultRowHeight="15"/>
  <x:cols>
    <x:col min="1" max="1" width="11" hidden="0" customWidth="1"/>
    <x:col min="2" max="2" width="38" hidden="0" customWidth="1"/>
    <x:col min="3" max="3" width="18" hidden="0" customWidth="1"/>
    <x:col min="4" max="4" width="70" hidden="0" customWidth="1"/>
    <x:col min="5" max="5" width="65" hidden="0" customWidth="1"/>
    <x:col min="6" max="6" width="18" hidden="0" customWidth="1"/>
  </x:cols>
  <x:sheetData>
    <x:row r="1">
      <x:c r="A1" s="22" t="str">
        <x:v>issue_id</x:v>
      </x:c>
      <x:c r="B1" s="22" t="str">
        <x:v>source</x:v>
      </x:c>
      <x:c r="C1" s="22" t="str">
        <x:v>severity</x:v>
      </x:c>
      <x:c r="D1" s="22" t="str">
        <x:v>issue</x:v>
      </x:c>
      <x:c r="E1" s="22" t="str">
        <x:v>required_action</x:v>
      </x:c>
      <x:c r="F1" s="42" t="str">
        <x:v>status</x:v>
      </x:c>
    </x:row>
    <x:row r="2">
      <x:c r="A2" s="23" t="str">
        <x:v>DI-01</x:v>
      </x:c>
      <x:c r="B2" s="23" t="str">
        <x:v>Pairings- Vension.xlsx / Ing Pairings- Venison.xlsx</x:v>
      </x:c>
      <x:c r="C2" s="23" t="str">
        <x:v>scope</x:v>
      </x:c>
      <x:c r="D2" s="23" t="str">
        <x:v>Legacy label says Venison, but project direction says the dataset is general game meat.</x:v>
      </x:c>
      <x:c r="E2" s="23" t="str">
        <x:v>Resolved in staging: raw filename preserved; interpreted scope is general game meat; member-level verification remains required before inheritance.</x:v>
      </x:c>
      <x:c r="F2" s="23" t="str">
        <x:v>resolved</x:v>
      </x:c>
    </x:row>
    <x:row r="3">
      <x:c r="A3" s="23" t="str">
        <x:v>DI-02</x:v>
      </x:c>
      <x:c r="B3" s="23" t="str">
        <x:v>Pairings- Fish (lean).xlsx</x:v>
      </x:c>
      <x:c r="C3" s="23" t="str">
        <x:v>data quality</x:v>
      </x:c>
      <x:c r="D3" s="23" t="str">
        <x:v>Raw compound value 'amonia'.</x:v>
      </x:c>
      <x:c r="E3" s="23" t="str">
        <x:v>Resolved: canonical ammonia, CAS 7664-41-7, group Bases.</x:v>
      </x:c>
      <x:c r="F3" s="23" t="str">
        <x:v>resolved</x:v>
      </x:c>
    </x:row>
    <x:row r="4">
      <x:c r="A4" s="23" t="str">
        <x:v>DI-03</x:v>
      </x:c>
      <x:c r="B4" s="23" t="str">
        <x:v>Pairings- Fish (lean).xlsx</x:v>
      </x:c>
      <x:c r="C4" s="23" t="str">
        <x:v>data quality</x:v>
      </x:c>
      <x:c r="D4" s="23" t="str">
        <x:v>Raw compound value 'napthalene'.</x:v>
      </x:c>
      <x:c r="E4" s="23" t="str">
        <x:v>Resolved: canonical naphthalene, CAS 91-20-3, group Hydrocarbons; pairing lead normalized too.</x:v>
      </x:c>
      <x:c r="F4" s="23" t="str">
        <x:v>resolved</x:v>
      </x:c>
    </x:row>
    <x:row r="5">
      <x:c r="A5" s="23" t="str">
        <x:v>DI-04</x:v>
      </x:c>
      <x:c r="B5" s="23" t="str">
        <x:v>Pairings- Fish (lean).xlsx</x:v>
      </x:c>
      <x:c r="C5" s="23" t="str">
        <x:v>schema</x:v>
      </x:c>
      <x:c r="D5" s="23" t="str">
        <x:v>Raw compound field contains 'Fatty', which appears to be a category/placeholder rather than a chemical identity.</x:v>
      </x:c>
      <x:c r="E5" s="23" t="str">
        <x:v>Resolved: excluded as a source-layout label ('Fatty Fish Only'), not a compound.</x:v>
      </x:c>
      <x:c r="F5" s="23" t="str">
        <x:v>resolved</x:v>
      </x:c>
    </x:row>
    <x:row r="6">
      <x:c r="A6" s="23" t="str">
        <x:v>DI-05</x:v>
      </x:c>
      <x:c r="B6" s="23" t="str">
        <x:v>Pairings- Mollusks.xlsx</x:v>
      </x:c>
      <x:c r="C6" s="23" t="str">
        <x:v>schema</x:v>
      </x:c>
      <x:c r="D6" s="23" t="str">
        <x:v>Raw compound field contains 'unmarked'.</x:v>
      </x:c>
      <x:c r="E6" s="23" t="str">
        <x:v>Resolved: excluded as unidentified; cannot be promoted without an actual chemical identity.</x:v>
      </x:c>
      <x:c r="F6" s="23" t="str">
        <x:v>resolved</x:v>
      </x:c>
    </x:row>
    <x:row r="7">
      <x:c r="A7" s="23" t="str">
        <x:v>DI-06</x:v>
      </x:c>
      <x:c r="B7" s="23" t="str">
        <x:v>Pairings- Vension.xlsx</x:v>
      </x:c>
      <x:c r="C7" s="23" t="str">
        <x:v>data quality</x:v>
      </x:c>
      <x:c r="D7" s="23" t="str">
        <x:v>Raw compound value 'Tetradecanoic aci' is truncated.</x:v>
      </x:c>
      <x:c r="E7" s="23" t="str">
        <x:v>Resolved: tetradecanoic acid (myristic acid), CAS 544-63-8, group Acids.</x:v>
      </x:c>
      <x:c r="F7" s="23" t="str">
        <x:v>resolved</x:v>
      </x:c>
    </x:row>
    <x:row r="8">
      <x:c r="A8" s="23" t="str">
        <x:v>DI-07</x:v>
      </x:c>
      <x:c r="B8" s="23" t="str">
        <x:v>Ing Pairings- Poultry.xlsx</x:v>
      </x:c>
      <x:c r="C8" s="23" t="str">
        <x:v>formula</x:v>
      </x:c>
      <x:c r="D8" s="23" t="str">
        <x:v>Legacy pairing score area contains a broken cell-reference formula.</x:v>
      </x:c>
      <x:c r="E8" s="23" t="str">
        <x:v>Do not use score block as ground truth; regression set uses raw pairing rows only.</x:v>
      </x:c>
      <x:c r="F8" s="23" t="str">
        <x:v>contained</x:v>
      </x:c>
    </x:row>
    <x:row r="9">
      <x:c r="A9" s="23" t="str">
        <x:v>DI-08</x:v>
      </x:c>
      <x:c r="B9" s="23" t="str">
        <x:v>Protein Compound Data Template</x:v>
      </x:c>
      <x:c r="C9" s="23" t="str">
        <x:v>taxonomy</x:v>
      </x:c>
      <x:c r="D9" s="23" t="str">
        <x:v>Squab appears under family:poultry in the family example, but priority gaps assigns squab/pigeon to family:game_bird.</x:v>
      </x:c>
      <x:c r="E9" s="23" t="str">
        <x:v>Resolved: use chemistry_parent=avian for chemical architecture while retaining display/cultural family=game_bird for squab/pigeon.</x:v>
      </x:c>
      <x:c r="F9" s="23" t="str">
        <x:v>resolved_via_dual_taxonomy</x:v>
      </x:c>
    </x:row>
    <x:row r="10">
      <x:c r="A10" s="23" t="str">
        <x:v>DI-09</x:v>
      </x:c>
      <x:c r="B10" s="23" t="str">
        <x:v>Protein Compound Data Template</x:v>
      </x:c>
      <x:c r="C10" s="23" t="str">
        <x:v>controlled vocabulary</x:v>
      </x:c>
      <x:c r="D10" s="23" t="str">
        <x:v>Priority preparation states include poached, seared, steamed, fresh, cultured, browned, aged; current product/preparation controls may not consistently represent all of them.</x:v>
      </x:c>
      <x:c r="E10" s="23" t="str">
        <x:v>Align preparation vocabulary before research rows are promoted.</x:v>
      </x:c>
      <x:c r="F10" s="23" t="str">
        <x:v>open</x:v>
      </x:c>
    </x:row>
    <x:row r="11">
      <x:c r="A11" s="23" t="str">
        <x:v>DI-10</x:v>
      </x:c>
      <x:c r="B11" s="23" t="str">
        <x:v>All Pairings- *.xlsx compound sheets</x:v>
      </x:c>
      <x:c r="C11" s="23" t="str">
        <x:v>provenance</x:v>
      </x:c>
      <x:c r="D11" s="23" t="str">
        <x:v>Legacy sheets generally lack primary source citation and preparation/cut context.</x:v>
      </x:c>
      <x:c r="E11" s="23" t="str">
        <x:v>Treat as search seeds, not measured/literature evidence.</x:v>
      </x:c>
      <x:c r="F11" s="23" t="str">
        <x:v>accepted_constraint</x:v>
      </x:c>
    </x:row>
    <x:row r="12">
      <x:c r="A12" s="322" t="str">
        <x:v>DI-11</x:v>
      </x:c>
      <x:c r="B12" s="322" t="str">
        <x:v>Landfowl Quantitative Deltas v7</x:v>
      </x:c>
      <x:c r="C12" s="322" t="str">
        <x:v>data quality</x:v>
      </x:c>
      <x:c r="D12" s="322" t="str">
        <x:v>German decimal commas were lost in the v7 transcription of Table 18, inflating multiple row-level concentrations and derived ratios.</x:v>
      </x:c>
      <x:c r="E12" s="322" t="str">
        <x:v>Archived v7 numeric transcription; cleared active row-level values and ratios; re-transcribe directly from primary Table 18 before quantitative scoring.</x:v>
      </x:c>
      <x:c r="F12" s="322" t="str">
        <x:v>contained_pending_retranscription</x:v>
      </x:c>
    </x:row>
    <x:row r="13">
      <x:c r="A13" s="322" t="str">
        <x:v>DI-12</x:v>
      </x:c>
      <x:c r="B13" s="322" t="str">
        <x:v>Landfowl quantitative evidence</x:v>
      </x:c>
      <x:c r="C13" s="322" t="str">
        <x:v>source conflict</x:v>
      </x:c>
      <x:c r="D13" s="322" t="str">
        <x:v>The 2013 peer-reviewed landfowl article states roasted chicken had the highest total concentration in its quantitative peak comparison, while the earlier working dissertation/Table-18 interpretation suggested stronger pheasant values for many rows.</x:v>
      </x:c>
      <x:c r="E13" s="322" t="str">
        <x:v>Keep all row-level quantitative weighting disabled; use verified qualitative occurrence/composition profiles until the primary Table 18 is re-transcribed and reconciled.</x:v>
      </x:c>
      <x:c r="F13" s="322" t="str">
        <x:v>contained_pending_source_reconciliation</x:v>
      </x:c>
    </x:row>
    <x:row r="14">
      <x:c r="A14" s="23" t="str">
        <x:v>DI-13</x:v>
      </x:c>
      <x:c r="B14" s="23" t="str">
        <x:v>SRC-DUCK-GONG-001 — Frontiers in Nutrition 12:1671714 / addendum audit</x:v>
      </x:c>
      <x:c r="C14" s="23" t="str">
        <x:v>identification quality</x:v>
      </x:c>
      <x:c r="D14" s="23" t="str">
        <x:v>The subcutaneous-adipose-tissue study reports 67 flavor compounds, but the addendum MR-09 audit found that only 20 satisfy the identification gate; source-level reporting is much broader than the defensible governed set.</x:v>
      </x:c>
      <x:c r="E14" s="23" t="str">
        <x:v>Do not treat the headline 67 as verified membership. Retain failing rows only as source-reported/QA-failed evidence and exclude them from MR-09-verified profiles.</x:v>
      </x:c>
      <x:c r="F14" s="23" t="str">
        <x:v>contained_by_MR09</x:v>
      </x:c>
      <x:c r="G14" s="23"/>
      <x:c r="H14" s="23"/>
    </x:row>
    <x:row r="15">
      <x:c r="A15" s="23" t="str">
        <x:v>DI-14</x:v>
      </x:c>
      <x:c r="B15" s="23" t="str">
        <x:v>SRC-DUCK-GONG-001 — Frontiers in Nutrition 12:1671714 / addendum audit</x:v>
      </x:c>
      <x:c r="C15" s="23" t="str">
        <x:v>identity</x:v>
      </x:c>
      <x:c r="D15" s="23" t="str">
        <x:v>One reported differential volatile in the subcutaneous-adipose-tissue study was flagged in the addendum as a misidentification when checked against identification evidence.</x:v>
      </x:c>
      <x:c r="E15" s="23" t="str">
        <x:v>Do not promote the flagged differential identity or use it as a breed marker until the source identity is reconciled against acceptable match-factor and RI evidence.</x:v>
      </x:c>
      <x:c r="F15" s="23" t="str">
        <x:v>open_identity_reconciliation</x:v>
      </x:c>
      <x:c r="G15" s="23"/>
      <x:c r="H15" s="23"/>
    </x:row>
    <x:row r="16">
      <x:c r="A16" s="23" t="str">
        <x:v>DI-15</x:v>
      </x:c>
      <x:c r="B16" s="23" t="str">
        <x:v>SRC-DUCK-RAW-001 (Weng et al.) / addendum audit</x:v>
      </x:c>
      <x:c r="C16" s="23" t="str">
        <x:v>duplicate label</x:v>
      </x:c>
      <x:c r="D16" s="23" t="str">
        <x:v>The source contains a duplicate compound label that can create a false second occurrence if ingested literally.</x:v>
      </x:c>
      <x:c r="E16" s="23" t="str">
        <x:v>Preserve the source label in raw provenance, but deduplicate only after identity/CAS/RI reconciliation; never count both labels independently in profile or document-frequency totals.</x:v>
      </x:c>
      <x:c r="F16" s="23" t="str">
        <x:v>contained_by_dedup_rule</x:v>
      </x:c>
      <x:c r="G16" s="23"/>
      <x:c r="H16" s="23"/>
    </x:row>
    <x:row r="17">
      <x:c r="A17" s="23" t="str">
        <x:v>DI-16</x:v>
      </x:c>
      <x:c r="B17" s="23" t="str">
        <x:v>SRC-LANDFOWL-THESIS-001 Table 17</x:v>
      </x:c>
      <x:c r="C17" s="23" t="str">
        <x:v>quantitative misuse risk</x:v>
      </x:c>
      <x:c r="D17" s="23" t="str">
        <x:v>Table 17 is qualitative occurrence/presence evidence and can be mistaken for concentration evidence when joined to Table 18 or downstream scoring.</x:v>
      </x:c>
      <x:c r="E17" s="23" t="str">
        <x:v>Keep Table 17 strictly as presence/occurrence. Concentration and abundance weighting remain disabled unless sourced from a correctly retranscribed/reconciled quantitative table.</x:v>
      </x:c>
      <x:c r="F17" s="23" t="str">
        <x:v>contained</x:v>
      </x:c>
      <x:c r="G17" s="23"/>
      <x:c r="H17" s="23"/>
    </x:row>
    <x:row r="18">
      <x:c r="A18" s="23" t="str">
        <x:v>DI-17</x:v>
      </x:c>
      <x:c r="B18" s="23" t="str">
        <x:v>Cross-family state coverage audit</x:v>
      </x:c>
      <x:c r="C18" s="23" t="str">
        <x:v>coverage bias</x:v>
      </x:c>
      <x:c r="D18" s="23" t="str">
        <x:v>Phenols are strongly state-dependent and were materially underrepresented while smoke/cure states were thin; corpus absence can reflect collection design rather than biological absence.</x:v>
      </x:c>
      <x:c r="E18" s="23" t="str">
        <x:v>Treat phenol absence as unknown when relevant smoke/cure/fermentation states have not been sampled. Current beef cure-smoke and duck smoke rows demonstrate the class can appear once the correct process state is represented.</x:v>
      </x:c>
      <x:c r="F18" s="23" t="str">
        <x:v>contained_monitor_coverage</x:v>
      </x:c>
      <x:c r="G18" s="23"/>
      <x:c r="H18" s="23"/>
    </x:row>
    <x:row r="19">
      <x:c r="A19" s="23" t="str">
        <x:v>DI-18</x:v>
      </x:c>
      <x:c r="B19" s="23" t="str">
        <x:v>Cross-family coverage audit / ingestion dependency</x:v>
      </x:c>
      <x:c r="C19" s="23" t="str">
        <x:v>coverage inversion</x:v>
      </x:c>
      <x:c r="D19" s="23" t="str">
        <x:v>Research depth is inverted in places: game birds such as pheasant/partridge have deeper detected coverage than higher-volume domestic members. Raw row counts therefore reflect source availability/research history, not culinary importance.</x:v>
      </x:c>
      <x:c r="E19" s="23" t="str">
        <x:v>Do not use governed-row count as an ingredient-importance proxy. Use ingestion scoring to decide whether domesticated members require an MR-10 normalization/re-mining pass before collecting new families.</x:v>
      </x:c>
      <x:c r="F19" s="23" t="str">
        <x:v>open_pending_ingestion_test</x:v>
      </x:c>
      <x:c r="G19" s="23"/>
      <x:c r="H19" s="23"/>
    </x:row>
    <x:row r="20">
      <x:c r="A20" s="23" t="str">
        <x:v>DI-19</x:v>
      </x:c>
      <x:c r="B20" s="23" t="str">
        <x:v>SRC-EGG-YOLK-BOIL-001 Supplementary Table S1</x:v>
      </x:c>
      <x:c r="C20" s="23" t="str">
        <x:v>source arithmetic</x:v>
      </x:c>
      <x:c r="D20" s="23" t="str">
        <x:v>The 123 transcribed row values reconcile closely to the reported totals for BSE/WRMD1/WRMD2, but the commercial-egg (CE) row sum is 37.336 versus the source total 37.471. The largest internal inconsistency is the sulfur class: five published CE sulfur rows sum to 0.925 while the source prints a sulfur subtotal of 1.037.</x:v>
      </x:c>
      <x:c r="E20" s="23" t="str">
        <x:v>Preserve all published row values exactly. Do not rescale or invent a missing sulfur compound to force the subtotal. Treat printed subtotal/total values as source-level summary fields and row values as the governed compound evidence.</x:v>
      </x:c>
      <x:c r="F20" s="23" t="str">
        <x:v>contained_source_arithmetic_inconsistency</x:v>
      </x:c>
      <x:c r="G20"/>
      <x:c r="H20"/>
    </x:row>
    <x:row r="21">
      <x:c r="A21" s="23" t="str">
        <x:v>DI-20</x:v>
      </x:c>
      <x:c r="B21" s="23" t="str">
        <x:v>SRC-SHRIMP-SOUSVIDE-001 Table 2 / section 2.6.1</x:v>
      </x:c>
      <x:c r="C21" s="23" t="str">
        <x:v>source arithmetic / count reconciliation</x:v>
      </x:c>
      <x:c r="D21" s="23" t="str">
        <x:v>The paper states 23 (RS), 38 (SV), and 35 (ST) detected GC-MS volatiles with totals 41.56, 65.44, and 59.64 ng/g. The 54 published Table-2 rows contain 23, 39, and 35 nonzero values and sum to 41.56, 65.44, and 60.96 ng/g. Thus RS fully reconciles; SV row count differs by +1 despite matching total; ST row sum differs by +1.32 ng/g.</x:v>
      </x:c>
      <x:c r="E21" s="23" t="str">
        <x:v>Preserve all 54 published row values exactly. Treat the prose count/total as source-level summaries and the Table-2 row values as governed compound evidence. Do not delete a nonzero SV row or rescale ST values to force narrative reconciliation.</x:v>
      </x:c>
      <x:c r="F21" s="23" t="str">
        <x:v>contained_source_arithmetic_inconsistency</x:v>
      </x:c>
      <x:c r="G21"/>
      <x:c r="H21"/>
    </x:row>
    <x:row r="22">
      <x:c r="A22" s="23" t="str">
        <x:v>DI-21</x:v>
      </x:c>
      <x:c r="B22" s="23" t="str">
        <x:v>SRC-GAME-RABBIT-001 Table 2 / Results prose</x:v>
      </x:c>
      <x:c r="C22" s="23" t="str">
        <x:v>source count reconciliation</x:v>
      </x:c>
      <x:c r="D22" s="23" t="str">
        <x:v>Direct counting of nonzero values in the full 63-row Table 2 yields FL male/female 35/43, HL 35/38, abdomen 38/49, and longissimus dorsi 30/34. The paper prose reports 33/42, 31/34, 33/48, and 27/33 respectively.</x:v>
      </x:c>
      <x:c r="E22" s="23" t="str">
        <x:v>Preserve every published Table-2 measured row. Treat prose/figure counts as source-level summary metadata and do not delete measured rows to force reconciliation.</x:v>
      </x:c>
      <x:c r="F22" s="23" t="str">
        <x:v>contained_source_count_inconsistency</x:v>
      </x:c>
      <x:c r="G22"/>
      <x:c r="H22"/>
    </x:row>
    <x:row r="23">
      <x:c r="A23" s="23" t="str">
        <x:v>DI-22</x:v>
      </x:c>
      <x:c r="B23" s="23" t="str">
        <x:v>Egg pre-ingestion / Detected Egg Boiled Yolk</x:v>
      </x:c>
      <x:c r="C23" s="23" t="str">
        <x:v>ingestion dependency</x:v>
      </x:c>
      <x:c r="D23" s="23" t="str">
        <x:v>Post-beef audit shows egg must be regenerated only after corrected resolver/classifier behavior is frozen. The 123-row boiled-yolk table includes one explicit analytical-background row plus unusual labels that must not silently enter DF/scoring before identity/background routing.</x:v>
      </x:c>
      <x:c r="E23" s="23" t="str">
        <x:v>Preserve all 123 source rows in provenance; run resolver/classifier first; report canonical-mapped, background/context-routed, unresolved and duplicate-collapsed counts before calculating egg df=1. Do not reopen broad egg collection unless the clean runtime profile is genuinely thin.</x:v>
      </x:c>
      <x:c r="F23" s="23" t="str">
        <x:v>open_pending_egg_regenerate</x:v>
      </x:c>
    </x:row>
    <x:row r="24">
      <x:c r="A24" s="23" t="str">
        <x:v>DI-23</x:v>
      </x:c>
      <x:c r="B24" s="23" t="str">
        <x:v>Cross-family exclusion routing</x:v>
      </x:c>
      <x:c r="C24" s="23" t="str">
        <x:v>governance</x:v>
      </x:c>
      <x:c r="D24" s="23" t="str">
        <x:v>Prior exclusion handling collapsed method artifacts, genuine non-flavor sample constituents, and uncertain identities into one bucket.</x:v>
      </x:c>
      <x:c r="E24" s="23" t="str">
        <x:v>Apply MR-17's three states. All adjudicated beef rows and egg siloxane/phthalate anchors now have explicit routes in Exclusion Routing Audit; beef routes are also mirrored in the Detected tabs. Preserve every raw source row.</x:v>
      </x:c>
      <x:c r="F24" s="23" t="str">
        <x:v>resolved_v29_workbook_routing_complete</x:v>
      </x:c>
    </x:row>
    <x:row r="25">
      <x:c r="A25" s="23" t="str">
        <x:v>DI-24</x:v>
      </x:c>
      <x:c r="B25" s="23" t="str">
        <x:v>Rulebook vs code/meta</x:v>
      </x:c>
      <x:c r="C25" s="23" t="str">
        <x:v>governance</x:v>
      </x:c>
      <x:c r="D25" s="23" t="str">
        <x:v>The classification gate and GROUP_MAP completeness rule existed in code/meta as MR-17/MR-18 but were absent from the workbook, creating practice-ahead-of-documentation drift and rule-number collision risk.</x:v>
      </x:c>
      <x:c r="E25" s="23" t="str">
        <x:v>Document MR-17 and MR-18 in Migration Rules and treat both as hard pre-ingestion gates.</x:v>
      </x:c>
      <x:c r="F25" s="23" t="str">
        <x:v>resolved_v28</x:v>
      </x:c>
    </x:row>
    <x:row r="26">
      <x:c r="A26" s="23" t="str">
        <x:v>DI-25</x:v>
      </x:c>
      <x:c r="B26" s="23" t="str">
        <x:v>MR-17 routing audit completeness</x:v>
      </x:c>
      <x:c r="C26" s="23" t="str">
        <x:v>governance</x:v>
      </x:c>
      <x:c r="D26" s="23" t="str">
        <x:v>v28's Exclusion Routing Audit omitted five previously adjudicated beef rows, leaving those Detected records excluded/held by absence rather than explicit state.</x:v>
      </x:c>
      <x:c r="E26" s="23" t="str">
        <x:v>Add explicit MR-17 routes for diisopropyl ether, 2-ethylhexyl acrylate, 1-butanamine, 1-formylpyrrolidine and ethylcyclopentane; mirror the route fields on the Detected Beef tabs.</x:v>
      </x:c>
      <x:c r="F26" s="23" t="str">
        <x:v>resolved_v29</x:v>
      </x:c>
    </x:row>
    <x:row r="27">
      <x:c r="A27" s="23" t="str">
        <x:v>DI-26</x:v>
      </x:c>
      <x:c r="B27" s="23" t="str">
        <x:v>Cross-family acrylate consistency</x:v>
      </x:c>
      <x:c r="C27" s="23" t="str">
        <x:v>governance</x:v>
      </x:c>
      <x:c r="D27" s="23" t="str">
        <x:v>2-Ethylhexyl acrylate in cooked beef was unrouted while dibutyl phthalate in egg was already treated as present_not_flavor_relevant on migration/industrial-use grounds. Applying the principle inconsistently would create family-specific bias.</x:v>
      </x:c>
      <x:c r="E27" s="23" t="str">
        <x:v>Route 2-ethylhexyl acrylate as present_not_flavor_relevant with authoritative industrial-use support; retain occurrence and identification provenance, exclude from flavor profile and DF/IDF.</x:v>
      </x:c>
      <x:c r="F27" s="23" t="str">
        <x:v>resolved_v29</x:v>
      </x:c>
    </x:row>
  </x:sheetData>
  <x:conditionalFormatting sqref="C2:C11">
    <x:cfRule type="expression" dxfId="3" priority="1">
      <x:formula>C2="schema"</x:formula>
    </x:cfRule>
    <x:cfRule type="expression" dxfId="4" priority="2">
      <x:formula>C2="taxonomy"</x:formula>
    </x:cfRule>
    <x:cfRule type="expression" dxfId="5" priority="3">
      <x:formula>C2="formula"</x:formula>
    </x:cfRule>
  </x:conditionalFormatting>
  <x:pageMargins left="0.7" right="0.7" top="0.75" bottom="0.75" header="0.3" footer="0.3"/>
  <x:tableParts count="1">
    <x:tablePart xmlns:r="http://schemas.openxmlformats.org/officeDocument/2006/relationships" r:id="Ra892f954f3bd4bfd"/>
  </x:tableParts>
</x:worksheet>
</file>

<file path=xl/worksheets/sheet8.xml><?xml version="1.0" encoding="utf-8"?>
<x:worksheet xmlns:x="http://schemas.openxmlformats.org/spreadsheetml/2006/main">
  <x:sheetFormatPr defaultRowHeight="15"/>
  <x:cols>
    <x:col min="1" max="1" width="8" hidden="0" customWidth="1"/>
    <x:col min="2" max="2" width="25" hidden="0" customWidth="1"/>
    <x:col min="3" max="3" width="31" hidden="0" customWidth="1"/>
    <x:col min="4" max="4" width="31" hidden="0" customWidth="1"/>
    <x:col min="5" max="5" width="34" hidden="0" customWidth="1"/>
    <x:col min="6" max="6" width="35" hidden="0" customWidth="1"/>
    <x:col min="7" max="7" width="20" hidden="0" customWidth="1"/>
    <x:col min="8" max="8" width="42" hidden="0" customWidth="1"/>
  </x:cols>
  <x:sheetData>
    <x:row r="1" ht="28" customHeight="1">
      <x:c r="A1" s="323" t="str">
        <x:v>CulinAI Protein Compound Expansion — Working Sequence</x:v>
      </x:c>
      <x:c r="B1" s="323"/>
      <x:c r="C1" s="323"/>
      <x:c r="D1" s="323"/>
      <x:c r="E1" s="323"/>
      <x:c r="F1" s="323"/>
      <x:c r="G1" s="323"/>
      <x:c r="H1" s="323"/>
    </x:row>
    <x:row r="2" ht="36" customHeight="1">
      <x:c r="A2" s="23"/>
      <x:c r="B2" s="23"/>
      <x:c r="C2" s="23"/>
      <x:c r="D2" s="23"/>
      <x:c r="E2" s="23"/>
      <x:c r="F2" s="23"/>
      <x:c r="G2" s="23"/>
      <x:c r="H2" s="23"/>
    </x:row>
    <x:row r="3" ht="30" customHeight="1">
      <x:c r="A3" s="42" t="str">
        <x:v>phase</x:v>
      </x:c>
      <x:c r="B3" s="42" t="str">
        <x:v>objective</x:v>
      </x:c>
      <x:c r="C3" s="42" t="str">
        <x:v>scope</x:v>
      </x:c>
      <x:c r="D3" s="42" t="str">
        <x:v>input</x:v>
      </x:c>
      <x:c r="E3" s="42" t="str">
        <x:v>output</x:v>
      </x:c>
      <x:c r="F3" s="42" t="str">
        <x:v>promotion rule</x:v>
      </x:c>
      <x:c r="G3" s="42" t="str">
        <x:v>priority</x:v>
      </x:c>
      <x:c r="H3" s="42" t="str">
        <x:v>next action</x:v>
      </x:c>
    </x:row>
    <x:row r="4" ht="36" customHeight="1">
      <x:c r="A4" s="23" t="n">
        <x:v>1</x:v>
      </x:c>
      <x:c r="B4" s="23" t="str">
        <x:v>Normalize legacy compound registry</x:v>
      </x:c>
      <x:c r="C4" s="23" t="str">
        <x:v>All valid legacy compound rows</x:v>
      </x:c>
      <x:c r="D4" s="23" t="str">
        <x:v>Legacy Compounds</x:v>
      </x:c>
      <x:c r="E4" s="23" t="str">
        <x:v>Canonical name + CAS + CulinAI compound group + alias/raw lineage</x:v>
      </x:c>
      <x:c r="F4" s="23" t="str">
        <x:v>Normalization does not create evidence status</x:v>
      </x:c>
      <x:c r="G4" s="23" t="str">
        <x:v>NOW</x:v>
      </x:c>
      <x:c r="H4" s="23" t="str">
        <x:v>Resolve every valid legacy compound identity; deduplicate by CAS</x:v>
      </x:c>
    </x:row>
    <x:row r="5" ht="36" customHeight="1">
      <x:c r="A5" s="23" t="n">
        <x:v>2</x:v>
      </x:c>
      <x:c r="B5" s="23" t="str">
        <x:v>Build protein/member association matrix</x:v>
      </x:c>
      <x:c r="C5" s="23" t="str">
        <x:v>Beef, poultry, game, seafood, pork + member-specific leads</x:v>
      </x:c>
      <x:c r="D5" s="23" t="str">
        <x:v>Normalized registry + legacy member notes</x:v>
      </x:c>
      <x:c r="E5" s="23" t="str">
        <x:v>Compound × family/member candidate matrix</x:v>
      </x:c>
      <x:c r="F5" s="23" t="str">
        <x:v>No family inheritance without cross-member evidence</x:v>
      </x:c>
      <x:c r="G5" s="23" t="str">
        <x:v>NOW</x:v>
      </x:c>
      <x:c r="H5" s="23" t="str">
        <x:v>Separate generic family candidates from explicit chicken/turkey/duck/crab/shrimp/etc. leads</x:v>
      </x:c>
    </x:row>
    <x:row r="6" ht="36" customHeight="1">
      <x:c r="A6" s="23" t="n">
        <x:v>3</x:v>
      </x:c>
      <x:c r="B6" s="23" t="str">
        <x:v>Form-state evidence pilot</x:v>
      </x:c>
      <x:c r="C6" s="23" t="str">
        <x:v>Duck: raw, seared, roasted, confit, smoked</x:v>
      </x:c>
      <x:c r="D6" s="23" t="str">
        <x:v>Research Queue + normalized duck/poultry leads</x:v>
      </x:c>
      <x:c r="E6" s="23" t="str">
        <x:v>Source-backed ingredient × part × preparation compound profiles</x:v>
      </x:c>
      <x:c r="F6" s="23" t="str">
        <x:v>Measured/literature only with source; preserve quantitative values when reported</x:v>
      </x:c>
      <x:c r="G6" s="23" t="str">
        <x:v>FIRST RESEARCH WAVE</x:v>
      </x:c>
      <x:c r="H6" s="23" t="str">
        <x:v>Hold anatomy constant where possible; treat confit leg separately from breast comparisons</x:v>
      </x:c>
    </x:row>
    <x:row r="7" ht="36" customHeight="1">
      <x:c r="A7" s="23" t="n">
        <x:v>4</x:v>
      </x:c>
      <x:c r="B7" s="23" t="str">
        <x:v>Core protein expansion</x:v>
      </x:c>
      <x:c r="C7" s="23" t="str">
        <x:v>Chicken + beef + turkey</x:v>
      </x:c>
      <x:c r="D7" s="23" t="str">
        <x:v>Pilot method + legacy seeds</x:v>
      </x:c>
      <x:c r="E7" s="23" t="str">
        <x:v>Comparable state-resolved profiles</x:v>
      </x:c>
      <x:c r="F7" s="23" t="str">
        <x:v>Same inclusion and provenance rules as pilot</x:v>
      </x:c>
      <x:c r="G7" s="23" t="str">
        <x:v>SECOND</x:v>
      </x:c>
      <x:c r="H7" s="23" t="str">
        <x:v>Chicken 5 states; beef 5 states; turkey 3 states</x:v>
      </x:c>
    </x:row>
    <x:row r="8" ht="36" customHeight="1">
      <x:c r="A8" s="23" t="n">
        <x:v>5</x:v>
      </x:c>
      <x:c r="B8" s="23" t="str">
        <x:v>Seafood species expansion</x:v>
      </x:c>
      <x:c r="C8" s="23" t="str">
        <x:v>Shrimp, crab, lobster/crayfish, lean fish species, mollusks</x:v>
      </x:c>
      <x:c r="D8" s="23" t="str">
        <x:v>Crustacean member lists + mollusk/fish legacy leads</x:v>
      </x:c>
      <x:c r="E8" s="23" t="str">
        <x:v>Species-resolved profiles; cooked/raw states</x:v>
      </x:c>
      <x:c r="F8" s="23" t="str">
        <x:v>Do not use generic seafood family inheritance unless genuinely supported</x:v>
      </x:c>
      <x:c r="G8" s="23" t="str">
        <x:v>THIRD</x:v>
      </x:c>
      <x:c r="H8" s="23" t="str">
        <x:v>Start with existing crab/crayfish/shrimp compound sets</x:v>
      </x:c>
    </x:row>
    <x:row r="9" ht="36" customHeight="1">
      <x:c r="A9" s="23" t="n">
        <x:v>6</x:v>
      </x:c>
      <x:c r="B9" s="23" t="str">
        <x:v>Game decomposition</x:v>
      </x:c>
      <x:c r="C9" s="23" t="str">
        <x:v>General legacy game pool → venison, rabbit, game birds</x:v>
      </x:c>
      <x:c r="D9" s="23" t="str">
        <x:v>General game legacy candidates</x:v>
      </x:c>
      <x:c r="E9" s="23" t="str">
        <x:v>Member-specific verified profiles + only truly shared family base</x:v>
      </x:c>
      <x:c r="F9" s="23" t="str">
        <x:v>General game legacy data is a search seed, never automatic venison evidence</x:v>
      </x:c>
      <x:c r="G9" s="23" t="str">
        <x:v>FOURTH</x:v>
      </x:c>
      <x:c r="H9" s="23" t="str">
        <x:v>EXECUTED v26: rabbit independently verified with a full 63-row quantitative table; red deer independently verified with a 55-VOC cooked source and state-method source. General-game legacy pool remains separate.</x:v>
      </x:c>
    </x:row>
    <x:row r="10" ht="36" customHeight="1">
      <x:c r="A10" s="23" t="n">
        <x:v>7</x:v>
      </x:c>
      <x:c r="B10" s="23" t="str">
        <x:v>Regression + product validation</x:v>
      </x:c>
      <x:c r="C10" s="23" t="str">
        <x:v>All promoted profiles</x:v>
      </x:c>
      <x:c r="D10" s="23" t="str">
        <x:v>Pairing Regression + Pairing Compound Leads</x:v>
      </x:c>
      <x:c r="E10" s="23" t="str">
        <x:v>Behavior comparison against legacy pairings and explanation leads</x:v>
      </x:c>
      <x:c r="F10" s="23" t="str">
        <x:v>Differences are investigated, not forced to match</x:v>
      </x:c>
      <x:c r="G10" s="23" t="str">
        <x:v>CONTINUOUS</x:v>
      </x:c>
      <x:c r="H10" s="23" t="str">
        <x:v>Workbook-side MR-17/MR-18 governance is now complete, including explicit routing for the five beef records omitted in v28. Next: corrected resolver/classifier + GROUP_MAP validation → clean egg regenerate → report mapped/analytical-background/present-not-flavor/unresolved/duplicate-collapsed counts → DF. Then re-mine held egg tables; targeted new collection prioritizes stronger raw whole egg and full detected scrambled egg. Spine clustering and runtime wiring follow.</x:v>
      </x:c>
    </x:row>
    <x:row r="11" ht="36" customHeight="1">
      <x:c r="A11" s="23"/>
      <x:c r="B11" s="23"/>
      <x:c r="C11" s="23"/>
      <x:c r="D11" s="23"/>
      <x:c r="E11" s="23"/>
      <x:c r="F11" s="23"/>
      <x:c r="G11" s="23"/>
      <x:c r="H11" s="23"/>
    </x:row>
    <x:row r="12" ht="28" customHeight="1">
      <x:c r="A12" s="324" t="str">
        <x:v>Immediate expansion gate</x:v>
      </x:c>
      <x:c r="B12" s="324"/>
      <x:c r="C12" s="324"/>
      <x:c r="D12" s="324"/>
      <x:c r="E12" s="23"/>
      <x:c r="F12" s="23"/>
      <x:c r="G12" s="23"/>
      <x:c r="H12" s="23"/>
    </x:row>
    <x:row r="13" ht="28" customHeight="1">
      <x:c r="A13" s="42" t="str">
        <x:v>Decision</x:v>
      </x:c>
      <x:c r="B13" s="42" t="str">
        <x:v>Rule</x:v>
      </x:c>
      <x:c r="C13" s="42" t="str">
        <x:v>Why it matters</x:v>
      </x:c>
      <x:c r="D13" s="42" t="str">
        <x:v>Status</x:v>
      </x:c>
      <x:c r="E13" s="23"/>
      <x:c r="F13" s="23"/>
      <x:c r="G13" s="23"/>
      <x:c r="H13" s="23"/>
    </x:row>
    <x:row r="14" ht="36" customHeight="1">
      <x:c r="A14" s="23" t="str">
        <x:v>Compound inclusion</x:v>
      </x:c>
      <x:c r="B14" s="23" t="str">
        <x:v>Capture all source-reported volatiles, but tag sensory relevance separately; retain concentration/OAV when reported.</x:v>
      </x:c>
      <x:c r="C14" s="23" t="str">
        <x:v>Avoids throwing away evidence while preventing mere detection from being treated as aroma importance.</x:v>
      </x:c>
      <x:c r="D14" s="23" t="str">
        <x:v>recommended</x:v>
      </x:c>
      <x:c r="E14" s="23"/>
      <x:c r="F14" s="23"/>
      <x:c r="G14" s="23"/>
      <x:c r="H14" s="23"/>
    </x:row>
    <x:row r="15" ht="36" customHeight="1">
      <x:c r="A15" s="23" t="str">
        <x:v>Identity join</x:v>
      </x:c>
      <x:c r="B15" s="23" t="str">
        <x:v>CAS is the primary join; canonical name + aliases are display/search helpers.</x:v>
      </x:c>
      <x:c r="C15" s="23" t="str">
        <x:v>Prevents synonym drift across old sheets and literature.</x:v>
      </x:c>
      <x:c r="D15" s="23" t="str">
        <x:v>required</x:v>
      </x:c>
      <x:c r="E15" s="23"/>
      <x:c r="F15" s="23"/>
      <x:c r="G15" s="23"/>
      <x:c r="H15" s="23"/>
    </x:row>
    <x:row r="16" ht="36" customHeight="1">
      <x:c r="A16" s="23" t="str">
        <x:v>Preparation state</x:v>
      </x:c>
      <x:c r="B16" s="23" t="str">
        <x:v>Protein + anatomical part + preparation are separate fields.</x:v>
      </x:c>
      <x:c r="C16" s="23" t="str">
        <x:v>Prevents breast-vs-leg differences from being misread as cooking effects.</x:v>
      </x:c>
      <x:c r="D16" s="23" t="str">
        <x:v>required</x:v>
      </x:c>
      <x:c r="E16" s="23"/>
      <x:c r="F16" s="23"/>
      <x:c r="G16" s="23"/>
      <x:c r="H16" s="23"/>
    </x:row>
    <x:row r="17" ht="36" customHeight="1">
      <x:c r="A17" s="23" t="str">
        <x:v>Evidence promotion</x:v>
      </x:c>
      <x:c r="B17" s="23" t="str">
        <x:v>Legacy rows stay legacy_unverified until a supporting source is attached.</x:v>
      </x:c>
      <x:c r="C17" s="23" t="str">
        <x:v>Keeps migration leads separate from durable scientific evidence.</x:v>
      </x:c>
      <x:c r="D17" s="23" t="str">
        <x:v>required</x:v>
      </x:c>
      <x:c r="E17" s="23"/>
      <x:c r="F17" s="23"/>
      <x:c r="G17" s="23"/>
      <x:c r="H17" s="23"/>
    </x:row>
  </x:sheetData>
  <x:mergeCells>
    <x:mergeCell ref="A1:H1"/>
    <x:mergeCell ref="A12:D12"/>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2" hidden="0" customWidth="1"/>
    <x:col min="3" max="3" width="42" hidden="0" customWidth="1"/>
    <x:col min="4" max="4" width="10" hidden="0" customWidth="1"/>
    <x:col min="5" max="5" width="48" hidden="0" customWidth="1"/>
    <x:col min="6" max="6" width="30" hidden="0" customWidth="1"/>
    <x:col min="7" max="7" width="28" hidden="0" customWidth="1"/>
    <x:col min="8" max="8" width="20" hidden="0" customWidth="1"/>
    <x:col min="9" max="9" width="30" hidden="0" customWidth="1"/>
    <x:col min="10" max="10" width="42" hidden="0" customWidth="1"/>
    <x:col min="11" max="11" width="48" hidden="0" customWidth="1"/>
    <x:col min="12" max="12" width="36" hidden="0" customWidth="1"/>
    <x:col min="13" max="13" width="20" hidden="0" customWidth="1"/>
  </x:cols>
  <x:sheetData>
    <x:row r="1" ht="34" customHeight="1">
      <x:c r="A1" s="50" t="str">
        <x:v>source_id</x:v>
      </x:c>
      <x:c r="B1" s="50" t="str">
        <x:v>source_type</x:v>
      </x:c>
      <x:c r="C1" s="50" t="str">
        <x:v>authors</x:v>
      </x:c>
      <x:c r="D1" s="50" t="str">
        <x:v>year</x:v>
      </x:c>
      <x:c r="E1" s="50" t="str">
        <x:v>title</x:v>
      </x:c>
      <x:c r="F1" s="50" t="str">
        <x:v>journal</x:v>
      </x:c>
      <x:c r="G1" s="50" t="str">
        <x:v>doi</x:v>
      </x:c>
      <x:c r="H1" s="50" t="str">
        <x:v>direct_state_supported</x:v>
      </x:c>
      <x:c r="I1" s="50" t="str">
        <x:v>part_or_sample</x:v>
      </x:c>
      <x:c r="J1" s="50" t="str">
        <x:v>method_or_evidence</x:v>
      </x:c>
      <x:c r="K1" s="50" t="str">
        <x:v>source_url</x:v>
      </x:c>
      <x:c r="L1" s="50" t="str">
        <x:v>identity_or_evidence_use</x:v>
      </x:c>
      <x:c r="M1" s="50" t="str">
        <x:v>provenance_status</x:v>
      </x:c>
      <x:c r="N1" s="23"/>
      <x:c r="O1" s="23"/>
      <x:c r="P1" s="23"/>
      <x:c r="Q1" s="23"/>
      <x:c r="R1" s="23"/>
      <x:c r="S1" s="23"/>
      <x:c r="T1" s="23"/>
      <x:c r="U1" s="23"/>
      <x:c r="V1" s="23"/>
      <x:c r="W1" s="23"/>
      <x:c r="X1" s="23"/>
      <x:c r="Y1" s="23"/>
      <x:c r="Z1" s="23"/>
    </x:row>
    <x:row r="2">
      <x:c r="A2" s="48" t="str">
        <x:v>SRC-DUCK-RAW-001</x:v>
      </x:c>
      <x:c r="B2" s="48" t="str">
        <x:v>primary_peer_reviewed</x:v>
      </x:c>
      <x:c r="C2" s="48" t="str">
        <x:v>Kaiqi Weng; Lina Song; Qiang Bao; Zhengfeng Cao; Yu Zhang; Yang Zhang; Guohong Chen; Qi Xu</x:v>
      </x:c>
      <x:c r="D2" s="48" t="n">
        <x:v>2022</x:v>
      </x:c>
      <x:c r="E2" s="48" t="str">
        <x:v>Comparative Characterization of Key Volatile Compounds in Slow- and Fast-Growing Duck Raw Meat Based on Widely Targeted Metabolomics</x:v>
      </x:c>
      <x:c r="F2" s="48" t="str">
        <x:v>Foods</x:v>
      </x:c>
      <x:c r="G2" s="48" t="str">
        <x:v>10.3390/foods11243975</x:v>
      </x:c>
      <x:c r="H2" s="48" t="str">
        <x:v>raw</x:v>
      </x:c>
      <x:c r="I2" s="48" t="str">
        <x:v>raw duck meat; Liancheng White and Cherry Valley ducks</x:v>
      </x:c>
      <x:c r="J2" s="48" t="str">
        <x:v>SPME-GC-MS + widely targeted metabolomics; compounds reported abundant regardless of breed</x:v>
      </x:c>
      <x:c r="K2" s="48" t="str">
        <x:v>https://pubmed.ncbi.nlm.nih.gov/36553717/</x:v>
      </x:c>
      <x:c r="L2" s="48" t="str">
        <x:v>direct measured evidence for raw duck profile</x:v>
      </x:c>
      <x:c r="M2" s="48" t="str">
        <x:v>verified</x:v>
      </x:c>
      <x:c r="N2" s="23"/>
      <x:c r="O2" s="23"/>
      <x:c r="P2" s="23"/>
      <x:c r="Q2" s="23"/>
      <x:c r="R2" s="23"/>
      <x:c r="S2" s="23"/>
      <x:c r="T2" s="23"/>
      <x:c r="U2" s="23"/>
      <x:c r="V2" s="23"/>
      <x:c r="W2" s="23"/>
      <x:c r="X2" s="23"/>
      <x:c r="Y2" s="23"/>
      <x:c r="Z2" s="23"/>
    </x:row>
    <x:row r="3">
      <x:c r="A3" s="48" t="str">
        <x:v>SRC-DUCK-COOK-001</x:v>
      </x:c>
      <x:c r="B3" s="48" t="str">
        <x:v>primary_peer_reviewed</x:v>
      </x:c>
      <x:c r="C3" s="48" t="str">
        <x:v>Gaiming Zhao; Jiali Zhang; Sen Wang; Xiaoling Yu; Qiuhui Zhang; Chaozhi Zhu</x:v>
      </x:c>
      <x:c r="D3" s="48" t="n">
        <x:v>2024</x:v>
      </x:c>
      <x:c r="E3" s="48" t="str">
        <x:v>Influence of heating temperatures and storage on the odor of duck meat and identification of characteristic odorous smell compounds</x:v>
      </x:c>
      <x:c r="F3" s="48" t="str">
        <x:v>Food Chemistry: X</x:v>
      </x:c>
      <x:c r="G3" s="48" t="str">
        <x:v>10.1016/j.fochx.2024.101242</x:v>
      </x:c>
      <x:c r="H3" s="48" t="str">
        <x:v>cooked</x:v>
      </x:c>
      <x:c r="I3" s="48" t="str">
        <x:v>duck breast cooked at 90, 100 and 105 °C</x:v>
      </x:c>
      <x:c r="J3" s="48" t="str">
        <x:v>HS-GC-IMS + sensory evaluation + ROAV + OPLS-DA; nine compounds retained after ROAV/sensory and VIP&gt;1 screening</x:v>
      </x:c>
      <x:c r="K3" s="48" t="str">
        <x:v>https://pmc.ncbi.nlm.nih.gov/articles/PMC10900772/</x:v>
      </x:c>
      <x:c r="L3" s="48" t="str">
        <x:v>direct measured evidence for cooked duck profile; inheritance source for confit</x:v>
      </x:c>
      <x:c r="M3" s="48" t="str">
        <x:v>verified</x:v>
      </x:c>
      <x:c r="N3" s="23"/>
      <x:c r="O3" s="23"/>
      <x:c r="P3" s="23"/>
      <x:c r="Q3" s="23"/>
      <x:c r="R3" s="23"/>
      <x:c r="S3" s="23"/>
      <x:c r="T3" s="23"/>
      <x:c r="U3" s="23"/>
      <x:c r="V3" s="23"/>
      <x:c r="W3" s="23"/>
      <x:c r="X3" s="23"/>
      <x:c r="Y3" s="23"/>
      <x:c r="Z3" s="23"/>
    </x:row>
    <x:row r="4">
      <x:c r="A4" s="48" t="str">
        <x:v>SRC-DUCK-ROAST-001</x:v>
      </x:c>
      <x:c r="B4" s="48" t="str">
        <x:v>primary_peer_reviewed</x:v>
      </x:c>
      <x:c r="C4" s="48" t="str">
        <x:v>Huan Liu; Zhenyu Wang; Dequan Zhang; Qingwu Shen; Teng Pan; Teng Hui; Jianrong Ma</x:v>
      </x:c>
      <x:c r="D4" s="48" t="n">
        <x:v>2019</x:v>
      </x:c>
      <x:c r="E4" s="48" t="str">
        <x:v>Characterization of Key Aroma Compounds in Beijing Roasted Duck by Gas Chromatography-Olfactometry-Mass Spectrometry, Odor-Activity Values, and Aroma-Recombination Experiments</x:v>
      </x:c>
      <x:c r="F4" s="48" t="str">
        <x:v>Journal of Agricultural and Food Chemistry</x:v>
      </x:c>
      <x:c r="G4" s="48" t="str">
        <x:v>10.1021/acs.jafc.9b01564</x:v>
      </x:c>
      <x:c r="H4" s="48" t="str">
        <x:v>roasted</x:v>
      </x:c>
      <x:c r="I4" s="48" t="str">
        <x:v>breast skin and breast muscle of Beijing roasted duck</x:v>
      </x:c>
      <x:c r="J4" s="48" t="str">
        <x:v>GC-O-MS + OAV + aroma recombination/omission + sensory evaluation; nine compounds significantly contributed</x:v>
      </x:c>
      <x:c r="K4" s="48" t="str">
        <x:v>https://pubmed.ncbi.nlm.nih.gov/31042865/</x:v>
      </x:c>
      <x:c r="L4" s="48" t="str">
        <x:v>direct measured evidence for roasted duck profile; inheritance source for seared</x:v>
      </x:c>
      <x:c r="M4" s="48" t="str">
        <x:v>verified</x:v>
      </x:c>
      <x:c r="N4" s="23"/>
      <x:c r="O4" s="23"/>
      <x:c r="P4" s="23"/>
      <x:c r="Q4" s="23"/>
      <x:c r="R4" s="23"/>
      <x:c r="S4" s="23"/>
      <x:c r="T4" s="23"/>
      <x:c r="U4" s="23"/>
      <x:c r="V4" s="23"/>
      <x:c r="W4" s="23"/>
      <x:c r="X4" s="23"/>
      <x:c r="Y4" s="23"/>
      <x:c r="Z4" s="23"/>
    </x:row>
    <x:row r="5">
      <x:c r="A5" s="48" t="str">
        <x:v>SRC-DUCK-SMOKE-001</x:v>
      </x:c>
      <x:c r="B5" s="48" t="str">
        <x:v>primary_peer_reviewed</x:v>
      </x:c>
      <x:c r="C5" s="48" t="str">
        <x:v>Huan Liu; Jingyu Li; Nazimah Hamid; Junke Li; Xuemei Sun; Fang Wang; Dengyong Liu; Qianli Ma; Shuyang Sun; Hansheng Gong</x:v>
      </x:c>
      <x:c r="D5" s="48" t="n">
        <x:v>2023</x:v>
      </x:c>
      <x:c r="E5" s="48" t="str">
        <x:v>Characterization of key aroma compounds in Chinese smoked duck by SAFE-GC-O-MS and aroma-recombination experiments</x:v>
      </x:c>
      <x:c r="F5" s="48" t="str">
        <x:v>Food Chemistry: X</x:v>
      </x:c>
      <x:c r="G5" s="48" t="str">
        <x:v>10.1016/j.fochx.2023.100997</x:v>
      </x:c>
      <x:c r="H5" s="48" t="str">
        <x:v>smoked</x:v>
      </x:c>
      <x:c r="I5" s="48" t="str">
        <x:v>rice-, tea oil-, and sugarcane-smoked duck products</x:v>
      </x:c>
      <x:c r="J5" s="48" t="str">
        <x:v>SAFE-GC-O-MS + OAV + aroma recombination/omission + sensory evaluation; eight compounds significant at p&lt;0.01</x:v>
      </x:c>
      <x:c r="K5" s="48" t="str">
        <x:v>https://pubmed.ncbi.nlm.nih.gov/38144725/</x:v>
      </x:c>
      <x:c r="L5" s="48" t="str">
        <x:v>direct measured evidence for smoked duck profile</x:v>
      </x:c>
      <x:c r="M5" s="48" t="str">
        <x:v>verified</x:v>
      </x:c>
      <x:c r="N5" s="23"/>
      <x:c r="O5" s="23"/>
      <x:c r="P5" s="23"/>
      <x:c r="Q5" s="23"/>
      <x:c r="R5" s="23"/>
      <x:c r="S5" s="23"/>
      <x:c r="T5" s="23"/>
      <x:c r="U5" s="23"/>
      <x:c r="V5" s="23"/>
      <x:c r="W5" s="23"/>
      <x:c r="X5" s="23"/>
      <x:c r="Y5" s="23"/>
      <x:c r="Z5" s="23"/>
    </x:row>
    <x:row r="6">
      <x:c r="A6" s="49" t="str">
        <x:v>SRC-CHICK-RAW-001</x:v>
      </x:c>
      <x:c r="B6" s="49" t="str">
        <x:v>primary_peer_reviewed</x:v>
      </x:c>
      <x:c r="C6" s="49" t="str">
        <x:v>Guang Chen; Xun-Yan Ling; Ming-Shu Xie; Yang-Fan Xiong; Ting-Ting Li; Ying Wang; Cong-Lin Shui; Chao-Mu Li; Bao-Cai Xu; Fei Ma</x:v>
      </x:c>
      <x:c r="D6" s="49" t="n">
        <x:v>2024</x:v>
      </x:c>
      <x:c r="E6" s="49" t="str">
        <x:v>Systematic evaluation of the meat qualities of free-range chicken (Xuan-Zhou) under different ages explored the optimal slaughter age</x:v>
      </x:c>
      <x:c r="F6" s="49" t="str">
        <x:v>Poultry Science</x:v>
      </x:c>
      <x:c r="G6" s="49" t="str">
        <x:v>10.1016/j.psj.2024.104019</x:v>
      </x:c>
      <x:c r="H6" s="49" t="str">
        <x:v>raw</x:v>
      </x:c>
      <x:c r="I6" s="49" t="str">
        <x:v>breast and thigh muscles of Xuan-Zhou free-range chickens, 9–14 weeks</x:v>
      </x:c>
      <x:c r="J6" s="49" t="str">
        <x:v>56 VOCs measured; six compounds exceeded sensory thresholds in all or several samples and were retained for evaluation</x:v>
      </x:c>
      <x:c r="K6" s="49" t="str">
        <x:v>https://pmc.ncbi.nlm.nih.gov/articles/PMC11283215/</x:v>
      </x:c>
      <x:c r="L6" s="49" t="str">
        <x:v>direct measured evidence for conservative raw chicken odor-active seed</x:v>
      </x:c>
      <x:c r="M6" s="49" t="str">
        <x:v>verified</x:v>
      </x:c>
      <x:c r="N6" s="23"/>
      <x:c r="O6" s="23"/>
      <x:c r="P6" s="23"/>
      <x:c r="Q6" s="23"/>
      <x:c r="R6" s="23"/>
      <x:c r="S6" s="23"/>
      <x:c r="T6" s="23"/>
      <x:c r="U6" s="23"/>
      <x:c r="V6" s="23"/>
      <x:c r="W6" s="23"/>
      <x:c r="X6" s="23"/>
      <x:c r="Y6" s="23"/>
      <x:c r="Z6" s="23"/>
    </x:row>
    <x:row r="7">
      <x:c r="A7" s="49" t="str">
        <x:v>SRC-CHICK-POACH-001</x:v>
      </x:c>
      <x:c r="B7" s="49" t="str">
        <x:v>primary_peer_reviewed</x:v>
      </x:c>
      <x:c r="C7" s="49" t="str">
        <x:v>Gregory S. Jones; Anderson Bouton; Krystal L. Jones; Andrew C. Cauble; Lightsey Laffitte; Paul Dawson; Julia Sharp; Margaret D. Condrasky</x:v>
      </x:c>
      <x:c r="D7" s="49" t="n">
        <x:v>2012</x:v>
      </x:c>
      <x:c r="E7" s="49" t="str">
        <x:v>Analysis of the Effect That Holding Time Has on the Perceived Sensory Quality and Acceptability of Poached Chicken</x:v>
      </x:c>
      <x:c r="F7" s="49" t="str">
        <x:v>Journal of Culinary Science &amp; Technology</x:v>
      </x:c>
      <x:c r="G7" s="49" t="str">
        <x:v>10.1080/15428052.2012.706120</x:v>
      </x:c>
      <x:c r="H7" s="49" t="str">
        <x:v>poached</x:v>
      </x:c>
      <x:c r="I7" s="49" t="str">
        <x:v>poached chicken; 1- vs 10-minute holding comparison</x:v>
      </x:c>
      <x:c r="J7" s="49" t="str">
        <x:v>GC-MS; three volatile compounds changed consistently with holding time</x:v>
      </x:c>
      <x:c r="K7" s="49" t="str">
        <x:v>https://www.tandfonline.com/doi/full/10.1080/15428052.2012.706120</x:v>
      </x:c>
      <x:c r="L7" s="49" t="str">
        <x:v>direct measured poached markers; not a complete key-aroma profile</x:v>
      </x:c>
      <x:c r="M7" s="49" t="str">
        <x:v>verified</x:v>
      </x:c>
      <x:c r="N7" s="23"/>
      <x:c r="O7" s="23"/>
      <x:c r="P7" s="23"/>
      <x:c r="Q7" s="23"/>
      <x:c r="R7" s="23"/>
      <x:c r="S7" s="23"/>
      <x:c r="T7" s="23"/>
      <x:c r="U7" s="23"/>
      <x:c r="V7" s="23"/>
      <x:c r="W7" s="23"/>
      <x:c r="X7" s="23"/>
      <x:c r="Y7" s="23"/>
      <x:c r="Z7" s="23"/>
    </x:row>
    <x:row r="8">
      <x:c r="A8" s="49" t="str">
        <x:v>SRC-CHICK-ROAST-001</x:v>
      </x:c>
      <x:c r="B8" s="49" t="str">
        <x:v>primary_peer_reviewed</x:v>
      </x:c>
      <x:c r="C8" s="49" t="str">
        <x:v>Ruotong Nie; Chunjiang Zhang et al.</x:v>
      </x:c>
      <x:c r="D8" s="49" t="n">
        <x:v>2024</x:v>
      </x:c>
      <x:c r="E8" s="49" t="str">
        <x:v>Characterization of key aroma compounds in roasted chicken using SPME, SAFE, GC-O, GC-MS, AEDA, OAV, recombination-omission tests, and sensory evaluation</x:v>
      </x:c>
      <x:c r="F8" s="49" t="str">
        <x:v>Food Chemistry: X</x:v>
      </x:c>
      <x:c r="G8" s="49" t="str">
        <x:v>10.1016/j.fochx.2024.101167</x:v>
      </x:c>
      <x:c r="H8" s="49" t="str">
        <x:v>roasted</x:v>
      </x:c>
      <x:c r="I8" s="49" t="str">
        <x:v>roasted chicken breast, thigh, and skin from three commercial roasting methods</x:v>
      </x:c>
      <x:c r="J8" s="49" t="str">
        <x:v>SPME + SAFE + GC-O-MS + AEDA + OAV + recombination/omission; 20 significant odorants; 10 critical compounds shared across three roasted chickens</x:v>
      </x:c>
      <x:c r="K8" s="49" t="str">
        <x:v>https://pmc.ncbi.nlm.nih.gov/articles/PMC10900400/</x:v>
      </x:c>
      <x:c r="L8" s="49" t="str">
        <x:v>direct measured roasted profile; recipe/spice context explicitly flagged</x:v>
      </x:c>
      <x:c r="M8" s="49" t="str">
        <x:v>verified</x:v>
      </x:c>
      <x:c r="N8" s="23"/>
      <x:c r="O8" s="23"/>
      <x:c r="P8" s="23"/>
      <x:c r="Q8" s="23"/>
      <x:c r="R8" s="23"/>
      <x:c r="S8" s="23"/>
      <x:c r="T8" s="23"/>
      <x:c r="U8" s="23"/>
      <x:c r="V8" s="23"/>
      <x:c r="W8" s="23"/>
      <x:c r="X8" s="23"/>
      <x:c r="Y8" s="23"/>
      <x:c r="Z8" s="23"/>
    </x:row>
    <x:row r="9">
      <x:c r="A9" s="49" t="str">
        <x:v>SRC-CHICK-FRY-001</x:v>
      </x:c>
      <x:c r="B9" s="49" t="str">
        <x:v>primary_peer_reviewed</x:v>
      </x:c>
      <x:c r="C9" s="49" t="str">
        <x:v>Yongrui Wang; Heyu Zhang; Jiarui Cui; Shuang Gao; Shuang Bai; Liqin You; Chen Ji; Songlei Wang</x:v>
      </x:c>
      <x:c r="D9" s="49" t="n">
        <x:v>2024</x:v>
      </x:c>
      <x:c r="E9" s="49" t="str">
        <x:v>Dynamic changes in the water and volatile compounds of chicken breast during the frying process</x:v>
      </x:c>
      <x:c r="F9" s="49" t="str">
        <x:v>Food Research International</x:v>
      </x:c>
      <x:c r="G9" s="49" t="str">
        <x:v>10.1016/j.foodres.2023.113715</x:v>
      </x:c>
      <x:c r="H9" s="49" t="str">
        <x:v>fried</x:v>
      </x:c>
      <x:c r="I9" s="49" t="str">
        <x:v>chicken breast fried for 0, 2, 4, 6, 8, and 10 minutes</x:v>
      </x:c>
      <x:c r="J9" s="49" t="str">
        <x:v>E-nose + HS-SPME-GC-MS + OAV; 40 VOCs identified and 28 key compounds selected, but compound-level key list not available in accessible source text used here</x:v>
      </x:c>
      <x:c r="K9" s="49" t="str">
        <x:v>https://pubmed.ncbi.nlm.nih.gov/38129035/</x:v>
      </x:c>
      <x:c r="L9" s="49" t="str">
        <x:v>direct source verifies fried state and key-compound count; profile rows withheld pending compound-resolved table</x:v>
      </x:c>
      <x:c r="M9" s="49" t="str">
        <x:v>verified_source_only</x:v>
      </x:c>
      <x:c r="N9" s="23"/>
      <x:c r="O9" s="23"/>
      <x:c r="P9" s="23"/>
      <x:c r="Q9" s="23"/>
      <x:c r="R9" s="23"/>
      <x:c r="S9" s="23"/>
      <x:c r="T9" s="23"/>
      <x:c r="U9" s="23"/>
      <x:c r="V9" s="23"/>
      <x:c r="W9" s="23"/>
      <x:c r="X9" s="23"/>
      <x:c r="Y9" s="23"/>
      <x:c r="Z9" s="23"/>
    </x:row>
    <x:row r="10">
      <x:c r="A10" s="49" t="str">
        <x:v>SRC-CHICK-GRILL-001</x:v>
      </x:c>
      <x:c r="B10" s="49" t="str">
        <x:v>primary_peer_reviewed</x:v>
      </x:c>
      <x:c r="C10" s="49" t="str">
        <x:v>Fedor S. Fedorov; Ainul Yaqin; Dmitry V. Krasnikov; Vladislav A. Kondrashov; George Ovchinnikov; Yury Kostyukevich; Sergey Osipenko; Albert G. Nasibulin</x:v>
      </x:c>
      <x:c r="D10" s="49" t="n">
        <x:v>2021</x:v>
      </x:c>
      <x:c r="E10" s="49" t="str">
        <x:v>Detecting cooking state of grilled chicken by electronic nose and computer vision techniques</x:v>
      </x:c>
      <x:c r="F10" s="49" t="str">
        <x:v>Food Chemistry</x:v>
      </x:c>
      <x:c r="G10" s="49" t="str">
        <x:v>10.1016/j.foodchem.2020.128747</x:v>
      </x:c>
      <x:c r="H10" s="49" t="str">
        <x:v>grilled</x:v>
      </x:c>
      <x:c r="I10" s="49" t="str">
        <x:v>grilled chicken across cooking states</x:v>
      </x:c>
      <x:c r="J10" s="49" t="str">
        <x:v>electronic nose + computer vision + thermogravimetry + differential mobility analysis + mass spectrometry; source reports aromatic and sulfur-containing compound release but accessible record is not compound-resolved</x:v>
      </x:c>
      <x:c r="K10" s="49" t="str">
        <x:v>https://pubmed.ncbi.nlm.nih.gov/33307429/</x:v>
      </x:c>
      <x:c r="L10" s="49" t="str">
        <x:v>direct source verifies grilled-state volatile behavior; compound profile withheld pending compound-resolved evidence</x:v>
      </x:c>
      <x:c r="M10" s="49" t="str">
        <x:v>verified_source_only</x:v>
      </x:c>
      <x:c r="N10" s="23"/>
      <x:c r="O10" s="23"/>
      <x:c r="P10" s="23"/>
      <x:c r="Q10" s="23"/>
      <x:c r="R10" s="23"/>
      <x:c r="S10" s="23"/>
      <x:c r="T10" s="23"/>
      <x:c r="U10" s="23"/>
      <x:c r="V10" s="23"/>
      <x:c r="W10" s="23"/>
      <x:c r="X10" s="23"/>
      <x:c r="Y10" s="23"/>
      <x:c r="Z10" s="23"/>
    </x:row>
    <x:row r="11">
      <x:c r="A11" s="49" t="str">
        <x:v>SRC-CHICK-STEW-001</x:v>
      </x:c>
      <x:c r="B11" s="49" t="str">
        <x:v>primary_peer_reviewed</x:v>
      </x:c>
      <x:c r="C11" s="49" t="str">
        <x:v>Wenqian Lei; Zhaowei Cui; Wanqi Hu; Mengxuan Wang; Xuhua Chen; Xiaojia Hu; Prince Chisoro; Dong Han; Jianchuan Zhou; Chunhui Zhang</x:v>
      </x:c>
      <x:c r="D11" s="49" t="n">
        <x:v>2025</x:v>
      </x:c>
      <x:c r="E11" s="49" t="str">
        <x:v>Characterization and comparison of flavor compounds in different specialty chicken meat after stewing</x:v>
      </x:c>
      <x:c r="F11" s="49" t="str">
        <x:v>Food Chemistry: X</x:v>
      </x:c>
      <x:c r="G11" s="49" t="str">
        <x:v>10.1016/j.fochx.2025.102589</x:v>
      </x:c>
      <x:c r="H11" s="49" t="str">
        <x:v>stewed</x:v>
      </x:c>
      <x:c r="I11" s="49" t="str">
        <x:v>breast and leg meat from three specialty chicken types after stewing</x:v>
      </x:c>
      <x:c r="J11" s="49" t="str">
        <x:v>GC-O-MS + GC-IMS; 13 odor-active compounds with ROAV &gt; 1</x:v>
      </x:c>
      <x:c r="K11" s="49" t="str">
        <x:v>https://pmc.ncbi.nlm.nih.gov/articles/PMC12167448/</x:v>
      </x:c>
      <x:c r="L11" s="49" t="str">
        <x:v>supplemental direct moist-heat state; not silently substituted for poached</x:v>
      </x:c>
      <x:c r="M11" s="49" t="str">
        <x:v>verified</x:v>
      </x:c>
      <x:c r="N11" s="23"/>
      <x:c r="O11" s="23"/>
      <x:c r="P11" s="23"/>
      <x:c r="Q11" s="23"/>
      <x:c r="R11" s="23"/>
      <x:c r="S11" s="23"/>
      <x:c r="T11" s="23"/>
      <x:c r="U11" s="23"/>
      <x:c r="V11" s="23"/>
      <x:c r="W11" s="23"/>
      <x:c r="X11" s="23"/>
      <x:c r="Y11" s="23"/>
      <x:c r="Z11" s="23"/>
    </x:row>
    <x:row r="12">
      <x:c r="A12" s="49" t="str">
        <x:v>SRC-CHICK-AIRFRY-001</x:v>
      </x:c>
      <x:c r="B12" s="49" t="str">
        <x:v>primary_peer_reviewed</x:v>
      </x:c>
      <x:c r="C12" s="49" t="str">
        <x:v>Jicai Bi; Zeyuan Lin; Yang Li; Fusheng Chen; Sixin Liu; Congfa Li</x:v>
      </x:c>
      <x:c r="D12" s="49" t="n">
        <x:v>2021</x:v>
      </x:c>
      <x:c r="E12" s="49" t="str">
        <x:v>Effects of different cooking methods on volatile flavor compounds of chicken breast</x:v>
      </x:c>
      <x:c r="F12" s="49" t="str">
        <x:v>Journal of Food Biochemistry</x:v>
      </x:c>
      <x:c r="G12" s="49" t="str">
        <x:v>10.1111/jfbc.13770</x:v>
      </x:c>
      <x:c r="H12" s="49" t="str">
        <x:v>air_fried / stewed</x:v>
      </x:c>
      <x:c r="I12" s="49" t="str">
        <x:v>Gushi chicken breast after air frying and stewing</x:v>
      </x:c>
      <x:c r="J12" s="49" t="str">
        <x:v>GC-IMS + PCA + ROAV; characteristic markers and partial ROAV&gt;=1 compound sets reported in abstract</x:v>
      </x:c>
      <x:c r="K12" s="49" t="str">
        <x:v>https://pubmed.ncbi.nlm.nih.gov/34254338/</x:v>
      </x:c>
      <x:c r="L12" s="49" t="str">
        <x:v>supplemental high-heat and moist-heat source; not used to relabel frying/grilling</x:v>
      </x:c>
      <x:c r="M12" s="49" t="str">
        <x:v>verified</x:v>
      </x:c>
      <x:c r="N12" s="23"/>
      <x:c r="O12" s="23"/>
      <x:c r="P12" s="23"/>
      <x:c r="Q12" s="23"/>
      <x:c r="R12" s="23"/>
      <x:c r="S12" s="23"/>
      <x:c r="T12" s="23"/>
      <x:c r="U12" s="23"/>
      <x:c r="V12" s="23"/>
      <x:c r="W12" s="23"/>
      <x:c r="X12" s="23"/>
      <x:c r="Y12" s="23"/>
      <x:c r="Z12" s="23"/>
    </x:row>
    <x:row r="13">
      <x:c r="A13" s="59" t="str">
        <x:v>SRC-TURKEY-RAW-001</x:v>
      </x:c>
      <x:c r="B13" s="59" t="str">
        <x:v>primary_peer_reviewed</x:v>
      </x:c>
      <x:c r="C13" s="59" t="str">
        <x:v>Paweł Satora; Magdalena Michalczyk; Joanna Banaś</x:v>
      </x:c>
      <x:c r="D13" s="59" t="n">
        <x:v>2024</x:v>
      </x:c>
      <x:c r="E13" s="59" t="str">
        <x:v>Impact of Thyme Essential Oil on the Aroma Profile and Shelf Life of Vacuum-Packed Minced Turkey Meat</x:v>
      </x:c>
      <x:c r="F13" s="59" t="str">
        <x:v>Molecules</x:v>
      </x:c>
      <x:c r="G13" s="59" t="str">
        <x:v>10.3390/molecules29153524</x:v>
      </x:c>
      <x:c r="H13" s="59" t="str">
        <x:v>raw</x:v>
      </x:c>
      <x:c r="I13" s="59" t="str">
        <x:v>fresh raw minced turkey meat control, with stored/EO treatments also studied</x:v>
      </x:c>
      <x:c r="J13" s="59" t="str">
        <x:v>HS-SPME/GC-MS; fresh-control concentrations interpreted against published odor thresholds/OAVs</x:v>
      </x:c>
      <x:c r="K13" s="59" t="str">
        <x:v>https://pmc.ncbi.nlm.nih.gov/articles/PMC11314540/</x:v>
      </x:c>
      <x:c r="L13" s="59" t="str">
        <x:v>direct measured raw turkey profile; odor-active status is source-level OAV inference, not GC-O confirmation</x:v>
      </x:c>
      <x:c r="M13" s="59" t="str">
        <x:v>verified</x:v>
      </x:c>
      <x:c r="N13" s="23"/>
      <x:c r="O13" s="23"/>
      <x:c r="P13" s="23"/>
      <x:c r="Q13" s="23"/>
      <x:c r="R13" s="23"/>
      <x:c r="S13" s="23"/>
      <x:c r="T13" s="23"/>
      <x:c r="U13" s="23"/>
      <x:c r="V13" s="23"/>
      <x:c r="W13" s="23"/>
      <x:c r="X13" s="23"/>
      <x:c r="Y13" s="23"/>
      <x:c r="Z13" s="23"/>
    </x:row>
    <x:row r="14">
      <x:c r="A14" s="59" t="str">
        <x:v>SRC-TURKEY-COOK-001</x:v>
      </x:c>
      <x:c r="B14" s="59" t="str">
        <x:v>primary_peer_reviewed</x:v>
      </x:c>
      <x:c r="C14" s="59" t="str">
        <x:v>Nigel P. Brunton; Denis A. Cronin; Frank J. Monahan</x:v>
      </x:c>
      <x:c r="D14" s="59" t="n">
        <x:v>2002</x:v>
      </x:c>
      <x:c r="E14" s="59" t="str">
        <x:v>Volatile components associated with freshly cooked and oxidized off-flavours in turkey breast meat</x:v>
      </x:c>
      <x:c r="F14" s="59" t="str">
        <x:v>Flavour and Fragrance Journal</x:v>
      </x:c>
      <x:c r="G14" s="59" t="str">
        <x:v>10.1002/ffj.1087</x:v>
      </x:c>
      <x:c r="H14" s="59" t="str">
        <x:v>cooked</x:v>
      </x:c>
      <x:c r="I14" s="59" t="str">
        <x:v>freshly cooked turkey breast muscle, air- vs nitrogen-cooled; plus 3-day chilled oxidized samples</x:v>
      </x:c>
      <x:c r="J14" s="59" t="str">
        <x:v>headspace SPME-GC-MS + GC-olfactometry using modified AEDA</x:v>
      </x:c>
      <x:c r="K14" s="59" t="str">
        <x:v>https://onlinelibrary.wiley.com/doi/10.1002/ffj.1087</x:v>
      </x:c>
      <x:c r="L14" s="59" t="str">
        <x:v>direct measured freshly cooked turkey key odor contributors</x:v>
      </x:c>
      <x:c r="M14" s="59" t="str">
        <x:v>verified</x:v>
      </x:c>
      <x:c r="N14" s="23"/>
      <x:c r="O14" s="23"/>
      <x:c r="P14" s="23"/>
      <x:c r="Q14" s="23"/>
      <x:c r="R14" s="23"/>
      <x:c r="S14" s="23"/>
      <x:c r="T14" s="23"/>
      <x:c r="U14" s="23"/>
      <x:c r="V14" s="23"/>
      <x:c r="W14" s="23"/>
      <x:c r="X14" s="23"/>
      <x:c r="Y14" s="23"/>
      <x:c r="Z14" s="23"/>
    </x:row>
    <x:row r="15">
      <x:c r="A15" s="59" t="str">
        <x:v>SRC-TURKEY-SPECIES-001</x:v>
      </x:c>
      <x:c r="B15" s="59" t="str">
        <x:v>primary_peer_reviewed</x:v>
      </x:c>
      <x:c r="C15" s="59" t="str">
        <x:v>Qianlin Ni; Iuliia Khomenko; Luigi Gallo; Franco Biasioli; Giovanni Bittante</x:v>
      </x:c>
      <x:c r="D15" s="59" t="n">
        <x:v>2020</x:v>
      </x:c>
      <x:c r="E15" s="59" t="str">
        <x:v>Rapid Profiling of the Volatilome of Cooked Meat by PTR-ToF-MS: Characterization of Chicken, Turkey, Pork, Veal and Beef Meat</x:v>
      </x:c>
      <x:c r="F15" s="59" t="str">
        <x:v>Foods</x:v>
      </x:c>
      <x:c r="G15" s="59" t="str">
        <x:v>10.3390/foods9121776</x:v>
      </x:c>
      <x:c r="H15" s="59" t="str">
        <x:v>cooked_cross_species</x:v>
      </x:c>
      <x:c r="I15" s="59" t="str">
        <x:v>turkey and chicken meat patties; two water-bath cooked and two grilled per animal</x:v>
      </x:c>
      <x:c r="J15" s="59" t="str">
        <x:v>PTR-ToF-MS; 129 mass peaks, 64 tentatively identified; direct species comparison</x:v>
      </x:c>
      <x:c r="K15" s="59" t="str">
        <x:v>https://pmc.ncbi.nlm.nih.gov/articles/PMC7761320/</x:v>
      </x:c>
      <x:c r="L15" s="59" t="str">
        <x:v>species-signature evidence; useful for turkey-vs-chicken trend inference, not exact compound identity where m/z is ambiguous</x:v>
      </x:c>
      <x:c r="M15" s="59" t="str">
        <x:v>verified</x:v>
      </x:c>
      <x:c r="N15" s="23"/>
      <x:c r="O15" s="23"/>
      <x:c r="P15" s="23"/>
      <x:c r="Q15" s="23"/>
      <x:c r="R15" s="23"/>
      <x:c r="S15" s="23"/>
      <x:c r="T15" s="23"/>
      <x:c r="U15" s="23"/>
      <x:c r="V15" s="23"/>
      <x:c r="W15" s="23"/>
      <x:c r="X15" s="23"/>
      <x:c r="Y15" s="23"/>
      <x:c r="Z15" s="23"/>
    </x:row>
    <x:row r="16">
      <x:c r="A16" s="59" t="str">
        <x:v>SRC-TURKEY-ROAST-001</x:v>
      </x:c>
      <x:c r="B16" s="59" t="str">
        <x:v>primary_peer_reviewed</x:v>
      </x:c>
      <x:c r="C16" s="59" t="str">
        <x:v>M. J. Zhu; A. Mendonca; E. J. Lee; D. U. Ahn</x:v>
      </x:c>
      <x:c r="D16" s="59" t="n">
        <x:v>2004</x:v>
      </x:c>
      <x:c r="E16" s="59" t="str">
        <x:v>Influence of irradiation and storage on the quality of ready-to-eat turkey breast rolls</x:v>
      </x:c>
      <x:c r="F16" s="59" t="str">
        <x:v>Poultry Science</x:v>
      </x:c>
      <x:c r="G16" s="59" t="str">
        <x:v>10.1093/ps/83.8.1462</x:v>
      </x:c>
      <x:c r="H16" s="59" t="str">
        <x:v>oven_roasted_processed</x:v>
      </x:c>
      <x:c r="I16" s="59" t="str">
        <x:v>commercial oven-roasted turkey breast rolls; irradiation/storage study</x:v>
      </x:c>
      <x:c r="J16" s="59" t="str">
        <x:v>volatile analysis + sensory; processed RTE product</x:v>
      </x:c>
      <x:c r="K16" s="59" t="str">
        <x:v>https://academic.oup.com/ps/article/83/8/1462/1527880</x:v>
      </x:c>
      <x:c r="L16" s="59" t="str">
        <x:v>processed oven-roasted turkey evidence only; not suitable as intrinsic roast profile because formulation/processing are confounded</x:v>
      </x:c>
      <x:c r="M16" s="59" t="str">
        <x:v>verified_context_confounded</x:v>
      </x:c>
      <x:c r="N16" s="23"/>
      <x:c r="O16" s="23"/>
      <x:c r="P16" s="23"/>
      <x:c r="Q16" s="23"/>
      <x:c r="R16" s="23"/>
      <x:c r="S16" s="23"/>
      <x:c r="T16" s="23"/>
      <x:c r="U16" s="23"/>
      <x:c r="V16" s="23"/>
      <x:c r="W16" s="23"/>
      <x:c r="X16" s="23"/>
      <x:c r="Y16" s="23"/>
      <x:c r="Z16" s="23"/>
    </x:row>
    <x:row r="17">
      <x:c r="A17" s="65" t="str">
        <x:v>SRC-GOOSE-RAW-001</x:v>
      </x:c>
      <x:c r="B17" s="65" t="str">
        <x:v>primary_peer_reviewed</x:v>
      </x:c>
      <x:c r="C17" s="65" t="str">
        <x:v>S. Soncin; L. M. Chiesa; C. Cantoni; P. A. Biondi</x:v>
      </x:c>
      <x:c r="D17" s="65" t="n">
        <x:v>2007</x:v>
      </x:c>
      <x:c r="E17" s="65" t="str">
        <x:v>Preliminary study of the volatile fraction in the raw meat of pork, duck and goose</x:v>
      </x:c>
      <x:c r="F17" s="65" t="str">
        <x:v>Journal of Food Composition and Analysis</x:v>
      </x:c>
      <x:c r="G17" s="65" t="str">
        <x:v>10.1016/j.jfca.2006.09.001</x:v>
      </x:c>
      <x:c r="H17" s="65" t="str">
        <x:v>raw</x:v>
      </x:c>
      <x:c r="I17" s="65" t="str">
        <x:v>four raw goose samples within a pork/duck/goose SPME-GC-MS comparison</x:v>
      </x:c>
      <x:c r="J17" s="65" t="str">
        <x:v>SPME-GC-MS; raw goose volatile fraction; carbon disulfide dominated the goose samples, with a halogenated contaminant also reported</x:v>
      </x:c>
      <x:c r="K17" s="65" t="str">
        <x:v>https://www.sciencedirect.com/science/article/abs/pii/S0889157506001499</x:v>
      </x:c>
      <x:c r="L17" s="65" t="str">
        <x:v>direct raw goose evidence; caution that dominant carbon disulfide may not represent endogenous desirable aroma</x:v>
      </x:c>
      <x:c r="M17" s="65" t="str">
        <x:v>verified_context_caution</x:v>
      </x:c>
      <x:c r="N17" s="23"/>
      <x:c r="O17" s="23"/>
      <x:c r="P17" s="23"/>
      <x:c r="Q17" s="23"/>
      <x:c r="R17" s="23"/>
      <x:c r="S17" s="23"/>
      <x:c r="T17" s="23"/>
      <x:c r="U17" s="23"/>
      <x:c r="V17" s="23"/>
      <x:c r="W17" s="23"/>
      <x:c r="X17" s="23"/>
      <x:c r="Y17" s="23"/>
      <x:c r="Z17" s="23"/>
    </x:row>
    <x:row r="18">
      <x:c r="A18" s="65" t="str">
        <x:v>SRC-GOOSE-COOK-001</x:v>
      </x:c>
      <x:c r="B18" s="65" t="str">
        <x:v>primary_peer_reviewed</x:v>
      </x:c>
      <x:c r="C18" s="65" t="str">
        <x:v>Ling Hua; Yuting Luo</x:v>
      </x:c>
      <x:c r="D18" s="65" t="n">
        <x:v>2025</x:v>
      </x:c>
      <x:c r="E18" s="65" t="str">
        <x:v>Comparative effects of four cooking methods on volatile flavor compounds and quality attributes of goose meat</x:v>
      </x:c>
      <x:c r="F18" s="65" t="str">
        <x:v>CyTA - Journal of Food</x:v>
      </x:c>
      <x:c r="G18" s="65" t="str">
        <x:v>10.1080/19476337.2025.2599598</x:v>
      </x:c>
      <x:c r="H18" s="65" t="str">
        <x:v>raw + cooked methods</x:v>
      </x:c>
      <x:c r="I18" s="65" t="str">
        <x:v>Sichuan white goose; raw control plus boiling, microwave, steam-assisted baking, sous-vide</x:v>
      </x:c>
      <x:c r="J18" s="65" t="str">
        <x:v>GC-IMS + E-nose + ROAV + VIP; 56 VOCs; aldehydes dominant; state-specific discriminants reported</x:v>
      </x:c>
      <x:c r="K18" s="65" t="str">
        <x:v>https://www.tandfonline.com/doi/full/10.1080/19476337.2025.2599598</x:v>
      </x:c>
      <x:c r="L18" s="65" t="str">
        <x:v>direct raw/cooked goose state-comparison evidence; provides cooked core and raw-vs-cooked directionality</x:v>
      </x:c>
      <x:c r="M18" s="65" t="str">
        <x:v>verified</x:v>
      </x:c>
      <x:c r="N18" s="23"/>
      <x:c r="O18" s="23"/>
      <x:c r="P18" s="23"/>
      <x:c r="Q18" s="23"/>
      <x:c r="R18" s="23"/>
      <x:c r="S18" s="23"/>
      <x:c r="T18" s="23"/>
      <x:c r="U18" s="23"/>
      <x:c r="V18" s="23"/>
      <x:c r="W18" s="23"/>
      <x:c r="X18" s="23"/>
      <x:c r="Y18" s="23"/>
      <x:c r="Z18" s="23"/>
    </x:row>
    <x:row r="19">
      <x:c r="A19" s="65" t="str">
        <x:v>SRC-GOOSE-ROAST-001</x:v>
      </x:c>
      <x:c r="B19" s="65" t="str">
        <x:v>primary_peer_reviewed</x:v>
      </x:c>
      <x:c r="C19" s="65" t="str">
        <x:v>Robert Gąsior; Krzysztof Wojtycza; Małgorzata A. Majcher; Halina Bielińska; Angelika Odrzywolska; Małgorzata Bączkowicz; Władysław Migdał</x:v>
      </x:c>
      <x:c r="D19" s="65" t="n">
        <x:v>2021</x:v>
      </x:c>
      <x:c r="E19" s="65" t="str">
        <x:v>Key Aroma Compounds in Roasted White Kołuda Goose</x:v>
      </x:c>
      <x:c r="F19" s="65" t="str">
        <x:v>Journal of Agricultural and Food Chemistry</x:v>
      </x:c>
      <x:c r="G19" s="65" t="str">
        <x:v>10.1021/acs.jafc.1c01475</x:v>
      </x:c>
      <x:c r="H19" s="65" t="str">
        <x:v>roasted</x:v>
      </x:c>
      <x:c r="I19" s="65" t="str">
        <x:v>roasted leg meat of White Kołuda goose</x:v>
      </x:c>
      <x:c r="J19" s="65" t="str">
        <x:v>SAFE + GC-O + AEDA + quantitation + OAV + recombination/omission + sensory evaluation; nine key aroma compounds</x:v>
      </x:c>
      <x:c r="K19" s="65" t="str">
        <x:v>https://pubmed.ncbi.nlm.nih.gov/34019403/</x:v>
      </x:c>
      <x:c r="L19" s="65" t="str">
        <x:v>direct high-confidence roasted goose key-aroma profile</x:v>
      </x:c>
      <x:c r="M19" s="65" t="str">
        <x:v>verified</x:v>
      </x:c>
      <x:c r="N19" s="23"/>
      <x:c r="O19" s="23"/>
      <x:c r="P19" s="23"/>
      <x:c r="Q19" s="23"/>
      <x:c r="R19" s="23"/>
      <x:c r="S19" s="23"/>
      <x:c r="T19" s="23"/>
      <x:c r="U19" s="23"/>
      <x:c r="V19" s="23"/>
      <x:c r="W19" s="23"/>
      <x:c r="X19" s="23"/>
      <x:c r="Y19" s="23"/>
      <x:c r="Z19" s="23"/>
    </x:row>
    <x:row r="20">
      <x:c r="A20" s="65" t="str">
        <x:v>SRC-WATERFOWL-COMP-001</x:v>
      </x:c>
      <x:c r="B20" s="65" t="str">
        <x:v>primary_peer_reviewed</x:v>
      </x:c>
      <x:c r="C20" s="65" t="str">
        <x:v>Susanne Baruth; Waldemar Ternes</x:v>
      </x:c>
      <x:c r="D20" s="65" t="n">
        <x:v>2011</x:v>
      </x:c>
      <x:c r="E20" s="65" t="str">
        <x:v>Volatile compounds of three types of roasted waterfowl (duck, mallard and goose) and of roasted duck marinated in orange juice</x:v>
      </x:c>
      <x:c r="F20" s="65" t="str">
        <x:v>European Poultry Science</x:v>
      </x:c>
      <x:c r="G20" s="65" t="str">
        <x:v>10.1016/S0003-9098(25)00778-7</x:v>
      </x:c>
      <x:c r="H20" s="65" t="str">
        <x:v>roasted_cross_species</x:v>
      </x:c>
      <x:c r="I20" s="65" t="str">
        <x:v>roasted domestic duck, mallard, and goose</x:v>
      </x:c>
      <x:c r="J20" s="65" t="str">
        <x:v>SPME + Tenax + condensation collection; GC-MS + GC-O; up to 80 volatiles per waterfowl sample</x:v>
      </x:c>
      <x:c r="K20" s="65" t="str">
        <x:v>https://www.sciencedirect.com/science/article/pii/S0003909825007787</x:v>
      </x:c>
      <x:c r="L20" s="65" t="str">
        <x:v>direct waterfowl comparison; supports shared-profile / abundance-delta pattern</x:v>
      </x:c>
      <x:c r="M20" s="65" t="str">
        <x:v>verified</x:v>
      </x:c>
      <x:c r="N20" s="23"/>
      <x:c r="O20" s="23"/>
      <x:c r="P20" s="23"/>
      <x:c r="Q20" s="23"/>
      <x:c r="R20" s="23"/>
      <x:c r="S20" s="23"/>
      <x:c r="T20" s="23"/>
      <x:c r="U20" s="23"/>
      <x:c r="V20" s="23"/>
      <x:c r="W20" s="23"/>
      <x:c r="X20" s="23"/>
      <x:c r="Y20" s="23"/>
      <x:c r="Z20" s="23"/>
    </x:row>
    <x:row r="21">
      <x:c r="A21" s="65" t="str">
        <x:v>SRC-LANDFOWL-COMP-001</x:v>
      </x:c>
      <x:c r="B21" s="65" t="str">
        <x:v>primary_peer_reviewed</x:v>
      </x:c>
      <x:c r="C21" s="65" t="str">
        <x:v>Susanne Baruth; Astrid M. Drotleff; Waldemar Ternes</x:v>
      </x:c>
      <x:c r="D21" s="65" t="n">
        <x:v>2013</x:v>
      </x:c>
      <x:c r="E21" s="65" t="str">
        <x:v>Comparison of the volatile compounds of roasted wild landfowl (pheasant, partridge and quail) and those of roasted domestic landfowl (chicken)</x:v>
      </x:c>
      <x:c r="F21" s="65" t="str">
        <x:v>European Poultry Science</x:v>
      </x:c>
      <x:c r="G21" s="65" t="str">
        <x:v>10.1016/S0003-9098(25)01499-7</x:v>
      </x:c>
      <x:c r="H21" s="65" t="str">
        <x:v>roasted_cross_species</x:v>
      </x:c>
      <x:c r="I21" s="65" t="str">
        <x:v>roasted pheasant, partridge, quail, and chicken</x:v>
      </x:c>
      <x:c r="J21" s="65" t="str">
        <x:v>SPME + Tenax + condensation collection; GC-MS + GC-O; 83 total compounds, 38 shared across all four species</x:v>
      </x:c>
      <x:c r="K21" s="65" t="str">
        <x:v>https://www.sciencedirect.com/science/article/pii/S0003909825014997</x:v>
      </x:c>
      <x:c r="L21" s="65" t="str">
        <x:v>direct landfowl comparison; no single character-impact compound explained species roast aroma</x:v>
      </x:c>
      <x:c r="M21" s="65" t="str">
        <x:v>verified</x:v>
      </x:c>
      <x:c r="N21" s="23"/>
      <x:c r="O21" s="23"/>
      <x:c r="P21" s="23"/>
      <x:c r="Q21" s="23"/>
      <x:c r="R21" s="23"/>
      <x:c r="S21" s="23"/>
      <x:c r="T21" s="23"/>
      <x:c r="U21" s="23"/>
      <x:c r="V21" s="23"/>
      <x:c r="W21" s="23"/>
      <x:c r="X21" s="23"/>
      <x:c r="Y21" s="23"/>
      <x:c r="Z21" s="23"/>
    </x:row>
    <x:row r="22">
      <x:c r="A22" s="65" t="str">
        <x:v>SRC-PIGEON-ROAST-001</x:v>
      </x:c>
      <x:c r="B22" s="65" t="str">
        <x:v>primary_peer_reviewed</x:v>
      </x:c>
      <x:c r="C22" s="65" t="str">
        <x:v>Huan Liu; Jingyu Li; Yuping Zhang; Lin Li; Hansheng Gong; Lixuan Tan; Peng Gao; Pi Li; Jiangtao Xing; Bin Liang; Jianxun Li</x:v>
      </x:c>
      <x:c r="D22" s="65" t="n">
        <x:v>2024</x:v>
      </x:c>
      <x:c r="E22" s="65" t="str">
        <x:v>Formation and retention of aroma compounds in pigeons roasted by circulating non-fried roast technique by means of UHPLC-HRMS and GC-O-MS</x:v>
      </x:c>
      <x:c r="F22" s="65" t="str">
        <x:v>Food Chemistry</x:v>
      </x:c>
      <x:c r="G22" s="65" t="str">
        <x:v>10.1016/j.foodchem.2024.139960</x:v>
      </x:c>
      <x:c r="H22" s="65" t="str">
        <x:v>roasted</x:v>
      </x:c>
      <x:c r="I22" s="65" t="str">
        <x:v>pigeons roasted for 0–50 minutes by circulating non-fried roast technique</x:v>
      </x:c>
      <x:c r="J22" s="65" t="str">
        <x:v>GC-O-MS + OAV + UHPLC-HRMS lipidomics; 18 key aroma compounds; pyrazines important to roasty character</x:v>
      </x:c>
      <x:c r="K22" s="65" t="str">
        <x:v>https://pubmed.ncbi.nlm.nih.gov/38870809/</x:v>
      </x:c>
      <x:c r="L22" s="65" t="str">
        <x:v>direct roasted pigeon evidence; useful for native-core + roast-overlay pattern</x:v>
      </x:c>
      <x:c r="M22" s="65" t="str">
        <x:v>verified</x:v>
      </x:c>
      <x:c r="N22" s="23"/>
      <x:c r="O22" s="23"/>
      <x:c r="P22" s="23"/>
      <x:c r="Q22" s="23"/>
      <x:c r="R22" s="23"/>
      <x:c r="S22" s="23"/>
      <x:c r="T22" s="23"/>
      <x:c r="U22" s="23"/>
      <x:c r="V22" s="23"/>
      <x:c r="W22" s="23"/>
      <x:c r="X22" s="23"/>
      <x:c r="Y22" s="23"/>
      <x:c r="Z22" s="23"/>
    </x:row>
    <x:row r="23">
      <x:c r="A23" s="65" t="str">
        <x:v>SRC-SQUAB-BRAISE-001</x:v>
      </x:c>
      <x:c r="B23" s="65" t="str">
        <x:v>primary_peer_reviewed</x:v>
      </x:c>
      <x:c r="C23" s="65" t="str">
        <x:v>Jinhao Zou; Xuping Wang; Jingrong Cheng; Xueming Liu; Yantian Tang; Anping Li; Daobang Tang</x:v>
      </x:c>
      <x:c r="D23" s="65" t="n">
        <x:v>2026</x:v>
      </x:c>
      <x:c r="E23" s="65" t="str">
        <x:v>Elucidating key aroma compounds of braised squab and providing insights into their potential precursor</x:v>
      </x:c>
      <x:c r="F23" s="65" t="str">
        <x:v>Food Chemistry</x:v>
      </x:c>
      <x:c r="G23" s="65" t="str">
        <x:v>10.1016/j.foodchem.2026.149613</x:v>
      </x:c>
      <x:c r="H23" s="65" t="str">
        <x:v>braised</x:v>
      </x:c>
      <x:c r="I23" s="65" t="str">
        <x:v>braised squab: 9 samples spanning restaurant, factory, and home cooking</x:v>
      </x:c>
      <x:c r="J23" s="65" t="str">
        <x:v>HS-SPME/GC-MS-O + OAV + standard-curve quantification + OPLS-DA + aroma recombination + PLSR + recipe-omission source analysis; 58 volatiles, 20 shared key aroma compounds</x:v>
      </x:c>
      <x:c r="K23" s="65" t="str">
        <x:v>https://pubmed.ncbi.nlm.nih.gov/42139957/</x:v>
      </x:c>
      <x:c r="L23" s="65" t="str">
        <x:v>direct squab evidence separating raw-bird-derived meaty/fatty compounds from condiment/spice/process-derived compounds</x:v>
      </x:c>
      <x:c r="M23" s="65" t="str">
        <x:v>verified</x:v>
      </x:c>
      <x:c r="N23" s="23"/>
      <x:c r="O23" s="23"/>
      <x:c r="P23" s="23"/>
      <x:c r="Q23" s="23"/>
      <x:c r="R23" s="23"/>
      <x:c r="S23" s="23"/>
      <x:c r="T23" s="23"/>
      <x:c r="U23" s="23"/>
      <x:c r="V23" s="23"/>
      <x:c r="W23" s="23"/>
      <x:c r="X23" s="23"/>
      <x:c r="Y23" s="23"/>
      <x:c r="Z23" s="23"/>
    </x:row>
    <x:row r="24">
      <x:c r="A24" s="71" t="str">
        <x:v>SRC-LANDFOWL-THESIS-001</x:v>
      </x:c>
      <x:c r="B24" s="71" t="str">
        <x:v>doctoral_dissertation_primary</x:v>
      </x:c>
      <x:c r="C24" s="71" t="str">
        <x:v>Susanne Baruth</x:v>
      </x:c>
      <x:c r="D24" s="71" t="n">
        <x:v>2010</x:v>
      </x:c>
      <x:c r="E24" s="71" t="str">
        <x:v>Vergleichende Untersuchungen von aromaaktiven Substanzen während des Bratens von Gans, Wildente, Fasan, Rebhuhn und Wachtel im Vergleich zu Hausente und Huhn mittels Gaschromatographie und Massenspektrometrie sowie Olfaktometrie</x:v>
      </x:c>
      <x:c r="F24" s="71" t="str">
        <x:v>Tierärztliche Hochschule Hannover</x:v>
      </x:c>
      <x:c r="G24" s="71"/>
      <x:c r="H24" s="71" t="str">
        <x:v>roasted_cross_species_landfowl</x:v>
      </x:c>
      <x:c r="I24" s="71" t="str">
        <x:v>roasted chicken, pheasant, partridge and quail; direct comparative tables</x:v>
      </x:c>
      <x:c r="J24" s="71" t="str">
        <x:v>SPME / Tenax / condensate + GC-MS + GC-O; Table 17 qualitative occurrence; Table 18 quantitative concentrations</x:v>
      </x:c>
      <x:c r="K24" s="71" t="str">
        <x:v>https://d-nb.info/1009589644/34</x:v>
      </x:c>
      <x:c r="L24" s="71" t="str">
        <x:v>Primary dissertation underlying the later landfowl comparison. Table 17 contains 38 rows present in all four birds; dissertation prose below the table says 37, while the 2013 journal article reports 38. Workbook follows the table itself.</x:v>
      </x:c>
      <x:c r="M24" s="71" t="str">
        <x:v>verified_primary_with_internal_count_discrepancy</x:v>
      </x:c>
      <x:c r="N24" s="23"/>
      <x:c r="O24" s="23"/>
      <x:c r="P24" s="23"/>
      <x:c r="Q24" s="23"/>
      <x:c r="R24" s="23"/>
      <x:c r="S24" s="23"/>
      <x:c r="T24" s="23"/>
      <x:c r="U24" s="23"/>
      <x:c r="V24" s="23"/>
      <x:c r="W24" s="23"/>
      <x:c r="X24" s="23"/>
      <x:c r="Y24" s="23"/>
      <x:c r="Z24" s="23"/>
    </x:row>
    <x:row r="25">
      <x:c r="A25" s="91" t="str">
        <x:v>SRC-PIGEON-PROCESS-001</x:v>
      </x:c>
      <x:c r="B25" s="91" t="str">
        <x:v>primary_peer_reviewed</x:v>
      </x:c>
      <x:c r="C25" s="91" t="str">
        <x:v>Weina Li; Xinlan Cao; Siqi Ming; Yongjie Xu; Zhuoxian Weng; Haitang Wang; Xiaonan Zhang</x:v>
      </x:c>
      <x:c r="D25" s="91" t="n">
        <x:v>2026</x:v>
      </x:c>
      <x:c r="E25" s="91" t="str">
        <x:v>Effects of Different Processing Methods on the Quality and Flavor Characteristics of Shiqi Pigeon (Columba livia domestica) Meat</x:v>
      </x:c>
      <x:c r="F25" s="91" t="str">
        <x:v>Molecules</x:v>
      </x:c>
      <x:c r="G25" s="91" t="str">
        <x:v>10.3390/molecules31050810</x:v>
      </x:c>
      <x:c r="H25" s="91" t="str">
        <x:v>boiled / roasted / fried</x:v>
      </x:c>
      <x:c r="I25" s="91" t="str">
        <x:v>Shiqi pigeon meat under three thermal processing methods</x:v>
      </x:c>
      <x:c r="J25" s="91" t="str">
        <x:v>electronic nose + PCA + physicochemical/structural analyses; direct discrimination of processing-state aroma patterns, but not a GC-MS compound-resolved profile</x:v>
      </x:c>
      <x:c r="K25" s="91" t="str">
        <x:v>https://pubmed.ncbi.nlm.nih.gov/41828798/</x:v>
      </x:c>
      <x:c r="L25" s="91" t="str">
        <x:v>direct state-differentiation evidence for pigeon; do not use as compound-presence evidence</x:v>
      </x:c>
      <x:c r="M25" s="91" t="str">
        <x:v>verified_state_level_only</x:v>
      </x:c>
      <x:c r="N25" s="23"/>
      <x:c r="O25" s="23"/>
      <x:c r="P25" s="23"/>
      <x:c r="Q25" s="23"/>
      <x:c r="R25" s="23"/>
      <x:c r="S25" s="23"/>
      <x:c r="T25" s="23"/>
      <x:c r="U25" s="23"/>
      <x:c r="V25" s="23"/>
      <x:c r="W25" s="23"/>
      <x:c r="X25" s="23"/>
      <x:c r="Y25" s="23"/>
      <x:c r="Z25" s="23"/>
    </x:row>
    <x:row r="26">
      <x:c r="A26" s="97" t="str">
        <x:v>SRC-QUAIL-ROAST-002</x:v>
      </x:c>
      <x:c r="B26" s="97" t="str">
        <x:v>primary_peer_reviewed</x:v>
      </x:c>
      <x:c r="C26" s="97" t="str">
        <x:v>Huan Liu; Yuping Zhang; Hengbin Ji; Junke Li; Qianli Ma; Nazimah Hamid; Jiangtao Xing; Peng Gao; Pi Li; Jianxun Li; Qianqian Li</x:v>
      </x:c>
      <x:c r="D26" s="97" t="n">
        <x:v>2024</x:v>
      </x:c>
      <x:c r="E26" s="97" t="str">
        <x:v>A lipidomic and volatilomic approach to map the lipid profile and related volatile compounds in roasted quail meat using circulating non-fried roast technology</x:v>
      </x:c>
      <x:c r="F26" s="97" t="str">
        <x:v>Food Chemistry</x:v>
      </x:c>
      <x:c r="G26" s="97" t="str">
        <x:v>10.1016/j.foodchem.2024.140948</x:v>
      </x:c>
      <x:c r="H26" s="97" t="str">
        <x:v>raw-to-roasted time course</x:v>
      </x:c>
      <x:c r="I26" s="97" t="str">
        <x:v>Chinese white-feathered quail; 0, 10, 20, 30, 40 min circulating non-fried roasting</x:v>
      </x:c>
      <x:c r="J26" s="97" t="str">
        <x:v>SAFE-GC-O-MS + OAV + UHPLC-HRMS lipidomics + OPLS-DA; 62 volatiles across the time course, 51 at 40 min, 19 key odorants at 40 min with OAV&gt;1</x:v>
      </x:c>
      <x:c r="K26" s="97" t="str">
        <x:v>https://pubmed.ncbi.nlm.nih.gov/39182334/</x:v>
      </x:c>
      <x:c r="L26" s="97" t="str">
        <x:v>modern sensory-weighted validation of roasted-quail state progression; compound-resolved 19-key list not available in accessible primary text used in this pass</x:v>
      </x:c>
      <x:c r="M26" s="97" t="str">
        <x:v>verified_source_profile_names_pending</x:v>
      </x:c>
      <x:c r="N26" s="23"/>
      <x:c r="O26" s="23"/>
      <x:c r="P26" s="23"/>
      <x:c r="Q26" s="23"/>
      <x:c r="R26" s="23"/>
      <x:c r="S26" s="23"/>
      <x:c r="T26" s="23"/>
      <x:c r="U26" s="23"/>
      <x:c r="V26" s="23"/>
      <x:c r="W26" s="23"/>
      <x:c r="X26" s="23"/>
      <x:c r="Y26" s="23"/>
      <x:c r="Z26" s="23"/>
    </x:row>
    <x:row r="27">
      <x:c r="A27" s="109" t="str">
        <x:v>SRC-PHEASANT-SENSORY-001</x:v>
      </x:c>
      <x:c r="B27" s="109" t="str">
        <x:v>primary_peer_reviewed</x:v>
      </x:c>
      <x:c r="C27" s="109" t="str">
        <x:v>Tomasz Daszkiewicz; Paweł Janiszewski</x:v>
      </x:c>
      <x:c r="D27" s="109" t="n">
        <x:v>2020</x:v>
      </x:c>
      <x:c r="E27" s="109" t="str">
        <x:v>The effect of sex on the quality of meat from farmed pheasants (Phasianus colchicus)</x:v>
      </x:c>
      <x:c r="F27" s="109" t="str">
        <x:v>Animal Science Journal</x:v>
      </x:c>
      <x:c r="G27" s="109" t="str">
        <x:v>10.1111/asj.13404</x:v>
      </x:c>
      <x:c r="H27" s="109" t="str">
        <x:v>cooked_sensory</x:v>
      </x:c>
      <x:c r="I27" s="109" t="str">
        <x:v>farmed pheasant breast muscle; males and females, 25 weeks</x:v>
      </x:c>
      <x:c r="J27" s="109" t="str">
        <x:v>proximate/fatty-acid/physicochemical analysis + direct sensory evaluation; no compound-resolved volatile hierarchy</x:v>
      </x:c>
      <x:c r="K27" s="109" t="str">
        <x:v>https://pubmed.ncbi.nlm.nih.gov/32519405/</x:v>
      </x:c>
      <x:c r="L27" s="109" t="str">
        <x:v>supplemental cooked-pheasant sensory evidence; not compound-presence or key-odorant evidence</x:v>
      </x:c>
      <x:c r="M27" s="109" t="str">
        <x:v>verified_state_sensory_only</x:v>
      </x:c>
      <x:c r="N27" s="23"/>
      <x:c r="O27" s="23"/>
      <x:c r="P27" s="23"/>
      <x:c r="Q27" s="23"/>
      <x:c r="R27" s="23"/>
      <x:c r="S27" s="23"/>
      <x:c r="T27" s="23"/>
      <x:c r="U27" s="23"/>
      <x:c r="V27" s="23"/>
      <x:c r="W27" s="23"/>
      <x:c r="X27" s="23"/>
      <x:c r="Y27" s="23"/>
      <x:c r="Z27" s="23"/>
    </x:row>
    <x:row r="28">
      <x:c r="A28" s="46" t="str">
        <x:v>SRC-BEEF-ROAST-001</x:v>
      </x:c>
      <x:c r="B28" s="46" t="str">
        <x:v>primary_peer_reviewed</x:v>
      </x:c>
      <x:c r="C28" s="46" t="str">
        <x:v>Yong-Rui Wang; Rui-Ming Luo; Song-Lei Wang</x:v>
      </x:c>
      <x:c r="D28" s="46" t="n">
        <x:v>2022</x:v>
      </x:c>
      <x:c r="E28" s="46" t="str">
        <x:v>Water distribution and key aroma compounds in the process of beef roasting</x:v>
      </x:c>
      <x:c r="F28" s="46" t="str">
        <x:v>Frontiers in Nutrition</x:v>
      </x:c>
      <x:c r="G28" s="46" t="str">
        <x:v>10.3389/fnut.2022.978622</x:v>
      </x:c>
      <x:c r="H28" s="46" t="str">
        <x:v>raw / roasted time course</x:v>
      </x:c>
      <x:c r="I28" s="46" t="str">
        <x:v>Qinchuan cattle hind-leg lean muscle; fascia removed; 3×3×2 cm cubes</x:v>
      </x:c>
      <x:c r="J28" s="46" t="str">
        <x:v>HS-SPME-GC-MS; RI + NIST14 + authentic standards; external quantitation; OAV</x:v>
      </x:c>
      <x:c r="K28" s="46" t="str">
        <x:v>https://www.frontiersin.org/journals/nutrition/articles/10.3389/fnut.2022.978622/full</x:v>
      </x:c>
      <x:c r="L28" s="46" t="str">
        <x:v>direct raw baseline + roast transformation + concentration/OAV evidence</x:v>
      </x:c>
      <x:c r="M28" s="46" t="str">
        <x:v>verified_primary</x:v>
      </x:c>
      <x:c r="N28" s="23"/>
      <x:c r="O28" s="23"/>
      <x:c r="P28" s="23"/>
      <x:c r="Q28" s="23"/>
      <x:c r="R28" s="23"/>
      <x:c r="S28" s="23"/>
      <x:c r="T28" s="23"/>
      <x:c r="U28" s="23"/>
      <x:c r="V28" s="23"/>
      <x:c r="W28" s="23"/>
      <x:c r="X28" s="23"/>
      <x:c r="Y28" s="23"/>
      <x:c r="Z28" s="23"/>
    </x:row>
    <x:row r="29">
      <x:c r="A29" s="46" t="str">
        <x:v>SRC-BEEF-RAW-MARBLING-001</x:v>
      </x:c>
      <x:c r="B29" s="46" t="str">
        <x:v>primary_peer_reviewed</x:v>
      </x:c>
      <x:c r="C29" s="46" t="str">
        <x:v>Ying Ding; Yujie Zhang; Xiaoyan Zhou; Chao Li; Zixuan Su; Jing Xu; Chang Qu; Yujie Ma; Yuxuan Shi; Xue Kang</x:v>
      </x:c>
      <x:c r="D29" s="46" t="n">
        <x:v>2025</x:v>
      </x:c>
      <x:c r="E29" s="46" t="str">
        <x:v>Transcriptome and HS-SPME-GC-MS analysis of key genes and flavor components associated with beef marbling</x:v>
      </x:c>
      <x:c r="F29" s="46" t="str">
        <x:v>Frontiers in Veterinary Science</x:v>
      </x:c>
      <x:c r="G29" s="46" t="str">
        <x:v>10.3389/fvets.2025.1501177</x:v>
      </x:c>
      <x:c r="H29" s="46" t="str">
        <x:v>raw</x:v>
      </x:c>
      <x:c r="I29" s="46" t="str">
        <x:v>Longissimus dorsi; Wagyu × Qinchuan cattle; marbling grades A1 vs A5</x:v>
      </x:c>
      <x:c r="J29" s="46" t="str">
        <x:v>HS-SPME-GC-MS; concentration + OAV comparison</x:v>
      </x:c>
      <x:c r="K29" s="46" t="str">
        <x:v>https://www.frontiersin.org/journals/veterinary-science/articles/10.3389/fvets.2025.1501177/full</x:v>
      </x:c>
      <x:c r="L29" s="46" t="str">
        <x:v>direct raw marbling/fat-dependent abundance and OAV comparison</x:v>
      </x:c>
      <x:c r="M29" s="46" t="str">
        <x:v>verified_primary</x:v>
      </x:c>
      <x:c r="N29" s="23"/>
      <x:c r="O29" s="23"/>
      <x:c r="P29" s="23"/>
      <x:c r="Q29" s="23"/>
      <x:c r="R29" s="23"/>
      <x:c r="S29" s="23"/>
      <x:c r="T29" s="23"/>
      <x:c r="U29" s="23"/>
      <x:c r="V29" s="23"/>
      <x:c r="W29" s="23"/>
      <x:c r="X29" s="23"/>
      <x:c r="Y29" s="23"/>
      <x:c r="Z29" s="23"/>
    </x:row>
    <x:row r="30">
      <x:c r="A30" s="46" t="str">
        <x:v>SRC-BEEF-STEW-001</x:v>
      </x:c>
      <x:c r="B30" s="46" t="str">
        <x:v>primary_peer_reviewed</x:v>
      </x:c>
      <x:c r="C30" s="46" t="str">
        <x:v>Junmei Liu; Siyang Deng; Jingfan Wang; Feng Huang; Dong Han; Ying Xu; Ping Yang; Chunhui Zhang; Christophe Blecker</x:v>
      </x:c>
      <x:c r="D30" s="46" t="n">
        <x:v>2024</x:v>
      </x:c>
      <x:c r="E30" s="46" t="str">
        <x:v>Comparison and elucidation of the changes in the key odorants of precooked stewed beef during cooking-refrigeration-reheating</x:v>
      </x:c>
      <x:c r="F30" s="46" t="str">
        <x:v>Food Chemistry: X</x:v>
      </x:c>
      <x:c r="G30" s="46" t="str">
        <x:v>10.1016/j.fochx.2024.101654</x:v>
      </x:c>
      <x:c r="H30" s="46" t="str">
        <x:v>stewed / moist-cooked</x:v>
      </x:c>
      <x:c r="I30" s="46" t="str">
        <x:v>48-month Simmental chuck; visible fat removed; water + salt only</x:v>
      </x:c>
      <x:c r="J30" s="46" t="str">
        <x:v>SAFE/SPME + Q Exactive GC-Orbitrap-MS-O; authentic standards; AEDA; FD factors</x:v>
      </x:c>
      <x:c r="K30" s="46" t="str">
        <x:v>https://pmc.ncbi.nlm.nih.gov/articles/PMC11338155/</x:v>
      </x:c>
      <x:c r="L30" s="46" t="str">
        <x:v>direct clean moist-heat baseline; aroma-active hierarchy without added aromatics</x:v>
      </x:c>
      <x:c r="M30" s="46" t="str">
        <x:v>verified_primary</x:v>
      </x:c>
      <x:c r="N30" s="23"/>
      <x:c r="O30" s="23"/>
      <x:c r="P30" s="23"/>
      <x:c r="Q30" s="23"/>
      <x:c r="R30" s="23"/>
      <x:c r="S30" s="23"/>
      <x:c r="T30" s="23"/>
      <x:c r="U30" s="23"/>
      <x:c r="V30" s="23"/>
      <x:c r="W30" s="23"/>
      <x:c r="X30" s="23"/>
      <x:c r="Y30" s="23"/>
      <x:c r="Z30" s="23"/>
    </x:row>
    <x:row r="31">
      <x:c r="A31" s="46" t="str">
        <x:v>SRC-BEEF-AGE-001</x:v>
      </x:c>
      <x:c r="B31" s="46" t="str">
        <x:v>primary_peer_reviewed</x:v>
      </x:c>
      <x:c r="C31" s="46" t="str">
        <x:v>Dongheon Lee; Hyun Jung Lee; Ji Won Yoon; Minsu Kim; Cheorun Jo</x:v>
      </x:c>
      <x:c r="D31" s="46" t="n">
        <x:v>2021</x:v>
      </x:c>
      <x:c r="E31" s="46" t="str">
        <x:v>Effect of Different Aging Methods on the Formation of Aroma Volatiles in Beef Strip Loins</x:v>
      </x:c>
      <x:c r="F31" s="46" t="str">
        <x:v>Foods</x:v>
      </x:c>
      <x:c r="G31" s="46" t="str">
        <x:v>10.3390/foods10010146</x:v>
      </x:c>
      <x:c r="H31" s="46" t="str">
        <x:v>fresh / wet-aged / dry-aged</x:v>
      </x:c>
      <x:c r="I31" s="46" t="str">
        <x:v>Beef strip loins; dry vs wet aging over 28 days</x:v>
      </x:c>
      <x:c r="J31" s="46" t="str">
        <x:v>volatile profiling across 28-day dry/wet aging; Table 2 gives 37-compound identification union with RT and source-defined relevance-index match probability</x:v>
      </x:c>
      <x:c r="K31" s="46" t="str">
        <x:v>https://pmc.ncbi.nlm.nih.gov/articles/PMC7828147/</x:v>
      </x:c>
      <x:c r="L31" s="46" t="str">
        <x:v>full 37-compound identification table extracted in v16; source RI field is relevance/matching probability, NOT chromatographic retention index</x:v>
      </x:c>
      <x:c r="M31" s="46" t="str">
        <x:v>verified_primary_full_table_v16</x:v>
      </x:c>
      <x:c r="N31" s="23"/>
      <x:c r="O31" s="23"/>
      <x:c r="P31" s="23"/>
      <x:c r="Q31" s="23"/>
      <x:c r="R31" s="23"/>
      <x:c r="S31" s="23"/>
      <x:c r="T31" s="23"/>
      <x:c r="U31" s="23"/>
      <x:c r="V31" s="23"/>
      <x:c r="W31" s="23"/>
      <x:c r="X31" s="23"/>
      <x:c r="Y31" s="23"/>
      <x:c r="Z31" s="23"/>
    </x:row>
    <x:row r="32">
      <x:c r="A32" s="46" t="str">
        <x:v>SRC-BEEF-AGE-COOK-001</x:v>
      </x:c>
      <x:c r="B32" s="46" t="str">
        <x:v>primary_peer_reviewed</x:v>
      </x:c>
      <x:c r="C32" s="46" t="str">
        <x:v>Zhenzhao Li; Minh Ha; Damian Frank; Peter McGilchrist; Robyn Dorothy Warner</x:v>
      </x:c>
      <x:c r="D32" s="46" t="n">
        <x:v>2021</x:v>
      </x:c>
      <x:c r="E32" s="46" t="str">
        <x:v>Volatile Profile of Dry and Wet Aged Beef Loin and Its Relationship with Consumer Flavour Liking</x:v>
      </x:c>
      <x:c r="F32" s="46" t="str">
        <x:v>Foods</x:v>
      </x:c>
      <x:c r="G32" s="46" t="str">
        <x:v>10.3390/foods10123113</x:v>
      </x:c>
      <x:c r="H32" s="46" t="str">
        <x:v>grilled after dry/wet aging</x:v>
      </x:c>
      <x:c r="I32" s="46" t="str">
        <x:v>Longissimus thoracis et lumborum; 35/56-day dry vs wet aging</x:v>
      </x:c>
      <x:c r="J32" s="46" t="str">
        <x:v>HS-SPME-GC-MS; GC-O-MS; consumer flavour liking</x:v>
      </x:c>
      <x:c r="K32" s="46" t="str">
        <x:v>https://pmc.ncbi.nlm.nih.gov/articles/PMC8701841/</x:v>
      </x:c>
      <x:c r="L32" s="46" t="str">
        <x:v>direct aging effect on subsequent grilled aroma; not a plain grilled baseline</x:v>
      </x:c>
      <x:c r="M32" s="46" t="str">
        <x:v>verified_primary</x:v>
      </x:c>
      <x:c r="N32" s="23"/>
      <x:c r="O32" s="23"/>
      <x:c r="P32" s="23"/>
      <x:c r="Q32" s="23"/>
      <x:c r="R32" s="23"/>
      <x:c r="S32" s="23"/>
      <x:c r="T32" s="23"/>
      <x:c r="U32" s="23"/>
      <x:c r="V32" s="23"/>
      <x:c r="W32" s="23"/>
      <x:c r="X32" s="23"/>
      <x:c r="Y32" s="23"/>
      <x:c r="Z32" s="23"/>
    </x:row>
    <x:row r="33">
      <x:c r="A33" s="46" t="str">
        <x:v>SRC-BEEF-LIPIDOMICS-001</x:v>
      </x:c>
      <x:c r="B33" s="46" t="str">
        <x:v>primary_peer_reviewed</x:v>
      </x:c>
      <x:c r="C33" s="46" t="str">
        <x:v>Longzhu Zhou; Yimeng Ren; Yujie Shi; Shijie Fan; Liyuan Zhao; Miaomiao Dong; Jing Li; Youyou Yang; Yanan Yu; Qingyu Zhao; Junmin Zhang; Chaohua Tang</x:v>
      </x:c>
      <x:c r="D33" s="46" t="n">
        <x:v>2024</x:v>
      </x:c>
      <x:c r="E33" s="46" t="str">
        <x:v>Comprehensive foodomics analysis reveals key lipids affect aroma generation in beef</x:v>
      </x:c>
      <x:c r="F33" s="46" t="str">
        <x:v>Food Chemistry</x:v>
      </x:c>
      <x:c r="G33" s="46" t="str">
        <x:v>10.1016/j.foodchem.2024.140954</x:v>
      </x:c>
      <x:c r="H33" s="46" t="str">
        <x:v>raw-to-cooked transformation</x:v>
      </x:c>
      <x:c r="I33" s="46" t="str">
        <x:v>Beef; lipid-to-aroma relationship</x:v>
      </x:c>
      <x:c r="J33" s="46" t="str">
        <x:v>GC-O-MS + lipidomics; 18 key aroma compounds reported; 265 lipids</x:v>
      </x:c>
      <x:c r="K33" s="46" t="str">
        <x:v>https://pubmed.ncbi.nlm.nih.gov/39186890/</x:v>
      </x:c>
      <x:c r="L33" s="46" t="str">
        <x:v>mechanistic support for lipid precursor contribution; accessible primary record lacks full named key-odorant table</x:v>
      </x:c>
      <x:c r="M33" s="46" t="str">
        <x:v>source_verified_profile_names_pending</x:v>
      </x:c>
      <x:c r="N33" s="23"/>
      <x:c r="O33" s="23"/>
      <x:c r="P33" s="23"/>
      <x:c r="Q33" s="23"/>
      <x:c r="R33" s="23"/>
      <x:c r="S33" s="23"/>
      <x:c r="T33" s="23"/>
      <x:c r="U33" s="23"/>
      <x:c r="V33" s="23"/>
      <x:c r="W33" s="23"/>
      <x:c r="X33" s="23"/>
      <x:c r="Y33" s="23"/>
      <x:c r="Z33" s="23"/>
    </x:row>
    <x:row r="34">
      <x:c r="A34" s="46" t="str">
        <x:v>SRC-BEEF-DIET-001</x:v>
      </x:c>
      <x:c r="B34" s="46" t="str">
        <x:v>primary_peer_reviewed</x:v>
      </x:c>
      <x:c r="C34" s="46" t="str">
        <x:v>Alberto Benito-Díaz; Ainhoa Sarmiento-García; Juan José García-García; Ceferina Vieira; Esperanza Domínguez; Raúl Bodas Rodríguez; Luis Gómez-Gordo; Purificación Vicente-Galindo</x:v>
      </x:c>
      <x:c r="D34" s="46" t="n">
        <x:v>2024</x:v>
      </x:c>
      <x:c r="E34" s="46" t="str">
        <x:v>Statistical approaches for assessing meat quality and heifer rumen histology based on dietary forage</x:v>
      </x:c>
      <x:c r="F34" s="46" t="str">
        <x:v>Frontiers in Veterinary Science</x:v>
      </x:c>
      <x:c r="G34" s="46" t="str">
        <x:v>10.3389/fvets.2024.1416365</x:v>
      </x:c>
      <x:c r="H34" s="46" t="str">
        <x:v>cooked</x:v>
      </x:c>
      <x:c r="I34" s="46" t="str">
        <x:v>Heifer M. longissimus thoracis; forage diet comparison</x:v>
      </x:c>
      <x:c r="J34" s="46" t="str">
        <x:v>GC-MS volatile relative-abundance profiling; NIST + RI identification</x:v>
      </x:c>
      <x:c r="K34" s="46" t="str">
        <x:v>https://www.frontiersin.org/journals/veterinary-science/articles/10.3389/fvets.2024.1416365/full</x:v>
      </x:c>
      <x:c r="L34" s="46" t="str">
        <x:v>direct cooked detection for selected compounds; not sensory-validated</x:v>
      </x:c>
      <x:c r="M34" s="46" t="str">
        <x:v>verified_primary_state_specific</x:v>
      </x:c>
      <x:c r="N34" s="23"/>
      <x:c r="O34" s="23"/>
      <x:c r="P34" s="23"/>
      <x:c r="Q34" s="23"/>
      <x:c r="R34" s="23"/>
      <x:c r="S34" s="23"/>
      <x:c r="T34" s="23"/>
      <x:c r="U34" s="23"/>
      <x:c r="V34" s="23"/>
      <x:c r="W34" s="23"/>
      <x:c r="X34" s="23"/>
      <x:c r="Y34" s="23"/>
      <x:c r="Z34" s="23"/>
    </x:row>
    <x:row r="35">
      <x:c r="A35" s="46" t="str">
        <x:v>SRC-BEEF-FAT-001</x:v>
      </x:c>
      <x:c r="B35" s="46" t="str">
        <x:v>primary_peer_reviewed</x:v>
      </x:c>
      <x:c r="C35" s="46" t="str">
        <x:v>Xuelian Yang; Zhaoyang Pei; Wenbin Du; Jianchun Xie</x:v>
      </x:c>
      <x:c r="D35" s="46" t="n">
        <x:v>2023</x:v>
      </x:c>
      <x:c r="E35" s="46" t="str">
        <x:v>Characterization of Volatile Flavor Compounds in Dry-Rendered Beef Fat by Different SAFE Combined with GC–MS, GC–O, and OAV</x:v>
      </x:c>
      <x:c r="F35" s="46" t="str">
        <x:v>Foods</x:v>
      </x:c>
      <x:c r="G35" s="46" t="str">
        <x:v>10.3390/foods12173162</x:v>
      </x:c>
      <x:c r="H35" s="46" t="str">
        <x:v>dry-rendered beef fat</x:v>
      </x:c>
      <x:c r="I35" s="46" t="str">
        <x:v>Dry-rendered beef fat</x:v>
      </x:c>
      <x:c r="J35" s="46" t="str">
        <x:v>SAFE + GC-MS + GC-O + OAV; NIST 11 MS + literature RI; row-level S denotes agreement with authentic standard</x:v>
      </x:c>
      <x:c r="K35" s="46" t="str">
        <x:v>https://pmc.ncbi.nlm.nih.gov/articles/PMC10486796/</x:v>
      </x:c>
      <x:c r="L35" s="46" t="str">
        <x:v>BQ-002 in MR addendum: full 96-compound beef:fat table extracted in v16; six lactones and three phenols represented; do not generalize fat rows to muscle.</x:v>
      </x:c>
      <x:c r="M35" s="46" t="str">
        <x:v>verified_primary_full_table_v16</x:v>
      </x:c>
      <x:c r="N35" s="23"/>
      <x:c r="O35" s="23"/>
      <x:c r="P35" s="23"/>
      <x:c r="Q35" s="23"/>
      <x:c r="R35" s="23"/>
      <x:c r="S35" s="23"/>
      <x:c r="T35" s="23"/>
      <x:c r="U35" s="23"/>
      <x:c r="V35" s="23"/>
      <x:c r="W35" s="23"/>
      <x:c r="X35" s="23"/>
      <x:c r="Y35" s="23"/>
      <x:c r="Z35" s="23"/>
    </x:row>
    <x:row r="36">
      <x:c r="A36" s="46" t="str">
        <x:v>SRC-BEEF-AGE-CONTROL-001</x:v>
      </x:c>
      <x:c r="B36" s="46" t="str">
        <x:v>primary_peer_reviewed</x:v>
      </x:c>
      <x:c r="C36" s="46" t="str">
        <x:v>Songshan Zhang; Xiaobin Sun; Yuanhua Lei; Baozhong Sun; Peng Xie; Xiaochang Liu</x:v>
      </x:c>
      <x:c r="D36" s="46" t="n">
        <x:v>2022</x:v>
      </x:c>
      <x:c r="E36" s="46" t="str">
        <x:v>Effects of Chitosan/Collagen Peptides/Cinnamon Bark Essential Oil Composite Coating on the Quality of Dry-Aged Beef</x:v>
      </x:c>
      <x:c r="F36" s="46" t="str">
        <x:v>Foods</x:v>
      </x:c>
      <x:c r="G36" s="46" t="str">
        <x:v>10.3390/foods11223638</x:v>
      </x:c>
      <x:c r="H36" s="46" t="str">
        <x:v>traditional dry-aged control / alternative aging treatments</x:v>
      </x:c>
      <x:c r="I36" s="46" t="str">
        <x:v>Dry-aged beef; traditional dry-aging comparator within coating study</x:v>
      </x:c>
      <x:c r="J36" s="46" t="str">
        <x:v>volatile profiling across 42-day aging treatments</x:v>
      </x:c>
      <x:c r="K36" s="46" t="str">
        <x:v>https://pmc.ncbi.nlm.nih.gov/articles/PMC9689929/</x:v>
      </x:c>
      <x:c r="L36" s="46" t="str">
        <x:v>state-specific dry-aging evidence; use traditional-control observations only for endogenous claims</x:v>
      </x:c>
      <x:c r="M36" s="46" t="str">
        <x:v>verified_primary_context_limited</x:v>
      </x:c>
      <x:c r="N36" s="23"/>
      <x:c r="O36" s="23"/>
      <x:c r="P36" s="23"/>
      <x:c r="Q36" s="23"/>
      <x:c r="R36" s="23"/>
      <x:c r="S36" s="23"/>
      <x:c r="T36" s="23"/>
      <x:c r="U36" s="23"/>
      <x:c r="V36" s="23"/>
      <x:c r="W36" s="23"/>
      <x:c r="X36" s="23"/>
      <x:c r="Y36" s="23"/>
      <x:c r="Z36" s="23"/>
    </x:row>
    <x:row r="37">
      <x:c r="A37" s="46" t="str">
        <x:v>SRC-BEEF-SPOIL-001</x:v>
      </x:c>
      <x:c r="B37" s="46" t="str">
        <x:v>primary_peer_reviewed</x:v>
      </x:c>
      <x:c r="C37" s="46" t="str">
        <x:v>Anthoula A. Argyri; Athanasios Mallouchos; Efstathios Z. Panagou; George-John E. Nychas</x:v>
      </x:c>
      <x:c r="D37" s="46" t="n">
        <x:v>2015</x:v>
      </x:c>
      <x:c r="E37" s="46" t="str">
        <x:v>The dynamics of the HS/SPME-GC/MS as a tool to assess the spoilage of minced beef stored under different packaging and temperature conditions</x:v>
      </x:c>
      <x:c r="F37" s="46" t="str">
        <x:v>International Journal of Food Microbiology</x:v>
      </x:c>
      <x:c r="G37" s="46" t="str">
        <x:v>10.1016/j.ijfoodmicro.2014.09.020</x:v>
      </x:c>
      <x:c r="H37" s="46" t="str">
        <x:v>stored minced beef / spoilage</x:v>
      </x:c>
      <x:c r="I37" s="46" t="str">
        <x:v>Minced beef under packaging and temperature storage conditions</x:v>
      </x:c>
      <x:c r="J37" s="46" t="str">
        <x:v>HS/SPME-GC/MS spoilage-marker profiling</x:v>
      </x:c>
      <x:c r="K37" s="46" t="str">
        <x:v>https://pubmed.ncbi.nlm.nih.gov/25462923/</x:v>
      </x:c>
      <x:c r="L37" s="46" t="str">
        <x:v>direct beef occurrence only in spoilage context; exclude from desirable culinary core</x:v>
      </x:c>
      <x:c r="M37" s="46" t="str">
        <x:v>verified_primary_spoilage_only</x:v>
      </x:c>
      <x:c r="N37" s="23"/>
      <x:c r="O37" s="23"/>
      <x:c r="P37" s="23"/>
      <x:c r="Q37" s="23"/>
      <x:c r="R37" s="23"/>
      <x:c r="S37" s="23"/>
      <x:c r="T37" s="23"/>
      <x:c r="U37" s="23"/>
      <x:c r="V37" s="23"/>
      <x:c r="W37" s="23"/>
      <x:c r="X37" s="23"/>
      <x:c r="Y37" s="23"/>
      <x:c r="Z37" s="23"/>
    </x:row>
    <x:row r="38">
      <x:c r="A38" s="46" t="str">
        <x:v>SRC-BEEF-SEAR-001</x:v>
      </x:c>
      <x:c r="B38" s="46" t="str">
        <x:v>primary_peer_reviewed</x:v>
      </x:c>
      <x:c r="C38" s="46" t="str">
        <x:v>In Young Lee; Boram Kim; Nami Joo</x:v>
      </x:c>
      <x:c r="D38" s="46" t="n">
        <x:v>2022</x:v>
      </x:c>
      <x:c r="E38" s="46" t="str">
        <x:v>Comparison between the Volatile Compounds and Physicochemical and Sensory Characteristics of Reverse-Seared and Conventionally Seared Beef Steaks</x:v>
      </x:c>
      <x:c r="F38" s="46" t="str">
        <x:v>Foods</x:v>
      </x:c>
      <x:c r="G38" s="46" t="str">
        <x:v>10.3390/foods11142135</x:v>
      </x:c>
      <x:c r="H38" s="46" t="str">
        <x:v>seared / reverse-seared</x:v>
      </x:c>
      <x:c r="I38" s="46" t="str">
        <x:v>Beef tenderloin steaks; conventional sear versus reverse sear</x:v>
      </x:c>
      <x:c r="J38" s="46" t="str">
        <x:v>HS-SPME-GC-MS + physicochemical and sensory evaluation; 24 volatiles identified</x:v>
      </x:c>
      <x:c r="K38" s="46" t="str">
        <x:v>https://pmc.ncbi.nlm.nih.gov/articles/PMC9317986/</x:v>
      </x:c>
      <x:c r="L38" s="46" t="str">
        <x:v>direct seared-beef volatile evidence; compound-specific sensory hierarchy not established</x:v>
      </x:c>
      <x:c r="M38" s="46" t="str">
        <x:v>verified_primary</x:v>
      </x:c>
      <x:c r="N38" s="23"/>
      <x:c r="O38" s="23"/>
      <x:c r="P38" s="23"/>
      <x:c r="Q38" s="23"/>
      <x:c r="R38" s="23"/>
      <x:c r="S38" s="23"/>
      <x:c r="T38" s="23"/>
      <x:c r="U38" s="23"/>
      <x:c r="V38" s="23"/>
      <x:c r="W38" s="23"/>
      <x:c r="X38" s="23"/>
      <x:c r="Y38" s="23"/>
      <x:c r="Z38" s="23"/>
    </x:row>
    <x:row r="39">
      <x:c r="A39" s="46" t="str">
        <x:v>SRC-BEEF-GRILL-TEMP-001</x:v>
      </x:c>
      <x:c r="B39" s="46" t="str">
        <x:v>primary_peer_reviewed</x:v>
      </x:c>
      <x:c r="C39" s="46" t="str">
        <x:v>Fathi Morsli; Aidan P. Moloney; Frank J. Monahan; Peter G. Dunne; David T. Mannion; Iwona Skibinska; Kieran N. Kilcawley</x:v>
      </x:c>
      <x:c r="D39" s="46" t="n">
        <x:v>2025</x:v>
      </x:c>
      <x:c r="E39" s="46" t="str">
        <x:v>Impact of Different Grilling Temperatures on the Volatile Profile of Beef</x:v>
      </x:c>
      <x:c r="F39" s="46" t="str">
        <x:v>Foods</x:v>
      </x:c>
      <x:c r="G39" s="46" t="str">
        <x:v>10.3390/foods14244239</x:v>
      </x:c>
      <x:c r="H39" s="46" t="str">
        <x:v>raw / grilled to 55, 60, 71, 77, 85 °C internal</x:v>
      </x:c>
      <x:c r="I39" s="46" t="str">
        <x:v>Longissimus lumborum steaks</x:v>
      </x:c>
      <x:c r="J39" s="46" t="str">
        <x:v>DI-HiSorb GC-MS; NIST 2014 mass spectral search; in-house authentic-compound library with target/qualifier ions and Kovats LRI; AMDIS/MetaMS</x:v>
      </x:c>
      <x:c r="K39" s="46" t="str">
        <x:v>https://pmc.ncbi.nlm.nih.gov/articles/PMC12732222/</x:v>
      </x:c>
      <x:c r="L39" s="46" t="str">
        <x:v>full 91-VOC raw→grill table extracted in v16; 82 detected raw, 88 at 85°C; numeric match factors not published</x:v>
      </x:c>
      <x:c r="M39" s="46" t="str">
        <x:v>verified_primary_full_table_v16</x:v>
      </x:c>
      <x:c r="N39" s="23"/>
      <x:c r="O39" s="23"/>
      <x:c r="P39" s="23"/>
      <x:c r="Q39" s="23"/>
      <x:c r="R39" s="23"/>
      <x:c r="S39" s="23"/>
      <x:c r="T39" s="23"/>
      <x:c r="U39" s="23"/>
      <x:c r="V39" s="23"/>
      <x:c r="W39" s="23"/>
      <x:c r="X39" s="23"/>
      <x:c r="Y39" s="23"/>
      <x:c r="Z39" s="23"/>
    </x:row>
    <x:row r="40">
      <x:c r="A40" s="46" t="str">
        <x:v>SRC-BEEF-GRILL-GCO-001</x:v>
      </x:c>
      <x:c r="B40" s="46" t="str">
        <x:v>primary_peer_reviewed</x:v>
      </x:c>
      <x:c r="C40" s="46" t="str">
        <x:v>Virginia Celia Resconi; María del Mar Campo; Fabio Montossi; Vicente Ferreira; Carlos Sañudo; Ana Escudero</x:v>
      </x:c>
      <x:c r="D40" s="46" t="n">
        <x:v>2012</x:v>
      </x:c>
      <x:c r="E40" s="46" t="str">
        <x:v>Gas chromatographic-olfactometric aroma profile and quantitative analysis of volatile carbonyls of grilled beef from different finishing feed systems</x:v>
      </x:c>
      <x:c r="F40" s="46" t="str">
        <x:v>Journal of Food Science</x:v>
      </x:c>
      <x:c r="G40" s="46" t="str">
        <x:v>10.1111/j.1750-3841.2012.02720.x</x:v>
      </x:c>
      <x:c r="H40" s="46" t="str">
        <x:v>grilled</x:v>
      </x:c>
      <x:c r="I40" s="46" t="str">
        <x:v>Grilled beef loin muscle from four finishing-feed systems</x:v>
      </x:c>
      <x:c r="J40" s="46" t="str">
        <x:v>DHS-SPE + GC-O; quantitative aldehyde/ketone analysis</x:v>
      </x:c>
      <x:c r="K40" s="46" t="str">
        <x:v>https://pubmed.ncbi.nlm.nih.gov/22591324/</x:v>
      </x:c>
      <x:c r="L40" s="46" t="str">
        <x:v>direct sensory-linked grilled-beef odorant evidence</x:v>
      </x:c>
      <x:c r="M40" s="46" t="str">
        <x:v>verified_primary</x:v>
      </x:c>
      <x:c r="N40" s="23"/>
      <x:c r="O40" s="23"/>
      <x:c r="P40" s="23"/>
      <x:c r="Q40" s="23"/>
      <x:c r="R40" s="23"/>
      <x:c r="S40" s="23"/>
      <x:c r="T40" s="23"/>
      <x:c r="U40" s="23"/>
      <x:c r="V40" s="23"/>
      <x:c r="W40" s="23"/>
      <x:c r="X40" s="23"/>
      <x:c r="Y40" s="23"/>
      <x:c r="Z40" s="23"/>
    </x:row>
    <x:row r="41">
      <x:c r="A41" s="46" t="str">
        <x:v>SRC-BEEF-PANFRY-BREED-001</x:v>
      </x:c>
      <x:c r="B41" s="46" t="str">
        <x:v>primary_peer_reviewed</x:v>
      </x:c>
      <x:c r="C41" s="46" t="str">
        <x:v>Meng Wei; Xiaochang Liu; Peng Xie; Yuanhua Lei; Haojie Yu; Aiyun Han; Libin Xie; Hongliang Jia; Shaohua Lin; Yueyu Bai; Baozhong Sun; Songshan Zhang</x:v>
      </x:c>
      <x:c r="D41" s="46" t="n">
        <x:v>2022</x:v>
      </x:c>
      <x:c r="E41" s="46" t="str">
        <x:v>Characterization of Volatile Profiles and Correlated Contributing Compounds in Pan-Fried Steaks from Different Chinese Yellow Cattle Breeds through GC-Q-Orbitrap, E-Nose, and Sensory Evaluation</x:v>
      </x:c>
      <x:c r="F41" s="46" t="str">
        <x:v>Molecules</x:v>
      </x:c>
      <x:c r="G41" s="46" t="str">
        <x:v>10.3390/molecules27113593</x:v>
      </x:c>
      <x:c r="H41" s="46" t="str">
        <x:v>pan-fried / seared-like high heat</x:v>
      </x:c>
      <x:c r="I41" s="46" t="str">
        <x:v>Pan-fried steaks from six Chinese yellow cattle breeds</x:v>
      </x:c>
      <x:c r="J41" s="46" t="str">
        <x:v>GC-Q-Orbitrap + E-nose + sensory evaluation + PLSR; 92 VOCs; 18 breed-group markers</x:v>
      </x:c>
      <x:c r="K41" s="46" t="str">
        <x:v>https://pmc.ncbi.nlm.nih.gov/articles/PMC9182176/</x:v>
      </x:c>
      <x:c r="L41" s="46" t="str">
        <x:v>direct high-heat breed/member differentiation evidence</x:v>
      </x:c>
      <x:c r="M41" s="46" t="str">
        <x:v>verified_primary</x:v>
      </x:c>
      <x:c r="N41" s="23"/>
      <x:c r="O41" s="23"/>
      <x:c r="P41" s="23"/>
      <x:c r="Q41" s="23"/>
      <x:c r="R41" s="23"/>
      <x:c r="S41" s="23"/>
      <x:c r="T41" s="23"/>
      <x:c r="U41" s="23"/>
      <x:c r="V41" s="23"/>
      <x:c r="W41" s="23"/>
      <x:c r="X41" s="23"/>
      <x:c r="Y41" s="23"/>
      <x:c r="Z41" s="23"/>
    </x:row>
    <x:row r="42">
      <x:c r="A42" s="46" t="str">
        <x:v>SRC-BEEF-GRILL-MARBLING-001</x:v>
      </x:c>
      <x:c r="B42" s="46" t="str">
        <x:v>primary_peer_reviewed</x:v>
      </x:c>
      <x:c r="C42" s="46" t="str">
        <x:v>Damian Frank; Kornelia Kaczmarska; Janet Paterson; Udayasika Piyasiri; Robyn Warner</x:v>
      </x:c>
      <x:c r="D42" s="46" t="n">
        <x:v>2017</x:v>
      </x:c>
      <x:c r="E42" s="46" t="str">
        <x:v>Effect of marbling on volatile generation, oral breakdown and in mouth flavor release of grilled beef</x:v>
      </x:c>
      <x:c r="F42" s="46" t="str">
        <x:v>Meat Science</x:v>
      </x:c>
      <x:c r="G42" s="46" t="str">
        <x:v>10.1016/j.meatsci.2017.06.006</x:v>
      </x:c>
      <x:c r="H42" s="46" t="str">
        <x:v>grilled</x:v>
      </x:c>
      <x:c r="I42" s="46" t="str">
        <x:v>Grass/grain-fed Angus and grass-fed Wagyu steaks spanning intramuscular-fat levels</x:v>
      </x:c>
      <x:c r="J42" s="46" t="str">
        <x:v>PTR-MS during grilling + in-vivo aroma release + oral breakdown/saliva measurements</x:v>
      </x:c>
      <x:c r="K42" s="46" t="str">
        <x:v>https://pubmed.ncbi.nlm.nih.gov/28644988/</x:v>
      </x:c>
      <x:c r="L42" s="46" t="str">
        <x:v>direct fat/marbling effect on volatile generation and in-mouth flavor release</x:v>
      </x:c>
      <x:c r="M42" s="46" t="str">
        <x:v>verified_primary</x:v>
      </x:c>
      <x:c r="N42" s="23"/>
      <x:c r="O42" s="23"/>
      <x:c r="P42" s="23"/>
      <x:c r="Q42" s="23"/>
      <x:c r="R42" s="23"/>
      <x:c r="S42" s="23"/>
      <x:c r="T42" s="23"/>
      <x:c r="U42" s="23"/>
      <x:c r="V42" s="23"/>
      <x:c r="W42" s="23"/>
      <x:c r="X42" s="23"/>
      <x:c r="Y42" s="23"/>
      <x:c r="Z42" s="23"/>
    </x:row>
    <x:row r="43">
      <x:c r="A43" s="46" t="str">
        <x:v>SRC-BEEF-GRILL-GRADE-001</x:v>
      </x:c>
      <x:c r="B43" s="46" t="str">
        <x:v>primary_peer_reviewed</x:v>
      </x:c>
      <x:c r="C43" s="46" t="str">
        <x:v>J. F. Legako; T. T. N. Dinh; M. F. Miller; K. Adhikari; J. C. Brooks</x:v>
      </x:c>
      <x:c r="D43" s="46" t="n">
        <x:v>2016</x:v>
      </x:c>
      <x:c r="E43" s="46" t="str">
        <x:v>Consumer palatability scores, sensory descriptive attributes, and volatile compounds of grilled beef steaks from three USDA Quality Grades</x:v>
      </x:c>
      <x:c r="F43" s="46" t="str">
        <x:v>Meat Science</x:v>
      </x:c>
      <x:c r="G43" s="46" t="str">
        <x:v>10.1016/j.meatsci.2015.10.018</x:v>
      </x:c>
      <x:c r="H43" s="46" t="str">
        <x:v>grilled</x:v>
      </x:c>
      <x:c r="I43" s="46" t="str">
        <x:v>Longissimus lumborum; USDA Prime, Low Choice, Standard</x:v>
      </x:c>
      <x:c r="J43" s="46" t="str">
        <x:v>volatile profiling + trained descriptive sensory + consumer palatability</x:v>
      </x:c>
      <x:c r="K43" s="46" t="str">
        <x:v>https://pubmed.ncbi.nlm.nih.gov/26555563/</x:v>
      </x:c>
      <x:c r="L43" s="46" t="str">
        <x:v>direct grilled quality-grade/fat weighting and sensory-correlation evidence</x:v>
      </x:c>
      <x:c r="M43" s="46" t="str">
        <x:v>verified_primary</x:v>
      </x:c>
      <x:c r="N43" s="23"/>
      <x:c r="O43" s="23"/>
      <x:c r="P43" s="23"/>
      <x:c r="Q43" s="23"/>
      <x:c r="R43" s="23"/>
      <x:c r="S43" s="23"/>
      <x:c r="T43" s="23"/>
      <x:c r="U43" s="23"/>
      <x:c r="V43" s="23"/>
      <x:c r="W43" s="23"/>
      <x:c r="X43" s="23"/>
      <x:c r="Y43" s="23"/>
      <x:c r="Z43" s="23"/>
    </x:row>
    <x:row r="44">
      <x:c r="A44" s="46" t="str">
        <x:v>SRC-BEEF-CURE-SMOKE-001</x:v>
      </x:c>
      <x:c r="B44" s="46" t="str">
        <x:v>primary_peer_reviewed</x:v>
      </x:c>
      <x:c r="C44" s="46" t="str">
        <x:v>Hong-Do Li; Yang Zhang</x:v>
      </x:c>
      <x:c r="D44" s="46" t="n">
        <x:v>2017</x:v>
      </x:c>
      <x:c r="E44" s="46" t="str">
        <x:v>Investigation of Physicochemical and Textural Characteristics and Volatile Compounds of Kazakh Dry-cured Beef</x:v>
      </x:c>
      <x:c r="F44" s="46" t="str">
        <x:v>Food Science and Technology Research</x:v>
      </x:c>
      <x:c r="G44" s="46" t="str">
        <x:v>10.3136/fstr.23.375</x:v>
      </x:c>
      <x:c r="H44" s="46" t="str">
        <x:v>dry-cured smoked+spiced vs dry-cured unsmoked/unspiced</x:v>
      </x:c>
      <x:c r="I44" s="46" t="str">
        <x:v>30 commercial Kazakh dry-cured beef products; T1 smoked with spices; T2 without smoking or spices</x:v>
      </x:c>
      <x:c r="J44" s="46" t="str">
        <x:v>SPME-GC-MS; 86 compounds quantified; RI reported; identification by MS or MS+RI</x:v>
      </x:c>
      <x:c r="K44" s="46" t="str">
        <x:v>https://www.jstage.jst.go.jp/article/fstr/23/3/23_375/_html/-char/en</x:v>
      </x:c>
      <x:c r="L44" s="46" t="str">
        <x:v>BQ-007 in MR addendum: full 86-compound cured-beef table extracted in v16; 12 phenols occur only in smoked+spiced T1; smoke/spice confound retained.</x:v>
      </x:c>
      <x:c r="M44" s="46" t="str">
        <x:v>verified_primary</x:v>
      </x:c>
      <x:c r="N44" s="23"/>
      <x:c r="O44" s="23"/>
      <x:c r="P44" s="23"/>
      <x:c r="Q44" s="23"/>
      <x:c r="R44" s="23"/>
      <x:c r="S44" s="23"/>
      <x:c r="T44" s="23"/>
      <x:c r="U44" s="23"/>
      <x:c r="V44" s="23"/>
      <x:c r="W44" s="23"/>
      <x:c r="X44" s="23"/>
      <x:c r="Y44" s="23"/>
      <x:c r="Z44" s="23"/>
    </x:row>
    <x:row r="45">
      <x:c r="A45" s="46" t="str">
        <x:v>SRC-BEEF-IDQA-001</x:v>
      </x:c>
      <x:c r="B45" s="46" t="str">
        <x:v>primary_peer_reviewed</x:v>
      </x:c>
      <x:c r="C45" s="46" t="str">
        <x:v>Zubayed Ahamed; Jin-Kyu Seo; Jeong-Uk Eom; et al.</x:v>
      </x:c>
      <x:c r="D45" s="46" t="n">
        <x:v>2024</x:v>
      </x:c>
      <x:c r="E45" s="46" t="str">
        <x:v>Volatile Compounds for Discrimination between Beef, Pork, and Their Admixture Using Solid-Phase-Microextraction-Gas Chromatography-Mass Spectrometry (SPME-GC-MS) and Chemometrics Analysis</x:v>
      </x:c>
      <x:c r="F45" s="46" t="str">
        <x:v>Food Science of Animal Resources</x:v>
      </x:c>
      <x:c r="G45" s="46" t="str">
        <x:v>10.5851/kosfa.2024.e32</x:v>
      </x:c>
      <x:c r="H45" s="46" t="str">
        <x:v>cooked beef / pork / admixtures</x:v>
      </x:c>
      <x:c r="I45" s="46" t="str">
        <x:v>cooked beef and pork authentication experiment</x:v>
      </x:c>
      <x:c r="J45" s="46" t="str">
        <x:v>SPME-GC-MS; NIST v14 minimum mass-match quality 80%; calculated LRI checked against PubChem/NIST Chemistry WebBook; selected authentic standards</x:v>
      </x:c>
      <x:c r="K45" s="46" t="str">
        <x:v>https://pmc.ncbi.nlm.nih.gov/articles/PMC11222689/</x:v>
      </x:c>
      <x:c r="L45" s="46" t="str">
        <x:v>MR-09 identification-quality benchmark plus full 45-compound cooked-beef table</x:v>
      </x:c>
      <x:c r="M45" s="46" t="str">
        <x:v>verified_primary</x:v>
      </x:c>
      <x:c r="N45" s="23"/>
      <x:c r="O45" s="23"/>
      <x:c r="P45" s="23"/>
      <x:c r="Q45" s="23"/>
      <x:c r="R45" s="23"/>
      <x:c r="S45" s="23"/>
      <x:c r="T45" s="23"/>
      <x:c r="U45" s="23"/>
      <x:c r="V45" s="23"/>
      <x:c r="W45" s="23"/>
      <x:c r="X45" s="23"/>
      <x:c r="Y45" s="23"/>
      <x:c r="Z45" s="23"/>
    </x:row>
    <x:row r="46">
      <x:c r="A46" s="46" t="str">
        <x:v>SRC-FISH-SALMON-COOK-001</x:v>
      </x:c>
      <x:c r="B46" s="46" t="str">
        <x:v>primary_peer_reviewed</x:v>
      </x:c>
      <x:c r="C46" s="46" t="str">
        <x:v>Nidelle Sausten Fomena Temgoua; Zongbao Sun; Charles Obinwanne Okoye; Haodong Pan</x:v>
      </x:c>
      <x:c r="D46" s="46" t="n">
        <x:v>2022</x:v>
      </x:c>
      <x:c r="E46" s="46" t="str">
        <x:v>Fatty Acid Profile, Physicochemical Composition, and Sensory Properties of Atlantic Salmon Fish (Salmo salar) during Different Culinary Treatments</x:v>
      </x:c>
      <x:c r="F46" s="46" t="str">
        <x:v>Journal of Food Quality</x:v>
      </x:c>
      <x:c r="G46" s="46" t="str">
        <x:v>10.1155/2022/7425142</x:v>
      </x:c>
      <x:c r="H46" s="46" t="str">
        <x:v>raw / boiled / steamed / oven-cooked</x:v>
      </x:c>
      <x:c r="I46" s="46" t="str">
        <x:v>Atlantic salmon fillets; raw fat 9.02±1.41%; boiled 90°C 10 min; steamed; oven-cooked 180°C 8 min</x:v>
      </x:c>
      <x:c r="J46" s="46" t="str">
        <x:v>HS-SPME-GC-MS on DB-WAX; compound identification by GC retention time + NIST 2005 mass spectra; internal-standard estimated concentration; 48-compound union table</x:v>
      </x:c>
      <x:c r="K46" s="46" t="str">
        <x:v>https://onlinelibrary.wiley.com/doi/10.1155/2022/7425142</x:v>
      </x:c>
      <x:c r="L46" s="46" t="str">
        <x:v>fatty-fish anchor; full 48-compound source table extracted in v17; RT and quantitative ng/g retained; exact RI and numeric match factors not published</x:v>
      </x:c>
      <x:c r="M46" s="46" t="str">
        <x:v>verified_primary_full_table_v17</x:v>
      </x:c>
      <x:c r="N46" s="23"/>
      <x:c r="O46" s="23"/>
      <x:c r="P46" s="23"/>
      <x:c r="Q46" s="23"/>
      <x:c r="R46" s="23"/>
      <x:c r="S46" s="23"/>
      <x:c r="T46" s="23"/>
      <x:c r="U46" s="23"/>
      <x:c r="V46" s="23"/>
      <x:c r="W46" s="23"/>
      <x:c r="X46" s="23"/>
      <x:c r="Y46" s="23"/>
      <x:c r="Z46" s="23"/>
    </x:row>
    <x:row r="47">
      <x:c r="A47" s="46" t="str">
        <x:v>SRC-FISH-SEABASS-STEAM-001</x:v>
      </x:c>
      <x:c r="B47" s="46" t="str">
        <x:v>primary_peer_reviewed</x:v>
      </x:c>
      <x:c r="C47" s="46" t="str">
        <x:v>Yueqi Wang; Jinxing Li; Yanyan Wu; Shengyuan Yang; Di Wang; Qiang Liu</x:v>
      </x:c>
      <x:c r="D47" s="46" t="n">
        <x:v>2021</x:v>
      </x:c>
      <x:c r="E47" s="46" t="str">
        <x:v>Analysis of Volatile Compounds in Sea Bass (Lateolabrax japonicus) Resulting from Different Slaughter Methods Using Electronic-Nose (E-Nose) and Gas Chromatography-Ion Mobility Spectrometry</x:v>
      </x:c>
      <x:c r="F47" s="46" t="str">
        <x:v>Molecules</x:v>
      </x:c>
      <x:c r="G47" s="46" t="str">
        <x:v>10.3390/molecules26195889</x:v>
      </x:c>
      <x:c r="H47" s="46" t="str">
        <x:v>raw / steamed</x:v>
      </x:c>
      <x:c r="I47" s="46" t="str">
        <x:v>Lateolabrax japonicus sea bass; four slaughter methods; raw and steamed samples</x:v>
      </x:c>
      <x:c r="J47" s="46" t="str">
        <x:v>GC-IMS + e-nose; qualitative identification using NIST and IMS databases; Table 2 reports CAS, RI, GC retention time, drift time and peak volume; 31 VOCs reported raw and 39 cooked</x:v>
      </x:c>
      <x:c r="K47" s="46" t="str">
        <x:v>https://pmc.ncbi.nlm.nih.gov/articles/PMC8510469/</x:v>
      </x:c>
      <x:c r="L47" s="46" t="str">
        <x:v>lean/white-fish anchor; all named Table-2 GC-IMS analytical features extracted in v17; monomer/dimer forms preserved; slaughter method is an explicit abundance confound</x:v>
      </x:c>
      <x:c r="M47" s="46" t="str">
        <x:v>verified_primary_full_named_table_v17</x:v>
      </x:c>
      <x:c r="N47" s="23"/>
      <x:c r="O47" s="23"/>
      <x:c r="P47" s="23"/>
      <x:c r="Q47" s="23"/>
      <x:c r="R47" s="23"/>
      <x:c r="S47" s="23"/>
      <x:c r="T47" s="23"/>
      <x:c r="U47" s="23"/>
      <x:c r="V47" s="23"/>
      <x:c r="W47" s="23"/>
      <x:c r="X47" s="23"/>
      <x:c r="Y47" s="23"/>
      <x:c r="Z47" s="23"/>
    </x:row>
    <x:row r="48">
      <x:c r="A48" s="46" t="str">
        <x:v>SRC-FISH-SEABASS-SALMON-MAP-001</x:v>
      </x:c>
      <x:c r="B48" s="46" t="str">
        <x:v>primary_peer_reviewed</x:v>
      </x:c>
      <x:c r="C48" s="46" t="str">
        <x:v>Athanasios Kritikos; Ioanna Aska; Sotirios Ekonomou; Athanasios Mallouchos; Foteini F. Parlapani; Serkos A. Haroutounian; Ioannis S. Boziaris</x:v>
      </x:c>
      <x:c r="D48" s="46" t="n">
        <x:v>2020</x:v>
      </x:c>
      <x:c r="E48" s="46" t="str">
        <x:v>Volatilome of Chill-Stored European Seabass (Dicentrarchus labrax) Fillets and Atlantic Salmon (Salmo salar) Slices under Modified Atmosphere Packaging</x:v>
      </x:c>
      <x:c r="F48" s="46" t="str">
        <x:v>Molecules</x:v>
      </x:c>
      <x:c r="G48" s="46" t="str">
        <x:v>10.3390/molecules25081981</x:v>
      </x:c>
      <x:c r="H48" s="46" t="str">
        <x:v>refrigerated MAP storage</x:v>
      </x:c>
      <x:c r="I48" s="46" t="str">
        <x:v>European seabass fillets and Atlantic salmon slices under identical MAP at 2°C</x:v>
      </x:c>
      <x:c r="J48" s="46" t="str">
        <x:v>SPME-GC-MS + sensory + microbiology + TVB-N; 54 VOCs excluding hydrocarbons/terpenoids/miscellaneous</x:v>
      </x:c>
      <x:c r="K48" s="46" t="str">
        <x:v>https://pmc.ncbi.nlm.nih.gov/articles/PMC7221811/</x:v>
      </x:c>
      <x:c r="L48" s="46" t="str">
        <x:v>architecture-only same-method species comparison; all but three of the 54 reported VOC identities were shared between species; do not use spoilage evolution as positive culinary evidence</x:v>
      </x:c>
      <x:c r="M48" s="46" t="str">
        <x:v>verified_primary_context_limited</x:v>
      </x:c>
      <x:c r="N48" s="23"/>
      <x:c r="O48" s="23"/>
      <x:c r="P48" s="23"/>
      <x:c r="Q48" s="23"/>
      <x:c r="R48" s="23"/>
      <x:c r="S48" s="23"/>
      <x:c r="T48" s="23"/>
      <x:c r="U48" s="23"/>
      <x:c r="V48" s="23"/>
      <x:c r="W48" s="23"/>
      <x:c r="X48" s="23"/>
      <x:c r="Y48" s="23"/>
      <x:c r="Z48" s="23"/>
    </x:row>
    <x:row r="49">
      <x:c r="A49" s="46" t="str">
        <x:v>SRC-FISH-SEABASS-LIPID-001</x:v>
      </x:c>
      <x:c r="B49" s="46" t="str">
        <x:v>primary_peer_reviewed</x:v>
      </x:c>
      <x:c r="C49" s="46" t="str">
        <x:v>Bárbara Nieva-Echevarría; Encarnación Goicoechea; María J. Manzanos; María D. Guillén</x:v>
      </x:c>
      <x:c r="D49" s="46" t="n">
        <x:v>2018</x:v>
      </x:c>
      <x:c r="E49" s="46" t="str">
        <x:v>Effects of different cooking methods on the lipids and volatile components of farmed and wild European sea bass (Dicentrarchus labrax)</x:v>
      </x:c>
      <x:c r="F49" s="46" t="str">
        <x:v>Food Research International</x:v>
      </x:c>
      <x:c r="G49" s="46" t="str">
        <x:v>10.1016/j.foodres.2017.10.029</x:v>
      </x:c>
      <x:c r="H49" s="46" t="str">
        <x:v>raw / microwave / salt-crust bake / conventional bake</x:v>
      </x:c>
      <x:c r="I49" s="46" t="str">
        <x:v>Farmed versus wild European sea bass; farmed fish reported with ~6-fold higher lipid content</x:v>
      </x:c>
      <x:c r="J49" s="46" t="str">
        <x:v>1H NMR lipid analysis + SPME-GC-MS volatile profiling</x:v>
      </x:c>
      <x:c r="K49" s="46" t="str">
        <x:v>https://www.sciencedirect.com/science/article/pii/S0963996917307147</x:v>
      </x:c>
      <x:c r="L49" s="46" t="str">
        <x:v>supports lipid-level weighting within one species: higher-lipid farmed sea bass had a much richer volatile profile; conventional baking produced the strongest enrichment and 15 Maillard-derived compounds unique to oven-baked samples</x:v>
      </x:c>
      <x:c r="M49" s="46" t="str">
        <x:v>verified_primary_abstract_level</x:v>
      </x:c>
      <x:c r="N49" s="23"/>
      <x:c r="O49" s="23"/>
      <x:c r="P49" s="23"/>
      <x:c r="Q49" s="23"/>
      <x:c r="R49" s="23"/>
      <x:c r="S49" s="23"/>
      <x:c r="T49" s="23"/>
      <x:c r="U49" s="23"/>
      <x:c r="V49" s="23"/>
      <x:c r="W49" s="23"/>
      <x:c r="X49" s="23"/>
      <x:c r="Y49" s="23"/>
      <x:c r="Z49" s="23"/>
    </x:row>
    <x:row r="50">
      <x:c r="A50" s="46" t="str">
        <x:v>SRC-FISH-MACKEREL-HEAT-001</x:v>
      </x:c>
      <x:c r="B50" s="46" t="str">
        <x:v>primary_peer_reviewed</x:v>
      </x:c>
      <x:c r="C50" s="46" t="str">
        <x:v>Ping-An Zheng; Jian Huang; Jing Sun; Jingjing Quan; Chundan Zhang; Xiurong Su</x:v>
      </x:c>
      <x:c r="D50" s="46" t="n">
        <x:v>2012</x:v>
      </x:c>
      <x:c r="E50" s="46" t="str">
        <x:v>Analysis of Volatile Components in Mackerel Fish before and after Heating by SPME and GC-MS</x:v>
      </x:c>
      <x:c r="F50" s="46" t="str">
        <x:v>Food Science</x:v>
      </x:c>
      <x:c r="G50" s="46" t="str"/>
      <x:c r="H50" s="46" t="str">
        <x:v>raw / heated</x:v>
      </x:c>
      <x:c r="I50" s="46" t="str">
        <x:v>Mackerel white muscle and red muscle, raw and heat-treated</x:v>
      </x:c>
      <x:c r="J50" s="46" t="str">
        <x:v>HS-SPME-GC-MS; NIST 08 + WILEY 09 cross-library identification; source rejects similarity &lt;80/100; peak-area normalization; 65 μm PDMS; 60°C extraction; heat treatment 150°C for 0.5 h</x:v>
      </x:c>
      <x:c r="K50" s="46" t="str">
        <x:v>https://www.spkx.net.cn/EN/Y2012/V33/I14/242</x:v>
      </x:c>
      <x:c r="L50" s="46" t="str">
        <x:v>v18 fatty-fish stress check: source counts fully reconciled; class distributions governed; 43 Table-2 rows recoverable with exact RT/similarity/relative-abundance values; full table remains partially inaccessible and is not reconstructed beyond verified rows</x:v>
      </x:c>
      <x:c r="M50" s="46" t="str">
        <x:v>verified_primary_partial_table_v18</x:v>
      </x:c>
      <x:c r="N50" s="23"/>
      <x:c r="O50" s="23"/>
      <x:c r="P50" s="23"/>
      <x:c r="Q50" s="23"/>
      <x:c r="R50" s="23"/>
      <x:c r="S50" s="23"/>
      <x:c r="T50" s="23"/>
      <x:c r="U50" s="23"/>
      <x:c r="V50" s="23"/>
      <x:c r="W50" s="23"/>
      <x:c r="X50" s="23"/>
      <x:c r="Y50" s="23"/>
      <x:c r="Z50" s="23"/>
    </x:row>
    <x:row r="51">
      <x:c r="A51" s="46" t="str">
        <x:v>SRC-FISH-COD-FRESH-001</x:v>
      </x:c>
      <x:c r="B51" s="46" t="str">
        <x:v>primary_peer_reviewed</x:v>
      </x:c>
      <x:c r="C51" s="46" t="str">
        <x:v>François Leduc; Frédéric Krzewinski; Bruno Le Fur; Assi N'Guessan; Pierre Malle; Ossarath Kol; Guillaume Duflos</x:v>
      </x:c>
      <x:c r="D51" s="46" t="n">
        <x:v>2012</x:v>
      </x:c>
      <x:c r="E51" s="46" t="str">
        <x:v>Differentiation of fresh and frozen/thawed fish, European sea bass (Dicentrarchus labrax), gilthead seabream (Sparus aurata), cod (Gadus morhua) and salmon (Salmo salar), using volatile compounds by SPME/GC/MS</x:v>
      </x:c>
      <x:c r="F51" s="46" t="str">
        <x:v>Journal of the Science of Food and Agriculture</x:v>
      </x:c>
      <x:c r="G51" s="46" t="str">
        <x:v>10.1002/jsfa.5673</x:v>
      </x:c>
      <x:c r="H51" s="46" t="str">
        <x:v>fresh / frozen-thawed</x:v>
      </x:c>
      <x:c r="I51" s="46" t="str">
        <x:v>Fresh and frozen-thawed Atlantic cod fillets and salmon fillets; sea bass and seabream whole fish</x:v>
      </x:c>
      <x:c r="J51" s="46" t="str">
        <x:v>SPME-GC-MS; &gt;100 VOCs across species; PCA/hierarchical classification; four compounds common to all species</x:v>
      </x:c>
      <x:c r="K51" s="46" t="str">
        <x:v>https://pubmed.ncbi.nlm.nih.gov/22641336/</x:v>
      </x:c>
      <x:c r="L51" s="46" t="str">
        <x:v>Published peer-reviewed counterpart to the Leduc fresh/frozen cod-salmon study. Full 101-row identification table is governed from SRC-FISH-COD-SALMON-RAW-IDQA-001; this journal record remains the published source anchor.</x:v>
      </x:c>
      <x:c r="M51" s="46" t="str">
        <x:v>verified_primary_published_counterpart</x:v>
      </x:c>
      <x:c r="N51" s="23"/>
      <x:c r="O51" s="23"/>
      <x:c r="P51" s="23"/>
      <x:c r="Q51" s="23"/>
      <x:c r="R51" s="23"/>
      <x:c r="S51" s="23"/>
      <x:c r="T51" s="23"/>
      <x:c r="U51" s="23"/>
      <x:c r="V51" s="23"/>
      <x:c r="W51" s="23"/>
      <x:c r="X51" s="23"/>
      <x:c r="Y51" s="23"/>
      <x:c r="Z51" s="23"/>
    </x:row>
    <x:row r="52">
      <x:c r="A52" s="46" t="str">
        <x:v>SRC-FISH-COD-SOUP-001</x:v>
      </x:c>
      <x:c r="B52" s="46" t="str">
        <x:v>primary_peer_reviewed</x:v>
      </x:c>
      <x:c r="C52" s="46" t="str">
        <x:v>Yuanyuan Wang; Xuepeng Li; Jinxiang Wang; Jianrong Li; Tingting Li; Xiaohua Guo</x:v>
      </x:c>
      <x:c r="D52" s="46" t="n">
        <x:v>2021</x:v>
      </x:c>
      <x:c r="E52" s="46" t="str">
        <x:v>Effects of Cooking Methods on Flavor Characteristics of Pacific Cod Head Soup</x:v>
      </x:c>
      <x:c r="F52" s="46" t="str">
        <x:v>Food Science</x:v>
      </x:c>
      <x:c r="G52" s="46" t="str">
        <x:v>10.7506/spkx1002-6630-20200721-289</x:v>
      </x:c>
      <x:c r="H52" s="46" t="str">
        <x:v>atmospheric / high-pressure / combined cooked soup</x:v>
      </x:c>
      <x:c r="I52" s="46" t="str">
        <x:v>Pacific cod head soup; AP, HP, AP-HP and HP-AP cooking methods</x:v>
      </x:c>
      <x:c r="J52" s="46" t="str">
        <x:v>GC-MS + e-nose + e-tongue + sensory/nonvolatile measurements; 27, 25, 28 and 40 VOCs across cooking methods</x:v>
      </x:c>
      <x:c r="K52" s="46" t="str">
        <x:v>https://www.spkx.net.cn/EN/abstract/article/1002-6630/53218</x:v>
      </x:c>
      <x:c r="L52" s="46" t="str">
        <x:v>lean-cod cooked-process spot check only; head/soup matrix is not a muscle raw-to-cooked baseline and must not substitute for one</x:v>
      </x:c>
      <x:c r="M52" s="46" t="str">
        <x:v>verified_primary_context_limited</x:v>
      </x:c>
      <x:c r="N52" s="23"/>
      <x:c r="O52" s="23"/>
      <x:c r="P52" s="23"/>
      <x:c r="Q52" s="23"/>
      <x:c r="R52" s="23"/>
      <x:c r="S52" s="23"/>
      <x:c r="T52" s="23"/>
      <x:c r="U52" s="23"/>
      <x:c r="V52" s="23"/>
      <x:c r="W52" s="23"/>
      <x:c r="X52" s="23"/>
      <x:c r="Y52" s="23"/>
      <x:c r="Z52" s="23"/>
    </x:row>
    <x:row r="53">
      <x:c r="A53" s="46" t="str">
        <x:v>SRC-FISH-COD-SALMON-GCO-001</x:v>
      </x:c>
      <x:c r="B53" s="46" t="str">
        <x:v>primary_peer_reviewed</x:v>
      </x:c>
      <x:c r="C53" s="46" t="str">
        <x:v>Christian Milo; Werner Grosch</x:v>
      </x:c>
      <x:c r="D53" s="46" t="n">
        <x:v>1996</x:v>
      </x:c>
      <x:c r="E53" s="46" t="str">
        <x:v>Changes in the Odorants of Boiled Salmon and Cod As Affected by the Storage of the Raw Material</x:v>
      </x:c>
      <x:c r="F53" s="46" t="str">
        <x:v>Journal of Agricultural and Food Chemistry</x:v>
      </x:c>
      <x:c r="G53" s="46" t="str">
        <x:v>10.1021/jf9507203</x:v>
      </x:c>
      <x:c r="H53" s="46" t="str">
        <x:v>boiled salmon / boiled cod; fresh-control vs frozen-storage conditions</x:v>
      </x:c>
      <x:c r="I53" s="46" t="str">
        <x:v>Salmon and cod homogenates stored at −60°C as fresh-flavor controls and at −13°C as defect-forming conditions, then boiled</x:v>
      </x:c>
      <x:c r="J53" s="46" t="str">
        <x:v>Aroma dilution screening + stable-isotope dilution quantitation + OAV; matched salmon/cod design</x:v>
      </x:c>
      <x:c r="K53" s="46" t="str">
        <x:v>https://pubs.acs.org/doi/10.1021/jf9507203</x:v>
      </x:c>
      <x:c r="L53" s="46" t="str">
        <x:v>critical fin-fish architecture source: fresh-control boiled salmon and cod share four of five character-impact odorants; storage-defect chemistry kept separate under MR-14</x:v>
      </x:c>
      <x:c r="M53" s="46" t="str">
        <x:v>verified_primary_sensory_cross_member</x:v>
      </x:c>
      <x:c r="N53" s="23"/>
      <x:c r="O53" s="23"/>
      <x:c r="P53" s="23"/>
      <x:c r="Q53" s="23"/>
      <x:c r="R53" s="23"/>
      <x:c r="S53" s="23"/>
      <x:c r="T53" s="23"/>
      <x:c r="U53" s="23"/>
      <x:c r="V53" s="23"/>
      <x:c r="W53" s="23"/>
      <x:c r="X53" s="23"/>
      <x:c r="Y53" s="23"/>
      <x:c r="Z53" s="23"/>
    </x:row>
    <x:row r="54">
      <x:c r="A54" s="46" t="str">
        <x:v>SRC-FISH-COD-SALMON-RAW-IDQA-001</x:v>
      </x:c>
      <x:c r="B54" s="46" t="str">
        <x:v>institutional_primary_dissertation_linked_peer_review</x:v>
      </x:c>
      <x:c r="C54" s="46" t="str">
        <x:v>François Leduc</x:v>
      </x:c>
      <x:c r="D54" s="46" t="n">
        <x:v>2011</x:v>
      </x:c>
      <x:c r="E54" s="46" t="str">
        <x:v>Evaluation de la qualité des poissons frais par des approches chimiques</x:v>
      </x:c>
      <x:c r="F54" s="46" t="str">
        <x:v>Université Sciences et Technologies de Lille 1 doctoral dissertation; study published as Leduc et al. 2012 J Sci Food Agric</x:v>
      </x:c>
      <x:c r="G54" s="46" t="str">
        <x:v>published counterpart DOI 10.1002/jsfa.5673</x:v>
      </x:c>
      <x:c r="H54" s="46" t="str">
        <x:v>fresh / frozen-thawed; full volatile identification inventory</x:v>
      </x:c>
      <x:c r="I54" s="46" t="str">
        <x:v>Atlantic cod and Atlantic salmon fillets plus European sea bass and gilthead seabream; D0 fresh, D30, D90 frozen-thawed</x:v>
      </x:c>
      <x:c r="J54" s="46" t="str">
        <x:v>SPME-GC-MS; Table 2 gives 101 compounds/features with SLB-5ms linear retention index, specific ion, NIST MS identification and 48 authentic-standard confirmations</x:v>
      </x:c>
      <x:c r="K54" s="46" t="str">
        <x:v>https://pepite-depot.univ-lille.fr/LIBRE/EDBSL/2011/50376-2011-Leduc.pdf</x:v>
      </x:c>
      <x:c r="L54" s="46" t="str">
        <x:v>Full 101-row identification table ingested in v19. Source states all 101 were found across all four species at study stages and no frozen-thawed volatile appeared that was not already present in fresh fish. Used as fresh cod membership inventory and independent salmon MR-09 corroboration.</x:v>
      </x:c>
      <x:c r="M54" s="46" t="str">
        <x:v>verified_primary_full_table_v19</x:v>
      </x:c>
      <x:c r="N54" s="23"/>
      <x:c r="O54" s="23"/>
      <x:c r="P54" s="23"/>
      <x:c r="Q54" s="23"/>
      <x:c r="R54" s="23"/>
      <x:c r="S54" s="23"/>
      <x:c r="T54" s="23"/>
      <x:c r="U54" s="23"/>
      <x:c r="V54" s="23"/>
      <x:c r="W54" s="23"/>
      <x:c r="X54" s="23"/>
      <x:c r="Y54" s="23"/>
      <x:c r="Z54" s="23"/>
    </x:row>
    <x:row r="55">
      <x:c r="A55" s="46" t="str">
        <x:v>SRC-FISH-COD-BAKED-001</x:v>
      </x:c>
      <x:c r="B55" s="46" t="str">
        <x:v>primary_peer_reviewed</x:v>
      </x:c>
      <x:c r="C55" s="46" t="str">
        <x:v>Lin Yang; Zhang Xinyue; Li Xiaolei; Duan Cuicui; Ma Fumin; Li Dan</x:v>
      </x:c>
      <x:c r="D55" s="46" t="n">
        <x:v>2025</x:v>
      </x:c>
      <x:c r="E55" s="46" t="str">
        <x:v>Analysis of Volatile Flavor Compounds in Three Types of Baked Fish Fillets Using an Electronic Nose Combined with GC-IMS</x:v>
      </x:c>
      <x:c r="F55" s="46" t="str">
        <x:v>Science and Technology of Food Industry</x:v>
      </x:c>
      <x:c r="G55" s="46" t="str">
        <x:v>10.13386/j.issn1002-0306.2025010150</x:v>
      </x:c>
      <x:c r="H55" s="46" t="str">
        <x:v>baked / iron-plate roasted commercial fillet</x:v>
      </x:c>
      <x:c r="I55" s="46" t="str">
        <x:v>Cod, monkfish and eel baked fillets produced by the same commercial process; auxiliary ingredients include sugar, salt and MSG</x:v>
      </x:c>
      <x:c r="J55" s="46" t="str">
        <x:v>GC-IMS; NIST2020 RI DB-WAX + Vocal software; Table 2 reports 72 VOCs with CAS, RI, GC retention time, IMS drift time and species-specific source values; ROAV + sensory analysis</x:v>
      </x:c>
      <x:c r="K55" s="46" t="str">
        <x:v>https://www.spgykj.com/en/article/doi/10.13386/j.issn1002-0306.2025010150?viewType=HTML</x:v>
      </x:c>
      <x:c r="L55" s="46" t="str">
        <x:v>Full 72-row cod cooked table ingested in v19. Strong MR-09 retention metadata; no numeric match factor. Added sugar/salt/MSG are explicitly treated as a processing overlay rather than intrinsic cod chemistry.</x:v>
      </x:c>
      <x:c r="M55" s="46" t="str">
        <x:v>verified_primary_full_table_context_confounded_v19</x:v>
      </x:c>
      <x:c r="N55" s="23"/>
      <x:c r="O55" s="23"/>
      <x:c r="P55" s="23"/>
      <x:c r="Q55" s="23"/>
      <x:c r="R55" s="23"/>
      <x:c r="S55" s="23"/>
      <x:c r="T55" s="23"/>
      <x:c r="U55" s="23"/>
      <x:c r="V55" s="23"/>
      <x:c r="W55" s="23"/>
      <x:c r="X55" s="23"/>
      <x:c r="Y55" s="23"/>
      <x:c r="Z55" s="23"/>
    </x:row>
    <x:row r="56">
      <x:c r="A56" s="46" t="str">
        <x:v>SRC-BUTTER-SCB-CB-001</x:v>
      </x:c>
      <x:c r="B56" s="46" t="str">
        <x:v>primary_peer_reviewed</x:v>
      </x:c>
      <x:c r="C56" s="46" t="str">
        <x:v>Yunjie Lei; Xinyu Guo; Zongyuan Wu; Jiangtao Feng; Tao Yang; Weinong Zhang; Yanxia Cong</x:v>
      </x:c>
      <x:c r="D56" s="46" t="n">
        <x:v>2025</x:v>
      </x:c>
      <x:c r="E56" s="46" t="str">
        <x:v>Evaluation of flavor quality of commercial butter: A systematic comparison of sweet cream and cultured butter</x:v>
      </x:c>
      <x:c r="F56" s="46" t="str">
        <x:v>Food Chemistry: X</x:v>
      </x:c>
      <x:c r="G56" s="46" t="str">
        <x:v>10.1016/j.fochx.2025.103334</x:v>
      </x:c>
      <x:c r="H56" s="46" t="str">
        <x:v>sweet cream butter / cultured butter</x:v>
      </x:c>
      <x:c r="I56" s="46" t="str">
        <x:v>Three commercial sweet-cream butters and four cultured butters</x:v>
      </x:c>
      <x:c r="J56" s="46" t="str">
        <x:v>HS-SPME-GC-MS + HS-GC-IMS + OAV + lipidomics + electronic sensory; GC-MS Table 2 gives 33 VOCs with reference/calculated RI, CAS and μg/g; 5 lactones</x:v>
      </x:c>
      <x:c r="K56" s="46" t="str">
        <x:v>https://pmc.ncbi.nlm.nih.gov/articles/PMC12719179/</x:v>
      </x:c>
      <x:c r="L56" s="46" t="str">
        <x:v>Primary carrier anchor. Full 33-row GC-MS table ingested in v20; butter-type concentration deltas and lactone layer retained.</x:v>
      </x:c>
      <x:c r="M56" s="46" t="str">
        <x:v>verified_primary_full_table_v20</x:v>
      </x:c>
      <x:c r="N56" s="23"/>
      <x:c r="O56" s="23"/>
      <x:c r="P56" s="23"/>
      <x:c r="Q56" s="23"/>
      <x:c r="R56" s="23"/>
      <x:c r="S56" s="23"/>
      <x:c r="T56" s="23"/>
      <x:c r="U56" s="23"/>
      <x:c r="V56" s="23"/>
      <x:c r="W56" s="23"/>
      <x:c r="X56" s="23"/>
      <x:c r="Y56" s="23"/>
      <x:c r="Z56" s="23"/>
    </x:row>
    <x:row r="57">
      <x:c r="A57" s="46" t="str">
        <x:v>SRC-BUTTER-LACTONE-HEAT-001</x:v>
      </x:c>
      <x:c r="B57" s="46" t="str">
        <x:v>primary_peer_reviewed</x:v>
      </x:c>
      <x:c r="C57" s="46" t="str">
        <x:v>Rina Saeki; Kazuaki Yoshinaga; Arisa Tago; Seiya Tanaka; Aya Yoshinaga-Kiriake; Toshiharu Nagai; Akihiko Yoshida; Naohiro Gotoh</x:v>
      </x:c>
      <x:c r="D57" s="46" t="n">
        <x:v>2022</x:v>
      </x:c>
      <x:c r="E57" s="46" t="str">
        <x:v>Quantitative Analysis of Lactone Enantiomers in Butter and Margarine through the Combination of Solvent Extraction and Enantioselective Gas Chromatography-Mass Spectrometry</x:v>
      </x:c>
      <x:c r="F57" s="46" t="str">
        <x:v>Journal of Agricultural and Food Chemistry</x:v>
      </x:c>
      <x:c r="G57" s="46" t="str">
        <x:v>10.1021/acs.jafc.2c01480</x:v>
      </x:c>
      <x:c r="H57" s="46" t="str">
        <x:v>butter / fermented butter / heat-treated</x:v>
      </x:c>
      <x:c r="I57" s="46" t="str">
        <x:v>Butter and fermented butter before/after heat treatment; margarine comparator</x:v>
      </x:c>
      <x:c r="J57" s="46" t="str">
        <x:v>solvent extraction + enantioselective GC-MS; quantitative lactone enantiomer distributions</x:v>
      </x:c>
      <x:c r="K57" s="46" t="str">
        <x:v>https://pubmed.ncbi.nlm.nih.gov/35482605/</x:v>
      </x:c>
      <x:c r="L57" s="46" t="str">
        <x:v>Heat-treated butter and fermented butter contain 13 lactone types; main dairy lactones are predominantly R-configured. Supports heat transformation of carrier lactone chemistry.</x:v>
      </x:c>
      <x:c r="M57" s="46" t="str">
        <x:v>verified_primary_state_specific</x:v>
      </x:c>
      <x:c r="N57" s="23"/>
      <x:c r="O57" s="23"/>
      <x:c r="P57" s="23"/>
      <x:c r="Q57" s="23"/>
      <x:c r="R57" s="23"/>
      <x:c r="S57" s="23"/>
      <x:c r="T57" s="23"/>
      <x:c r="U57" s="23"/>
      <x:c r="V57" s="23"/>
      <x:c r="W57" s="23"/>
      <x:c r="X57" s="23"/>
      <x:c r="Y57" s="23"/>
      <x:c r="Z57" s="23"/>
    </x:row>
    <x:row r="58">
      <x:c r="A58" s="46" t="str">
        <x:v>SRC-BUTTER-LACTONE-HEAT-002</x:v>
      </x:c>
      <x:c r="B58" s="46" t="str">
        <x:v>primary_peer_reviewed</x:v>
      </x:c>
      <x:c r="C58" s="46" t="str">
        <x:v>Kazuaki Yoshinaga; Toshiharu Nagai; Akihiko Yoshida; Naohiro Gotoh</x:v>
      </x:c>
      <x:c r="D58" s="46" t="n">
        <x:v>2019</x:v>
      </x:c>
      <x:c r="E58" s="46" t="str">
        <x:v>Effects of Heat Treatment on Lactone Content of Butter and Margarine</x:v>
      </x:c>
      <x:c r="F58" s="46" t="str">
        <x:v>Journal of Oleo Science</x:v>
      </x:c>
      <x:c r="G58" s="46" t="str">
        <x:v>10.5650/jos.ess19234</x:v>
      </x:c>
      <x:c r="H58" s="46" t="str">
        <x:v>butter / fermented butter / heated</x:v>
      </x:c>
      <x:c r="I58" s="46" t="str">
        <x:v>Butter, fermented butter and margarine before/after heat treatment</x:v>
      </x:c>
      <x:c r="J58" s="46" t="str">
        <x:v>GC-MS lactone quantitation</x:v>
      </x:c>
      <x:c r="K58" s="46" t="str">
        <x:v>https://www.jstage.jst.go.jp/article/jos/68/12/68_ess19234/_article</x:v>
      </x:c>
      <x:c r="L58" s="46" t="str">
        <x:v>Total lactone content in butter and fermented butter approximately doubled with heat; heat response greater in fermented butter.</x:v>
      </x:c>
      <x:c r="M58" s="46" t="str">
        <x:v>verified_primary_state_specific</x:v>
      </x:c>
      <x:c r="N58" s="23"/>
      <x:c r="O58" s="23"/>
      <x:c r="P58" s="23"/>
      <x:c r="Q58" s="23"/>
      <x:c r="R58" s="23"/>
      <x:c r="S58" s="23"/>
      <x:c r="T58" s="23"/>
      <x:c r="U58" s="23"/>
      <x:c r="V58" s="23"/>
      <x:c r="W58" s="23"/>
      <x:c r="X58" s="23"/>
      <x:c r="Y58" s="23"/>
      <x:c r="Z58" s="23"/>
    </x:row>
    <x:row r="59">
      <x:c r="A59" s="46" t="str">
        <x:v>SRC-BUTTER-BROWN-MAILLARD-001</x:v>
      </x:c>
      <x:c r="B59" s="46" t="str">
        <x:v>primary_peer_reviewed</x:v>
      </x:c>
      <x:c r="C59" s="46" t="str">
        <x:v>Céline Niquet-Léridon; Philippe Jacolot; Claude-Narcisse Niamba; Nicolas Grossin; Eric Boulanger; Frédéric J. Tessier</x:v>
      </x:c>
      <x:c r="D59" s="46" t="n">
        <x:v>2015</x:v>
      </x:c>
      <x:c r="E59" s="46" t="str">
        <x:v>The rehabilitation of raw and brown butters by the measurement of two of the major Maillard products, Nε-carboxymethyl-lysine and 5-hydroxymethylfurfural, with validated chromatographic methods</x:v>
      </x:c>
      <x:c r="F59" s="46" t="str">
        <x:v>Food Chemistry</x:v>
      </x:c>
      <x:c r="G59" s="46" t="str">
        <x:v>10.1016/j.foodchem.2015.01.011</x:v>
      </x:c>
      <x:c r="H59" s="46" t="str">
        <x:v>raw butter / brown butter / clarified butter</x:v>
      </x:c>
      <x:c r="I59" s="46" t="str">
        <x:v>Butter browned by cooking; clarified butter comparator</x:v>
      </x:c>
      <x:c r="J59" s="46" t="str">
        <x:v>validated LC-MS/MS for CML + HMF quantitation</x:v>
      </x:c>
      <x:c r="K59" s="46" t="str">
        <x:v>https://www.sciencedirect.com/science/article/abs/pii/S0308814615000138</x:v>
      </x:c>
      <x:c r="L59" s="46" t="str">
        <x:v>Direct evidence that culinary butter browning is a Maillard reaction involving butter milk solids; clarified butter does not brown equivalently.</x:v>
      </x:c>
      <x:c r="M59" s="46" t="str">
        <x:v>verified_primary_mechanism</x:v>
      </x:c>
      <x:c r="N59" s="23"/>
      <x:c r="O59" s="23"/>
      <x:c r="P59" s="23"/>
      <x:c r="Q59" s="23"/>
      <x:c r="R59" s="23"/>
      <x:c r="S59" s="23"/>
      <x:c r="T59" s="23"/>
      <x:c r="U59" s="23"/>
      <x:c r="V59" s="23"/>
      <x:c r="W59" s="23"/>
      <x:c r="X59" s="23"/>
      <x:c r="Y59" s="23"/>
      <x:c r="Z59" s="23"/>
    </x:row>
    <x:row r="60">
      <x:c r="A60" s="46" t="str">
        <x:v>SRC-CREAM-FERMENT-001</x:v>
      </x:c>
      <x:c r="B60" s="46" t="str">
        <x:v>primary_peer_reviewed</x:v>
      </x:c>
      <x:c r="C60" s="46" t="str">
        <x:v>Xin Zhou; Jian-Guo Zhang; Fei Hu; Zhi-Jing Ni; et al.</x:v>
      </x:c>
      <x:c r="D60" s="46" t="n">
        <x:v>2025</x:v>
      </x:c>
      <x:c r="E60" s="46" t="str">
        <x:v>Non-targeted metabolomics reveals the effects of fermented methods on the flavor, quality, and metabolites of whipping cream</x:v>
      </x:c>
      <x:c r="F60" s="46" t="str">
        <x:v>Food Chemistry: X</x:v>
      </x:c>
      <x:c r="G60" s="46" t="str">
        <x:v>10.1016/j.fochx.2025.102376</x:v>
      </x:c>
      <x:c r="H60" s="46" t="str">
        <x:v>unfermented whipping cream / LAB-fermented cream</x:v>
      </x:c>
      <x:c r="I60" s="46" t="str">
        <x:v>Whipping cream control and five L. rhamnosus / L. mesenteroides fermentation protocols</x:v>
      </x:c>
      <x:c r="J60" s="46" t="str">
        <x:v>GC-MS/MS; NIST14; only compounds with &gt;80% spectral similarity retained; internal-standard semi-quant μg/g; 46 VOCs total</x:v>
      </x:c>
      <x:c r="K60" s="46" t="str">
        <x:v>https://pmc.ncbi.nlm.nih.gov/articles/PMC11968302/</x:v>
      </x:c>
      <x:c r="L60" s="46" t="str">
        <x:v>MR-09-quality cream/fermented-cream architecture source. Supplementary full 46-row names not ingested in v20 because accessible article exposes count/classes/method but not Table S2 row table.</x:v>
      </x:c>
      <x:c r="M60" s="46" t="str">
        <x:v>verified_primary_profile_count_key_names</x:v>
      </x:c>
      <x:c r="N60" s="23"/>
      <x:c r="O60" s="23"/>
      <x:c r="P60" s="23"/>
      <x:c r="Q60" s="23"/>
      <x:c r="R60" s="23"/>
      <x:c r="S60" s="23"/>
      <x:c r="T60" s="23"/>
      <x:c r="U60" s="23"/>
      <x:c r="V60" s="23"/>
      <x:c r="W60" s="23"/>
      <x:c r="X60" s="23"/>
      <x:c r="Y60" s="23"/>
      <x:c r="Z60" s="23"/>
    </x:row>
    <x:row r="61">
      <x:c r="A61" s="46" t="str">
        <x:v>SRC-CREAM-FERMENT-SENS-001</x:v>
      </x:c>
      <x:c r="B61" s="46" t="str">
        <x:v>primary_peer_reviewed</x:v>
      </x:c>
      <x:c r="C61" s="46" t="str">
        <x:v>Mengsong Wang; Chaokun Wei; Min Fan; Hui Liu; Dunhua Liu</x:v>
      </x:c>
      <x:c r="D61" s="46" t="n">
        <x:v>2023</x:v>
      </x:c>
      <x:c r="E61" s="46" t="str">
        <x:v>Gas Chromatography-Mass Spectrometry and Descriptive Sensory Analysis Combined with Chemometrics to Analyze the Changes of Volatile Flavor Substances during the Fermentation of Cream</x:v>
      </x:c>
      <x:c r="F61" s="46" t="str">
        <x:v>Food Science</x:v>
      </x:c>
      <x:c r="G61" s="46" t="str">
        <x:v>10.7506/spkx1002-6630-20221012-117</x:v>
      </x:c>
      <x:c r="H61" s="46" t="str">
        <x:v>cream fermentation time course</x:v>
      </x:c>
      <x:c r="I61" s="46" t="str">
        <x:v>Cream at five fermentation periods</x:v>
      </x:c>
      <x:c r="J61" s="46" t="str">
        <x:v>SPME-GC-MS + OAV + descriptive sensory analysis + PLSR; 32 VOCs and 9 key flavor components</x:v>
      </x:c>
      <x:c r="K61" s="46" t="str">
        <x:v>https://www.spkx.net.cn/EN/Y2023/V44/I16/267</x:v>
      </x:c>
      <x:c r="L61" s="46" t="str">
        <x:v>Sensory-weighted fermented-cream evidence. δ-decalactone, 2-nonanone, 3-hydroxy-2-butanone and caprylic/capric acids among key compounds; creamy/fermented sensory correlates with lactone/ketone/acid layer.</x:v>
      </x:c>
      <x:c r="M61" s="46" t="str">
        <x:v>verified_primary_sensory_key</x:v>
      </x:c>
      <x:c r="N61" s="23"/>
      <x:c r="O61" s="23"/>
      <x:c r="P61" s="23"/>
      <x:c r="Q61" s="23"/>
      <x:c r="R61" s="23"/>
      <x:c r="S61" s="23"/>
      <x:c r="T61" s="23"/>
      <x:c r="U61" s="23"/>
      <x:c r="V61" s="23"/>
      <x:c r="W61" s="23"/>
      <x:c r="X61" s="23"/>
      <x:c r="Y61" s="23"/>
      <x:c r="Z61" s="23"/>
    </x:row>
    <x:row r="62">
      <x:c r="A62" s="46" t="str">
        <x:v>SRC-BUTTER-LACTONE-BREADTH-001</x:v>
      </x:c>
      <x:c r="B62" s="46" t="str">
        <x:v>primary_peer_reviewed</x:v>
      </x:c>
      <x:c r="C62" s="46" t="str">
        <x:v>Elise Sarrazin; Eric Frerot; Alain Bagnoud; Kasia Aeberhardt; Mark Rubin</x:v>
      </x:c>
      <x:c r="D62" s="46" t="n">
        <x:v>2011</x:v>
      </x:c>
      <x:c r="E62" s="46" t="str">
        <x:v>Discovery of New Lactones in Sweet Cream Butter Oil</x:v>
      </x:c>
      <x:c r="F62" s="46" t="str">
        <x:v>Journal of Agricultural and Food Chemistry</x:v>
      </x:c>
      <x:c r="G62" s="46" t="str">
        <x:v>10.1021/jf201380u</x:v>
      </x:c>
      <x:c r="H62" s="46" t="str">
        <x:v>sweet cream butter oil</x:v>
      </x:c>
      <x:c r="I62" s="46" t="str">
        <x:v>Sweet cream butter oil lactonic fractions</x:v>
      </x:c>
      <x:c r="J62" s="46" t="str">
        <x:v>short-path distillation + flash chromatography + GC-MS EI/CI + high-resolution GC-TOF-MS + synthesized reference materials</x:v>
      </x:c>
      <x:c r="K62" s="46" t="str">
        <x:v>https://pubmed.ncbi.nlm.nih.gov/21599018/</x:v>
      </x:c>
      <x:c r="L62" s="46" t="str">
        <x:v>Carrier breadth evidence: six γ-, five δ-, and one ε-lactone newly identified in butter oil; several confirmed with synthesized reference materials. Used for lactone-class breadth, not a 12-row named table because abstract-accessible record does not expose every identity.</x:v>
      </x:c>
      <x:c r="M62" s="46" t="str">
        <x:v>verified_primary_class_breadth</x:v>
      </x:c>
      <x:c r="N62" s="23"/>
      <x:c r="O62" s="23"/>
      <x:c r="P62" s="23"/>
      <x:c r="Q62" s="23"/>
      <x:c r="R62" s="23"/>
      <x:c r="S62" s="23"/>
      <x:c r="T62" s="23"/>
      <x:c r="U62" s="23"/>
      <x:c r="V62" s="23"/>
      <x:c r="W62" s="23"/>
      <x:c r="X62" s="23"/>
      <x:c r="Y62" s="23"/>
      <x:c r="Z62" s="23"/>
    </x:row>
    <x:row r="63">
      <x:c r="A63" s="46" t="str">
        <x:v>SRC-SHRIMP-PROC-001</x:v>
      </x:c>
      <x:c r="B63" s="46" t="str">
        <x:v>primary_peer_reviewed</x:v>
      </x:c>
      <x:c r="C63" s="46" t="str">
        <x:v>Haritha Duppeti; Bettadaiah Bheemanakere Kempaiah; Sachindra Nakkarike Manjabhatta</x:v>
      </x:c>
      <x:c r="D63" s="46" t="n">
        <x:v>2022</x:v>
      </x:c>
      <x:c r="E63" s="46" t="str">
        <x:v>Influence of processing conditions on the aroma profile of Litopenaeus vannamei by SPME-GC-MS</x:v>
      </x:c>
      <x:c r="F63" s="46" t="str">
        <x:v>Flavour and Fragrance Journal</x:v>
      </x:c>
      <x:c r="G63" s="46" t="str">
        <x:v>10.1002/ffj.3717</x:v>
      </x:c>
      <x:c r="H63" s="46" t="str">
        <x:v>raw / boiled / hot-air dried / microwave dried / roasted</x:v>
      </x:c>
      <x:c r="I63" s="46" t="str">
        <x:v>Litopenaeus vannamei shrimp meat</x:v>
      </x:c>
      <x:c r="J63" s="46" t="str">
        <x:v>SPME-GC-MS + OAV + PLSR/cluster analysis; 86 VOCs total; 38 OAV&gt;1</x:v>
      </x:c>
      <x:c r="K63" s="46" t="str">
        <x:v>https://onlinelibrary.wiley.com/doi/full/10.1002/ffj.3717</x:v>
      </x:c>
      <x:c r="L63" s="46" t="str">
        <x:v>Primary shrimp breadth source; processing changes concentration/importance substantially. Full 86-row table not ingested because accessible primary HTML does not expose the full compound table.</x:v>
      </x:c>
      <x:c r="M63" s="46" t="str">
        <x:v>verified_primary_profile_count_OAV</x:v>
      </x:c>
      <x:c r="N63" s="23"/>
      <x:c r="O63" s="23"/>
      <x:c r="P63" s="23"/>
      <x:c r="Q63" s="23"/>
      <x:c r="R63" s="23"/>
      <x:c r="S63" s="23"/>
      <x:c r="T63" s="23"/>
      <x:c r="U63" s="23"/>
      <x:c r="V63" s="23"/>
      <x:c r="W63" s="23"/>
      <x:c r="X63" s="23"/>
      <x:c r="Y63" s="23"/>
      <x:c r="Z63" s="23"/>
    </x:row>
    <x:row r="64">
      <x:c r="A64" s="46" t="str">
        <x:v>SRC-SHRIMP-OAV-001</x:v>
      </x:c>
      <x:c r="B64" s="46" t="str">
        <x:v>primary_peer_reviewed</x:v>
      </x:c>
      <x:c r="C64" s="46" t="str">
        <x:v>Joana Moreira; et al.</x:v>
      </x:c>
      <x:c r="D64" s="46" t="n">
        <x:v>2022</x:v>
      </x:c>
      <x:c r="E64" s="46" t="str">
        <x:v>Active aroma compounds assessment of processed and non-processed micro- and macroalgae by solid-phase microextraction and gas chromatography/mass spectrometry targeting seafood analogs</x:v>
      </x:c>
      <x:c r="F64" s="46" t="str">
        <x:v>Frontiers in Sustainable Food Systems</x:v>
      </x:c>
      <x:c r="G64" s="46" t="str">
        <x:v>10.3389/fsufs.2022.1011020</x:v>
      </x:c>
      <x:c r="H64" s="46" t="str">
        <x:v>raw / cooked / cooking water</x:v>
      </x:c>
      <x:c r="I64" s="46" t="str">
        <x:v>Litopenaeus vannamei shrimp comparator within seafood-aroma study</x:v>
      </x:c>
      <x:c r="J64" s="46" t="str">
        <x:v>SPME-GC-MS; NIST + WILEY library identification with match quality &gt;80%; 21 compounds primarily identified; six with odor descriptors/OAV table</x:v>
      </x:c>
      <x:c r="K64" s="46" t="str">
        <x:v>https://www.frontiersin.org/journals/sustainable-food-systems/articles/10.3389/fsufs.2022.1011020/full</x:v>
      </x:c>
      <x:c r="L64" s="46" t="str">
        <x:v>Shrimp MR-09 and sensory-weighted source; six exact concentration/OAV rows governed in v21.</x:v>
      </x:c>
      <x:c r="M64" s="46" t="str">
        <x:v>verified_primary_IDQA_OAV</x:v>
      </x:c>
      <x:c r="N64" s="23"/>
      <x:c r="O64" s="23"/>
      <x:c r="P64" s="23"/>
      <x:c r="Q64" s="23"/>
      <x:c r="R64" s="23"/>
      <x:c r="S64" s="23"/>
      <x:c r="T64" s="23"/>
      <x:c r="U64" s="23"/>
      <x:c r="V64" s="23"/>
      <x:c r="W64" s="23"/>
      <x:c r="X64" s="23"/>
      <x:c r="Y64" s="23"/>
      <x:c r="Z64" s="23"/>
    </x:row>
    <x:row r="65">
      <x:c r="A65" s="46" t="str">
        <x:v>SRC-CRAB-MUSCLE-001</x:v>
      </x:c>
      <x:c r="B65" s="46" t="str">
        <x:v>primary_peer_reviewed</x:v>
      </x:c>
      <x:c r="C65" s="46" t="str">
        <x:v>Jin Cen; Bo Liu; Qunlan Zhou; Xiaochuan Zheng; Gangchun Xu; Hongyan Tian; Linghong Miao; Huiming Ding; Yongfeng Zhao; Cunxin Sun</x:v>
      </x:c>
      <x:c r="D65" s="46" t="n">
        <x:v>2025</x:v>
      </x:c>
      <x:c r="E65" s="46" t="str">
        <x:v>Enhanced Muscle Flavor in Male Chinese Mitten Crab (Eriocheir sinensis) Driven by Feed-Induced Reconfiguration of Intestinal Volatile Compounds</x:v>
      </x:c>
      <x:c r="F65" s="46" t="str">
        <x:v>Animals</x:v>
      </x:c>
      <x:c r="G65" s="46" t="str">
        <x:v>10.3390/ani15213101</x:v>
      </x:c>
      <x:c r="H65" s="46" t="str">
        <x:v>muscle / diet comparison; analytical headspace incubation</x:v>
      </x:c>
      <x:c r="I65" s="46" t="str">
        <x:v>Male Chinese mitten crab muscle; formulated-feed versus iced-trash-fish diet groups</x:v>
      </x:c>
      <x:c r="J65" s="46" t="str">
        <x:v>GC-IMS; C4-C9 n-ketone RI standards; 34 muscle VOCs in Table 2 with CAS, RI, RT, drift time and intensity</x:v>
      </x:c>
      <x:c r="K65" s="46" t="str">
        <x:v>https://www.mdpi.com/2076-2615/15/21/3101</x:v>
      </x:c>
      <x:c r="L65" s="46" t="str">
        <x:v>Full 34-row crab-muscle Table 2 ingested in v21 with source CAS, RI, RT, drift and both diet-group intensities. No gut/hepatopancreas data promoted into muscle core.</x:v>
      </x:c>
      <x:c r="M65" s="46" t="str">
        <x:v>verified_primary_full_table_v21</x:v>
      </x:c>
      <x:c r="N65" s="23"/>
      <x:c r="O65" s="23"/>
      <x:c r="P65" s="23"/>
      <x:c r="Q65" s="23"/>
      <x:c r="R65" s="23"/>
      <x:c r="S65" s="23"/>
      <x:c r="T65" s="23"/>
      <x:c r="U65" s="23"/>
      <x:c r="V65" s="23"/>
      <x:c r="W65" s="23"/>
      <x:c r="X65" s="23"/>
      <x:c r="Y65" s="23"/>
      <x:c r="Z65" s="23"/>
    </x:row>
    <x:row r="66">
      <x:c r="A66" s="46" t="str">
        <x:v>SRC-CRAB-GCO-001</x:v>
      </x:c>
      <x:c r="B66" s="46" t="str">
        <x:v>primary_peer_reviewed</x:v>
      </x:c>
      <x:c r="C66" s="46" t="str">
        <x:v>Han et al.</x:v>
      </x:c>
      <x:c r="D66" s="46" t="n">
        <x:v>2025</x:v>
      </x:c>
      <x:c r="E66" s="46" t="str">
        <x:v>Comparison of Flavor Compounds in Crab Meat From Chinese Mitten Crab Raised in Lake, Pond and Rice-Field Environments</x:v>
      </x:c>
      <x:c r="F66" s="46" t="str">
        <x:v>eFood</x:v>
      </x:c>
      <x:c r="G66" s="46" t="str">
        <x:v>10.1002/efd2.70090</x:v>
      </x:c>
      <x:c r="H66" s="46" t="str">
        <x:v>steamed 20 min / origin comparison</x:v>
      </x:c>
      <x:c r="I66" s="46" t="str">
        <x:v>Chinese mitten crab muscle from pond, lake and rice-field environments; crab steamed whole for 20 min before meat extraction</x:v>
      </x:c>
      <x:c r="J66" s="46" t="str">
        <x:v>volatile profiling + GC-O; 69 volatile compounds; 9 GC-O odorants</x:v>
      </x:c>
      <x:c r="K66" s="46" t="str">
        <x:v>https://onlinelibrary.wiley.com/doi/full/10.1002/efd2.70090</x:v>
      </x:c>
      <x:c r="L66" s="46" t="str">
        <x:v>Crab sensory weighting source; dimethyl trisulfide and 1-octen-3-one are major odor contributors in source contexts. Origin/sex deltas remain explicit.</x:v>
      </x:c>
      <x:c r="M66" s="46" t="str">
        <x:v>verified_primary_sensory</x:v>
      </x:c>
      <x:c r="N66" s="23"/>
      <x:c r="O66" s="23"/>
      <x:c r="P66" s="23"/>
      <x:c r="Q66" s="23"/>
      <x:c r="R66" s="23"/>
      <x:c r="S66" s="23"/>
      <x:c r="T66" s="23"/>
      <x:c r="U66" s="23"/>
      <x:c r="V66" s="23"/>
      <x:c r="W66" s="23"/>
      <x:c r="X66" s="23"/>
      <x:c r="Y66" s="23"/>
      <x:c r="Z66" s="23"/>
    </x:row>
    <x:row r="67">
      <x:c r="A67" s="46" t="str">
        <x:v>SRC-CRAYFISH-TAIL-001</x:v>
      </x:c>
      <x:c r="B67" s="46" t="str">
        <x:v>primary_peer_reviewed</x:v>
      </x:c>
      <x:c r="C67" s="46" t="str">
        <x:v>Derong Ji; Yidan Zhou; Shuang Li; Pei Xu; et al.</x:v>
      </x:c>
      <x:c r="D67" s="46" t="n">
        <x:v>2025</x:v>
      </x:c>
      <x:c r="E67" s="46" t="str">
        <x:v>Synergistic mechanisms of crayfish tail flavor evolution mediated by hepatopancreas: Insights from GC-IMS and electronic nose analysis</x:v>
      </x:c>
      <x:c r="F67" s="46" t="str">
        <x:v>Food Chemistry: X</x:v>
      </x:c>
      <x:c r="G67" s="46" t="str">
        <x:v>10.1016/j.fochx.2025.103293</x:v>
      </x:c>
      <x:c r="H67" s="46" t="str">
        <x:v>cooked crayfish tail / water or beer / with or without hepatopancreas</x:v>
      </x:c>
      <x:c r="I67" s="46" t="str">
        <x:v>Procambarus clarkii tail meat</x:v>
      </x:c>
      <x:c r="J67" s="46" t="str">
        <x:v>GC-IMS + electronic nose + sensory; 68 volatile compounds; 29 ROAV&gt;1</x:v>
      </x:c>
      <x:c r="K67" s="46" t="str">
        <x:v>https://www.sciencedirect.com/science/article/pii/S259015752501140X</x:v>
      </x:c>
      <x:c r="L67" s="46" t="str">
        <x:v>Full 68-row Table 4 ingested in v24 with CAS, RI, RT, drift time and four cooking-context values. Beer and hepatopancreas remain explicit overlays rather than intrinsic tail chemistry.</x:v>
      </x:c>
      <x:c r="M67" s="46" t="str">
        <x:v>verified_primary_full_table_v24</x:v>
      </x:c>
      <x:c r="N67" s="23"/>
      <x:c r="O67" s="23"/>
      <x:c r="P67" s="23"/>
      <x:c r="Q67" s="23"/>
      <x:c r="R67" s="23"/>
      <x:c r="S67" s="23"/>
      <x:c r="T67" s="23"/>
      <x:c r="U67" s="23"/>
      <x:c r="V67" s="23"/>
      <x:c r="W67" s="23"/>
      <x:c r="X67" s="23"/>
      <x:c r="Y67" s="23"/>
      <x:c r="Z67" s="23"/>
    </x:row>
    <x:row r="68">
      <x:c r="A68" s="46" t="str">
        <x:v>SRC-CRAYFISH-COOK-001</x:v>
      </x:c>
      <x:c r="B68" s="46" t="str">
        <x:v>primary_peer_reviewed</x:v>
      </x:c>
      <x:c r="C68" s="46" t="str">
        <x:v>Chuanfeng Hu; Wenxing Qiu; Xuan Liu; Shizhe Wang; Yu Qiao; Ziyi Tu; Feng Cao; Shuangquan Liu</x:v>
      </x:c>
      <x:c r="D68" s="46" t="n">
        <x:v>2025</x:v>
      </x:c>
      <x:c r="E68" s="46" t="str">
        <x:v>Effect of Different Cooking Methods on the Flavor of Procambarus clarkii</x:v>
      </x:c>
      <x:c r="F68" s="46" t="str">
        <x:v>Science and Technology of Food Industry</x:v>
      </x:c>
      <x:c r="G68" s="46" t="str">
        <x:v>10.13386/j.issn1002-0306.2024050038</x:v>
      </x:c>
      <x:c r="H68" s="46" t="str">
        <x:v>steamed / boiled / deep-fried / air-fried / microwave / roasted</x:v>
      </x:c>
      <x:c r="I68" s="46" t="str">
        <x:v>Procambarus clarkii</x:v>
      </x:c>
      <x:c r="J68" s="46" t="str">
        <x:v>GC-IMS + OPLS-DA/PCA + sensory; 35 VOCs across six cooking methods</x:v>
      </x:c>
      <x:c r="K68" s="46" t="str">
        <x:v>https://www.spgykj.com/en/article/doi/10.13386/j.issn1002-0306.2024050038</x:v>
      </x:c>
      <x:c r="L68" s="46" t="str">
        <x:v>Clean technique spot-check for crayfish; complements hepatopancreas/beer study without treating added beer or organ tissue as intrinsic.</x:v>
      </x:c>
      <x:c r="M68" s="46" t="str">
        <x:v>verified_primary_state_comparison</x:v>
      </x:c>
      <x:c r="N68" s="23"/>
      <x:c r="O68" s="23"/>
      <x:c r="P68" s="23"/>
      <x:c r="Q68" s="23"/>
      <x:c r="R68" s="23"/>
      <x:c r="S68" s="23"/>
      <x:c r="T68" s="23"/>
      <x:c r="U68" s="23"/>
      <x:c r="V68" s="23"/>
      <x:c r="W68" s="23"/>
      <x:c r="X68" s="23"/>
      <x:c r="Y68" s="23"/>
      <x:c r="Z68" s="23"/>
    </x:row>
    <x:row r="69">
      <x:c r="A69" s="46" t="str">
        <x:v>SRC-LOBSTER-GCO-001</x:v>
      </x:c>
      <x:c r="B69" s="46" t="str">
        <x:v>primary_peer_reviewed</x:v>
      </x:c>
      <x:c r="C69" s="46" t="str">
        <x:v>G.-H. Lee; O. Suriyaphan; K. R. Cadwallader</x:v>
      </x:c>
      <x:c r="D69" s="46" t="n">
        <x:v>2001</x:v>
      </x:c>
      <x:c r="E69" s="46" t="str">
        <x:v>Aroma Components of Cooked Tail Meat of American Lobster (Homarus americanus)</x:v>
      </x:c>
      <x:c r="F69" s="46" t="str">
        <x:v>Journal of Agricultural and Food Chemistry</x:v>
      </x:c>
      <x:c r="G69" s="46" t="str">
        <x:v>10.1021/jf001523t</x:v>
      </x:c>
      <x:c r="H69" s="46" t="str">
        <x:v>cooked tail</x:v>
      </x:c>
      <x:c r="I69" s="46" t="str">
        <x:v>American lobster tail meat</x:v>
      </x:c>
      <x:c r="J69" s="46" t="str">
        <x:v>GC-O/AEDA + headspace GCO; 47 odorants across techniques</x:v>
      </x:c>
      <x:c r="K69" s="46" t="str">
        <x:v>https://pubs.acs.org/doi/10.1021/jf001523t</x:v>
      </x:c>
      <x:c r="L69" s="46" t="str">
        <x:v>Lobster sensory member check. Predominant odorants include 3-methylbutanal, 2,3-butanedione, methional, 1-octen-3-one, 2-acetyl-1-pyrroline and (E,Z)-2,6-nonadienal.</x:v>
      </x:c>
      <x:c r="M69" s="46" t="str">
        <x:v>verified_primary_sensory</x:v>
      </x:c>
      <x:c r="N69" s="23"/>
      <x:c r="O69" s="23"/>
      <x:c r="P69" s="23"/>
      <x:c r="Q69" s="23"/>
      <x:c r="R69" s="23"/>
      <x:c r="S69" s="23"/>
      <x:c r="T69" s="23"/>
      <x:c r="U69" s="23"/>
      <x:c r="V69" s="23"/>
      <x:c r="W69" s="23"/>
      <x:c r="X69" s="23"/>
      <x:c r="Y69" s="23"/>
      <x:c r="Z69" s="23"/>
    </x:row>
    <x:row r="70">
      <x:c r="A70" s="46" t="str">
        <x:v>SRC-SCALLOP-COOK-001</x:v>
      </x:c>
      <x:c r="B70" s="46" t="str">
        <x:v>primary_peer_reviewed</x:v>
      </x:c>
      <x:c r="C70" s="46" t="str">
        <x:v>Yueyao Wang; Guifang Tian; Kemin Mao; Bimal Chitrakar; Zhongxuan Wang; Jie Liu; Xinzhong Bai; Yaxin Sang; Jie Gao</x:v>
      </x:c>
      <x:c r="D70" s="46" t="n">
        <x:v>2022</x:v>
      </x:c>
      <x:c r="E70" s="46" t="str">
        <x:v>Effects of four cooking methods on flavor and sensory characteristics of scallop muscle</x:v>
      </x:c>
      <x:c r="F70" s="46" t="str">
        <x:v>Frontiers in Nutrition</x:v>
      </x:c>
      <x:c r="G70" s="46" t="str">
        <x:v>10.3389/fnut.2022.1022156</x:v>
      </x:c>
      <x:c r="H70" s="46" t="str">
        <x:v>raw / boiled / roasted / fried / microwaved</x:v>
      </x:c>
      <x:c r="I70" s="46" t="str">
        <x:v>Argopecten irradians scallop muscle</x:v>
      </x:c>
      <x:c r="J70" s="46" t="str">
        <x:v>HS-GC-IMS; C4-C9 n-ketone RI standards + GC×IMS library; 48 distinct VOCs represented by 59 monomer/dimer analytical features with RI, RT, drift and peak volume</x:v>
      </x:c>
      <x:c r="K70" s="46" t="str">
        <x:v>https://www.frontiersin.org/journals/nutrition/articles/10.3389/fnut.2022.1022156/full</x:v>
      </x:c>
      <x:c r="L70" s="46" t="str">
        <x:v>Full 59-feature Table 1 ingested in v21. Strongest MR-10/MR-09 targeted-shellfish anchor.</x:v>
      </x:c>
      <x:c r="M70" s="46" t="str">
        <x:v>verified_primary_full_table_v21</x:v>
      </x:c>
      <x:c r="N70" s="23"/>
      <x:c r="O70" s="23"/>
      <x:c r="P70" s="23"/>
      <x:c r="Q70" s="23"/>
      <x:c r="R70" s="23"/>
      <x:c r="S70" s="23"/>
      <x:c r="T70" s="23"/>
      <x:c r="U70" s="23"/>
      <x:c r="V70" s="23"/>
      <x:c r="W70" s="23"/>
      <x:c r="X70" s="23"/>
      <x:c r="Y70" s="23"/>
      <x:c r="Z70" s="23"/>
    </x:row>
    <x:row r="71">
      <x:c r="A71" s="46" t="str">
        <x:v>SRC-CLAM-BOIL-001</x:v>
      </x:c>
      <x:c r="B71" s="46" t="str">
        <x:v>primary_peer_reviewed</x:v>
      </x:c>
      <x:c r="C71" s="46" t="str">
        <x:v>Wenyi Deng; Guifang Tian; Zhongxuan Wang; Kemin Mao; Xiaohan Liu; Qiuyue Ding; Yaxin Sang; Jie Gao</x:v>
      </x:c>
      <x:c r="D71" s="46" t="n">
        <x:v>2022</x:v>
      </x:c>
      <x:c r="E71" s="46" t="str">
        <x:v>Analysis of volatile components changes of Ruditapes philippinarum during boiling by HS-GC-IMS coupled with multivariate analyses</x:v>
      </x:c>
      <x:c r="F71" s="46" t="str">
        <x:v>Aquaculture Reports</x:v>
      </x:c>
      <x:c r="G71" s="46" t="str">
        <x:v>10.1016/j.aqrep.2022.101193</x:v>
      </x:c>
      <x:c r="H71" s="46" t="str">
        <x:v>raw / boiling time course</x:v>
      </x:c>
      <x:c r="I71" s="46" t="str">
        <x:v>Ruditapes philippinarum clam</x:v>
      </x:c>
      <x:c r="J71" s="46" t="str">
        <x:v>HS-GC-IMS + QDA + PLSR; 62 VOCs: 21 alcohols, 10 aldehydes, 10 ketones, 9 esters, 4 sulfur compounds</x:v>
      </x:c>
      <x:c r="K71" s="46" t="str">
        <x:v>https://www.sciencedirect.com/science/article/pii/S2352513422001892</x:v>
      </x:c>
      <x:c r="L71" s="46" t="str">
        <x:v>Direct clam raw-to-boiled member/state source; source-count and class/transition evidence governed in v21.</x:v>
      </x:c>
      <x:c r="M71" s="46" t="str">
        <x:v>verified_primary_state_count</x:v>
      </x:c>
      <x:c r="N71" s="23"/>
      <x:c r="O71" s="23"/>
      <x:c r="P71" s="23"/>
      <x:c r="Q71" s="23"/>
      <x:c r="R71" s="23"/>
      <x:c r="S71" s="23"/>
      <x:c r="T71" s="23"/>
      <x:c r="U71" s="23"/>
      <x:c r="V71" s="23"/>
      <x:c r="W71" s="23"/>
      <x:c r="X71" s="23"/>
      <x:c r="Y71" s="23"/>
      <x:c r="Z71" s="23"/>
    </x:row>
    <x:row r="72">
      <x:c r="A72" s="46" t="str">
        <x:v>SRC-MUSSEL-GCO-001</x:v>
      </x:c>
      <x:c r="B72" s="46" t="str">
        <x:v>primary_peer_reviewed</x:v>
      </x:c>
      <x:c r="C72" s="46" t="str">
        <x:v>S. Le Guen; C. Prost; M. Demaimay</x:v>
      </x:c>
      <x:c r="D72" s="46" t="n">
        <x:v>2000</x:v>
      </x:c>
      <x:c r="E72" s="46" t="str">
        <x:v>Characterization of odorant compounds of mussels (Mytilus edulis) according to their origin using gas chromatography-olfactometry and gas chromatography-mass spectrometry</x:v>
      </x:c>
      <x:c r="F72" s="46" t="str">
        <x:v>Journal of Chromatography A</x:v>
      </x:c>
      <x:c r="G72" s="46" t="str">
        <x:v>10.1016/S0021-9673(00)00729-9</x:v>
      </x:c>
      <x:c r="H72" s="46" t="str">
        <x:v>cooked</x:v>
      </x:c>
      <x:c r="I72" s="46" t="str">
        <x:v>Wild and bouchot Mytilus edulis mussels</x:v>
      </x:c>
      <x:c r="J72" s="46" t="str">
        <x:v>GC-MS + GC-O; 85 volatile compounds, 33 odor-active; most identities supported by MS + RI + standard injection</x:v>
      </x:c>
      <x:c r="K72" s="46" t="str">
        <x:v>https://pubmed.ncbi.nlm.nih.gov/11093671/</x:v>
      </x:c>
      <x:c r="L72" s="46" t="str">
        <x:v>Mussel member/sensory check. No qualitative origin split was required; abundance differences are first-class.</x:v>
      </x:c>
      <x:c r="M72" s="46" t="str">
        <x:v>verified_primary_sensory_IDQA</x:v>
      </x:c>
      <x:c r="N72" s="23"/>
      <x:c r="O72" s="23"/>
      <x:c r="P72" s="23"/>
      <x:c r="Q72" s="23"/>
      <x:c r="R72" s="23"/>
      <x:c r="S72" s="23"/>
      <x:c r="T72" s="23"/>
      <x:c r="U72" s="23"/>
      <x:c r="V72" s="23"/>
      <x:c r="W72" s="23"/>
      <x:c r="X72" s="23"/>
      <x:c r="Y72" s="23"/>
      <x:c r="Z72" s="23"/>
    </x:row>
    <x:row r="73">
      <x:c r="A73" s="46" t="str">
        <x:v>SRC-DUCK-GONG-001</x:v>
      </x:c>
      <x:c r="B73" s="46" t="str">
        <x:v>primary_peer_reviewed</x:v>
      </x:c>
      <x:c r="C73" s="46" t="str">
        <x:v>Ping Gong; Shengqi Cheng; Xing Chen; Lixia Wang; Yanan Wang; Mingli Zhai; Yunguo Qian; Shengqiang Ye; Yu Yang</x:v>
      </x:c>
      <x:c r="D73" s="46" t="n">
        <x:v>2025</x:v>
      </x:c>
      <x:c r="E73" s="46" t="str">
        <x:v>Integrated flavoromics and lipidomics analysis of metabolic difference and flavor regulation mechanisms in duck subcutaneous adipose tissue</x:v>
      </x:c>
      <x:c r="F73" s="46" t="str">
        <x:v>Frontiers in Nutrition</x:v>
      </x:c>
      <x:c r="G73" s="46" t="str">
        <x:v>10.3389/fnut.2025.1671714</x:v>
      </x:c>
      <x:c r="H73" s="46" t="str">
        <x:v>raw duck subcutaneous adipose tissue / breed comparison</x:v>
      </x:c>
      <x:c r="I73" s="46" t="str">
        <x:v>Wuqin-10 duck and Cherry Valley duck subcutaneous adipose tissue</x:v>
      </x:c>
      <x:c r="J73" s="46" t="str">
        <x:v>Flavoromics + lipidomics; NIST-based volatile identification; 67 flavor compounds reported</x:v>
      </x:c>
      <x:c r="K73" s="46" t="str">
        <x:v>https://www.frontiersin.org/journals/nutrition/articles/10.3389/fnut.2025.1671714/full</x:v>
      </x:c>
      <x:c r="L73" s="46" t="str">
        <x:v>Corrected in v23: this is the 67-compound adipose-tissue source referenced by DI-13/DI-14. The pectoral-muscle Frontiers in Molecular Biosciences paper is a different study and is not the provenance for those issues.</x:v>
      </x:c>
      <x:c r="M73" s="46" t="str">
        <x:v>governance_audit_source_corrected_v23</x:v>
      </x:c>
      <x:c r="N73" s="23"/>
      <x:c r="O73" s="23"/>
      <x:c r="P73" s="23"/>
      <x:c r="Q73" s="23"/>
      <x:c r="R73" s="23"/>
      <x:c r="S73" s="23"/>
      <x:c r="T73" s="23"/>
      <x:c r="U73" s="23"/>
      <x:c r="V73" s="23"/>
      <x:c r="W73" s="23"/>
      <x:c r="X73" s="23"/>
      <x:c r="Y73" s="23"/>
      <x:c r="Z73" s="23"/>
    </x:row>
    <x:row r="74">
      <x:c r="A74" s="46" t="str">
        <x:v>SRC-EGG-YOLK-THERMAL-001</x:v>
      </x:c>
      <x:c r="B74" s="46" t="str">
        <x:v>primary_peer_reviewed</x:v>
      </x:c>
      <x:c r="C74" s="46" t="str">
        <x:v>Zheng Zhou; Shuang Cui; Jing Che; Yuying Zhang; Dayong Zhou; Xuhui Huang; Lei Qin</x:v>
      </x:c>
      <x:c r="D74" s="46" t="n">
        <x:v>2024</x:v>
      </x:c>
      <x:c r="E74" s="46" t="str">
        <x:v>Unraveling the Formation Mechanism of Egg’s Unique Flavor via Flavoromics and Lipidomics</x:v>
      </x:c>
      <x:c r="F74" s="46" t="str">
        <x:v>Foods</x:v>
      </x:c>
      <x:c r="G74" s="46" t="str">
        <x:v>10.3390/foods13020226</x:v>
      </x:c>
      <x:c r="H74" s="46" t="str">
        <x:v>raw yolk / boiled yolk / fried yolk</x:v>
      </x:c>
      <x:c r="I74" s="46" t="str">
        <x:v>Chicken egg yolk; raw control, 100°C boiled, 200°C fried treatment</x:v>
      </x:c>
      <x:c r="J74" s="46" t="str">
        <x:v>HS-SPME-GC-MS + GC-O-MS; NIST14; RI with C6-C30 n-alkanes; Table S2 contains RT, match score, reverse match score, formula and detection method for 68 VOCs</x:v>
      </x:c>
      <x:c r="K74" s="46" t="str">
        <x:v>https://www.mdpi.com/2304-8158/13/2/226</x:v>
      </x:c>
      <x:c r="L74" s="46" t="str">
        <x:v>68-VOC thermal-yolk anchor. Source inclusion floor is match score &gt;700 and reverse match &gt;700; that floor is below MR-09's ≥80 requirement, so rows cannot be globally passed without the per-row supplement. Supplement full-table extraction remains open.</x:v>
      </x:c>
      <x:c r="M74" s="46" t="str">
        <x:v>verified_primary_68_count_key_profile</x:v>
      </x:c>
      <x:c r="N74" s="23"/>
      <x:c r="O74" s="23"/>
      <x:c r="P74" s="23"/>
      <x:c r="Q74" s="23"/>
      <x:c r="R74" s="23"/>
      <x:c r="S74" s="23"/>
      <x:c r="T74" s="23"/>
      <x:c r="U74" s="23"/>
      <x:c r="V74" s="23"/>
      <x:c r="W74" s="23"/>
      <x:c r="X74" s="23"/>
      <x:c r="Y74" s="23"/>
      <x:c r="Z74" s="23"/>
    </x:row>
    <x:row r="75">
      <x:c r="A75" s="46" t="str">
        <x:v>SRC-EGG-SCRAMBLE-SENS-001</x:v>
      </x:c>
      <x:c r="B75" s="46" t="str">
        <x:v>primary_peer_reviewed</x:v>
      </x:c>
      <x:c r="C75" s="46" t="str">
        <x:v>Thi Khanh Linh Tran; Elodie Gillich; Amandine André; Marie-Louise Cezanne; Peter Gläser; Imre Blank; Irene Chetschik</x:v>
      </x:c>
      <x:c r="D75" s="46" t="n">
        <x:v>2025</x:v>
      </x:c>
      <x:c r="E75" s="46" t="str">
        <x:v>Decoding the Aroma Gap: Sensomics-Based Characterization of Key Odorants in the Plant-Based Egg and Chicken Egg</x:v>
      </x:c>
      <x:c r="F75" s="46" t="str">
        <x:v>Journal of Agricultural and Food Chemistry</x:v>
      </x:c>
      <x:c r="G75" s="46" t="str">
        <x:v>10.1021/acs.jafc.5c04304</x:v>
      </x:c>
      <x:c r="H75" s="46" t="str">
        <x:v>scrambled whole chicken egg</x:v>
      </x:c>
      <x:c r="I75" s="46" t="str">
        <x:v>Freshly prepared scrambled chicken egg; vegan egg comparator</x:v>
      </x:c>
      <x:c r="J75" s="46" t="str">
        <x:v>AEDA + GC-GC-MS + SIDA + DoT + aroma recombination/omission; 20 AEDA odorants, 15 SIDA-quantified chicken-egg odorants plus direct H2S/methanethiol quantitation</x:v>
      </x:c>
      <x:c r="K75" s="46" t="str">
        <x:v>https://pubs.acs.org/doi/10.1021/acs.jafc.5c04304</x:v>
      </x:c>
      <x:c r="L75" s="46" t="str">
        <x:v>Sensory anchor for whole cooked egg and sulfur chemistry. Full Table-2 target set governed in v23; H2S is a culinary odorant here, not a spoilage-only marker.</x:v>
      </x:c>
      <x:c r="M75" s="46" t="str">
        <x:v>verified_primary_sensomics_v23</x:v>
      </x:c>
      <x:c r="N75" s="23"/>
      <x:c r="O75" s="23"/>
      <x:c r="P75" s="23"/>
      <x:c r="Q75" s="23"/>
      <x:c r="R75" s="23"/>
      <x:c r="S75" s="23"/>
      <x:c r="T75" s="23"/>
      <x:c r="U75" s="23"/>
      <x:c r="V75" s="23"/>
      <x:c r="W75" s="23"/>
      <x:c r="X75" s="23"/>
      <x:c r="Y75" s="23"/>
      <x:c r="Z75" s="23"/>
    </x:row>
    <x:row r="76">
      <x:c r="A76" s="46" t="str">
        <x:v>SRC-EGG-COOKED-SPLIT-001</x:v>
      </x:c>
      <x:c r="B76" s="46" t="str">
        <x:v>primary_peer_reviewed</x:v>
      </x:c>
      <x:c r="C76" s="46" t="str">
        <x:v>Katsumi Umano; Yukio Hagi; Akihiro Shoji; Takayuki Shibamoto</x:v>
      </x:c>
      <x:c r="D76" s="46" t="n">
        <x:v>1990</x:v>
      </x:c>
      <x:c r="E76" s="46" t="str">
        <x:v>Volatile Compounds Formed from Cooked Whole Egg, Egg Yolk, and Egg White</x:v>
      </x:c>
      <x:c r="F76" s="46" t="str">
        <x:v>Journal of Agricultural and Food Chemistry</x:v>
      </x:c>
      <x:c r="G76" s="46" t="str">
        <x:v>10.1021/jf00092a028</x:v>
      </x:c>
      <x:c r="H76" s="46" t="str">
        <x:v>heated whole egg / yolk / white</x:v>
      </x:c>
      <x:c r="I76" s="46" t="str">
        <x:v>Chicken whole egg, separated yolk and separated white heated under the same extraction study</x:v>
      </x:c>
      <x:c r="J76" s="46" t="str">
        <x:v>Simultaneous purging-extraction + GC/GC-MS; 141 total compounds: 87 whole, 75 yolk, 57 white</x:v>
      </x:c>
      <x:c r="K76" s="46" t="str">
        <x:v>https://agris.fao.org/search/en/providers/122535/records/65de99f44c5aef494fdca4eb</x:v>
      </x:c>
      <x:c r="L76" s="46" t="str">
        <x:v>Historical breadth source that directly proves whole/yolk/white chemical separation. Heating protocol (200°C sand bath, 1 h) is analytically extreme versus normal cookery; use for breadth/architecture, not direct culinary state equivalence.</x:v>
      </x:c>
      <x:c r="M76" s="46" t="str">
        <x:v>verified_primary_historical_breadth</x:v>
      </x:c>
      <x:c r="N76" s="23"/>
      <x:c r="O76" s="23"/>
      <x:c r="P76" s="23"/>
      <x:c r="Q76" s="23"/>
      <x:c r="R76" s="23"/>
      <x:c r="S76" s="23"/>
      <x:c r="T76" s="23"/>
      <x:c r="U76" s="23"/>
      <x:c r="V76" s="23"/>
      <x:c r="W76" s="23"/>
      <x:c r="X76" s="23"/>
      <x:c r="Y76" s="23"/>
      <x:c r="Z76" s="23"/>
    </x:row>
    <x:row r="77">
      <x:c r="A77" s="46" t="str">
        <x:v>SRC-EGG-YOLK-WHITE-2026-001</x:v>
      </x:c>
      <x:c r="B77" s="46" t="str">
        <x:v>primary_peer_reviewed</x:v>
      </x:c>
      <x:c r="C77" s="46" t="str">
        <x:v>Xue Gao; Weihai Xing; Yanan Yu; Junmin Zhang; Youyou Yang; Riliang Cao</x:v>
      </x:c>
      <x:c r="D77" s="46" t="n">
        <x:v>2026</x:v>
      </x:c>
      <x:c r="E77" s="46" t="str">
        <x:v>Differentiating Odor Compounds of Common Poultry Eggs Based on Gas Chromatography-Olfactometry-Orbitrap High-Resolution Mass Spectrometry</x:v>
      </x:c>
      <x:c r="F77" s="46" t="str">
        <x:v>Food Science</x:v>
      </x:c>
      <x:c r="G77" s="46" t="str">
        <x:v>10.7506/spkx1002-6630-20250929-238</x:v>
      </x:c>
      <x:c r="H77" s="46" t="str">
        <x:v>cooked yolk / cooked white</x:v>
      </x:c>
      <x:c r="I77" s="46" t="str">
        <x:v>Commercial chicken, duck, goose and quail eggs; yolks and whites analyzed separately after cooking</x:v>
      </x:c>
      <x:c r="J77" s="46" t="str">
        <x:v>HS-SPME + GC-Orbitrap HRMS + GC-O; NIST/self-built library with mass spectra and retention-index identification</x:v>
      </x:c>
      <x:c r="K77" s="46" t="str">
        <x:v>https://www.spkx.net.cn/EN/Y2026/V47/I7/211</x:v>
      </x:c>
      <x:c r="L77" s="46" t="str">
        <x:v>Modern independent evidence that egg flavor is yolk-dominant and that yolk/white must be separate products/materials. 37 differential yolk markers; 20 with clear sensory contribution.</x:v>
      </x:c>
      <x:c r="M77" s="46" t="str">
        <x:v>verified_primary_architecture_IDQA</x:v>
      </x:c>
      <x:c r="N77" s="23"/>
      <x:c r="O77" s="23"/>
      <x:c r="P77" s="23"/>
      <x:c r="Q77" s="23"/>
      <x:c r="R77" s="23"/>
      <x:c r="S77" s="23"/>
      <x:c r="T77" s="23"/>
      <x:c r="U77" s="23"/>
      <x:c r="V77" s="23"/>
      <x:c r="W77" s="23"/>
      <x:c r="X77" s="23"/>
      <x:c r="Y77" s="23"/>
      <x:c r="Z77" s="23"/>
    </x:row>
    <x:row r="78">
      <x:c r="A78" s="46" t="str">
        <x:v>SRC-EGG-WHITE-PROCESS-001</x:v>
      </x:c>
      <x:c r="B78" s="46" t="str">
        <x:v>primary_peer_reviewed</x:v>
      </x:c>
      <x:c r="C78" s="46" t="str">
        <x:v>Aini Sun; Yaru Li; Fujun Guo; Songyi Lin; Zhijie Bao</x:v>
      </x:c>
      <x:c r="D78" s="46" t="n">
        <x:v>2025</x:v>
      </x:c>
      <x:c r="E78" s="46" t="str">
        <x:v>Dynamic changes of volatile compounds during the processing of egg white powder based on GC-IMS investigation</x:v>
      </x:c>
      <x:c r="F78" s="46" t="str">
        <x:v>Food Chemistry</x:v>
      </x:c>
      <x:c r="G78" s="46" t="str">
        <x:v>10.1016/j.foodchem.2025.144008</x:v>
      </x:c>
      <x:c r="H78" s="46" t="str">
        <x:v>fresh egg white liquid / fermentation / desugaring / spray drying</x:v>
      </x:c>
      <x:c r="I78" s="46" t="str">
        <x:v>Chicken egg white processing sequence beginning from fresh egg white liquid</x:v>
      </x:c>
      <x:c r="J78" s="46" t="str">
        <x:v>GC-IMS; 29 volatile compounds across process; ROAV/OPLS-DA flavor-marker analysis</x:v>
      </x:c>
      <x:c r="K78" s="46" t="str">
        <x:v>https://www.sciencedirect.com/science/article/pii/S0308814625012592</x:v>
      </x:c>
      <x:c r="L78" s="46" t="str">
        <x:v>Modern white-specific source with a direct fresh-white baseline in the process design. Full 29-row table not accessible in current source surface; source-count/state evidence only in v23.</x:v>
      </x:c>
      <x:c r="M78" s="46" t="str">
        <x:v>verified_primary_white_count</x:v>
      </x:c>
      <x:c r="N78" s="23"/>
      <x:c r="O78" s="23"/>
      <x:c r="P78" s="23"/>
      <x:c r="Q78" s="23"/>
      <x:c r="R78" s="23"/>
      <x:c r="S78" s="23"/>
      <x:c r="T78" s="23"/>
      <x:c r="U78" s="23"/>
      <x:c r="V78" s="23"/>
      <x:c r="W78" s="23"/>
      <x:c r="X78" s="23"/>
      <x:c r="Y78" s="23"/>
      <x:c r="Z78" s="23"/>
    </x:row>
    <x:row r="79">
      <x:c r="A79" s="46" t="str">
        <x:v>SRC-EGG-SALTED-YOLK-001</x:v>
      </x:c>
      <x:c r="B79" s="46" t="str">
        <x:v>primary_peer_reviewed</x:v>
      </x:c>
      <x:c r="C79" s="46" t="str">
        <x:v>Xiaofan Hao; Miao Liang; Runhu Xin; Yuping Liu</x:v>
      </x:c>
      <x:c r="D79" s="46" t="n">
        <x:v>2024</x:v>
      </x:c>
      <x:c r="E79" s="46" t="str">
        <x:v>Changes of Potent Odorants in Salted Duck Egg Yolk before and after Roasting</x:v>
      </x:c>
      <x:c r="F79" s="46" t="str">
        <x:v>Molecules</x:v>
      </x:c>
      <x:c r="G79" s="46" t="str">
        <x:v>10.3390/molecules29173984</x:v>
      </x:c>
      <x:c r="H79" s="46" t="str">
        <x:v>salted duck egg yolk / roasted salted duck egg yolk</x:v>
      </x:c>
      <x:c r="I79" s="46" t="str">
        <x:v>Salted duck egg yolk and the same product after roasting</x:v>
      </x:c>
      <x:c r="J79" s="46" t="str">
        <x:v>SE-SAFE + GC-MS-O on DB-Wax and HP-5; NIST14 MS, retention index, authentic standards and GC-O; 45 full-table volatiles; 24 odor-active</x:v>
      </x:c>
      <x:c r="K79" s="46" t="str">
        <x:v>https://www.mdpi.com/1420-3049/29/17/3984</x:v>
      </x:c>
      <x:c r="L79" s="46" t="str">
        <x:v>Full 45-row table ingested in v23. 18 VOCs in salted yolk, 43 in roasted, 16 shared. No numeric library-match factor published; strong RI/standard support remains MR-09 partial under the strict numeric gate.</x:v>
      </x:c>
      <x:c r="M79" s="46" t="str">
        <x:v>verified_primary_full_table_v23</x:v>
      </x:c>
      <x:c r="N79" s="23"/>
      <x:c r="O79" s="23"/>
      <x:c r="P79" s="23"/>
      <x:c r="Q79" s="23"/>
      <x:c r="R79" s="23"/>
      <x:c r="S79" s="23"/>
      <x:c r="T79" s="23"/>
      <x:c r="U79" s="23"/>
      <x:c r="V79" s="23"/>
      <x:c r="W79" s="23"/>
      <x:c r="X79" s="23"/>
      <x:c r="Y79" s="23"/>
      <x:c r="Z79" s="23"/>
    </x:row>
    <x:row r="80">
      <x:c r="A80" s="46" t="str">
        <x:v>SRC-EGG-PRESERVED-YOLK-001</x:v>
      </x:c>
      <x:c r="B80" s="46" t="str">
        <x:v>primary_peer_reviewed</x:v>
      </x:c>
      <x:c r="C80" s="46" t="str">
        <x:v>Zhang et al.</x:v>
      </x:c>
      <x:c r="D80" s="46" t="n">
        <x:v>2018</x:v>
      </x:c>
      <x:c r="E80" s="46" t="str">
        <x:v>Characterization of Potent Aroma Compounds in Preserved Egg Yolk by Gas Chromatography-Olfactometry, Quantitative Measurements, and Odor Activity Value</x:v>
      </x:c>
      <x:c r="F80" s="46" t="str">
        <x:v>Journal of Agricultural and Food Chemistry</x:v>
      </x:c>
      <x:c r="G80" s="46" t="str">
        <x:v>10.1021/acs.jafc.8b01378</x:v>
      </x:c>
      <x:c r="H80" s="46" t="str">
        <x:v>preserved / century egg yolk</x:v>
      </x:c>
      <x:c r="I80" s="46" t="str">
        <x:v>Preserved egg yolk</x:v>
      </x:c>
      <x:c r="J80" s="46" t="str">
        <x:v>HS-SPME + SAFE + GC-O + GC-MS + AEDA + quantitative analysis + OAV; identification by odor, MS, RI and reference compounds</x:v>
      </x:c>
      <x:c r="K80" s="46" t="str">
        <x:v>https://pubmed.ncbi.nlm.nih.gov/29790747/</x:v>
      </x:c>
      <x:c r="L80" s="46" t="str">
        <x:v>53 odor-active compounds identified; 27 reproducible across ≥5 isolates; 22 quantitated; 19 OAV≥1 potent odorants. Used as century/preserved-yolk sensory layer.</x:v>
      </x:c>
      <x:c r="M80" s="46" t="str">
        <x:v>verified_primary_preserved_sensory</x:v>
      </x:c>
      <x:c r="N80" s="23"/>
      <x:c r="O80" s="23"/>
      <x:c r="P80" s="23"/>
      <x:c r="Q80" s="23"/>
      <x:c r="R80" s="23"/>
      <x:c r="S80" s="23"/>
      <x:c r="T80" s="23"/>
      <x:c r="U80" s="23"/>
      <x:c r="V80" s="23"/>
      <x:c r="W80" s="23"/>
      <x:c r="X80" s="23"/>
      <x:c r="Y80" s="23"/>
      <x:c r="Z80" s="23"/>
    </x:row>
    <x:row r="81">
      <x:c r="A81" s="46" t="str">
        <x:v>SRC-EGG-SALTED-WHITE-001</x:v>
      </x:c>
      <x:c r="B81" s="46" t="str">
        <x:v>primary_peer_reviewed</x:v>
      </x:c>
      <x:c r="C81" s="46" t="str">
        <x:v>Mingjie Li; Xiao Ling; Xiangyu Li; Ning Xia; Jianwen Teng; Baoyao Wei; Li Huang; Weili Li</x:v>
      </x:c>
      <x:c r="D81" s="46" t="n">
        <x:v>2022</x:v>
      </x:c>
      <x:c r="E81" s="46" t="str">
        <x:v>Analysis of Volatile Flavor Compounds in Sea Duck Egg White during Salting by Gas Chromatography-Ion Mobility Spectrometry</x:v>
      </x:c>
      <x:c r="F81" s="46" t="str">
        <x:v>Food Science</x:v>
      </x:c>
      <x:c r="G81" s="46" t="str">
        <x:v>10.7506/spkx1002-6630-20211109-098</x:v>
      </x:c>
      <x:c r="H81" s="46" t="str">
        <x:v>fresh duck egg white / salting time course</x:v>
      </x:c>
      <x:c r="I81" s="46" t="str">
        <x:v>Sea duck egg white during salting</x:v>
      </x:c>
      <x:c r="J81" s="46" t="str">
        <x:v>GC-IMS + sensory + PCA + OPLS-DA; 43 VOCs across salting; 20 characteristic compounds</x:v>
      </x:c>
      <x:c r="K81" s="46" t="str">
        <x:v>https://www.spkx.net.cn/EN/10.7506/spkx1002-6630-20211109-098</x:v>
      </x:c>
      <x:c r="L81" s="46" t="str">
        <x:v>White-specific preserved-state evidence. Full 43-row source table not ingested in v23; 20 characteristic names are source-exposed and governed as a state/sensory layer.</x:v>
      </x:c>
      <x:c r="M81" s="46" t="str">
        <x:v>verified_primary_salted_white_count</x:v>
      </x:c>
      <x:c r="N81" s="23"/>
      <x:c r="O81" s="23"/>
      <x:c r="P81" s="23"/>
      <x:c r="Q81" s="23"/>
      <x:c r="R81" s="23"/>
      <x:c r="S81" s="23"/>
      <x:c r="T81" s="23"/>
      <x:c r="U81" s="23"/>
      <x:c r="V81" s="23"/>
      <x:c r="W81" s="23"/>
      <x:c r="X81" s="23"/>
      <x:c r="Y81" s="23"/>
      <x:c r="Z81" s="23"/>
    </x:row>
    <x:row r="82">
      <x:c r="A82" s="46" t="str">
        <x:v>SRC-EGG-WHOLE-RAW-001</x:v>
      </x:c>
      <x:c r="B82" s="46" t="str">
        <x:v>primary_peer_reviewed</x:v>
      </x:c>
      <x:c r="C82" s="46" t="str">
        <x:v>Fatma Yenilmez et al.</x:v>
      </x:c>
      <x:c r="D82" s="46" t="n">
        <x:v>2025</x:v>
      </x:c>
      <x:c r="E82" s="46" t="str">
        <x:v>Determination and comparison of volatile compounds of different poultry species eggs</x:v>
      </x:c>
      <x:c r="F82" s="46" t="str">
        <x:v>Veterinary Research Forum</x:v>
      </x:c>
      <x:c r="G82" s="46" t="str">
        <x:v>10.30466/vrf.2024.2022511.4164</x:v>
      </x:c>
      <x:c r="H82" s="46" t="str">
        <x:v>raw whole egg / species comparison</x:v>
      </x:c>
      <x:c r="I82" s="46" t="str">
        <x:v>Homogenized raw whole eggs from chicken and eight other poultry species</x:v>
      </x:c>
      <x:c r="J82" s="46" t="str">
        <x:v>SPME-GC-MS; 41 compounds across species; 15 in chicken whole egg</x:v>
      </x:c>
      <x:c r="K82" s="46" t="str">
        <x:v>https://pmc.ncbi.nlm.nih.gov/articles/PMC12085940/</x:v>
      </x:c>
      <x:c r="L82" s="46" t="str">
        <x:v>Raw whole-egg context only. Several source labels are chemically ambiguous or unusual and retrieved methods do not expose an MR-09 match/RI threshold, so this is not the high-confidence canonical Egg anchor.</x:v>
      </x:c>
      <x:c r="M82" s="46" t="str">
        <x:v>verified_primary_raw_context_partial_IDQA</x:v>
      </x:c>
      <x:c r="N82" s="23"/>
      <x:c r="O82" s="23"/>
      <x:c r="P82" s="23"/>
      <x:c r="Q82" s="23"/>
      <x:c r="R82" s="23"/>
      <x:c r="S82" s="23"/>
      <x:c r="T82" s="23"/>
      <x:c r="U82" s="23"/>
      <x:c r="V82" s="23"/>
      <x:c r="W82" s="23"/>
      <x:c r="X82" s="23"/>
      <x:c r="Y82" s="23"/>
      <x:c r="Z82" s="23"/>
    </x:row>
    <x:row r="83">
      <x:c r="A83" s="46" t="str">
        <x:v>SRC-EGG-SCRAMBLE-SPLIT-001</x:v>
      </x:c>
      <x:c r="B83" s="46" t="str">
        <x:v>primary_peer_reviewed</x:v>
      </x:c>
      <x:c r="C83" s="46" t="str">
        <x:v>M. W. Warren; D. K. Larick; H. R. Ball Jr.</x:v>
      </x:c>
      <x:c r="D83" s="46" t="n">
        <x:v>1995</x:v>
      </x:c>
      <x:c r="E83" s="46" t="str">
        <x:v>Volatiles and Sensory Characteristics of Cooked Egg Yolk, White and Their Combinations</x:v>
      </x:c>
      <x:c r="F83" s="46" t="str">
        <x:v>Journal of Food Science</x:v>
      </x:c>
      <x:c r="G83" s="46" t="str">
        <x:v>10.1111/j.1365-2621.1995.tb05611.x</x:v>
      </x:c>
      <x:c r="H83" s="46" t="str">
        <x:v>heated yolk / white / yolk:white mixtures</x:v>
      </x:c>
      <x:c r="I83" s="46" t="str">
        <x:v>Fresh egg yolk, white and different yolk:white ratios related to fresh scrambled-egg sensory characteristics</x:v>
      </x:c>
      <x:c r="J83" s="46" t="str">
        <x:v>Headspace + steam-distillation extraction; volatile and sensory comparison</x:v>
      </x:c>
      <x:c r="K83" s="46" t="str">
        <x:v>https://ift.onlinelibrary.wiley.com/doi/10.1111/j.1365-2621.1995.tb05611.x</x:v>
      </x:c>
      <x:c r="L83" s="46" t="str">
        <x:v>Supports composite architecture: both yolk and white concentration significantly affect scrambled-egg flavor; whole egg should not be modeled by simply selecting one compartment.</x:v>
      </x:c>
      <x:c r="M83" s="46" t="str">
        <x:v>verified_primary_composite_architecture</x:v>
      </x:c>
      <x:c r="N83" s="23"/>
      <x:c r="O83" s="23"/>
      <x:c r="P83" s="23"/>
      <x:c r="Q83" s="23"/>
      <x:c r="R83" s="23"/>
      <x:c r="S83" s="23"/>
      <x:c r="T83" s="23"/>
      <x:c r="U83" s="23"/>
      <x:c r="V83" s="23"/>
      <x:c r="W83" s="23"/>
      <x:c r="X83" s="23"/>
      <x:c r="Y83" s="23"/>
      <x:c r="Z83" s="23"/>
    </x:row>
    <x:row r="84">
      <x:c r="A84" s="46" t="str">
        <x:v>SRC-EGG-YOLK-BOIL-001</x:v>
      </x:c>
      <x:c r="B84" s="46" t="str">
        <x:v>primary_peer_reviewed</x:v>
      </x:c>
      <x:c r="C84" s="46" t="str">
        <x:v>Yousung Jung; Dongwook Kim; Soomin Oh; Sangrok Lee; Hee-Jeong Lee; Hyo-Jun Choo; Aera Jang</x:v>
      </x:c>
      <x:c r="D84" s="46" t="n">
        <x:v>2025</x:v>
      </x:c>
      <x:c r="E84" s="46" t="str">
        <x:v>Comprehensive comparison of egg yolk of three Korean native chicken varieties: physicochemical quality, antioxidant activity, and flavor-related substances</x:v>
      </x:c>
      <x:c r="F84" s="46" t="str">
        <x:v>10.5187/jast.2025.e19</x:v>
      </x:c>
      <x:c r="G84" s="46" t="str">
        <x:v>10.5187/jast.2024.e19</x:v>
      </x:c>
      <x:c r="H84" s="46" t="str">
        <x:v>boiled egg yolk</x:v>
      </x:c>
      <x:c r="I84" s="46" t="str">
        <x:v>Commercial chicken egg yolk control plus blue-shelled and two Woorimatdag chicken lines; eggs boiled at 100°C for 15 min and yolks separated</x:v>
      </x:c>
      <x:c r="J84" s="46" t="str">
        <x:v>HS-SPME-GC-MS, DB-5MS; Supplementary Table S1 reports all 123 VOCs with specific ion, LRI and four-group abundance; 10 biological replicates for VOC analysis</x:v>
      </x:c>
      <x:c r="K84" s="46" t="str">
        <x:v>https://www.ejast.org/archive/view_article?pid=jast-67-6-1359</x:v>
      </x:c>
      <x:c r="L84" s="46" t="str">
        <x:v>Full 123-row Supplementary Table S1 ingested in v23. Final published DOI is 10.5187/jast.2025.e19. LRI is complete, but the accessible methods do not report a numeric library-match factor, so strict MR-09 remains partial. DI-19 records the source's internal CE subtotal/total arithmetic inconsistency.</x:v>
      </x:c>
      <x:c r="M84" s="46" t="str">
        <x:v>verified_primary_full_table_v23</x:v>
      </x:c>
      <x:c r="N84" s="23"/>
      <x:c r="O84" s="23"/>
      <x:c r="P84" s="23"/>
      <x:c r="Q84" s="23"/>
      <x:c r="R84" s="23"/>
      <x:c r="S84" s="23"/>
      <x:c r="T84" s="23"/>
      <x:c r="U84" s="23"/>
      <x:c r="V84" s="23"/>
      <x:c r="W84" s="23"/>
      <x:c r="X84" s="23"/>
      <x:c r="Y84" s="23"/>
      <x:c r="Z84" s="23"/>
    </x:row>
    <x:row r="85">
      <x:c r="A85" s="46" t="str">
        <x:v>SRC-EGG-YOLK-RAW-001</x:v>
      </x:c>
      <x:c r="B85" s="46" t="str">
        <x:v>primary_peer_reviewed</x:v>
      </x:c>
      <x:c r="C85" s="46" t="str">
        <x:v>Ina Plagemann; Kateryna Zelena; Ulrich Krings; Ralf G. Berger</x:v>
      </x:c>
      <x:c r="D85" s="46" t="n">
        <x:v>2011</x:v>
      </x:c>
      <x:c r="E85" s="46" t="str">
        <x:v>Volatile flavours in raw egg yolk of hens fed on different diets</x:v>
      </x:c>
      <x:c r="F85" s="46" t="str">
        <x:v>Journal of the Science of Food and Agriculture</x:v>
      </x:c>
      <x:c r="G85" s="46" t="str">
        <x:v>10.1002/jsfa.4420</x:v>
      </x:c>
      <x:c r="H85" s="46" t="str">
        <x:v>raw egg yolk / diet comparison</x:v>
      </x:c>
      <x:c r="I85" s="46" t="str">
        <x:v>Raw chicken egg yolk from laying-meal, cabbage/onion, rapeseed-oil and free-range feeding conditions</x:v>
      </x:c>
      <x:c r="J85" s="46" t="str">
        <x:v>Solvent extraction + thin-layer high-vacuum distillation + GC-FID/GC-MS/GC-O + sulfur-specific GC-FPD</x:v>
      </x:c>
      <x:c r="K85" s="46" t="str">
        <x:v>https://pubmed.ncbi.nlm.nih.gov/21538364/</x:v>
      </x:c>
      <x:c r="L85" s="46" t="str">
        <x:v>Direct raw-yolk member source. Feed changed sulfur-compound abundance and free-range eggs contained fewer volatiles, but accessible source does not expose the full row table or MR-09 match/RI fields.</x:v>
      </x:c>
      <x:c r="M85" s="46" t="str">
        <x:v>verified_primary_raw_yolk_context</x:v>
      </x:c>
      <x:c r="N85" s="23"/>
      <x:c r="O85" s="23"/>
      <x:c r="P85" s="23"/>
      <x:c r="Q85" s="23"/>
      <x:c r="R85" s="23"/>
      <x:c r="S85" s="23"/>
      <x:c r="T85" s="23"/>
      <x:c r="U85" s="23"/>
      <x:c r="V85" s="23"/>
      <x:c r="W85" s="23"/>
      <x:c r="X85" s="23"/>
      <x:c r="Y85" s="23"/>
      <x:c r="Z85" s="23"/>
    </x:row>
    <x:row r="86">
      <x:c r="A86" s="46" t="str">
        <x:v>SRC-EGG-WHITE-COOK-001</x:v>
      </x:c>
      <x:c r="B86" s="46" t="str">
        <x:v>primary_peer_reviewed</x:v>
      </x:c>
      <x:c r="C86" s="46" t="str">
        <x:v>Authors as published in ACS Food Science &amp; Technology</x:v>
      </x:c>
      <x:c r="D86" s="46" t="n">
        <x:v>2021</x:v>
      </x:c>
      <x:c r="E86" s="46" t="str">
        <x:v>Egg White Partially Substituted with Mushroom: Volatile Aroma Impartment from Mushroom and Impact of Mushroom Type, Proportion, and Cooking Method</x:v>
      </x:c>
      <x:c r="F86" s="46" t="str">
        <x:v>ACS Food Science &amp; Technology</x:v>
      </x:c>
      <x:c r="G86" s="46" t="str">
        <x:v>10.1021/acsfoodscitech.1c00187</x:v>
      </x:c>
      <x:c r="H86" s="46" t="str">
        <x:v>raw / steamed / roasted egg white control</x:v>
      </x:c>
      <x:c r="I86" s="46" t="str">
        <x:v>Egg-white formulations including 0% mushroom control, with raw, steamed and roasted treatments</x:v>
      </x:c>
      <x:c r="J86" s="46" t="str">
        <x:v>SPME-GC-MS; approximately 50 volatiles in raw egg white and &gt;70 after steaming/roasting; cooking increased alcohols, ketones, heterocycles and sulfur compounds</x:v>
      </x:c>
      <x:c r="K86" s="46" t="str">
        <x:v>https://pubs.acs.org/doi/10.1021/acsfoodscitech.1c00187</x:v>
      </x:c>
      <x:c r="L86" s="46" t="str">
        <x:v>Direct modern white-state breadth source. Full compound table is not accessible in the current source surface, so this is state/count evidence only and mushroom-containing treatments are not used as egg-white membership evidence.</x:v>
      </x:c>
      <x:c r="M86" s="46" t="str">
        <x:v>verified_primary_white_state_count</x:v>
      </x:c>
      <x:c r="N86" s="23"/>
      <x:c r="O86" s="23"/>
      <x:c r="P86" s="23"/>
      <x:c r="Q86" s="23"/>
      <x:c r="R86" s="23"/>
      <x:c r="S86" s="23"/>
      <x:c r="T86" s="23"/>
      <x:c r="U86" s="23"/>
      <x:c r="V86" s="23"/>
      <x:c r="W86" s="23"/>
      <x:c r="X86" s="23"/>
      <x:c r="Y86" s="23"/>
      <x:c r="Z86" s="23"/>
    </x:row>
    <x:row r="87">
      <x:c r="A87" s="46" t="str">
        <x:v>SRC-BUTTER-BROWN-AROMA-001</x:v>
      </x:c>
      <x:c r="B87" s="46" t="str">
        <x:v>institutional_primary_dissertation_conference_accepted</x:v>
      </x:c>
      <x:c r="C87" s="46" t="str">
        <x:v>Anita Rae Best; Yaozheng Liu; Dave Barbano; MaryAnne Drake</x:v>
      </x:c>
      <x:c r="D87" s="46" t="n">
        <x:v>2026</x:v>
      </x:c>
      <x:c r="E87" s="46" t="str">
        <x:v>Aroma Active Compounds in Brown Butter</x:v>
      </x:c>
      <x:c r="F87" s="46" t="str">
        <x:v>North Carolina State University doctoral dissertation chapter; work also presented in dairy-science conference context</x:v>
      </x:c>
      <x:c r="G87" s="46" t="str"/>
      <x:c r="H87" s="46" t="str">
        <x:v>control butter / brown butter; salted and unsalted</x:v>
      </x:c>
      <x:c r="I87" s="46" t="str">
        <x:v>Salted and unsalted control butters compared with salted and unsalted brown butters</x:v>
      </x:c>
      <x:c r="J87" s="46" t="str">
        <x:v>HS-SPME-GC/MS; SAFE; GC-MS; GC-O/AEDA; quantitative GC-MS/MS/SIDA; Table 2.5 contains 77 aroma-active compounds with measured RI, NIST RI and brown/control presence; Table 2.6 quantifies selected aroma-active compounds and OAV</x:v>
      </x:c>
      <x:c r="K87" s="46" t="str">
        <x:v>https://repository.lib.ncsu.edu/server/api/core/bitstreams/35cfeb01-4910-4112-a36e-7d615b8c8ee0/content</x:v>
      </x:c>
      <x:c r="L87" s="46" t="str">
        <x:v>User-approved conference/institutional material. Full 77-row aroma-active Table 2.5 ingested in v24. This closes the browned-butter aroma-profile gap, but Table 2.5 is an aroma-active table rather than an exhaustive all-detected-VOC table.</x:v>
      </x:c>
      <x:c r="M87" s="46" t="str">
        <x:v>verified_institutional_full_aroma_table_v24</x:v>
      </x:c>
      <x:c r="N87" s="23"/>
      <x:c r="O87" s="23"/>
      <x:c r="P87" s="23"/>
      <x:c r="Q87" s="23"/>
      <x:c r="R87" s="23"/>
      <x:c r="S87" s="23"/>
      <x:c r="T87" s="23"/>
      <x:c r="U87" s="23"/>
      <x:c r="V87" s="23"/>
      <x:c r="W87" s="23"/>
      <x:c r="X87" s="23"/>
      <x:c r="Y87" s="23"/>
      <x:c r="Z87" s="23"/>
    </x:row>
    <x:row r="88">
      <x:c r="A88" s="46" t="str">
        <x:v>SRC-SHRIMP-SOUSVIDE-001</x:v>
      </x:c>
      <x:c r="B88" s="46" t="str">
        <x:v>primary_peer_reviewed</x:v>
      </x:c>
      <x:c r="C88" s="46" t="str">
        <x:v>Liao Tianhong; Zhang Chenyan; Ji Hongwu; Zhang Di; Chen Ming; Liu Shucheng</x:v>
      </x:c>
      <x:c r="D88" s="46" t="n">
        <x:v>2025</x:v>
      </x:c>
      <x:c r="E88" s="46" t="str">
        <x:v>Effect of Sous Vide Technology on Quality and Volatile Compounds in Peeled Deveined Tail-on Shrimp</x:v>
      </x:c>
      <x:c r="F88" s="46" t="str">
        <x:v>Science and Technology of Food Industry</x:v>
      </x:c>
      <x:c r="G88" s="46" t="str">
        <x:v>10.13386/j.issn1002-0306.2024070183</x:v>
      </x:c>
      <x:c r="H88" s="46" t="str">
        <x:v>raw / sous-vide / conventional steamed</x:v>
      </x:c>
      <x:c r="I88" s="46" t="str">
        <x:v>Peeled deveined tail-on Litopenaeus vannamei shrimp; raw (RS), sous-vide (SV), steaming control (ST)</x:v>
      </x:c>
      <x:c r="J88" s="46" t="str">
        <x:v>HS-SPME-GC-MS with methyl nonanoate internal standard; full 54-row Table 2 reports compound, CAS and quantitative ng/g across RS/SV/ST; complementary GC-IMS and OAV analyses</x:v>
      </x:c>
      <x:c r="K88" s="46" t="str">
        <x:v>https://www.spgykj.com/en/article/doi/10.13386/j.issn1002-0306.2024070183?viewType=HTML</x:v>
      </x:c>
      <x:c r="L88" s="46" t="str">
        <x:v>Full 54-row GC-MS Table 2 ingested in v25 and used as the canonical direct shrimp detected-table anchor. DI-20 records internal source reconciliation differences: row counts 23/39/35 versus prose 23/38/35; row sums 41.56/65.44/60.96 versus prose 41.56/65.44/59.64. Duppeti 86-VOC study remains broader processing/OAV evidence.</x:v>
      </x:c>
      <x:c r="M88" s="46" t="str">
        <x:v>verified_primary_full_table_v25_source_arithmetic_flag</x:v>
      </x:c>
      <x:c r="N88" s="23"/>
      <x:c r="O88" s="23"/>
      <x:c r="P88" s="23"/>
      <x:c r="Q88" s="23"/>
      <x:c r="R88" s="23"/>
      <x:c r="S88" s="23"/>
      <x:c r="T88" s="23"/>
      <x:c r="U88" s="23"/>
      <x:c r="V88" s="23"/>
      <x:c r="W88" s="23"/>
      <x:c r="X88" s="23"/>
      <x:c r="Y88" s="23"/>
      <x:c r="Z88" s="23"/>
    </x:row>
    <x:row r="89">
      <x:c r="A89" s="46" t="str">
        <x:v>SRC-MUSSEL-RAW-2026-001</x:v>
      </x:c>
      <x:c r="B89" s="46" t="str">
        <x:v>primary_peer_reviewed</x:v>
      </x:c>
      <x:c r="C89" s="46" t="str">
        <x:v>Li et al.</x:v>
      </x:c>
      <x:c r="D89" s="46" t="n">
        <x:v>2026</x:v>
      </x:c>
      <x:c r="E89" s="46" t="str">
        <x:v>Characterization of Species- and Sex-Dependent Volatile and Non-Volatile Flavor Profiles in Three Commercially Important Mussel Species</x:v>
      </x:c>
      <x:c r="F89" s="46" t="str">
        <x:v>Foods</x:v>
      </x:c>
      <x:c r="G89" s="46" t="str">
        <x:v>10.3390/foods15162915</x:v>
      </x:c>
      <x:c r="H89" s="46" t="str">
        <x:v>raw soft tissue / species and sex comparison</x:v>
      </x:c>
      <x:c r="I89" s="46" t="str">
        <x:v>Mytilus galloprovincialis, Mytilus coruscus and Perna viridis raw soft tissue; male/female comparisons</x:v>
      </x:c>
      <x:c r="J89" s="46" t="str">
        <x:v>GC-IMS; 67 VOCs in Supplementary Table S3; identities based on retention time + drift time against NIST/IMS databases</x:v>
      </x:c>
      <x:c r="K89" s="46" t="str">
        <x:v>https://www.mdpi.com/2304-8158/15/16/2915</x:v>
      </x:c>
      <x:c r="L89" s="46" t="str">
        <x:v>Promising modern raw-mussel enrichment source: 67 VOCs (17 aldehydes, 12 alcohols, 9 ketones, 3 organic acids, 6 ethers, 2 furans, 2 sulfur, 3 nitrogen, 13 unidentified). Supplementary Table S3 is not retrievable in the current runtime, and the authors note that targeted GC-MS confirmation would strengthen GC-IMS identities.</x:v>
      </x:c>
      <x:c r="M89" s="46" t="str">
        <x:v>verified_primary_supplement_pending</x:v>
      </x:c>
      <x:c r="N89" s="23"/>
      <x:c r="O89" s="23"/>
      <x:c r="P89" s="23"/>
      <x:c r="Q89" s="23"/>
      <x:c r="R89" s="23"/>
      <x:c r="S89" s="23"/>
      <x:c r="T89" s="23"/>
      <x:c r="U89" s="23"/>
      <x:c r="V89" s="23"/>
      <x:c r="W89" s="23"/>
      <x:c r="X89" s="23"/>
      <x:c r="Y89" s="23"/>
      <x:c r="Z89" s="23"/>
    </x:row>
    <x:row r="90">
      <x:c r="A90" s="46" t="str">
        <x:v>SRC-GAME-RABBIT-001</x:v>
      </x:c>
      <x:c r="B90" s="46" t="str">
        <x:v>primary_peer_reviewed</x:v>
      </x:c>
      <x:c r="C90" s="46" t="str">
        <x:v>Yuejie Xie; Zhifei He; Jingzhi Lv; En Zhang; Hongjun Li</x:v>
      </x:c>
      <x:c r="D90" s="46" t="n">
        <x:v>2016</x:v>
      </x:c>
      <x:c r="E90" s="46" t="str">
        <x:v>Identification the Key Odorants in Different Parts of Hyla Rabbit Meat via Solid Phase Microextraction Using Gas Chromatography Mass Spectrometry</x:v>
      </x:c>
      <x:c r="F90" s="46" t="str">
        <x:v>Korean Journal for Food Science of Animal Resources</x:v>
      </x:c>
      <x:c r="G90" s="46" t="str">
        <x:v>10.5851/kosfa.2016.36.6.719</x:v>
      </x:c>
      <x:c r="H90" s="46" t="str">
        <x:v>four rabbit cuts / male and female / thermally simulated headspace</x:v>
      </x:c>
      <x:c r="I90" s="46" t="str">
        <x:v>Hyla rabbit foreleg, hind leg, abdomen and Longissimus dorsi; male and female</x:v>
      </x:c>
      <x:c r="J90" s="46" t="str">
        <x:v>HS-SPME-GC-MS; NIST11 mass spectra + literature/GC retention indices; internal-standard quantitation; selected authentic standards; full 63-compound Table 2</x:v>
      </x:c>
      <x:c r="K90" s="46" t="str">
        <x:v>https://link.springer.com/article/10.5851/kosfa.2016.36.6.719</x:v>
      </x:c>
      <x:c r="L90" s="46" t="str">
        <x:v>Full 63-row Table 2 ingested in v26 with thresholds, identification method and eight cut/sex concentration columns. SPME extraction at 75°C was selected to simulate cooked/boiled aroma; this is not a literal raw profile.</x:v>
      </x:c>
      <x:c r="M90" s="46" t="str">
        <x:v>verified_primary_full_table_v26</x:v>
      </x:c>
      <x:c r="N90" s="23"/>
      <x:c r="O90" s="23"/>
      <x:c r="P90" s="23"/>
      <x:c r="Q90" s="23"/>
      <x:c r="R90" s="23"/>
      <x:c r="S90" s="23"/>
      <x:c r="T90" s="23"/>
      <x:c r="U90" s="23"/>
      <x:c r="V90" s="23"/>
      <x:c r="W90" s="23"/>
      <x:c r="X90" s="23"/>
      <x:c r="Y90" s="23"/>
      <x:c r="Z90" s="23"/>
    </x:row>
    <x:row r="91">
      <x:c r="A91" s="46" t="str">
        <x:v>SRC-GAME-RABBIT-RAW-001</x:v>
      </x:c>
      <x:c r="B91" s="46" t="str">
        <x:v>primary_peer_reviewed</x:v>
      </x:c>
      <x:c r="C91" s="46" t="str">
        <x:v>Authors as published</x:v>
      </x:c>
      <x:c r="D91" s="46" t="n">
        <x:v>2025</x:v>
      </x:c>
      <x:c r="E91" s="46" t="str">
        <x:v>Unraveling the Relationship Between Lipids and Volatile Organic Compounds in Longissimus Dorsi of Chuanbai Rex and New Zealand White Rabbits</x:v>
      </x:c>
      <x:c r="F91" s="46" t="str">
        <x:v>Foods</x:v>
      </x:c>
      <x:c r="G91" s="46" t="str">
        <x:v>10.3390/foods14234024</x:v>
      </x:c>
      <x:c r="H91" s="46" t="str">
        <x:v>raw longissimus dorsi / breed comparison</x:v>
      </x:c>
      <x:c r="I91" s="46" t="str">
        <x:v>Chuanbai Rex and New Zealand White rabbit longissimus dorsi</x:v>
      </x:c>
      <x:c r="J91" s="46" t="str">
        <x:v>SPME-GC-MS; 140 VOCs; Supplementary Table S3 reports retention time, CAS and absolute content; 31 OAV≥1 compounds</x:v>
      </x:c>
      <x:c r="K91" s="46" t="str">
        <x:v>https://www.mdpi.com/2304-8158/14/23/4024</x:v>
      </x:c>
      <x:c r="L91" s="46" t="str">
        <x:v>Modern raw-rabbit breadth source: 140 VOCs (16 aldehydes, 26 alcohols, 27 hydrocarbons, 16 esters, 24 nitrogen compounds, 18 ketones, 4 acids, 5 anhydrides, 2 furans, 1 sulfur, 1 phenol). Supplement S3 remains a direct-acquisition gap.</x:v>
      </x:c>
      <x:c r="M91" s="46" t="str">
        <x:v>verified_primary_supplement_pending</x:v>
      </x:c>
      <x:c r="N91" s="23"/>
      <x:c r="O91" s="23"/>
      <x:c r="P91" s="23"/>
      <x:c r="Q91" s="23"/>
      <x:c r="R91" s="23"/>
      <x:c r="S91" s="23"/>
      <x:c r="T91" s="23"/>
      <x:c r="U91" s="23"/>
      <x:c r="V91" s="23"/>
      <x:c r="W91" s="23"/>
      <x:c r="X91" s="23"/>
      <x:c r="Y91" s="23"/>
      <x:c r="Z91" s="23"/>
    </x:row>
    <x:row r="92">
      <x:c r="A92" s="46" t="str">
        <x:v>SRC-GAME-RABBIT-COOK-001</x:v>
      </x:c>
      <x:c r="B92" s="46" t="str">
        <x:v>primary_peer_reviewed</x:v>
      </x:c>
      <x:c r="C92" s="46" t="str">
        <x:v>Shuyun Liu; Hongjun Li; Bin Wen; Li Yang; Xuelian Sun; Kaitong Lang; Zhifei He</x:v>
      </x:c>
      <x:c r="D92" s="46" t="n">
        <x:v>2025</x:v>
      </x:c>
      <x:c r="E92" s="46" t="str">
        <x:v>Widely targeted metabolomics and GC–IMS reveal flavor and metabolite variations in Rex and Hyla rabbit meat under different cooking methods</x:v>
      </x:c>
      <x:c r="F92" s="46" t="str">
        <x:v>Food Chemistry</x:v>
      </x:c>
      <x:c r="G92" s="46" t="str">
        <x:v>10.1016/j.foodchem.2025.145782</x:v>
      </x:c>
      <x:c r="H92" s="46" t="str">
        <x:v>boiled / roasted / fried rabbit</x:v>
      </x:c>
      <x:c r="I92" s="46" t="str">
        <x:v>Chuanbai Rex and Hyla rabbit meat under three cooking methods</x:v>
      </x:c>
      <x:c r="J92" s="46" t="str">
        <x:v>GC-IMS + widely targeted metabolomics; 45 VOCs and 14 differential VOCs</x:v>
      </x:c>
      <x:c r="K92" s="46" t="str">
        <x:v>https://www.sciencedirect.com/science/article/pii/S030881462503033X</x:v>
      </x:c>
      <x:c r="L92" s="46" t="str">
        <x:v>Cooking-state validation source. Frying reduced aldehydes/esters; roasting increased breed differentiation. Full 45-row table is not exposed in the current primary surface.</x:v>
      </x:c>
      <x:c r="M92" s="46" t="str">
        <x:v>verified_primary_state_count</x:v>
      </x:c>
      <x:c r="N92" s="23"/>
      <x:c r="O92" s="23"/>
      <x:c r="P92" s="23"/>
      <x:c r="Q92" s="23"/>
      <x:c r="R92" s="23"/>
      <x:c r="S92" s="23"/>
      <x:c r="T92" s="23"/>
      <x:c r="U92" s="23"/>
      <x:c r="V92" s="23"/>
      <x:c r="W92" s="23"/>
      <x:c r="X92" s="23"/>
      <x:c r="Y92" s="23"/>
      <x:c r="Z92" s="23"/>
    </x:row>
    <x:row r="93">
      <x:c r="A93" s="46" t="str">
        <x:v>SRC-GAME-DEER-COOK-001</x:v>
      </x:c>
      <x:c r="B93" s="46" t="str">
        <x:v>primary_peer_reviewed</x:v>
      </x:c>
      <x:c r="C93" s="46" t="str">
        <x:v>Lara Moran; Carlos Vivanco; José Manuel Lorenzo; Luis Javier R. Barron; Noelia Aldai</x:v>
      </x:c>
      <x:c r="D93" s="46" t="n">
        <x:v>2022</x:v>
      </x:c>
      <x:c r="E93" s="46" t="str">
        <x:v>Characterization of volatile compounds of cooked wild Iberian red deer meat extracted with solid phase microextraction and analysed by capillary gas chromatography - mass spectrometry</x:v>
      </x:c>
      <x:c r="F93" s="46" t="str">
        <x:v>LWT - Food Science and Technology</x:v>
      </x:c>
      <x:c r="G93" s="46" t="str">
        <x:v>10.1016/j.lwt.2022.113472</x:v>
      </x:c>
      <x:c r="H93" s="46" t="str">
        <x:v>cooked loin</x:v>
      </x:c>
      <x:c r="I93" s="46" t="str">
        <x:v>23 loin samples from male wild Iberian red deer (Cervus elaphus hispanicus)</x:v>
      </x:c>
      <x:c r="J93" s="46" t="str">
        <x:v>SPME-GC-MS + odour-impact ratio; 55 VOCs</x:v>
      </x:c>
      <x:c r="K93" s="46" t="str">
        <x:v>https://addi.ehu.es/bitstream/handle/10810/57916/1-s2.0-S0023643822004078-main.pdf?sequence=1</x:v>
      </x:c>
      <x:c r="L93" s="46" t="str">
        <x:v>Species-specific venison anchor. 55 VOCs detected; aldehydes account for ~84% relative abundance. Highest odor-impact compounds include dimethyl trisulfide, (E,E)-2,4-decadienal, decanal and dodecanal. Full row table remains acquisition-pending rather than reconstructed from indexed PDF fragments.</x:v>
      </x:c>
      <x:c r="M93" s="46" t="str">
        <x:v>verified_primary_source_count_key</x:v>
      </x:c>
      <x:c r="N93" s="23"/>
      <x:c r="O93" s="23"/>
      <x:c r="P93" s="23"/>
      <x:c r="Q93" s="23"/>
      <x:c r="R93" s="23"/>
      <x:c r="S93" s="23"/>
      <x:c r="T93" s="23"/>
      <x:c r="U93" s="23"/>
      <x:c r="V93" s="23"/>
      <x:c r="W93" s="23"/>
      <x:c r="X93" s="23"/>
      <x:c r="Y93" s="23"/>
      <x:c r="Z93" s="23"/>
    </x:row>
    <x:row r="94">
      <x:c r="A94" s="46" t="str">
        <x:v>SRC-GAME-DEER-STATE-001</x:v>
      </x:c>
      <x:c r="B94" s="46" t="str">
        <x:v>primary_peer_reviewed</x:v>
      </x:c>
      <x:c r="C94" s="46" t="str">
        <x:v>Lara Moran; Carlos Vivanco; Luis Javier R. Barron; Noelia Aldai</x:v>
      </x:c>
      <x:c r="D94" s="46" t="n">
        <x:v>2021</x:v>
      </x:c>
      <x:c r="E94" s="46" t="str">
        <x:v>Elucidating the combined effect of sample preparation and solid-phase microextraction conditions on the volatile composition of cooked meat analyzed by capillary gas chromatography coupled with mass spectrometry</x:v>
      </x:c>
      <x:c r="F94" s="46" t="str">
        <x:v>Food Chemistry</x:v>
      </x:c>
      <x:c r="G94" s="46" t="str">
        <x:v>10.1016/j.foodchem.2021.129587</x:v>
      </x:c>
      <x:c r="H94" s="46" t="str">
        <x:v>stewed / grilled deer; minced / steak</x:v>
      </x:c>
      <x:c r="I94" s="46" t="str">
        <x:v>Cooked deer meat under controlled presentation, cooking and SPME extraction conditions</x:v>
      </x:c>
      <x:c r="J94" s="46" t="str">
        <x:v>SPME-GC-MS methodological/state comparison</x:v>
      </x:c>
      <x:c r="K94" s="46" t="str">
        <x:v>https://pubmed.ncbi.nlm.nih.gov/33667923/</x:v>
      </x:c>
      <x:c r="L94" s="46" t="str">
        <x:v>State-method source: cooking presentation/method affected the profile less than extraction temperature/time under the tested conditions. Used only to support deer state interpretation, not as a substitute for the 55-row species table.</x:v>
      </x:c>
      <x:c r="M94" s="46" t="str">
        <x:v>verified_primary_state_method</x:v>
      </x:c>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2" hidden="0" customWidth="1"/>
    <x:col min="3" max="3" width="16" hidden="0" customWidth="1"/>
    <x:col min="4" max="4" width="20" hidden="0" customWidth="1"/>
    <x:col min="5" max="5" width="28" hidden="0" customWidth="1"/>
    <x:col min="6" max="6" width="22" hidden="0" customWidth="1"/>
    <x:col min="7" max="7" width="55" hidden="0" customWidth="1"/>
    <x:col min="8" max="8" width="55" hidden="0" customWidth="1"/>
    <x:col min="9" max="9" width="14" hidden="0" customWidth="1"/>
    <x:col min="10" max="10" width="42" hidden="0" customWidth="1"/>
    <x:col min="11" max="11" width="14" hidden="0" customWidth="1"/>
  </x:cols>
  <x:sheetData>
    <x:row r="1" ht="34" customHeight="1">
      <x:c r="A1" s="45" t="str">
        <x:v>equivalence_rule_id</x:v>
      </x:c>
      <x:c r="B1" s="45" t="str">
        <x:v>protein</x:v>
      </x:c>
      <x:c r="C1" s="45" t="str">
        <x:v>derived_state</x:v>
      </x:c>
      <x:c r="D1" s="45" t="str">
        <x:v>inherits_from_state</x:v>
      </x:c>
      <x:c r="E1" s="45" t="str">
        <x:v>authority</x:v>
      </x:c>
      <x:c r="F1" s="45" t="str">
        <x:v>evidence_mode</x:v>
      </x:c>
      <x:c r="G1" s="45" t="str">
        <x:v>rule_statement</x:v>
      </x:c>
      <x:c r="H1" s="45" t="str">
        <x:v>scientific_boundary</x:v>
      </x:c>
      <x:c r="I1" s="45" t="str">
        <x:v>runtime_use</x:v>
      </x:c>
      <x:c r="J1" s="45" t="str">
        <x:v>future_review_trigger</x:v>
      </x:c>
      <x:c r="K1" s="45" t="str">
        <x:v>status</x:v>
      </x:c>
      <x:c r="L1" s="23"/>
      <x:c r="M1" s="23"/>
      <x:c r="N1" s="23"/>
      <x:c r="O1" s="23"/>
      <x:c r="P1" s="23"/>
      <x:c r="Q1" s="23"/>
      <x:c r="R1" s="23"/>
      <x:c r="S1" s="23"/>
      <x:c r="T1" s="23"/>
      <x:c r="U1" s="23"/>
      <x:c r="V1" s="23"/>
      <x:c r="W1" s="23"/>
      <x:c r="X1" s="23"/>
      <x:c r="Y1" s="23"/>
      <x:c r="Z1" s="23"/>
    </x:row>
    <x:row r="2">
      <x:c r="A2" s="47" t="str">
        <x:v>EQ-DUCK-001</x:v>
      </x:c>
      <x:c r="B2" s="47" t="str">
        <x:v>duck</x:v>
      </x:c>
      <x:c r="C2" s="47" t="str">
        <x:v>seared</x:v>
      </x:c>
      <x:c r="D2" s="47" t="str">
        <x:v>roasted</x:v>
      </x:c>
      <x:c r="E2" s="47" t="str">
        <x:v>founder / chef domain judgment</x:v>
      </x:c>
      <x:c r="F2" s="47" t="str">
        <x:v>founder_equivalence</x:v>
      </x:c>
      <x:c r="G2" s="47" t="str">
        <x:v>For v1 compound-profile use, seared duck may inherit the verified roasted-duck aroma profile because both are high-heat surface-browning states expected to develop a near-identical core aromatic profile.</x:v>
      </x:c>
      <x:c r="H2" s="47" t="str">
        <x:v>This does not claim that a seared-duck analytical study measured these compounds. Inherited rows must retain the roasted source and be labeled founder_equivalence.</x:v>
      </x:c>
      <x:c r="I2" s="47" t="str">
        <x:v>allowed</x:v>
      </x:c>
      <x:c r="J2" s="47" t="str">
        <x:v>Replace or refine if a directly measured seared-duck dataset shows material divergence in key odorants.</x:v>
      </x:c>
      <x:c r="K2" s="47" t="str">
        <x:v>approved</x:v>
      </x:c>
      <x:c r="L2" s="23"/>
      <x:c r="M2" s="23"/>
      <x:c r="N2" s="23"/>
      <x:c r="O2" s="23"/>
      <x:c r="P2" s="23"/>
      <x:c r="Q2" s="23"/>
      <x:c r="R2" s="23"/>
      <x:c r="S2" s="23"/>
      <x:c r="T2" s="23"/>
      <x:c r="U2" s="23"/>
      <x:c r="V2" s="23"/>
      <x:c r="W2" s="23"/>
      <x:c r="X2" s="23"/>
      <x:c r="Y2" s="23"/>
      <x:c r="Z2" s="23"/>
    </x:row>
    <x:row r="3">
      <x:c r="A3" s="47" t="str">
        <x:v>EQ-DUCK-002</x:v>
      </x:c>
      <x:c r="B3" s="47" t="str">
        <x:v>duck</x:v>
      </x:c>
      <x:c r="C3" s="47" t="str">
        <x:v>confit</x:v>
      </x:c>
      <x:c r="D3" s="47" t="str">
        <x:v>cooked</x:v>
      </x:c>
      <x:c r="E3" s="47" t="str">
        <x:v>founder / chef domain judgment</x:v>
      </x:c>
      <x:c r="F3" s="47" t="str">
        <x:v>founder_equivalence</x:v>
      </x:c>
      <x:c r="G3" s="47" t="str">
        <x:v>For v1 compound-profile use, confit duck may inherit the verified cooked-duck core profile. Material aromatic change is expected primarily from aromatics and cooking medium introduced during confit rather than from a distinct native duck volatile profile.</x:v>
      </x:c>
      <x:c r="H3" s="47" t="str">
        <x:v>This does not claim that a confit-duck analytical study measured these compounds. Added aromatics/fat-medium contributions must be modeled separately from the inherited duck core.</x:v>
      </x:c>
      <x:c r="I3" s="47" t="str">
        <x:v>allowed</x:v>
      </x:c>
      <x:c r="J3" s="47" t="str">
        <x:v>Replace or refine if direct confit analytical data identifies material native-duck odorants not represented by the cooked profile.</x:v>
      </x:c>
      <x:c r="K3" s="47" t="str">
        <x:v>approved</x:v>
      </x:c>
      <x:c r="L3" s="23"/>
      <x:c r="M3" s="23"/>
      <x:c r="N3" s="23"/>
      <x:c r="O3" s="23"/>
      <x:c r="P3" s="23"/>
      <x:c r="Q3" s="23"/>
      <x:c r="R3" s="23"/>
      <x:c r="S3" s="23"/>
      <x:c r="T3" s="23"/>
      <x:c r="U3" s="23"/>
      <x:c r="V3" s="23"/>
      <x:c r="W3" s="23"/>
      <x:c r="X3" s="23"/>
      <x:c r="Y3" s="23"/>
      <x:c r="Z3" s="23"/>
    </x:row>
    <x:row r="4">
      <x:c r="A4" s="46"/>
      <x:c r="B4" s="46"/>
      <x:c r="C4" s="46"/>
      <x:c r="D4" s="46"/>
      <x:c r="E4" s="46"/>
      <x:c r="F4" s="46"/>
      <x:c r="G4" s="46"/>
      <x:c r="H4" s="46"/>
      <x:c r="I4" s="46"/>
      <x:c r="J4" s="46"/>
      <x:c r="K4" s="46"/>
      <x:c r="L4" s="23"/>
      <x:c r="M4" s="23"/>
      <x:c r="N4" s="23"/>
      <x:c r="O4" s="23"/>
      <x:c r="P4" s="23"/>
      <x:c r="Q4" s="23"/>
      <x:c r="R4" s="23"/>
      <x:c r="S4" s="23"/>
      <x:c r="T4" s="23"/>
      <x:c r="U4" s="23"/>
      <x:c r="V4" s="23"/>
      <x:c r="W4" s="23"/>
      <x:c r="X4" s="23"/>
      <x:c r="Y4" s="23"/>
      <x:c r="Z4" s="23"/>
    </x:row>
    <x:row r="5">
      <x:c r="A5" s="46"/>
      <x:c r="B5" s="46"/>
      <x:c r="C5" s="46"/>
      <x:c r="D5" s="46"/>
      <x:c r="E5" s="46"/>
      <x:c r="F5" s="46"/>
      <x:c r="G5" s="46"/>
      <x:c r="H5" s="46"/>
      <x:c r="I5" s="46"/>
      <x:c r="J5" s="46"/>
      <x:c r="K5" s="46"/>
      <x:c r="L5" s="23"/>
      <x:c r="M5" s="23"/>
      <x:c r="N5" s="23"/>
      <x:c r="O5" s="23"/>
      <x:c r="P5" s="23"/>
      <x:c r="Q5" s="23"/>
      <x:c r="R5" s="23"/>
      <x:c r="S5" s="23"/>
      <x:c r="T5" s="23"/>
      <x:c r="U5" s="23"/>
      <x:c r="V5" s="23"/>
      <x:c r="W5" s="23"/>
      <x:c r="X5" s="23"/>
      <x:c r="Y5" s="23"/>
      <x:c r="Z5" s="23"/>
    </x:row>
    <x:row r="6">
      <x:c r="A6" s="46"/>
      <x:c r="B6" s="46"/>
      <x:c r="C6" s="46"/>
      <x:c r="D6" s="46"/>
      <x:c r="E6" s="46"/>
      <x:c r="F6" s="46"/>
      <x:c r="G6" s="46"/>
      <x:c r="H6" s="46"/>
      <x:c r="I6" s="46"/>
      <x:c r="J6" s="46"/>
      <x:c r="K6" s="46"/>
      <x:c r="L6" s="23"/>
      <x:c r="M6" s="23"/>
      <x:c r="N6" s="23"/>
      <x:c r="O6" s="23"/>
      <x:c r="P6" s="23"/>
      <x:c r="Q6" s="23"/>
      <x:c r="R6" s="23"/>
      <x:c r="S6" s="23"/>
      <x:c r="T6" s="23"/>
      <x:c r="U6" s="23"/>
      <x:c r="V6" s="23"/>
      <x:c r="W6" s="23"/>
      <x:c r="X6" s="23"/>
      <x:c r="Y6" s="23"/>
      <x:c r="Z6" s="23"/>
    </x:row>
    <x:row r="7">
      <x:c r="A7" s="46"/>
      <x:c r="B7" s="46"/>
      <x:c r="C7" s="46"/>
      <x:c r="D7" s="46"/>
      <x:c r="E7" s="46"/>
      <x:c r="F7" s="46"/>
      <x:c r="G7" s="46"/>
      <x:c r="H7" s="46"/>
      <x:c r="I7" s="46"/>
      <x:c r="J7" s="46"/>
      <x:c r="K7" s="46"/>
      <x:c r="L7" s="23"/>
      <x:c r="M7" s="23"/>
      <x:c r="N7" s="23"/>
      <x:c r="O7" s="23"/>
      <x:c r="P7" s="23"/>
      <x:c r="Q7" s="23"/>
      <x:c r="R7" s="23"/>
      <x:c r="S7" s="23"/>
      <x:c r="T7" s="23"/>
      <x:c r="U7" s="23"/>
      <x:c r="V7" s="23"/>
      <x:c r="W7" s="23"/>
      <x:c r="X7" s="23"/>
      <x:c r="Y7" s="23"/>
      <x:c r="Z7" s="23"/>
    </x:row>
    <x:row r="8">
      <x:c r="A8" s="46"/>
      <x:c r="B8" s="46"/>
      <x:c r="C8" s="46"/>
      <x:c r="D8" s="46"/>
      <x:c r="E8" s="46"/>
      <x:c r="F8" s="46"/>
      <x:c r="G8" s="46"/>
      <x:c r="H8" s="46"/>
      <x:c r="I8" s="46"/>
      <x:c r="J8" s="46"/>
      <x:c r="K8" s="46"/>
      <x:c r="L8" s="23"/>
      <x:c r="M8" s="23"/>
      <x:c r="N8" s="23"/>
      <x:c r="O8" s="23"/>
      <x:c r="P8" s="23"/>
      <x:c r="Q8" s="23"/>
      <x:c r="R8" s="23"/>
      <x:c r="S8" s="23"/>
      <x:c r="T8" s="23"/>
      <x:c r="U8" s="23"/>
      <x:c r="V8" s="23"/>
      <x:c r="W8" s="23"/>
      <x:c r="X8" s="23"/>
      <x:c r="Y8" s="23"/>
      <x:c r="Z8" s="23"/>
    </x:row>
    <x:row r="9">
      <x:c r="A9" s="46"/>
      <x:c r="B9" s="46"/>
      <x:c r="C9" s="46"/>
      <x:c r="D9" s="46"/>
      <x:c r="E9" s="46"/>
      <x:c r="F9" s="46"/>
      <x:c r="G9" s="46"/>
      <x:c r="H9" s="46"/>
      <x:c r="I9" s="46"/>
      <x:c r="J9" s="46"/>
      <x:c r="K9" s="46"/>
      <x:c r="L9" s="23"/>
      <x:c r="M9" s="23"/>
      <x:c r="N9" s="23"/>
      <x:c r="O9" s="23"/>
      <x:c r="P9" s="23"/>
      <x:c r="Q9" s="23"/>
      <x:c r="R9" s="23"/>
      <x:c r="S9" s="23"/>
      <x:c r="T9" s="23"/>
      <x:c r="U9" s="23"/>
      <x:c r="V9" s="23"/>
      <x:c r="W9" s="23"/>
      <x:c r="X9" s="23"/>
      <x:c r="Y9" s="23"/>
      <x:c r="Z9" s="23"/>
    </x:row>
    <x:row r="10">
      <x:c r="A10" s="46"/>
      <x:c r="B10" s="46"/>
      <x:c r="C10" s="46"/>
      <x:c r="D10" s="46"/>
      <x:c r="E10" s="46"/>
      <x:c r="F10" s="46"/>
      <x:c r="G10" s="46"/>
      <x:c r="H10" s="46"/>
      <x:c r="I10" s="46"/>
      <x:c r="J10" s="46"/>
      <x:c r="K10" s="46"/>
      <x:c r="L10" s="23"/>
      <x:c r="M10" s="23"/>
      <x:c r="N10" s="23"/>
      <x:c r="O10" s="23"/>
      <x:c r="P10" s="23"/>
      <x:c r="Q10" s="23"/>
      <x:c r="R10" s="23"/>
      <x:c r="S10" s="23"/>
      <x:c r="T10" s="23"/>
      <x:c r="U10" s="23"/>
      <x:c r="V10" s="23"/>
      <x:c r="W10" s="23"/>
      <x:c r="X10" s="23"/>
      <x:c r="Y10" s="23"/>
      <x:c r="Z10" s="23"/>
    </x:row>
    <x:row r="11">
      <x:c r="A11" s="46"/>
      <x:c r="B11" s="46"/>
      <x:c r="C11" s="46"/>
      <x:c r="D11" s="46"/>
      <x:c r="E11" s="46"/>
      <x:c r="F11" s="46"/>
      <x:c r="G11" s="46"/>
      <x:c r="H11" s="46"/>
      <x:c r="I11" s="46"/>
      <x:c r="J11" s="46"/>
      <x:c r="K11" s="46"/>
      <x:c r="L11" s="23"/>
      <x:c r="M11" s="23"/>
      <x:c r="N11" s="23"/>
      <x:c r="O11" s="23"/>
      <x:c r="P11" s="23"/>
      <x:c r="Q11" s="23"/>
      <x:c r="R11" s="23"/>
      <x:c r="S11" s="23"/>
      <x:c r="T11" s="23"/>
      <x:c r="U11" s="23"/>
      <x:c r="V11" s="23"/>
      <x:c r="W11" s="23"/>
      <x:c r="X11" s="23"/>
      <x:c r="Y11" s="23"/>
      <x:c r="Z11" s="23"/>
    </x:row>
    <x:row r="12">
      <x:c r="A12" s="46"/>
      <x:c r="B12" s="46"/>
      <x:c r="C12" s="46"/>
      <x:c r="D12" s="46"/>
      <x:c r="E12" s="46"/>
      <x:c r="F12" s="46"/>
      <x:c r="G12" s="46"/>
      <x:c r="H12" s="46"/>
      <x:c r="I12" s="46"/>
      <x:c r="J12" s="46"/>
      <x:c r="K12" s="46"/>
      <x:c r="L12" s="23"/>
      <x:c r="M12" s="23"/>
      <x:c r="N12" s="23"/>
      <x:c r="O12" s="23"/>
      <x:c r="P12" s="23"/>
      <x:c r="Q12" s="23"/>
      <x:c r="R12" s="23"/>
      <x:c r="S12" s="23"/>
      <x:c r="T12" s="23"/>
      <x:c r="U12" s="23"/>
      <x:c r="V12" s="23"/>
      <x:c r="W12" s="23"/>
      <x:c r="X12" s="23"/>
      <x:c r="Y12" s="23"/>
      <x:c r="Z12" s="23"/>
    </x:row>
    <x:row r="13">
      <x:c r="A13" s="46"/>
      <x:c r="B13" s="46"/>
      <x:c r="C13" s="46"/>
      <x:c r="D13" s="46"/>
      <x:c r="E13" s="46"/>
      <x:c r="F13" s="46"/>
      <x:c r="G13" s="46"/>
      <x:c r="H13" s="46"/>
      <x:c r="I13" s="46"/>
      <x:c r="J13" s="46"/>
      <x:c r="K13" s="46"/>
      <x:c r="L13" s="23"/>
      <x:c r="M13" s="23"/>
      <x:c r="N13" s="23"/>
      <x:c r="O13" s="23"/>
      <x:c r="P13" s="23"/>
      <x:c r="Q13" s="23"/>
      <x:c r="R13" s="23"/>
      <x:c r="S13" s="23"/>
      <x:c r="T13" s="23"/>
      <x:c r="U13" s="23"/>
      <x:c r="V13" s="23"/>
      <x:c r="W13" s="23"/>
      <x:c r="X13" s="23"/>
      <x:c r="Y13" s="23"/>
      <x:c r="Z13" s="23"/>
    </x:row>
    <x:row r="14">
      <x:c r="A14" s="46"/>
      <x:c r="B14" s="46"/>
      <x:c r="C14" s="46"/>
      <x:c r="D14" s="46"/>
      <x:c r="E14" s="46"/>
      <x:c r="F14" s="46"/>
      <x:c r="G14" s="46"/>
      <x:c r="H14" s="46"/>
      <x:c r="I14" s="46"/>
      <x:c r="J14" s="46"/>
      <x:c r="K14" s="46"/>
      <x:c r="L14" s="23"/>
      <x:c r="M14" s="23"/>
      <x:c r="N14" s="23"/>
      <x:c r="O14" s="23"/>
      <x:c r="P14" s="23"/>
      <x:c r="Q14" s="23"/>
      <x:c r="R14" s="23"/>
      <x:c r="S14" s="23"/>
      <x:c r="T14" s="23"/>
      <x:c r="U14" s="23"/>
      <x:c r="V14" s="23"/>
      <x:c r="W14" s="23"/>
      <x:c r="X14" s="23"/>
      <x:c r="Y14" s="23"/>
      <x:c r="Z14" s="23"/>
    </x:row>
    <x:row r="15">
      <x:c r="A15" s="46"/>
      <x:c r="B15" s="46"/>
      <x:c r="C15" s="46"/>
      <x:c r="D15" s="46"/>
      <x:c r="E15" s="46"/>
      <x:c r="F15" s="46"/>
      <x:c r="G15" s="46"/>
      <x:c r="H15" s="46"/>
      <x:c r="I15" s="46"/>
      <x:c r="J15" s="46"/>
      <x:c r="K15" s="46"/>
      <x:c r="L15" s="23"/>
      <x:c r="M15" s="23"/>
      <x:c r="N15" s="23"/>
      <x:c r="O15" s="23"/>
      <x:c r="P15" s="23"/>
      <x:c r="Q15" s="23"/>
      <x:c r="R15" s="23"/>
      <x:c r="S15" s="23"/>
      <x:c r="T15" s="23"/>
      <x:c r="U15" s="23"/>
      <x:c r="V15" s="23"/>
      <x:c r="W15" s="23"/>
      <x:c r="X15" s="23"/>
      <x:c r="Y15" s="23"/>
      <x:c r="Z15" s="23"/>
    </x:row>
    <x:row r="16">
      <x:c r="A16" s="46"/>
      <x:c r="B16" s="46"/>
      <x:c r="C16" s="46"/>
      <x:c r="D16" s="46"/>
      <x:c r="E16" s="46"/>
      <x:c r="F16" s="46"/>
      <x:c r="G16" s="46"/>
      <x:c r="H16" s="46"/>
      <x:c r="I16" s="46"/>
      <x:c r="J16" s="46"/>
      <x:c r="K16" s="46"/>
      <x:c r="L16" s="23"/>
      <x:c r="M16" s="23"/>
      <x:c r="N16" s="23"/>
      <x:c r="O16" s="23"/>
      <x:c r="P16" s="23"/>
      <x:c r="Q16" s="23"/>
      <x:c r="R16" s="23"/>
      <x:c r="S16" s="23"/>
      <x:c r="T16" s="23"/>
      <x:c r="U16" s="23"/>
      <x:c r="V16" s="23"/>
      <x:c r="W16" s="23"/>
      <x:c r="X16" s="23"/>
      <x:c r="Y16" s="23"/>
      <x:c r="Z16" s="23"/>
    </x:row>
    <x:row r="17">
      <x:c r="A17" s="46"/>
      <x:c r="B17" s="46"/>
      <x:c r="C17" s="46"/>
      <x:c r="D17" s="46"/>
      <x:c r="E17" s="46"/>
      <x:c r="F17" s="46"/>
      <x:c r="G17" s="46"/>
      <x:c r="H17" s="46"/>
      <x:c r="I17" s="46"/>
      <x:c r="J17" s="46"/>
      <x:c r="K17" s="46"/>
      <x:c r="L17" s="23"/>
      <x:c r="M17" s="23"/>
      <x:c r="N17" s="23"/>
      <x:c r="O17" s="23"/>
      <x:c r="P17" s="23"/>
      <x:c r="Q17" s="23"/>
      <x:c r="R17" s="23"/>
      <x:c r="S17" s="23"/>
      <x:c r="T17" s="23"/>
      <x:c r="U17" s="23"/>
      <x:c r="V17" s="23"/>
      <x:c r="W17" s="23"/>
      <x:c r="X17" s="23"/>
      <x:c r="Y17" s="23"/>
      <x:c r="Z17" s="23"/>
    </x:row>
    <x:row r="18">
      <x:c r="A18" s="46"/>
      <x:c r="B18" s="46"/>
      <x:c r="C18" s="46"/>
      <x:c r="D18" s="46"/>
      <x:c r="E18" s="46"/>
      <x:c r="F18" s="46"/>
      <x:c r="G18" s="46"/>
      <x:c r="H18" s="46"/>
      <x:c r="I18" s="46"/>
      <x:c r="J18" s="46"/>
      <x:c r="K18" s="46"/>
      <x:c r="L18" s="23"/>
      <x:c r="M18" s="23"/>
      <x:c r="N18" s="23"/>
      <x:c r="O18" s="23"/>
      <x:c r="P18" s="23"/>
      <x:c r="Q18" s="23"/>
      <x:c r="R18" s="23"/>
      <x:c r="S18" s="23"/>
      <x:c r="T18" s="23"/>
      <x:c r="U18" s="23"/>
      <x:c r="V18" s="23"/>
      <x:c r="W18" s="23"/>
      <x:c r="X18" s="23"/>
      <x:c r="Y18" s="23"/>
      <x:c r="Z18" s="23"/>
    </x:row>
    <x:row r="19">
      <x:c r="A19" s="46"/>
      <x:c r="B19" s="46"/>
      <x:c r="C19" s="46"/>
      <x:c r="D19" s="46"/>
      <x:c r="E19" s="46"/>
      <x:c r="F19" s="46"/>
      <x:c r="G19" s="46"/>
      <x:c r="H19" s="46"/>
      <x:c r="I19" s="46"/>
      <x:c r="J19" s="46"/>
      <x:c r="K19" s="46"/>
      <x:c r="L19" s="23"/>
      <x:c r="M19" s="23"/>
      <x:c r="N19" s="23"/>
      <x:c r="O19" s="23"/>
      <x:c r="P19" s="23"/>
      <x:c r="Q19" s="23"/>
      <x:c r="R19" s="23"/>
      <x:c r="S19" s="23"/>
      <x:c r="T19" s="23"/>
      <x:c r="U19" s="23"/>
      <x:c r="V19" s="23"/>
      <x:c r="W19" s="23"/>
      <x:c r="X19" s="23"/>
      <x:c r="Y19" s="23"/>
      <x:c r="Z19" s="23"/>
    </x:row>
    <x:row r="20">
      <x:c r="A20" s="46"/>
      <x:c r="B20" s="46"/>
      <x:c r="C20" s="46"/>
      <x:c r="D20" s="46"/>
      <x:c r="E20" s="46"/>
      <x:c r="F20" s="46"/>
      <x:c r="G20" s="46"/>
      <x:c r="H20" s="46"/>
      <x:c r="I20" s="46"/>
      <x:c r="J20" s="46"/>
      <x:c r="K20" s="46"/>
      <x:c r="L20" s="23"/>
      <x:c r="M20" s="23"/>
      <x:c r="N20" s="23"/>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23"/>
      <x:c r="M21" s="23"/>
      <x:c r="N21" s="23"/>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23"/>
      <x:c r="M22" s="23"/>
      <x:c r="N22" s="23"/>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23"/>
      <x:c r="M23" s="23"/>
      <x:c r="N23" s="23"/>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23"/>
      <x:c r="M24" s="23"/>
      <x:c r="N24" s="23"/>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23"/>
      <x:c r="M25" s="23"/>
      <x:c r="N25" s="23"/>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23"/>
      <x:c r="M26" s="23"/>
      <x:c r="N26" s="23"/>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23"/>
      <x:c r="M27" s="23"/>
      <x:c r="N27" s="23"/>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23"/>
      <x:c r="M28" s="23"/>
      <x:c r="N28" s="23"/>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23"/>
      <x:c r="M29" s="23"/>
      <x:c r="N29" s="23"/>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23"/>
      <x:c r="M30" s="23"/>
      <x:c r="N30" s="23"/>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23"/>
      <x:c r="M31" s="23"/>
      <x:c r="N31" s="23"/>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23"/>
      <x:c r="M32" s="23"/>
      <x:c r="N32" s="23"/>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23"/>
      <x:c r="M33" s="23"/>
      <x:c r="N33" s="23"/>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23"/>
      <x:c r="M34" s="23"/>
      <x:c r="N34" s="23"/>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23"/>
      <x:c r="M35" s="23"/>
      <x:c r="N35" s="23"/>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23"/>
      <x:c r="M36" s="23"/>
      <x:c r="N36" s="23"/>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23"/>
      <x:c r="M37" s="23"/>
      <x:c r="N37" s="23"/>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23"/>
      <x:c r="M38" s="23"/>
      <x:c r="N38" s="23"/>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23"/>
      <x:c r="M39" s="23"/>
      <x:c r="N39" s="23"/>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23"/>
      <x:c r="M40" s="23"/>
      <x:c r="N40" s="23"/>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23"/>
      <x:c r="M41" s="23"/>
      <x:c r="N41" s="23"/>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23"/>
      <x:c r="M42" s="23"/>
      <x:c r="N42" s="23"/>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23"/>
      <x:c r="M43" s="23"/>
      <x:c r="N43" s="23"/>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23"/>
      <x:c r="M44" s="23"/>
      <x:c r="N44" s="23"/>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23"/>
      <x:c r="M45" s="23"/>
      <x:c r="N45" s="23"/>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23"/>
      <x:c r="M46" s="23"/>
      <x:c r="N46" s="23"/>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23"/>
      <x:c r="M47" s="23"/>
      <x:c r="N47" s="23"/>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23"/>
      <x:c r="M48" s="23"/>
      <x:c r="N48" s="23"/>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23"/>
      <x:c r="M49" s="23"/>
      <x:c r="N49" s="23"/>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23"/>
      <x:c r="M50" s="23"/>
      <x:c r="N50" s="23"/>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23"/>
      <x:c r="M51" s="23"/>
      <x:c r="N51" s="23"/>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23"/>
      <x:c r="M52" s="23"/>
      <x:c r="N52" s="23"/>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23"/>
      <x:c r="M53" s="23"/>
      <x:c r="N53" s="23"/>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23"/>
      <x:c r="M54" s="23"/>
      <x:c r="N54" s="23"/>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23"/>
      <x:c r="M55" s="23"/>
      <x:c r="N55" s="23"/>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23"/>
      <x:c r="M56" s="23"/>
      <x:c r="N56" s="23"/>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23"/>
      <x:c r="M57" s="23"/>
      <x:c r="N57" s="23"/>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23"/>
      <x:c r="M58" s="23"/>
      <x:c r="N58" s="23"/>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23"/>
      <x:c r="M59" s="23"/>
      <x:c r="N59" s="23"/>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23"/>
      <x:c r="M60" s="23"/>
      <x:c r="N60" s="23"/>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23"/>
      <x:c r="M61" s="23"/>
      <x:c r="N61" s="23"/>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23"/>
      <x:c r="M62" s="23"/>
      <x:c r="N62" s="23"/>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23"/>
      <x:c r="M63" s="23"/>
      <x:c r="N63" s="23"/>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23"/>
      <x:c r="M64" s="23"/>
      <x:c r="N64" s="23"/>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23"/>
      <x:c r="M65" s="23"/>
      <x:c r="N65" s="23"/>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23"/>
      <x:c r="M66" s="23"/>
      <x:c r="N66" s="23"/>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23"/>
      <x:c r="M67" s="23"/>
      <x:c r="N67" s="23"/>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23"/>
      <x:c r="M68" s="23"/>
      <x:c r="N68" s="23"/>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23"/>
      <x:c r="M69" s="23"/>
      <x:c r="N69" s="23"/>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23"/>
      <x:c r="M70" s="23"/>
      <x:c r="N70" s="23"/>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23"/>
      <x:c r="M71" s="23"/>
      <x:c r="N71" s="23"/>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23"/>
      <x:c r="M72" s="23"/>
      <x:c r="N72" s="23"/>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23"/>
      <x:c r="M73" s="23"/>
      <x:c r="N73" s="23"/>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23"/>
      <x:c r="M74" s="23"/>
      <x:c r="N74" s="23"/>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23"/>
      <x:c r="M75" s="23"/>
      <x:c r="N75" s="23"/>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23"/>
      <x:c r="M76" s="23"/>
      <x:c r="N76" s="23"/>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23"/>
      <x:c r="M77" s="23"/>
      <x:c r="N77" s="23"/>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23"/>
      <x:c r="M78" s="23"/>
      <x:c r="N78" s="23"/>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23"/>
      <x:c r="M79" s="23"/>
      <x:c r="N79" s="23"/>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23"/>
      <x:c r="M80" s="23"/>
      <x:c r="N80" s="23"/>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23"/>
      <x:c r="M81" s="23"/>
      <x:c r="N81" s="23"/>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23"/>
      <x:c r="M82" s="23"/>
      <x:c r="N82" s="23"/>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23"/>
      <x:c r="M83" s="23"/>
      <x:c r="N83" s="23"/>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23"/>
      <x:c r="M84" s="23"/>
      <x:c r="N84" s="23"/>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23"/>
      <x:c r="M85" s="23"/>
      <x:c r="N85" s="23"/>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23"/>
      <x:c r="M86" s="23"/>
      <x:c r="N86" s="23"/>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23"/>
      <x:c r="M87" s="23"/>
      <x:c r="N87" s="23"/>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23"/>
      <x:c r="M88" s="23"/>
      <x:c r="N88" s="23"/>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23"/>
      <x:c r="M89" s="23"/>
      <x:c r="N89" s="23"/>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23"/>
      <x:c r="M90" s="23"/>
      <x:c r="N90" s="23"/>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23"/>
      <x:c r="M91" s="23"/>
      <x:c r="N91" s="23"/>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23"/>
      <x:c r="M92" s="23"/>
      <x:c r="N92" s="23"/>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23"/>
      <x:c r="M93" s="23"/>
      <x:c r="N93" s="23"/>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23"/>
      <x:c r="M94" s="23"/>
      <x:c r="N94" s="23"/>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23"/>
      <x:c r="M95" s="23"/>
      <x:c r="N95" s="23"/>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23"/>
      <x:c r="M96" s="23"/>
      <x:c r="N96" s="23"/>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23"/>
      <x:c r="M97" s="23"/>
      <x:c r="N97" s="23"/>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23"/>
      <x:c r="M98" s="23"/>
      <x:c r="N98" s="23"/>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23"/>
      <x:c r="M99" s="23"/>
      <x:c r="N99" s="23"/>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23"/>
      <x:c r="M100" s="23"/>
      <x:c r="N100" s="23"/>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23"/>
      <x:c r="M101" s="23"/>
      <x:c r="N101" s="23"/>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23"/>
      <x:c r="M102" s="23"/>
      <x:c r="N102" s="23"/>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23"/>
      <x:c r="M103" s="23"/>
      <x:c r="N103" s="23"/>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23"/>
      <x:c r="M104" s="23"/>
      <x:c r="N104" s="23"/>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23"/>
      <x:c r="M105" s="23"/>
      <x:c r="N105" s="23"/>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23"/>
      <x:c r="M106" s="23"/>
      <x:c r="N106" s="23"/>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23"/>
      <x:c r="M107" s="23"/>
      <x:c r="N107" s="23"/>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23"/>
      <x:c r="M108" s="23"/>
      <x:c r="N108" s="23"/>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23"/>
      <x:c r="M109" s="23"/>
      <x:c r="N109" s="23"/>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23"/>
      <x:c r="M110" s="23"/>
      <x:c r="N110" s="23"/>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23"/>
      <x:c r="M111" s="23"/>
      <x:c r="N111" s="23"/>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23"/>
      <x:c r="M112" s="23"/>
      <x:c r="N112" s="23"/>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23"/>
      <x:c r="M113" s="23"/>
      <x:c r="N113" s="23"/>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23"/>
      <x:c r="M114" s="23"/>
      <x:c r="N114" s="23"/>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23"/>
      <x:c r="M115" s="23"/>
      <x:c r="N115" s="23"/>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23"/>
      <x:c r="M116" s="23"/>
      <x:c r="N116" s="23"/>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23"/>
      <x:c r="M117" s="23"/>
      <x:c r="N117" s="23"/>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23"/>
      <x:c r="M118" s="23"/>
      <x:c r="N118" s="23"/>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23"/>
      <x:c r="M119" s="23"/>
      <x:c r="N119" s="23"/>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23"/>
      <x:c r="M120" s="23"/>
      <x:c r="N120" s="23"/>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23"/>
      <x:c r="M121" s="23"/>
      <x:c r="N121" s="23"/>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23"/>
      <x:c r="M122" s="23"/>
      <x:c r="N122" s="23"/>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23"/>
      <x:c r="M123" s="23"/>
      <x:c r="N123" s="23"/>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23"/>
      <x:c r="M124" s="23"/>
      <x:c r="N124" s="23"/>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23"/>
      <x:c r="M125" s="23"/>
      <x:c r="N125" s="23"/>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23"/>
      <x:c r="M126" s="23"/>
      <x:c r="N126" s="23"/>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23"/>
      <x:c r="M127" s="23"/>
      <x:c r="N127" s="23"/>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23"/>
      <x:c r="M128" s="23"/>
      <x:c r="N128" s="23"/>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23"/>
      <x:c r="M129" s="23"/>
      <x:c r="N129" s="23"/>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23"/>
      <x:c r="M130" s="23"/>
      <x:c r="N130" s="23"/>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23"/>
      <x:c r="M131" s="23"/>
      <x:c r="N131" s="23"/>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23"/>
      <x:c r="M132" s="23"/>
      <x:c r="N132" s="23"/>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23"/>
      <x:c r="M133" s="23"/>
      <x:c r="N133" s="23"/>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23"/>
      <x:c r="M134" s="23"/>
      <x:c r="N134" s="23"/>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23"/>
      <x:c r="M135" s="23"/>
      <x:c r="N135" s="23"/>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23"/>
      <x:c r="M136" s="23"/>
      <x:c r="N136" s="23"/>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23"/>
      <x:c r="M137" s="23"/>
      <x:c r="N137" s="23"/>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23"/>
      <x:c r="M138" s="23"/>
      <x:c r="N138" s="23"/>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23"/>
      <x:c r="M139" s="23"/>
      <x:c r="N139" s="23"/>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23"/>
      <x:c r="M140" s="23"/>
      <x:c r="N140" s="23"/>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23"/>
      <x:c r="M141" s="23"/>
      <x:c r="N141" s="23"/>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23"/>
      <x:c r="M142" s="23"/>
      <x:c r="N142" s="23"/>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23"/>
      <x:c r="M143" s="23"/>
      <x:c r="N143" s="23"/>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23"/>
      <x:c r="M144" s="23"/>
      <x:c r="N144" s="23"/>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23"/>
      <x:c r="M145" s="23"/>
      <x:c r="N145" s="23"/>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23"/>
      <x:c r="M146" s="23"/>
      <x:c r="N146" s="23"/>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23"/>
      <x:c r="M147" s="23"/>
      <x:c r="N147" s="23"/>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23"/>
      <x:c r="M148" s="23"/>
      <x:c r="N148" s="23"/>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23"/>
      <x:c r="M149" s="23"/>
      <x:c r="N149" s="23"/>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23"/>
      <x:c r="M150" s="23"/>
      <x:c r="N150" s="23"/>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23"/>
      <x:c r="M151" s="23"/>
      <x:c r="N151" s="23"/>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23"/>
      <x:c r="M152" s="23"/>
      <x:c r="N152" s="23"/>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23"/>
      <x:c r="M153" s="23"/>
      <x:c r="N153" s="23"/>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23"/>
      <x:c r="M154" s="23"/>
      <x:c r="N154" s="23"/>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23"/>
      <x:c r="M155" s="23"/>
      <x:c r="N155" s="23"/>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23"/>
      <x:c r="M156" s="23"/>
      <x:c r="N156" s="23"/>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23"/>
      <x:c r="M157" s="23"/>
      <x:c r="N157" s="23"/>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23"/>
      <x:c r="M158" s="23"/>
      <x:c r="N158" s="23"/>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23"/>
      <x:c r="M159" s="23"/>
      <x:c r="N159" s="23"/>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23"/>
      <x:c r="M160" s="23"/>
      <x:c r="N160" s="23"/>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23"/>
      <x:c r="M161" s="23"/>
      <x:c r="N161" s="23"/>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23"/>
      <x:c r="M162" s="23"/>
      <x:c r="N162" s="23"/>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23"/>
      <x:c r="M163" s="23"/>
      <x:c r="N163" s="23"/>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23"/>
      <x:c r="M164" s="23"/>
      <x:c r="N164" s="23"/>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23"/>
      <x:c r="M165" s="23"/>
      <x:c r="N165" s="23"/>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23"/>
      <x:c r="M166" s="23"/>
      <x:c r="N166" s="23"/>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23"/>
      <x:c r="M167" s="23"/>
      <x:c r="N167" s="23"/>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23"/>
      <x:c r="M168" s="23"/>
      <x:c r="N168" s="23"/>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23"/>
      <x:c r="M169" s="23"/>
      <x:c r="N169" s="23"/>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23"/>
      <x:c r="M170" s="23"/>
      <x:c r="N170" s="23"/>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23"/>
      <x:c r="M171" s="23"/>
      <x:c r="N171" s="23"/>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23"/>
      <x:c r="M172" s="23"/>
      <x:c r="N172" s="23"/>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23"/>
      <x:c r="M173" s="23"/>
      <x:c r="N173" s="23"/>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23"/>
      <x:c r="M174" s="23"/>
      <x:c r="N174" s="23"/>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23"/>
      <x:c r="M175" s="23"/>
      <x:c r="N175" s="23"/>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23"/>
      <x:c r="M176" s="23"/>
      <x:c r="N176" s="23"/>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23"/>
      <x:c r="M177" s="23"/>
      <x:c r="N177" s="23"/>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23"/>
      <x:c r="M178" s="23"/>
      <x:c r="N178" s="23"/>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23"/>
      <x:c r="M179" s="23"/>
      <x:c r="N179" s="23"/>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23"/>
      <x:c r="M180" s="23"/>
      <x:c r="N180" s="23"/>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23"/>
      <x:c r="M181" s="23"/>
      <x:c r="N181" s="23"/>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23"/>
      <x:c r="M182" s="23"/>
      <x:c r="N182" s="23"/>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23"/>
      <x:c r="M183" s="23"/>
      <x:c r="N183" s="23"/>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23"/>
      <x:c r="M184" s="23"/>
      <x:c r="N184" s="23"/>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23"/>
      <x:c r="M185" s="23"/>
      <x:c r="N185" s="23"/>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23"/>
      <x:c r="M186" s="23"/>
      <x:c r="N186" s="23"/>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23"/>
      <x:c r="M187" s="23"/>
      <x:c r="N187" s="23"/>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23"/>
      <x:c r="M188" s="23"/>
      <x:c r="N188" s="23"/>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23"/>
      <x:c r="M189" s="23"/>
      <x:c r="N189" s="23"/>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23"/>
      <x:c r="M190" s="23"/>
      <x:c r="N190" s="23"/>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23"/>
      <x:c r="M191" s="23"/>
      <x:c r="N191" s="23"/>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23"/>
      <x:c r="M192" s="23"/>
      <x:c r="N192" s="23"/>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23"/>
      <x:c r="M193" s="23"/>
      <x:c r="N193" s="23"/>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23"/>
      <x:c r="M194" s="23"/>
      <x:c r="N194" s="23"/>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23"/>
      <x:c r="M195" s="23"/>
      <x:c r="N195" s="23"/>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23"/>
      <x:c r="M196" s="23"/>
      <x:c r="N196" s="23"/>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23"/>
      <x:c r="M197" s="23"/>
      <x:c r="N197" s="23"/>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23"/>
      <x:c r="M198" s="23"/>
      <x:c r="N198" s="23"/>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23"/>
      <x:c r="M199" s="23"/>
      <x:c r="N199" s="23"/>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23"/>
      <x:c r="M200" s="23"/>
      <x:c r="N200" s="23"/>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23"/>
      <x:c r="M201" s="23"/>
      <x:c r="N201" s="23"/>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23"/>
      <x:c r="M202" s="23"/>
      <x:c r="N202" s="23"/>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23"/>
      <x:c r="M203" s="23"/>
      <x:c r="N203" s="23"/>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23"/>
      <x:c r="M204" s="23"/>
      <x:c r="N204" s="23"/>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23"/>
      <x:c r="M205" s="23"/>
      <x:c r="N205" s="23"/>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23"/>
      <x:c r="M206" s="23"/>
      <x:c r="N206" s="23"/>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23"/>
      <x:c r="M207" s="23"/>
      <x:c r="N207" s="23"/>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23"/>
      <x:c r="M208" s="23"/>
      <x:c r="N208" s="23"/>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23"/>
      <x:c r="M209" s="23"/>
      <x:c r="N209" s="23"/>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23"/>
      <x:c r="M210" s="23"/>
      <x:c r="N210" s="23"/>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23"/>
      <x:c r="M211" s="23"/>
      <x:c r="N211" s="23"/>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23"/>
      <x:c r="M212" s="23"/>
      <x:c r="N212" s="23"/>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23"/>
      <x:c r="M213" s="23"/>
      <x:c r="N213" s="23"/>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23"/>
      <x:c r="M214" s="23"/>
      <x:c r="N214" s="23"/>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23"/>
      <x:c r="M215" s="23"/>
      <x:c r="N215" s="23"/>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23"/>
      <x:c r="M216" s="23"/>
      <x:c r="N216" s="23"/>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23"/>
      <x:c r="M217" s="23"/>
      <x:c r="N217" s="23"/>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23"/>
      <x:c r="M218" s="23"/>
      <x:c r="N218" s="23"/>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23"/>
      <x:c r="M219" s="23"/>
      <x:c r="N219" s="23"/>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23"/>
      <x:c r="M220" s="23"/>
      <x:c r="N220" s="23"/>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23"/>
      <x:c r="M221" s="23"/>
      <x:c r="N221" s="23"/>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23"/>
      <x:c r="M222" s="23"/>
      <x:c r="N222" s="23"/>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23"/>
      <x:c r="M223" s="23"/>
      <x:c r="N223" s="23"/>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23"/>
      <x:c r="M224" s="23"/>
      <x:c r="N224" s="23"/>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23"/>
      <x:c r="M225" s="23"/>
      <x:c r="N225" s="23"/>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23"/>
      <x:c r="M226" s="23"/>
      <x:c r="N226" s="23"/>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23"/>
      <x:c r="M227" s="23"/>
      <x:c r="N227" s="23"/>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23"/>
      <x:c r="M228" s="23"/>
      <x:c r="N228" s="23"/>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23"/>
      <x:c r="M229" s="23"/>
      <x:c r="N229" s="23"/>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23"/>
      <x:c r="M230" s="23"/>
      <x:c r="N230" s="23"/>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23"/>
      <x:c r="M231" s="23"/>
      <x:c r="N231" s="23"/>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23"/>
      <x:c r="M232" s="23"/>
      <x:c r="N232" s="23"/>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23"/>
      <x:c r="M233" s="23"/>
      <x:c r="N233" s="23"/>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23"/>
      <x:c r="M234" s="23"/>
      <x:c r="N234" s="23"/>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23"/>
      <x:c r="M235" s="23"/>
      <x:c r="N235" s="23"/>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23"/>
      <x:c r="M236" s="23"/>
      <x:c r="N236" s="23"/>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23"/>
      <x:c r="M237" s="23"/>
      <x:c r="N237" s="23"/>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23"/>
      <x:c r="M238" s="23"/>
      <x:c r="N238" s="23"/>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23"/>
      <x:c r="M239" s="23"/>
      <x:c r="N239" s="23"/>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23"/>
      <x:c r="M240" s="23"/>
      <x:c r="N240" s="23"/>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23"/>
      <x:c r="M241" s="23"/>
      <x:c r="N241" s="23"/>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23"/>
      <x:c r="M242" s="23"/>
      <x:c r="N242" s="23"/>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23"/>
      <x:c r="M243" s="23"/>
      <x:c r="N243" s="23"/>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23"/>
      <x:c r="M244" s="23"/>
      <x:c r="N244" s="23"/>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23"/>
      <x:c r="M245" s="23"/>
      <x:c r="N245" s="23"/>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23"/>
      <x:c r="M246" s="23"/>
      <x:c r="N246" s="23"/>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23"/>
      <x:c r="M247" s="23"/>
      <x:c r="N247" s="23"/>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23"/>
      <x:c r="M248" s="23"/>
      <x:c r="N248" s="23"/>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23"/>
      <x:c r="M249" s="23"/>
      <x:c r="N249" s="23"/>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23"/>
      <x:c r="M250" s="23"/>
      <x:c r="N250" s="23"/>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23"/>
      <x:c r="M251" s="23"/>
      <x:c r="N251" s="23"/>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23"/>
      <x:c r="M252" s="23"/>
      <x:c r="N252" s="23"/>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23"/>
      <x:c r="M253" s="23"/>
      <x:c r="N253" s="23"/>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23"/>
      <x:c r="M254" s="23"/>
      <x:c r="N254" s="23"/>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23"/>
      <x:c r="M255" s="23"/>
      <x:c r="N255" s="23"/>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23"/>
      <x:c r="M256" s="23"/>
      <x:c r="N256" s="23"/>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23"/>
      <x:c r="M257" s="23"/>
      <x:c r="N257" s="23"/>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23"/>
      <x:c r="M258" s="23"/>
      <x:c r="N258" s="23"/>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23"/>
      <x:c r="M259" s="23"/>
      <x:c r="N259" s="23"/>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23"/>
      <x:c r="M260" s="23"/>
      <x:c r="N260" s="23"/>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23"/>
      <x:c r="M261" s="23"/>
      <x:c r="N261" s="23"/>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23"/>
      <x:c r="M262" s="23"/>
      <x:c r="N262" s="23"/>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23"/>
      <x:c r="M263" s="23"/>
      <x:c r="N263" s="23"/>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23"/>
      <x:c r="M264" s="23"/>
      <x:c r="N264" s="23"/>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23"/>
      <x:c r="M265" s="23"/>
      <x:c r="N265" s="23"/>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23"/>
      <x:c r="M266" s="23"/>
      <x:c r="N266" s="23"/>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23"/>
      <x:c r="M267" s="23"/>
      <x:c r="N267" s="23"/>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23"/>
      <x:c r="M268" s="23"/>
      <x:c r="N268" s="23"/>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23"/>
      <x:c r="M269" s="23"/>
      <x:c r="N269" s="23"/>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23"/>
      <x:c r="M270" s="23"/>
      <x:c r="N270" s="23"/>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23"/>
      <x:c r="M271" s="23"/>
      <x:c r="N271" s="23"/>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23"/>
      <x:c r="M272" s="23"/>
      <x:c r="N272" s="23"/>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23"/>
      <x:c r="M273" s="23"/>
      <x:c r="N273" s="23"/>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23"/>
      <x:c r="M274" s="23"/>
      <x:c r="N274" s="23"/>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23"/>
      <x:c r="M275" s="23"/>
      <x:c r="N275" s="23"/>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23"/>
      <x:c r="M276" s="23"/>
      <x:c r="N276" s="23"/>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23"/>
      <x:c r="M277" s="23"/>
      <x:c r="N277" s="23"/>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23"/>
      <x:c r="M278" s="23"/>
      <x:c r="N278" s="23"/>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23"/>
      <x:c r="M279" s="23"/>
      <x:c r="N279" s="23"/>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23"/>
      <x:c r="M280" s="23"/>
      <x:c r="N280" s="23"/>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23"/>
      <x:c r="M281" s="23"/>
      <x:c r="N281" s="23"/>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23"/>
      <x:c r="M282" s="23"/>
      <x:c r="N282" s="23"/>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23"/>
      <x:c r="M283" s="23"/>
      <x:c r="N283" s="23"/>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23"/>
      <x:c r="M284" s="23"/>
      <x:c r="N284" s="23"/>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23"/>
      <x:c r="M285" s="23"/>
      <x:c r="N285" s="23"/>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23"/>
      <x:c r="M286" s="23"/>
      <x:c r="N286" s="23"/>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23"/>
      <x:c r="M287" s="23"/>
      <x:c r="N287" s="23"/>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23"/>
      <x:c r="M288" s="23"/>
      <x:c r="N288" s="23"/>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23"/>
      <x:c r="M289" s="23"/>
      <x:c r="N289" s="23"/>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23"/>
      <x:c r="M290" s="23"/>
      <x:c r="N290" s="23"/>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23"/>
      <x:c r="M291" s="23"/>
      <x:c r="N291" s="23"/>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23"/>
      <x:c r="M292" s="23"/>
      <x:c r="N292" s="23"/>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23"/>
      <x:c r="M293" s="23"/>
      <x:c r="N293" s="23"/>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23"/>
      <x:c r="M294" s="23"/>
      <x:c r="N294" s="23"/>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23"/>
      <x:c r="M295" s="23"/>
      <x:c r="N295" s="23"/>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23"/>
      <x:c r="M296" s="23"/>
      <x:c r="N296" s="23"/>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23"/>
      <x:c r="M297" s="23"/>
      <x:c r="N297" s="23"/>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23"/>
      <x:c r="M298" s="23"/>
      <x:c r="N298" s="23"/>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23"/>
      <x:c r="M299" s="23"/>
      <x:c r="N299" s="23"/>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23"/>
      <x:c r="M300" s="23"/>
      <x:c r="N300" s="23"/>
      <x:c r="O300" s="23"/>
      <x:c r="P300" s="23"/>
      <x:c r="Q300" s="23"/>
      <x:c r="R300" s="23"/>
      <x:c r="S300" s="23"/>
      <x:c r="T300" s="23"/>
      <x:c r="U300" s="23"/>
      <x:c r="V300" s="23"/>
      <x:c r="W300" s="23"/>
      <x:c r="X300" s="23"/>
      <x:c r="Y300" s="23"/>
      <x:c r="Z300" s="23"/>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4" hidden="0" customWidth="1"/>
    <x:col min="5" max="5" width="27" hidden="0" customWidth="1"/>
    <x:col min="6" max="6" width="50" hidden="0" customWidth="1"/>
    <x:col min="7" max="7" width="23" hidden="0" customWidth="1"/>
    <x:col min="8" max="8" width="12" hidden="0" customWidth="1"/>
    <x:col min="9" max="9" width="12" hidden="0" customWidth="1"/>
    <x:col min="10" max="10" width="12" hidden="0" customWidth="1"/>
    <x:col min="11" max="11" width="12" hidden="0" customWidth="1"/>
    <x:col min="12" max="12" width="16" hidden="0" customWidth="1"/>
    <x:col min="13" max="13" width="16" hidden="0" customWidth="1"/>
    <x:col min="14" max="14" width="50" hidden="0" customWidth="1"/>
  </x:cols>
  <x:sheetData>
    <x:row r="1" ht="34" customHeight="1">
      <x:c r="A1" s="45" t="str">
        <x:v>compound_id</x:v>
      </x:c>
      <x:c r="B1" s="45" t="str">
        <x:v>canonical_name</x:v>
      </x:c>
      <x:c r="C1" s="45" t="str">
        <x:v>cas</x:v>
      </x:c>
      <x:c r="D1" s="45" t="str">
        <x:v>compound_group</x:v>
      </x:c>
      <x:c r="E1" s="45" t="str">
        <x:v>identity_source_type</x:v>
      </x:c>
      <x:c r="F1" s="45" t="str">
        <x:v>identity_source_url</x:v>
      </x:c>
      <x:c r="G1" s="45" t="str">
        <x:v>identity_status</x:v>
      </x:c>
      <x:c r="H1" s="45" t="str">
        <x:v>raw_state</x:v>
      </x:c>
      <x:c r="I1" s="45" t="str">
        <x:v>cooked_state</x:v>
      </x:c>
      <x:c r="J1" s="45" t="str">
        <x:v>roasted_state</x:v>
      </x:c>
      <x:c r="K1" s="45" t="str">
        <x:v>smoked_state</x:v>
      </x:c>
      <x:c r="L1" s="45" t="str">
        <x:v>seared_inherited</x:v>
      </x:c>
      <x:c r="M1" s="45" t="str">
        <x:v>confit_inherited</x:v>
      </x:c>
      <x:c r="N1" s="45" t="str">
        <x:v>registry_notes</x:v>
      </x:c>
      <x:c r="O1" s="23"/>
      <x:c r="P1" s="23"/>
      <x:c r="Q1" s="23"/>
      <x:c r="R1" s="23"/>
      <x:c r="S1" s="23"/>
      <x:c r="T1" s="23"/>
      <x:c r="U1" s="23"/>
      <x:c r="V1" s="23"/>
      <x:c r="W1" s="23"/>
      <x:c r="X1" s="23"/>
      <x:c r="Y1" s="23"/>
      <x:c r="Z1" s="23"/>
    </x:row>
    <x:row r="2">
      <x:c r="A2" s="46" t="str">
        <x:v>DUCK-CMP-001</x:v>
      </x:c>
      <x:c r="B2" s="46" t="str">
        <x:v>hexanal</x:v>
      </x:c>
      <x:c r="C2" s="46" t="str">
        <x:v>66-25-1</x:v>
      </x:c>
      <x:c r="D2" s="46" t="str">
        <x:v>Carbonyls, aldehydes</x:v>
      </x:c>
      <x:c r="E2" s="46" t="str">
        <x:v>institutional chemical registry</x:v>
      </x:c>
      <x:c r="F2" s="46" t="str">
        <x:v>https://pubchem.ncbi.nlm.nih.gov/compound/66-25-1</x:v>
      </x:c>
      <x:c r="G2" s="46" t="str">
        <x:v>verified</x:v>
      </x:c>
      <x:c r="H2" s="46" t="str">
        <x:v>yes</x:v>
      </x:c>
      <x:c r="I2" s="46" t="str">
        <x:v>yes</x:v>
      </x:c>
      <x:c r="J2" s="46" t="str">
        <x:v>yes</x:v>
      </x:c>
      <x:c r="K2" s="46" t="str"/>
      <x:c r="L2" s="46" t="str">
        <x:v>yes</x:v>
      </x:c>
      <x:c r="M2" s="46" t="str">
        <x:v>yes</x:v>
      </x:c>
      <x:c r="N2" s="46" t="str"/>
      <x:c r="O2" s="23"/>
      <x:c r="P2" s="23"/>
      <x:c r="Q2" s="23"/>
      <x:c r="R2" s="23"/>
      <x:c r="S2" s="23"/>
      <x:c r="T2" s="23"/>
      <x:c r="U2" s="23"/>
      <x:c r="V2" s="23"/>
      <x:c r="W2" s="23"/>
      <x:c r="X2" s="23"/>
      <x:c r="Y2" s="23"/>
      <x:c r="Z2" s="23"/>
    </x:row>
    <x:row r="3">
      <x:c r="A3" s="46" t="str">
        <x:v>DUCK-CMP-002</x:v>
      </x:c>
      <x:c r="B3" s="46" t="str">
        <x:v>nonanal</x:v>
      </x:c>
      <x:c r="C3" s="46" t="str">
        <x:v>124-19-6</x:v>
      </x:c>
      <x:c r="D3" s="46" t="str">
        <x:v>Carbonyls, aldehydes</x:v>
      </x:c>
      <x:c r="E3" s="46" t="str">
        <x:v>institutional chemical registry</x:v>
      </x:c>
      <x:c r="F3" s="46" t="str">
        <x:v>https://pubchem.ncbi.nlm.nih.gov/compound/Nonanal</x:v>
      </x:c>
      <x:c r="G3" s="46" t="str">
        <x:v>verified</x:v>
      </x:c>
      <x:c r="H3" s="46" t="str">
        <x:v>yes</x:v>
      </x:c>
      <x:c r="I3" s="46" t="str">
        <x:v>yes</x:v>
      </x:c>
      <x:c r="J3" s="46" t="str">
        <x:v>yes</x:v>
      </x:c>
      <x:c r="K3" s="46" t="str"/>
      <x:c r="L3" s="46" t="str">
        <x:v>yes</x:v>
      </x:c>
      <x:c r="M3" s="46" t="str">
        <x:v>yes</x:v>
      </x:c>
      <x:c r="N3" s="46" t="str"/>
      <x:c r="O3" s="23"/>
      <x:c r="P3" s="23"/>
      <x:c r="Q3" s="23"/>
      <x:c r="R3" s="23"/>
      <x:c r="S3" s="23"/>
      <x:c r="T3" s="23"/>
      <x:c r="U3" s="23"/>
      <x:c r="V3" s="23"/>
      <x:c r="W3" s="23"/>
      <x:c r="X3" s="23"/>
      <x:c r="Y3" s="23"/>
      <x:c r="Z3" s="23"/>
    </x:row>
    <x:row r="4">
      <x:c r="A4" s="46" t="str">
        <x:v>DUCK-CMP-003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v>yes</x:v>
      </x:c>
      <x:c r="J4" s="46" t="str">
        <x:v>yes</x:v>
      </x:c>
      <x:c r="K4" s="46" t="str"/>
      <x:c r="L4" s="46" t="str">
        <x:v>yes</x:v>
      </x:c>
      <x:c r="M4" s="46" t="str">
        <x:v>yes</x:v>
      </x:c>
      <x:c r="N4" s="46" t="str"/>
      <x:c r="O4" s="23"/>
      <x:c r="P4" s="23"/>
      <x:c r="Q4" s="23"/>
      <x:c r="R4" s="23"/>
      <x:c r="S4" s="23"/>
      <x:c r="T4" s="23"/>
      <x:c r="U4" s="23"/>
      <x:c r="V4" s="23"/>
      <x:c r="W4" s="23"/>
      <x:c r="X4" s="23"/>
      <x:c r="Y4" s="23"/>
      <x:c r="Z4" s="23"/>
    </x:row>
    <x:row r="5">
      <x:c r="A5" s="46" t="str">
        <x:v>DUCK-CMP-004</x:v>
      </x:c>
      <x:c r="B5" s="46" t="str">
        <x:v>heptanal</x:v>
      </x:c>
      <x:c r="C5" s="46" t="str">
        <x:v>111-71-7</x:v>
      </x:c>
      <x:c r="D5" s="46" t="str">
        <x:v>Carbonyls, aldehydes</x:v>
      </x:c>
      <x:c r="E5" s="46" t="str">
        <x:v>institutional chemical registry</x:v>
      </x:c>
      <x:c r="F5" s="46" t="str">
        <x:v>https://pubchem.ncbi.nlm.nih.gov/compound/Heptanal</x:v>
      </x:c>
      <x:c r="G5" s="46" t="str">
        <x:v>verified</x:v>
      </x:c>
      <x:c r="H5" s="46" t="str">
        <x:v>yes</x:v>
      </x:c>
      <x:c r="I5" s="46" t="str">
        <x:v>yes</x:v>
      </x:c>
      <x:c r="J5" s="46" t="str">
        <x:v>yes</x:v>
      </x:c>
      <x:c r="K5" s="46" t="str"/>
      <x:c r="L5" s="46" t="str">
        <x:v>yes</x:v>
      </x:c>
      <x:c r="M5" s="46" t="str">
        <x:v>yes</x:v>
      </x:c>
      <x:c r="N5" s="46" t="str"/>
      <x:c r="O5" s="23"/>
      <x:c r="P5" s="23"/>
      <x:c r="Q5" s="23"/>
      <x:c r="R5" s="23"/>
      <x:c r="S5" s="23"/>
      <x:c r="T5" s="23"/>
      <x:c r="U5" s="23"/>
      <x:c r="V5" s="23"/>
      <x:c r="W5" s="23"/>
      <x:c r="X5" s="23"/>
      <x:c r="Y5" s="23"/>
      <x:c r="Z5" s="23"/>
    </x:row>
    <x:row r="6">
      <x:c r="A6" s="46" t="str">
        <x:v>DUCK-CMP-005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v>yes</x:v>
      </x:c>
      <x:c r="J6" s="46" t="str"/>
      <x:c r="K6" s="46" t="str"/>
      <x:c r="L6" s="46" t="str"/>
      <x:c r="M6" s="46" t="str">
        <x:v>yes</x:v>
      </x:c>
      <x:c r="N6" s="46" t="str"/>
      <x:c r="O6" s="23"/>
      <x:c r="P6" s="23"/>
      <x:c r="Q6" s="23"/>
      <x:c r="R6" s="23"/>
      <x:c r="S6" s="23"/>
      <x:c r="T6" s="23"/>
      <x:c r="U6" s="23"/>
      <x:c r="V6" s="23"/>
      <x:c r="W6" s="23"/>
      <x:c r="X6" s="23"/>
      <x:c r="Y6" s="23"/>
      <x:c r="Z6" s="23"/>
    </x:row>
    <x:row r="7">
      <x:c r="A7" s="46" t="str">
        <x:v>DUCK-CMP-006</x:v>
      </x:c>
      <x:c r="B7" s="46" t="str">
        <x:v>2-methylbutanal</x:v>
      </x:c>
      <x:c r="C7" s="46" t="str">
        <x:v>96-17-3</x:v>
      </x:c>
      <x:c r="D7" s="46" t="str">
        <x:v>Carbonyls, aldehydes</x:v>
      </x:c>
      <x:c r="E7" s="46" t="str">
        <x:v>institutional chemical registry</x:v>
      </x:c>
      <x:c r="F7" s="46" t="str">
        <x:v>https://pubchem.ncbi.nlm.nih.gov/compound/2-Methylbutanal</x:v>
      </x:c>
      <x:c r="G7" s="46" t="str">
        <x:v>verified</x:v>
      </x:c>
      <x:c r="H7" s="46" t="str"/>
      <x:c r="I7" s="46" t="str">
        <x:v>yes</x:v>
      </x:c>
      <x:c r="J7" s="46" t="str"/>
      <x:c r="K7" s="46" t="str"/>
      <x:c r="L7" s="46" t="str"/>
      <x:c r="M7" s="46" t="str">
        <x:v>yes</x:v>
      </x:c>
      <x:c r="N7" s="46" t="str"/>
      <x:c r="O7" s="23"/>
      <x:c r="P7" s="23"/>
      <x:c r="Q7" s="23"/>
      <x:c r="R7" s="23"/>
      <x:c r="S7" s="23"/>
      <x:c r="T7" s="23"/>
      <x:c r="U7" s="23"/>
      <x:c r="V7" s="23"/>
      <x:c r="W7" s="23"/>
      <x:c r="X7" s="23"/>
      <x:c r="Y7" s="23"/>
      <x:c r="Z7" s="23"/>
    </x:row>
    <x:row r="8">
      <x:c r="A8" s="46" t="str">
        <x:v>DUCK-CMP-007</x:v>
      </x:c>
      <x:c r="B8" s="46" t="str">
        <x:v>pentanal</x:v>
      </x:c>
      <x:c r="C8" s="46" t="str">
        <x:v>110-62-3</x:v>
      </x:c>
      <x:c r="D8" s="46" t="str">
        <x:v>Carbonyls, aldehydes</x:v>
      </x:c>
      <x:c r="E8" s="46" t="str">
        <x:v>institutional chemical registry</x:v>
      </x:c>
      <x:c r="F8" s="46" t="str">
        <x:v>https://pubchem.ncbi.nlm.nih.gov/compound/Pentanal</x:v>
      </x:c>
      <x:c r="G8" s="46" t="str">
        <x:v>verified</x:v>
      </x:c>
      <x:c r="H8" s="46" t="str"/>
      <x:c r="I8" s="46" t="str">
        <x:v>yes</x:v>
      </x:c>
      <x:c r="J8" s="46" t="str"/>
      <x:c r="K8" s="46" t="str"/>
      <x:c r="L8" s="46" t="str"/>
      <x:c r="M8" s="46" t="str">
        <x:v>yes</x:v>
      </x:c>
      <x:c r="N8" s="46" t="str"/>
      <x:c r="O8" s="23"/>
      <x:c r="P8" s="23"/>
      <x:c r="Q8" s="23"/>
      <x:c r="R8" s="23"/>
      <x:c r="S8" s="23"/>
      <x:c r="T8" s="23"/>
      <x:c r="U8" s="23"/>
      <x:c r="V8" s="23"/>
      <x:c r="W8" s="23"/>
      <x:c r="X8" s="23"/>
      <x:c r="Y8" s="23"/>
      <x:c r="Z8" s="23"/>
    </x:row>
    <x:row r="9">
      <x:c r="A9" s="46" t="str">
        <x:v>DUCK-CMP-008</x:v>
      </x:c>
      <x:c r="B9" s="46" t="str">
        <x:v>(E)-2-octenal</x:v>
      </x:c>
      <x:c r="C9" s="46" t="str">
        <x:v>2548-87-0</x:v>
      </x:c>
      <x:c r="D9" s="46" t="str">
        <x:v>Carbonyls, aldehydes</x:v>
      </x:c>
      <x:c r="E9" s="46" t="str">
        <x:v>institutional chemical registry</x:v>
      </x:c>
      <x:c r="F9" s="46" t="str">
        <x:v>https://pubchem.ncbi.nlm.nih.gov/compound/2-Octenal</x:v>
      </x:c>
      <x:c r="G9" s="46" t="str">
        <x:v>verified</x:v>
      </x:c>
      <x:c r="H9" s="46" t="str"/>
      <x:c r="I9" s="46" t="str">
        <x:v>yes</x:v>
      </x:c>
      <x:c r="J9" s="46" t="str"/>
      <x:c r="K9" s="46" t="str"/>
      <x:c r="L9" s="46" t="str"/>
      <x:c r="M9" s="46" t="str">
        <x:v>yes</x:v>
      </x:c>
      <x:c r="N9" s="46" t="str"/>
      <x:c r="O9" s="23"/>
      <x:c r="P9" s="23"/>
      <x:c r="Q9" s="23"/>
      <x:c r="R9" s="23"/>
      <x:c r="S9" s="23"/>
      <x:c r="T9" s="23"/>
      <x:c r="U9" s="23"/>
      <x:c r="V9" s="23"/>
      <x:c r="W9" s="23"/>
      <x:c r="X9" s="23"/>
      <x:c r="Y9" s="23"/>
      <x:c r="Z9" s="23"/>
    </x:row>
    <x:row r="10">
      <x:c r="A10" s="46" t="str">
        <x:v>DUCK-CMP-009</x:v>
      </x:c>
      <x:c r="B10" s="46" t="str">
        <x:v>(E)-2-nonenal</x:v>
      </x:c>
      <x:c r="C10" s="46" t="str">
        <x:v>18829-56-6</x:v>
      </x:c>
      <x:c r="D10" s="46" t="str">
        <x:v>Carbonyls, aldehydes</x:v>
      </x:c>
      <x:c r="E10" s="46" t="str">
        <x:v>institutional chemical registry</x:v>
      </x:c>
      <x:c r="F10" s="46" t="str">
        <x:v>https://pubchem.ncbi.nlm.nih.gov/compound/trans-2-Nonenal</x:v>
      </x:c>
      <x:c r="G10" s="46" t="str">
        <x:v>verified</x:v>
      </x:c>
      <x:c r="H10" s="46" t="str"/>
      <x:c r="I10" s="46" t="str">
        <x:v>yes</x:v>
      </x:c>
      <x:c r="J10" s="46" t="str"/>
      <x:c r="K10" s="46" t="str"/>
      <x:c r="L10" s="46" t="str"/>
      <x:c r="M10" s="46" t="str">
        <x:v>yes</x:v>
      </x:c>
      <x:c r="N10" s="46" t="str"/>
      <x:c r="O10" s="23"/>
      <x:c r="P10" s="23"/>
      <x:c r="Q10" s="23"/>
      <x:c r="R10" s="23"/>
      <x:c r="S10" s="23"/>
      <x:c r="T10" s="23"/>
      <x:c r="U10" s="23"/>
      <x:c r="V10" s="23"/>
      <x:c r="W10" s="23"/>
      <x:c r="X10" s="23"/>
      <x:c r="Y10" s="23"/>
      <x:c r="Z10" s="23"/>
    </x:row>
    <x:row r="11">
      <x:c r="A11" s="46" t="str">
        <x:v>DUCK-CMP-010</x:v>
      </x:c>
      <x:c r="B11" s="46" t="str">
        <x:v>2-furanmethanethiol (2-furfurylthiol)</x:v>
      </x:c>
      <x:c r="C11" s="46" t="str">
        <x:v>98-02-2</x:v>
      </x:c>
      <x:c r="D11" s="46" t="str">
        <x:v>Sulfur compounds</x:v>
      </x:c>
      <x:c r="E11" s="46" t="str">
        <x:v>institutional chemical registry</x:v>
      </x:c>
      <x:c r="F11" s="46" t="str">
        <x:v>https://pubchem.ncbi.nlm.nih.gov/compound/2-Furanmethanethiol</x:v>
      </x:c>
      <x:c r="G11" s="46" t="str">
        <x:v>verified</x:v>
      </x:c>
      <x:c r="H11" s="46" t="str"/>
      <x:c r="I11" s="46" t="str"/>
      <x:c r="J11" s="46" t="str">
        <x:v>yes</x:v>
      </x:c>
      <x:c r="K11" s="46" t="str"/>
      <x:c r="L11" s="46" t="str">
        <x:v>yes</x:v>
      </x:c>
      <x:c r="M11" s="46" t="str"/>
      <x:c r="N11" s="46" t="str"/>
      <x:c r="O11" s="23"/>
      <x:c r="P11" s="23"/>
      <x:c r="Q11" s="23"/>
      <x:c r="R11" s="23"/>
      <x:c r="S11" s="23"/>
      <x:c r="T11" s="23"/>
      <x:c r="U11" s="23"/>
      <x:c r="V11" s="23"/>
      <x:c r="W11" s="23"/>
      <x:c r="X11" s="23"/>
      <x:c r="Y11" s="23"/>
      <x:c r="Z11" s="23"/>
    </x:row>
    <x:row r="12">
      <x:c r="A12" s="46" t="str">
        <x:v>DUCK-CMP-011</x:v>
      </x:c>
      <x:c r="B12" s="46" t="str">
        <x:v>dimethyl trisulfide</x:v>
      </x:c>
      <x:c r="C12" s="46" t="str">
        <x:v>3658-80-8</x:v>
      </x:c>
      <x:c r="D12" s="46" t="str">
        <x:v>Sulfur compounds</x:v>
      </x:c>
      <x:c r="E12" s="46" t="str">
        <x:v>institutional chemical registry</x:v>
      </x:c>
      <x:c r="F12" s="46" t="str">
        <x:v>https://pubchem.ncbi.nlm.nih.gov/compound/Dimethyl-trisulfide</x:v>
      </x:c>
      <x:c r="G12" s="46" t="str">
        <x:v>verified</x:v>
      </x:c>
      <x:c r="H12" s="46" t="str"/>
      <x:c r="I12" s="46" t="str"/>
      <x:c r="J12" s="46" t="str">
        <x:v>yes</x:v>
      </x:c>
      <x:c r="K12" s="46" t="str"/>
      <x:c r="L12" s="46" t="str">
        <x:v>yes</x:v>
      </x:c>
      <x:c r="M12" s="46" t="str"/>
      <x:c r="N12" s="46" t="str"/>
      <x:c r="O12" s="23"/>
      <x:c r="P12" s="23"/>
      <x:c r="Q12" s="23"/>
      <x:c r="R12" s="23"/>
      <x:c r="S12" s="23"/>
      <x:c r="T12" s="23"/>
      <x:c r="U12" s="23"/>
      <x:c r="V12" s="23"/>
      <x:c r="W12" s="23"/>
      <x:c r="X12" s="23"/>
      <x:c r="Y12" s="23"/>
      <x:c r="Z12" s="23"/>
    </x:row>
    <x:row r="13">
      <x:c r="A13" s="46" t="str">
        <x:v>DUCK-CMP-012</x:v>
      </x:c>
      <x:c r="B13" s="46" t="str">
        <x:v>methional</x:v>
      </x:c>
      <x:c r="C13" s="46" t="str">
        <x:v>3268-49-3</x:v>
      </x:c>
      <x:c r="D13" s="46" t="str">
        <x:v>Sulfur compounds</x:v>
      </x:c>
      <x:c r="E13" s="46" t="str">
        <x:v>institutional chemical registry</x:v>
      </x:c>
      <x:c r="F13" s="46" t="str">
        <x:v>https://pubchem.ncbi.nlm.nih.gov/compound/Methional</x:v>
      </x:c>
      <x:c r="G13" s="46" t="str">
        <x:v>verified</x:v>
      </x:c>
      <x:c r="H13" s="46" t="str"/>
      <x:c r="I13" s="46" t="str"/>
      <x:c r="J13" s="46" t="str">
        <x:v>yes</x:v>
      </x:c>
      <x:c r="K13" s="46" t="str">
        <x:v>yes</x:v>
      </x:c>
      <x:c r="L13" s="46" t="str">
        <x:v>yes</x:v>
      </x:c>
      <x:c r="M13" s="46" t="str"/>
      <x:c r="N13" s="46" t="str">
        <x:v>Assigned to 'Sulfur compounds' for this registry because sulfur chemistry is the more useful CulinAI grouping signal; reconcile against the existing VCF canonical group before final promotion.</x:v>
      </x:c>
      <x:c r="O13" s="23"/>
      <x:c r="P13" s="23"/>
      <x:c r="Q13" s="23"/>
      <x:c r="R13" s="23"/>
      <x:c r="S13" s="23"/>
      <x:c r="T13" s="23"/>
      <x:c r="U13" s="23"/>
      <x:c r="V13" s="23"/>
      <x:c r="W13" s="23"/>
      <x:c r="X13" s="23"/>
      <x:c r="Y13" s="23"/>
      <x:c r="Z13" s="23"/>
    </x:row>
    <x:row r="14">
      <x:c r="A14" s="46" t="str">
        <x:v>DUCK-CMP-013</x:v>
      </x:c>
      <x:c r="B14" s="46" t="str">
        <x:v>1-octen-3-ol</x:v>
      </x:c>
      <x:c r="C14" s="46" t="str">
        <x:v>3391-86-4</x:v>
      </x:c>
      <x:c r="D14" s="46" t="str">
        <x:v>Alcohols</x:v>
      </x:c>
      <x:c r="E14" s="46" t="str">
        <x:v>institutional chemical registry</x:v>
      </x:c>
      <x:c r="F14" s="46" t="str">
        <x:v>https://pubchem.ncbi.nlm.nih.gov/compound/1-Octen-3-Ol</x:v>
      </x:c>
      <x:c r="G14" s="46" t="str">
        <x:v>verified</x:v>
      </x:c>
      <x:c r="H14" s="46" t="str"/>
      <x:c r="I14" s="46" t="str"/>
      <x:c r="J14" s="46" t="str">
        <x:v>yes</x:v>
      </x:c>
      <x:c r="K14" s="46" t="str">
        <x:v>yes</x:v>
      </x:c>
      <x:c r="L14" s="46" t="str">
        <x:v>yes</x:v>
      </x:c>
      <x:c r="M14" s="46" t="str"/>
      <x:c r="N14" s="46" t="str"/>
      <x:c r="O14" s="23"/>
      <x:c r="P14" s="23"/>
      <x:c r="Q14" s="23"/>
      <x:c r="R14" s="23"/>
      <x:c r="S14" s="23"/>
      <x:c r="T14" s="23"/>
      <x:c r="U14" s="23"/>
      <x:c r="V14" s="23"/>
      <x:c r="W14" s="23"/>
      <x:c r="X14" s="23"/>
      <x:c r="Y14" s="23"/>
      <x:c r="Z14" s="23"/>
    </x:row>
    <x:row r="15">
      <x:c r="A15" s="46" t="str">
        <x:v>DUCK-CMP-014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yes</x:v>
      </x:c>
      <x:c r="K15" s="46" t="str">
        <x:v>yes</x:v>
      </x:c>
      <x:c r="L15" s="46" t="str">
        <x:v>yes</x:v>
      </x:c>
      <x:c r="M15" s="46" t="str"/>
      <x:c r="N15" s="46" t="str"/>
      <x:c r="O15" s="23"/>
      <x:c r="P15" s="23"/>
      <x:c r="Q15" s="23"/>
      <x:c r="R15" s="23"/>
      <x:c r="S15" s="23"/>
      <x:c r="T15" s="23"/>
      <x:c r="U15" s="23"/>
      <x:c r="V15" s="23"/>
      <x:c r="W15" s="23"/>
      <x:c r="X15" s="23"/>
      <x:c r="Y15" s="23"/>
      <x:c r="Z15" s="23"/>
    </x:row>
    <x:row r="16">
      <x:c r="A16" s="46" t="str">
        <x:v>DUCK-CMP-015</x:v>
      </x:c>
      <x:c r="B16" s="46" t="str">
        <x:v>2-methoxyphenol (guaiacol)</x:v>
      </x:c>
      <x:c r="C16" s="46" t="str">
        <x:v>90-05-1</x:v>
      </x:c>
      <x:c r="D16" s="46" t="str">
        <x:v>Phenols</x:v>
      </x:c>
      <x:c r="E16" s="46" t="str">
        <x:v>institutional chemical registry</x:v>
      </x:c>
      <x:c r="F16" s="46" t="str">
        <x:v>https://pubchem.ncbi.nlm.nih.gov/compound/90-05-1</x:v>
      </x:c>
      <x:c r="G16" s="46" t="str">
        <x:v>verified</x:v>
      </x:c>
      <x:c r="H16" s="46" t="str"/>
      <x:c r="I16" s="46" t="str"/>
      <x:c r="J16" s="46" t="str"/>
      <x:c r="K16" s="46" t="str">
        <x:v>yes</x:v>
      </x:c>
      <x:c r="L16" s="46" t="str"/>
      <x:c r="M16" s="46" t="str"/>
      <x:c r="N16" s="46" t="str"/>
      <x:c r="O16" s="23"/>
      <x:c r="P16" s="23"/>
      <x:c r="Q16" s="23"/>
      <x:c r="R16" s="23"/>
      <x:c r="S16" s="23"/>
      <x:c r="T16" s="23"/>
      <x:c r="U16" s="23"/>
      <x:c r="V16" s="23"/>
      <x:c r="W16" s="23"/>
      <x:c r="X16" s="23"/>
      <x:c r="Y16" s="23"/>
      <x:c r="Z16" s="23"/>
    </x:row>
    <x:row r="17">
      <x:c r="A17" s="46" t="str">
        <x:v>DUCK-CMP-016</x:v>
      </x:c>
      <x:c r="B17" s="46" t="str">
        <x:v>4-methylphenol (p-cresol)</x:v>
      </x:c>
      <x:c r="C17" s="46" t="str">
        <x:v>106-44-5</x:v>
      </x:c>
      <x:c r="D17" s="46" t="str">
        <x:v>Phenols</x:v>
      </x:c>
      <x:c r="E17" s="46" t="str">
        <x:v>institutional chemical registry</x:v>
      </x:c>
      <x:c r="F17" s="46" t="str">
        <x:v>https://pubchem.ncbi.nlm.nih.gov/compound/P-Cresol</x:v>
      </x:c>
      <x:c r="G17" s="46" t="str">
        <x:v>verified</x:v>
      </x:c>
      <x:c r="H17" s="46" t="str"/>
      <x:c r="I17" s="46" t="str"/>
      <x:c r="J17" s="46" t="str"/>
      <x:c r="K17" s="46" t="str">
        <x:v>yes</x:v>
      </x:c>
      <x:c r="L17" s="46" t="str"/>
      <x:c r="M17" s="46" t="str"/>
      <x:c r="N17" s="46" t="str"/>
      <x:c r="O17" s="23"/>
      <x:c r="P17" s="23"/>
      <x:c r="Q17" s="23"/>
      <x:c r="R17" s="23"/>
      <x:c r="S17" s="23"/>
      <x:c r="T17" s="23"/>
      <x:c r="U17" s="23"/>
      <x:c r="V17" s="23"/>
      <x:c r="W17" s="23"/>
      <x:c r="X17" s="23"/>
      <x:c r="Y17" s="23"/>
      <x:c r="Z17" s="23"/>
    </x:row>
    <x:row r="18">
      <x:c r="A18" s="46" t="str">
        <x:v>DUCK-CMP-017</x:v>
      </x:c>
      <x:c r="B18" s="46" t="str">
        <x:v>5-ethyl-2,3-dimethylpyrazine</x:v>
      </x:c>
      <x:c r="C18" s="46" t="str">
        <x:v>15707-34-3</x:v>
      </x:c>
      <x:c r="D18" s="46" t="str">
        <x:v>Bases</x:v>
      </x:c>
      <x:c r="E18" s="46" t="str">
        <x:v>institutional chemical registry</x:v>
      </x:c>
      <x:c r="F18" s="46" t="str">
        <x:v>https://precision.fda.gov/ginas/app/ui/substances/6496XCH56Q</x:v>
      </x:c>
      <x:c r="G18" s="46" t="str">
        <x:v>verified</x:v>
      </x:c>
      <x:c r="H18" s="46" t="str"/>
      <x:c r="I18" s="46" t="str"/>
      <x:c r="J18" s="46" t="str"/>
      <x:c r="K18" s="46" t="str">
        <x:v>yes</x:v>
      </x:c>
      <x:c r="L18" s="46" t="str"/>
      <x:c r="M18" s="46" t="str"/>
      <x:c r="N18" s="46" t="str"/>
      <x:c r="O18" s="23"/>
      <x:c r="P18" s="23"/>
      <x:c r="Q18" s="23"/>
      <x:c r="R18" s="23"/>
      <x:c r="S18" s="23"/>
      <x:c r="T18" s="23"/>
      <x:c r="U18" s="23"/>
      <x:c r="V18" s="23"/>
      <x:c r="W18" s="23"/>
      <x:c r="X18" s="23"/>
      <x:c r="Y18" s="23"/>
      <x:c r="Z18" s="23"/>
    </x:row>
    <x:row r="19">
      <x:c r="A19" s="46" t="str">
        <x:v>DUCK-CMP-018</x:v>
      </x:c>
      <x:c r="B19" s="46" t="str">
        <x:v>2-methyl-3-furanthiol</x:v>
      </x:c>
      <x:c r="C19" s="46" t="str">
        <x:v>28588-74-1</x:v>
      </x:c>
      <x:c r="D19" s="46" t="str">
        <x:v>Sulfur compounds</x:v>
      </x:c>
      <x:c r="E19" s="46" t="str">
        <x:v>institutional chemical registry</x:v>
      </x:c>
      <x:c r="F19" s="46" t="str">
        <x:v>https://pubchem.ncbi.nlm.nih.gov/compound/28588-74-1</x:v>
      </x:c>
      <x:c r="G19" s="46" t="str">
        <x:v>verified</x:v>
      </x:c>
      <x:c r="H19" s="46" t="str"/>
      <x:c r="I19" s="46" t="str"/>
      <x:c r="J19" s="46" t="str"/>
      <x:c r="K19" s="46" t="str">
        <x:v>yes</x:v>
      </x:c>
      <x:c r="L19" s="46" t="str"/>
      <x:c r="M19" s="46" t="str"/>
      <x:c r="N19" s="46" t="str"/>
      <x:c r="O19" s="23"/>
      <x:c r="P19" s="23"/>
      <x:c r="Q19" s="23"/>
      <x:c r="R19" s="23"/>
      <x:c r="S19" s="23"/>
      <x:c r="T19" s="23"/>
      <x:c r="U19" s="23"/>
      <x:c r="V19" s="23"/>
      <x:c r="W19" s="23"/>
      <x:c r="X19" s="23"/>
      <x:c r="Y19" s="23"/>
      <x:c r="Z19" s="23"/>
    </x:row>
    <x:row r="20">
      <x:c r="A20" s="46" t="str">
        <x:v>DUCK-CMP-019</x:v>
      </x:c>
      <x:c r="B20" s="46" t="str">
        <x:v>anethole</x:v>
      </x:c>
      <x:c r="C20" s="46" t="str">
        <x:v>104-46-1</x:v>
      </x:c>
      <x:c r="D20" s="46" t="str">
        <x:v>Ethers</x:v>
      </x:c>
      <x:c r="E20" s="46" t="str">
        <x:v>institutional chemical registry</x:v>
      </x:c>
      <x:c r="F20" s="46" t="str">
        <x:v>https://pubchem.ncbi.nlm.nih.gov/compound/anethole</x:v>
      </x:c>
      <x:c r="G20" s="46" t="str">
        <x:v>verified_with_isomer_note</x:v>
      </x:c>
      <x:c r="H20" s="46" t="str"/>
      <x:c r="I20" s="46" t="str"/>
      <x:c r="J20" s="46" t="str"/>
      <x:c r="K20" s="46" t="str">
        <x:v>yes</x:v>
      </x:c>
      <x:c r="L20" s="46" t="str"/>
      <x:c r="M20" s="46" t="str"/>
      <x:c r="N20" s="46" t="str">
        <x:v>Source reports 'anethole' without resolving isomer in the abstract; CAS retained at generic/common anethole level and should be checked against the full analytical identification table before a stereospecific claim.</x:v>
      </x:c>
      <x:c r="O20" s="23"/>
      <x:c r="P20" s="23"/>
      <x:c r="Q20" s="23"/>
      <x:c r="R20" s="23"/>
      <x:c r="S20" s="23"/>
      <x:c r="T20" s="23"/>
      <x:c r="U20" s="23"/>
      <x:c r="V20" s="23"/>
      <x:c r="W20" s="23"/>
      <x:c r="X20" s="23"/>
      <x:c r="Y20" s="23"/>
      <x:c r="Z20" s="23"/>
    </x:row>
    <x:row r="21">
      <x:c r="A21" s="46"/>
      <x:c r="B21" s="46"/>
      <x:c r="C21" s="46"/>
      <x:c r="D21" s="46"/>
      <x:c r="E21" s="46"/>
      <x:c r="F21" s="46"/>
      <x:c r="G21" s="46"/>
      <x:c r="H21" s="46"/>
      <x:c r="I21" s="46"/>
      <x:c r="J21" s="46"/>
      <x:c r="K21" s="46"/>
      <x:c r="L21" s="46"/>
      <x:c r="M21" s="46"/>
      <x:c r="N21" s="46"/>
      <x:c r="O21" s="23"/>
      <x:c r="P21" s="23"/>
      <x:c r="Q21" s="23"/>
      <x:c r="R21" s="23"/>
      <x:c r="S21" s="23"/>
      <x:c r="T21" s="23"/>
      <x:c r="U21" s="23"/>
      <x:c r="V21" s="23"/>
      <x:c r="W21" s="23"/>
      <x:c r="X21" s="23"/>
      <x:c r="Y21" s="23"/>
      <x:c r="Z21" s="23"/>
    </x:row>
    <x:row r="22">
      <x:c r="A22" s="46"/>
      <x:c r="B22" s="46"/>
      <x:c r="C22" s="46"/>
      <x:c r="D22" s="46"/>
      <x:c r="E22" s="46"/>
      <x:c r="F22" s="46"/>
      <x:c r="G22" s="46"/>
      <x:c r="H22" s="46"/>
      <x:c r="I22" s="46"/>
      <x:c r="J22" s="46"/>
      <x:c r="K22" s="46"/>
      <x:c r="L22" s="46"/>
      <x:c r="M22" s="46"/>
      <x:c r="N22" s="46"/>
      <x:c r="O22" s="23"/>
      <x:c r="P22" s="23"/>
      <x:c r="Q22" s="23"/>
      <x:c r="R22" s="23"/>
      <x:c r="S22" s="23"/>
      <x:c r="T22" s="23"/>
      <x:c r="U22" s="23"/>
      <x:c r="V22" s="23"/>
      <x:c r="W22" s="23"/>
      <x:c r="X22" s="23"/>
      <x:c r="Y22" s="23"/>
      <x:c r="Z22" s="23"/>
    </x:row>
    <x:row r="23">
      <x:c r="A23" s="46"/>
      <x:c r="B23" s="46"/>
      <x:c r="C23" s="46"/>
      <x:c r="D23" s="46"/>
      <x:c r="E23" s="46"/>
      <x:c r="F23" s="46"/>
      <x:c r="G23" s="46"/>
      <x:c r="H23" s="46"/>
      <x:c r="I23" s="46"/>
      <x:c r="J23" s="46"/>
      <x:c r="K23" s="46"/>
      <x:c r="L23" s="46"/>
      <x:c r="M23" s="46"/>
      <x:c r="N23" s="46"/>
      <x:c r="O23" s="23"/>
      <x:c r="P23" s="23"/>
      <x:c r="Q23" s="23"/>
      <x:c r="R23" s="23"/>
      <x:c r="S23" s="23"/>
      <x:c r="T23" s="23"/>
      <x:c r="U23" s="23"/>
      <x:c r="V23" s="23"/>
      <x:c r="W23" s="23"/>
      <x:c r="X23" s="23"/>
      <x:c r="Y23" s="23"/>
      <x:c r="Z23" s="23"/>
    </x:row>
    <x:row r="24">
      <x:c r="A24" s="46"/>
      <x:c r="B24" s="46"/>
      <x:c r="C24" s="46"/>
      <x:c r="D24" s="46"/>
      <x:c r="E24" s="46"/>
      <x:c r="F24" s="46"/>
      <x:c r="G24" s="46"/>
      <x:c r="H24" s="46"/>
      <x:c r="I24" s="46"/>
      <x:c r="J24" s="46"/>
      <x:c r="K24" s="46"/>
      <x:c r="L24" s="46"/>
      <x:c r="M24" s="46"/>
      <x:c r="N24" s="46"/>
      <x:c r="O24" s="23"/>
      <x:c r="P24" s="23"/>
      <x:c r="Q24" s="23"/>
      <x:c r="R24" s="23"/>
      <x:c r="S24" s="23"/>
      <x:c r="T24" s="23"/>
      <x:c r="U24" s="23"/>
      <x:c r="V24" s="23"/>
      <x:c r="W24" s="23"/>
      <x:c r="X24" s="23"/>
      <x:c r="Y24" s="23"/>
      <x:c r="Z24" s="23"/>
    </x:row>
    <x:row r="25">
      <x:c r="A25" s="46"/>
      <x:c r="B25" s="46"/>
      <x:c r="C25" s="46"/>
      <x:c r="D25" s="46"/>
      <x:c r="E25" s="46"/>
      <x:c r="F25" s="46"/>
      <x:c r="G25" s="46"/>
      <x:c r="H25" s="46"/>
      <x:c r="I25" s="46"/>
      <x:c r="J25" s="46"/>
      <x:c r="K25" s="46"/>
      <x:c r="L25" s="46"/>
      <x:c r="M25" s="46"/>
      <x:c r="N25" s="46"/>
      <x:c r="O25" s="23"/>
      <x:c r="P25" s="23"/>
      <x:c r="Q25" s="23"/>
      <x:c r="R25" s="23"/>
      <x:c r="S25" s="23"/>
      <x:c r="T25" s="23"/>
      <x:c r="U25" s="23"/>
      <x:c r="V25" s="23"/>
      <x:c r="W25" s="23"/>
      <x:c r="X25" s="23"/>
      <x:c r="Y25" s="23"/>
      <x:c r="Z25" s="23"/>
    </x:row>
    <x:row r="26">
      <x:c r="A26" s="46"/>
      <x:c r="B26" s="46"/>
      <x:c r="C26" s="46"/>
      <x:c r="D26" s="46"/>
      <x:c r="E26" s="46"/>
      <x:c r="F26" s="46"/>
      <x:c r="G26" s="46"/>
      <x:c r="H26" s="46"/>
      <x:c r="I26" s="46"/>
      <x:c r="J26" s="46"/>
      <x:c r="K26" s="46"/>
      <x:c r="L26" s="46"/>
      <x:c r="M26" s="46"/>
      <x:c r="N26" s="46"/>
      <x:c r="O26" s="23"/>
      <x:c r="P26" s="23"/>
      <x:c r="Q26" s="23"/>
      <x:c r="R26" s="23"/>
      <x:c r="S26" s="23"/>
      <x:c r="T26" s="23"/>
      <x:c r="U26" s="23"/>
      <x:c r="V26" s="23"/>
      <x:c r="W26" s="23"/>
      <x:c r="X26" s="23"/>
      <x:c r="Y26" s="23"/>
      <x:c r="Z26" s="23"/>
    </x:row>
    <x:row r="27">
      <x:c r="A27" s="46"/>
      <x:c r="B27" s="46"/>
      <x:c r="C27" s="46"/>
      <x:c r="D27" s="46"/>
      <x:c r="E27" s="46"/>
      <x:c r="F27" s="46"/>
      <x:c r="G27" s="46"/>
      <x:c r="H27" s="46"/>
      <x:c r="I27" s="46"/>
      <x:c r="J27" s="46"/>
      <x:c r="K27" s="46"/>
      <x:c r="L27" s="46"/>
      <x:c r="M27" s="46"/>
      <x:c r="N27" s="46"/>
      <x:c r="O27" s="23"/>
      <x:c r="P27" s="23"/>
      <x:c r="Q27" s="23"/>
      <x:c r="R27" s="23"/>
      <x:c r="S27" s="23"/>
      <x:c r="T27" s="23"/>
      <x:c r="U27" s="23"/>
      <x:c r="V27" s="23"/>
      <x:c r="W27" s="23"/>
      <x:c r="X27" s="23"/>
      <x:c r="Y27" s="23"/>
      <x:c r="Z27" s="23"/>
    </x:row>
    <x:row r="28">
      <x:c r="A28" s="46"/>
      <x:c r="B28" s="46"/>
      <x:c r="C28" s="46"/>
      <x:c r="D28" s="46"/>
      <x:c r="E28" s="46"/>
      <x:c r="F28" s="46"/>
      <x:c r="G28" s="46"/>
      <x:c r="H28" s="46"/>
      <x:c r="I28" s="46"/>
      <x:c r="J28" s="46"/>
      <x:c r="K28" s="46"/>
      <x:c r="L28" s="46"/>
      <x:c r="M28" s="46"/>
      <x:c r="N28" s="46"/>
      <x:c r="O28" s="23"/>
      <x:c r="P28" s="23"/>
      <x:c r="Q28" s="23"/>
      <x:c r="R28" s="23"/>
      <x:c r="S28" s="23"/>
      <x:c r="T28" s="23"/>
      <x:c r="U28" s="23"/>
      <x:c r="V28" s="23"/>
      <x:c r="W28" s="23"/>
      <x:c r="X28" s="23"/>
      <x:c r="Y28" s="23"/>
      <x:c r="Z28" s="23"/>
    </x:row>
    <x:row r="29">
      <x:c r="A29" s="46"/>
      <x:c r="B29" s="46"/>
      <x:c r="C29" s="46"/>
      <x:c r="D29" s="46"/>
      <x:c r="E29" s="46"/>
      <x:c r="F29" s="46"/>
      <x:c r="G29" s="46"/>
      <x:c r="H29" s="46"/>
      <x:c r="I29" s="46"/>
      <x:c r="J29" s="46"/>
      <x:c r="K29" s="46"/>
      <x:c r="L29" s="46"/>
      <x:c r="M29" s="46"/>
      <x:c r="N29" s="46"/>
      <x:c r="O29" s="23"/>
      <x:c r="P29" s="23"/>
      <x:c r="Q29" s="23"/>
      <x:c r="R29" s="23"/>
      <x:c r="S29" s="23"/>
      <x:c r="T29" s="23"/>
      <x:c r="U29" s="23"/>
      <x:c r="V29" s="23"/>
      <x:c r="W29" s="23"/>
      <x:c r="X29" s="23"/>
      <x:c r="Y29" s="23"/>
      <x:c r="Z29" s="23"/>
    </x:row>
    <x:row r="30">
      <x:c r="A30" s="46"/>
      <x:c r="B30" s="46"/>
      <x:c r="C30" s="46"/>
      <x:c r="D30" s="46"/>
      <x:c r="E30" s="46"/>
      <x:c r="F30" s="46"/>
      <x:c r="G30" s="46"/>
      <x:c r="H30" s="46"/>
      <x:c r="I30" s="46"/>
      <x:c r="J30" s="46"/>
      <x:c r="K30" s="46"/>
      <x:c r="L30" s="46"/>
      <x:c r="M30" s="46"/>
      <x:c r="N30" s="46"/>
      <x:c r="O30" s="23"/>
      <x:c r="P30" s="23"/>
      <x:c r="Q30" s="23"/>
      <x:c r="R30" s="23"/>
      <x:c r="S30" s="23"/>
      <x:c r="T30" s="23"/>
      <x:c r="U30" s="23"/>
      <x:c r="V30" s="23"/>
      <x:c r="W30" s="23"/>
      <x:c r="X30" s="23"/>
      <x:c r="Y30" s="23"/>
      <x:c r="Z30" s="23"/>
    </x:row>
    <x:row r="31">
      <x:c r="A31" s="46"/>
      <x:c r="B31" s="46"/>
      <x:c r="C31" s="46"/>
      <x:c r="D31" s="46"/>
      <x:c r="E31" s="46"/>
      <x:c r="F31" s="46"/>
      <x:c r="G31" s="46"/>
      <x:c r="H31" s="46"/>
      <x:c r="I31" s="46"/>
      <x:c r="J31" s="46"/>
      <x:c r="K31" s="46"/>
      <x:c r="L31" s="46"/>
      <x:c r="M31" s="46"/>
      <x:c r="N31" s="46"/>
      <x:c r="O31" s="23"/>
      <x:c r="P31" s="23"/>
      <x:c r="Q31" s="23"/>
      <x:c r="R31" s="23"/>
      <x:c r="S31" s="23"/>
      <x:c r="T31" s="23"/>
      <x:c r="U31" s="23"/>
      <x:c r="V31" s="23"/>
      <x:c r="W31" s="23"/>
      <x:c r="X31" s="23"/>
      <x:c r="Y31" s="23"/>
      <x:c r="Z31" s="23"/>
    </x:row>
    <x:row r="32">
      <x:c r="A32" s="46"/>
      <x:c r="B32" s="46"/>
      <x:c r="C32" s="46"/>
      <x:c r="D32" s="46"/>
      <x:c r="E32" s="46"/>
      <x:c r="F32" s="46"/>
      <x:c r="G32" s="46"/>
      <x:c r="H32" s="46"/>
      <x:c r="I32" s="46"/>
      <x:c r="J32" s="46"/>
      <x:c r="K32" s="46"/>
      <x:c r="L32" s="46"/>
      <x:c r="M32" s="46"/>
      <x:c r="N32" s="46"/>
      <x:c r="O32" s="23"/>
      <x:c r="P32" s="23"/>
      <x:c r="Q32" s="23"/>
      <x:c r="R32" s="23"/>
      <x:c r="S32" s="23"/>
      <x:c r="T32" s="23"/>
      <x:c r="U32" s="23"/>
      <x:c r="V32" s="23"/>
      <x:c r="W32" s="23"/>
      <x:c r="X32" s="23"/>
      <x:c r="Y32" s="23"/>
      <x:c r="Z32" s="23"/>
    </x:row>
    <x:row r="33">
      <x:c r="A33" s="46"/>
      <x:c r="B33" s="46"/>
      <x:c r="C33" s="46"/>
      <x:c r="D33" s="46"/>
      <x:c r="E33" s="46"/>
      <x:c r="F33" s="46"/>
      <x:c r="G33" s="46"/>
      <x:c r="H33" s="46"/>
      <x:c r="I33" s="46"/>
      <x:c r="J33" s="46"/>
      <x:c r="K33" s="46"/>
      <x:c r="L33" s="46"/>
      <x:c r="M33" s="46"/>
      <x:c r="N33" s="46"/>
      <x:c r="O33" s="23"/>
      <x:c r="P33" s="23"/>
      <x:c r="Q33" s="23"/>
      <x:c r="R33" s="23"/>
      <x:c r="S33" s="23"/>
      <x:c r="T33" s="23"/>
      <x:c r="U33" s="23"/>
      <x:c r="V33" s="23"/>
      <x:c r="W33" s="23"/>
      <x:c r="X33" s="23"/>
      <x:c r="Y33" s="23"/>
      <x:c r="Z33" s="23"/>
    </x:row>
    <x:row r="34">
      <x:c r="A34" s="46"/>
      <x:c r="B34" s="46"/>
      <x:c r="C34" s="46"/>
      <x:c r="D34" s="46"/>
      <x:c r="E34" s="46"/>
      <x:c r="F34" s="46"/>
      <x:c r="G34" s="46"/>
      <x:c r="H34" s="46"/>
      <x:c r="I34" s="46"/>
      <x:c r="J34" s="46"/>
      <x:c r="K34" s="46"/>
      <x:c r="L34" s="46"/>
      <x:c r="M34" s="46"/>
      <x:c r="N34" s="46"/>
      <x:c r="O34" s="23"/>
      <x:c r="P34" s="23"/>
      <x:c r="Q34" s="23"/>
      <x:c r="R34" s="23"/>
      <x:c r="S34" s="23"/>
      <x:c r="T34" s="23"/>
      <x:c r="U34" s="23"/>
      <x:c r="V34" s="23"/>
      <x:c r="W34" s="23"/>
      <x:c r="X34" s="23"/>
      <x:c r="Y34" s="23"/>
      <x:c r="Z34" s="23"/>
    </x:row>
    <x:row r="35">
      <x:c r="A35" s="46"/>
      <x:c r="B35" s="46"/>
      <x:c r="C35" s="46"/>
      <x:c r="D35" s="46"/>
      <x:c r="E35" s="46"/>
      <x:c r="F35" s="46"/>
      <x:c r="G35" s="46"/>
      <x:c r="H35" s="46"/>
      <x:c r="I35" s="46"/>
      <x:c r="J35" s="46"/>
      <x:c r="K35" s="46"/>
      <x:c r="L35" s="46"/>
      <x:c r="M35" s="46"/>
      <x:c r="N35" s="46"/>
      <x:c r="O35" s="23"/>
      <x:c r="P35" s="23"/>
      <x:c r="Q35" s="23"/>
      <x:c r="R35" s="23"/>
      <x:c r="S35" s="23"/>
      <x:c r="T35" s="23"/>
      <x:c r="U35" s="23"/>
      <x:c r="V35" s="23"/>
      <x:c r="W35" s="23"/>
      <x:c r="X35" s="23"/>
      <x:c r="Y35" s="23"/>
      <x:c r="Z35" s="23"/>
    </x:row>
    <x:row r="36">
      <x:c r="A36" s="46"/>
      <x:c r="B36" s="46"/>
      <x:c r="C36" s="46"/>
      <x:c r="D36" s="46"/>
      <x:c r="E36" s="46"/>
      <x:c r="F36" s="46"/>
      <x:c r="G36" s="46"/>
      <x:c r="H36" s="46"/>
      <x:c r="I36" s="46"/>
      <x:c r="J36" s="46"/>
      <x:c r="K36" s="46"/>
      <x:c r="L36" s="46"/>
      <x:c r="M36" s="46"/>
      <x:c r="N36" s="46"/>
      <x:c r="O36" s="23"/>
      <x:c r="P36" s="23"/>
      <x:c r="Q36" s="23"/>
      <x:c r="R36" s="23"/>
      <x:c r="S36" s="23"/>
      <x:c r="T36" s="23"/>
      <x:c r="U36" s="23"/>
      <x:c r="V36" s="23"/>
      <x:c r="W36" s="23"/>
      <x:c r="X36" s="23"/>
      <x:c r="Y36" s="23"/>
      <x:c r="Z36" s="23"/>
    </x:row>
    <x:row r="37">
      <x:c r="A37" s="46"/>
      <x:c r="B37" s="46"/>
      <x:c r="C37" s="46"/>
      <x:c r="D37" s="46"/>
      <x:c r="E37" s="46"/>
      <x:c r="F37" s="46"/>
      <x:c r="G37" s="46"/>
      <x:c r="H37" s="46"/>
      <x:c r="I37" s="46"/>
      <x:c r="J37" s="46"/>
      <x:c r="K37" s="46"/>
      <x:c r="L37" s="46"/>
      <x:c r="M37" s="46"/>
      <x:c r="N37" s="46"/>
      <x:c r="O37" s="23"/>
      <x:c r="P37" s="23"/>
      <x:c r="Q37" s="23"/>
      <x:c r="R37" s="23"/>
      <x:c r="S37" s="23"/>
      <x:c r="T37" s="23"/>
      <x:c r="U37" s="23"/>
      <x:c r="V37" s="23"/>
      <x:c r="W37" s="23"/>
      <x:c r="X37" s="23"/>
      <x:c r="Y37" s="23"/>
      <x:c r="Z37" s="23"/>
    </x:row>
    <x:row r="38">
      <x:c r="A38" s="46"/>
      <x:c r="B38" s="46"/>
      <x:c r="C38" s="46"/>
      <x:c r="D38" s="46"/>
      <x:c r="E38" s="46"/>
      <x:c r="F38" s="46"/>
      <x:c r="G38" s="46"/>
      <x:c r="H38" s="46"/>
      <x:c r="I38" s="46"/>
      <x:c r="J38" s="46"/>
      <x:c r="K38" s="46"/>
      <x:c r="L38" s="46"/>
      <x:c r="M38" s="46"/>
      <x:c r="N38" s="46"/>
      <x:c r="O38" s="23"/>
      <x:c r="P38" s="23"/>
      <x:c r="Q38" s="23"/>
      <x:c r="R38" s="23"/>
      <x:c r="S38" s="23"/>
      <x:c r="T38" s="23"/>
      <x:c r="U38" s="23"/>
      <x:c r="V38" s="23"/>
      <x:c r="W38" s="23"/>
      <x:c r="X38" s="23"/>
      <x:c r="Y38" s="23"/>
      <x:c r="Z38" s="23"/>
    </x:row>
    <x:row r="39">
      <x:c r="A39" s="46"/>
      <x:c r="B39" s="46"/>
      <x:c r="C39" s="46"/>
      <x:c r="D39" s="46"/>
      <x:c r="E39" s="46"/>
      <x:c r="F39" s="46"/>
      <x:c r="G39" s="46"/>
      <x:c r="H39" s="46"/>
      <x:c r="I39" s="46"/>
      <x:c r="J39" s="46"/>
      <x:c r="K39" s="46"/>
      <x:c r="L39" s="46"/>
      <x:c r="M39" s="46"/>
      <x:c r="N39" s="46"/>
      <x:c r="O39" s="23"/>
      <x:c r="P39" s="23"/>
      <x:c r="Q39" s="23"/>
      <x:c r="R39" s="23"/>
      <x:c r="S39" s="23"/>
      <x:c r="T39" s="23"/>
      <x:c r="U39" s="23"/>
      <x:c r="V39" s="23"/>
      <x:c r="W39" s="23"/>
      <x:c r="X39" s="23"/>
      <x:c r="Y39" s="23"/>
      <x:c r="Z39" s="23"/>
    </x:row>
    <x:row r="40">
      <x:c r="A40" s="46"/>
      <x:c r="B40" s="46"/>
      <x:c r="C40" s="46"/>
      <x:c r="D40" s="46"/>
      <x:c r="E40" s="46"/>
      <x:c r="F40" s="46"/>
      <x:c r="G40" s="46"/>
      <x:c r="H40" s="46"/>
      <x:c r="I40" s="46"/>
      <x:c r="J40" s="46"/>
      <x:c r="K40" s="46"/>
      <x:c r="L40" s="46"/>
      <x:c r="M40" s="46"/>
      <x:c r="N40" s="46"/>
      <x:c r="O40" s="23"/>
      <x:c r="P40" s="23"/>
      <x:c r="Q40" s="23"/>
      <x:c r="R40" s="23"/>
      <x:c r="S40" s="23"/>
      <x:c r="T40" s="23"/>
      <x:c r="U40" s="23"/>
      <x:c r="V40" s="23"/>
      <x:c r="W40" s="23"/>
      <x:c r="X40" s="23"/>
      <x:c r="Y40" s="23"/>
      <x:c r="Z40" s="23"/>
    </x:row>
    <x:row r="41">
      <x:c r="A41" s="46"/>
      <x:c r="B41" s="46"/>
      <x:c r="C41" s="46"/>
      <x:c r="D41" s="46"/>
      <x:c r="E41" s="46"/>
      <x:c r="F41" s="46"/>
      <x:c r="G41" s="46"/>
      <x:c r="H41" s="46"/>
      <x:c r="I41" s="46"/>
      <x:c r="J41" s="46"/>
      <x:c r="K41" s="46"/>
      <x:c r="L41" s="46"/>
      <x:c r="M41" s="46"/>
      <x:c r="N41" s="46"/>
      <x:c r="O41" s="23"/>
      <x:c r="P41" s="23"/>
      <x:c r="Q41" s="23"/>
      <x:c r="R41" s="23"/>
      <x:c r="S41" s="23"/>
      <x:c r="T41" s="23"/>
      <x:c r="U41" s="23"/>
      <x:c r="V41" s="23"/>
      <x:c r="W41" s="23"/>
      <x:c r="X41" s="23"/>
      <x:c r="Y41" s="23"/>
      <x:c r="Z41" s="23"/>
    </x:row>
    <x:row r="42">
      <x:c r="A42" s="46"/>
      <x:c r="B42" s="46"/>
      <x:c r="C42" s="46"/>
      <x:c r="D42" s="46"/>
      <x:c r="E42" s="46"/>
      <x:c r="F42" s="46"/>
      <x:c r="G42" s="46"/>
      <x:c r="H42" s="46"/>
      <x:c r="I42" s="46"/>
      <x:c r="J42" s="46"/>
      <x:c r="K42" s="46"/>
      <x:c r="L42" s="46"/>
      <x:c r="M42" s="46"/>
      <x:c r="N42" s="46"/>
      <x:c r="O42" s="23"/>
      <x:c r="P42" s="23"/>
      <x:c r="Q42" s="23"/>
      <x:c r="R42" s="23"/>
      <x:c r="S42" s="23"/>
      <x:c r="T42" s="23"/>
      <x:c r="U42" s="23"/>
      <x:c r="V42" s="23"/>
      <x:c r="W42" s="23"/>
      <x:c r="X42" s="23"/>
      <x:c r="Y42" s="23"/>
      <x:c r="Z42" s="23"/>
    </x:row>
    <x:row r="43">
      <x:c r="A43" s="46"/>
      <x:c r="B43" s="46"/>
      <x:c r="C43" s="46"/>
      <x:c r="D43" s="46"/>
      <x:c r="E43" s="46"/>
      <x:c r="F43" s="46"/>
      <x:c r="G43" s="46"/>
      <x:c r="H43" s="46"/>
      <x:c r="I43" s="46"/>
      <x:c r="J43" s="46"/>
      <x:c r="K43" s="46"/>
      <x:c r="L43" s="46"/>
      <x:c r="M43" s="46"/>
      <x:c r="N43" s="46"/>
      <x:c r="O43" s="23"/>
      <x:c r="P43" s="23"/>
      <x:c r="Q43" s="23"/>
      <x:c r="R43" s="23"/>
      <x:c r="S43" s="23"/>
      <x:c r="T43" s="23"/>
      <x:c r="U43" s="23"/>
      <x:c r="V43" s="23"/>
      <x:c r="W43" s="23"/>
      <x:c r="X43" s="23"/>
      <x:c r="Y43" s="23"/>
      <x:c r="Z43" s="23"/>
    </x:row>
    <x:row r="44">
      <x:c r="A44" s="46"/>
      <x:c r="B44" s="46"/>
      <x:c r="C44" s="46"/>
      <x:c r="D44" s="46"/>
      <x:c r="E44" s="46"/>
      <x:c r="F44" s="46"/>
      <x:c r="G44" s="46"/>
      <x:c r="H44" s="46"/>
      <x:c r="I44" s="46"/>
      <x:c r="J44" s="46"/>
      <x:c r="K44" s="46"/>
      <x:c r="L44" s="46"/>
      <x:c r="M44" s="46"/>
      <x:c r="N44" s="46"/>
      <x:c r="O44" s="23"/>
      <x:c r="P44" s="23"/>
      <x:c r="Q44" s="23"/>
      <x:c r="R44" s="23"/>
      <x:c r="S44" s="23"/>
      <x:c r="T44" s="23"/>
      <x:c r="U44" s="23"/>
      <x:c r="V44" s="23"/>
      <x:c r="W44" s="23"/>
      <x:c r="X44" s="23"/>
      <x:c r="Y44" s="23"/>
      <x:c r="Z44" s="23"/>
    </x:row>
    <x:row r="45">
      <x:c r="A45" s="46"/>
      <x:c r="B45" s="46"/>
      <x:c r="C45" s="46"/>
      <x:c r="D45" s="46"/>
      <x:c r="E45" s="46"/>
      <x:c r="F45" s="46"/>
      <x:c r="G45" s="46"/>
      <x:c r="H45" s="46"/>
      <x:c r="I45" s="46"/>
      <x:c r="J45" s="46"/>
      <x:c r="K45" s="46"/>
      <x:c r="L45" s="46"/>
      <x:c r="M45" s="46"/>
      <x:c r="N45" s="46"/>
      <x:c r="O45" s="23"/>
      <x:c r="P45" s="23"/>
      <x:c r="Q45" s="23"/>
      <x:c r="R45" s="23"/>
      <x:c r="S45" s="23"/>
      <x:c r="T45" s="23"/>
      <x:c r="U45" s="23"/>
      <x:c r="V45" s="23"/>
      <x:c r="W45" s="23"/>
      <x:c r="X45" s="23"/>
      <x:c r="Y45" s="23"/>
      <x:c r="Z45" s="23"/>
    </x:row>
    <x:row r="46">
      <x:c r="A46" s="46"/>
      <x:c r="B46" s="46"/>
      <x:c r="C46" s="46"/>
      <x:c r="D46" s="46"/>
      <x:c r="E46" s="46"/>
      <x:c r="F46" s="46"/>
      <x:c r="G46" s="46"/>
      <x:c r="H46" s="46"/>
      <x:c r="I46" s="46"/>
      <x:c r="J46" s="46"/>
      <x:c r="K46" s="46"/>
      <x:c r="L46" s="46"/>
      <x:c r="M46" s="46"/>
      <x:c r="N46" s="46"/>
      <x:c r="O46" s="23"/>
      <x:c r="P46" s="23"/>
      <x:c r="Q46" s="23"/>
      <x:c r="R46" s="23"/>
      <x:c r="S46" s="23"/>
      <x:c r="T46" s="23"/>
      <x:c r="U46" s="23"/>
      <x:c r="V46" s="23"/>
      <x:c r="W46" s="23"/>
      <x:c r="X46" s="23"/>
      <x:c r="Y46" s="23"/>
      <x:c r="Z46" s="23"/>
    </x:row>
    <x:row r="47">
      <x:c r="A47" s="46"/>
      <x:c r="B47" s="46"/>
      <x:c r="C47" s="46"/>
      <x:c r="D47" s="46"/>
      <x:c r="E47" s="46"/>
      <x:c r="F47" s="46"/>
      <x:c r="G47" s="46"/>
      <x:c r="H47" s="46"/>
      <x:c r="I47" s="46"/>
      <x:c r="J47" s="46"/>
      <x:c r="K47" s="46"/>
      <x:c r="L47" s="46"/>
      <x:c r="M47" s="46"/>
      <x:c r="N47" s="46"/>
      <x:c r="O47" s="23"/>
      <x:c r="P47" s="23"/>
      <x:c r="Q47" s="23"/>
      <x:c r="R47" s="23"/>
      <x:c r="S47" s="23"/>
      <x:c r="T47" s="23"/>
      <x:c r="U47" s="23"/>
      <x:c r="V47" s="23"/>
      <x:c r="W47" s="23"/>
      <x:c r="X47" s="23"/>
      <x:c r="Y47" s="23"/>
      <x:c r="Z47" s="23"/>
    </x:row>
    <x:row r="48">
      <x:c r="A48" s="46"/>
      <x:c r="B48" s="46"/>
      <x:c r="C48" s="46"/>
      <x:c r="D48" s="46"/>
      <x:c r="E48" s="46"/>
      <x:c r="F48" s="46"/>
      <x:c r="G48" s="46"/>
      <x:c r="H48" s="46"/>
      <x:c r="I48" s="46"/>
      <x:c r="J48" s="46"/>
      <x:c r="K48" s="46"/>
      <x:c r="L48" s="46"/>
      <x:c r="M48" s="46"/>
      <x:c r="N48" s="46"/>
      <x:c r="O48" s="23"/>
      <x:c r="P48" s="23"/>
      <x:c r="Q48" s="23"/>
      <x:c r="R48" s="23"/>
      <x:c r="S48" s="23"/>
      <x:c r="T48" s="23"/>
      <x:c r="U48" s="23"/>
      <x:c r="V48" s="23"/>
      <x:c r="W48" s="23"/>
      <x:c r="X48" s="23"/>
      <x:c r="Y48" s="23"/>
      <x:c r="Z48" s="23"/>
    </x:row>
    <x:row r="49">
      <x:c r="A49" s="46"/>
      <x:c r="B49" s="46"/>
      <x:c r="C49" s="46"/>
      <x:c r="D49" s="46"/>
      <x:c r="E49" s="46"/>
      <x:c r="F49" s="46"/>
      <x:c r="G49" s="46"/>
      <x:c r="H49" s="46"/>
      <x:c r="I49" s="46"/>
      <x:c r="J49" s="46"/>
      <x:c r="K49" s="46"/>
      <x:c r="L49" s="46"/>
      <x:c r="M49" s="46"/>
      <x:c r="N49" s="46"/>
      <x:c r="O49" s="23"/>
      <x:c r="P49" s="23"/>
      <x:c r="Q49" s="23"/>
      <x:c r="R49" s="23"/>
      <x:c r="S49" s="23"/>
      <x:c r="T49" s="23"/>
      <x:c r="U49" s="23"/>
      <x:c r="V49" s="23"/>
      <x:c r="W49" s="23"/>
      <x:c r="X49" s="23"/>
      <x:c r="Y49" s="23"/>
      <x:c r="Z49" s="23"/>
    </x:row>
    <x:row r="50">
      <x:c r="A50" s="46"/>
      <x:c r="B50" s="46"/>
      <x:c r="C50" s="46"/>
      <x:c r="D50" s="46"/>
      <x:c r="E50" s="46"/>
      <x:c r="F50" s="46"/>
      <x:c r="G50" s="46"/>
      <x:c r="H50" s="46"/>
      <x:c r="I50" s="46"/>
      <x:c r="J50" s="46"/>
      <x:c r="K50" s="46"/>
      <x:c r="L50" s="46"/>
      <x:c r="M50" s="46"/>
      <x:c r="N50" s="46"/>
      <x:c r="O50" s="23"/>
      <x:c r="P50" s="23"/>
      <x:c r="Q50" s="23"/>
      <x:c r="R50" s="23"/>
      <x:c r="S50" s="23"/>
      <x:c r="T50" s="23"/>
      <x:c r="U50" s="23"/>
      <x:c r="V50" s="23"/>
      <x:c r="W50" s="23"/>
      <x:c r="X50" s="23"/>
      <x:c r="Y50" s="23"/>
      <x:c r="Z50" s="23"/>
    </x:row>
    <x:row r="51">
      <x:c r="A51" s="46"/>
      <x:c r="B51" s="46"/>
      <x:c r="C51" s="46"/>
      <x:c r="D51" s="46"/>
      <x:c r="E51" s="46"/>
      <x:c r="F51" s="46"/>
      <x:c r="G51" s="46"/>
      <x:c r="H51" s="46"/>
      <x:c r="I51" s="46"/>
      <x:c r="J51" s="46"/>
      <x:c r="K51" s="46"/>
      <x:c r="L51" s="46"/>
      <x:c r="M51" s="46"/>
      <x:c r="N51" s="46"/>
      <x:c r="O51" s="23"/>
      <x:c r="P51" s="23"/>
      <x:c r="Q51" s="23"/>
      <x:c r="R51" s="23"/>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23"/>
      <x:c r="P52" s="23"/>
      <x:c r="Q52" s="23"/>
      <x:c r="R52" s="23"/>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23"/>
      <x:c r="P53" s="23"/>
      <x:c r="Q53" s="23"/>
      <x:c r="R53" s="23"/>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23"/>
      <x:c r="P54" s="23"/>
      <x:c r="Q54" s="23"/>
      <x:c r="R54" s="23"/>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23"/>
      <x:c r="P55" s="23"/>
      <x:c r="Q55" s="23"/>
      <x:c r="R55" s="23"/>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23"/>
      <x:c r="P56" s="23"/>
      <x:c r="Q56" s="23"/>
      <x:c r="R56" s="23"/>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23"/>
      <x:c r="P57" s="23"/>
      <x:c r="Q57" s="23"/>
      <x:c r="R57" s="23"/>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23"/>
      <x:c r="P58" s="23"/>
      <x:c r="Q58" s="23"/>
      <x:c r="R58" s="23"/>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23"/>
      <x:c r="P59" s="23"/>
      <x:c r="Q59" s="23"/>
      <x:c r="R59" s="23"/>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23"/>
      <x:c r="P60" s="23"/>
      <x:c r="Q60" s="23"/>
      <x:c r="R60" s="23"/>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23"/>
      <x:c r="P61" s="23"/>
      <x:c r="Q61" s="23"/>
      <x:c r="R61" s="23"/>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23"/>
      <x:c r="P62" s="23"/>
      <x:c r="Q62" s="23"/>
      <x:c r="R62" s="23"/>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23"/>
      <x:c r="P63" s="23"/>
      <x:c r="Q63" s="23"/>
      <x:c r="R63" s="23"/>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23"/>
      <x:c r="P64" s="23"/>
      <x:c r="Q64" s="23"/>
      <x:c r="R64" s="23"/>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23"/>
      <x:c r="P65" s="23"/>
      <x:c r="Q65" s="23"/>
      <x:c r="R65" s="23"/>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23"/>
      <x:c r="P66" s="23"/>
      <x:c r="Q66" s="23"/>
      <x:c r="R66" s="23"/>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23"/>
      <x:c r="P67" s="23"/>
      <x:c r="Q67" s="23"/>
      <x:c r="R67" s="23"/>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23"/>
      <x:c r="P68" s="23"/>
      <x:c r="Q68" s="23"/>
      <x:c r="R68" s="23"/>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23"/>
      <x:c r="P69" s="23"/>
      <x:c r="Q69" s="23"/>
      <x:c r="R69" s="23"/>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23"/>
      <x:c r="P70" s="23"/>
      <x:c r="Q70" s="23"/>
      <x:c r="R70" s="23"/>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23"/>
      <x:c r="P71" s="23"/>
      <x:c r="Q71" s="23"/>
      <x:c r="R71" s="23"/>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23"/>
      <x:c r="P72" s="23"/>
      <x:c r="Q72" s="23"/>
      <x:c r="R72" s="23"/>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23"/>
      <x:c r="P73" s="23"/>
      <x:c r="Q73" s="23"/>
      <x:c r="R73" s="23"/>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23"/>
      <x:c r="P74" s="23"/>
      <x:c r="Q74" s="23"/>
      <x:c r="R74" s="23"/>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23"/>
      <x:c r="P75" s="23"/>
      <x:c r="Q75" s="23"/>
      <x:c r="R75" s="23"/>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23"/>
      <x:c r="P76" s="23"/>
      <x:c r="Q76" s="23"/>
      <x:c r="R76" s="23"/>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23"/>
      <x:c r="P77" s="23"/>
      <x:c r="Q77" s="23"/>
      <x:c r="R77" s="23"/>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23"/>
      <x:c r="P78" s="23"/>
      <x:c r="Q78" s="23"/>
      <x:c r="R78" s="23"/>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23"/>
      <x:c r="P79" s="23"/>
      <x:c r="Q79" s="23"/>
      <x:c r="R79" s="23"/>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23"/>
      <x:c r="P80" s="23"/>
      <x:c r="Q80" s="23"/>
      <x:c r="R80" s="23"/>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23"/>
      <x:c r="P81" s="23"/>
      <x:c r="Q81" s="23"/>
      <x:c r="R81" s="23"/>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23"/>
      <x:c r="P82" s="23"/>
      <x:c r="Q82" s="23"/>
      <x:c r="R82" s="23"/>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23"/>
      <x:c r="P83" s="23"/>
      <x:c r="Q83" s="23"/>
      <x:c r="R83" s="23"/>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23"/>
      <x:c r="P84" s="23"/>
      <x:c r="Q84" s="23"/>
      <x:c r="R84" s="23"/>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23"/>
      <x:c r="P85" s="23"/>
      <x:c r="Q85" s="23"/>
      <x:c r="R85" s="23"/>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23"/>
      <x:c r="P86" s="23"/>
      <x:c r="Q86" s="23"/>
      <x:c r="R86" s="23"/>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23"/>
      <x:c r="P87" s="23"/>
      <x:c r="Q87" s="23"/>
      <x:c r="R87" s="23"/>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23"/>
      <x:c r="P88" s="23"/>
      <x:c r="Q88" s="23"/>
      <x:c r="R88" s="23"/>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23"/>
      <x:c r="P89" s="23"/>
      <x:c r="Q89" s="23"/>
      <x:c r="R89" s="23"/>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23"/>
      <x:c r="P90" s="23"/>
      <x:c r="Q90" s="23"/>
      <x:c r="R90" s="23"/>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23"/>
      <x:c r="P91" s="23"/>
      <x:c r="Q91" s="23"/>
      <x:c r="R91" s="23"/>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23"/>
      <x:c r="P92" s="23"/>
      <x:c r="Q92" s="23"/>
      <x:c r="R92" s="23"/>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23"/>
      <x:c r="P93" s="23"/>
      <x:c r="Q93" s="23"/>
      <x:c r="R93" s="23"/>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23"/>
      <x:c r="P94" s="23"/>
      <x:c r="Q94" s="23"/>
      <x:c r="R94" s="23"/>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23"/>
      <x:c r="P95" s="23"/>
      <x:c r="Q95" s="23"/>
      <x:c r="R95" s="23"/>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23"/>
      <x:c r="P96" s="23"/>
      <x:c r="Q96" s="23"/>
      <x:c r="R96" s="23"/>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23"/>
      <x:c r="P97" s="23"/>
      <x:c r="Q97" s="23"/>
      <x:c r="R97" s="23"/>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23"/>
      <x:c r="P98" s="23"/>
      <x:c r="Q98" s="23"/>
      <x:c r="R98" s="23"/>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23"/>
      <x:c r="P99" s="23"/>
      <x:c r="Q99" s="23"/>
      <x:c r="R99" s="23"/>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23"/>
      <x:c r="P100" s="23"/>
      <x:c r="Q100" s="23"/>
      <x:c r="R100" s="23"/>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23"/>
      <x:c r="P101" s="23"/>
      <x:c r="Q101" s="23"/>
      <x:c r="R101" s="23"/>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23"/>
      <x:c r="P102" s="23"/>
      <x:c r="Q102" s="23"/>
      <x:c r="R102" s="23"/>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23"/>
      <x:c r="P103" s="23"/>
      <x:c r="Q103" s="23"/>
      <x:c r="R103" s="23"/>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23"/>
      <x:c r="P104" s="23"/>
      <x:c r="Q104" s="23"/>
      <x:c r="R104" s="23"/>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23"/>
      <x:c r="P105" s="23"/>
      <x:c r="Q105" s="23"/>
      <x:c r="R105" s="23"/>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23"/>
      <x:c r="P106" s="23"/>
      <x:c r="Q106" s="23"/>
      <x:c r="R106" s="23"/>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23"/>
      <x:c r="P107" s="23"/>
      <x:c r="Q107" s="23"/>
      <x:c r="R107" s="23"/>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23"/>
      <x:c r="P108" s="23"/>
      <x:c r="Q108" s="23"/>
      <x:c r="R108" s="23"/>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23"/>
      <x:c r="P109" s="23"/>
      <x:c r="Q109" s="23"/>
      <x:c r="R109" s="23"/>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23"/>
      <x:c r="P110" s="23"/>
      <x:c r="Q110" s="23"/>
      <x:c r="R110" s="23"/>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23"/>
      <x:c r="P111" s="23"/>
      <x:c r="Q111" s="23"/>
      <x:c r="R111" s="23"/>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23"/>
      <x:c r="P112" s="23"/>
      <x:c r="Q112" s="23"/>
      <x:c r="R112" s="23"/>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23"/>
      <x:c r="P113" s="23"/>
      <x:c r="Q113" s="23"/>
      <x:c r="R113" s="23"/>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23"/>
      <x:c r="P114" s="23"/>
      <x:c r="Q114" s="23"/>
      <x:c r="R114" s="23"/>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23"/>
      <x:c r="P115" s="23"/>
      <x:c r="Q115" s="23"/>
      <x:c r="R115" s="23"/>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23"/>
      <x:c r="P116" s="23"/>
      <x:c r="Q116" s="23"/>
      <x:c r="R116" s="23"/>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23"/>
      <x:c r="P117" s="23"/>
      <x:c r="Q117" s="23"/>
      <x:c r="R117" s="23"/>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23"/>
      <x:c r="P118" s="23"/>
      <x:c r="Q118" s="23"/>
      <x:c r="R118" s="23"/>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23"/>
      <x:c r="P119" s="23"/>
      <x:c r="Q119" s="23"/>
      <x:c r="R119" s="23"/>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23"/>
      <x:c r="P120" s="23"/>
      <x:c r="Q120" s="23"/>
      <x:c r="R120" s="23"/>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23"/>
      <x:c r="P121" s="23"/>
      <x:c r="Q121" s="23"/>
      <x:c r="R121" s="23"/>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23"/>
      <x:c r="P122" s="23"/>
      <x:c r="Q122" s="23"/>
      <x:c r="R122" s="23"/>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23"/>
      <x:c r="P123" s="23"/>
      <x:c r="Q123" s="23"/>
      <x:c r="R123" s="23"/>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23"/>
      <x:c r="P124" s="23"/>
      <x:c r="Q124" s="23"/>
      <x:c r="R124" s="23"/>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23"/>
      <x:c r="P125" s="23"/>
      <x:c r="Q125" s="23"/>
      <x:c r="R125" s="23"/>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23"/>
      <x:c r="P126" s="23"/>
      <x:c r="Q126" s="23"/>
      <x:c r="R126" s="23"/>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23"/>
      <x:c r="P127" s="23"/>
      <x:c r="Q127" s="23"/>
      <x:c r="R127" s="23"/>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23"/>
      <x:c r="P128" s="23"/>
      <x:c r="Q128" s="23"/>
      <x:c r="R128" s="23"/>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23"/>
      <x:c r="P129" s="23"/>
      <x:c r="Q129" s="23"/>
      <x:c r="R129" s="23"/>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23"/>
      <x:c r="P130" s="23"/>
      <x:c r="Q130" s="23"/>
      <x:c r="R130" s="23"/>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23"/>
      <x:c r="P131" s="23"/>
      <x:c r="Q131" s="23"/>
      <x:c r="R131" s="23"/>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23"/>
      <x:c r="P132" s="23"/>
      <x:c r="Q132" s="23"/>
      <x:c r="R132" s="23"/>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23"/>
      <x:c r="P133" s="23"/>
      <x:c r="Q133" s="23"/>
      <x:c r="R133" s="23"/>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23"/>
      <x:c r="P134" s="23"/>
      <x:c r="Q134" s="23"/>
      <x:c r="R134" s="23"/>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23"/>
      <x:c r="P135" s="23"/>
      <x:c r="Q135" s="23"/>
      <x:c r="R135" s="23"/>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23"/>
      <x:c r="P136" s="23"/>
      <x:c r="Q136" s="23"/>
      <x:c r="R136" s="23"/>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23"/>
      <x:c r="P137" s="23"/>
      <x:c r="Q137" s="23"/>
      <x:c r="R137" s="23"/>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23"/>
      <x:c r="P138" s="23"/>
      <x:c r="Q138" s="23"/>
      <x:c r="R138" s="23"/>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23"/>
      <x:c r="P139" s="23"/>
      <x:c r="Q139" s="23"/>
      <x:c r="R139" s="23"/>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23"/>
      <x:c r="P140" s="23"/>
      <x:c r="Q140" s="23"/>
      <x:c r="R140" s="23"/>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23"/>
      <x:c r="P141" s="23"/>
      <x:c r="Q141" s="23"/>
      <x:c r="R141" s="23"/>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23"/>
      <x:c r="P142" s="23"/>
      <x:c r="Q142" s="23"/>
      <x:c r="R142" s="23"/>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23"/>
      <x:c r="P143" s="23"/>
      <x:c r="Q143" s="23"/>
      <x:c r="R143" s="23"/>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23"/>
      <x:c r="P144" s="23"/>
      <x:c r="Q144" s="23"/>
      <x:c r="R144" s="23"/>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23"/>
      <x:c r="P145" s="23"/>
      <x:c r="Q145" s="23"/>
      <x:c r="R145" s="23"/>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23"/>
      <x:c r="P146" s="23"/>
      <x:c r="Q146" s="23"/>
      <x:c r="R146" s="23"/>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23"/>
      <x:c r="P147" s="23"/>
      <x:c r="Q147" s="23"/>
      <x:c r="R147" s="23"/>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23"/>
      <x:c r="P148" s="23"/>
      <x:c r="Q148" s="23"/>
      <x:c r="R148" s="23"/>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23"/>
      <x:c r="P149" s="23"/>
      <x:c r="Q149" s="23"/>
      <x:c r="R149" s="23"/>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23"/>
      <x:c r="P150" s="23"/>
      <x:c r="Q150" s="23"/>
      <x:c r="R150" s="23"/>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23"/>
      <x:c r="P151" s="23"/>
      <x:c r="Q151" s="23"/>
      <x:c r="R151" s="23"/>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23"/>
      <x:c r="P152" s="23"/>
      <x:c r="Q152" s="23"/>
      <x:c r="R152" s="23"/>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23"/>
      <x:c r="P153" s="23"/>
      <x:c r="Q153" s="23"/>
      <x:c r="R153" s="23"/>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23"/>
      <x:c r="P154" s="23"/>
      <x:c r="Q154" s="23"/>
      <x:c r="R154" s="23"/>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23"/>
      <x:c r="P155" s="23"/>
      <x:c r="Q155" s="23"/>
      <x:c r="R155" s="23"/>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23"/>
      <x:c r="P156" s="23"/>
      <x:c r="Q156" s="23"/>
      <x:c r="R156" s="23"/>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23"/>
      <x:c r="P157" s="23"/>
      <x:c r="Q157" s="23"/>
      <x:c r="R157" s="23"/>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23"/>
      <x:c r="P158" s="23"/>
      <x:c r="Q158" s="23"/>
      <x:c r="R158" s="23"/>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23"/>
      <x:c r="P159" s="23"/>
      <x:c r="Q159" s="23"/>
      <x:c r="R159" s="23"/>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23"/>
      <x:c r="P160" s="23"/>
      <x:c r="Q160" s="23"/>
      <x:c r="R160" s="23"/>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23"/>
      <x:c r="P161" s="23"/>
      <x:c r="Q161" s="23"/>
      <x:c r="R161" s="23"/>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23"/>
      <x:c r="P162" s="23"/>
      <x:c r="Q162" s="23"/>
      <x:c r="R162" s="23"/>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23"/>
      <x:c r="P163" s="23"/>
      <x:c r="Q163" s="23"/>
      <x:c r="R163" s="23"/>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23"/>
      <x:c r="P164" s="23"/>
      <x:c r="Q164" s="23"/>
      <x:c r="R164" s="23"/>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23"/>
      <x:c r="P165" s="23"/>
      <x:c r="Q165" s="23"/>
      <x:c r="R165" s="23"/>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23"/>
      <x:c r="P166" s="23"/>
      <x:c r="Q166" s="23"/>
      <x:c r="R166" s="23"/>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23"/>
      <x:c r="P167" s="23"/>
      <x:c r="Q167" s="23"/>
      <x:c r="R167" s="23"/>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23"/>
      <x:c r="P168" s="23"/>
      <x:c r="Q168" s="23"/>
      <x:c r="R168" s="23"/>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23"/>
      <x:c r="P169" s="23"/>
      <x:c r="Q169" s="23"/>
      <x:c r="R169" s="23"/>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23"/>
      <x:c r="P170" s="23"/>
      <x:c r="Q170" s="23"/>
      <x:c r="R170" s="23"/>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23"/>
      <x:c r="P171" s="23"/>
      <x:c r="Q171" s="23"/>
      <x:c r="R171" s="23"/>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23"/>
      <x:c r="P172" s="23"/>
      <x:c r="Q172" s="23"/>
      <x:c r="R172" s="23"/>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23"/>
      <x:c r="P173" s="23"/>
      <x:c r="Q173" s="23"/>
      <x:c r="R173" s="23"/>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23"/>
      <x:c r="P174" s="23"/>
      <x:c r="Q174" s="23"/>
      <x:c r="R174" s="23"/>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23"/>
      <x:c r="P175" s="23"/>
      <x:c r="Q175" s="23"/>
      <x:c r="R175" s="23"/>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23"/>
      <x:c r="P176" s="23"/>
      <x:c r="Q176" s="23"/>
      <x:c r="R176" s="23"/>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23"/>
      <x:c r="P177" s="23"/>
      <x:c r="Q177" s="23"/>
      <x:c r="R177" s="23"/>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23"/>
      <x:c r="P178" s="23"/>
      <x:c r="Q178" s="23"/>
      <x:c r="R178" s="23"/>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23"/>
      <x:c r="P179" s="23"/>
      <x:c r="Q179" s="23"/>
      <x:c r="R179" s="23"/>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23"/>
      <x:c r="P180" s="23"/>
      <x:c r="Q180" s="23"/>
      <x:c r="R180" s="23"/>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23"/>
      <x:c r="P181" s="23"/>
      <x:c r="Q181" s="23"/>
      <x:c r="R181" s="23"/>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23"/>
      <x:c r="P182" s="23"/>
      <x:c r="Q182" s="23"/>
      <x:c r="R182" s="23"/>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23"/>
      <x:c r="P183" s="23"/>
      <x:c r="Q183" s="23"/>
      <x:c r="R183" s="23"/>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23"/>
      <x:c r="P184" s="23"/>
      <x:c r="Q184" s="23"/>
      <x:c r="R184" s="23"/>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23"/>
      <x:c r="P185" s="23"/>
      <x:c r="Q185" s="23"/>
      <x:c r="R185" s="23"/>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23"/>
      <x:c r="P186" s="23"/>
      <x:c r="Q186" s="23"/>
      <x:c r="R186" s="23"/>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23"/>
      <x:c r="P187" s="23"/>
      <x:c r="Q187" s="23"/>
      <x:c r="R187" s="23"/>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23"/>
      <x:c r="P188" s="23"/>
      <x:c r="Q188" s="23"/>
      <x:c r="R188" s="23"/>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23"/>
      <x:c r="P189" s="23"/>
      <x:c r="Q189" s="23"/>
      <x:c r="R189" s="23"/>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23"/>
      <x:c r="P190" s="23"/>
      <x:c r="Q190" s="23"/>
      <x:c r="R190" s="23"/>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23"/>
      <x:c r="P191" s="23"/>
      <x:c r="Q191" s="23"/>
      <x:c r="R191" s="23"/>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23"/>
      <x:c r="P192" s="23"/>
      <x:c r="Q192" s="23"/>
      <x:c r="R192" s="23"/>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23"/>
      <x:c r="P193" s="23"/>
      <x:c r="Q193" s="23"/>
      <x:c r="R193" s="23"/>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23"/>
      <x:c r="P194" s="23"/>
      <x:c r="Q194" s="23"/>
      <x:c r="R194" s="23"/>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23"/>
      <x:c r="P195" s="23"/>
      <x:c r="Q195" s="23"/>
      <x:c r="R195" s="23"/>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23"/>
      <x:c r="P196" s="23"/>
      <x:c r="Q196" s="23"/>
      <x:c r="R196" s="23"/>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23"/>
      <x:c r="P197" s="23"/>
      <x:c r="Q197" s="23"/>
      <x:c r="R197" s="23"/>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23"/>
      <x:c r="P198" s="23"/>
      <x:c r="Q198" s="23"/>
      <x:c r="R198" s="23"/>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23"/>
      <x:c r="P199" s="23"/>
      <x:c r="Q199" s="23"/>
      <x:c r="R199" s="23"/>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23"/>
      <x:c r="P200" s="23"/>
      <x:c r="Q200" s="23"/>
      <x:c r="R200" s="23"/>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23"/>
      <x:c r="P201" s="23"/>
      <x:c r="Q201" s="23"/>
      <x:c r="R201" s="23"/>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23"/>
      <x:c r="P202" s="23"/>
      <x:c r="Q202" s="23"/>
      <x:c r="R202" s="23"/>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23"/>
      <x:c r="P203" s="23"/>
      <x:c r="Q203" s="23"/>
      <x:c r="R203" s="23"/>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23"/>
      <x:c r="P204" s="23"/>
      <x:c r="Q204" s="23"/>
      <x:c r="R204" s="23"/>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23"/>
      <x:c r="P205" s="23"/>
      <x:c r="Q205" s="23"/>
      <x:c r="R205" s="23"/>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23"/>
      <x:c r="P206" s="23"/>
      <x:c r="Q206" s="23"/>
      <x:c r="R206" s="23"/>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23"/>
      <x:c r="P207" s="23"/>
      <x:c r="Q207" s="23"/>
      <x:c r="R207" s="23"/>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23"/>
      <x:c r="P208" s="23"/>
      <x:c r="Q208" s="23"/>
      <x:c r="R208" s="23"/>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23"/>
      <x:c r="P209" s="23"/>
      <x:c r="Q209" s="23"/>
      <x:c r="R209" s="23"/>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23"/>
      <x:c r="P210" s="23"/>
      <x:c r="Q210" s="23"/>
      <x:c r="R210" s="23"/>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23"/>
      <x:c r="P211" s="23"/>
      <x:c r="Q211" s="23"/>
      <x:c r="R211" s="23"/>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23"/>
      <x:c r="P212" s="23"/>
      <x:c r="Q212" s="23"/>
      <x:c r="R212" s="23"/>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23"/>
      <x:c r="P213" s="23"/>
      <x:c r="Q213" s="23"/>
      <x:c r="R213" s="23"/>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23"/>
      <x:c r="P214" s="23"/>
      <x:c r="Q214" s="23"/>
      <x:c r="R214" s="23"/>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23"/>
      <x:c r="P215" s="23"/>
      <x:c r="Q215" s="23"/>
      <x:c r="R215" s="23"/>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23"/>
      <x:c r="P216" s="23"/>
      <x:c r="Q216" s="23"/>
      <x:c r="R216" s="23"/>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23"/>
      <x:c r="P217" s="23"/>
      <x:c r="Q217" s="23"/>
      <x:c r="R217" s="23"/>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23"/>
      <x:c r="P218" s="23"/>
      <x:c r="Q218" s="23"/>
      <x:c r="R218" s="23"/>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23"/>
      <x:c r="P219" s="23"/>
      <x:c r="Q219" s="23"/>
      <x:c r="R219" s="23"/>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23"/>
      <x:c r="P220" s="23"/>
      <x:c r="Q220" s="23"/>
      <x:c r="R220" s="23"/>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23"/>
      <x:c r="P221" s="23"/>
      <x:c r="Q221" s="23"/>
      <x:c r="R221" s="23"/>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23"/>
      <x:c r="P222" s="23"/>
      <x:c r="Q222" s="23"/>
      <x:c r="R222" s="23"/>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23"/>
      <x:c r="P223" s="23"/>
      <x:c r="Q223" s="23"/>
      <x:c r="R223" s="23"/>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23"/>
      <x:c r="P224" s="23"/>
      <x:c r="Q224" s="23"/>
      <x:c r="R224" s="23"/>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23"/>
      <x:c r="P225" s="23"/>
      <x:c r="Q225" s="23"/>
      <x:c r="R225" s="23"/>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23"/>
      <x:c r="P226" s="23"/>
      <x:c r="Q226" s="23"/>
      <x:c r="R226" s="23"/>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23"/>
      <x:c r="P227" s="23"/>
      <x:c r="Q227" s="23"/>
      <x:c r="R227" s="23"/>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23"/>
      <x:c r="P228" s="23"/>
      <x:c r="Q228" s="23"/>
      <x:c r="R228" s="23"/>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23"/>
      <x:c r="P229" s="23"/>
      <x:c r="Q229" s="23"/>
      <x:c r="R229" s="23"/>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23"/>
      <x:c r="P230" s="23"/>
      <x:c r="Q230" s="23"/>
      <x:c r="R230" s="23"/>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23"/>
      <x:c r="P231" s="23"/>
      <x:c r="Q231" s="23"/>
      <x:c r="R231" s="23"/>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23"/>
      <x:c r="P232" s="23"/>
      <x:c r="Q232" s="23"/>
      <x:c r="R232" s="23"/>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23"/>
      <x:c r="P233" s="23"/>
      <x:c r="Q233" s="23"/>
      <x:c r="R233" s="23"/>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23"/>
      <x:c r="P234" s="23"/>
      <x:c r="Q234" s="23"/>
      <x:c r="R234" s="23"/>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23"/>
      <x:c r="P235" s="23"/>
      <x:c r="Q235" s="23"/>
      <x:c r="R235" s="23"/>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23"/>
      <x:c r="P236" s="23"/>
      <x:c r="Q236" s="23"/>
      <x:c r="R236" s="23"/>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23"/>
      <x:c r="P237" s="23"/>
      <x:c r="Q237" s="23"/>
      <x:c r="R237" s="23"/>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23"/>
      <x:c r="P238" s="23"/>
      <x:c r="Q238" s="23"/>
      <x:c r="R238" s="23"/>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23"/>
      <x:c r="P239" s="23"/>
      <x:c r="Q239" s="23"/>
      <x:c r="R239" s="23"/>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23"/>
      <x:c r="P240" s="23"/>
      <x:c r="Q240" s="23"/>
      <x:c r="R240" s="23"/>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23"/>
      <x:c r="P241" s="23"/>
      <x:c r="Q241" s="23"/>
      <x:c r="R241" s="23"/>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23"/>
      <x:c r="P242" s="23"/>
      <x:c r="Q242" s="23"/>
      <x:c r="R242" s="23"/>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23"/>
      <x:c r="P243" s="23"/>
      <x:c r="Q243" s="23"/>
      <x:c r="R243" s="23"/>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23"/>
      <x:c r="P244" s="23"/>
      <x:c r="Q244" s="23"/>
      <x:c r="R244" s="23"/>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23"/>
      <x:c r="P245" s="23"/>
      <x:c r="Q245" s="23"/>
      <x:c r="R245" s="23"/>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23"/>
      <x:c r="P246" s="23"/>
      <x:c r="Q246" s="23"/>
      <x:c r="R246" s="23"/>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23"/>
      <x:c r="P247" s="23"/>
      <x:c r="Q247" s="23"/>
      <x:c r="R247" s="23"/>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23"/>
      <x:c r="P248" s="23"/>
      <x:c r="Q248" s="23"/>
      <x:c r="R248" s="23"/>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23"/>
      <x:c r="P249" s="23"/>
      <x:c r="Q249" s="23"/>
      <x:c r="R249" s="23"/>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23"/>
      <x:c r="P250" s="23"/>
      <x:c r="Q250" s="23"/>
      <x:c r="R250" s="23"/>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23"/>
      <x:c r="P251" s="23"/>
      <x:c r="Q251" s="23"/>
      <x:c r="R251" s="23"/>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23"/>
      <x:c r="P252" s="23"/>
      <x:c r="Q252" s="23"/>
      <x:c r="R252" s="23"/>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23"/>
      <x:c r="P253" s="23"/>
      <x:c r="Q253" s="23"/>
      <x:c r="R253" s="23"/>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23"/>
      <x:c r="P254" s="23"/>
      <x:c r="Q254" s="23"/>
      <x:c r="R254" s="23"/>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23"/>
      <x:c r="P255" s="23"/>
      <x:c r="Q255" s="23"/>
      <x:c r="R255" s="23"/>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23"/>
      <x:c r="P256" s="23"/>
      <x:c r="Q256" s="23"/>
      <x:c r="R256" s="23"/>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23"/>
      <x:c r="P257" s="23"/>
      <x:c r="Q257" s="23"/>
      <x:c r="R257" s="23"/>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23"/>
      <x:c r="P258" s="23"/>
      <x:c r="Q258" s="23"/>
      <x:c r="R258" s="23"/>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23"/>
      <x:c r="P259" s="23"/>
      <x:c r="Q259" s="23"/>
      <x:c r="R259" s="23"/>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23"/>
      <x:c r="P260" s="23"/>
      <x:c r="Q260" s="23"/>
      <x:c r="R260" s="23"/>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23"/>
      <x:c r="P261" s="23"/>
      <x:c r="Q261" s="23"/>
      <x:c r="R261" s="23"/>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23"/>
      <x:c r="P262" s="23"/>
      <x:c r="Q262" s="23"/>
      <x:c r="R262" s="23"/>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23"/>
      <x:c r="P263" s="23"/>
      <x:c r="Q263" s="23"/>
      <x:c r="R263" s="23"/>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23"/>
      <x:c r="P264" s="23"/>
      <x:c r="Q264" s="23"/>
      <x:c r="R264" s="23"/>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23"/>
      <x:c r="P265" s="23"/>
      <x:c r="Q265" s="23"/>
      <x:c r="R265" s="23"/>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23"/>
      <x:c r="P266" s="23"/>
      <x:c r="Q266" s="23"/>
      <x:c r="R266" s="23"/>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23"/>
      <x:c r="P267" s="23"/>
      <x:c r="Q267" s="23"/>
      <x:c r="R267" s="23"/>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23"/>
      <x:c r="P268" s="23"/>
      <x:c r="Q268" s="23"/>
      <x:c r="R268" s="23"/>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23"/>
      <x:c r="P269" s="23"/>
      <x:c r="Q269" s="23"/>
      <x:c r="R269" s="23"/>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23"/>
      <x:c r="P270" s="23"/>
      <x:c r="Q270" s="23"/>
      <x:c r="R270" s="23"/>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23"/>
      <x:c r="P271" s="23"/>
      <x:c r="Q271" s="23"/>
      <x:c r="R271" s="23"/>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23"/>
      <x:c r="P272" s="23"/>
      <x:c r="Q272" s="23"/>
      <x:c r="R272" s="23"/>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23"/>
      <x:c r="P273" s="23"/>
      <x:c r="Q273" s="23"/>
      <x:c r="R273" s="23"/>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23"/>
      <x:c r="P274" s="23"/>
      <x:c r="Q274" s="23"/>
      <x:c r="R274" s="23"/>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23"/>
      <x:c r="P275" s="23"/>
      <x:c r="Q275" s="23"/>
      <x:c r="R275" s="23"/>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23"/>
      <x:c r="P276" s="23"/>
      <x:c r="Q276" s="23"/>
      <x:c r="R276" s="23"/>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23"/>
      <x:c r="P277" s="23"/>
      <x:c r="Q277" s="23"/>
      <x:c r="R277" s="23"/>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23"/>
      <x:c r="P278" s="23"/>
      <x:c r="Q278" s="23"/>
      <x:c r="R278" s="23"/>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23"/>
      <x:c r="P279" s="23"/>
      <x:c r="Q279" s="23"/>
      <x:c r="R279" s="23"/>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23"/>
      <x:c r="P280" s="23"/>
      <x:c r="Q280" s="23"/>
      <x:c r="R280" s="23"/>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23"/>
      <x:c r="P281" s="23"/>
      <x:c r="Q281" s="23"/>
      <x:c r="R281" s="23"/>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23"/>
      <x:c r="P282" s="23"/>
      <x:c r="Q282" s="23"/>
      <x:c r="R282" s="23"/>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23"/>
      <x:c r="P283" s="23"/>
      <x:c r="Q283" s="23"/>
      <x:c r="R283" s="23"/>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23"/>
      <x:c r="P284" s="23"/>
      <x:c r="Q284" s="23"/>
      <x:c r="R284" s="23"/>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23"/>
      <x:c r="P285" s="23"/>
      <x:c r="Q285" s="23"/>
      <x:c r="R285" s="23"/>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23"/>
      <x:c r="P286" s="23"/>
      <x:c r="Q286" s="23"/>
      <x:c r="R286" s="23"/>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23"/>
      <x:c r="P287" s="23"/>
      <x:c r="Q287" s="23"/>
      <x:c r="R287" s="23"/>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23"/>
      <x:c r="P288" s="23"/>
      <x:c r="Q288" s="23"/>
      <x:c r="R288" s="23"/>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23"/>
      <x:c r="P289" s="23"/>
      <x:c r="Q289" s="23"/>
      <x:c r="R289" s="23"/>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23"/>
      <x:c r="P290" s="23"/>
      <x:c r="Q290" s="23"/>
      <x:c r="R290" s="23"/>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23"/>
      <x:c r="P291" s="23"/>
      <x:c r="Q291" s="23"/>
      <x:c r="R291" s="23"/>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23"/>
      <x:c r="P292" s="23"/>
      <x:c r="Q292" s="23"/>
      <x:c r="R292" s="23"/>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23"/>
      <x:c r="P293" s="23"/>
      <x:c r="Q293" s="23"/>
      <x:c r="R293" s="23"/>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23"/>
      <x:c r="P294" s="23"/>
      <x:c r="Q294" s="23"/>
      <x:c r="R294" s="23"/>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23"/>
      <x:c r="P295" s="23"/>
      <x:c r="Q295" s="23"/>
      <x:c r="R295" s="23"/>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23"/>
      <x:c r="P296" s="23"/>
      <x:c r="Q296" s="23"/>
      <x:c r="R296" s="23"/>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23"/>
      <x:c r="P297" s="23"/>
      <x:c r="Q297" s="23"/>
      <x:c r="R297" s="23"/>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23"/>
      <x:c r="P298" s="23"/>
      <x:c r="Q298" s="23"/>
      <x:c r="R298" s="23"/>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23"/>
      <x:c r="P299" s="23"/>
      <x:c r="Q299" s="23"/>
      <x:c r="R299" s="23"/>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23"/>
      <x:c r="P300" s="23"/>
      <x:c r="Q300" s="23"/>
      <x:c r="R300" s="23"/>
      <x:c r="S300" s="23"/>
      <x:c r="T300" s="23"/>
      <x:c r="U300" s="23"/>
      <x:c r="V300" s="23"/>
      <x:c r="W300" s="23"/>
      <x:c r="X300" s="23"/>
      <x:c r="Y300" s="23"/>
      <x:c r="Z300" s="23"/>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8" hidden="0" customWidth="1"/>
    <x:col min="5" max="5" width="34" hidden="0" customWidth="1"/>
    <x:col min="6" max="6" width="35" hidden="0" customWidth="1"/>
    <x:col min="7" max="7" width="16" hidden="0" customWidth="1"/>
    <x:col min="8" max="8" width="24" hidden="0" customWidth="1"/>
    <x:col min="9" max="9" width="22" hidden="0" customWidth="1"/>
    <x:col min="10" max="10" width="20" hidden="0" customWidth="1"/>
    <x:col min="11" max="11" width="26" hidden="0" customWidth="1"/>
    <x:col min="12" max="12" width="50" hidden="0" customWidth="1"/>
    <x:col min="13" max="13" width="20" hidden="0" customWidth="1"/>
    <x:col min="14" max="14" width="48" hidden="0" customWidth="1"/>
    <x:col min="15" max="15" width="20" hidden="0" customWidth="1"/>
    <x:col min="16" max="16" width="18" hidden="0" customWidth="1"/>
    <x:col min="17" max="17" width="22" hidden="0" customWidth="1"/>
    <x:col min="18" max="18" width="48" hidden="0" customWidth="1"/>
    <x:col min="19" max="19" width="24" hidden="0" customWidth="1"/>
    <x:col min="20" max="20" width="38" hidden="0" customWidth="1"/>
  </x:cols>
  <x:sheetData>
    <x:row r="1" ht="34" customHeight="1">
      <x:c r="A1" s="45" t="str">
        <x:v>profile_record_id</x:v>
      </x:c>
      <x:c r="B1" s="45" t="str">
        <x:v>protein</x:v>
      </x:c>
      <x:c r="C1" s="45" t="str">
        <x:v>family_id</x:v>
      </x:c>
      <x:c r="D1" s="45" t="str">
        <x:v>preparation_state</x:v>
      </x:c>
      <x:c r="E1" s="45" t="str">
        <x:v>cut_or_part</x:v>
      </x:c>
      <x:c r="F1" s="45" t="str">
        <x:v>compound_name</x:v>
      </x:c>
      <x:c r="G1" s="45" t="str">
        <x:v>cas</x:v>
      </x:c>
      <x:c r="H1" s="45" t="str">
        <x:v>compound_group</x:v>
      </x:c>
      <x:c r="I1" s="45" t="str">
        <x:v>evidence_mode</x:v>
      </x:c>
      <x:c r="J1" s="45" t="str">
        <x:v>direct_source_state</x:v>
      </x:c>
      <x:c r="K1" s="45" t="str">
        <x:v>importance_class</x:v>
      </x:c>
      <x:c r="L1" s="45" t="str">
        <x:v>importance_detail</x:v>
      </x:c>
      <x:c r="M1" s="45" t="str">
        <x:v>source_id</x:v>
      </x:c>
      <x:c r="N1" s="45" t="str">
        <x:v>source_url</x:v>
      </x:c>
      <x:c r="O1" s="45" t="str">
        <x:v>inherits_from_state</x:v>
      </x:c>
      <x:c r="P1" s="45" t="str">
        <x:v>equivalence_rule_id</x:v>
      </x:c>
      <x:c r="Q1" s="45" t="str">
        <x:v>promotion_status</x:v>
      </x:c>
      <x:c r="R1" s="45" t="str">
        <x:v>notes</x:v>
      </x:c>
      <x:c r="S1" s="221" t="str">
        <x:v>document_frequency_eligible</x:v>
      </x:c>
      <x:c r="T1" s="221" t="str">
        <x:v>document_frequency_exclusion_reason</x:v>
      </x:c>
      <x:c r="U1" s="23"/>
      <x:c r="V1" s="23"/>
      <x:c r="W1" s="23"/>
      <x:c r="X1" s="23"/>
      <x:c r="Y1" s="23"/>
      <x:c r="Z1" s="23"/>
    </x:row>
    <x:row r="2">
      <x:c r="A2" s="46" t="str">
        <x:v>DP-001</x:v>
      </x:c>
      <x:c r="B2" s="46" t="str">
        <x:v>duck</x:v>
      </x:c>
      <x:c r="C2" s="46" t="str">
        <x:v>family:poultry</x:v>
      </x:c>
      <x:c r="D2" s="46" t="str">
        <x:v>raw</x:v>
      </x:c>
      <x:c r="E2" s="46" t="str">
        <x:v>raw duck meat; breed-comparison study</x:v>
      </x:c>
      <x:c r="F2" s="46" t="str">
        <x:v>hexanal</x:v>
      </x:c>
      <x:c r="G2" s="46" t="str">
        <x:v>66-25-1</x:v>
      </x:c>
      <x:c r="H2" s="46" t="str">
        <x:v>Carbonyls, aldehydes</x:v>
      </x:c>
      <x:c r="I2" s="46" t="str">
        <x:v>measured</x:v>
      </x:c>
      <x:c r="J2" s="46" t="str">
        <x:v>raw</x:v>
      </x:c>
      <x:c r="K2" s="46" t="str">
        <x:v>abundant_across_breeds</x:v>
      </x:c>
      <x:c r="L2" s="46" t="str">
        <x:v>Reported abundantly present regardless of breed in the source study.</x:v>
      </x:c>
      <x:c r="M2" s="46" t="str">
        <x:v>SRC-DUCK-RAW-001</x:v>
      </x:c>
      <x:c r="N2" s="46" t="str">
        <x:v>https://pubmed.ncbi.nlm.nih.gov/36553717/</x:v>
      </x:c>
      <x:c r="O2" s="46" t="str"/>
      <x:c r="P2" s="46" t="str"/>
      <x:c r="Q2" s="46" t="str">
        <x:v>eligible_for_duck_pilot</x:v>
      </x:c>
      <x:c r="R2" s="46" t="str"/>
      <x:c r="S2" s="23" t="str">
        <x:f>IF(OR(I2="founder_equivalence",LEFT(K2,9)="inherited"),"no","yes")</x:f>
        <x:v>yes</x:v>
      </x:c>
      <x:c r="T2" s="23" t="str">
        <x:f>IF(S2="no","MR-16 inherited/equivalence row","")</x:f>
      </x:c>
      <x:c r="U2" s="23"/>
      <x:c r="V2" s="23"/>
      <x:c r="W2" s="23"/>
      <x:c r="X2" s="23"/>
      <x:c r="Y2" s="23"/>
      <x:c r="Z2" s="23"/>
    </x:row>
    <x:row r="3">
      <x:c r="A3" s="46" t="str">
        <x:v>DP-002</x:v>
      </x:c>
      <x:c r="B3" s="46" t="str">
        <x:v>duck</x:v>
      </x:c>
      <x:c r="C3" s="46" t="str">
        <x:v>family:poultry</x:v>
      </x:c>
      <x:c r="D3" s="46" t="str">
        <x:v>raw</x:v>
      </x:c>
      <x:c r="E3" s="46" t="str">
        <x:v>raw duck meat; breed-comparison study</x:v>
      </x:c>
      <x:c r="F3" s="46" t="str">
        <x:v>nonanal</x:v>
      </x:c>
      <x:c r="G3" s="46" t="str">
        <x:v>124-19-6</x:v>
      </x:c>
      <x:c r="H3" s="46" t="str">
        <x:v>Carbonyls, aldehydes</x:v>
      </x:c>
      <x:c r="I3" s="46" t="str">
        <x:v>measured</x:v>
      </x:c>
      <x:c r="J3" s="46" t="str">
        <x:v>raw</x:v>
      </x:c>
      <x:c r="K3" s="46" t="str">
        <x:v>abundant_across_breeds</x:v>
      </x:c>
      <x:c r="L3" s="46" t="str">
        <x:v>Reported abundantly present regardless of breed in the source study.</x:v>
      </x:c>
      <x:c r="M3" s="46" t="str">
        <x:v>SRC-DUCK-RAW-001</x:v>
      </x:c>
      <x:c r="N3" s="46" t="str">
        <x:v>https://pubmed.ncbi.nlm.nih.gov/36553717/</x:v>
      </x:c>
      <x:c r="O3" s="46" t="str"/>
      <x:c r="P3" s="46" t="str"/>
      <x:c r="Q3" s="46" t="str">
        <x:v>eligible_for_duck_pilot</x:v>
      </x:c>
      <x:c r="R3" s="46" t="str"/>
      <x:c r="S3" s="23" t="str">
        <x:f>IF(OR(I3="founder_equivalence",LEFT(K3,9)="inherited"),"no","yes")</x:f>
        <x:v>yes</x:v>
      </x:c>
      <x:c r="T3" s="23" t="str">
        <x:f>IF(S3="no","MR-16 inherited/equivalence row","")</x:f>
      </x:c>
      <x:c r="U3" s="23"/>
      <x:c r="V3" s="23"/>
      <x:c r="W3" s="23"/>
      <x:c r="X3" s="23"/>
      <x:c r="Y3" s="23"/>
      <x:c r="Z3" s="23"/>
    </x:row>
    <x:row r="4">
      <x:c r="A4" s="46" t="str">
        <x:v>DP-003</x:v>
      </x:c>
      <x:c r="B4" s="46" t="str">
        <x:v>duck</x:v>
      </x:c>
      <x:c r="C4" s="46" t="str">
        <x:v>family:poultry</x:v>
      </x:c>
      <x:c r="D4" s="46" t="str">
        <x:v>raw</x:v>
      </x:c>
      <x:c r="E4" s="46" t="str">
        <x:v>raw duck meat; breed-comparison study</x:v>
      </x:c>
      <x:c r="F4" s="46" t="str">
        <x:v>octanal</x:v>
      </x:c>
      <x:c r="G4" s="46" t="str">
        <x:v>124-13-0</x:v>
      </x:c>
      <x:c r="H4" s="46" t="str">
        <x:v>Carbonyls, aldehydes</x:v>
      </x:c>
      <x:c r="I4" s="46" t="str">
        <x:v>measured</x:v>
      </x:c>
      <x:c r="J4" s="46" t="str">
        <x:v>raw</x:v>
      </x:c>
      <x:c r="K4" s="46" t="str">
        <x:v>abundant_across_breeds</x:v>
      </x:c>
      <x:c r="L4" s="46" t="str">
        <x:v>Reported abundantly present regardless of breed in the source study.</x:v>
      </x:c>
      <x:c r="M4" s="46" t="str">
        <x:v>SRC-DUCK-RAW-001</x:v>
      </x:c>
      <x:c r="N4" s="46" t="str">
        <x:v>https://pubmed.ncbi.nlm.nih.gov/36553717/</x:v>
      </x:c>
      <x:c r="O4" s="46" t="str"/>
      <x:c r="P4" s="46" t="str"/>
      <x:c r="Q4" s="46" t="str">
        <x:v>eligible_for_duck_pilot</x:v>
      </x:c>
      <x:c r="R4" s="46" t="str"/>
      <x:c r="S4" s="23" t="str">
        <x:f>IF(OR(I4="founder_equivalence",LEFT(K4,9)="inherited"),"no","yes")</x:f>
        <x:v>yes</x:v>
      </x:c>
      <x:c r="T4" s="23" t="str">
        <x:f>IF(S4="no","MR-16 inherited/equivalence row","")</x:f>
      </x:c>
      <x:c r="U4" s="23"/>
      <x:c r="V4" s="23"/>
      <x:c r="W4" s="23"/>
      <x:c r="X4" s="23"/>
      <x:c r="Y4" s="23"/>
      <x:c r="Z4" s="23"/>
    </x:row>
    <x:row r="5">
      <x:c r="A5" s="46" t="str">
        <x:v>DP-004</x:v>
      </x:c>
      <x:c r="B5" s="46" t="str">
        <x:v>duck</x:v>
      </x:c>
      <x:c r="C5" s="46" t="str">
        <x:v>family:poultry</x:v>
      </x:c>
      <x:c r="D5" s="46" t="str">
        <x:v>raw</x:v>
      </x:c>
      <x:c r="E5" s="46" t="str">
        <x:v>raw duck meat; breed-comparison study</x:v>
      </x:c>
      <x:c r="F5" s="46" t="str">
        <x:v>heptanal</x:v>
      </x:c>
      <x:c r="G5" s="46" t="str">
        <x:v>111-71-7</x:v>
      </x:c>
      <x:c r="H5" s="46" t="str">
        <x:v>Carbonyls, aldehydes</x:v>
      </x:c>
      <x:c r="I5" s="46" t="str">
        <x:v>measured</x:v>
      </x:c>
      <x:c r="J5" s="46" t="str">
        <x:v>raw</x:v>
      </x:c>
      <x:c r="K5" s="46" t="str">
        <x:v>abundant_across_breeds</x:v>
      </x:c>
      <x:c r="L5" s="46" t="str">
        <x:v>Reported abundantly present regardless of breed in the source study.</x:v>
      </x:c>
      <x:c r="M5" s="46" t="str">
        <x:v>SRC-DUCK-RAW-001</x:v>
      </x:c>
      <x:c r="N5" s="46" t="str">
        <x:v>https://pubmed.ncbi.nlm.nih.gov/36553717/</x:v>
      </x:c>
      <x:c r="O5" s="46" t="str"/>
      <x:c r="P5" s="46" t="str"/>
      <x:c r="Q5" s="46" t="str">
        <x:v>eligible_for_duck_pilot</x:v>
      </x:c>
      <x:c r="R5" s="46" t="str"/>
      <x:c r="S5" s="23" t="str">
        <x:f>IF(OR(I5="founder_equivalence",LEFT(K5,9)="inherited"),"no","yes")</x:f>
        <x:v>yes</x:v>
      </x:c>
      <x:c r="T5" s="23" t="str">
        <x:f>IF(S5="no","MR-16 inherited/equivalence row","")</x:f>
      </x:c>
      <x:c r="U5" s="23"/>
      <x:c r="V5" s="23"/>
      <x:c r="W5" s="23"/>
      <x:c r="X5" s="23"/>
      <x:c r="Y5" s="23"/>
      <x:c r="Z5" s="23"/>
    </x:row>
    <x:row r="6">
      <x:c r="A6" s="46" t="str">
        <x:v>DP-005</x:v>
      </x:c>
      <x:c r="B6" s="46" t="str">
        <x:v>duck</x:v>
      </x:c>
      <x:c r="C6" s="46" t="str">
        <x:v>family:poultry</x:v>
      </x:c>
      <x:c r="D6" s="46" t="str">
        <x:v>raw</x:v>
      </x:c>
      <x:c r="E6" s="46" t="str">
        <x:v>raw duck meat; breed-comparison study</x:v>
      </x:c>
      <x:c r="F6" s="46" t="str">
        <x:v>2-pentylfuran</x:v>
      </x:c>
      <x:c r="G6" s="46" t="str">
        <x:v>3777-69-3</x:v>
      </x:c>
      <x:c r="H6" s="46" t="str">
        <x:v>Furans</x:v>
      </x:c>
      <x:c r="I6" s="46" t="str">
        <x:v>measured</x:v>
      </x:c>
      <x:c r="J6" s="46" t="str">
        <x:v>raw</x:v>
      </x:c>
      <x:c r="K6" s="46" t="str">
        <x:v>abundant_across_breeds</x:v>
      </x:c>
      <x:c r="L6" s="46" t="str">
        <x:v>Reported abundantly present regardless of breed in the source study.</x:v>
      </x:c>
      <x:c r="M6" s="46" t="str">
        <x:v>SRC-DUCK-RAW-001</x:v>
      </x:c>
      <x:c r="N6" s="46" t="str">
        <x:v>https://pubmed.ncbi.nlm.nih.gov/36553717/</x:v>
      </x:c>
      <x:c r="O6" s="46" t="str"/>
      <x:c r="P6" s="46" t="str"/>
      <x:c r="Q6" s="46" t="str">
        <x:v>eligible_for_duck_pilot</x:v>
      </x:c>
      <x:c r="R6" s="46" t="str"/>
      <x:c r="S6" s="23" t="str">
        <x:f>IF(OR(I6="founder_equivalence",LEFT(K6,9)="inherited"),"no","yes")</x:f>
        <x:v>yes</x:v>
      </x:c>
      <x:c r="T6" s="23" t="str">
        <x:f>IF(S6="no","MR-16 inherited/equivalence row","")</x:f>
      </x:c>
      <x:c r="U6" s="23"/>
      <x:c r="V6" s="23"/>
      <x:c r="W6" s="23"/>
      <x:c r="X6" s="23"/>
      <x:c r="Y6" s="23"/>
      <x:c r="Z6" s="23"/>
    </x:row>
    <x:row r="7">
      <x:c r="A7" s="46" t="str">
        <x:v>DP-006</x:v>
      </x:c>
      <x:c r="B7" s="46" t="str">
        <x:v>duck</x:v>
      </x:c>
      <x:c r="C7" s="46" t="str">
        <x:v>family:poultry</x:v>
      </x:c>
      <x:c r="D7" s="46" t="str">
        <x:v>cooked</x:v>
      </x:c>
      <x:c r="E7" s="46" t="str">
        <x:v>duck breast; 90/100/105 °C</x:v>
      </x:c>
      <x:c r="F7" s="46" t="str">
        <x:v>nonanal</x:v>
      </x:c>
      <x:c r="G7" s="46" t="str">
        <x:v>124-19-6</x:v>
      </x:c>
      <x:c r="H7" s="46" t="str">
        <x:v>Carbonyls, aldehydes</x:v>
      </x:c>
      <x:c r="I7" s="46" t="str">
        <x:v>measured</x:v>
      </x:c>
      <x:c r="J7" s="46" t="str">
        <x:v>cooked</x:v>
      </x:c>
      <x:c r="K7" s="46" t="str">
        <x:v>characteristic_ROAV_VIP</x:v>
      </x:c>
      <x:c r="L7" s="46" t="str">
        <x:v>Among 13 ROAV/sensory-critical volatiles, these nine were further screened with VIP&gt;1.</x:v>
      </x:c>
      <x:c r="M7" s="46" t="str">
        <x:v>SRC-DUCK-COOK-001</x:v>
      </x:c>
      <x:c r="N7" s="46" t="str">
        <x:v>https://pmc.ncbi.nlm.nih.gov/articles/PMC10900772/</x:v>
      </x:c>
      <x:c r="O7" s="46" t="str"/>
      <x:c r="P7" s="46" t="str"/>
      <x:c r="Q7" s="46" t="str">
        <x:v>eligible_for_duck_pilot</x:v>
      </x:c>
      <x:c r="R7" s="46" t="str"/>
      <x:c r="S7" s="23" t="str">
        <x:f>IF(OR(I7="founder_equivalence",LEFT(K7,9)="inherited"),"no","yes")</x:f>
        <x:v>yes</x:v>
      </x:c>
      <x:c r="T7" s="23" t="str">
        <x:f>IF(S7="no","MR-16 inherited/equivalence row","")</x:f>
      </x:c>
      <x:c r="U7" s="23"/>
      <x:c r="V7" s="23"/>
      <x:c r="W7" s="23"/>
      <x:c r="X7" s="23"/>
      <x:c r="Y7" s="23"/>
      <x:c r="Z7" s="23"/>
    </x:row>
    <x:row r="8">
      <x:c r="A8" s="46" t="str">
        <x:v>DP-007</x:v>
      </x:c>
      <x:c r="B8" s="46" t="str">
        <x:v>duck</x:v>
      </x:c>
      <x:c r="C8" s="46" t="str">
        <x:v>family:poultry</x:v>
      </x:c>
      <x:c r="D8" s="46" t="str">
        <x:v>cooked</x:v>
      </x:c>
      <x:c r="E8" s="46" t="str">
        <x:v>duck breast; 90/100/105 °C</x:v>
      </x:c>
      <x:c r="F8" s="46" t="str">
        <x:v>2-methylbutanal</x:v>
      </x:c>
      <x:c r="G8" s="46" t="str">
        <x:v>96-17-3</x:v>
      </x:c>
      <x:c r="H8" s="46" t="str">
        <x:v>Carbonyls, aldehydes</x:v>
      </x:c>
      <x:c r="I8" s="46" t="str">
        <x:v>measured</x:v>
      </x:c>
      <x:c r="J8" s="46" t="str">
        <x:v>cooked</x:v>
      </x:c>
      <x:c r="K8" s="46" t="str">
        <x:v>characteristic_ROAV_VIP</x:v>
      </x:c>
      <x:c r="L8" s="46" t="str">
        <x:v>Among 13 ROAV/sensory-critical volatiles, these nine were further screened with VIP&gt;1.</x:v>
      </x:c>
      <x:c r="M8" s="46" t="str">
        <x:v>SRC-DUCK-COOK-001</x:v>
      </x:c>
      <x:c r="N8" s="46" t="str">
        <x:v>https://pmc.ncbi.nlm.nih.gov/articles/PMC10900772/</x:v>
      </x:c>
      <x:c r="O8" s="46" t="str"/>
      <x:c r="P8" s="46" t="str"/>
      <x:c r="Q8" s="46" t="str">
        <x:v>eligible_for_duck_pilot</x:v>
      </x:c>
      <x:c r="R8" s="46" t="str"/>
      <x:c r="S8" s="23" t="str">
        <x:f>IF(OR(I8="founder_equivalence",LEFT(K8,9)="inherited"),"no","yes")</x:f>
        <x:v>yes</x:v>
      </x:c>
      <x:c r="T8" s="23" t="str">
        <x:f>IF(S8="no","MR-16 inherited/equivalence row","")</x:f>
      </x:c>
      <x:c r="U8" s="23"/>
      <x:c r="V8" s="23"/>
      <x:c r="W8" s="23"/>
      <x:c r="X8" s="23"/>
      <x:c r="Y8" s="23"/>
      <x:c r="Z8" s="23"/>
    </x:row>
    <x:row r="9">
      <x:c r="A9" s="46" t="str">
        <x:v>DP-008</x:v>
      </x:c>
      <x:c r="B9" s="46" t="str">
        <x:v>duck</x:v>
      </x:c>
      <x:c r="C9" s="46" t="str">
        <x:v>family:poultry</x:v>
      </x:c>
      <x:c r="D9" s="46" t="str">
        <x:v>cooked</x:v>
      </x:c>
      <x:c r="E9" s="46" t="str">
        <x:v>duck breast; 90/100/105 °C</x:v>
      </x:c>
      <x:c r="F9" s="46" t="str">
        <x:v>pentanal</x:v>
      </x:c>
      <x:c r="G9" s="46" t="str">
        <x:v>110-62-3</x:v>
      </x:c>
      <x:c r="H9" s="46" t="str">
        <x:v>Carbonyls, aldehydes</x:v>
      </x:c>
      <x:c r="I9" s="46" t="str">
        <x:v>measured</x:v>
      </x:c>
      <x:c r="J9" s="46" t="str">
        <x:v>cooked</x:v>
      </x:c>
      <x:c r="K9" s="46" t="str">
        <x:v>characteristic_ROAV_VIP</x:v>
      </x:c>
      <x:c r="L9" s="46" t="str">
        <x:v>Among 13 ROAV/sensory-critical volatiles, these nine were further screened with VIP&gt;1.</x:v>
      </x:c>
      <x:c r="M9" s="46" t="str">
        <x:v>SRC-DUCK-COOK-001</x:v>
      </x:c>
      <x:c r="N9" s="46" t="str">
        <x:v>https://pmc.ncbi.nlm.nih.gov/articles/PMC10900772/</x:v>
      </x:c>
      <x:c r="O9" s="46" t="str"/>
      <x:c r="P9" s="46" t="str"/>
      <x:c r="Q9" s="46" t="str">
        <x:v>eligible_for_duck_pilot</x:v>
      </x:c>
      <x:c r="R9" s="46" t="str"/>
      <x:c r="S9" s="23" t="str">
        <x:f>IF(OR(I9="founder_equivalence",LEFT(K9,9)="inherited"),"no","yes")</x:f>
        <x:v>yes</x:v>
      </x:c>
      <x:c r="T9" s="23" t="str">
        <x:f>IF(S9="no","MR-16 inherited/equivalence row","")</x:f>
      </x:c>
      <x:c r="U9" s="23"/>
      <x:c r="V9" s="23"/>
      <x:c r="W9" s="23"/>
      <x:c r="X9" s="23"/>
      <x:c r="Y9" s="23"/>
      <x:c r="Z9" s="23"/>
    </x:row>
    <x:row r="10">
      <x:c r="A10" s="46" t="str">
        <x:v>DP-009</x:v>
      </x:c>
      <x:c r="B10" s="46" t="str">
        <x:v>duck</x:v>
      </x:c>
      <x:c r="C10" s="46" t="str">
        <x:v>family:poultry</x:v>
      </x:c>
      <x:c r="D10" s="46" t="str">
        <x:v>cooked</x:v>
      </x:c>
      <x:c r="E10" s="46" t="str">
        <x:v>duck breast; 90/100/105 °C</x:v>
      </x:c>
      <x:c r="F10" s="46" t="str">
        <x:v>octanal</x:v>
      </x:c>
      <x:c r="G10" s="46" t="str">
        <x:v>124-13-0</x:v>
      </x:c>
      <x:c r="H10" s="46" t="str">
        <x:v>Carbonyls, aldehydes</x:v>
      </x:c>
      <x:c r="I10" s="46" t="str">
        <x:v>measured</x:v>
      </x:c>
      <x:c r="J10" s="46" t="str">
        <x:v>cooked</x:v>
      </x:c>
      <x:c r="K10" s="46" t="str">
        <x:v>characteristic_ROAV_VIP</x:v>
      </x:c>
      <x:c r="L10" s="46" t="str">
        <x:v>Among 13 ROAV/sensory-critical volatiles, these nine were further screened with VIP&gt;1.</x:v>
      </x:c>
      <x:c r="M10" s="46" t="str">
        <x:v>SRC-DUCK-COOK-001</x:v>
      </x:c>
      <x:c r="N10" s="46" t="str">
        <x:v>https://pmc.ncbi.nlm.nih.gov/articles/PMC10900772/</x:v>
      </x:c>
      <x:c r="O10" s="46" t="str"/>
      <x:c r="P10" s="46" t="str"/>
      <x:c r="Q10" s="46" t="str">
        <x:v>eligible_for_duck_pilot</x:v>
      </x:c>
      <x:c r="R10" s="46" t="str"/>
      <x:c r="S10" s="23" t="str">
        <x:f>IF(OR(I10="founder_equivalence",LEFT(K10,9)="inherited"),"no","yes")</x:f>
        <x:v>yes</x:v>
      </x:c>
      <x:c r="T10" s="23" t="str">
        <x:f>IF(S10="no","MR-16 inherited/equivalence row","")</x:f>
      </x:c>
      <x:c r="U10" s="23"/>
      <x:c r="V10" s="23"/>
      <x:c r="W10" s="23"/>
      <x:c r="X10" s="23"/>
      <x:c r="Y10" s="23"/>
      <x:c r="Z10" s="23"/>
    </x:row>
    <x:row r="11">
      <x:c r="A11" s="46" t="str">
        <x:v>DP-010</x:v>
      </x:c>
      <x:c r="B11" s="46" t="str">
        <x:v>duck</x:v>
      </x:c>
      <x:c r="C11" s="46" t="str">
        <x:v>family:poultry</x:v>
      </x:c>
      <x:c r="D11" s="46" t="str">
        <x:v>cooked</x:v>
      </x:c>
      <x:c r="E11" s="46" t="str">
        <x:v>duck breast; 90/100/105 °C</x:v>
      </x:c>
      <x:c r="F11" s="46" t="str">
        <x:v>heptanal</x:v>
      </x:c>
      <x:c r="G11" s="46" t="str">
        <x:v>111-71-7</x:v>
      </x:c>
      <x:c r="H11" s="46" t="str">
        <x:v>Carbonyls, aldehydes</x:v>
      </x:c>
      <x:c r="I11" s="46" t="str">
        <x:v>measured</x:v>
      </x:c>
      <x:c r="J11" s="46" t="str">
        <x:v>cooked</x:v>
      </x:c>
      <x:c r="K11" s="46" t="str">
        <x:v>characteristic_ROAV_VIP</x:v>
      </x:c>
      <x:c r="L11" s="46" t="str">
        <x:v>Among 13 ROAV/sensory-critical volatiles, these nine were further screened with VIP&gt;1.</x:v>
      </x:c>
      <x:c r="M11" s="46" t="str">
        <x:v>SRC-DUCK-COOK-001</x:v>
      </x:c>
      <x:c r="N11" s="46" t="str">
        <x:v>https://pmc.ncbi.nlm.nih.gov/articles/PMC10900772/</x:v>
      </x:c>
      <x:c r="O11" s="46" t="str"/>
      <x:c r="P11" s="46" t="str"/>
      <x:c r="Q11" s="46" t="str">
        <x:v>eligible_for_duck_pilot</x:v>
      </x:c>
      <x:c r="R11" s="46" t="str"/>
      <x:c r="S11" s="23" t="str">
        <x:f>IF(OR(I11="founder_equivalence",LEFT(K11,9)="inherited"),"no","yes")</x:f>
        <x:v>yes</x:v>
      </x:c>
      <x:c r="T11" s="23" t="str">
        <x:f>IF(S11="no","MR-16 inherited/equivalence row","")</x:f>
      </x:c>
      <x:c r="U11" s="23"/>
      <x:c r="V11" s="23"/>
      <x:c r="W11" s="23"/>
      <x:c r="X11" s="23"/>
      <x:c r="Y11" s="23"/>
      <x:c r="Z11" s="23"/>
    </x:row>
    <x:row r="12">
      <x:c r="A12" s="46" t="str">
        <x:v>DP-011</x:v>
      </x:c>
      <x:c r="B12" s="46" t="str">
        <x:v>duck</x:v>
      </x:c>
      <x:c r="C12" s="46" t="str">
        <x:v>family:poultry</x:v>
      </x:c>
      <x:c r="D12" s="46" t="str">
        <x:v>cooked</x:v>
      </x:c>
      <x:c r="E12" s="46" t="str">
        <x:v>duck breast; 90/100/105 °C</x:v>
      </x:c>
      <x:c r="F12" s="46" t="str">
        <x:v>hexanal</x:v>
      </x:c>
      <x:c r="G12" s="46" t="str">
        <x:v>66-25-1</x:v>
      </x:c>
      <x:c r="H12" s="46" t="str">
        <x:v>Carbonyls, aldehydes</x:v>
      </x:c>
      <x:c r="I12" s="46" t="str">
        <x:v>measured</x:v>
      </x:c>
      <x:c r="J12" s="46" t="str">
        <x:v>cooked</x:v>
      </x:c>
      <x:c r="K12" s="46" t="str">
        <x:v>characteristic_ROAV_VIP</x:v>
      </x:c>
      <x:c r="L12" s="46" t="str">
        <x:v>Among 13 ROAV/sensory-critical volatiles, these nine were further screened with VIP&gt;1.</x:v>
      </x:c>
      <x:c r="M12" s="46" t="str">
        <x:v>SRC-DUCK-COOK-001</x:v>
      </x:c>
      <x:c r="N12" s="46" t="str">
        <x:v>https://pmc.ncbi.nlm.nih.gov/articles/PMC10900772/</x:v>
      </x:c>
      <x:c r="O12" s="46" t="str"/>
      <x:c r="P12" s="46" t="str"/>
      <x:c r="Q12" s="46" t="str">
        <x:v>eligible_for_duck_pilot</x:v>
      </x:c>
      <x:c r="R12" s="46" t="str"/>
      <x:c r="S12" s="23" t="str">
        <x:f>IF(OR(I12="founder_equivalence",LEFT(K12,9)="inherited"),"no","yes")</x:f>
        <x:v>yes</x:v>
      </x:c>
      <x:c r="T12" s="23" t="str">
        <x:f>IF(S12="no","MR-16 inherited/equivalence row","")</x:f>
      </x:c>
      <x:c r="U12" s="23"/>
      <x:c r="V12" s="23"/>
      <x:c r="W12" s="23"/>
      <x:c r="X12" s="23"/>
      <x:c r="Y12" s="23"/>
      <x:c r="Z12" s="23"/>
    </x:row>
    <x:row r="13">
      <x:c r="A13" s="46" t="str">
        <x:v>DP-012</x:v>
      </x:c>
      <x:c r="B13" s="46" t="str">
        <x:v>duck</x:v>
      </x:c>
      <x:c r="C13" s="46" t="str">
        <x:v>family:poultry</x:v>
      </x:c>
      <x:c r="D13" s="46" t="str">
        <x:v>cooked</x:v>
      </x:c>
      <x:c r="E13" s="46" t="str">
        <x:v>duck breast; 90/100/105 °C</x:v>
      </x:c>
      <x:c r="F13" s="46" t="str">
        <x:v>(E)-2-octenal</x:v>
      </x:c>
      <x:c r="G13" s="46" t="str">
        <x:v>2548-87-0</x:v>
      </x:c>
      <x:c r="H13" s="46" t="str">
        <x:v>Carbonyls, aldehydes</x:v>
      </x:c>
      <x:c r="I13" s="46" t="str">
        <x:v>measured</x:v>
      </x:c>
      <x:c r="J13" s="46" t="str">
        <x:v>cooked</x:v>
      </x:c>
      <x:c r="K13" s="46" t="str">
        <x:v>characteristic_ROAV_VIP</x:v>
      </x:c>
      <x:c r="L13" s="46" t="str">
        <x:v>Among 13 ROAV/sensory-critical volatiles, these nine were further screened with VIP&gt;1.</x:v>
      </x:c>
      <x:c r="M13" s="46" t="str">
        <x:v>SRC-DUCK-COOK-001</x:v>
      </x:c>
      <x:c r="N13" s="46" t="str">
        <x:v>https://pmc.ncbi.nlm.nih.gov/articles/PMC10900772/</x:v>
      </x:c>
      <x:c r="O13" s="46" t="str"/>
      <x:c r="P13" s="46" t="str"/>
      <x:c r="Q13" s="46" t="str">
        <x:v>eligible_for_duck_pilot</x:v>
      </x:c>
      <x:c r="R13" s="46" t="str"/>
      <x:c r="S13" s="23" t="str">
        <x:f>IF(OR(I13="founder_equivalence",LEFT(K13,9)="inherited"),"no","yes")</x:f>
        <x:v>yes</x:v>
      </x:c>
      <x:c r="T13" s="23" t="str">
        <x:f>IF(S13="no","MR-16 inherited/equivalence row","")</x:f>
      </x:c>
      <x:c r="U13" s="23"/>
      <x:c r="V13" s="23"/>
      <x:c r="W13" s="23"/>
      <x:c r="X13" s="23"/>
      <x:c r="Y13" s="23"/>
      <x:c r="Z13" s="23"/>
    </x:row>
    <x:row r="14">
      <x:c r="A14" s="46" t="str">
        <x:v>DP-013</x:v>
      </x:c>
      <x:c r="B14" s="46" t="str">
        <x:v>duck</x:v>
      </x:c>
      <x:c r="C14" s="46" t="str">
        <x:v>family:poultry</x:v>
      </x:c>
      <x:c r="D14" s="46" t="str">
        <x:v>cooked</x:v>
      </x:c>
      <x:c r="E14" s="46" t="str">
        <x:v>duck breast; 90/100/105 °C</x:v>
      </x:c>
      <x:c r="F14" s="46" t="str">
        <x:v>(E)-2-nonenal</x:v>
      </x:c>
      <x:c r="G14" s="46" t="str">
        <x:v>18829-56-6</x:v>
      </x:c>
      <x:c r="H14" s="46" t="str">
        <x:v>Carbonyls, aldehydes</x:v>
      </x:c>
      <x:c r="I14" s="46" t="str">
        <x:v>measured</x:v>
      </x:c>
      <x:c r="J14" s="46" t="str">
        <x:v>cooked</x:v>
      </x:c>
      <x:c r="K14" s="46" t="str">
        <x:v>characteristic_ROAV_VIP</x:v>
      </x:c>
      <x:c r="L14" s="46" t="str">
        <x:v>Among 13 ROAV/sensory-critical volatiles, these nine were further screened with VIP&gt;1.</x:v>
      </x:c>
      <x:c r="M14" s="46" t="str">
        <x:v>SRC-DUCK-COOK-001</x:v>
      </x:c>
      <x:c r="N14" s="46" t="str">
        <x:v>https://pmc.ncbi.nlm.nih.gov/articles/PMC10900772/</x:v>
      </x:c>
      <x:c r="O14" s="46" t="str"/>
      <x:c r="P14" s="46" t="str"/>
      <x:c r="Q14" s="46" t="str">
        <x:v>eligible_for_duck_pilot</x:v>
      </x:c>
      <x:c r="R14" s="46" t="str"/>
      <x:c r="S14" s="23" t="str">
        <x:f>IF(OR(I14="founder_equivalence",LEFT(K14,9)="inherited"),"no","yes")</x:f>
        <x:v>yes</x:v>
      </x:c>
      <x:c r="T14" s="23" t="str">
        <x:f>IF(S14="no","MR-16 inherited/equivalence row","")</x:f>
      </x:c>
      <x:c r="U14" s="23"/>
      <x:c r="V14" s="23"/>
      <x:c r="W14" s="23"/>
      <x:c r="X14" s="23"/>
      <x:c r="Y14" s="23"/>
      <x:c r="Z14" s="23"/>
    </x:row>
    <x:row r="15">
      <x:c r="A15" s="46" t="str">
        <x:v>DP-014</x:v>
      </x:c>
      <x:c r="B15" s="46" t="str">
        <x:v>duck</x:v>
      </x:c>
      <x:c r="C15" s="46" t="str">
        <x:v>family:poultry</x:v>
      </x:c>
      <x:c r="D15" s="46" t="str">
        <x:v>cooked</x:v>
      </x:c>
      <x:c r="E15" s="46" t="str">
        <x:v>duck breast; 90/100/105 °C</x:v>
      </x:c>
      <x:c r="F15" s="46" t="str">
        <x:v>2-pentylfuran</x:v>
      </x:c>
      <x:c r="G15" s="46" t="str">
        <x:v>3777-69-3</x:v>
      </x:c>
      <x:c r="H15" s="46" t="str">
        <x:v>Furans</x:v>
      </x:c>
      <x:c r="I15" s="46" t="str">
        <x:v>measured</x:v>
      </x:c>
      <x:c r="J15" s="46" t="str">
        <x:v>cooked</x:v>
      </x:c>
      <x:c r="K15" s="46" t="str">
        <x:v>characteristic_ROAV_VIP</x:v>
      </x:c>
      <x:c r="L15" s="46" t="str">
        <x:v>Among 13 ROAV/sensory-critical volatiles, these nine were further screened with VIP&gt;1.</x:v>
      </x:c>
      <x:c r="M15" s="46" t="str">
        <x:v>SRC-DUCK-COOK-001</x:v>
      </x:c>
      <x:c r="N15" s="46" t="str">
        <x:v>https://pmc.ncbi.nlm.nih.gov/articles/PMC10900772/</x:v>
      </x:c>
      <x:c r="O15" s="46" t="str"/>
      <x:c r="P15" s="46" t="str"/>
      <x:c r="Q15" s="46" t="str">
        <x:v>eligible_for_duck_pilot</x:v>
      </x:c>
      <x:c r="R15" s="46" t="str"/>
      <x:c r="S15" s="23" t="str">
        <x:f>IF(OR(I15="founder_equivalence",LEFT(K15,9)="inherited"),"no","yes")</x:f>
        <x:v>yes</x:v>
      </x:c>
      <x:c r="T15" s="23" t="str">
        <x:f>IF(S15="no","MR-16 inherited/equivalence row","")</x:f>
      </x:c>
      <x:c r="U15" s="23"/>
      <x:c r="V15" s="23"/>
      <x:c r="W15" s="23"/>
      <x:c r="X15" s="23"/>
      <x:c r="Y15" s="23"/>
      <x:c r="Z15" s="23"/>
    </x:row>
    <x:row r="16">
      <x:c r="A16" s="46" t="str">
        <x:v>DP-015</x:v>
      </x:c>
      <x:c r="B16" s="46" t="str">
        <x:v>duck</x:v>
      </x:c>
      <x:c r="C16" s="46" t="str">
        <x:v>family:poultry</x:v>
      </x:c>
      <x:c r="D16" s="46" t="str">
        <x:v>roasted</x:v>
      </x:c>
      <x:c r="E16" s="46" t="str">
        <x:v>breast skin + breast muscle</x:v>
      </x:c>
      <x:c r="F16" s="46" t="str">
        <x:v>2-furanmethanethiol (2-furfurylthiol)</x:v>
      </x:c>
      <x:c r="G16" s="46" t="str">
        <x:v>98-02-2</x:v>
      </x:c>
      <x:c r="H16" s="46" t="str">
        <x:v>Sulfur compounds</x:v>
      </x:c>
      <x:c r="I16" s="46" t="str">
        <x:v>measured</x:v>
      </x:c>
      <x:c r="J16" s="46" t="str">
        <x:v>roasted</x:v>
      </x:c>
      <x:c r="K16" s="46" t="str">
        <x:v>key_OAV_recombination</x:v>
      </x:c>
      <x:c r="L16" s="46" t="str">
        <x:v>Nine compounds significantly contributed in OAV plus aroma recombination/omission and sensory evaluation.</x:v>
      </x:c>
      <x:c r="M16" s="46" t="str">
        <x:v>SRC-DUCK-ROAST-001</x:v>
      </x:c>
      <x:c r="N16" s="46" t="str">
        <x:v>https://pubmed.ncbi.nlm.nih.gov/31042865/</x:v>
      </x:c>
      <x:c r="O16" s="46" t="str"/>
      <x:c r="P16" s="46" t="str"/>
      <x:c r="Q16" s="46" t="str">
        <x:v>eligible_for_duck_pilot</x:v>
      </x:c>
      <x:c r="R16" s="46" t="str"/>
      <x:c r="S16" s="23" t="str">
        <x:f>IF(OR(I16="founder_equivalence",LEFT(K16,9)="inherited"),"no","yes")</x:f>
        <x:v>yes</x:v>
      </x:c>
      <x:c r="T16" s="23" t="str">
        <x:f>IF(S16="no","MR-16 inherited/equivalence row","")</x:f>
      </x:c>
      <x:c r="U16" s="23"/>
      <x:c r="V16" s="23"/>
      <x:c r="W16" s="23"/>
      <x:c r="X16" s="23"/>
      <x:c r="Y16" s="23"/>
      <x:c r="Z16" s="23"/>
    </x:row>
    <x:row r="17">
      <x:c r="A17" s="46" t="str">
        <x:v>DP-016</x:v>
      </x:c>
      <x:c r="B17" s="46" t="str">
        <x:v>duck</x:v>
      </x:c>
      <x:c r="C17" s="46" t="str">
        <x:v>family:poultry</x:v>
      </x:c>
      <x:c r="D17" s="46" t="str">
        <x:v>roasted</x:v>
      </x:c>
      <x:c r="E17" s="46" t="str">
        <x:v>breast skin + breast muscle</x:v>
      </x:c>
      <x:c r="F17" s="46" t="str">
        <x:v>dimethyl trisulfide</x:v>
      </x:c>
      <x:c r="G17" s="46" t="str">
        <x:v>3658-80-8</x:v>
      </x:c>
      <x:c r="H17" s="46" t="str">
        <x:v>Sulfur compounds</x:v>
      </x:c>
      <x:c r="I17" s="46" t="str">
        <x:v>measured</x:v>
      </x:c>
      <x:c r="J17" s="46" t="str">
        <x:v>roasted</x:v>
      </x:c>
      <x:c r="K17" s="46" t="str">
        <x:v>key_OAV_recombination</x:v>
      </x:c>
      <x:c r="L17" s="46" t="str">
        <x:v>Nine compounds significantly contributed in OAV plus aroma recombination/omission and sensory evaluation.</x:v>
      </x:c>
      <x:c r="M17" s="46" t="str">
        <x:v>SRC-DUCK-ROAST-001</x:v>
      </x:c>
      <x:c r="N17" s="46" t="str">
        <x:v>https://pubmed.ncbi.nlm.nih.gov/31042865/</x:v>
      </x:c>
      <x:c r="O17" s="46" t="str"/>
      <x:c r="P17" s="46" t="str"/>
      <x:c r="Q17" s="46" t="str">
        <x:v>eligible_for_duck_pilot</x:v>
      </x:c>
      <x:c r="R17" s="46" t="str"/>
      <x:c r="S17" s="23" t="str">
        <x:f>IF(OR(I17="founder_equivalence",LEFT(K17,9)="inherited"),"no","yes")</x:f>
        <x:v>yes</x:v>
      </x:c>
      <x:c r="T17" s="23" t="str">
        <x:f>IF(S17="no","MR-16 inherited/equivalence row","")</x:f>
      </x:c>
      <x:c r="U17" s="23"/>
      <x:c r="V17" s="23"/>
      <x:c r="W17" s="23"/>
      <x:c r="X17" s="23"/>
      <x:c r="Y17" s="23"/>
      <x:c r="Z17" s="23"/>
    </x:row>
    <x:row r="18">
      <x:c r="A18" s="46" t="str">
        <x:v>DP-017</x:v>
      </x:c>
      <x:c r="B18" s="46" t="str">
        <x:v>duck</x:v>
      </x:c>
      <x:c r="C18" s="46" t="str">
        <x:v>family:poultry</x:v>
      </x:c>
      <x:c r="D18" s="46" t="str">
        <x:v>roasted</x:v>
      </x:c>
      <x:c r="E18" s="46" t="str">
        <x:v>breast skin + breast muscle</x:v>
      </x:c>
      <x:c r="F18" s="46" t="str">
        <x:v>hexanal</x:v>
      </x:c>
      <x:c r="G18" s="46" t="str">
        <x:v>66-25-1</x:v>
      </x:c>
      <x:c r="H18" s="46" t="str">
        <x:v>Carbonyls, aldehydes</x:v>
      </x:c>
      <x:c r="I18" s="46" t="str">
        <x:v>measured</x:v>
      </x:c>
      <x:c r="J18" s="46" t="str">
        <x:v>roasted</x:v>
      </x:c>
      <x:c r="K18" s="46" t="str">
        <x:v>key_OAV_recombination</x:v>
      </x:c>
      <x:c r="L18" s="46" t="str">
        <x:v>Nine compounds significantly contributed in OAV plus aroma recombination/omission and sensory evaluation.</x:v>
      </x:c>
      <x:c r="M18" s="46" t="str">
        <x:v>SRC-DUCK-ROAST-001</x:v>
      </x:c>
      <x:c r="N18" s="46" t="str">
        <x:v>https://pubmed.ncbi.nlm.nih.gov/31042865/</x:v>
      </x:c>
      <x:c r="O18" s="46" t="str"/>
      <x:c r="P18" s="46" t="str"/>
      <x:c r="Q18" s="46" t="str">
        <x:v>eligible_for_duck_pilot</x:v>
      </x:c>
      <x:c r="R18" s="46" t="str"/>
      <x:c r="S18" s="23" t="str">
        <x:f>IF(OR(I18="founder_equivalence",LEFT(K18,9)="inherited"),"no","yes")</x:f>
        <x:v>yes</x:v>
      </x:c>
      <x:c r="T18" s="23" t="str">
        <x:f>IF(S18="no","MR-16 inherited/equivalence row","")</x:f>
      </x:c>
      <x:c r="U18" s="23"/>
      <x:c r="V18" s="23"/>
      <x:c r="W18" s="23"/>
      <x:c r="X18" s="23"/>
      <x:c r="Y18" s="23"/>
      <x:c r="Z18" s="23"/>
    </x:row>
    <x:row r="19">
      <x:c r="A19" s="46" t="str">
        <x:v>DP-018</x:v>
      </x:c>
      <x:c r="B19" s="46" t="str">
        <x:v>duck</x:v>
      </x:c>
      <x:c r="C19" s="46" t="str">
        <x:v>family:poultry</x:v>
      </x:c>
      <x:c r="D19" s="46" t="str">
        <x:v>roasted</x:v>
      </x:c>
      <x:c r="E19" s="46" t="str">
        <x:v>breast skin + breast muscle</x:v>
      </x:c>
      <x:c r="F19" s="46" t="str">
        <x:v>heptanal</x:v>
      </x:c>
      <x:c r="G19" s="46" t="str">
        <x:v>111-71-7</x:v>
      </x:c>
      <x:c r="H19" s="46" t="str">
        <x:v>Carbonyls, aldehydes</x:v>
      </x:c>
      <x:c r="I19" s="46" t="str">
        <x:v>measured</x:v>
      </x:c>
      <x:c r="J19" s="46" t="str">
        <x:v>roasted</x:v>
      </x:c>
      <x:c r="K19" s="46" t="str">
        <x:v>key_OAV_recombination</x:v>
      </x:c>
      <x:c r="L19" s="46" t="str">
        <x:v>Nine compounds significantly contributed in OAV plus aroma recombination/omission and sensory evaluation.</x:v>
      </x:c>
      <x:c r="M19" s="46" t="str">
        <x:v>SRC-DUCK-ROAST-001</x:v>
      </x:c>
      <x:c r="N19" s="46" t="str">
        <x:v>https://pubmed.ncbi.nlm.nih.gov/31042865/</x:v>
      </x:c>
      <x:c r="O19" s="46" t="str"/>
      <x:c r="P19" s="46" t="str"/>
      <x:c r="Q19" s="46" t="str">
        <x:v>eligible_for_duck_pilot</x:v>
      </x:c>
      <x:c r="R19" s="46" t="str"/>
      <x:c r="S19" s="23" t="str">
        <x:f>IF(OR(I19="founder_equivalence",LEFT(K19,9)="inherited"),"no","yes")</x:f>
        <x:v>yes</x:v>
      </x:c>
      <x:c r="T19" s="23" t="str">
        <x:f>IF(S19="no","MR-16 inherited/equivalence row","")</x:f>
      </x:c>
      <x:c r="U19" s="23"/>
      <x:c r="V19" s="23"/>
      <x:c r="W19" s="23"/>
      <x:c r="X19" s="23"/>
      <x:c r="Y19" s="23"/>
      <x:c r="Z19" s="23"/>
    </x:row>
    <x:row r="20">
      <x:c r="A20" s="46" t="str">
        <x:v>DP-019</x:v>
      </x:c>
      <x:c r="B20" s="46" t="str">
        <x:v>duck</x:v>
      </x:c>
      <x:c r="C20" s="46" t="str">
        <x:v>family:poultry</x:v>
      </x:c>
      <x:c r="D20" s="46" t="str">
        <x:v>roasted</x:v>
      </x:c>
      <x:c r="E20" s="46" t="str">
        <x:v>breast skin + breast muscle</x:v>
      </x:c>
      <x:c r="F20" s="46" t="str">
        <x:v>octanal</x:v>
      </x:c>
      <x:c r="G20" s="46" t="str">
        <x:v>124-13-0</x:v>
      </x:c>
      <x:c r="H20" s="46" t="str">
        <x:v>Carbonyls, aldehydes</x:v>
      </x:c>
      <x:c r="I20" s="46" t="str">
        <x:v>measured</x:v>
      </x:c>
      <x:c r="J20" s="46" t="str">
        <x:v>roasted</x:v>
      </x:c>
      <x:c r="K20" s="46" t="str">
        <x:v>key_OAV_recombination</x:v>
      </x:c>
      <x:c r="L20" s="46" t="str">
        <x:v>Nine compounds significantly contributed in OAV plus aroma recombination/omission and sensory evaluation.</x:v>
      </x:c>
      <x:c r="M20" s="46" t="str">
        <x:v>SRC-DUCK-ROAST-001</x:v>
      </x:c>
      <x:c r="N20" s="46" t="str">
        <x:v>https://pubmed.ncbi.nlm.nih.gov/31042865/</x:v>
      </x:c>
      <x:c r="O20" s="46" t="str"/>
      <x:c r="P20" s="46" t="str"/>
      <x:c r="Q20" s="46" t="str">
        <x:v>eligible_for_duck_pilot</x:v>
      </x:c>
      <x:c r="R20" s="46" t="str"/>
      <x:c r="S20" s="23" t="str">
        <x:f>IF(OR(I20="founder_equivalence",LEFT(K20,9)="inherited"),"no","yes")</x:f>
        <x:v>yes</x:v>
      </x:c>
      <x:c r="T20" s="23" t="str">
        <x:f>IF(S20="no","MR-16 inherited/equivalence row","")</x:f>
      </x:c>
      <x:c r="U20" s="23"/>
      <x:c r="V20" s="23"/>
      <x:c r="W20" s="23"/>
      <x:c r="X20" s="23"/>
      <x:c r="Y20" s="23"/>
      <x:c r="Z20" s="23"/>
    </x:row>
    <x:row r="21">
      <x:c r="A21" s="46" t="str">
        <x:v>DP-020</x:v>
      </x:c>
      <x:c r="B21" s="46" t="str">
        <x:v>duck</x:v>
      </x:c>
      <x:c r="C21" s="46" t="str">
        <x:v>family:poultry</x:v>
      </x:c>
      <x:c r="D21" s="46" t="str">
        <x:v>roasted</x:v>
      </x:c>
      <x:c r="E21" s="46" t="str">
        <x:v>breast skin + breast muscle</x:v>
      </x:c>
      <x:c r="F21" s="46" t="str">
        <x:v>nonanal</x:v>
      </x:c>
      <x:c r="G21" s="46" t="str">
        <x:v>124-19-6</x:v>
      </x:c>
      <x:c r="H21" s="46" t="str">
        <x:v>Carbonyls, aldehydes</x:v>
      </x:c>
      <x:c r="I21" s="46" t="str">
        <x:v>measured</x:v>
      </x:c>
      <x:c r="J21" s="46" t="str">
        <x:v>roasted</x:v>
      </x:c>
      <x:c r="K21" s="46" t="str">
        <x:v>key_OAV_recombination</x:v>
      </x:c>
      <x:c r="L21" s="46" t="str">
        <x:v>Nine compounds significantly contributed in OAV plus aroma recombination/omission and sensory evaluation.</x:v>
      </x:c>
      <x:c r="M21" s="46" t="str">
        <x:v>SRC-DUCK-ROAST-001</x:v>
      </x:c>
      <x:c r="N21" s="46" t="str">
        <x:v>https://pubmed.ncbi.nlm.nih.gov/31042865/</x:v>
      </x:c>
      <x:c r="O21" s="46" t="str"/>
      <x:c r="P21" s="46" t="str"/>
      <x:c r="Q21" s="46" t="str">
        <x:v>eligible_for_duck_pilot</x:v>
      </x:c>
      <x:c r="R21" s="46" t="str"/>
      <x:c r="S21" s="23" t="str">
        <x:f>IF(OR(I21="founder_equivalence",LEFT(K21,9)="inherited"),"no","yes")</x:f>
        <x:v>yes</x:v>
      </x:c>
      <x:c r="T21" s="23" t="str">
        <x:f>IF(S21="no","MR-16 inherited/equivalence row","")</x:f>
      </x:c>
      <x:c r="U21" s="23"/>
      <x:c r="V21" s="23"/>
      <x:c r="W21" s="23"/>
      <x:c r="X21" s="23"/>
      <x:c r="Y21" s="23"/>
      <x:c r="Z21" s="23"/>
    </x:row>
    <x:row r="22">
      <x:c r="A22" s="46" t="str">
        <x:v>DP-021</x:v>
      </x:c>
      <x:c r="B22" s="46" t="str">
        <x:v>duck</x:v>
      </x:c>
      <x:c r="C22" s="46" t="str">
        <x:v>family:poultry</x:v>
      </x:c>
      <x:c r="D22" s="46" t="str">
        <x:v>roasted</x:v>
      </x:c>
      <x:c r="E22" s="46" t="str">
        <x:v>breast skin + breast muscle</x:v>
      </x:c>
      <x:c r="F22" s="46" t="str">
        <x:v>methional</x:v>
      </x:c>
      <x:c r="G22" s="46" t="str">
        <x:v>3268-49-3</x:v>
      </x:c>
      <x:c r="H22" s="46" t="str">
        <x:v>Sulfur compounds</x:v>
      </x:c>
      <x:c r="I22" s="46" t="str">
        <x:v>measured</x:v>
      </x:c>
      <x:c r="J22" s="46" t="str">
        <x:v>roasted</x:v>
      </x:c>
      <x:c r="K22" s="46" t="str">
        <x:v>key_OAV_recombination</x:v>
      </x:c>
      <x:c r="L22" s="46" t="str">
        <x:v>Nine compounds significantly contributed in OAV plus aroma recombination/omission and sensory evaluation.</x:v>
      </x:c>
      <x:c r="M22" s="46" t="str">
        <x:v>SRC-DUCK-ROAST-001</x:v>
      </x:c>
      <x:c r="N22" s="46" t="str">
        <x:v>https://pubmed.ncbi.nlm.nih.gov/31042865/</x:v>
      </x:c>
      <x:c r="O22" s="46" t="str"/>
      <x:c r="P22" s="46" t="str"/>
      <x:c r="Q22" s="46" t="str">
        <x:v>eligible_for_duck_pilot</x:v>
      </x:c>
      <x:c r="R22" s="46" t="str"/>
      <x:c r="S22" s="23" t="str">
        <x:f>IF(OR(I22="founder_equivalence",LEFT(K22,9)="inherited"),"no","yes")</x:f>
        <x:v>yes</x:v>
      </x:c>
      <x:c r="T22" s="23" t="str">
        <x:f>IF(S22="no","MR-16 inherited/equivalence row","")</x:f>
      </x:c>
      <x:c r="U22" s="23"/>
      <x:c r="V22" s="23"/>
      <x:c r="W22" s="23"/>
      <x:c r="X22" s="23"/>
      <x:c r="Y22" s="23"/>
      <x:c r="Z22" s="23"/>
    </x:row>
    <x:row r="23">
      <x:c r="A23" s="46" t="str">
        <x:v>DP-022</x:v>
      </x:c>
      <x:c r="B23" s="46" t="str">
        <x:v>duck</x:v>
      </x:c>
      <x:c r="C23" s="46" t="str">
        <x:v>family:poultry</x:v>
      </x:c>
      <x:c r="D23" s="46" t="str">
        <x:v>roasted</x:v>
      </x:c>
      <x:c r="E23" s="46" t="str">
        <x:v>breast skin + breast muscle</x:v>
      </x:c>
      <x:c r="F23" s="46" t="str">
        <x:v>1-octen-3-ol</x:v>
      </x:c>
      <x:c r="G23" s="46" t="str">
        <x:v>3391-86-4</x:v>
      </x:c>
      <x:c r="H23" s="46" t="str">
        <x:v>Alcohols</x:v>
      </x:c>
      <x:c r="I23" s="46" t="str">
        <x:v>measured</x:v>
      </x:c>
      <x:c r="J23" s="46" t="str">
        <x:v>roasted</x:v>
      </x:c>
      <x:c r="K23" s="46" t="str">
        <x:v>key_OAV_recombination</x:v>
      </x:c>
      <x:c r="L23" s="46" t="str">
        <x:v>Nine compounds significantly contributed in OAV plus aroma recombination/omission and sensory evaluation.</x:v>
      </x:c>
      <x:c r="M23" s="46" t="str">
        <x:v>SRC-DUCK-ROAST-001</x:v>
      </x:c>
      <x:c r="N23" s="46" t="str">
        <x:v>https://pubmed.ncbi.nlm.nih.gov/31042865/</x:v>
      </x:c>
      <x:c r="O23" s="46" t="str"/>
      <x:c r="P23" s="46" t="str"/>
      <x:c r="Q23" s="46" t="str">
        <x:v>eligible_for_duck_pilot</x:v>
      </x:c>
      <x:c r="R23" s="46" t="str"/>
      <x:c r="S23" s="23" t="str">
        <x:f>IF(OR(I23="founder_equivalence",LEFT(K23,9)="inherited"),"no","yes")</x:f>
        <x:v>yes</x:v>
      </x:c>
      <x:c r="T23" s="23" t="str">
        <x:f>IF(S23="no","MR-16 inherited/equivalence row","")</x:f>
      </x:c>
      <x:c r="U23" s="23"/>
      <x:c r="V23" s="23"/>
      <x:c r="W23" s="23"/>
      <x:c r="X23" s="23"/>
      <x:c r="Y23" s="23"/>
      <x:c r="Z23" s="23"/>
    </x:row>
    <x:row r="24">
      <x:c r="A24" s="46" t="str">
        <x:v>DP-023</x:v>
      </x:c>
      <x:c r="B24" s="46" t="str">
        <x:v>duck</x:v>
      </x:c>
      <x:c r="C24" s="46" t="str">
        <x:v>family:poultry</x:v>
      </x:c>
      <x:c r="D24" s="46" t="str">
        <x:v>roasted</x:v>
      </x:c>
      <x:c r="E24" s="46" t="str">
        <x:v>breast skin + breast muscle</x:v>
      </x:c>
      <x:c r="F24" s="46" t="str">
        <x:v>(E,E)-2,4-decadienal</x:v>
      </x:c>
      <x:c r="G24" s="46" t="str">
        <x:v>25152-84-5</x:v>
      </x:c>
      <x:c r="H24" s="46" t="str">
        <x:v>Carbonyls, aldehydes</x:v>
      </x:c>
      <x:c r="I24" s="46" t="str">
        <x:v>measured</x:v>
      </x:c>
      <x:c r="J24" s="46" t="str">
        <x:v>roasted</x:v>
      </x:c>
      <x:c r="K24" s="46" t="str">
        <x:v>key_OAV_recombination</x:v>
      </x:c>
      <x:c r="L24" s="46" t="str">
        <x:v>Nine compounds significantly contributed in OAV plus aroma recombination/omission and sensory evaluation.</x:v>
      </x:c>
      <x:c r="M24" s="46" t="str">
        <x:v>SRC-DUCK-ROAST-001</x:v>
      </x:c>
      <x:c r="N24" s="46" t="str">
        <x:v>https://pubmed.ncbi.nlm.nih.gov/31042865/</x:v>
      </x:c>
      <x:c r="O24" s="46" t="str"/>
      <x:c r="P24" s="46" t="str"/>
      <x:c r="Q24" s="46" t="str">
        <x:v>eligible_for_duck_pilot</x:v>
      </x:c>
      <x:c r="R24" s="46" t="str"/>
      <x:c r="S24" s="23" t="str">
        <x:f>IF(OR(I24="founder_equivalence",LEFT(K24,9)="inherited"),"no","yes")</x:f>
        <x:v>yes</x:v>
      </x:c>
      <x:c r="T24" s="23" t="str">
        <x:f>IF(S24="no","MR-16 inherited/equivalence row","")</x:f>
      </x:c>
      <x:c r="U24" s="23"/>
      <x:c r="V24" s="23"/>
      <x:c r="W24" s="23"/>
      <x:c r="X24" s="23"/>
      <x:c r="Y24" s="23"/>
      <x:c r="Z24" s="23"/>
    </x:row>
    <x:row r="25">
      <x:c r="A25" s="46" t="str">
        <x:v>DP-024</x:v>
      </x:c>
      <x:c r="B25" s="46" t="str">
        <x:v>duck</x:v>
      </x:c>
      <x:c r="C25" s="46" t="str">
        <x:v>family:poultry</x:v>
      </x:c>
      <x:c r="D25" s="46" t="str">
        <x:v>smoked</x:v>
      </x:c>
      <x:c r="E25" s="46" t="str">
        <x:v>Chinese smoked duck product; three smoke media</x:v>
      </x:c>
      <x:c r="F25" s="46" t="str">
        <x:v>2-methoxyphenol (guaiacol)</x:v>
      </x:c>
      <x:c r="G25" s="46" t="str">
        <x:v>90-05-1</x:v>
      </x:c>
      <x:c r="H25" s="46" t="str">
        <x:v>Phenols</x:v>
      </x:c>
      <x:c r="I25" s="46" t="str">
        <x:v>measured</x:v>
      </x:c>
      <x:c r="J25" s="46" t="str">
        <x:v>smoked</x:v>
      </x:c>
      <x:c r="K25" s="46" t="str">
        <x:v>key_omission_significant</x:v>
      </x:c>
      <x:c r="L25" s="46" t="str">
        <x:v>Eight of the confirmed key odorants significantly contributed to smoked-duck aroma at p&lt;0.01.</x:v>
      </x:c>
      <x:c r="M25" s="46" t="str">
        <x:v>SRC-DUCK-SMOKE-001</x:v>
      </x:c>
      <x:c r="N25" s="46" t="str">
        <x:v>https://pubmed.ncbi.nlm.nih.gov/38144725/</x:v>
      </x:c>
      <x:c r="O25" s="46" t="str"/>
      <x:c r="P25" s="46" t="str"/>
      <x:c r="Q25" s="46" t="str">
        <x:v>eligible_for_duck_pilot</x:v>
      </x:c>
      <x:c r="R25" s="46" t="str"/>
      <x:c r="S25" s="23" t="str">
        <x:f>IF(OR(I25="founder_equivalence",LEFT(K25,9)="inherited"),"no","yes")</x:f>
        <x:v>yes</x:v>
      </x:c>
      <x:c r="T25" s="23" t="str">
        <x:f>IF(S25="no","MR-16 inherited/equivalence row","")</x:f>
      </x:c>
      <x:c r="U25" s="23"/>
      <x:c r="V25" s="23"/>
      <x:c r="W25" s="23"/>
      <x:c r="X25" s="23"/>
      <x:c r="Y25" s="23"/>
      <x:c r="Z25" s="23"/>
    </x:row>
    <x:row r="26">
      <x:c r="A26" s="46" t="str">
        <x:v>DP-025</x:v>
      </x:c>
      <x:c r="B26" s="46" t="str">
        <x:v>duck</x:v>
      </x:c>
      <x:c r="C26" s="46" t="str">
        <x:v>family:poultry</x:v>
      </x:c>
      <x:c r="D26" s="46" t="str">
        <x:v>smoked</x:v>
      </x:c>
      <x:c r="E26" s="46" t="str">
        <x:v>Chinese smoked duck product; three smoke media</x:v>
      </x:c>
      <x:c r="F26" s="46" t="str">
        <x:v>4-methylphenol (p-cresol)</x:v>
      </x:c>
      <x:c r="G26" s="46" t="str">
        <x:v>106-44-5</x:v>
      </x:c>
      <x:c r="H26" s="46" t="str">
        <x:v>Phenols</x:v>
      </x:c>
      <x:c r="I26" s="46" t="str">
        <x:v>measured</x:v>
      </x:c>
      <x:c r="J26" s="46" t="str">
        <x:v>smoked</x:v>
      </x:c>
      <x:c r="K26" s="46" t="str">
        <x:v>key_omission_significant</x:v>
      </x:c>
      <x:c r="L26" s="46" t="str">
        <x:v>Eight of the confirmed key odorants significantly contributed to smoked-duck aroma at p&lt;0.01.</x:v>
      </x:c>
      <x:c r="M26" s="46" t="str">
        <x:v>SRC-DUCK-SMOKE-001</x:v>
      </x:c>
      <x:c r="N26" s="46" t="str">
        <x:v>https://pubmed.ncbi.nlm.nih.gov/38144725/</x:v>
      </x:c>
      <x:c r="O26" s="46" t="str"/>
      <x:c r="P26" s="46" t="str"/>
      <x:c r="Q26" s="46" t="str">
        <x:v>eligible_for_duck_pilot</x:v>
      </x:c>
      <x:c r="R26" s="46" t="str"/>
      <x:c r="S26" s="23" t="str">
        <x:f>IF(OR(I26="founder_equivalence",LEFT(K26,9)="inherited"),"no","yes")</x:f>
        <x:v>yes</x:v>
      </x:c>
      <x:c r="T26" s="23" t="str">
        <x:f>IF(S26="no","MR-16 inherited/equivalence row","")</x:f>
      </x:c>
      <x:c r="U26" s="23"/>
      <x:c r="V26" s="23"/>
      <x:c r="W26" s="23"/>
      <x:c r="X26" s="23"/>
      <x:c r="Y26" s="23"/>
      <x:c r="Z26" s="23"/>
    </x:row>
    <x:row r="27">
      <x:c r="A27" s="46" t="str">
        <x:v>DP-026</x:v>
      </x:c>
      <x:c r="B27" s="46" t="str">
        <x:v>duck</x:v>
      </x:c>
      <x:c r="C27" s="46" t="str">
        <x:v>family:poultry</x:v>
      </x:c>
      <x:c r="D27" s="46" t="str">
        <x:v>smoked</x:v>
      </x:c>
      <x:c r="E27" s="46" t="str">
        <x:v>Chinese smoked duck product; three smoke media</x:v>
      </x:c>
      <x:c r="F27" s="46" t="str">
        <x:v>5-ethyl-2,3-dimethylpyrazine</x:v>
      </x:c>
      <x:c r="G27" s="46" t="str">
        <x:v>15707-34-3</x:v>
      </x:c>
      <x:c r="H27" s="46" t="str">
        <x:v>Bases</x:v>
      </x:c>
      <x:c r="I27" s="46" t="str">
        <x:v>measured</x:v>
      </x:c>
      <x:c r="J27" s="46" t="str">
        <x:v>smoked</x:v>
      </x:c>
      <x:c r="K27" s="46" t="str">
        <x:v>key_omission_significant</x:v>
      </x:c>
      <x:c r="L27" s="46" t="str">
        <x:v>Eight of the confirmed key odorants significantly contributed to smoked-duck aroma at p&lt;0.01.</x:v>
      </x:c>
      <x:c r="M27" s="46" t="str">
        <x:v>SRC-DUCK-SMOKE-001</x:v>
      </x:c>
      <x:c r="N27" s="46" t="str">
        <x:v>https://pubmed.ncbi.nlm.nih.gov/38144725/</x:v>
      </x:c>
      <x:c r="O27" s="46" t="str"/>
      <x:c r="P27" s="46" t="str"/>
      <x:c r="Q27" s="46" t="str">
        <x:v>eligible_for_duck_pilot</x:v>
      </x:c>
      <x:c r="R27" s="46" t="str"/>
      <x:c r="S27" s="23" t="str">
        <x:f>IF(OR(I27="founder_equivalence",LEFT(K27,9)="inherited"),"no","yes")</x:f>
        <x:v>yes</x:v>
      </x:c>
      <x:c r="T27" s="23" t="str">
        <x:f>IF(S27="no","MR-16 inherited/equivalence row","")</x:f>
      </x:c>
      <x:c r="U27" s="23"/>
      <x:c r="V27" s="23"/>
      <x:c r="W27" s="23"/>
      <x:c r="X27" s="23"/>
      <x:c r="Y27" s="23"/>
      <x:c r="Z27" s="23"/>
    </x:row>
    <x:row r="28">
      <x:c r="A28" s="46" t="str">
        <x:v>DP-027</x:v>
      </x:c>
      <x:c r="B28" s="46" t="str">
        <x:v>duck</x:v>
      </x:c>
      <x:c r="C28" s="46" t="str">
        <x:v>family:poultry</x:v>
      </x:c>
      <x:c r="D28" s="46" t="str">
        <x:v>smoked</x:v>
      </x:c>
      <x:c r="E28" s="46" t="str">
        <x:v>Chinese smoked duck product; three smoke media</x:v>
      </x:c>
      <x:c r="F28" s="46" t="str">
        <x:v>methional</x:v>
      </x:c>
      <x:c r="G28" s="46" t="str">
        <x:v>3268-49-3</x:v>
      </x:c>
      <x:c r="H28" s="46" t="str">
        <x:v>Sulfur compounds</x:v>
      </x:c>
      <x:c r="I28" s="46" t="str">
        <x:v>measured</x:v>
      </x:c>
      <x:c r="J28" s="46" t="str">
        <x:v>smoked</x:v>
      </x:c>
      <x:c r="K28" s="46" t="str">
        <x:v>key_omission_significant</x:v>
      </x:c>
      <x:c r="L28" s="46" t="str">
        <x:v>Eight of the confirmed key odorants significantly contributed to smoked-duck aroma at p&lt;0.01.</x:v>
      </x:c>
      <x:c r="M28" s="46" t="str">
        <x:v>SRC-DUCK-SMOKE-001</x:v>
      </x:c>
      <x:c r="N28" s="46" t="str">
        <x:v>https://pubmed.ncbi.nlm.nih.gov/38144725/</x:v>
      </x:c>
      <x:c r="O28" s="46" t="str"/>
      <x:c r="P28" s="46" t="str"/>
      <x:c r="Q28" s="46" t="str">
        <x:v>eligible_for_duck_pilot</x:v>
      </x:c>
      <x:c r="R28" s="46" t="str"/>
      <x:c r="S28" s="23" t="str">
        <x:f>IF(OR(I28="founder_equivalence",LEFT(K28,9)="inherited"),"no","yes")</x:f>
        <x:v>yes</x:v>
      </x:c>
      <x:c r="T28" s="23" t="str">
        <x:f>IF(S28="no","MR-16 inherited/equivalence row","")</x:f>
      </x:c>
      <x:c r="U28" s="23"/>
      <x:c r="V28" s="23"/>
      <x:c r="W28" s="23"/>
      <x:c r="X28" s="23"/>
      <x:c r="Y28" s="23"/>
      <x:c r="Z28" s="23"/>
    </x:row>
    <x:row r="29">
      <x:c r="A29" s="46" t="str">
        <x:v>DP-028</x:v>
      </x:c>
      <x:c r="B29" s="46" t="str">
        <x:v>duck</x:v>
      </x:c>
      <x:c r="C29" s="46" t="str">
        <x:v>family:poultry</x:v>
      </x:c>
      <x:c r="D29" s="46" t="str">
        <x:v>smoked</x:v>
      </x:c>
      <x:c r="E29" s="46" t="str">
        <x:v>Chinese smoked duck product; three smoke media</x:v>
      </x:c>
      <x:c r="F29" s="46" t="str">
        <x:v>2-methyl-3-furanthiol</x:v>
      </x:c>
      <x:c r="G29" s="46" t="str">
        <x:v>28588-74-1</x:v>
      </x:c>
      <x:c r="H29" s="46" t="str">
        <x:v>Sulfur compounds</x:v>
      </x:c>
      <x:c r="I29" s="46" t="str">
        <x:v>measured</x:v>
      </x:c>
      <x:c r="J29" s="46" t="str">
        <x:v>smoked</x:v>
      </x:c>
      <x:c r="K29" s="46" t="str">
        <x:v>key_omission_significant</x:v>
      </x:c>
      <x:c r="L29" s="46" t="str">
        <x:v>Eight of the confirmed key odorants significantly contributed to smoked-duck aroma at p&lt;0.01.</x:v>
      </x:c>
      <x:c r="M29" s="46" t="str">
        <x:v>SRC-DUCK-SMOKE-001</x:v>
      </x:c>
      <x:c r="N29" s="46" t="str">
        <x:v>https://pubmed.ncbi.nlm.nih.gov/38144725/</x:v>
      </x:c>
      <x:c r="O29" s="46" t="str"/>
      <x:c r="P29" s="46" t="str"/>
      <x:c r="Q29" s="46" t="str">
        <x:v>eligible_for_duck_pilot</x:v>
      </x:c>
      <x:c r="R29" s="46" t="str"/>
      <x:c r="S29" s="23" t="str">
        <x:f>IF(OR(I29="founder_equivalence",LEFT(K29,9)="inherited"),"no","yes")</x:f>
        <x:v>yes</x:v>
      </x:c>
      <x:c r="T29" s="23" t="str">
        <x:f>IF(S29="no","MR-16 inherited/equivalence row","")</x:f>
      </x:c>
      <x:c r="U29" s="23"/>
      <x:c r="V29" s="23"/>
      <x:c r="W29" s="23"/>
      <x:c r="X29" s="23"/>
      <x:c r="Y29" s="23"/>
      <x:c r="Z29" s="23"/>
    </x:row>
    <x:row r="30">
      <x:c r="A30" s="46" t="str">
        <x:v>DP-029</x:v>
      </x:c>
      <x:c r="B30" s="46" t="str">
        <x:v>duck</x:v>
      </x:c>
      <x:c r="C30" s="46" t="str">
        <x:v>family:poultry</x:v>
      </x:c>
      <x:c r="D30" s="46" t="str">
        <x:v>smoked</x:v>
      </x:c>
      <x:c r="E30" s="46" t="str">
        <x:v>Chinese smoked duck product; three smoke media</x:v>
      </x:c>
      <x:c r="F30" s="46" t="str">
        <x:v>(E,E)-2,4-decadienal</x:v>
      </x:c>
      <x:c r="G30" s="46" t="str">
        <x:v>25152-84-5</x:v>
      </x:c>
      <x:c r="H30" s="46" t="str">
        <x:v>Carbonyls, aldehydes</x:v>
      </x:c>
      <x:c r="I30" s="46" t="str">
        <x:v>measured</x:v>
      </x:c>
      <x:c r="J30" s="46" t="str">
        <x:v>smoked</x:v>
      </x:c>
      <x:c r="K30" s="46" t="str">
        <x:v>key_omission_significant</x:v>
      </x:c>
      <x:c r="L30" s="46" t="str">
        <x:v>Eight of the confirmed key odorants significantly contributed to smoked-duck aroma at p&lt;0.01.</x:v>
      </x:c>
      <x:c r="M30" s="46" t="str">
        <x:v>SRC-DUCK-SMOKE-001</x:v>
      </x:c>
      <x:c r="N30" s="46" t="str">
        <x:v>https://pubmed.ncbi.nlm.nih.gov/38144725/</x:v>
      </x:c>
      <x:c r="O30" s="46" t="str"/>
      <x:c r="P30" s="46" t="str"/>
      <x:c r="Q30" s="46" t="str">
        <x:v>eligible_for_duck_pilot</x:v>
      </x:c>
      <x:c r="R30" s="46" t="str"/>
      <x:c r="S30" s="23" t="str">
        <x:f>IF(OR(I30="founder_equivalence",LEFT(K30,9)="inherited"),"no","yes")</x:f>
        <x:v>yes</x:v>
      </x:c>
      <x:c r="T30" s="23" t="str">
        <x:f>IF(S30="no","MR-16 inherited/equivalence row","")</x:f>
      </x:c>
      <x:c r="U30" s="23"/>
      <x:c r="V30" s="23"/>
      <x:c r="W30" s="23"/>
      <x:c r="X30" s="23"/>
      <x:c r="Y30" s="23"/>
      <x:c r="Z30" s="23"/>
    </x:row>
    <x:row r="31">
      <x:c r="A31" s="46" t="str">
        <x:v>DP-030</x:v>
      </x:c>
      <x:c r="B31" s="46" t="str">
        <x:v>duck</x:v>
      </x:c>
      <x:c r="C31" s="46" t="str">
        <x:v>family:poultry</x:v>
      </x:c>
      <x:c r="D31" s="46" t="str">
        <x:v>smoked</x:v>
      </x:c>
      <x:c r="E31" s="46" t="str">
        <x:v>Chinese smoked duck product; three smoke media</x:v>
      </x:c>
      <x:c r="F31" s="46" t="str">
        <x:v>1-octen-3-ol</x:v>
      </x:c>
      <x:c r="G31" s="46" t="str">
        <x:v>3391-86-4</x:v>
      </x:c>
      <x:c r="H31" s="46" t="str">
        <x:v>Alcohols</x:v>
      </x:c>
      <x:c r="I31" s="46" t="str">
        <x:v>measured</x:v>
      </x:c>
      <x:c r="J31" s="46" t="str">
        <x:v>smoked</x:v>
      </x:c>
      <x:c r="K31" s="46" t="str">
        <x:v>key_omission_significant</x:v>
      </x:c>
      <x:c r="L31" s="46" t="str">
        <x:v>Eight of the confirmed key odorants significantly contributed to smoked-duck aroma at p&lt;0.01.</x:v>
      </x:c>
      <x:c r="M31" s="46" t="str">
        <x:v>SRC-DUCK-SMOKE-001</x:v>
      </x:c>
      <x:c r="N31" s="46" t="str">
        <x:v>https://pubmed.ncbi.nlm.nih.gov/38144725/</x:v>
      </x:c>
      <x:c r="O31" s="46" t="str"/>
      <x:c r="P31" s="46" t="str"/>
      <x:c r="Q31" s="46" t="str">
        <x:v>eligible_for_duck_pilot</x:v>
      </x:c>
      <x:c r="R31" s="46" t="str"/>
      <x:c r="S31" s="23" t="str">
        <x:f>IF(OR(I31="founder_equivalence",LEFT(K31,9)="inherited"),"no","yes")</x:f>
        <x:v>yes</x:v>
      </x:c>
      <x:c r="T31" s="23" t="str">
        <x:f>IF(S31="no","MR-16 inherited/equivalence row","")</x:f>
      </x:c>
      <x:c r="U31" s="23"/>
      <x:c r="V31" s="23"/>
      <x:c r="W31" s="23"/>
      <x:c r="X31" s="23"/>
      <x:c r="Y31" s="23"/>
      <x:c r="Z31" s="23"/>
    </x:row>
    <x:row r="32">
      <x:c r="A32" s="46" t="str">
        <x:v>DP-031</x:v>
      </x:c>
      <x:c r="B32" s="46" t="str">
        <x:v>duck</x:v>
      </x:c>
      <x:c r="C32" s="46" t="str">
        <x:v>family:poultry</x:v>
      </x:c>
      <x:c r="D32" s="46" t="str">
        <x:v>smoked</x:v>
      </x:c>
      <x:c r="E32" s="46" t="str">
        <x:v>Chinese smoked duck product; three smoke media</x:v>
      </x:c>
      <x:c r="F32" s="46" t="str">
        <x:v>anethole</x:v>
      </x:c>
      <x:c r="G32" s="46" t="str">
        <x:v>104-46-1</x:v>
      </x:c>
      <x:c r="H32" s="46" t="str">
        <x:v>Ethers</x:v>
      </x:c>
      <x:c r="I32" s="46" t="str">
        <x:v>measured</x:v>
      </x:c>
      <x:c r="J32" s="46" t="str">
        <x:v>smoked</x:v>
      </x:c>
      <x:c r="K32" s="46" t="str">
        <x:v>key_omission_significant</x:v>
      </x:c>
      <x:c r="L32" s="46" t="str">
        <x:v>Eight of the confirmed key odorants significantly contributed to smoked-duck aroma at p&lt;0.01.</x:v>
      </x:c>
      <x:c r="M32" s="46" t="str">
        <x:v>SRC-DUCK-SMOKE-001</x:v>
      </x:c>
      <x:c r="N32" s="46" t="str">
        <x:v>https://pubmed.ncbi.nlm.nih.gov/38144725/</x:v>
      </x:c>
      <x:c r="O32" s="46" t="str"/>
      <x:c r="P32" s="46" t="str"/>
      <x:c r="Q32" s="46" t="str">
        <x:v>eligible_for_duck_pilot</x:v>
      </x:c>
      <x:c r="R32" s="46" t="str"/>
      <x:c r="S32" s="23" t="str">
        <x:f>IF(OR(I32="founder_equivalence",LEFT(K32,9)="inherited"),"no","yes")</x:f>
        <x:v>yes</x:v>
      </x:c>
      <x:c r="T32" s="23" t="str">
        <x:f>IF(S32="no","MR-16 inherited/equivalence row","")</x:f>
      </x:c>
      <x:c r="U32" s="23"/>
      <x:c r="V32" s="23"/>
      <x:c r="W32" s="23"/>
      <x:c r="X32" s="23"/>
      <x:c r="Y32" s="23"/>
      <x:c r="Z32" s="23"/>
    </x:row>
    <x:row r="33">
      <x:c r="A33" s="46" t="str">
        <x:v>DP-032</x:v>
      </x:c>
      <x:c r="B33" s="46" t="str">
        <x:v>duck</x:v>
      </x:c>
      <x:c r="C33" s="46" t="str">
        <x:v>family:poultry</x:v>
      </x:c>
      <x:c r="D33" s="46" t="str">
        <x:v>seared</x:v>
      </x:c>
      <x:c r="E33" s="46" t="str">
        <x:v>duck breast</x:v>
      </x:c>
      <x:c r="F33" s="46" t="str">
        <x:v>2-furanmethanethiol (2-furfurylthiol)</x:v>
      </x:c>
      <x:c r="G33" s="46" t="str">
        <x:v>98-02-2</x:v>
      </x:c>
      <x:c r="H33" s="46" t="str">
        <x:v>Sulfur compounds</x:v>
      </x:c>
      <x:c r="I33" s="46" t="str">
        <x:v>founder_equivalence</x:v>
      </x:c>
      <x:c r="J33" s="46" t="str">
        <x:v>roasted</x:v>
      </x:c>
      <x:c r="K33" s="46" t="str">
        <x:v>inherited_key_profile</x:v>
      </x:c>
      <x:c r="L33" s="46" t="str">
        <x:v>Inherits the measured roasted-duck key-aroma set under approved culinary equivalence; not directly measured as seared.</x:v>
      </x:c>
      <x:c r="M33" s="46" t="str">
        <x:v>SRC-DUCK-ROAST-001</x:v>
      </x:c>
      <x:c r="N33" s="46" t="str">
        <x:v>https://pubmed.ncbi.nlm.nih.gov/31042865/</x:v>
      </x:c>
      <x:c r="O33" s="46" t="str">
        <x:v>roasted</x:v>
      </x:c>
      <x:c r="P33" s="46" t="str">
        <x:v>EQ-DUCK-001</x:v>
      </x:c>
      <x:c r="Q33" s="46" t="str">
        <x:v>eligible_for_duck_pilot</x:v>
      </x:c>
      <x:c r="R33" s="46" t="str">
        <x:v>Founder-authorized v1 equivalence. Do not display as direct seared analytical evidence.</x:v>
      </x:c>
      <x:c r="S33" s="23" t="str">
        <x:f>IF(OR(I33="founder_equivalence",LEFT(K33,9)="inherited"),"no","yes")</x:f>
        <x:v>no</x:v>
      </x:c>
      <x:c r="T33" s="23" t="str">
        <x:f>IF(S33="no","MR-16 inherited/equivalence row","")</x:f>
        <x:v>MR-16 inherited/equivalence row</x:v>
      </x:c>
      <x:c r="U33" s="23"/>
      <x:c r="V33" s="23"/>
      <x:c r="W33" s="23"/>
      <x:c r="X33" s="23"/>
      <x:c r="Y33" s="23"/>
      <x:c r="Z33" s="23"/>
    </x:row>
    <x:row r="34">
      <x:c r="A34" s="46" t="str">
        <x:v>DP-033</x:v>
      </x:c>
      <x:c r="B34" s="46" t="str">
        <x:v>duck</x:v>
      </x:c>
      <x:c r="C34" s="46" t="str">
        <x:v>family:poultry</x:v>
      </x:c>
      <x:c r="D34" s="46" t="str">
        <x:v>seared</x:v>
      </x:c>
      <x:c r="E34" s="46" t="str">
        <x:v>duck breast</x:v>
      </x:c>
      <x:c r="F34" s="46" t="str">
        <x:v>dimethyl trisulfide</x:v>
      </x:c>
      <x:c r="G34" s="46" t="str">
        <x:v>3658-80-8</x:v>
      </x:c>
      <x:c r="H34" s="46" t="str">
        <x:v>Sulfur compounds</x:v>
      </x:c>
      <x:c r="I34" s="46" t="str">
        <x:v>founder_equivalence</x:v>
      </x:c>
      <x:c r="J34" s="46" t="str">
        <x:v>roasted</x:v>
      </x:c>
      <x:c r="K34" s="46" t="str">
        <x:v>inherited_key_profile</x:v>
      </x:c>
      <x:c r="L34" s="46" t="str">
        <x:v>Inherits the measured roasted-duck key-aroma set under approved culinary equivalence; not directly measured as seared.</x:v>
      </x:c>
      <x:c r="M34" s="46" t="str">
        <x:v>SRC-DUCK-ROAST-001</x:v>
      </x:c>
      <x:c r="N34" s="46" t="str">
        <x:v>https://pubmed.ncbi.nlm.nih.gov/31042865/</x:v>
      </x:c>
      <x:c r="O34" s="46" t="str">
        <x:v>roasted</x:v>
      </x:c>
      <x:c r="P34" s="46" t="str">
        <x:v>EQ-DUCK-001</x:v>
      </x:c>
      <x:c r="Q34" s="46" t="str">
        <x:v>eligible_for_duck_pilot</x:v>
      </x:c>
      <x:c r="R34" s="46" t="str">
        <x:v>Founder-authorized v1 equivalence. Do not display as direct seared analytical evidence.</x:v>
      </x:c>
      <x:c r="S34" s="23" t="str">
        <x:f>IF(OR(I34="founder_equivalence",LEFT(K34,9)="inherited"),"no","yes")</x:f>
        <x:v>no</x:v>
      </x:c>
      <x:c r="T34" s="23" t="str">
        <x:f>IF(S34="no","MR-16 inherited/equivalence row","")</x:f>
        <x:v>MR-16 inherited/equivalence row</x:v>
      </x:c>
      <x:c r="U34" s="23"/>
      <x:c r="V34" s="23"/>
      <x:c r="W34" s="23"/>
      <x:c r="X34" s="23"/>
      <x:c r="Y34" s="23"/>
      <x:c r="Z34" s="23"/>
    </x:row>
    <x:row r="35">
      <x:c r="A35" s="46" t="str">
        <x:v>DP-034</x:v>
      </x:c>
      <x:c r="B35" s="46" t="str">
        <x:v>duck</x:v>
      </x:c>
      <x:c r="C35" s="46" t="str">
        <x:v>family:poultry</x:v>
      </x:c>
      <x:c r="D35" s="46" t="str">
        <x:v>seared</x:v>
      </x:c>
      <x:c r="E35" s="46" t="str">
        <x:v>duck breast</x:v>
      </x:c>
      <x:c r="F35" s="46" t="str">
        <x:v>hexanal</x:v>
      </x:c>
      <x:c r="G35" s="46" t="str">
        <x:v>66-25-1</x:v>
      </x:c>
      <x:c r="H35" s="46" t="str">
        <x:v>Carbonyls, aldehydes</x:v>
      </x:c>
      <x:c r="I35" s="46" t="str">
        <x:v>founder_equivalence</x:v>
      </x:c>
      <x:c r="J35" s="46" t="str">
        <x:v>roasted</x:v>
      </x:c>
      <x:c r="K35" s="46" t="str">
        <x:v>inherited_key_profile</x:v>
      </x:c>
      <x:c r="L35" s="46" t="str">
        <x:v>Inherits the measured roasted-duck key-aroma set under approved culinary equivalence; not directly measured as seared.</x:v>
      </x:c>
      <x:c r="M35" s="46" t="str">
        <x:v>SRC-DUCK-ROAST-001</x:v>
      </x:c>
      <x:c r="N35" s="46" t="str">
        <x:v>https://pubmed.ncbi.nlm.nih.gov/31042865/</x:v>
      </x:c>
      <x:c r="O35" s="46" t="str">
        <x:v>roasted</x:v>
      </x:c>
      <x:c r="P35" s="46" t="str">
        <x:v>EQ-DUCK-001</x:v>
      </x:c>
      <x:c r="Q35" s="46" t="str">
        <x:v>eligible_for_duck_pilot</x:v>
      </x:c>
      <x:c r="R35" s="46" t="str">
        <x:v>Founder-authorized v1 equivalence. Do not display as direct seared analytical evidence.</x:v>
      </x:c>
      <x:c r="S35" s="23" t="str">
        <x:f>IF(OR(I35="founder_equivalence",LEFT(K35,9)="inherited"),"no","yes")</x:f>
        <x:v>no</x:v>
      </x:c>
      <x:c r="T35" s="23" t="str">
        <x:f>IF(S35="no","MR-16 inherited/equivalence row","")</x:f>
        <x:v>MR-16 inherited/equivalence row</x:v>
      </x:c>
      <x:c r="U35" s="23"/>
      <x:c r="V35" s="23"/>
      <x:c r="W35" s="23"/>
      <x:c r="X35" s="23"/>
      <x:c r="Y35" s="23"/>
      <x:c r="Z35" s="23"/>
    </x:row>
    <x:row r="36">
      <x:c r="A36" s="46" t="str">
        <x:v>DP-035</x:v>
      </x:c>
      <x:c r="B36" s="46" t="str">
        <x:v>duck</x:v>
      </x:c>
      <x:c r="C36" s="46" t="str">
        <x:v>family:poultry</x:v>
      </x:c>
      <x:c r="D36" s="46" t="str">
        <x:v>seared</x:v>
      </x:c>
      <x:c r="E36" s="46" t="str">
        <x:v>duck breast</x:v>
      </x:c>
      <x:c r="F36" s="46" t="str">
        <x:v>heptanal</x:v>
      </x:c>
      <x:c r="G36" s="46" t="str">
        <x:v>111-71-7</x:v>
      </x:c>
      <x:c r="H36" s="46" t="str">
        <x:v>Carbonyls, aldehydes</x:v>
      </x:c>
      <x:c r="I36" s="46" t="str">
        <x:v>founder_equivalence</x:v>
      </x:c>
      <x:c r="J36" s="46" t="str">
        <x:v>roasted</x:v>
      </x:c>
      <x:c r="K36" s="46" t="str">
        <x:v>inherited_key_profile</x:v>
      </x:c>
      <x:c r="L36" s="46" t="str">
        <x:v>Inherits the measured roasted-duck key-aroma set under approved culinary equivalence; not directly measured as seared.</x:v>
      </x:c>
      <x:c r="M36" s="46" t="str">
        <x:v>SRC-DUCK-ROAST-001</x:v>
      </x:c>
      <x:c r="N36" s="46" t="str">
        <x:v>https://pubmed.ncbi.nlm.nih.gov/31042865/</x:v>
      </x:c>
      <x:c r="O36" s="46" t="str">
        <x:v>roasted</x:v>
      </x:c>
      <x:c r="P36" s="46" t="str">
        <x:v>EQ-DUCK-001</x:v>
      </x:c>
      <x:c r="Q36" s="46" t="str">
        <x:v>eligible_for_duck_pilot</x:v>
      </x:c>
      <x:c r="R36" s="46" t="str">
        <x:v>Founder-authorized v1 equivalence. Do not display as direct seared analytical evidence.</x:v>
      </x:c>
      <x:c r="S36" s="23" t="str">
        <x:f>IF(OR(I36="founder_equivalence",LEFT(K36,9)="inherited"),"no","yes")</x:f>
        <x:v>no</x:v>
      </x:c>
      <x:c r="T36" s="23" t="str">
        <x:f>IF(S36="no","MR-16 inherited/equivalence row","")</x:f>
        <x:v>MR-16 inherited/equivalence row</x:v>
      </x:c>
      <x:c r="U36" s="23"/>
      <x:c r="V36" s="23"/>
      <x:c r="W36" s="23"/>
      <x:c r="X36" s="23"/>
      <x:c r="Y36" s="23"/>
      <x:c r="Z36" s="23"/>
    </x:row>
    <x:row r="37">
      <x:c r="A37" s="46" t="str">
        <x:v>DP-036</x:v>
      </x:c>
      <x:c r="B37" s="46" t="str">
        <x:v>duck</x:v>
      </x:c>
      <x:c r="C37" s="46" t="str">
        <x:v>family:poultry</x:v>
      </x:c>
      <x:c r="D37" s="46" t="str">
        <x:v>seared</x:v>
      </x:c>
      <x:c r="E37" s="46" t="str">
        <x:v>duck breast</x:v>
      </x:c>
      <x:c r="F37" s="46" t="str">
        <x:v>octanal</x:v>
      </x:c>
      <x:c r="G37" s="46" t="str">
        <x:v>124-13-0</x:v>
      </x:c>
      <x:c r="H37" s="46" t="str">
        <x:v>Carbonyls, aldehydes</x:v>
      </x:c>
      <x:c r="I37" s="46" t="str">
        <x:v>founder_equivalence</x:v>
      </x:c>
      <x:c r="J37" s="46" t="str">
        <x:v>roasted</x:v>
      </x:c>
      <x:c r="K37" s="46" t="str">
        <x:v>inherited_key_profile</x:v>
      </x:c>
      <x:c r="L37" s="46" t="str">
        <x:v>Inherits the measured roasted-duck key-aroma set under approved culinary equivalence; not directly measured as seared.</x:v>
      </x:c>
      <x:c r="M37" s="46" t="str">
        <x:v>SRC-DUCK-ROAST-001</x:v>
      </x:c>
      <x:c r="N37" s="46" t="str">
        <x:v>https://pubmed.ncbi.nlm.nih.gov/31042865/</x:v>
      </x:c>
      <x:c r="O37" s="46" t="str">
        <x:v>roasted</x:v>
      </x:c>
      <x:c r="P37" s="46" t="str">
        <x:v>EQ-DUCK-001</x:v>
      </x:c>
      <x:c r="Q37" s="46" t="str">
        <x:v>eligible_for_duck_pilot</x:v>
      </x:c>
      <x:c r="R37" s="46" t="str">
        <x:v>Founder-authorized v1 equivalence. Do not display as direct seared analytical evidence.</x:v>
      </x:c>
      <x:c r="S37" s="23" t="str">
        <x:f>IF(OR(I37="founder_equivalence",LEFT(K37,9)="inherited"),"no","yes")</x:f>
        <x:v>no</x:v>
      </x:c>
      <x:c r="T37" s="23" t="str">
        <x:f>IF(S37="no","MR-16 inherited/equivalence row","")</x:f>
        <x:v>MR-16 inherited/equivalence row</x:v>
      </x:c>
      <x:c r="U37" s="23"/>
      <x:c r="V37" s="23"/>
      <x:c r="W37" s="23"/>
      <x:c r="X37" s="23"/>
      <x:c r="Y37" s="23"/>
      <x:c r="Z37" s="23"/>
    </x:row>
    <x:row r="38">
      <x:c r="A38" s="46" t="str">
        <x:v>DP-037</x:v>
      </x:c>
      <x:c r="B38" s="46" t="str">
        <x:v>duck</x:v>
      </x:c>
      <x:c r="C38" s="46" t="str">
        <x:v>family:poultry</x:v>
      </x:c>
      <x:c r="D38" s="46" t="str">
        <x:v>seared</x:v>
      </x:c>
      <x:c r="E38" s="46" t="str">
        <x:v>duck breast</x:v>
      </x:c>
      <x:c r="F38" s="46" t="str">
        <x:v>nonanal</x:v>
      </x:c>
      <x:c r="G38" s="46" t="str">
        <x:v>124-19-6</x:v>
      </x:c>
      <x:c r="H38" s="46" t="str">
        <x:v>Carbonyls, aldehydes</x:v>
      </x:c>
      <x:c r="I38" s="46" t="str">
        <x:v>founder_equivalence</x:v>
      </x:c>
      <x:c r="J38" s="46" t="str">
        <x:v>roasted</x:v>
      </x:c>
      <x:c r="K38" s="46" t="str">
        <x:v>inherited_key_profile</x:v>
      </x:c>
      <x:c r="L38" s="46" t="str">
        <x:v>Inherits the measured roasted-duck key-aroma set under approved culinary equivalence; not directly measured as seared.</x:v>
      </x:c>
      <x:c r="M38" s="46" t="str">
        <x:v>SRC-DUCK-ROAST-001</x:v>
      </x:c>
      <x:c r="N38" s="46" t="str">
        <x:v>https://pubmed.ncbi.nlm.nih.gov/31042865/</x:v>
      </x:c>
      <x:c r="O38" s="46" t="str">
        <x:v>roasted</x:v>
      </x:c>
      <x:c r="P38" s="46" t="str">
        <x:v>EQ-DUCK-001</x:v>
      </x:c>
      <x:c r="Q38" s="46" t="str">
        <x:v>eligible_for_duck_pilot</x:v>
      </x:c>
      <x:c r="R38" s="46" t="str">
        <x:v>Founder-authorized v1 equivalence. Do not display as direct seared analytical evidence.</x:v>
      </x:c>
      <x:c r="S38" s="23" t="str">
        <x:f>IF(OR(I38="founder_equivalence",LEFT(K38,9)="inherited"),"no","yes")</x:f>
        <x:v>no</x:v>
      </x:c>
      <x:c r="T38" s="23" t="str">
        <x:f>IF(S38="no","MR-16 inherited/equivalence row","")</x:f>
        <x:v>MR-16 inherited/equivalence row</x:v>
      </x:c>
      <x:c r="U38" s="23"/>
      <x:c r="V38" s="23"/>
      <x:c r="W38" s="23"/>
      <x:c r="X38" s="23"/>
      <x:c r="Y38" s="23"/>
      <x:c r="Z38" s="23"/>
    </x:row>
    <x:row r="39">
      <x:c r="A39" s="46" t="str">
        <x:v>DP-038</x:v>
      </x:c>
      <x:c r="B39" s="46" t="str">
        <x:v>duck</x:v>
      </x:c>
      <x:c r="C39" s="46" t="str">
        <x:v>family:poultry</x:v>
      </x:c>
      <x:c r="D39" s="46" t="str">
        <x:v>seared</x:v>
      </x:c>
      <x:c r="E39" s="46" t="str">
        <x:v>duck breast</x:v>
      </x:c>
      <x:c r="F39" s="46" t="str">
        <x:v>methional</x:v>
      </x:c>
      <x:c r="G39" s="46" t="str">
        <x:v>3268-49-3</x:v>
      </x:c>
      <x:c r="H39" s="46" t="str">
        <x:v>Sulfur compounds</x:v>
      </x:c>
      <x:c r="I39" s="46" t="str">
        <x:v>founder_equivalence</x:v>
      </x:c>
      <x:c r="J39" s="46" t="str">
        <x:v>roasted</x:v>
      </x:c>
      <x:c r="K39" s="46" t="str">
        <x:v>inherited_key_profile</x:v>
      </x:c>
      <x:c r="L39" s="46" t="str">
        <x:v>Inherits the measured roasted-duck key-aroma set under approved culinary equivalence; not directly measured as seared.</x:v>
      </x:c>
      <x:c r="M39" s="46" t="str">
        <x:v>SRC-DUCK-ROAST-001</x:v>
      </x:c>
      <x:c r="N39" s="46" t="str">
        <x:v>https://pubmed.ncbi.nlm.nih.gov/31042865/</x:v>
      </x:c>
      <x:c r="O39" s="46" t="str">
        <x:v>roasted</x:v>
      </x:c>
      <x:c r="P39" s="46" t="str">
        <x:v>EQ-DUCK-001</x:v>
      </x:c>
      <x:c r="Q39" s="46" t="str">
        <x:v>eligible_for_duck_pilot</x:v>
      </x:c>
      <x:c r="R39" s="46" t="str">
        <x:v>Founder-authorized v1 equivalence. Do not display as direct seared analytical evidence.</x:v>
      </x:c>
      <x:c r="S39" s="23" t="str">
        <x:f>IF(OR(I39="founder_equivalence",LEFT(K39,9)="inherited"),"no","yes")</x:f>
        <x:v>no</x:v>
      </x:c>
      <x:c r="T39" s="23" t="str">
        <x:f>IF(S39="no","MR-16 inherited/equivalence row","")</x:f>
        <x:v>MR-16 inherited/equivalence row</x:v>
      </x:c>
      <x:c r="U39" s="23"/>
      <x:c r="V39" s="23"/>
      <x:c r="W39" s="23"/>
      <x:c r="X39" s="23"/>
      <x:c r="Y39" s="23"/>
      <x:c r="Z39" s="23"/>
    </x:row>
    <x:row r="40">
      <x:c r="A40" s="46" t="str">
        <x:v>DP-039</x:v>
      </x:c>
      <x:c r="B40" s="46" t="str">
        <x:v>duck</x:v>
      </x:c>
      <x:c r="C40" s="46" t="str">
        <x:v>family:poultry</x:v>
      </x:c>
      <x:c r="D40" s="46" t="str">
        <x:v>seared</x:v>
      </x:c>
      <x:c r="E40" s="46" t="str">
        <x:v>duck breast</x:v>
      </x:c>
      <x:c r="F40" s="46" t="str">
        <x:v>1-octen-3-ol</x:v>
      </x:c>
      <x:c r="G40" s="46" t="str">
        <x:v>3391-86-4</x:v>
      </x:c>
      <x:c r="H40" s="46" t="str">
        <x:v>Alcohols</x:v>
      </x:c>
      <x:c r="I40" s="46" t="str">
        <x:v>founder_equivalence</x:v>
      </x:c>
      <x:c r="J40" s="46" t="str">
        <x:v>roasted</x:v>
      </x:c>
      <x:c r="K40" s="46" t="str">
        <x:v>inherited_key_profile</x:v>
      </x:c>
      <x:c r="L40" s="46" t="str">
        <x:v>Inherits the measured roasted-duck key-aroma set under approved culinary equivalence; not directly measured as seared.</x:v>
      </x:c>
      <x:c r="M40" s="46" t="str">
        <x:v>SRC-DUCK-ROAST-001</x:v>
      </x:c>
      <x:c r="N40" s="46" t="str">
        <x:v>https://pubmed.ncbi.nlm.nih.gov/31042865/</x:v>
      </x:c>
      <x:c r="O40" s="46" t="str">
        <x:v>roasted</x:v>
      </x:c>
      <x:c r="P40" s="46" t="str">
        <x:v>EQ-DUCK-001</x:v>
      </x:c>
      <x:c r="Q40" s="46" t="str">
        <x:v>eligible_for_duck_pilot</x:v>
      </x:c>
      <x:c r="R40" s="46" t="str">
        <x:v>Founder-authorized v1 equivalence. Do not display as direct seared analytical evidence.</x:v>
      </x:c>
      <x:c r="S40" s="23" t="str">
        <x:f>IF(OR(I40="founder_equivalence",LEFT(K40,9)="inherited"),"no","yes")</x:f>
        <x:v>no</x:v>
      </x:c>
      <x:c r="T40" s="23" t="str">
        <x:f>IF(S40="no","MR-16 inherited/equivalence row","")</x:f>
        <x:v>MR-16 inherited/equivalence row</x:v>
      </x:c>
      <x:c r="U40" s="23"/>
      <x:c r="V40" s="23"/>
      <x:c r="W40" s="23"/>
      <x:c r="X40" s="23"/>
      <x:c r="Y40" s="23"/>
      <x:c r="Z40" s="23"/>
    </x:row>
    <x:row r="41">
      <x:c r="A41" s="46" t="str">
        <x:v>DP-040</x:v>
      </x:c>
      <x:c r="B41" s="46" t="str">
        <x:v>duck</x:v>
      </x:c>
      <x:c r="C41" s="46" t="str">
        <x:v>family:poultry</x:v>
      </x:c>
      <x:c r="D41" s="46" t="str">
        <x:v>seared</x:v>
      </x:c>
      <x:c r="E41" s="46" t="str">
        <x:v>duck breast</x:v>
      </x:c>
      <x:c r="F41" s="46" t="str">
        <x:v>(E,E)-2,4-decadienal</x:v>
      </x:c>
      <x:c r="G41" s="46" t="str">
        <x:v>25152-84-5</x:v>
      </x:c>
      <x:c r="H41" s="46" t="str">
        <x:v>Carbonyls, aldehydes</x:v>
      </x:c>
      <x:c r="I41" s="46" t="str">
        <x:v>founder_equivalence</x:v>
      </x:c>
      <x:c r="J41" s="46" t="str">
        <x:v>roasted</x:v>
      </x:c>
      <x:c r="K41" s="46" t="str">
        <x:v>inherited_key_profile</x:v>
      </x:c>
      <x:c r="L41" s="46" t="str">
        <x:v>Inherits the measured roasted-duck key-aroma set under approved culinary equivalence; not directly measured as seared.</x:v>
      </x:c>
      <x:c r="M41" s="46" t="str">
        <x:v>SRC-DUCK-ROAST-001</x:v>
      </x:c>
      <x:c r="N41" s="46" t="str">
        <x:v>https://pubmed.ncbi.nlm.nih.gov/31042865/</x:v>
      </x:c>
      <x:c r="O41" s="46" t="str">
        <x:v>roasted</x:v>
      </x:c>
      <x:c r="P41" s="46" t="str">
        <x:v>EQ-DUCK-001</x:v>
      </x:c>
      <x:c r="Q41" s="46" t="str">
        <x:v>eligible_for_duck_pilot</x:v>
      </x:c>
      <x:c r="R41" s="46" t="str">
        <x:v>Founder-authorized v1 equivalence. Do not display as direct seared analytical evidence.</x:v>
      </x:c>
      <x:c r="S41" s="23" t="str">
        <x:f>IF(OR(I41="founder_equivalence",LEFT(K41,9)="inherited"),"no","yes")</x:f>
        <x:v>no</x:v>
      </x:c>
      <x:c r="T41" s="23" t="str">
        <x:f>IF(S41="no","MR-16 inherited/equivalence row","")</x:f>
        <x:v>MR-16 inherited/equivalence row</x:v>
      </x:c>
      <x:c r="U41" s="23"/>
      <x:c r="V41" s="23"/>
      <x:c r="W41" s="23"/>
      <x:c r="X41" s="23"/>
      <x:c r="Y41" s="23"/>
      <x:c r="Z41" s="23"/>
    </x:row>
    <x:row r="42">
      <x:c r="A42" s="46" t="str">
        <x:v>DP-041</x:v>
      </x:c>
      <x:c r="B42" s="46" t="str">
        <x:v>duck</x:v>
      </x:c>
      <x:c r="C42" s="46" t="str">
        <x:v>family:poultry</x:v>
      </x:c>
      <x:c r="D42" s="46" t="str">
        <x:v>confit</x:v>
      </x:c>
      <x:c r="E42" s="46" t="str">
        <x:v>duck meat; core profile only</x:v>
      </x:c>
      <x:c r="F42" s="46" t="str">
        <x:v>nonanal</x:v>
      </x:c>
      <x:c r="G42" s="46" t="str">
        <x:v>124-19-6</x:v>
      </x:c>
      <x:c r="H42" s="46" t="str">
        <x:v>Carbonyls, aldehydes</x:v>
      </x:c>
      <x:c r="I42" s="46" t="str">
        <x:v>founder_equivalence</x:v>
      </x:c>
      <x:c r="J42" s="46" t="str">
        <x:v>cooked</x:v>
      </x:c>
      <x:c r="K42" s="46" t="str">
        <x:v>inherited_characteristic_profile</x:v>
      </x:c>
      <x:c r="L42" s="46" t="str">
        <x:v>Inherits the measured cooked-duck characteristic set; added aromatics/cooking-fat contributions belong in a separate transformation layer.</x:v>
      </x:c>
      <x:c r="M42" s="46" t="str">
        <x:v>SRC-DUCK-COOK-001</x:v>
      </x:c>
      <x:c r="N42" s="46" t="str">
        <x:v>https://pmc.ncbi.nlm.nih.gov/articles/PMC10900772/</x:v>
      </x:c>
      <x:c r="O42" s="46" t="str">
        <x:v>cooked</x:v>
      </x:c>
      <x:c r="P42" s="46" t="str">
        <x:v>EQ-DUCK-002</x:v>
      </x:c>
      <x:c r="Q42" s="46" t="str">
        <x:v>eligible_for_duck_pilot</x:v>
      </x:c>
      <x:c r="R42" s="46" t="str">
        <x:v>Founder-authorized v1 equivalence. Do not display as direct confit analytical evidence.</x:v>
      </x:c>
      <x:c r="S42" s="23" t="str">
        <x:f>IF(OR(I42="founder_equivalence",LEFT(K42,9)="inherited"),"no","yes")</x:f>
        <x:v>no</x:v>
      </x:c>
      <x:c r="T42" s="23" t="str">
        <x:f>IF(S42="no","MR-16 inherited/equivalence row","")</x:f>
        <x:v>MR-16 inherited/equivalence row</x:v>
      </x:c>
      <x:c r="U42" s="23"/>
      <x:c r="V42" s="23"/>
      <x:c r="W42" s="23"/>
      <x:c r="X42" s="23"/>
      <x:c r="Y42" s="23"/>
      <x:c r="Z42" s="23"/>
    </x:row>
    <x:row r="43">
      <x:c r="A43" s="46" t="str">
        <x:v>DP-042</x:v>
      </x:c>
      <x:c r="B43" s="46" t="str">
        <x:v>duck</x:v>
      </x:c>
      <x:c r="C43" s="46" t="str">
        <x:v>family:poultry</x:v>
      </x:c>
      <x:c r="D43" s="46" t="str">
        <x:v>confit</x:v>
      </x:c>
      <x:c r="E43" s="46" t="str">
        <x:v>duck meat; core profile only</x:v>
      </x:c>
      <x:c r="F43" s="46" t="str">
        <x:v>2-methylbutanal</x:v>
      </x:c>
      <x:c r="G43" s="46" t="str">
        <x:v>96-17-3</x:v>
      </x:c>
      <x:c r="H43" s="46" t="str">
        <x:v>Carbonyls, aldehydes</x:v>
      </x:c>
      <x:c r="I43" s="46" t="str">
        <x:v>founder_equivalence</x:v>
      </x:c>
      <x:c r="J43" s="46" t="str">
        <x:v>cooked</x:v>
      </x:c>
      <x:c r="K43" s="46" t="str">
        <x:v>inherited_characteristic_profile</x:v>
      </x:c>
      <x:c r="L43" s="46" t="str">
        <x:v>Inherits the measured cooked-duck characteristic set; added aromatics/cooking-fat contributions belong in a separate transformation layer.</x:v>
      </x:c>
      <x:c r="M43" s="46" t="str">
        <x:v>SRC-DUCK-COOK-001</x:v>
      </x:c>
      <x:c r="N43" s="46" t="str">
        <x:v>https://pmc.ncbi.nlm.nih.gov/articles/PMC10900772/</x:v>
      </x:c>
      <x:c r="O43" s="46" t="str">
        <x:v>cooked</x:v>
      </x:c>
      <x:c r="P43" s="46" t="str">
        <x:v>EQ-DUCK-002</x:v>
      </x:c>
      <x:c r="Q43" s="46" t="str">
        <x:v>eligible_for_duck_pilot</x:v>
      </x:c>
      <x:c r="R43" s="46" t="str">
        <x:v>Founder-authorized v1 equivalence. Do not display as direct confit analytical evidence.</x:v>
      </x:c>
      <x:c r="S43" s="23" t="str">
        <x:f>IF(OR(I43="founder_equivalence",LEFT(K43,9)="inherited"),"no","yes")</x:f>
        <x:v>no</x:v>
      </x:c>
      <x:c r="T43" s="23" t="str">
        <x:f>IF(S43="no","MR-16 inherited/equivalence row","")</x:f>
        <x:v>MR-16 inherited/equivalence row</x:v>
      </x:c>
      <x:c r="U43" s="23"/>
      <x:c r="V43" s="23"/>
      <x:c r="W43" s="23"/>
      <x:c r="X43" s="23"/>
      <x:c r="Y43" s="23"/>
      <x:c r="Z43" s="23"/>
    </x:row>
    <x:row r="44">
      <x:c r="A44" s="46" t="str">
        <x:v>DP-043</x:v>
      </x:c>
      <x:c r="B44" s="46" t="str">
        <x:v>duck</x:v>
      </x:c>
      <x:c r="C44" s="46" t="str">
        <x:v>family:poultry</x:v>
      </x:c>
      <x:c r="D44" s="46" t="str">
        <x:v>confit</x:v>
      </x:c>
      <x:c r="E44" s="46" t="str">
        <x:v>duck meat; core profile only</x:v>
      </x:c>
      <x:c r="F44" s="46" t="str">
        <x:v>pentanal</x:v>
      </x:c>
      <x:c r="G44" s="46" t="str">
        <x:v>110-62-3</x:v>
      </x:c>
      <x:c r="H44" s="46" t="str">
        <x:v>Carbonyls, aldehydes</x:v>
      </x:c>
      <x:c r="I44" s="46" t="str">
        <x:v>founder_equivalence</x:v>
      </x:c>
      <x:c r="J44" s="46" t="str">
        <x:v>cooked</x:v>
      </x:c>
      <x:c r="K44" s="46" t="str">
        <x:v>inherited_characteristic_profile</x:v>
      </x:c>
      <x:c r="L44" s="46" t="str">
        <x:v>Inherits the measured cooked-duck characteristic set; added aromatics/cooking-fat contributions belong in a separate transformation layer.</x:v>
      </x:c>
      <x:c r="M44" s="46" t="str">
        <x:v>SRC-DUCK-COOK-001</x:v>
      </x:c>
      <x:c r="N44" s="46" t="str">
        <x:v>https://pmc.ncbi.nlm.nih.gov/articles/PMC10900772/</x:v>
      </x:c>
      <x:c r="O44" s="46" t="str">
        <x:v>cooked</x:v>
      </x:c>
      <x:c r="P44" s="46" t="str">
        <x:v>EQ-DUCK-002</x:v>
      </x:c>
      <x:c r="Q44" s="46" t="str">
        <x:v>eligible_for_duck_pilot</x:v>
      </x:c>
      <x:c r="R44" s="46" t="str">
        <x:v>Founder-authorized v1 equivalence. Do not display as direct confit analytical evidence.</x:v>
      </x:c>
      <x:c r="S44" s="23" t="str">
        <x:f>IF(OR(I44="founder_equivalence",LEFT(K44,9)="inherited"),"no","yes")</x:f>
        <x:v>no</x:v>
      </x:c>
      <x:c r="T44" s="23" t="str">
        <x:f>IF(S44="no","MR-16 inherited/equivalence row","")</x:f>
        <x:v>MR-16 inherited/equivalence row</x:v>
      </x:c>
      <x:c r="U44" s="23"/>
      <x:c r="V44" s="23"/>
      <x:c r="W44" s="23"/>
      <x:c r="X44" s="23"/>
      <x:c r="Y44" s="23"/>
      <x:c r="Z44" s="23"/>
    </x:row>
    <x:row r="45">
      <x:c r="A45" s="46" t="str">
        <x:v>DP-044</x:v>
      </x:c>
      <x:c r="B45" s="46" t="str">
        <x:v>duck</x:v>
      </x:c>
      <x:c r="C45" s="46" t="str">
        <x:v>family:poultry</x:v>
      </x:c>
      <x:c r="D45" s="46" t="str">
        <x:v>confit</x:v>
      </x:c>
      <x:c r="E45" s="46" t="str">
        <x:v>duck meat; core profile only</x:v>
      </x:c>
      <x:c r="F45" s="46" t="str">
        <x:v>octanal</x:v>
      </x:c>
      <x:c r="G45" s="46" t="str">
        <x:v>124-13-0</x:v>
      </x:c>
      <x:c r="H45" s="46" t="str">
        <x:v>Carbonyls, aldehydes</x:v>
      </x:c>
      <x:c r="I45" s="46" t="str">
        <x:v>founder_equivalence</x:v>
      </x:c>
      <x:c r="J45" s="46" t="str">
        <x:v>cooked</x:v>
      </x:c>
      <x:c r="K45" s="46" t="str">
        <x:v>inherited_characteristic_profile</x:v>
      </x:c>
      <x:c r="L45" s="46" t="str">
        <x:v>Inherits the measured cooked-duck characteristic set; added aromatics/cooking-fat contributions belong in a separate transformation layer.</x:v>
      </x:c>
      <x:c r="M45" s="46" t="str">
        <x:v>SRC-DUCK-COOK-001</x:v>
      </x:c>
      <x:c r="N45" s="46" t="str">
        <x:v>https://pmc.ncbi.nlm.nih.gov/articles/PMC10900772/</x:v>
      </x:c>
      <x:c r="O45" s="46" t="str">
        <x:v>cooked</x:v>
      </x:c>
      <x:c r="P45" s="46" t="str">
        <x:v>EQ-DUCK-002</x:v>
      </x:c>
      <x:c r="Q45" s="46" t="str">
        <x:v>eligible_for_duck_pilot</x:v>
      </x:c>
      <x:c r="R45" s="46" t="str">
        <x:v>Founder-authorized v1 equivalence. Do not display as direct confit analytical evidence.</x:v>
      </x:c>
      <x:c r="S45" s="23" t="str">
        <x:f>IF(OR(I45="founder_equivalence",LEFT(K45,9)="inherited"),"no","yes")</x:f>
        <x:v>no</x:v>
      </x:c>
      <x:c r="T45" s="23" t="str">
        <x:f>IF(S45="no","MR-16 inherited/equivalence row","")</x:f>
        <x:v>MR-16 inherited/equivalence row</x:v>
      </x:c>
      <x:c r="U45" s="23"/>
      <x:c r="V45" s="23"/>
      <x:c r="W45" s="23"/>
      <x:c r="X45" s="23"/>
      <x:c r="Y45" s="23"/>
      <x:c r="Z45" s="23"/>
    </x:row>
    <x:row r="46">
      <x:c r="A46" s="46" t="str">
        <x:v>DP-045</x:v>
      </x:c>
      <x:c r="B46" s="46" t="str">
        <x:v>duck</x:v>
      </x:c>
      <x:c r="C46" s="46" t="str">
        <x:v>family:poultry</x:v>
      </x:c>
      <x:c r="D46" s="46" t="str">
        <x:v>confit</x:v>
      </x:c>
      <x:c r="E46" s="46" t="str">
        <x:v>duck meat; core profile only</x:v>
      </x:c>
      <x:c r="F46" s="46" t="str">
        <x:v>heptanal</x:v>
      </x:c>
      <x:c r="G46" s="46" t="str">
        <x:v>111-71-7</x:v>
      </x:c>
      <x:c r="H46" s="46" t="str">
        <x:v>Carbonyls, aldehydes</x:v>
      </x:c>
      <x:c r="I46" s="46" t="str">
        <x:v>founder_equivalence</x:v>
      </x:c>
      <x:c r="J46" s="46" t="str">
        <x:v>cooked</x:v>
      </x:c>
      <x:c r="K46" s="46" t="str">
        <x:v>inherited_characteristic_profile</x:v>
      </x:c>
      <x:c r="L46" s="46" t="str">
        <x:v>Inherits the measured cooked-duck characteristic set; added aromatics/cooking-fat contributions belong in a separate transformation layer.</x:v>
      </x:c>
      <x:c r="M46" s="46" t="str">
        <x:v>SRC-DUCK-COOK-001</x:v>
      </x:c>
      <x:c r="N46" s="46" t="str">
        <x:v>https://pmc.ncbi.nlm.nih.gov/articles/PMC10900772/</x:v>
      </x:c>
      <x:c r="O46" s="46" t="str">
        <x:v>cooked</x:v>
      </x:c>
      <x:c r="P46" s="46" t="str">
        <x:v>EQ-DUCK-002</x:v>
      </x:c>
      <x:c r="Q46" s="46" t="str">
        <x:v>eligible_for_duck_pilot</x:v>
      </x:c>
      <x:c r="R46" s="46" t="str">
        <x:v>Founder-authorized v1 equivalence. Do not display as direct confit analytical evidence.</x:v>
      </x:c>
      <x:c r="S46" s="23" t="str">
        <x:f>IF(OR(I46="founder_equivalence",LEFT(K46,9)="inherited"),"no","yes")</x:f>
        <x:v>no</x:v>
      </x:c>
      <x:c r="T46" s="23" t="str">
        <x:f>IF(S46="no","MR-16 inherited/equivalence row","")</x:f>
        <x:v>MR-16 inherited/equivalence row</x:v>
      </x:c>
      <x:c r="U46" s="23"/>
      <x:c r="V46" s="23"/>
      <x:c r="W46" s="23"/>
      <x:c r="X46" s="23"/>
      <x:c r="Y46" s="23"/>
      <x:c r="Z46" s="23"/>
    </x:row>
    <x:row r="47">
      <x:c r="A47" s="46" t="str">
        <x:v>DP-046</x:v>
      </x:c>
      <x:c r="B47" s="46" t="str">
        <x:v>duck</x:v>
      </x:c>
      <x:c r="C47" s="46" t="str">
        <x:v>family:poultry</x:v>
      </x:c>
      <x:c r="D47" s="46" t="str">
        <x:v>confit</x:v>
      </x:c>
      <x:c r="E47" s="46" t="str">
        <x:v>duck meat; core profile only</x:v>
      </x:c>
      <x:c r="F47" s="46" t="str">
        <x:v>hexanal</x:v>
      </x:c>
      <x:c r="G47" s="46" t="str">
        <x:v>66-25-1</x:v>
      </x:c>
      <x:c r="H47" s="46" t="str">
        <x:v>Carbonyls, aldehydes</x:v>
      </x:c>
      <x:c r="I47" s="46" t="str">
        <x:v>founder_equivalence</x:v>
      </x:c>
      <x:c r="J47" s="46" t="str">
        <x:v>cooked</x:v>
      </x:c>
      <x:c r="K47" s="46" t="str">
        <x:v>inherited_characteristic_profile</x:v>
      </x:c>
      <x:c r="L47" s="46" t="str">
        <x:v>Inherits the measured cooked-duck characteristic set; added aromatics/cooking-fat contributions belong in a separate transformation layer.</x:v>
      </x:c>
      <x:c r="M47" s="46" t="str">
        <x:v>SRC-DUCK-COOK-001</x:v>
      </x:c>
      <x:c r="N47" s="46" t="str">
        <x:v>https://pmc.ncbi.nlm.nih.gov/articles/PMC10900772/</x:v>
      </x:c>
      <x:c r="O47" s="46" t="str">
        <x:v>cooked</x:v>
      </x:c>
      <x:c r="P47" s="46" t="str">
        <x:v>EQ-DUCK-002</x:v>
      </x:c>
      <x:c r="Q47" s="46" t="str">
        <x:v>eligible_for_duck_pilot</x:v>
      </x:c>
      <x:c r="R47" s="46" t="str">
        <x:v>Founder-authorized v1 equivalence. Do not display as direct confit analytical evidence.</x:v>
      </x:c>
      <x:c r="S47" s="23" t="str">
        <x:f>IF(OR(I47="founder_equivalence",LEFT(K47,9)="inherited"),"no","yes")</x:f>
        <x:v>no</x:v>
      </x:c>
      <x:c r="T47" s="23" t="str">
        <x:f>IF(S47="no","MR-16 inherited/equivalence row","")</x:f>
        <x:v>MR-16 inherited/equivalence row</x:v>
      </x:c>
      <x:c r="U47" s="23"/>
      <x:c r="V47" s="23"/>
      <x:c r="W47" s="23"/>
      <x:c r="X47" s="23"/>
      <x:c r="Y47" s="23"/>
      <x:c r="Z47" s="23"/>
    </x:row>
    <x:row r="48">
      <x:c r="A48" s="46" t="str">
        <x:v>DP-047</x:v>
      </x:c>
      <x:c r="B48" s="46" t="str">
        <x:v>duck</x:v>
      </x:c>
      <x:c r="C48" s="46" t="str">
        <x:v>family:poultry</x:v>
      </x:c>
      <x:c r="D48" s="46" t="str">
        <x:v>confit</x:v>
      </x:c>
      <x:c r="E48" s="46" t="str">
        <x:v>duck meat; core profile only</x:v>
      </x:c>
      <x:c r="F48" s="46" t="str">
        <x:v>(E)-2-octenal</x:v>
      </x:c>
      <x:c r="G48" s="46" t="str">
        <x:v>2548-87-0</x:v>
      </x:c>
      <x:c r="H48" s="46" t="str">
        <x:v>Carbonyls, aldehydes</x:v>
      </x:c>
      <x:c r="I48" s="46" t="str">
        <x:v>founder_equivalence</x:v>
      </x:c>
      <x:c r="J48" s="46" t="str">
        <x:v>cooked</x:v>
      </x:c>
      <x:c r="K48" s="46" t="str">
        <x:v>inherited_characteristic_profile</x:v>
      </x:c>
      <x:c r="L48" s="46" t="str">
        <x:v>Inherits the measured cooked-duck characteristic set; added aromatics/cooking-fat contributions belong in a separate transformation layer.</x:v>
      </x:c>
      <x:c r="M48" s="46" t="str">
        <x:v>SRC-DUCK-COOK-001</x:v>
      </x:c>
      <x:c r="N48" s="46" t="str">
        <x:v>https://pmc.ncbi.nlm.nih.gov/articles/PMC10900772/</x:v>
      </x:c>
      <x:c r="O48" s="46" t="str">
        <x:v>cooked</x:v>
      </x:c>
      <x:c r="P48" s="46" t="str">
        <x:v>EQ-DUCK-002</x:v>
      </x:c>
      <x:c r="Q48" s="46" t="str">
        <x:v>eligible_for_duck_pilot</x:v>
      </x:c>
      <x:c r="R48" s="46" t="str">
        <x:v>Founder-authorized v1 equivalence. Do not display as direct confit analytical evidence.</x:v>
      </x:c>
      <x:c r="S48" s="23" t="str">
        <x:f>IF(OR(I48="founder_equivalence",LEFT(K48,9)="inherited"),"no","yes")</x:f>
        <x:v>no</x:v>
      </x:c>
      <x:c r="T48" s="23" t="str">
        <x:f>IF(S48="no","MR-16 inherited/equivalence row","")</x:f>
        <x:v>MR-16 inherited/equivalence row</x:v>
      </x:c>
      <x:c r="U48" s="23"/>
      <x:c r="V48" s="23"/>
      <x:c r="W48" s="23"/>
      <x:c r="X48" s="23"/>
      <x:c r="Y48" s="23"/>
      <x:c r="Z48" s="23"/>
    </x:row>
    <x:row r="49">
      <x:c r="A49" s="46" t="str">
        <x:v>DP-048</x:v>
      </x:c>
      <x:c r="B49" s="46" t="str">
        <x:v>duck</x:v>
      </x:c>
      <x:c r="C49" s="46" t="str">
        <x:v>family:poultry</x:v>
      </x:c>
      <x:c r="D49" s="46" t="str">
        <x:v>confit</x:v>
      </x:c>
      <x:c r="E49" s="46" t="str">
        <x:v>duck meat; core profile only</x:v>
      </x:c>
      <x:c r="F49" s="46" t="str">
        <x:v>(E)-2-nonenal</x:v>
      </x:c>
      <x:c r="G49" s="46" t="str">
        <x:v>18829-56-6</x:v>
      </x:c>
      <x:c r="H49" s="46" t="str">
        <x:v>Carbonyls, aldehydes</x:v>
      </x:c>
      <x:c r="I49" s="46" t="str">
        <x:v>founder_equivalence</x:v>
      </x:c>
      <x:c r="J49" s="46" t="str">
        <x:v>cooked</x:v>
      </x:c>
      <x:c r="K49" s="46" t="str">
        <x:v>inherited_characteristic_profile</x:v>
      </x:c>
      <x:c r="L49" s="46" t="str">
        <x:v>Inherits the measured cooked-duck characteristic set; added aromatics/cooking-fat contributions belong in a separate transformation layer.</x:v>
      </x:c>
      <x:c r="M49" s="46" t="str">
        <x:v>SRC-DUCK-COOK-001</x:v>
      </x:c>
      <x:c r="N49" s="46" t="str">
        <x:v>https://pmc.ncbi.nlm.nih.gov/articles/PMC10900772/</x:v>
      </x:c>
      <x:c r="O49" s="46" t="str">
        <x:v>cooked</x:v>
      </x:c>
      <x:c r="P49" s="46" t="str">
        <x:v>EQ-DUCK-002</x:v>
      </x:c>
      <x:c r="Q49" s="46" t="str">
        <x:v>eligible_for_duck_pilot</x:v>
      </x:c>
      <x:c r="R49" s="46" t="str">
        <x:v>Founder-authorized v1 equivalence. Do not display as direct confit analytical evidence.</x:v>
      </x:c>
      <x:c r="S49" s="23" t="str">
        <x:f>IF(OR(I49="founder_equivalence",LEFT(K49,9)="inherited"),"no","yes")</x:f>
        <x:v>no</x:v>
      </x:c>
      <x:c r="T49" s="23" t="str">
        <x:f>IF(S49="no","MR-16 inherited/equivalence row","")</x:f>
        <x:v>MR-16 inherited/equivalence row</x:v>
      </x:c>
      <x:c r="U49" s="23"/>
      <x:c r="V49" s="23"/>
      <x:c r="W49" s="23"/>
      <x:c r="X49" s="23"/>
      <x:c r="Y49" s="23"/>
      <x:c r="Z49" s="23"/>
    </x:row>
    <x:row r="50">
      <x:c r="A50" s="46" t="str">
        <x:v>DP-049</x:v>
      </x:c>
      <x:c r="B50" s="46" t="str">
        <x:v>duck</x:v>
      </x:c>
      <x:c r="C50" s="46" t="str">
        <x:v>family:poultry</x:v>
      </x:c>
      <x:c r="D50" s="46" t="str">
        <x:v>confit</x:v>
      </x:c>
      <x:c r="E50" s="46" t="str">
        <x:v>duck meat; core profile only</x:v>
      </x:c>
      <x:c r="F50" s="46" t="str">
        <x:v>2-pentylfuran</x:v>
      </x:c>
      <x:c r="G50" s="46" t="str">
        <x:v>3777-69-3</x:v>
      </x:c>
      <x:c r="H50" s="46" t="str">
        <x:v>Furans</x:v>
      </x:c>
      <x:c r="I50" s="46" t="str">
        <x:v>founder_equivalence</x:v>
      </x:c>
      <x:c r="J50" s="46" t="str">
        <x:v>cooked</x:v>
      </x:c>
      <x:c r="K50" s="46" t="str">
        <x:v>inherited_characteristic_profile</x:v>
      </x:c>
      <x:c r="L50" s="46" t="str">
        <x:v>Inherits the measured cooked-duck characteristic set; added aromatics/cooking-fat contributions belong in a separate transformation layer.</x:v>
      </x:c>
      <x:c r="M50" s="46" t="str">
        <x:v>SRC-DUCK-COOK-001</x:v>
      </x:c>
      <x:c r="N50" s="46" t="str">
        <x:v>https://pmc.ncbi.nlm.nih.gov/articles/PMC10900772/</x:v>
      </x:c>
      <x:c r="O50" s="46" t="str">
        <x:v>cooked</x:v>
      </x:c>
      <x:c r="P50" s="46" t="str">
        <x:v>EQ-DUCK-002</x:v>
      </x:c>
      <x:c r="Q50" s="46" t="str">
        <x:v>eligible_for_duck_pilot</x:v>
      </x:c>
      <x:c r="R50" s="46" t="str">
        <x:v>Founder-authorized v1 equivalence. Do not display as direct confit analytical evidence.</x:v>
      </x:c>
      <x:c r="S50" s="23" t="str">
        <x:f>IF(OR(I50="founder_equivalence",LEFT(K50,9)="inherited"),"no","yes")</x:f>
        <x:v>no</x:v>
      </x:c>
      <x:c r="T50" s="23" t="str">
        <x:f>IF(S50="no","MR-16 inherited/equivalence row","")</x:f>
        <x:v>MR-16 inherited/equivalence row</x:v>
      </x:c>
      <x:c r="U50" s="23"/>
      <x:c r="V50" s="23"/>
      <x:c r="W50" s="23"/>
      <x:c r="X50" s="23"/>
      <x:c r="Y50" s="23"/>
      <x:c r="Z50" s="23"/>
    </x:row>
    <x:row r="51">
      <x:c r="A51" s="46"/>
      <x:c r="B51" s="46"/>
      <x:c r="C51" s="46"/>
      <x:c r="D51" s="46"/>
      <x:c r="E51" s="46"/>
      <x:c r="F51" s="46"/>
      <x:c r="G51" s="46"/>
      <x:c r="H51" s="46"/>
      <x:c r="I51" s="46"/>
      <x:c r="J51" s="46"/>
      <x:c r="K51" s="46"/>
      <x:c r="L51" s="46"/>
      <x:c r="M51" s="46"/>
      <x:c r="N51" s="46"/>
      <x:c r="O51" s="46"/>
      <x:c r="P51" s="46"/>
      <x:c r="Q51" s="46"/>
      <x:c r="R51" s="46"/>
      <x:c r="S51" s="23"/>
      <x:c r="T51" s="23"/>
      <x:c r="U51" s="23"/>
      <x:c r="V51" s="23"/>
      <x:c r="W51" s="23"/>
      <x:c r="X51" s="23"/>
      <x:c r="Y51" s="23"/>
      <x:c r="Z51" s="23"/>
    </x:row>
    <x:row r="52">
      <x:c r="A52" s="46"/>
      <x:c r="B52" s="46"/>
      <x:c r="C52" s="46"/>
      <x:c r="D52" s="46"/>
      <x:c r="E52" s="46"/>
      <x:c r="F52" s="46"/>
      <x:c r="G52" s="46"/>
      <x:c r="H52" s="46"/>
      <x:c r="I52" s="46"/>
      <x:c r="J52" s="46"/>
      <x:c r="K52" s="46"/>
      <x:c r="L52" s="46"/>
      <x:c r="M52" s="46"/>
      <x:c r="N52" s="46"/>
      <x:c r="O52" s="46"/>
      <x:c r="P52" s="46"/>
      <x:c r="Q52" s="46"/>
      <x:c r="R52" s="46"/>
      <x:c r="S52" s="23"/>
      <x:c r="T52" s="23"/>
      <x:c r="U52" s="23"/>
      <x:c r="V52" s="23"/>
      <x:c r="W52" s="23"/>
      <x:c r="X52" s="23"/>
      <x:c r="Y52" s="23"/>
      <x:c r="Z52" s="23"/>
    </x:row>
    <x:row r="53">
      <x:c r="A53" s="46"/>
      <x:c r="B53" s="46"/>
      <x:c r="C53" s="46"/>
      <x:c r="D53" s="46"/>
      <x:c r="E53" s="46"/>
      <x:c r="F53" s="46"/>
      <x:c r="G53" s="46"/>
      <x:c r="H53" s="46"/>
      <x:c r="I53" s="46"/>
      <x:c r="J53" s="46"/>
      <x:c r="K53" s="46"/>
      <x:c r="L53" s="46"/>
      <x:c r="M53" s="46"/>
      <x:c r="N53" s="46"/>
      <x:c r="O53" s="46"/>
      <x:c r="P53" s="46"/>
      <x:c r="Q53" s="46"/>
      <x:c r="R53" s="46"/>
      <x:c r="S53" s="23"/>
      <x:c r="T53" s="23"/>
      <x:c r="U53" s="23"/>
      <x:c r="V53" s="23"/>
      <x:c r="W53" s="23"/>
      <x:c r="X53" s="23"/>
      <x:c r="Y53" s="23"/>
      <x:c r="Z53" s="23"/>
    </x:row>
    <x:row r="54">
      <x:c r="A54" s="46"/>
      <x:c r="B54" s="46"/>
      <x:c r="C54" s="46"/>
      <x:c r="D54" s="46"/>
      <x:c r="E54" s="46"/>
      <x:c r="F54" s="46"/>
      <x:c r="G54" s="46"/>
      <x:c r="H54" s="46"/>
      <x:c r="I54" s="46"/>
      <x:c r="J54" s="46"/>
      <x:c r="K54" s="46"/>
      <x:c r="L54" s="46"/>
      <x:c r="M54" s="46"/>
      <x:c r="N54" s="46"/>
      <x:c r="O54" s="46"/>
      <x:c r="P54" s="46"/>
      <x:c r="Q54" s="46"/>
      <x:c r="R54" s="46"/>
      <x:c r="S54" s="23"/>
      <x:c r="T54" s="23"/>
      <x:c r="U54" s="23"/>
      <x:c r="V54" s="23"/>
      <x:c r="W54" s="23"/>
      <x:c r="X54" s="23"/>
      <x:c r="Y54" s="23"/>
      <x:c r="Z54" s="23"/>
    </x:row>
    <x:row r="55">
      <x:c r="A55" s="46"/>
      <x:c r="B55" s="46"/>
      <x:c r="C55" s="46"/>
      <x:c r="D55" s="46"/>
      <x:c r="E55" s="46"/>
      <x:c r="F55" s="46"/>
      <x:c r="G55" s="46"/>
      <x:c r="H55" s="46"/>
      <x:c r="I55" s="46"/>
      <x:c r="J55" s="46"/>
      <x:c r="K55" s="46"/>
      <x:c r="L55" s="46"/>
      <x:c r="M55" s="46"/>
      <x:c r="N55" s="46"/>
      <x:c r="O55" s="46"/>
      <x:c r="P55" s="46"/>
      <x:c r="Q55" s="46"/>
      <x:c r="R55" s="46"/>
      <x:c r="S55" s="23"/>
      <x:c r="T55" s="23"/>
      <x:c r="U55" s="23"/>
      <x:c r="V55" s="23"/>
      <x:c r="W55" s="23"/>
      <x:c r="X55" s="23"/>
      <x:c r="Y55" s="23"/>
      <x:c r="Z55" s="23"/>
    </x:row>
    <x:row r="56">
      <x:c r="A56" s="46"/>
      <x:c r="B56" s="46"/>
      <x:c r="C56" s="46"/>
      <x:c r="D56" s="46"/>
      <x:c r="E56" s="46"/>
      <x:c r="F56" s="46"/>
      <x:c r="G56" s="46"/>
      <x:c r="H56" s="46"/>
      <x:c r="I56" s="46"/>
      <x:c r="J56" s="46"/>
      <x:c r="K56" s="46"/>
      <x:c r="L56" s="46"/>
      <x:c r="M56" s="46"/>
      <x:c r="N56" s="46"/>
      <x:c r="O56" s="46"/>
      <x:c r="P56" s="46"/>
      <x:c r="Q56" s="46"/>
      <x:c r="R56" s="46"/>
      <x:c r="S56" s="23"/>
      <x:c r="T56" s="23"/>
      <x:c r="U56" s="23"/>
      <x:c r="V56" s="23"/>
      <x:c r="W56" s="23"/>
      <x:c r="X56" s="23"/>
      <x:c r="Y56" s="23"/>
      <x:c r="Z56" s="23"/>
    </x:row>
    <x:row r="57">
      <x:c r="A57" s="46"/>
      <x:c r="B57" s="46"/>
      <x:c r="C57" s="46"/>
      <x:c r="D57" s="46"/>
      <x:c r="E57" s="46"/>
      <x:c r="F57" s="46"/>
      <x:c r="G57" s="46"/>
      <x:c r="H57" s="46"/>
      <x:c r="I57" s="46"/>
      <x:c r="J57" s="46"/>
      <x:c r="K57" s="46"/>
      <x:c r="L57" s="46"/>
      <x:c r="M57" s="46"/>
      <x:c r="N57" s="46"/>
      <x:c r="O57" s="46"/>
      <x:c r="P57" s="46"/>
      <x:c r="Q57" s="46"/>
      <x:c r="R57" s="46"/>
      <x:c r="S57" s="23"/>
      <x:c r="T57" s="23"/>
      <x:c r="U57" s="23"/>
      <x:c r="V57" s="23"/>
      <x:c r="W57" s="23"/>
      <x:c r="X57" s="23"/>
      <x:c r="Y57" s="23"/>
      <x:c r="Z57" s="23"/>
    </x:row>
    <x:row r="58">
      <x:c r="A58" s="46"/>
      <x:c r="B58" s="46"/>
      <x:c r="C58" s="46"/>
      <x:c r="D58" s="46"/>
      <x:c r="E58" s="46"/>
      <x:c r="F58" s="46"/>
      <x:c r="G58" s="46"/>
      <x:c r="H58" s="46"/>
      <x:c r="I58" s="46"/>
      <x:c r="J58" s="46"/>
      <x:c r="K58" s="46"/>
      <x:c r="L58" s="46"/>
      <x:c r="M58" s="46"/>
      <x:c r="N58" s="46"/>
      <x:c r="O58" s="46"/>
      <x:c r="P58" s="46"/>
      <x:c r="Q58" s="46"/>
      <x:c r="R58" s="46"/>
      <x:c r="S58" s="23"/>
      <x:c r="T58" s="23"/>
      <x:c r="U58" s="23"/>
      <x:c r="V58" s="23"/>
      <x:c r="W58" s="23"/>
      <x:c r="X58" s="23"/>
      <x:c r="Y58" s="23"/>
      <x:c r="Z58" s="23"/>
    </x:row>
    <x:row r="59">
      <x:c r="A59" s="46"/>
      <x:c r="B59" s="46"/>
      <x:c r="C59" s="46"/>
      <x:c r="D59" s="46"/>
      <x:c r="E59" s="46"/>
      <x:c r="F59" s="46"/>
      <x:c r="G59" s="46"/>
      <x:c r="H59" s="46"/>
      <x:c r="I59" s="46"/>
      <x:c r="J59" s="46"/>
      <x:c r="K59" s="46"/>
      <x:c r="L59" s="46"/>
      <x:c r="M59" s="46"/>
      <x:c r="N59" s="46"/>
      <x:c r="O59" s="46"/>
      <x:c r="P59" s="46"/>
      <x:c r="Q59" s="46"/>
      <x:c r="R59" s="46"/>
      <x:c r="S59" s="23"/>
      <x:c r="T59" s="23"/>
      <x:c r="U59" s="23"/>
      <x:c r="V59" s="23"/>
      <x:c r="W59" s="23"/>
      <x:c r="X59" s="23"/>
      <x:c r="Y59" s="23"/>
      <x:c r="Z59" s="23"/>
    </x:row>
    <x:row r="60">
      <x:c r="A60" s="46"/>
      <x:c r="B60" s="46"/>
      <x:c r="C60" s="46"/>
      <x:c r="D60" s="46"/>
      <x:c r="E60" s="46"/>
      <x:c r="F60" s="46"/>
      <x:c r="G60" s="46"/>
      <x:c r="H60" s="46"/>
      <x:c r="I60" s="46"/>
      <x:c r="J60" s="46"/>
      <x:c r="K60" s="46"/>
      <x:c r="L60" s="46"/>
      <x:c r="M60" s="46"/>
      <x:c r="N60" s="46"/>
      <x:c r="O60" s="46"/>
      <x:c r="P60" s="46"/>
      <x:c r="Q60" s="46"/>
      <x:c r="R60" s="46"/>
      <x:c r="S60" s="23"/>
      <x:c r="T60" s="23"/>
      <x:c r="U60" s="23"/>
      <x:c r="V60" s="23"/>
      <x:c r="W60" s="23"/>
      <x:c r="X60" s="23"/>
      <x:c r="Y60" s="23"/>
      <x:c r="Z60" s="23"/>
    </x:row>
    <x:row r="61">
      <x:c r="A61" s="46"/>
      <x:c r="B61" s="46"/>
      <x:c r="C61" s="46"/>
      <x:c r="D61" s="46"/>
      <x:c r="E61" s="46"/>
      <x:c r="F61" s="46"/>
      <x:c r="G61" s="46"/>
      <x:c r="H61" s="46"/>
      <x:c r="I61" s="46"/>
      <x:c r="J61" s="46"/>
      <x:c r="K61" s="46"/>
      <x:c r="L61" s="46"/>
      <x:c r="M61" s="46"/>
      <x:c r="N61" s="46"/>
      <x:c r="O61" s="46"/>
      <x:c r="P61" s="46"/>
      <x:c r="Q61" s="46"/>
      <x:c r="R61" s="46"/>
      <x:c r="S61" s="23"/>
      <x:c r="T61" s="23"/>
      <x:c r="U61" s="23"/>
      <x:c r="V61" s="23"/>
      <x:c r="W61" s="23"/>
      <x:c r="X61" s="23"/>
      <x:c r="Y61" s="23"/>
      <x:c r="Z61" s="23"/>
    </x:row>
    <x:row r="62">
      <x:c r="A62" s="46"/>
      <x:c r="B62" s="46"/>
      <x:c r="C62" s="46"/>
      <x:c r="D62" s="46"/>
      <x:c r="E62" s="46"/>
      <x:c r="F62" s="46"/>
      <x:c r="G62" s="46"/>
      <x:c r="H62" s="46"/>
      <x:c r="I62" s="46"/>
      <x:c r="J62" s="46"/>
      <x:c r="K62" s="46"/>
      <x:c r="L62" s="46"/>
      <x:c r="M62" s="46"/>
      <x:c r="N62" s="46"/>
      <x:c r="O62" s="46"/>
      <x:c r="P62" s="46"/>
      <x:c r="Q62" s="46"/>
      <x:c r="R62" s="46"/>
      <x:c r="S62" s="23"/>
      <x:c r="T62" s="23"/>
      <x:c r="U62" s="23"/>
      <x:c r="V62" s="23"/>
      <x:c r="W62" s="23"/>
      <x:c r="X62" s="23"/>
      <x:c r="Y62" s="23"/>
      <x:c r="Z62" s="23"/>
    </x:row>
    <x:row r="63">
      <x:c r="A63" s="46"/>
      <x:c r="B63" s="46"/>
      <x:c r="C63" s="46"/>
      <x:c r="D63" s="46"/>
      <x:c r="E63" s="46"/>
      <x:c r="F63" s="46"/>
      <x:c r="G63" s="46"/>
      <x:c r="H63" s="46"/>
      <x:c r="I63" s="46"/>
      <x:c r="J63" s="46"/>
      <x:c r="K63" s="46"/>
      <x:c r="L63" s="46"/>
      <x:c r="M63" s="46"/>
      <x:c r="N63" s="46"/>
      <x:c r="O63" s="46"/>
      <x:c r="P63" s="46"/>
      <x:c r="Q63" s="46"/>
      <x:c r="R63" s="46"/>
      <x:c r="S63" s="23"/>
      <x:c r="T63" s="23"/>
      <x:c r="U63" s="23"/>
      <x:c r="V63" s="23"/>
      <x:c r="W63" s="23"/>
      <x:c r="X63" s="23"/>
      <x:c r="Y63" s="23"/>
      <x:c r="Z63" s="23"/>
    </x:row>
    <x:row r="64">
      <x:c r="A64" s="46"/>
      <x:c r="B64" s="46"/>
      <x:c r="C64" s="46"/>
      <x:c r="D64" s="46"/>
      <x:c r="E64" s="46"/>
      <x:c r="F64" s="46"/>
      <x:c r="G64" s="46"/>
      <x:c r="H64" s="46"/>
      <x:c r="I64" s="46"/>
      <x:c r="J64" s="46"/>
      <x:c r="K64" s="46"/>
      <x:c r="L64" s="46"/>
      <x:c r="M64" s="46"/>
      <x:c r="N64" s="46"/>
      <x:c r="O64" s="46"/>
      <x:c r="P64" s="46"/>
      <x:c r="Q64" s="46"/>
      <x:c r="R64" s="46"/>
      <x:c r="S64" s="23"/>
      <x:c r="T64" s="23"/>
      <x:c r="U64" s="23"/>
      <x:c r="V64" s="23"/>
      <x:c r="W64" s="23"/>
      <x:c r="X64" s="23"/>
      <x:c r="Y64" s="23"/>
      <x:c r="Z64" s="23"/>
    </x:row>
    <x:row r="65">
      <x:c r="A65" s="46"/>
      <x:c r="B65" s="46"/>
      <x:c r="C65" s="46"/>
      <x:c r="D65" s="46"/>
      <x:c r="E65" s="46"/>
      <x:c r="F65" s="46"/>
      <x:c r="G65" s="46"/>
      <x:c r="H65" s="46"/>
      <x:c r="I65" s="46"/>
      <x:c r="J65" s="46"/>
      <x:c r="K65" s="46"/>
      <x:c r="L65" s="46"/>
      <x:c r="M65" s="46"/>
      <x:c r="N65" s="46"/>
      <x:c r="O65" s="46"/>
      <x:c r="P65" s="46"/>
      <x:c r="Q65" s="46"/>
      <x:c r="R65" s="46"/>
      <x:c r="S65" s="23"/>
      <x:c r="T65" s="23"/>
      <x:c r="U65" s="23"/>
      <x:c r="V65" s="23"/>
      <x:c r="W65" s="23"/>
      <x:c r="X65" s="23"/>
      <x:c r="Y65" s="23"/>
      <x:c r="Z65" s="23"/>
    </x:row>
    <x:row r="66">
      <x:c r="A66" s="46"/>
      <x:c r="B66" s="46"/>
      <x:c r="C66" s="46"/>
      <x:c r="D66" s="46"/>
      <x:c r="E66" s="46"/>
      <x:c r="F66" s="46"/>
      <x:c r="G66" s="46"/>
      <x:c r="H66" s="46"/>
      <x:c r="I66" s="46"/>
      <x:c r="J66" s="46"/>
      <x:c r="K66" s="46"/>
      <x:c r="L66" s="46"/>
      <x:c r="M66" s="46"/>
      <x:c r="N66" s="46"/>
      <x:c r="O66" s="46"/>
      <x:c r="P66" s="46"/>
      <x:c r="Q66" s="46"/>
      <x:c r="R66" s="46"/>
      <x:c r="S66" s="23"/>
      <x:c r="T66" s="23"/>
      <x:c r="U66" s="23"/>
      <x:c r="V66" s="23"/>
      <x:c r="W66" s="23"/>
      <x:c r="X66" s="23"/>
      <x:c r="Y66" s="23"/>
      <x:c r="Z66" s="23"/>
    </x:row>
    <x:row r="67">
      <x:c r="A67" s="46"/>
      <x:c r="B67" s="46"/>
      <x:c r="C67" s="46"/>
      <x:c r="D67" s="46"/>
      <x:c r="E67" s="46"/>
      <x:c r="F67" s="46"/>
      <x:c r="G67" s="46"/>
      <x:c r="H67" s="46"/>
      <x:c r="I67" s="46"/>
      <x:c r="J67" s="46"/>
      <x:c r="K67" s="46"/>
      <x:c r="L67" s="46"/>
      <x:c r="M67" s="46"/>
      <x:c r="N67" s="46"/>
      <x:c r="O67" s="46"/>
      <x:c r="P67" s="46"/>
      <x:c r="Q67" s="46"/>
      <x:c r="R67" s="46"/>
      <x:c r="S67" s="23"/>
      <x:c r="T67" s="23"/>
      <x:c r="U67" s="23"/>
      <x:c r="V67" s="23"/>
      <x:c r="W67" s="23"/>
      <x:c r="X67" s="23"/>
      <x:c r="Y67" s="23"/>
      <x:c r="Z67" s="23"/>
    </x:row>
    <x:row r="68">
      <x:c r="A68" s="46"/>
      <x:c r="B68" s="46"/>
      <x:c r="C68" s="46"/>
      <x:c r="D68" s="46"/>
      <x:c r="E68" s="46"/>
      <x:c r="F68" s="46"/>
      <x:c r="G68" s="46"/>
      <x:c r="H68" s="46"/>
      <x:c r="I68" s="46"/>
      <x:c r="J68" s="46"/>
      <x:c r="K68" s="46"/>
      <x:c r="L68" s="46"/>
      <x:c r="M68" s="46"/>
      <x:c r="N68" s="46"/>
      <x:c r="O68" s="46"/>
      <x:c r="P68" s="46"/>
      <x:c r="Q68" s="46"/>
      <x:c r="R68" s="46"/>
      <x:c r="S68" s="23"/>
      <x:c r="T68" s="23"/>
      <x:c r="U68" s="23"/>
      <x:c r="V68" s="23"/>
      <x:c r="W68" s="23"/>
      <x:c r="X68" s="23"/>
      <x:c r="Y68" s="23"/>
      <x:c r="Z68" s="23"/>
    </x:row>
    <x:row r="69">
      <x:c r="A69" s="46"/>
      <x:c r="B69" s="46"/>
      <x:c r="C69" s="46"/>
      <x:c r="D69" s="46"/>
      <x:c r="E69" s="46"/>
      <x:c r="F69" s="46"/>
      <x:c r="G69" s="46"/>
      <x:c r="H69" s="46"/>
      <x:c r="I69" s="46"/>
      <x:c r="J69" s="46"/>
      <x:c r="K69" s="46"/>
      <x:c r="L69" s="46"/>
      <x:c r="M69" s="46"/>
      <x:c r="N69" s="46"/>
      <x:c r="O69" s="46"/>
      <x:c r="P69" s="46"/>
      <x:c r="Q69" s="46"/>
      <x:c r="R69" s="46"/>
      <x:c r="S69" s="23"/>
      <x:c r="T69" s="23"/>
      <x:c r="U69" s="23"/>
      <x:c r="V69" s="23"/>
      <x:c r="W69" s="23"/>
      <x:c r="X69" s="23"/>
      <x:c r="Y69" s="23"/>
      <x:c r="Z69" s="23"/>
    </x:row>
    <x:row r="70">
      <x:c r="A70" s="46"/>
      <x:c r="B70" s="46"/>
      <x:c r="C70" s="46"/>
      <x:c r="D70" s="46"/>
      <x:c r="E70" s="46"/>
      <x:c r="F70" s="46"/>
      <x:c r="G70" s="46"/>
      <x:c r="H70" s="46"/>
      <x:c r="I70" s="46"/>
      <x:c r="J70" s="46"/>
      <x:c r="K70" s="46"/>
      <x:c r="L70" s="46"/>
      <x:c r="M70" s="46"/>
      <x:c r="N70" s="46"/>
      <x:c r="O70" s="46"/>
      <x:c r="P70" s="46"/>
      <x:c r="Q70" s="46"/>
      <x:c r="R70" s="46"/>
      <x:c r="S70" s="23"/>
      <x:c r="T70" s="23"/>
      <x:c r="U70" s="23"/>
      <x:c r="V70" s="23"/>
      <x:c r="W70" s="23"/>
      <x:c r="X70" s="23"/>
      <x:c r="Y70" s="23"/>
      <x:c r="Z70" s="23"/>
    </x:row>
    <x:row r="71">
      <x:c r="A71" s="46"/>
      <x:c r="B71" s="46"/>
      <x:c r="C71" s="46"/>
      <x:c r="D71" s="46"/>
      <x:c r="E71" s="46"/>
      <x:c r="F71" s="46"/>
      <x:c r="G71" s="46"/>
      <x:c r="H71" s="46"/>
      <x:c r="I71" s="46"/>
      <x:c r="J71" s="46"/>
      <x:c r="K71" s="46"/>
      <x:c r="L71" s="46"/>
      <x:c r="M71" s="46"/>
      <x:c r="N71" s="46"/>
      <x:c r="O71" s="46"/>
      <x:c r="P71" s="46"/>
      <x:c r="Q71" s="46"/>
      <x:c r="R71" s="46"/>
      <x:c r="S71" s="23"/>
      <x:c r="T71" s="23"/>
      <x:c r="U71" s="23"/>
      <x:c r="V71" s="23"/>
      <x:c r="W71" s="23"/>
      <x:c r="X71" s="23"/>
      <x:c r="Y71" s="23"/>
      <x:c r="Z71" s="23"/>
    </x:row>
    <x:row r="72">
      <x:c r="A72" s="46"/>
      <x:c r="B72" s="46"/>
      <x:c r="C72" s="46"/>
      <x:c r="D72" s="46"/>
      <x:c r="E72" s="46"/>
      <x:c r="F72" s="46"/>
      <x:c r="G72" s="46"/>
      <x:c r="H72" s="46"/>
      <x:c r="I72" s="46"/>
      <x:c r="J72" s="46"/>
      <x:c r="K72" s="46"/>
      <x:c r="L72" s="46"/>
      <x:c r="M72" s="46"/>
      <x:c r="N72" s="46"/>
      <x:c r="O72" s="46"/>
      <x:c r="P72" s="46"/>
      <x:c r="Q72" s="46"/>
      <x:c r="R72" s="46"/>
      <x:c r="S72" s="23"/>
      <x:c r="T72" s="23"/>
      <x:c r="U72" s="23"/>
      <x:c r="V72" s="23"/>
      <x:c r="W72" s="23"/>
      <x:c r="X72" s="23"/>
      <x:c r="Y72" s="23"/>
      <x:c r="Z72" s="23"/>
    </x:row>
    <x:row r="73">
      <x:c r="A73" s="46"/>
      <x:c r="B73" s="46"/>
      <x:c r="C73" s="46"/>
      <x:c r="D73" s="46"/>
      <x:c r="E73" s="46"/>
      <x:c r="F73" s="46"/>
      <x:c r="G73" s="46"/>
      <x:c r="H73" s="46"/>
      <x:c r="I73" s="46"/>
      <x:c r="J73" s="46"/>
      <x:c r="K73" s="46"/>
      <x:c r="L73" s="46"/>
      <x:c r="M73" s="46"/>
      <x:c r="N73" s="46"/>
      <x:c r="O73" s="46"/>
      <x:c r="P73" s="46"/>
      <x:c r="Q73" s="46"/>
      <x:c r="R73" s="46"/>
      <x:c r="S73" s="23"/>
      <x:c r="T73" s="23"/>
      <x:c r="U73" s="23"/>
      <x:c r="V73" s="23"/>
      <x:c r="W73" s="23"/>
      <x:c r="X73" s="23"/>
      <x:c r="Y73" s="23"/>
      <x:c r="Z73" s="23"/>
    </x:row>
    <x:row r="74">
      <x:c r="A74" s="46"/>
      <x:c r="B74" s="46"/>
      <x:c r="C74" s="46"/>
      <x:c r="D74" s="46"/>
      <x:c r="E74" s="46"/>
      <x:c r="F74" s="46"/>
      <x:c r="G74" s="46"/>
      <x:c r="H74" s="46"/>
      <x:c r="I74" s="46"/>
      <x:c r="J74" s="46"/>
      <x:c r="K74" s="46"/>
      <x:c r="L74" s="46"/>
      <x:c r="M74" s="46"/>
      <x:c r="N74" s="46"/>
      <x:c r="O74" s="46"/>
      <x:c r="P74" s="46"/>
      <x:c r="Q74" s="46"/>
      <x:c r="R74" s="46"/>
      <x:c r="S74" s="23"/>
      <x:c r="T74" s="23"/>
      <x:c r="U74" s="23"/>
      <x:c r="V74" s="23"/>
      <x:c r="W74" s="23"/>
      <x:c r="X74" s="23"/>
      <x:c r="Y74" s="23"/>
      <x:c r="Z74" s="23"/>
    </x:row>
    <x:row r="75">
      <x:c r="A75" s="46"/>
      <x:c r="B75" s="46"/>
      <x:c r="C75" s="46"/>
      <x:c r="D75" s="46"/>
      <x:c r="E75" s="46"/>
      <x:c r="F75" s="46"/>
      <x:c r="G75" s="46"/>
      <x:c r="H75" s="46"/>
      <x:c r="I75" s="46"/>
      <x:c r="J75" s="46"/>
      <x:c r="K75" s="46"/>
      <x:c r="L75" s="46"/>
      <x:c r="M75" s="46"/>
      <x:c r="N75" s="46"/>
      <x:c r="O75" s="46"/>
      <x:c r="P75" s="46"/>
      <x:c r="Q75" s="46"/>
      <x:c r="R75" s="46"/>
      <x:c r="S75" s="23"/>
      <x:c r="T75" s="23"/>
      <x:c r="U75" s="23"/>
      <x:c r="V75" s="23"/>
      <x:c r="W75" s="23"/>
      <x:c r="X75" s="23"/>
      <x:c r="Y75" s="23"/>
      <x:c r="Z75" s="23"/>
    </x:row>
    <x:row r="76">
      <x:c r="A76" s="46"/>
      <x:c r="B76" s="46"/>
      <x:c r="C76" s="46"/>
      <x:c r="D76" s="46"/>
      <x:c r="E76" s="46"/>
      <x:c r="F76" s="46"/>
      <x:c r="G76" s="46"/>
      <x:c r="H76" s="46"/>
      <x:c r="I76" s="46"/>
      <x:c r="J76" s="46"/>
      <x:c r="K76" s="46"/>
      <x:c r="L76" s="46"/>
      <x:c r="M76" s="46"/>
      <x:c r="N76" s="46"/>
      <x:c r="O76" s="46"/>
      <x:c r="P76" s="46"/>
      <x:c r="Q76" s="46"/>
      <x:c r="R76" s="46"/>
      <x:c r="S76" s="23"/>
      <x:c r="T76" s="23"/>
      <x:c r="U76" s="23"/>
      <x:c r="V76" s="23"/>
      <x:c r="W76" s="23"/>
      <x:c r="X76" s="23"/>
      <x:c r="Y76" s="23"/>
      <x:c r="Z76" s="23"/>
    </x:row>
    <x:row r="77">
      <x:c r="A77" s="46"/>
      <x:c r="B77" s="46"/>
      <x:c r="C77" s="46"/>
      <x:c r="D77" s="46"/>
      <x:c r="E77" s="46"/>
      <x:c r="F77" s="46"/>
      <x:c r="G77" s="46"/>
      <x:c r="H77" s="46"/>
      <x:c r="I77" s="46"/>
      <x:c r="J77" s="46"/>
      <x:c r="K77" s="46"/>
      <x:c r="L77" s="46"/>
      <x:c r="M77" s="46"/>
      <x:c r="N77" s="46"/>
      <x:c r="O77" s="46"/>
      <x:c r="P77" s="46"/>
      <x:c r="Q77" s="46"/>
      <x:c r="R77" s="46"/>
      <x:c r="S77" s="23"/>
      <x:c r="T77" s="23"/>
      <x:c r="U77" s="23"/>
      <x:c r="V77" s="23"/>
      <x:c r="W77" s="23"/>
      <x:c r="X77" s="23"/>
      <x:c r="Y77" s="23"/>
      <x:c r="Z77" s="23"/>
    </x:row>
    <x:row r="78">
      <x:c r="A78" s="46"/>
      <x:c r="B78" s="46"/>
      <x:c r="C78" s="46"/>
      <x:c r="D78" s="46"/>
      <x:c r="E78" s="46"/>
      <x:c r="F78" s="46"/>
      <x:c r="G78" s="46"/>
      <x:c r="H78" s="46"/>
      <x:c r="I78" s="46"/>
      <x:c r="J78" s="46"/>
      <x:c r="K78" s="46"/>
      <x:c r="L78" s="46"/>
      <x:c r="M78" s="46"/>
      <x:c r="N78" s="46"/>
      <x:c r="O78" s="46"/>
      <x:c r="P78" s="46"/>
      <x:c r="Q78" s="46"/>
      <x:c r="R78" s="46"/>
      <x:c r="S78" s="23"/>
      <x:c r="T78" s="23"/>
      <x:c r="U78" s="23"/>
      <x:c r="V78" s="23"/>
      <x:c r="W78" s="23"/>
      <x:c r="X78" s="23"/>
      <x:c r="Y78" s="23"/>
      <x:c r="Z78" s="23"/>
    </x:row>
    <x:row r="79">
      <x:c r="A79" s="46"/>
      <x:c r="B79" s="46"/>
      <x:c r="C79" s="46"/>
      <x:c r="D79" s="46"/>
      <x:c r="E79" s="46"/>
      <x:c r="F79" s="46"/>
      <x:c r="G79" s="46"/>
      <x:c r="H79" s="46"/>
      <x:c r="I79" s="46"/>
      <x:c r="J79" s="46"/>
      <x:c r="K79" s="46"/>
      <x:c r="L79" s="46"/>
      <x:c r="M79" s="46"/>
      <x:c r="N79" s="46"/>
      <x:c r="O79" s="46"/>
      <x:c r="P79" s="46"/>
      <x:c r="Q79" s="46"/>
      <x:c r="R79" s="46"/>
      <x:c r="S79" s="23"/>
      <x:c r="T79" s="23"/>
      <x:c r="U79" s="23"/>
      <x:c r="V79" s="23"/>
      <x:c r="W79" s="23"/>
      <x:c r="X79" s="23"/>
      <x:c r="Y79" s="23"/>
      <x:c r="Z79" s="23"/>
    </x:row>
    <x:row r="80">
      <x:c r="A80" s="46"/>
      <x:c r="B80" s="46"/>
      <x:c r="C80" s="46"/>
      <x:c r="D80" s="46"/>
      <x:c r="E80" s="46"/>
      <x:c r="F80" s="46"/>
      <x:c r="G80" s="46"/>
      <x:c r="H80" s="46"/>
      <x:c r="I80" s="46"/>
      <x:c r="J80" s="46"/>
      <x:c r="K80" s="46"/>
      <x:c r="L80" s="46"/>
      <x:c r="M80" s="46"/>
      <x:c r="N80" s="46"/>
      <x:c r="O80" s="46"/>
      <x:c r="P80" s="46"/>
      <x:c r="Q80" s="46"/>
      <x:c r="R80" s="46"/>
      <x:c r="S80" s="23"/>
      <x:c r="T80" s="23"/>
      <x:c r="U80" s="23"/>
      <x:c r="V80" s="23"/>
      <x:c r="W80" s="23"/>
      <x:c r="X80" s="23"/>
      <x:c r="Y80" s="23"/>
      <x:c r="Z80" s="23"/>
    </x:row>
    <x:row r="81">
      <x:c r="A81" s="46"/>
      <x:c r="B81" s="46"/>
      <x:c r="C81" s="46"/>
      <x:c r="D81" s="46"/>
      <x:c r="E81" s="46"/>
      <x:c r="F81" s="46"/>
      <x:c r="G81" s="46"/>
      <x:c r="H81" s="46"/>
      <x:c r="I81" s="46"/>
      <x:c r="J81" s="46"/>
      <x:c r="K81" s="46"/>
      <x:c r="L81" s="46"/>
      <x:c r="M81" s="46"/>
      <x:c r="N81" s="46"/>
      <x:c r="O81" s="46"/>
      <x:c r="P81" s="46"/>
      <x:c r="Q81" s="46"/>
      <x:c r="R81" s="46"/>
      <x:c r="S81" s="23"/>
      <x:c r="T81" s="23"/>
      <x:c r="U81" s="23"/>
      <x:c r="V81" s="23"/>
      <x:c r="W81" s="23"/>
      <x:c r="X81" s="23"/>
      <x:c r="Y81" s="23"/>
      <x:c r="Z81" s="23"/>
    </x:row>
    <x:row r="82">
      <x:c r="A82" s="46"/>
      <x:c r="B82" s="46"/>
      <x:c r="C82" s="46"/>
      <x:c r="D82" s="46"/>
      <x:c r="E82" s="46"/>
      <x:c r="F82" s="46"/>
      <x:c r="G82" s="46"/>
      <x:c r="H82" s="46"/>
      <x:c r="I82" s="46"/>
      <x:c r="J82" s="46"/>
      <x:c r="K82" s="46"/>
      <x:c r="L82" s="46"/>
      <x:c r="M82" s="46"/>
      <x:c r="N82" s="46"/>
      <x:c r="O82" s="46"/>
      <x:c r="P82" s="46"/>
      <x:c r="Q82" s="46"/>
      <x:c r="R82" s="46"/>
      <x:c r="S82" s="23"/>
      <x:c r="T82" s="23"/>
      <x:c r="U82" s="23"/>
      <x:c r="V82" s="23"/>
      <x:c r="W82" s="23"/>
      <x:c r="X82" s="23"/>
      <x:c r="Y82" s="23"/>
      <x:c r="Z82" s="23"/>
    </x:row>
    <x:row r="83">
      <x:c r="A83" s="46"/>
      <x:c r="B83" s="46"/>
      <x:c r="C83" s="46"/>
      <x:c r="D83" s="46"/>
      <x:c r="E83" s="46"/>
      <x:c r="F83" s="46"/>
      <x:c r="G83" s="46"/>
      <x:c r="H83" s="46"/>
      <x:c r="I83" s="46"/>
      <x:c r="J83" s="46"/>
      <x:c r="K83" s="46"/>
      <x:c r="L83" s="46"/>
      <x:c r="M83" s="46"/>
      <x:c r="N83" s="46"/>
      <x:c r="O83" s="46"/>
      <x:c r="P83" s="46"/>
      <x:c r="Q83" s="46"/>
      <x:c r="R83" s="46"/>
      <x:c r="S83" s="23"/>
      <x:c r="T83" s="23"/>
      <x:c r="U83" s="23"/>
      <x:c r="V83" s="23"/>
      <x:c r="W83" s="23"/>
      <x:c r="X83" s="23"/>
      <x:c r="Y83" s="23"/>
      <x:c r="Z83" s="23"/>
    </x:row>
    <x:row r="84">
      <x:c r="A84" s="46"/>
      <x:c r="B84" s="46"/>
      <x:c r="C84" s="46"/>
      <x:c r="D84" s="46"/>
      <x:c r="E84" s="46"/>
      <x:c r="F84" s="46"/>
      <x:c r="G84" s="46"/>
      <x:c r="H84" s="46"/>
      <x:c r="I84" s="46"/>
      <x:c r="J84" s="46"/>
      <x:c r="K84" s="46"/>
      <x:c r="L84" s="46"/>
      <x:c r="M84" s="46"/>
      <x:c r="N84" s="46"/>
      <x:c r="O84" s="46"/>
      <x:c r="P84" s="46"/>
      <x:c r="Q84" s="46"/>
      <x:c r="R84" s="46"/>
      <x:c r="S84" s="23"/>
      <x:c r="T84" s="23"/>
      <x:c r="U84" s="23"/>
      <x:c r="V84" s="23"/>
      <x:c r="W84" s="23"/>
      <x:c r="X84" s="23"/>
      <x:c r="Y84" s="23"/>
      <x:c r="Z84" s="23"/>
    </x:row>
    <x:row r="85">
      <x:c r="A85" s="46"/>
      <x:c r="B85" s="46"/>
      <x:c r="C85" s="46"/>
      <x:c r="D85" s="46"/>
      <x:c r="E85" s="46"/>
      <x:c r="F85" s="46"/>
      <x:c r="G85" s="46"/>
      <x:c r="H85" s="46"/>
      <x:c r="I85" s="46"/>
      <x:c r="J85" s="46"/>
      <x:c r="K85" s="46"/>
      <x:c r="L85" s="46"/>
      <x:c r="M85" s="46"/>
      <x:c r="N85" s="46"/>
      <x:c r="O85" s="46"/>
      <x:c r="P85" s="46"/>
      <x:c r="Q85" s="46"/>
      <x:c r="R85" s="46"/>
      <x:c r="S85" s="23"/>
      <x:c r="T85" s="23"/>
      <x:c r="U85" s="23"/>
      <x:c r="V85" s="23"/>
      <x:c r="W85" s="23"/>
      <x:c r="X85" s="23"/>
      <x:c r="Y85" s="23"/>
      <x:c r="Z85" s="23"/>
    </x:row>
    <x:row r="86">
      <x:c r="A86" s="46"/>
      <x:c r="B86" s="46"/>
      <x:c r="C86" s="46"/>
      <x:c r="D86" s="46"/>
      <x:c r="E86" s="46"/>
      <x:c r="F86" s="46"/>
      <x:c r="G86" s="46"/>
      <x:c r="H86" s="46"/>
      <x:c r="I86" s="46"/>
      <x:c r="J86" s="46"/>
      <x:c r="K86" s="46"/>
      <x:c r="L86" s="46"/>
      <x:c r="M86" s="46"/>
      <x:c r="N86" s="46"/>
      <x:c r="O86" s="46"/>
      <x:c r="P86" s="46"/>
      <x:c r="Q86" s="46"/>
      <x:c r="R86" s="46"/>
      <x:c r="S86" s="23"/>
      <x:c r="T86" s="23"/>
      <x:c r="U86" s="23"/>
      <x:c r="V86" s="23"/>
      <x:c r="W86" s="23"/>
      <x:c r="X86" s="23"/>
      <x:c r="Y86" s="23"/>
      <x:c r="Z86" s="23"/>
    </x:row>
    <x:row r="87">
      <x:c r="A87" s="46"/>
      <x:c r="B87" s="46"/>
      <x:c r="C87" s="46"/>
      <x:c r="D87" s="46"/>
      <x:c r="E87" s="46"/>
      <x:c r="F87" s="46"/>
      <x:c r="G87" s="46"/>
      <x:c r="H87" s="46"/>
      <x:c r="I87" s="46"/>
      <x:c r="J87" s="46"/>
      <x:c r="K87" s="46"/>
      <x:c r="L87" s="46"/>
      <x:c r="M87" s="46"/>
      <x:c r="N87" s="46"/>
      <x:c r="O87" s="46"/>
      <x:c r="P87" s="46"/>
      <x:c r="Q87" s="46"/>
      <x:c r="R87" s="46"/>
      <x:c r="S87" s="23"/>
      <x:c r="T87" s="23"/>
      <x:c r="U87" s="23"/>
      <x:c r="V87" s="23"/>
      <x:c r="W87" s="23"/>
      <x:c r="X87" s="23"/>
      <x:c r="Y87" s="23"/>
      <x:c r="Z87" s="23"/>
    </x:row>
    <x:row r="88">
      <x:c r="A88" s="46"/>
      <x:c r="B88" s="46"/>
      <x:c r="C88" s="46"/>
      <x:c r="D88" s="46"/>
      <x:c r="E88" s="46"/>
      <x:c r="F88" s="46"/>
      <x:c r="G88" s="46"/>
      <x:c r="H88" s="46"/>
      <x:c r="I88" s="46"/>
      <x:c r="J88" s="46"/>
      <x:c r="K88" s="46"/>
      <x:c r="L88" s="46"/>
      <x:c r="M88" s="46"/>
      <x:c r="N88" s="46"/>
      <x:c r="O88" s="46"/>
      <x:c r="P88" s="46"/>
      <x:c r="Q88" s="46"/>
      <x:c r="R88" s="46"/>
      <x:c r="S88" s="23"/>
      <x:c r="T88" s="23"/>
      <x:c r="U88" s="23"/>
      <x:c r="V88" s="23"/>
      <x:c r="W88" s="23"/>
      <x:c r="X88" s="23"/>
      <x:c r="Y88" s="23"/>
      <x:c r="Z88" s="23"/>
    </x:row>
    <x:row r="89">
      <x:c r="A89" s="46"/>
      <x:c r="B89" s="46"/>
      <x:c r="C89" s="46"/>
      <x:c r="D89" s="46"/>
      <x:c r="E89" s="46"/>
      <x:c r="F89" s="46"/>
      <x:c r="G89" s="46"/>
      <x:c r="H89" s="46"/>
      <x:c r="I89" s="46"/>
      <x:c r="J89" s="46"/>
      <x:c r="K89" s="46"/>
      <x:c r="L89" s="46"/>
      <x:c r="M89" s="46"/>
      <x:c r="N89" s="46"/>
      <x:c r="O89" s="46"/>
      <x:c r="P89" s="46"/>
      <x:c r="Q89" s="46"/>
      <x:c r="R89" s="46"/>
      <x:c r="S89" s="23"/>
      <x:c r="T89" s="23"/>
      <x:c r="U89" s="23"/>
      <x:c r="V89" s="23"/>
      <x:c r="W89" s="23"/>
      <x:c r="X89" s="23"/>
      <x:c r="Y89" s="23"/>
      <x:c r="Z89" s="23"/>
    </x:row>
    <x:row r="90">
      <x:c r="A90" s="46"/>
      <x:c r="B90" s="46"/>
      <x:c r="C90" s="46"/>
      <x:c r="D90" s="46"/>
      <x:c r="E90" s="46"/>
      <x:c r="F90" s="46"/>
      <x:c r="G90" s="46"/>
      <x:c r="H90" s="46"/>
      <x:c r="I90" s="46"/>
      <x:c r="J90" s="46"/>
      <x:c r="K90" s="46"/>
      <x:c r="L90" s="46"/>
      <x:c r="M90" s="46"/>
      <x:c r="N90" s="46"/>
      <x:c r="O90" s="46"/>
      <x:c r="P90" s="46"/>
      <x:c r="Q90" s="46"/>
      <x:c r="R90" s="46"/>
      <x:c r="S90" s="23"/>
      <x:c r="T90" s="23"/>
      <x:c r="U90" s="23"/>
      <x:c r="V90" s="23"/>
      <x:c r="W90" s="23"/>
      <x:c r="X90" s="23"/>
      <x:c r="Y90" s="23"/>
      <x:c r="Z90" s="23"/>
    </x:row>
    <x:row r="91">
      <x:c r="A91" s="46"/>
      <x:c r="B91" s="46"/>
      <x:c r="C91" s="46"/>
      <x:c r="D91" s="46"/>
      <x:c r="E91" s="46"/>
      <x:c r="F91" s="46"/>
      <x:c r="G91" s="46"/>
      <x:c r="H91" s="46"/>
      <x:c r="I91" s="46"/>
      <x:c r="J91" s="46"/>
      <x:c r="K91" s="46"/>
      <x:c r="L91" s="46"/>
      <x:c r="M91" s="46"/>
      <x:c r="N91" s="46"/>
      <x:c r="O91" s="46"/>
      <x:c r="P91" s="46"/>
      <x:c r="Q91" s="46"/>
      <x:c r="R91" s="46"/>
      <x:c r="S91" s="23"/>
      <x:c r="T91" s="23"/>
      <x:c r="U91" s="23"/>
      <x:c r="V91" s="23"/>
      <x:c r="W91" s="23"/>
      <x:c r="X91" s="23"/>
      <x:c r="Y91" s="23"/>
      <x:c r="Z91" s="23"/>
    </x:row>
    <x:row r="92">
      <x:c r="A92" s="46"/>
      <x:c r="B92" s="46"/>
      <x:c r="C92" s="46"/>
      <x:c r="D92" s="46"/>
      <x:c r="E92" s="46"/>
      <x:c r="F92" s="46"/>
      <x:c r="G92" s="46"/>
      <x:c r="H92" s="46"/>
      <x:c r="I92" s="46"/>
      <x:c r="J92" s="46"/>
      <x:c r="K92" s="46"/>
      <x:c r="L92" s="46"/>
      <x:c r="M92" s="46"/>
      <x:c r="N92" s="46"/>
      <x:c r="O92" s="46"/>
      <x:c r="P92" s="46"/>
      <x:c r="Q92" s="46"/>
      <x:c r="R92" s="46"/>
      <x:c r="S92" s="23"/>
      <x:c r="T92" s="23"/>
      <x:c r="U92" s="23"/>
      <x:c r="V92" s="23"/>
      <x:c r="W92" s="23"/>
      <x:c r="X92" s="23"/>
      <x:c r="Y92" s="23"/>
      <x:c r="Z92" s="23"/>
    </x:row>
    <x:row r="93">
      <x:c r="A93" s="46"/>
      <x:c r="B93" s="46"/>
      <x:c r="C93" s="46"/>
      <x:c r="D93" s="46"/>
      <x:c r="E93" s="46"/>
      <x:c r="F93" s="46"/>
      <x:c r="G93" s="46"/>
      <x:c r="H93" s="46"/>
      <x:c r="I93" s="46"/>
      <x:c r="J93" s="46"/>
      <x:c r="K93" s="46"/>
      <x:c r="L93" s="46"/>
      <x:c r="M93" s="46"/>
      <x:c r="N93" s="46"/>
      <x:c r="O93" s="46"/>
      <x:c r="P93" s="46"/>
      <x:c r="Q93" s="46"/>
      <x:c r="R93" s="46"/>
      <x:c r="S93" s="23"/>
      <x:c r="T93" s="23"/>
      <x:c r="U93" s="23"/>
      <x:c r="V93" s="23"/>
      <x:c r="W93" s="23"/>
      <x:c r="X93" s="23"/>
      <x:c r="Y93" s="23"/>
      <x:c r="Z93" s="23"/>
    </x:row>
    <x:row r="94">
      <x:c r="A94" s="46"/>
      <x:c r="B94" s="46"/>
      <x:c r="C94" s="46"/>
      <x:c r="D94" s="46"/>
      <x:c r="E94" s="46"/>
      <x:c r="F94" s="46"/>
      <x:c r="G94" s="46"/>
      <x:c r="H94" s="46"/>
      <x:c r="I94" s="46"/>
      <x:c r="J94" s="46"/>
      <x:c r="K94" s="46"/>
      <x:c r="L94" s="46"/>
      <x:c r="M94" s="46"/>
      <x:c r="N94" s="46"/>
      <x:c r="O94" s="46"/>
      <x:c r="P94" s="46"/>
      <x:c r="Q94" s="46"/>
      <x:c r="R94" s="46"/>
      <x:c r="S94" s="23"/>
      <x:c r="T94" s="23"/>
      <x:c r="U94" s="23"/>
      <x:c r="V94" s="23"/>
      <x:c r="W94" s="23"/>
      <x:c r="X94" s="23"/>
      <x:c r="Y94" s="23"/>
      <x:c r="Z94" s="23"/>
    </x:row>
    <x:row r="95">
      <x:c r="A95" s="46"/>
      <x:c r="B95" s="46"/>
      <x:c r="C95" s="46"/>
      <x:c r="D95" s="46"/>
      <x:c r="E95" s="46"/>
      <x:c r="F95" s="46"/>
      <x:c r="G95" s="46"/>
      <x:c r="H95" s="46"/>
      <x:c r="I95" s="46"/>
      <x:c r="J95" s="46"/>
      <x:c r="K95" s="46"/>
      <x:c r="L95" s="46"/>
      <x:c r="M95" s="46"/>
      <x:c r="N95" s="46"/>
      <x:c r="O95" s="46"/>
      <x:c r="P95" s="46"/>
      <x:c r="Q95" s="46"/>
      <x:c r="R95" s="46"/>
      <x:c r="S95" s="23"/>
      <x:c r="T95" s="23"/>
      <x:c r="U95" s="23"/>
      <x:c r="V95" s="23"/>
      <x:c r="W95" s="23"/>
      <x:c r="X95" s="23"/>
      <x:c r="Y95" s="23"/>
      <x:c r="Z95" s="23"/>
    </x:row>
    <x:row r="96">
      <x:c r="A96" s="46"/>
      <x:c r="B96" s="46"/>
      <x:c r="C96" s="46"/>
      <x:c r="D96" s="46"/>
      <x:c r="E96" s="46"/>
      <x:c r="F96" s="46"/>
      <x:c r="G96" s="46"/>
      <x:c r="H96" s="46"/>
      <x:c r="I96" s="46"/>
      <x:c r="J96" s="46"/>
      <x:c r="K96" s="46"/>
      <x:c r="L96" s="46"/>
      <x:c r="M96" s="46"/>
      <x:c r="N96" s="46"/>
      <x:c r="O96" s="46"/>
      <x:c r="P96" s="46"/>
      <x:c r="Q96" s="46"/>
      <x:c r="R96" s="46"/>
      <x:c r="S96" s="23"/>
      <x:c r="T96" s="23"/>
      <x:c r="U96" s="23"/>
      <x:c r="V96" s="23"/>
      <x:c r="W96" s="23"/>
      <x:c r="X96" s="23"/>
      <x:c r="Y96" s="23"/>
      <x:c r="Z96" s="23"/>
    </x:row>
    <x:row r="97">
      <x:c r="A97" s="46"/>
      <x:c r="B97" s="46"/>
      <x:c r="C97" s="46"/>
      <x:c r="D97" s="46"/>
      <x:c r="E97" s="46"/>
      <x:c r="F97" s="46"/>
      <x:c r="G97" s="46"/>
      <x:c r="H97" s="46"/>
      <x:c r="I97" s="46"/>
      <x:c r="J97" s="46"/>
      <x:c r="K97" s="46"/>
      <x:c r="L97" s="46"/>
      <x:c r="M97" s="46"/>
      <x:c r="N97" s="46"/>
      <x:c r="O97" s="46"/>
      <x:c r="P97" s="46"/>
      <x:c r="Q97" s="46"/>
      <x:c r="R97" s="46"/>
      <x:c r="S97" s="23"/>
      <x:c r="T97" s="23"/>
      <x:c r="U97" s="23"/>
      <x:c r="V97" s="23"/>
      <x:c r="W97" s="23"/>
      <x:c r="X97" s="23"/>
      <x:c r="Y97" s="23"/>
      <x:c r="Z97" s="23"/>
    </x:row>
    <x:row r="98">
      <x:c r="A98" s="46"/>
      <x:c r="B98" s="46"/>
      <x:c r="C98" s="46"/>
      <x:c r="D98" s="46"/>
      <x:c r="E98" s="46"/>
      <x:c r="F98" s="46"/>
      <x:c r="G98" s="46"/>
      <x:c r="H98" s="46"/>
      <x:c r="I98" s="46"/>
      <x:c r="J98" s="46"/>
      <x:c r="K98" s="46"/>
      <x:c r="L98" s="46"/>
      <x:c r="M98" s="46"/>
      <x:c r="N98" s="46"/>
      <x:c r="O98" s="46"/>
      <x:c r="P98" s="46"/>
      <x:c r="Q98" s="46"/>
      <x:c r="R98" s="46"/>
      <x:c r="S98" s="23"/>
      <x:c r="T98" s="23"/>
      <x:c r="U98" s="23"/>
      <x:c r="V98" s="23"/>
      <x:c r="W98" s="23"/>
      <x:c r="X98" s="23"/>
      <x:c r="Y98" s="23"/>
      <x:c r="Z98" s="23"/>
    </x:row>
    <x:row r="99">
      <x:c r="A99" s="46"/>
      <x:c r="B99" s="46"/>
      <x:c r="C99" s="46"/>
      <x:c r="D99" s="46"/>
      <x:c r="E99" s="46"/>
      <x:c r="F99" s="46"/>
      <x:c r="G99" s="46"/>
      <x:c r="H99" s="46"/>
      <x:c r="I99" s="46"/>
      <x:c r="J99" s="46"/>
      <x:c r="K99" s="46"/>
      <x:c r="L99" s="46"/>
      <x:c r="M99" s="46"/>
      <x:c r="N99" s="46"/>
      <x:c r="O99" s="46"/>
      <x:c r="P99" s="46"/>
      <x:c r="Q99" s="46"/>
      <x:c r="R99" s="46"/>
      <x:c r="S99" s="23"/>
      <x:c r="T99" s="23"/>
      <x:c r="U99" s="23"/>
      <x:c r="V99" s="23"/>
      <x:c r="W99" s="23"/>
      <x:c r="X99" s="23"/>
      <x:c r="Y99" s="23"/>
      <x:c r="Z99" s="23"/>
    </x:row>
    <x:row r="100">
      <x:c r="A100" s="46"/>
      <x:c r="B100" s="46"/>
      <x:c r="C100" s="46"/>
      <x:c r="D100" s="46"/>
      <x:c r="E100" s="46"/>
      <x:c r="F100" s="46"/>
      <x:c r="G100" s="46"/>
      <x:c r="H100" s="46"/>
      <x:c r="I100" s="46"/>
      <x:c r="J100" s="46"/>
      <x:c r="K100" s="46"/>
      <x:c r="L100" s="46"/>
      <x:c r="M100" s="46"/>
      <x:c r="N100" s="46"/>
      <x:c r="O100" s="46"/>
      <x:c r="P100" s="46"/>
      <x:c r="Q100" s="46"/>
      <x:c r="R100" s="46"/>
      <x:c r="S100" s="23"/>
      <x:c r="T100" s="23"/>
      <x:c r="U100" s="23"/>
      <x:c r="V100" s="23"/>
      <x:c r="W100" s="23"/>
      <x:c r="X100" s="23"/>
      <x:c r="Y100" s="23"/>
      <x:c r="Z100" s="23"/>
    </x:row>
    <x:row r="101">
      <x:c r="A101" s="46"/>
      <x:c r="B101" s="46"/>
      <x:c r="C101" s="46"/>
      <x:c r="D101" s="46"/>
      <x:c r="E101" s="46"/>
      <x:c r="F101" s="46"/>
      <x:c r="G101" s="46"/>
      <x:c r="H101" s="46"/>
      <x:c r="I101" s="46"/>
      <x:c r="J101" s="46"/>
      <x:c r="K101" s="46"/>
      <x:c r="L101" s="46"/>
      <x:c r="M101" s="46"/>
      <x:c r="N101" s="46"/>
      <x:c r="O101" s="46"/>
      <x:c r="P101" s="46"/>
      <x:c r="Q101" s="46"/>
      <x:c r="R101" s="46"/>
      <x:c r="S101" s="23"/>
      <x:c r="T101" s="23"/>
      <x:c r="U101" s="23"/>
      <x:c r="V101" s="23"/>
      <x:c r="W101" s="23"/>
      <x:c r="X101" s="23"/>
      <x:c r="Y101" s="23"/>
      <x:c r="Z101" s="23"/>
    </x:row>
    <x:row r="102">
      <x:c r="A102" s="46"/>
      <x:c r="B102" s="46"/>
      <x:c r="C102" s="46"/>
      <x:c r="D102" s="46"/>
      <x:c r="E102" s="46"/>
      <x:c r="F102" s="46"/>
      <x:c r="G102" s="46"/>
      <x:c r="H102" s="46"/>
      <x:c r="I102" s="46"/>
      <x:c r="J102" s="46"/>
      <x:c r="K102" s="46"/>
      <x:c r="L102" s="46"/>
      <x:c r="M102" s="46"/>
      <x:c r="N102" s="46"/>
      <x:c r="O102" s="46"/>
      <x:c r="P102" s="46"/>
      <x:c r="Q102" s="46"/>
      <x:c r="R102" s="46"/>
      <x:c r="S102" s="23"/>
      <x:c r="T102" s="23"/>
      <x:c r="U102" s="23"/>
      <x:c r="V102" s="23"/>
      <x:c r="W102" s="23"/>
      <x:c r="X102" s="23"/>
      <x:c r="Y102" s="23"/>
      <x:c r="Z102" s="23"/>
    </x:row>
    <x:row r="103">
      <x:c r="A103" s="46"/>
      <x:c r="B103" s="46"/>
      <x:c r="C103" s="46"/>
      <x:c r="D103" s="46"/>
      <x:c r="E103" s="46"/>
      <x:c r="F103" s="46"/>
      <x:c r="G103" s="46"/>
      <x:c r="H103" s="46"/>
      <x:c r="I103" s="46"/>
      <x:c r="J103" s="46"/>
      <x:c r="K103" s="46"/>
      <x:c r="L103" s="46"/>
      <x:c r="M103" s="46"/>
      <x:c r="N103" s="46"/>
      <x:c r="O103" s="46"/>
      <x:c r="P103" s="46"/>
      <x:c r="Q103" s="46"/>
      <x:c r="R103" s="46"/>
      <x:c r="S103" s="23"/>
      <x:c r="T103" s="23"/>
      <x:c r="U103" s="23"/>
      <x:c r="V103" s="23"/>
      <x:c r="W103" s="23"/>
      <x:c r="X103" s="23"/>
      <x:c r="Y103" s="23"/>
      <x:c r="Z103" s="23"/>
    </x:row>
    <x:row r="104">
      <x:c r="A104" s="46"/>
      <x:c r="B104" s="46"/>
      <x:c r="C104" s="46"/>
      <x:c r="D104" s="46"/>
      <x:c r="E104" s="46"/>
      <x:c r="F104" s="46"/>
      <x:c r="G104" s="46"/>
      <x:c r="H104" s="46"/>
      <x:c r="I104" s="46"/>
      <x:c r="J104" s="46"/>
      <x:c r="K104" s="46"/>
      <x:c r="L104" s="46"/>
      <x:c r="M104" s="46"/>
      <x:c r="N104" s="46"/>
      <x:c r="O104" s="46"/>
      <x:c r="P104" s="46"/>
      <x:c r="Q104" s="46"/>
      <x:c r="R104" s="46"/>
      <x:c r="S104" s="23"/>
      <x:c r="T104" s="23"/>
      <x:c r="U104" s="23"/>
      <x:c r="V104" s="23"/>
      <x:c r="W104" s="23"/>
      <x:c r="X104" s="23"/>
      <x:c r="Y104" s="23"/>
      <x:c r="Z104" s="23"/>
    </x:row>
    <x:row r="105">
      <x:c r="A105" s="46"/>
      <x:c r="B105" s="46"/>
      <x:c r="C105" s="46"/>
      <x:c r="D105" s="46"/>
      <x:c r="E105" s="46"/>
      <x:c r="F105" s="46"/>
      <x:c r="G105" s="46"/>
      <x:c r="H105" s="46"/>
      <x:c r="I105" s="46"/>
      <x:c r="J105" s="46"/>
      <x:c r="K105" s="46"/>
      <x:c r="L105" s="46"/>
      <x:c r="M105" s="46"/>
      <x:c r="N105" s="46"/>
      <x:c r="O105" s="46"/>
      <x:c r="P105" s="46"/>
      <x:c r="Q105" s="46"/>
      <x:c r="R105" s="46"/>
      <x:c r="S105" s="23"/>
      <x:c r="T105" s="23"/>
      <x:c r="U105" s="23"/>
      <x:c r="V105" s="23"/>
      <x:c r="W105" s="23"/>
      <x:c r="X105" s="23"/>
      <x:c r="Y105" s="23"/>
      <x:c r="Z105" s="23"/>
    </x:row>
    <x:row r="106">
      <x:c r="A106" s="46"/>
      <x:c r="B106" s="46"/>
      <x:c r="C106" s="46"/>
      <x:c r="D106" s="46"/>
      <x:c r="E106" s="46"/>
      <x:c r="F106" s="46"/>
      <x:c r="G106" s="46"/>
      <x:c r="H106" s="46"/>
      <x:c r="I106" s="46"/>
      <x:c r="J106" s="46"/>
      <x:c r="K106" s="46"/>
      <x:c r="L106" s="46"/>
      <x:c r="M106" s="46"/>
      <x:c r="N106" s="46"/>
      <x:c r="O106" s="46"/>
      <x:c r="P106" s="46"/>
      <x:c r="Q106" s="46"/>
      <x:c r="R106" s="46"/>
      <x:c r="S106" s="23"/>
      <x:c r="T106" s="23"/>
      <x:c r="U106" s="23"/>
      <x:c r="V106" s="23"/>
      <x:c r="W106" s="23"/>
      <x:c r="X106" s="23"/>
      <x:c r="Y106" s="23"/>
      <x:c r="Z106" s="23"/>
    </x:row>
    <x:row r="107">
      <x:c r="A107" s="46"/>
      <x:c r="B107" s="46"/>
      <x:c r="C107" s="46"/>
      <x:c r="D107" s="46"/>
      <x:c r="E107" s="46"/>
      <x:c r="F107" s="46"/>
      <x:c r="G107" s="46"/>
      <x:c r="H107" s="46"/>
      <x:c r="I107" s="46"/>
      <x:c r="J107" s="46"/>
      <x:c r="K107" s="46"/>
      <x:c r="L107" s="46"/>
      <x:c r="M107" s="46"/>
      <x:c r="N107" s="46"/>
      <x:c r="O107" s="46"/>
      <x:c r="P107" s="46"/>
      <x:c r="Q107" s="46"/>
      <x:c r="R107" s="46"/>
      <x:c r="S107" s="23"/>
      <x:c r="T107" s="23"/>
      <x:c r="U107" s="23"/>
      <x:c r="V107" s="23"/>
      <x:c r="W107" s="23"/>
      <x:c r="X107" s="23"/>
      <x:c r="Y107" s="23"/>
      <x:c r="Z107" s="23"/>
    </x:row>
    <x:row r="108">
      <x:c r="A108" s="46"/>
      <x:c r="B108" s="46"/>
      <x:c r="C108" s="46"/>
      <x:c r="D108" s="46"/>
      <x:c r="E108" s="46"/>
      <x:c r="F108" s="46"/>
      <x:c r="G108" s="46"/>
      <x:c r="H108" s="46"/>
      <x:c r="I108" s="46"/>
      <x:c r="J108" s="46"/>
      <x:c r="K108" s="46"/>
      <x:c r="L108" s="46"/>
      <x:c r="M108" s="46"/>
      <x:c r="N108" s="46"/>
      <x:c r="O108" s="46"/>
      <x:c r="P108" s="46"/>
      <x:c r="Q108" s="46"/>
      <x:c r="R108" s="46"/>
      <x:c r="S108" s="23"/>
      <x:c r="T108" s="23"/>
      <x:c r="U108" s="23"/>
      <x:c r="V108" s="23"/>
      <x:c r="W108" s="23"/>
      <x:c r="X108" s="23"/>
      <x:c r="Y108" s="23"/>
      <x:c r="Z108" s="23"/>
    </x:row>
    <x:row r="109">
      <x:c r="A109" s="46"/>
      <x:c r="B109" s="46"/>
      <x:c r="C109" s="46"/>
      <x:c r="D109" s="46"/>
      <x:c r="E109" s="46"/>
      <x:c r="F109" s="46"/>
      <x:c r="G109" s="46"/>
      <x:c r="H109" s="46"/>
      <x:c r="I109" s="46"/>
      <x:c r="J109" s="46"/>
      <x:c r="K109" s="46"/>
      <x:c r="L109" s="46"/>
      <x:c r="M109" s="46"/>
      <x:c r="N109" s="46"/>
      <x:c r="O109" s="46"/>
      <x:c r="P109" s="46"/>
      <x:c r="Q109" s="46"/>
      <x:c r="R109" s="46"/>
      <x:c r="S109" s="23"/>
      <x:c r="T109" s="23"/>
      <x:c r="U109" s="23"/>
      <x:c r="V109" s="23"/>
      <x:c r="W109" s="23"/>
      <x:c r="X109" s="23"/>
      <x:c r="Y109" s="23"/>
      <x:c r="Z109" s="23"/>
    </x:row>
    <x:row r="110">
      <x:c r="A110" s="46"/>
      <x:c r="B110" s="46"/>
      <x:c r="C110" s="46"/>
      <x:c r="D110" s="46"/>
      <x:c r="E110" s="46"/>
      <x:c r="F110" s="46"/>
      <x:c r="G110" s="46"/>
      <x:c r="H110" s="46"/>
      <x:c r="I110" s="46"/>
      <x:c r="J110" s="46"/>
      <x:c r="K110" s="46"/>
      <x:c r="L110" s="46"/>
      <x:c r="M110" s="46"/>
      <x:c r="N110" s="46"/>
      <x:c r="O110" s="46"/>
      <x:c r="P110" s="46"/>
      <x:c r="Q110" s="46"/>
      <x:c r="R110" s="46"/>
      <x:c r="S110" s="23"/>
      <x:c r="T110" s="23"/>
      <x:c r="U110" s="23"/>
      <x:c r="V110" s="23"/>
      <x:c r="W110" s="23"/>
      <x:c r="X110" s="23"/>
      <x:c r="Y110" s="23"/>
      <x:c r="Z110" s="23"/>
    </x:row>
    <x:row r="111">
      <x:c r="A111" s="46"/>
      <x:c r="B111" s="46"/>
      <x:c r="C111" s="46"/>
      <x:c r="D111" s="46"/>
      <x:c r="E111" s="46"/>
      <x:c r="F111" s="46"/>
      <x:c r="G111" s="46"/>
      <x:c r="H111" s="46"/>
      <x:c r="I111" s="46"/>
      <x:c r="J111" s="46"/>
      <x:c r="K111" s="46"/>
      <x:c r="L111" s="46"/>
      <x:c r="M111" s="46"/>
      <x:c r="N111" s="46"/>
      <x:c r="O111" s="46"/>
      <x:c r="P111" s="46"/>
      <x:c r="Q111" s="46"/>
      <x:c r="R111" s="46"/>
      <x:c r="S111" s="23"/>
      <x:c r="T111" s="23"/>
      <x:c r="U111" s="23"/>
      <x:c r="V111" s="23"/>
      <x:c r="W111" s="23"/>
      <x:c r="X111" s="23"/>
      <x:c r="Y111" s="23"/>
      <x:c r="Z111" s="23"/>
    </x:row>
    <x:row r="112">
      <x:c r="A112" s="46"/>
      <x:c r="B112" s="46"/>
      <x:c r="C112" s="46"/>
      <x:c r="D112" s="46"/>
      <x:c r="E112" s="46"/>
      <x:c r="F112" s="46"/>
      <x:c r="G112" s="46"/>
      <x:c r="H112" s="46"/>
      <x:c r="I112" s="46"/>
      <x:c r="J112" s="46"/>
      <x:c r="K112" s="46"/>
      <x:c r="L112" s="46"/>
      <x:c r="M112" s="46"/>
      <x:c r="N112" s="46"/>
      <x:c r="O112" s="46"/>
      <x:c r="P112" s="46"/>
      <x:c r="Q112" s="46"/>
      <x:c r="R112" s="46"/>
      <x:c r="S112" s="23"/>
      <x:c r="T112" s="23"/>
      <x:c r="U112" s="23"/>
      <x:c r="V112" s="23"/>
      <x:c r="W112" s="23"/>
      <x:c r="X112" s="23"/>
      <x:c r="Y112" s="23"/>
      <x:c r="Z112" s="23"/>
    </x:row>
    <x:row r="113">
      <x:c r="A113" s="46"/>
      <x:c r="B113" s="46"/>
      <x:c r="C113" s="46"/>
      <x:c r="D113" s="46"/>
      <x:c r="E113" s="46"/>
      <x:c r="F113" s="46"/>
      <x:c r="G113" s="46"/>
      <x:c r="H113" s="46"/>
      <x:c r="I113" s="46"/>
      <x:c r="J113" s="46"/>
      <x:c r="K113" s="46"/>
      <x:c r="L113" s="46"/>
      <x:c r="M113" s="46"/>
      <x:c r="N113" s="46"/>
      <x:c r="O113" s="46"/>
      <x:c r="P113" s="46"/>
      <x:c r="Q113" s="46"/>
      <x:c r="R113" s="46"/>
      <x:c r="S113" s="23"/>
      <x:c r="T113" s="23"/>
      <x:c r="U113" s="23"/>
      <x:c r="V113" s="23"/>
      <x:c r="W113" s="23"/>
      <x:c r="X113" s="23"/>
      <x:c r="Y113" s="23"/>
      <x:c r="Z113" s="23"/>
    </x:row>
    <x:row r="114">
      <x:c r="A114" s="46"/>
      <x:c r="B114" s="46"/>
      <x:c r="C114" s="46"/>
      <x:c r="D114" s="46"/>
      <x:c r="E114" s="46"/>
      <x:c r="F114" s="46"/>
      <x:c r="G114" s="46"/>
      <x:c r="H114" s="46"/>
      <x:c r="I114" s="46"/>
      <x:c r="J114" s="46"/>
      <x:c r="K114" s="46"/>
      <x:c r="L114" s="46"/>
      <x:c r="M114" s="46"/>
      <x:c r="N114" s="46"/>
      <x:c r="O114" s="46"/>
      <x:c r="P114" s="46"/>
      <x:c r="Q114" s="46"/>
      <x:c r="R114" s="46"/>
      <x:c r="S114" s="23"/>
      <x:c r="T114" s="23"/>
      <x:c r="U114" s="23"/>
      <x:c r="V114" s="23"/>
      <x:c r="W114" s="23"/>
      <x:c r="X114" s="23"/>
      <x:c r="Y114" s="23"/>
      <x:c r="Z114" s="23"/>
    </x:row>
    <x:row r="115">
      <x:c r="A115" s="46"/>
      <x:c r="B115" s="46"/>
      <x:c r="C115" s="46"/>
      <x:c r="D115" s="46"/>
      <x:c r="E115" s="46"/>
      <x:c r="F115" s="46"/>
      <x:c r="G115" s="46"/>
      <x:c r="H115" s="46"/>
      <x:c r="I115" s="46"/>
      <x:c r="J115" s="46"/>
      <x:c r="K115" s="46"/>
      <x:c r="L115" s="46"/>
      <x:c r="M115" s="46"/>
      <x:c r="N115" s="46"/>
      <x:c r="O115" s="46"/>
      <x:c r="P115" s="46"/>
      <x:c r="Q115" s="46"/>
      <x:c r="R115" s="46"/>
      <x:c r="S115" s="23"/>
      <x:c r="T115" s="23"/>
      <x:c r="U115" s="23"/>
      <x:c r="V115" s="23"/>
      <x:c r="W115" s="23"/>
      <x:c r="X115" s="23"/>
      <x:c r="Y115" s="23"/>
      <x:c r="Z115" s="23"/>
    </x:row>
    <x:row r="116">
      <x:c r="A116" s="46"/>
      <x:c r="B116" s="46"/>
      <x:c r="C116" s="46"/>
      <x:c r="D116" s="46"/>
      <x:c r="E116" s="46"/>
      <x:c r="F116" s="46"/>
      <x:c r="G116" s="46"/>
      <x:c r="H116" s="46"/>
      <x:c r="I116" s="46"/>
      <x:c r="J116" s="46"/>
      <x:c r="K116" s="46"/>
      <x:c r="L116" s="46"/>
      <x:c r="M116" s="46"/>
      <x:c r="N116" s="46"/>
      <x:c r="O116" s="46"/>
      <x:c r="P116" s="46"/>
      <x:c r="Q116" s="46"/>
      <x:c r="R116" s="46"/>
      <x:c r="S116" s="23"/>
      <x:c r="T116" s="23"/>
      <x:c r="U116" s="23"/>
      <x:c r="V116" s="23"/>
      <x:c r="W116" s="23"/>
      <x:c r="X116" s="23"/>
      <x:c r="Y116" s="23"/>
      <x:c r="Z116" s="23"/>
    </x:row>
    <x:row r="117">
      <x:c r="A117" s="46"/>
      <x:c r="B117" s="46"/>
      <x:c r="C117" s="46"/>
      <x:c r="D117" s="46"/>
      <x:c r="E117" s="46"/>
      <x:c r="F117" s="46"/>
      <x:c r="G117" s="46"/>
      <x:c r="H117" s="46"/>
      <x:c r="I117" s="46"/>
      <x:c r="J117" s="46"/>
      <x:c r="K117" s="46"/>
      <x:c r="L117" s="46"/>
      <x:c r="M117" s="46"/>
      <x:c r="N117" s="46"/>
      <x:c r="O117" s="46"/>
      <x:c r="P117" s="46"/>
      <x:c r="Q117" s="46"/>
      <x:c r="R117" s="46"/>
      <x:c r="S117" s="23"/>
      <x:c r="T117" s="23"/>
      <x:c r="U117" s="23"/>
      <x:c r="V117" s="23"/>
      <x:c r="W117" s="23"/>
      <x:c r="X117" s="23"/>
      <x:c r="Y117" s="23"/>
      <x:c r="Z117" s="23"/>
    </x:row>
    <x:row r="118">
      <x:c r="A118" s="46"/>
      <x:c r="B118" s="46"/>
      <x:c r="C118" s="46"/>
      <x:c r="D118" s="46"/>
      <x:c r="E118" s="46"/>
      <x:c r="F118" s="46"/>
      <x:c r="G118" s="46"/>
      <x:c r="H118" s="46"/>
      <x:c r="I118" s="46"/>
      <x:c r="J118" s="46"/>
      <x:c r="K118" s="46"/>
      <x:c r="L118" s="46"/>
      <x:c r="M118" s="46"/>
      <x:c r="N118" s="46"/>
      <x:c r="O118" s="46"/>
      <x:c r="P118" s="46"/>
      <x:c r="Q118" s="46"/>
      <x:c r="R118" s="46"/>
      <x:c r="S118" s="23"/>
      <x:c r="T118" s="23"/>
      <x:c r="U118" s="23"/>
      <x:c r="V118" s="23"/>
      <x:c r="W118" s="23"/>
      <x:c r="X118" s="23"/>
      <x:c r="Y118" s="23"/>
      <x:c r="Z118" s="23"/>
    </x:row>
    <x:row r="119">
      <x:c r="A119" s="46"/>
      <x:c r="B119" s="46"/>
      <x:c r="C119" s="46"/>
      <x:c r="D119" s="46"/>
      <x:c r="E119" s="46"/>
      <x:c r="F119" s="46"/>
      <x:c r="G119" s="46"/>
      <x:c r="H119" s="46"/>
      <x:c r="I119" s="46"/>
      <x:c r="J119" s="46"/>
      <x:c r="K119" s="46"/>
      <x:c r="L119" s="46"/>
      <x:c r="M119" s="46"/>
      <x:c r="N119" s="46"/>
      <x:c r="O119" s="46"/>
      <x:c r="P119" s="46"/>
      <x:c r="Q119" s="46"/>
      <x:c r="R119" s="46"/>
      <x:c r="S119" s="23"/>
      <x:c r="T119" s="23"/>
      <x:c r="U119" s="23"/>
      <x:c r="V119" s="23"/>
      <x:c r="W119" s="23"/>
      <x:c r="X119" s="23"/>
      <x:c r="Y119" s="23"/>
      <x:c r="Z119" s="23"/>
    </x:row>
    <x:row r="120">
      <x:c r="A120" s="46"/>
      <x:c r="B120" s="46"/>
      <x:c r="C120" s="46"/>
      <x:c r="D120" s="46"/>
      <x:c r="E120" s="46"/>
      <x:c r="F120" s="46"/>
      <x:c r="G120" s="46"/>
      <x:c r="H120" s="46"/>
      <x:c r="I120" s="46"/>
      <x:c r="J120" s="46"/>
      <x:c r="K120" s="46"/>
      <x:c r="L120" s="46"/>
      <x:c r="M120" s="46"/>
      <x:c r="N120" s="46"/>
      <x:c r="O120" s="46"/>
      <x:c r="P120" s="46"/>
      <x:c r="Q120" s="46"/>
      <x:c r="R120" s="46"/>
      <x:c r="S120" s="23"/>
      <x:c r="T120" s="23"/>
      <x:c r="U120" s="23"/>
      <x:c r="V120" s="23"/>
      <x:c r="W120" s="23"/>
      <x:c r="X120" s="23"/>
      <x:c r="Y120" s="23"/>
      <x:c r="Z120" s="23"/>
    </x:row>
    <x:row r="121">
      <x:c r="A121" s="46"/>
      <x:c r="B121" s="46"/>
      <x:c r="C121" s="46"/>
      <x:c r="D121" s="46"/>
      <x:c r="E121" s="46"/>
      <x:c r="F121" s="46"/>
      <x:c r="G121" s="46"/>
      <x:c r="H121" s="46"/>
      <x:c r="I121" s="46"/>
      <x:c r="J121" s="46"/>
      <x:c r="K121" s="46"/>
      <x:c r="L121" s="46"/>
      <x:c r="M121" s="46"/>
      <x:c r="N121" s="46"/>
      <x:c r="O121" s="46"/>
      <x:c r="P121" s="46"/>
      <x:c r="Q121" s="46"/>
      <x:c r="R121" s="46"/>
      <x:c r="S121" s="23"/>
      <x:c r="T121" s="23"/>
      <x:c r="U121" s="23"/>
      <x:c r="V121" s="23"/>
      <x:c r="W121" s="23"/>
      <x:c r="X121" s="23"/>
      <x:c r="Y121" s="23"/>
      <x:c r="Z121" s="23"/>
    </x:row>
    <x:row r="122">
      <x:c r="A122" s="46"/>
      <x:c r="B122" s="46"/>
      <x:c r="C122" s="46"/>
      <x:c r="D122" s="46"/>
      <x:c r="E122" s="46"/>
      <x:c r="F122" s="46"/>
      <x:c r="G122" s="46"/>
      <x:c r="H122" s="46"/>
      <x:c r="I122" s="46"/>
      <x:c r="J122" s="46"/>
      <x:c r="K122" s="46"/>
      <x:c r="L122" s="46"/>
      <x:c r="M122" s="46"/>
      <x:c r="N122" s="46"/>
      <x:c r="O122" s="46"/>
      <x:c r="P122" s="46"/>
      <x:c r="Q122" s="46"/>
      <x:c r="R122" s="46"/>
      <x:c r="S122" s="23"/>
      <x:c r="T122" s="23"/>
      <x:c r="U122" s="23"/>
      <x:c r="V122" s="23"/>
      <x:c r="W122" s="23"/>
      <x:c r="X122" s="23"/>
      <x:c r="Y122" s="23"/>
      <x:c r="Z122" s="23"/>
    </x:row>
    <x:row r="123">
      <x:c r="A123" s="46"/>
      <x:c r="B123" s="46"/>
      <x:c r="C123" s="46"/>
      <x:c r="D123" s="46"/>
      <x:c r="E123" s="46"/>
      <x:c r="F123" s="46"/>
      <x:c r="G123" s="46"/>
      <x:c r="H123" s="46"/>
      <x:c r="I123" s="46"/>
      <x:c r="J123" s="46"/>
      <x:c r="K123" s="46"/>
      <x:c r="L123" s="46"/>
      <x:c r="M123" s="46"/>
      <x:c r="N123" s="46"/>
      <x:c r="O123" s="46"/>
      <x:c r="P123" s="46"/>
      <x:c r="Q123" s="46"/>
      <x:c r="R123" s="46"/>
      <x:c r="S123" s="23"/>
      <x:c r="T123" s="23"/>
      <x:c r="U123" s="23"/>
      <x:c r="V123" s="23"/>
      <x:c r="W123" s="23"/>
      <x:c r="X123" s="23"/>
      <x:c r="Y123" s="23"/>
      <x:c r="Z123" s="23"/>
    </x:row>
    <x:row r="124">
      <x:c r="A124" s="46"/>
      <x:c r="B124" s="46"/>
      <x:c r="C124" s="46"/>
      <x:c r="D124" s="46"/>
      <x:c r="E124" s="46"/>
      <x:c r="F124" s="46"/>
      <x:c r="G124" s="46"/>
      <x:c r="H124" s="46"/>
      <x:c r="I124" s="46"/>
      <x:c r="J124" s="46"/>
      <x:c r="K124" s="46"/>
      <x:c r="L124" s="46"/>
      <x:c r="M124" s="46"/>
      <x:c r="N124" s="46"/>
      <x:c r="O124" s="46"/>
      <x:c r="P124" s="46"/>
      <x:c r="Q124" s="46"/>
      <x:c r="R124" s="46"/>
      <x:c r="S124" s="23"/>
      <x:c r="T124" s="23"/>
      <x:c r="U124" s="23"/>
      <x:c r="V124" s="23"/>
      <x:c r="W124" s="23"/>
      <x:c r="X124" s="23"/>
      <x:c r="Y124" s="23"/>
      <x:c r="Z124" s="23"/>
    </x:row>
    <x:row r="125">
      <x:c r="A125" s="46"/>
      <x:c r="B125" s="46"/>
      <x:c r="C125" s="46"/>
      <x:c r="D125" s="46"/>
      <x:c r="E125" s="46"/>
      <x:c r="F125" s="46"/>
      <x:c r="G125" s="46"/>
      <x:c r="H125" s="46"/>
      <x:c r="I125" s="46"/>
      <x:c r="J125" s="46"/>
      <x:c r="K125" s="46"/>
      <x:c r="L125" s="46"/>
      <x:c r="M125" s="46"/>
      <x:c r="N125" s="46"/>
      <x:c r="O125" s="46"/>
      <x:c r="P125" s="46"/>
      <x:c r="Q125" s="46"/>
      <x:c r="R125" s="46"/>
      <x:c r="S125" s="23"/>
      <x:c r="T125" s="23"/>
      <x:c r="U125" s="23"/>
      <x:c r="V125" s="23"/>
      <x:c r="W125" s="23"/>
      <x:c r="X125" s="23"/>
      <x:c r="Y125" s="23"/>
      <x:c r="Z125" s="23"/>
    </x:row>
    <x:row r="126">
      <x:c r="A126" s="46"/>
      <x:c r="B126" s="46"/>
      <x:c r="C126" s="46"/>
      <x:c r="D126" s="46"/>
      <x:c r="E126" s="46"/>
      <x:c r="F126" s="46"/>
      <x:c r="G126" s="46"/>
      <x:c r="H126" s="46"/>
      <x:c r="I126" s="46"/>
      <x:c r="J126" s="46"/>
      <x:c r="K126" s="46"/>
      <x:c r="L126" s="46"/>
      <x:c r="M126" s="46"/>
      <x:c r="N126" s="46"/>
      <x:c r="O126" s="46"/>
      <x:c r="P126" s="46"/>
      <x:c r="Q126" s="46"/>
      <x:c r="R126" s="46"/>
      <x:c r="S126" s="23"/>
      <x:c r="T126" s="23"/>
      <x:c r="U126" s="23"/>
      <x:c r="V126" s="23"/>
      <x:c r="W126" s="23"/>
      <x:c r="X126" s="23"/>
      <x:c r="Y126" s="23"/>
      <x:c r="Z126" s="23"/>
    </x:row>
    <x:row r="127">
      <x:c r="A127" s="46"/>
      <x:c r="B127" s="46"/>
      <x:c r="C127" s="46"/>
      <x:c r="D127" s="46"/>
      <x:c r="E127" s="46"/>
      <x:c r="F127" s="46"/>
      <x:c r="G127" s="46"/>
      <x:c r="H127" s="46"/>
      <x:c r="I127" s="46"/>
      <x:c r="J127" s="46"/>
      <x:c r="K127" s="46"/>
      <x:c r="L127" s="46"/>
      <x:c r="M127" s="46"/>
      <x:c r="N127" s="46"/>
      <x:c r="O127" s="46"/>
      <x:c r="P127" s="46"/>
      <x:c r="Q127" s="46"/>
      <x:c r="R127" s="46"/>
      <x:c r="S127" s="23"/>
      <x:c r="T127" s="23"/>
      <x:c r="U127" s="23"/>
      <x:c r="V127" s="23"/>
      <x:c r="W127" s="23"/>
      <x:c r="X127" s="23"/>
      <x:c r="Y127" s="23"/>
      <x:c r="Z127" s="23"/>
    </x:row>
    <x:row r="128">
      <x:c r="A128" s="46"/>
      <x:c r="B128" s="46"/>
      <x:c r="C128" s="46"/>
      <x:c r="D128" s="46"/>
      <x:c r="E128" s="46"/>
      <x:c r="F128" s="46"/>
      <x:c r="G128" s="46"/>
      <x:c r="H128" s="46"/>
      <x:c r="I128" s="46"/>
      <x:c r="J128" s="46"/>
      <x:c r="K128" s="46"/>
      <x:c r="L128" s="46"/>
      <x:c r="M128" s="46"/>
      <x:c r="N128" s="46"/>
      <x:c r="O128" s="46"/>
      <x:c r="P128" s="46"/>
      <x:c r="Q128" s="46"/>
      <x:c r="R128" s="46"/>
      <x:c r="S128" s="23"/>
      <x:c r="T128" s="23"/>
      <x:c r="U128" s="23"/>
      <x:c r="V128" s="23"/>
      <x:c r="W128" s="23"/>
      <x:c r="X128" s="23"/>
      <x:c r="Y128" s="23"/>
      <x:c r="Z128" s="23"/>
    </x:row>
    <x:row r="129">
      <x:c r="A129" s="46"/>
      <x:c r="B129" s="46"/>
      <x:c r="C129" s="46"/>
      <x:c r="D129" s="46"/>
      <x:c r="E129" s="46"/>
      <x:c r="F129" s="46"/>
      <x:c r="G129" s="46"/>
      <x:c r="H129" s="46"/>
      <x:c r="I129" s="46"/>
      <x:c r="J129" s="46"/>
      <x:c r="K129" s="46"/>
      <x:c r="L129" s="46"/>
      <x:c r="M129" s="46"/>
      <x:c r="N129" s="46"/>
      <x:c r="O129" s="46"/>
      <x:c r="P129" s="46"/>
      <x:c r="Q129" s="46"/>
      <x:c r="R129" s="46"/>
      <x:c r="S129" s="23"/>
      <x:c r="T129" s="23"/>
      <x:c r="U129" s="23"/>
      <x:c r="V129" s="23"/>
      <x:c r="W129" s="23"/>
      <x:c r="X129" s="23"/>
      <x:c r="Y129" s="23"/>
      <x:c r="Z129" s="23"/>
    </x:row>
    <x:row r="130">
      <x:c r="A130" s="46"/>
      <x:c r="B130" s="46"/>
      <x:c r="C130" s="46"/>
      <x:c r="D130" s="46"/>
      <x:c r="E130" s="46"/>
      <x:c r="F130" s="46"/>
      <x:c r="G130" s="46"/>
      <x:c r="H130" s="46"/>
      <x:c r="I130" s="46"/>
      <x:c r="J130" s="46"/>
      <x:c r="K130" s="46"/>
      <x:c r="L130" s="46"/>
      <x:c r="M130" s="46"/>
      <x:c r="N130" s="46"/>
      <x:c r="O130" s="46"/>
      <x:c r="P130" s="46"/>
      <x:c r="Q130" s="46"/>
      <x:c r="R130" s="46"/>
      <x:c r="S130" s="23"/>
      <x:c r="T130" s="23"/>
      <x:c r="U130" s="23"/>
      <x:c r="V130" s="23"/>
      <x:c r="W130" s="23"/>
      <x:c r="X130" s="23"/>
      <x:c r="Y130" s="23"/>
      <x:c r="Z130" s="23"/>
    </x:row>
    <x:row r="131">
      <x:c r="A131" s="46"/>
      <x:c r="B131" s="46"/>
      <x:c r="C131" s="46"/>
      <x:c r="D131" s="46"/>
      <x:c r="E131" s="46"/>
      <x:c r="F131" s="46"/>
      <x:c r="G131" s="46"/>
      <x:c r="H131" s="46"/>
      <x:c r="I131" s="46"/>
      <x:c r="J131" s="46"/>
      <x:c r="K131" s="46"/>
      <x:c r="L131" s="46"/>
      <x:c r="M131" s="46"/>
      <x:c r="N131" s="46"/>
      <x:c r="O131" s="46"/>
      <x:c r="P131" s="46"/>
      <x:c r="Q131" s="46"/>
      <x:c r="R131" s="46"/>
      <x:c r="S131" s="23"/>
      <x:c r="T131" s="23"/>
      <x:c r="U131" s="23"/>
      <x:c r="V131" s="23"/>
      <x:c r="W131" s="23"/>
      <x:c r="X131" s="23"/>
      <x:c r="Y131" s="23"/>
      <x:c r="Z131" s="23"/>
    </x:row>
    <x:row r="132">
      <x:c r="A132" s="46"/>
      <x:c r="B132" s="46"/>
      <x:c r="C132" s="46"/>
      <x:c r="D132" s="46"/>
      <x:c r="E132" s="46"/>
      <x:c r="F132" s="46"/>
      <x:c r="G132" s="46"/>
      <x:c r="H132" s="46"/>
      <x:c r="I132" s="46"/>
      <x:c r="J132" s="46"/>
      <x:c r="K132" s="46"/>
      <x:c r="L132" s="46"/>
      <x:c r="M132" s="46"/>
      <x:c r="N132" s="46"/>
      <x:c r="O132" s="46"/>
      <x:c r="P132" s="46"/>
      <x:c r="Q132" s="46"/>
      <x:c r="R132" s="46"/>
      <x:c r="S132" s="23"/>
      <x:c r="T132" s="23"/>
      <x:c r="U132" s="23"/>
      <x:c r="V132" s="23"/>
      <x:c r="W132" s="23"/>
      <x:c r="X132" s="23"/>
      <x:c r="Y132" s="23"/>
      <x:c r="Z132" s="23"/>
    </x:row>
    <x:row r="133">
      <x:c r="A133" s="46"/>
      <x:c r="B133" s="46"/>
      <x:c r="C133" s="46"/>
      <x:c r="D133" s="46"/>
      <x:c r="E133" s="46"/>
      <x:c r="F133" s="46"/>
      <x:c r="G133" s="46"/>
      <x:c r="H133" s="46"/>
      <x:c r="I133" s="46"/>
      <x:c r="J133" s="46"/>
      <x:c r="K133" s="46"/>
      <x:c r="L133" s="46"/>
      <x:c r="M133" s="46"/>
      <x:c r="N133" s="46"/>
      <x:c r="O133" s="46"/>
      <x:c r="P133" s="46"/>
      <x:c r="Q133" s="46"/>
      <x:c r="R133" s="46"/>
      <x:c r="S133" s="23"/>
      <x:c r="T133" s="23"/>
      <x:c r="U133" s="23"/>
      <x:c r="V133" s="23"/>
      <x:c r="W133" s="23"/>
      <x:c r="X133" s="23"/>
      <x:c r="Y133" s="23"/>
      <x:c r="Z133" s="23"/>
    </x:row>
    <x:row r="134">
      <x:c r="A134" s="46"/>
      <x:c r="B134" s="46"/>
      <x:c r="C134" s="46"/>
      <x:c r="D134" s="46"/>
      <x:c r="E134" s="46"/>
      <x:c r="F134" s="46"/>
      <x:c r="G134" s="46"/>
      <x:c r="H134" s="46"/>
      <x:c r="I134" s="46"/>
      <x:c r="J134" s="46"/>
      <x:c r="K134" s="46"/>
      <x:c r="L134" s="46"/>
      <x:c r="M134" s="46"/>
      <x:c r="N134" s="46"/>
      <x:c r="O134" s="46"/>
      <x:c r="P134" s="46"/>
      <x:c r="Q134" s="46"/>
      <x:c r="R134" s="46"/>
      <x:c r="S134" s="23"/>
      <x:c r="T134" s="23"/>
      <x:c r="U134" s="23"/>
      <x:c r="V134" s="23"/>
      <x:c r="W134" s="23"/>
      <x:c r="X134" s="23"/>
      <x:c r="Y134" s="23"/>
      <x:c r="Z134" s="23"/>
    </x:row>
    <x:row r="135">
      <x:c r="A135" s="46"/>
      <x:c r="B135" s="46"/>
      <x:c r="C135" s="46"/>
      <x:c r="D135" s="46"/>
      <x:c r="E135" s="46"/>
      <x:c r="F135" s="46"/>
      <x:c r="G135" s="46"/>
      <x:c r="H135" s="46"/>
      <x:c r="I135" s="46"/>
      <x:c r="J135" s="46"/>
      <x:c r="K135" s="46"/>
      <x:c r="L135" s="46"/>
      <x:c r="M135" s="46"/>
      <x:c r="N135" s="46"/>
      <x:c r="O135" s="46"/>
      <x:c r="P135" s="46"/>
      <x:c r="Q135" s="46"/>
      <x:c r="R135" s="46"/>
      <x:c r="S135" s="23"/>
      <x:c r="T135" s="23"/>
      <x:c r="U135" s="23"/>
      <x:c r="V135" s="23"/>
      <x:c r="W135" s="23"/>
      <x:c r="X135" s="23"/>
      <x:c r="Y135" s="23"/>
      <x:c r="Z135" s="23"/>
    </x:row>
    <x:row r="136">
      <x:c r="A136" s="46"/>
      <x:c r="B136" s="46"/>
      <x:c r="C136" s="46"/>
      <x:c r="D136" s="46"/>
      <x:c r="E136" s="46"/>
      <x:c r="F136" s="46"/>
      <x:c r="G136" s="46"/>
      <x:c r="H136" s="46"/>
      <x:c r="I136" s="46"/>
      <x:c r="J136" s="46"/>
      <x:c r="K136" s="46"/>
      <x:c r="L136" s="46"/>
      <x:c r="M136" s="46"/>
      <x:c r="N136" s="46"/>
      <x:c r="O136" s="46"/>
      <x:c r="P136" s="46"/>
      <x:c r="Q136" s="46"/>
      <x:c r="R136" s="46"/>
      <x:c r="S136" s="23"/>
      <x:c r="T136" s="23"/>
      <x:c r="U136" s="23"/>
      <x:c r="V136" s="23"/>
      <x:c r="W136" s="23"/>
      <x:c r="X136" s="23"/>
      <x:c r="Y136" s="23"/>
      <x:c r="Z136" s="23"/>
    </x:row>
    <x:row r="137">
      <x:c r="A137" s="46"/>
      <x:c r="B137" s="46"/>
      <x:c r="C137" s="46"/>
      <x:c r="D137" s="46"/>
      <x:c r="E137" s="46"/>
      <x:c r="F137" s="46"/>
      <x:c r="G137" s="46"/>
      <x:c r="H137" s="46"/>
      <x:c r="I137" s="46"/>
      <x:c r="J137" s="46"/>
      <x:c r="K137" s="46"/>
      <x:c r="L137" s="46"/>
      <x:c r="M137" s="46"/>
      <x:c r="N137" s="46"/>
      <x:c r="O137" s="46"/>
      <x:c r="P137" s="46"/>
      <x:c r="Q137" s="46"/>
      <x:c r="R137" s="46"/>
      <x:c r="S137" s="23"/>
      <x:c r="T137" s="23"/>
      <x:c r="U137" s="23"/>
      <x:c r="V137" s="23"/>
      <x:c r="W137" s="23"/>
      <x:c r="X137" s="23"/>
      <x:c r="Y137" s="23"/>
      <x:c r="Z137" s="23"/>
    </x:row>
    <x:row r="138">
      <x:c r="A138" s="46"/>
      <x:c r="B138" s="46"/>
      <x:c r="C138" s="46"/>
      <x:c r="D138" s="46"/>
      <x:c r="E138" s="46"/>
      <x:c r="F138" s="46"/>
      <x:c r="G138" s="46"/>
      <x:c r="H138" s="46"/>
      <x:c r="I138" s="46"/>
      <x:c r="J138" s="46"/>
      <x:c r="K138" s="46"/>
      <x:c r="L138" s="46"/>
      <x:c r="M138" s="46"/>
      <x:c r="N138" s="46"/>
      <x:c r="O138" s="46"/>
      <x:c r="P138" s="46"/>
      <x:c r="Q138" s="46"/>
      <x:c r="R138" s="46"/>
      <x:c r="S138" s="23"/>
      <x:c r="T138" s="23"/>
      <x:c r="U138" s="23"/>
      <x:c r="V138" s="23"/>
      <x:c r="W138" s="23"/>
      <x:c r="X138" s="23"/>
      <x:c r="Y138" s="23"/>
      <x:c r="Z138" s="23"/>
    </x:row>
    <x:row r="139">
      <x:c r="A139" s="46"/>
      <x:c r="B139" s="46"/>
      <x:c r="C139" s="46"/>
      <x:c r="D139" s="46"/>
      <x:c r="E139" s="46"/>
      <x:c r="F139" s="46"/>
      <x:c r="G139" s="46"/>
      <x:c r="H139" s="46"/>
      <x:c r="I139" s="46"/>
      <x:c r="J139" s="46"/>
      <x:c r="K139" s="46"/>
      <x:c r="L139" s="46"/>
      <x:c r="M139" s="46"/>
      <x:c r="N139" s="46"/>
      <x:c r="O139" s="46"/>
      <x:c r="P139" s="46"/>
      <x:c r="Q139" s="46"/>
      <x:c r="R139" s="46"/>
      <x:c r="S139" s="23"/>
      <x:c r="T139" s="23"/>
      <x:c r="U139" s="23"/>
      <x:c r="V139" s="23"/>
      <x:c r="W139" s="23"/>
      <x:c r="X139" s="23"/>
      <x:c r="Y139" s="23"/>
      <x:c r="Z139" s="23"/>
    </x:row>
    <x:row r="140">
      <x:c r="A140" s="46"/>
      <x:c r="B140" s="46"/>
      <x:c r="C140" s="46"/>
      <x:c r="D140" s="46"/>
      <x:c r="E140" s="46"/>
      <x:c r="F140" s="46"/>
      <x:c r="G140" s="46"/>
      <x:c r="H140" s="46"/>
      <x:c r="I140" s="46"/>
      <x:c r="J140" s="46"/>
      <x:c r="K140" s="46"/>
      <x:c r="L140" s="46"/>
      <x:c r="M140" s="46"/>
      <x:c r="N140" s="46"/>
      <x:c r="O140" s="46"/>
      <x:c r="P140" s="46"/>
      <x:c r="Q140" s="46"/>
      <x:c r="R140" s="46"/>
      <x:c r="S140" s="23"/>
      <x:c r="T140" s="23"/>
      <x:c r="U140" s="23"/>
      <x:c r="V140" s="23"/>
      <x:c r="W140" s="23"/>
      <x:c r="X140" s="23"/>
      <x:c r="Y140" s="23"/>
      <x:c r="Z140" s="23"/>
    </x:row>
    <x:row r="141">
      <x:c r="A141" s="46"/>
      <x:c r="B141" s="46"/>
      <x:c r="C141" s="46"/>
      <x:c r="D141" s="46"/>
      <x:c r="E141" s="46"/>
      <x:c r="F141" s="46"/>
      <x:c r="G141" s="46"/>
      <x:c r="H141" s="46"/>
      <x:c r="I141" s="46"/>
      <x:c r="J141" s="46"/>
      <x:c r="K141" s="46"/>
      <x:c r="L141" s="46"/>
      <x:c r="M141" s="46"/>
      <x:c r="N141" s="46"/>
      <x:c r="O141" s="46"/>
      <x:c r="P141" s="46"/>
      <x:c r="Q141" s="46"/>
      <x:c r="R141" s="46"/>
      <x:c r="S141" s="23"/>
      <x:c r="T141" s="23"/>
      <x:c r="U141" s="23"/>
      <x:c r="V141" s="23"/>
      <x:c r="W141" s="23"/>
      <x:c r="X141" s="23"/>
      <x:c r="Y141" s="23"/>
      <x:c r="Z141" s="23"/>
    </x:row>
    <x:row r="142">
      <x:c r="A142" s="46"/>
      <x:c r="B142" s="46"/>
      <x:c r="C142" s="46"/>
      <x:c r="D142" s="46"/>
      <x:c r="E142" s="46"/>
      <x:c r="F142" s="46"/>
      <x:c r="G142" s="46"/>
      <x:c r="H142" s="46"/>
      <x:c r="I142" s="46"/>
      <x:c r="J142" s="46"/>
      <x:c r="K142" s="46"/>
      <x:c r="L142" s="46"/>
      <x:c r="M142" s="46"/>
      <x:c r="N142" s="46"/>
      <x:c r="O142" s="46"/>
      <x:c r="P142" s="46"/>
      <x:c r="Q142" s="46"/>
      <x:c r="R142" s="46"/>
      <x:c r="S142" s="23"/>
      <x:c r="T142" s="23"/>
      <x:c r="U142" s="23"/>
      <x:c r="V142" s="23"/>
      <x:c r="W142" s="23"/>
      <x:c r="X142" s="23"/>
      <x:c r="Y142" s="23"/>
      <x:c r="Z142" s="23"/>
    </x:row>
    <x:row r="143">
      <x:c r="A143" s="46"/>
      <x:c r="B143" s="46"/>
      <x:c r="C143" s="46"/>
      <x:c r="D143" s="46"/>
      <x:c r="E143" s="46"/>
      <x:c r="F143" s="46"/>
      <x:c r="G143" s="46"/>
      <x:c r="H143" s="46"/>
      <x:c r="I143" s="46"/>
      <x:c r="J143" s="46"/>
      <x:c r="K143" s="46"/>
      <x:c r="L143" s="46"/>
      <x:c r="M143" s="46"/>
      <x:c r="N143" s="46"/>
      <x:c r="O143" s="46"/>
      <x:c r="P143" s="46"/>
      <x:c r="Q143" s="46"/>
      <x:c r="R143" s="46"/>
      <x:c r="S143" s="23"/>
      <x:c r="T143" s="23"/>
      <x:c r="U143" s="23"/>
      <x:c r="V143" s="23"/>
      <x:c r="W143" s="23"/>
      <x:c r="X143" s="23"/>
      <x:c r="Y143" s="23"/>
      <x:c r="Z143" s="23"/>
    </x:row>
    <x:row r="144">
      <x:c r="A144" s="46"/>
      <x:c r="B144" s="46"/>
      <x:c r="C144" s="46"/>
      <x:c r="D144" s="46"/>
      <x:c r="E144" s="46"/>
      <x:c r="F144" s="46"/>
      <x:c r="G144" s="46"/>
      <x:c r="H144" s="46"/>
      <x:c r="I144" s="46"/>
      <x:c r="J144" s="46"/>
      <x:c r="K144" s="46"/>
      <x:c r="L144" s="46"/>
      <x:c r="M144" s="46"/>
      <x:c r="N144" s="46"/>
      <x:c r="O144" s="46"/>
      <x:c r="P144" s="46"/>
      <x:c r="Q144" s="46"/>
      <x:c r="R144" s="46"/>
      <x:c r="S144" s="23"/>
      <x:c r="T144" s="23"/>
      <x:c r="U144" s="23"/>
      <x:c r="V144" s="23"/>
      <x:c r="W144" s="23"/>
      <x:c r="X144" s="23"/>
      <x:c r="Y144" s="23"/>
      <x:c r="Z144" s="23"/>
    </x:row>
    <x:row r="145">
      <x:c r="A145" s="46"/>
      <x:c r="B145" s="46"/>
      <x:c r="C145" s="46"/>
      <x:c r="D145" s="46"/>
      <x:c r="E145" s="46"/>
      <x:c r="F145" s="46"/>
      <x:c r="G145" s="46"/>
      <x:c r="H145" s="46"/>
      <x:c r="I145" s="46"/>
      <x:c r="J145" s="46"/>
      <x:c r="K145" s="46"/>
      <x:c r="L145" s="46"/>
      <x:c r="M145" s="46"/>
      <x:c r="N145" s="46"/>
      <x:c r="O145" s="46"/>
      <x:c r="P145" s="46"/>
      <x:c r="Q145" s="46"/>
      <x:c r="R145" s="46"/>
      <x:c r="S145" s="23"/>
      <x:c r="T145" s="23"/>
      <x:c r="U145" s="23"/>
      <x:c r="V145" s="23"/>
      <x:c r="W145" s="23"/>
      <x:c r="X145" s="23"/>
      <x:c r="Y145" s="23"/>
      <x:c r="Z145" s="23"/>
    </x:row>
    <x:row r="146">
      <x:c r="A146" s="46"/>
      <x:c r="B146" s="46"/>
      <x:c r="C146" s="46"/>
      <x:c r="D146" s="46"/>
      <x:c r="E146" s="46"/>
      <x:c r="F146" s="46"/>
      <x:c r="G146" s="46"/>
      <x:c r="H146" s="46"/>
      <x:c r="I146" s="46"/>
      <x:c r="J146" s="46"/>
      <x:c r="K146" s="46"/>
      <x:c r="L146" s="46"/>
      <x:c r="M146" s="46"/>
      <x:c r="N146" s="46"/>
      <x:c r="O146" s="46"/>
      <x:c r="P146" s="46"/>
      <x:c r="Q146" s="46"/>
      <x:c r="R146" s="46"/>
      <x:c r="S146" s="23"/>
      <x:c r="T146" s="23"/>
      <x:c r="U146" s="23"/>
      <x:c r="V146" s="23"/>
      <x:c r="W146" s="23"/>
      <x:c r="X146" s="23"/>
      <x:c r="Y146" s="23"/>
      <x:c r="Z146" s="23"/>
    </x:row>
    <x:row r="147">
      <x:c r="A147" s="46"/>
      <x:c r="B147" s="46"/>
      <x:c r="C147" s="46"/>
      <x:c r="D147" s="46"/>
      <x:c r="E147" s="46"/>
      <x:c r="F147" s="46"/>
      <x:c r="G147" s="46"/>
      <x:c r="H147" s="46"/>
      <x:c r="I147" s="46"/>
      <x:c r="J147" s="46"/>
      <x:c r="K147" s="46"/>
      <x:c r="L147" s="46"/>
      <x:c r="M147" s="46"/>
      <x:c r="N147" s="46"/>
      <x:c r="O147" s="46"/>
      <x:c r="P147" s="46"/>
      <x:c r="Q147" s="46"/>
      <x:c r="R147" s="46"/>
      <x:c r="S147" s="23"/>
      <x:c r="T147" s="23"/>
      <x:c r="U147" s="23"/>
      <x:c r="V147" s="23"/>
      <x:c r="W147" s="23"/>
      <x:c r="X147" s="23"/>
      <x:c r="Y147" s="23"/>
      <x:c r="Z147" s="23"/>
    </x:row>
    <x:row r="148">
      <x:c r="A148" s="46"/>
      <x:c r="B148" s="46"/>
      <x:c r="C148" s="46"/>
      <x:c r="D148" s="46"/>
      <x:c r="E148" s="46"/>
      <x:c r="F148" s="46"/>
      <x:c r="G148" s="46"/>
      <x:c r="H148" s="46"/>
      <x:c r="I148" s="46"/>
      <x:c r="J148" s="46"/>
      <x:c r="K148" s="46"/>
      <x:c r="L148" s="46"/>
      <x:c r="M148" s="46"/>
      <x:c r="N148" s="46"/>
      <x:c r="O148" s="46"/>
      <x:c r="P148" s="46"/>
      <x:c r="Q148" s="46"/>
      <x:c r="R148" s="46"/>
      <x:c r="S148" s="23"/>
      <x:c r="T148" s="23"/>
      <x:c r="U148" s="23"/>
      <x:c r="V148" s="23"/>
      <x:c r="W148" s="23"/>
      <x:c r="X148" s="23"/>
      <x:c r="Y148" s="23"/>
      <x:c r="Z148" s="23"/>
    </x:row>
    <x:row r="149">
      <x:c r="A149" s="46"/>
      <x:c r="B149" s="46"/>
      <x:c r="C149" s="46"/>
      <x:c r="D149" s="46"/>
      <x:c r="E149" s="46"/>
      <x:c r="F149" s="46"/>
      <x:c r="G149" s="46"/>
      <x:c r="H149" s="46"/>
      <x:c r="I149" s="46"/>
      <x:c r="J149" s="46"/>
      <x:c r="K149" s="46"/>
      <x:c r="L149" s="46"/>
      <x:c r="M149" s="46"/>
      <x:c r="N149" s="46"/>
      <x:c r="O149" s="46"/>
      <x:c r="P149" s="46"/>
      <x:c r="Q149" s="46"/>
      <x:c r="R149" s="46"/>
      <x:c r="S149" s="23"/>
      <x:c r="T149" s="23"/>
      <x:c r="U149" s="23"/>
      <x:c r="V149" s="23"/>
      <x:c r="W149" s="23"/>
      <x:c r="X149" s="23"/>
      <x:c r="Y149" s="23"/>
      <x:c r="Z149" s="23"/>
    </x:row>
    <x:row r="150">
      <x:c r="A150" s="46"/>
      <x:c r="B150" s="46"/>
      <x:c r="C150" s="46"/>
      <x:c r="D150" s="46"/>
      <x:c r="E150" s="46"/>
      <x:c r="F150" s="46"/>
      <x:c r="G150" s="46"/>
      <x:c r="H150" s="46"/>
      <x:c r="I150" s="46"/>
      <x:c r="J150" s="46"/>
      <x:c r="K150" s="46"/>
      <x:c r="L150" s="46"/>
      <x:c r="M150" s="46"/>
      <x:c r="N150" s="46"/>
      <x:c r="O150" s="46"/>
      <x:c r="P150" s="46"/>
      <x:c r="Q150" s="46"/>
      <x:c r="R150" s="46"/>
      <x:c r="S150" s="23"/>
      <x:c r="T150" s="23"/>
      <x:c r="U150" s="23"/>
      <x:c r="V150" s="23"/>
      <x:c r="W150" s="23"/>
      <x:c r="X150" s="23"/>
      <x:c r="Y150" s="23"/>
      <x:c r="Z150" s="23"/>
    </x:row>
    <x:row r="151">
      <x:c r="A151" s="46"/>
      <x:c r="B151" s="46"/>
      <x:c r="C151" s="46"/>
      <x:c r="D151" s="46"/>
      <x:c r="E151" s="46"/>
      <x:c r="F151" s="46"/>
      <x:c r="G151" s="46"/>
      <x:c r="H151" s="46"/>
      <x:c r="I151" s="46"/>
      <x:c r="J151" s="46"/>
      <x:c r="K151" s="46"/>
      <x:c r="L151" s="46"/>
      <x:c r="M151" s="46"/>
      <x:c r="N151" s="46"/>
      <x:c r="O151" s="46"/>
      <x:c r="P151" s="46"/>
      <x:c r="Q151" s="46"/>
      <x:c r="R151" s="46"/>
      <x:c r="S151" s="23"/>
      <x:c r="T151" s="23"/>
      <x:c r="U151" s="23"/>
      <x:c r="V151" s="23"/>
      <x:c r="W151" s="23"/>
      <x:c r="X151" s="23"/>
      <x:c r="Y151" s="23"/>
      <x:c r="Z151" s="23"/>
    </x:row>
    <x:row r="152">
      <x:c r="A152" s="46"/>
      <x:c r="B152" s="46"/>
      <x:c r="C152" s="46"/>
      <x:c r="D152" s="46"/>
      <x:c r="E152" s="46"/>
      <x:c r="F152" s="46"/>
      <x:c r="G152" s="46"/>
      <x:c r="H152" s="46"/>
      <x:c r="I152" s="46"/>
      <x:c r="J152" s="46"/>
      <x:c r="K152" s="46"/>
      <x:c r="L152" s="46"/>
      <x:c r="M152" s="46"/>
      <x:c r="N152" s="46"/>
      <x:c r="O152" s="46"/>
      <x:c r="P152" s="46"/>
      <x:c r="Q152" s="46"/>
      <x:c r="R152" s="46"/>
      <x:c r="S152" s="23"/>
      <x:c r="T152" s="23"/>
      <x:c r="U152" s="23"/>
      <x:c r="V152" s="23"/>
      <x:c r="W152" s="23"/>
      <x:c r="X152" s="23"/>
      <x:c r="Y152" s="23"/>
      <x:c r="Z152" s="23"/>
    </x:row>
    <x:row r="153">
      <x:c r="A153" s="46"/>
      <x:c r="B153" s="46"/>
      <x:c r="C153" s="46"/>
      <x:c r="D153" s="46"/>
      <x:c r="E153" s="46"/>
      <x:c r="F153" s="46"/>
      <x:c r="G153" s="46"/>
      <x:c r="H153" s="46"/>
      <x:c r="I153" s="46"/>
      <x:c r="J153" s="46"/>
      <x:c r="K153" s="46"/>
      <x:c r="L153" s="46"/>
      <x:c r="M153" s="46"/>
      <x:c r="N153" s="46"/>
      <x:c r="O153" s="46"/>
      <x:c r="P153" s="46"/>
      <x:c r="Q153" s="46"/>
      <x:c r="R153" s="46"/>
      <x:c r="S153" s="23"/>
      <x:c r="T153" s="23"/>
      <x:c r="U153" s="23"/>
      <x:c r="V153" s="23"/>
      <x:c r="W153" s="23"/>
      <x:c r="X153" s="23"/>
      <x:c r="Y153" s="23"/>
      <x:c r="Z153" s="23"/>
    </x:row>
    <x:row r="154">
      <x:c r="A154" s="46"/>
      <x:c r="B154" s="46"/>
      <x:c r="C154" s="46"/>
      <x:c r="D154" s="46"/>
      <x:c r="E154" s="46"/>
      <x:c r="F154" s="46"/>
      <x:c r="G154" s="46"/>
      <x:c r="H154" s="46"/>
      <x:c r="I154" s="46"/>
      <x:c r="J154" s="46"/>
      <x:c r="K154" s="46"/>
      <x:c r="L154" s="46"/>
      <x:c r="M154" s="46"/>
      <x:c r="N154" s="46"/>
      <x:c r="O154" s="46"/>
      <x:c r="P154" s="46"/>
      <x:c r="Q154" s="46"/>
      <x:c r="R154" s="46"/>
      <x:c r="S154" s="23"/>
      <x:c r="T154" s="23"/>
      <x:c r="U154" s="23"/>
      <x:c r="V154" s="23"/>
      <x:c r="W154" s="23"/>
      <x:c r="X154" s="23"/>
      <x:c r="Y154" s="23"/>
      <x:c r="Z154" s="23"/>
    </x:row>
    <x:row r="155">
      <x:c r="A155" s="46"/>
      <x:c r="B155" s="46"/>
      <x:c r="C155" s="46"/>
      <x:c r="D155" s="46"/>
      <x:c r="E155" s="46"/>
      <x:c r="F155" s="46"/>
      <x:c r="G155" s="46"/>
      <x:c r="H155" s="46"/>
      <x:c r="I155" s="46"/>
      <x:c r="J155" s="46"/>
      <x:c r="K155" s="46"/>
      <x:c r="L155" s="46"/>
      <x:c r="M155" s="46"/>
      <x:c r="N155" s="46"/>
      <x:c r="O155" s="46"/>
      <x:c r="P155" s="46"/>
      <x:c r="Q155" s="46"/>
      <x:c r="R155" s="46"/>
      <x:c r="S155" s="23"/>
      <x:c r="T155" s="23"/>
      <x:c r="U155" s="23"/>
      <x:c r="V155" s="23"/>
      <x:c r="W155" s="23"/>
      <x:c r="X155" s="23"/>
      <x:c r="Y155" s="23"/>
      <x:c r="Z155" s="23"/>
    </x:row>
    <x:row r="156">
      <x:c r="A156" s="46"/>
      <x:c r="B156" s="46"/>
      <x:c r="C156" s="46"/>
      <x:c r="D156" s="46"/>
      <x:c r="E156" s="46"/>
      <x:c r="F156" s="46"/>
      <x:c r="G156" s="46"/>
      <x:c r="H156" s="46"/>
      <x:c r="I156" s="46"/>
      <x:c r="J156" s="46"/>
      <x:c r="K156" s="46"/>
      <x:c r="L156" s="46"/>
      <x:c r="M156" s="46"/>
      <x:c r="N156" s="46"/>
      <x:c r="O156" s="46"/>
      <x:c r="P156" s="46"/>
      <x:c r="Q156" s="46"/>
      <x:c r="R156" s="46"/>
      <x:c r="S156" s="23"/>
      <x:c r="T156" s="23"/>
      <x:c r="U156" s="23"/>
      <x:c r="V156" s="23"/>
      <x:c r="W156" s="23"/>
      <x:c r="X156" s="23"/>
      <x:c r="Y156" s="23"/>
      <x:c r="Z156" s="23"/>
    </x:row>
    <x:row r="157">
      <x:c r="A157" s="46"/>
      <x:c r="B157" s="46"/>
      <x:c r="C157" s="46"/>
      <x:c r="D157" s="46"/>
      <x:c r="E157" s="46"/>
      <x:c r="F157" s="46"/>
      <x:c r="G157" s="46"/>
      <x:c r="H157" s="46"/>
      <x:c r="I157" s="46"/>
      <x:c r="J157" s="46"/>
      <x:c r="K157" s="46"/>
      <x:c r="L157" s="46"/>
      <x:c r="M157" s="46"/>
      <x:c r="N157" s="46"/>
      <x:c r="O157" s="46"/>
      <x:c r="P157" s="46"/>
      <x:c r="Q157" s="46"/>
      <x:c r="R157" s="46"/>
      <x:c r="S157" s="23"/>
      <x:c r="T157" s="23"/>
      <x:c r="U157" s="23"/>
      <x:c r="V157" s="23"/>
      <x:c r="W157" s="23"/>
      <x:c r="X157" s="23"/>
      <x:c r="Y157" s="23"/>
      <x:c r="Z157" s="23"/>
    </x:row>
    <x:row r="158">
      <x:c r="A158" s="46"/>
      <x:c r="B158" s="46"/>
      <x:c r="C158" s="46"/>
      <x:c r="D158" s="46"/>
      <x:c r="E158" s="46"/>
      <x:c r="F158" s="46"/>
      <x:c r="G158" s="46"/>
      <x:c r="H158" s="46"/>
      <x:c r="I158" s="46"/>
      <x:c r="J158" s="46"/>
      <x:c r="K158" s="46"/>
      <x:c r="L158" s="46"/>
      <x:c r="M158" s="46"/>
      <x:c r="N158" s="46"/>
      <x:c r="O158" s="46"/>
      <x:c r="P158" s="46"/>
      <x:c r="Q158" s="46"/>
      <x:c r="R158" s="46"/>
      <x:c r="S158" s="23"/>
      <x:c r="T158" s="23"/>
      <x:c r="U158" s="23"/>
      <x:c r="V158" s="23"/>
      <x:c r="W158" s="23"/>
      <x:c r="X158" s="23"/>
      <x:c r="Y158" s="23"/>
      <x:c r="Z158" s="23"/>
    </x:row>
    <x:row r="159">
      <x:c r="A159" s="46"/>
      <x:c r="B159" s="46"/>
      <x:c r="C159" s="46"/>
      <x:c r="D159" s="46"/>
      <x:c r="E159" s="46"/>
      <x:c r="F159" s="46"/>
      <x:c r="G159" s="46"/>
      <x:c r="H159" s="46"/>
      <x:c r="I159" s="46"/>
      <x:c r="J159" s="46"/>
      <x:c r="K159" s="46"/>
      <x:c r="L159" s="46"/>
      <x:c r="M159" s="46"/>
      <x:c r="N159" s="46"/>
      <x:c r="O159" s="46"/>
      <x:c r="P159" s="46"/>
      <x:c r="Q159" s="46"/>
      <x:c r="R159" s="46"/>
      <x:c r="S159" s="23"/>
      <x:c r="T159" s="23"/>
      <x:c r="U159" s="23"/>
      <x:c r="V159" s="23"/>
      <x:c r="W159" s="23"/>
      <x:c r="X159" s="23"/>
      <x:c r="Y159" s="23"/>
      <x:c r="Z159" s="23"/>
    </x:row>
    <x:row r="160">
      <x:c r="A160" s="46"/>
      <x:c r="B160" s="46"/>
      <x:c r="C160" s="46"/>
      <x:c r="D160" s="46"/>
      <x:c r="E160" s="46"/>
      <x:c r="F160" s="46"/>
      <x:c r="G160" s="46"/>
      <x:c r="H160" s="46"/>
      <x:c r="I160" s="46"/>
      <x:c r="J160" s="46"/>
      <x:c r="K160" s="46"/>
      <x:c r="L160" s="46"/>
      <x:c r="M160" s="46"/>
      <x:c r="N160" s="46"/>
      <x:c r="O160" s="46"/>
      <x:c r="P160" s="46"/>
      <x:c r="Q160" s="46"/>
      <x:c r="R160" s="46"/>
      <x:c r="S160" s="23"/>
      <x:c r="T160" s="23"/>
      <x:c r="U160" s="23"/>
      <x:c r="V160" s="23"/>
      <x:c r="W160" s="23"/>
      <x:c r="X160" s="23"/>
      <x:c r="Y160" s="23"/>
      <x:c r="Z160" s="23"/>
    </x:row>
    <x:row r="161">
      <x:c r="A161" s="46"/>
      <x:c r="B161" s="46"/>
      <x:c r="C161" s="46"/>
      <x:c r="D161" s="46"/>
      <x:c r="E161" s="46"/>
      <x:c r="F161" s="46"/>
      <x:c r="G161" s="46"/>
      <x:c r="H161" s="46"/>
      <x:c r="I161" s="46"/>
      <x:c r="J161" s="46"/>
      <x:c r="K161" s="46"/>
      <x:c r="L161" s="46"/>
      <x:c r="M161" s="46"/>
      <x:c r="N161" s="46"/>
      <x:c r="O161" s="46"/>
      <x:c r="P161" s="46"/>
      <x:c r="Q161" s="46"/>
      <x:c r="R161" s="46"/>
      <x:c r="S161" s="23"/>
      <x:c r="T161" s="23"/>
      <x:c r="U161" s="23"/>
      <x:c r="V161" s="23"/>
      <x:c r="W161" s="23"/>
      <x:c r="X161" s="23"/>
      <x:c r="Y161" s="23"/>
      <x:c r="Z161" s="23"/>
    </x:row>
    <x:row r="162">
      <x:c r="A162" s="46"/>
      <x:c r="B162" s="46"/>
      <x:c r="C162" s="46"/>
      <x:c r="D162" s="46"/>
      <x:c r="E162" s="46"/>
      <x:c r="F162" s="46"/>
      <x:c r="G162" s="46"/>
      <x:c r="H162" s="46"/>
      <x:c r="I162" s="46"/>
      <x:c r="J162" s="46"/>
      <x:c r="K162" s="46"/>
      <x:c r="L162" s="46"/>
      <x:c r="M162" s="46"/>
      <x:c r="N162" s="46"/>
      <x:c r="O162" s="46"/>
      <x:c r="P162" s="46"/>
      <x:c r="Q162" s="46"/>
      <x:c r="R162" s="46"/>
      <x:c r="S162" s="23"/>
      <x:c r="T162" s="23"/>
      <x:c r="U162" s="23"/>
      <x:c r="V162" s="23"/>
      <x:c r="W162" s="23"/>
      <x:c r="X162" s="23"/>
      <x:c r="Y162" s="23"/>
      <x:c r="Z162" s="23"/>
    </x:row>
    <x:row r="163">
      <x:c r="A163" s="46"/>
      <x:c r="B163" s="46"/>
      <x:c r="C163" s="46"/>
      <x:c r="D163" s="46"/>
      <x:c r="E163" s="46"/>
      <x:c r="F163" s="46"/>
      <x:c r="G163" s="46"/>
      <x:c r="H163" s="46"/>
      <x:c r="I163" s="46"/>
      <x:c r="J163" s="46"/>
      <x:c r="K163" s="46"/>
      <x:c r="L163" s="46"/>
      <x:c r="M163" s="46"/>
      <x:c r="N163" s="46"/>
      <x:c r="O163" s="46"/>
      <x:c r="P163" s="46"/>
      <x:c r="Q163" s="46"/>
      <x:c r="R163" s="46"/>
      <x:c r="S163" s="23"/>
      <x:c r="T163" s="23"/>
      <x:c r="U163" s="23"/>
      <x:c r="V163" s="23"/>
      <x:c r="W163" s="23"/>
      <x:c r="X163" s="23"/>
      <x:c r="Y163" s="23"/>
      <x:c r="Z163" s="23"/>
    </x:row>
    <x:row r="164">
      <x:c r="A164" s="46"/>
      <x:c r="B164" s="46"/>
      <x:c r="C164" s="46"/>
      <x:c r="D164" s="46"/>
      <x:c r="E164" s="46"/>
      <x:c r="F164" s="46"/>
      <x:c r="G164" s="46"/>
      <x:c r="H164" s="46"/>
      <x:c r="I164" s="46"/>
      <x:c r="J164" s="46"/>
      <x:c r="K164" s="46"/>
      <x:c r="L164" s="46"/>
      <x:c r="M164" s="46"/>
      <x:c r="N164" s="46"/>
      <x:c r="O164" s="46"/>
      <x:c r="P164" s="46"/>
      <x:c r="Q164" s="46"/>
      <x:c r="R164" s="46"/>
      <x:c r="S164" s="23"/>
      <x:c r="T164" s="23"/>
      <x:c r="U164" s="23"/>
      <x:c r="V164" s="23"/>
      <x:c r="W164" s="23"/>
      <x:c r="X164" s="23"/>
      <x:c r="Y164" s="23"/>
      <x:c r="Z164" s="23"/>
    </x:row>
    <x:row r="165">
      <x:c r="A165" s="46"/>
      <x:c r="B165" s="46"/>
      <x:c r="C165" s="46"/>
      <x:c r="D165" s="46"/>
      <x:c r="E165" s="46"/>
      <x:c r="F165" s="46"/>
      <x:c r="G165" s="46"/>
      <x:c r="H165" s="46"/>
      <x:c r="I165" s="46"/>
      <x:c r="J165" s="46"/>
      <x:c r="K165" s="46"/>
      <x:c r="L165" s="46"/>
      <x:c r="M165" s="46"/>
      <x:c r="N165" s="46"/>
      <x:c r="O165" s="46"/>
      <x:c r="P165" s="46"/>
      <x:c r="Q165" s="46"/>
      <x:c r="R165" s="46"/>
      <x:c r="S165" s="23"/>
      <x:c r="T165" s="23"/>
      <x:c r="U165" s="23"/>
      <x:c r="V165" s="23"/>
      <x:c r="W165" s="23"/>
      <x:c r="X165" s="23"/>
      <x:c r="Y165" s="23"/>
      <x:c r="Z165" s="23"/>
    </x:row>
    <x:row r="166">
      <x:c r="A166" s="46"/>
      <x:c r="B166" s="46"/>
      <x:c r="C166" s="46"/>
      <x:c r="D166" s="46"/>
      <x:c r="E166" s="46"/>
      <x:c r="F166" s="46"/>
      <x:c r="G166" s="46"/>
      <x:c r="H166" s="46"/>
      <x:c r="I166" s="46"/>
      <x:c r="J166" s="46"/>
      <x:c r="K166" s="46"/>
      <x:c r="L166" s="46"/>
      <x:c r="M166" s="46"/>
      <x:c r="N166" s="46"/>
      <x:c r="O166" s="46"/>
      <x:c r="P166" s="46"/>
      <x:c r="Q166" s="46"/>
      <x:c r="R166" s="46"/>
      <x:c r="S166" s="23"/>
      <x:c r="T166" s="23"/>
      <x:c r="U166" s="23"/>
      <x:c r="V166" s="23"/>
      <x:c r="W166" s="23"/>
      <x:c r="X166" s="23"/>
      <x:c r="Y166" s="23"/>
      <x:c r="Z166" s="23"/>
    </x:row>
    <x:row r="167">
      <x:c r="A167" s="46"/>
      <x:c r="B167" s="46"/>
      <x:c r="C167" s="46"/>
      <x:c r="D167" s="46"/>
      <x:c r="E167" s="46"/>
      <x:c r="F167" s="46"/>
      <x:c r="G167" s="46"/>
      <x:c r="H167" s="46"/>
      <x:c r="I167" s="46"/>
      <x:c r="J167" s="46"/>
      <x:c r="K167" s="46"/>
      <x:c r="L167" s="46"/>
      <x:c r="M167" s="46"/>
      <x:c r="N167" s="46"/>
      <x:c r="O167" s="46"/>
      <x:c r="P167" s="46"/>
      <x:c r="Q167" s="46"/>
      <x:c r="R167" s="46"/>
      <x:c r="S167" s="23"/>
      <x:c r="T167" s="23"/>
      <x:c r="U167" s="23"/>
      <x:c r="V167" s="23"/>
      <x:c r="W167" s="23"/>
      <x:c r="X167" s="23"/>
      <x:c r="Y167" s="23"/>
      <x:c r="Z167" s="23"/>
    </x:row>
    <x:row r="168">
      <x:c r="A168" s="46"/>
      <x:c r="B168" s="46"/>
      <x:c r="C168" s="46"/>
      <x:c r="D168" s="46"/>
      <x:c r="E168" s="46"/>
      <x:c r="F168" s="46"/>
      <x:c r="G168" s="46"/>
      <x:c r="H168" s="46"/>
      <x:c r="I168" s="46"/>
      <x:c r="J168" s="46"/>
      <x:c r="K168" s="46"/>
      <x:c r="L168" s="46"/>
      <x:c r="M168" s="46"/>
      <x:c r="N168" s="46"/>
      <x:c r="O168" s="46"/>
      <x:c r="P168" s="46"/>
      <x:c r="Q168" s="46"/>
      <x:c r="R168" s="46"/>
      <x:c r="S168" s="23"/>
      <x:c r="T168" s="23"/>
      <x:c r="U168" s="23"/>
      <x:c r="V168" s="23"/>
      <x:c r="W168" s="23"/>
      <x:c r="X168" s="23"/>
      <x:c r="Y168" s="23"/>
      <x:c r="Z168" s="23"/>
    </x:row>
    <x:row r="169">
      <x:c r="A169" s="46"/>
      <x:c r="B169" s="46"/>
      <x:c r="C169" s="46"/>
      <x:c r="D169" s="46"/>
      <x:c r="E169" s="46"/>
      <x:c r="F169" s="46"/>
      <x:c r="G169" s="46"/>
      <x:c r="H169" s="46"/>
      <x:c r="I169" s="46"/>
      <x:c r="J169" s="46"/>
      <x:c r="K169" s="46"/>
      <x:c r="L169" s="46"/>
      <x:c r="M169" s="46"/>
      <x:c r="N169" s="46"/>
      <x:c r="O169" s="46"/>
      <x:c r="P169" s="46"/>
      <x:c r="Q169" s="46"/>
      <x:c r="R169" s="46"/>
      <x:c r="S169" s="23"/>
      <x:c r="T169" s="23"/>
      <x:c r="U169" s="23"/>
      <x:c r="V169" s="23"/>
      <x:c r="W169" s="23"/>
      <x:c r="X169" s="23"/>
      <x:c r="Y169" s="23"/>
      <x:c r="Z169" s="23"/>
    </x:row>
    <x:row r="170">
      <x:c r="A170" s="46"/>
      <x:c r="B170" s="46"/>
      <x:c r="C170" s="46"/>
      <x:c r="D170" s="46"/>
      <x:c r="E170" s="46"/>
      <x:c r="F170" s="46"/>
      <x:c r="G170" s="46"/>
      <x:c r="H170" s="46"/>
      <x:c r="I170" s="46"/>
      <x:c r="J170" s="46"/>
      <x:c r="K170" s="46"/>
      <x:c r="L170" s="46"/>
      <x:c r="M170" s="46"/>
      <x:c r="N170" s="46"/>
      <x:c r="O170" s="46"/>
      <x:c r="P170" s="46"/>
      <x:c r="Q170" s="46"/>
      <x:c r="R170" s="46"/>
      <x:c r="S170" s="23"/>
      <x:c r="T170" s="23"/>
      <x:c r="U170" s="23"/>
      <x:c r="V170" s="23"/>
      <x:c r="W170" s="23"/>
      <x:c r="X170" s="23"/>
      <x:c r="Y170" s="23"/>
      <x:c r="Z170" s="23"/>
    </x:row>
    <x:row r="171">
      <x:c r="A171" s="46"/>
      <x:c r="B171" s="46"/>
      <x:c r="C171" s="46"/>
      <x:c r="D171" s="46"/>
      <x:c r="E171" s="46"/>
      <x:c r="F171" s="46"/>
      <x:c r="G171" s="46"/>
      <x:c r="H171" s="46"/>
      <x:c r="I171" s="46"/>
      <x:c r="J171" s="46"/>
      <x:c r="K171" s="46"/>
      <x:c r="L171" s="46"/>
      <x:c r="M171" s="46"/>
      <x:c r="N171" s="46"/>
      <x:c r="O171" s="46"/>
      <x:c r="P171" s="46"/>
      <x:c r="Q171" s="46"/>
      <x:c r="R171" s="46"/>
      <x:c r="S171" s="23"/>
      <x:c r="T171" s="23"/>
      <x:c r="U171" s="23"/>
      <x:c r="V171" s="23"/>
      <x:c r="W171" s="23"/>
      <x:c r="X171" s="23"/>
      <x:c r="Y171" s="23"/>
      <x:c r="Z171" s="23"/>
    </x:row>
    <x:row r="172">
      <x:c r="A172" s="46"/>
      <x:c r="B172" s="46"/>
      <x:c r="C172" s="46"/>
      <x:c r="D172" s="46"/>
      <x:c r="E172" s="46"/>
      <x:c r="F172" s="46"/>
      <x:c r="G172" s="46"/>
      <x:c r="H172" s="46"/>
      <x:c r="I172" s="46"/>
      <x:c r="J172" s="46"/>
      <x:c r="K172" s="46"/>
      <x:c r="L172" s="46"/>
      <x:c r="M172" s="46"/>
      <x:c r="N172" s="46"/>
      <x:c r="O172" s="46"/>
      <x:c r="P172" s="46"/>
      <x:c r="Q172" s="46"/>
      <x:c r="R172" s="46"/>
      <x:c r="S172" s="23"/>
      <x:c r="T172" s="23"/>
      <x:c r="U172" s="23"/>
      <x:c r="V172" s="23"/>
      <x:c r="W172" s="23"/>
      <x:c r="X172" s="23"/>
      <x:c r="Y172" s="23"/>
      <x:c r="Z172" s="23"/>
    </x:row>
    <x:row r="173">
      <x:c r="A173" s="46"/>
      <x:c r="B173" s="46"/>
      <x:c r="C173" s="46"/>
      <x:c r="D173" s="46"/>
      <x:c r="E173" s="46"/>
      <x:c r="F173" s="46"/>
      <x:c r="G173" s="46"/>
      <x:c r="H173" s="46"/>
      <x:c r="I173" s="46"/>
      <x:c r="J173" s="46"/>
      <x:c r="K173" s="46"/>
      <x:c r="L173" s="46"/>
      <x:c r="M173" s="46"/>
      <x:c r="N173" s="46"/>
      <x:c r="O173" s="46"/>
      <x:c r="P173" s="46"/>
      <x:c r="Q173" s="46"/>
      <x:c r="R173" s="46"/>
      <x:c r="S173" s="23"/>
      <x:c r="T173" s="23"/>
      <x:c r="U173" s="23"/>
      <x:c r="V173" s="23"/>
      <x:c r="W173" s="23"/>
      <x:c r="X173" s="23"/>
      <x:c r="Y173" s="23"/>
      <x:c r="Z173" s="23"/>
    </x:row>
    <x:row r="174">
      <x:c r="A174" s="46"/>
      <x:c r="B174" s="46"/>
      <x:c r="C174" s="46"/>
      <x:c r="D174" s="46"/>
      <x:c r="E174" s="46"/>
      <x:c r="F174" s="46"/>
      <x:c r="G174" s="46"/>
      <x:c r="H174" s="46"/>
      <x:c r="I174" s="46"/>
      <x:c r="J174" s="46"/>
      <x:c r="K174" s="46"/>
      <x:c r="L174" s="46"/>
      <x:c r="M174" s="46"/>
      <x:c r="N174" s="46"/>
      <x:c r="O174" s="46"/>
      <x:c r="P174" s="46"/>
      <x:c r="Q174" s="46"/>
      <x:c r="R174" s="46"/>
      <x:c r="S174" s="23"/>
      <x:c r="T174" s="23"/>
      <x:c r="U174" s="23"/>
      <x:c r="V174" s="23"/>
      <x:c r="W174" s="23"/>
      <x:c r="X174" s="23"/>
      <x:c r="Y174" s="23"/>
      <x:c r="Z174" s="23"/>
    </x:row>
    <x:row r="175">
      <x:c r="A175" s="46"/>
      <x:c r="B175" s="46"/>
      <x:c r="C175" s="46"/>
      <x:c r="D175" s="46"/>
      <x:c r="E175" s="46"/>
      <x:c r="F175" s="46"/>
      <x:c r="G175" s="46"/>
      <x:c r="H175" s="46"/>
      <x:c r="I175" s="46"/>
      <x:c r="J175" s="46"/>
      <x:c r="K175" s="46"/>
      <x:c r="L175" s="46"/>
      <x:c r="M175" s="46"/>
      <x:c r="N175" s="46"/>
      <x:c r="O175" s="46"/>
      <x:c r="P175" s="46"/>
      <x:c r="Q175" s="46"/>
      <x:c r="R175" s="46"/>
      <x:c r="S175" s="23"/>
      <x:c r="T175" s="23"/>
      <x:c r="U175" s="23"/>
      <x:c r="V175" s="23"/>
      <x:c r="W175" s="23"/>
      <x:c r="X175" s="23"/>
      <x:c r="Y175" s="23"/>
      <x:c r="Z175" s="23"/>
    </x:row>
    <x:row r="176">
      <x:c r="A176" s="46"/>
      <x:c r="B176" s="46"/>
      <x:c r="C176" s="46"/>
      <x:c r="D176" s="46"/>
      <x:c r="E176" s="46"/>
      <x:c r="F176" s="46"/>
      <x:c r="G176" s="46"/>
      <x:c r="H176" s="46"/>
      <x:c r="I176" s="46"/>
      <x:c r="J176" s="46"/>
      <x:c r="K176" s="46"/>
      <x:c r="L176" s="46"/>
      <x:c r="M176" s="46"/>
      <x:c r="N176" s="46"/>
      <x:c r="O176" s="46"/>
      <x:c r="P176" s="46"/>
      <x:c r="Q176" s="46"/>
      <x:c r="R176" s="46"/>
      <x:c r="S176" s="23"/>
      <x:c r="T176" s="23"/>
      <x:c r="U176" s="23"/>
      <x:c r="V176" s="23"/>
      <x:c r="W176" s="23"/>
      <x:c r="X176" s="23"/>
      <x:c r="Y176" s="23"/>
      <x:c r="Z176" s="23"/>
    </x:row>
    <x:row r="177">
      <x:c r="A177" s="46"/>
      <x:c r="B177" s="46"/>
      <x:c r="C177" s="46"/>
      <x:c r="D177" s="46"/>
      <x:c r="E177" s="46"/>
      <x:c r="F177" s="46"/>
      <x:c r="G177" s="46"/>
      <x:c r="H177" s="46"/>
      <x:c r="I177" s="46"/>
      <x:c r="J177" s="46"/>
      <x:c r="K177" s="46"/>
      <x:c r="L177" s="46"/>
      <x:c r="M177" s="46"/>
      <x:c r="N177" s="46"/>
      <x:c r="O177" s="46"/>
      <x:c r="P177" s="46"/>
      <x:c r="Q177" s="46"/>
      <x:c r="R177" s="46"/>
      <x:c r="S177" s="23"/>
      <x:c r="T177" s="23"/>
      <x:c r="U177" s="23"/>
      <x:c r="V177" s="23"/>
      <x:c r="W177" s="23"/>
      <x:c r="X177" s="23"/>
      <x:c r="Y177" s="23"/>
      <x:c r="Z177" s="23"/>
    </x:row>
    <x:row r="178">
      <x:c r="A178" s="46"/>
      <x:c r="B178" s="46"/>
      <x:c r="C178" s="46"/>
      <x:c r="D178" s="46"/>
      <x:c r="E178" s="46"/>
      <x:c r="F178" s="46"/>
      <x:c r="G178" s="46"/>
      <x:c r="H178" s="46"/>
      <x:c r="I178" s="46"/>
      <x:c r="J178" s="46"/>
      <x:c r="K178" s="46"/>
      <x:c r="L178" s="46"/>
      <x:c r="M178" s="46"/>
      <x:c r="N178" s="46"/>
      <x:c r="O178" s="46"/>
      <x:c r="P178" s="46"/>
      <x:c r="Q178" s="46"/>
      <x:c r="R178" s="46"/>
      <x:c r="S178" s="23"/>
      <x:c r="T178" s="23"/>
      <x:c r="U178" s="23"/>
      <x:c r="V178" s="23"/>
      <x:c r="W178" s="23"/>
      <x:c r="X178" s="23"/>
      <x:c r="Y178" s="23"/>
      <x:c r="Z178" s="23"/>
    </x:row>
    <x:row r="179">
      <x:c r="A179" s="46"/>
      <x:c r="B179" s="46"/>
      <x:c r="C179" s="46"/>
      <x:c r="D179" s="46"/>
      <x:c r="E179" s="46"/>
      <x:c r="F179" s="46"/>
      <x:c r="G179" s="46"/>
      <x:c r="H179" s="46"/>
      <x:c r="I179" s="46"/>
      <x:c r="J179" s="46"/>
      <x:c r="K179" s="46"/>
      <x:c r="L179" s="46"/>
      <x:c r="M179" s="46"/>
      <x:c r="N179" s="46"/>
      <x:c r="O179" s="46"/>
      <x:c r="P179" s="46"/>
      <x:c r="Q179" s="46"/>
      <x:c r="R179" s="46"/>
      <x:c r="S179" s="23"/>
      <x:c r="T179" s="23"/>
      <x:c r="U179" s="23"/>
      <x:c r="V179" s="23"/>
      <x:c r="W179" s="23"/>
      <x:c r="X179" s="23"/>
      <x:c r="Y179" s="23"/>
      <x:c r="Z179" s="23"/>
    </x:row>
    <x:row r="180">
      <x:c r="A180" s="46"/>
      <x:c r="B180" s="46"/>
      <x:c r="C180" s="46"/>
      <x:c r="D180" s="46"/>
      <x:c r="E180" s="46"/>
      <x:c r="F180" s="46"/>
      <x:c r="G180" s="46"/>
      <x:c r="H180" s="46"/>
      <x:c r="I180" s="46"/>
      <x:c r="J180" s="46"/>
      <x:c r="K180" s="46"/>
      <x:c r="L180" s="46"/>
      <x:c r="M180" s="46"/>
      <x:c r="N180" s="46"/>
      <x:c r="O180" s="46"/>
      <x:c r="P180" s="46"/>
      <x:c r="Q180" s="46"/>
      <x:c r="R180" s="46"/>
      <x:c r="S180" s="23"/>
      <x:c r="T180" s="23"/>
      <x:c r="U180" s="23"/>
      <x:c r="V180" s="23"/>
      <x:c r="W180" s="23"/>
      <x:c r="X180" s="23"/>
      <x:c r="Y180" s="23"/>
      <x:c r="Z180" s="23"/>
    </x:row>
    <x:row r="181">
      <x:c r="A181" s="46"/>
      <x:c r="B181" s="46"/>
      <x:c r="C181" s="46"/>
      <x:c r="D181" s="46"/>
      <x:c r="E181" s="46"/>
      <x:c r="F181" s="46"/>
      <x:c r="G181" s="46"/>
      <x:c r="H181" s="46"/>
      <x:c r="I181" s="46"/>
      <x:c r="J181" s="46"/>
      <x:c r="K181" s="46"/>
      <x:c r="L181" s="46"/>
      <x:c r="M181" s="46"/>
      <x:c r="N181" s="46"/>
      <x:c r="O181" s="46"/>
      <x:c r="P181" s="46"/>
      <x:c r="Q181" s="46"/>
      <x:c r="R181" s="46"/>
      <x:c r="S181" s="23"/>
      <x:c r="T181" s="23"/>
      <x:c r="U181" s="23"/>
      <x:c r="V181" s="23"/>
      <x:c r="W181" s="23"/>
      <x:c r="X181" s="23"/>
      <x:c r="Y181" s="23"/>
      <x:c r="Z181" s="23"/>
    </x:row>
    <x:row r="182">
      <x:c r="A182" s="46"/>
      <x:c r="B182" s="46"/>
      <x:c r="C182" s="46"/>
      <x:c r="D182" s="46"/>
      <x:c r="E182" s="46"/>
      <x:c r="F182" s="46"/>
      <x:c r="G182" s="46"/>
      <x:c r="H182" s="46"/>
      <x:c r="I182" s="46"/>
      <x:c r="J182" s="46"/>
      <x:c r="K182" s="46"/>
      <x:c r="L182" s="46"/>
      <x:c r="M182" s="46"/>
      <x:c r="N182" s="46"/>
      <x:c r="O182" s="46"/>
      <x:c r="P182" s="46"/>
      <x:c r="Q182" s="46"/>
      <x:c r="R182" s="46"/>
      <x:c r="S182" s="23"/>
      <x:c r="T182" s="23"/>
      <x:c r="U182" s="23"/>
      <x:c r="V182" s="23"/>
      <x:c r="W182" s="23"/>
      <x:c r="X182" s="23"/>
      <x:c r="Y182" s="23"/>
      <x:c r="Z182" s="23"/>
    </x:row>
    <x:row r="183">
      <x:c r="A183" s="46"/>
      <x:c r="B183" s="46"/>
      <x:c r="C183" s="46"/>
      <x:c r="D183" s="46"/>
      <x:c r="E183" s="46"/>
      <x:c r="F183" s="46"/>
      <x:c r="G183" s="46"/>
      <x:c r="H183" s="46"/>
      <x:c r="I183" s="46"/>
      <x:c r="J183" s="46"/>
      <x:c r="K183" s="46"/>
      <x:c r="L183" s="46"/>
      <x:c r="M183" s="46"/>
      <x:c r="N183" s="46"/>
      <x:c r="O183" s="46"/>
      <x:c r="P183" s="46"/>
      <x:c r="Q183" s="46"/>
      <x:c r="R183" s="46"/>
      <x:c r="S183" s="23"/>
      <x:c r="T183" s="23"/>
      <x:c r="U183" s="23"/>
      <x:c r="V183" s="23"/>
      <x:c r="W183" s="23"/>
      <x:c r="X183" s="23"/>
      <x:c r="Y183" s="23"/>
      <x:c r="Z183" s="23"/>
    </x:row>
    <x:row r="184">
      <x:c r="A184" s="46"/>
      <x:c r="B184" s="46"/>
      <x:c r="C184" s="46"/>
      <x:c r="D184" s="46"/>
      <x:c r="E184" s="46"/>
      <x:c r="F184" s="46"/>
      <x:c r="G184" s="46"/>
      <x:c r="H184" s="46"/>
      <x:c r="I184" s="46"/>
      <x:c r="J184" s="46"/>
      <x:c r="K184" s="46"/>
      <x:c r="L184" s="46"/>
      <x:c r="M184" s="46"/>
      <x:c r="N184" s="46"/>
      <x:c r="O184" s="46"/>
      <x:c r="P184" s="46"/>
      <x:c r="Q184" s="46"/>
      <x:c r="R184" s="46"/>
      <x:c r="S184" s="23"/>
      <x:c r="T184" s="23"/>
      <x:c r="U184" s="23"/>
      <x:c r="V184" s="23"/>
      <x:c r="W184" s="23"/>
      <x:c r="X184" s="23"/>
      <x:c r="Y184" s="23"/>
      <x:c r="Z184" s="23"/>
    </x:row>
    <x:row r="185">
      <x:c r="A185" s="46"/>
      <x:c r="B185" s="46"/>
      <x:c r="C185" s="46"/>
      <x:c r="D185" s="46"/>
      <x:c r="E185" s="46"/>
      <x:c r="F185" s="46"/>
      <x:c r="G185" s="46"/>
      <x:c r="H185" s="46"/>
      <x:c r="I185" s="46"/>
      <x:c r="J185" s="46"/>
      <x:c r="K185" s="46"/>
      <x:c r="L185" s="46"/>
      <x:c r="M185" s="46"/>
      <x:c r="N185" s="46"/>
      <x:c r="O185" s="46"/>
      <x:c r="P185" s="46"/>
      <x:c r="Q185" s="46"/>
      <x:c r="R185" s="46"/>
      <x:c r="S185" s="23"/>
      <x:c r="T185" s="23"/>
      <x:c r="U185" s="23"/>
      <x:c r="V185" s="23"/>
      <x:c r="W185" s="23"/>
      <x:c r="X185" s="23"/>
      <x:c r="Y185" s="23"/>
      <x:c r="Z185" s="23"/>
    </x:row>
    <x:row r="186">
      <x:c r="A186" s="46"/>
      <x:c r="B186" s="46"/>
      <x:c r="C186" s="46"/>
      <x:c r="D186" s="46"/>
      <x:c r="E186" s="46"/>
      <x:c r="F186" s="46"/>
      <x:c r="G186" s="46"/>
      <x:c r="H186" s="46"/>
      <x:c r="I186" s="46"/>
      <x:c r="J186" s="46"/>
      <x:c r="K186" s="46"/>
      <x:c r="L186" s="46"/>
      <x:c r="M186" s="46"/>
      <x:c r="N186" s="46"/>
      <x:c r="O186" s="46"/>
      <x:c r="P186" s="46"/>
      <x:c r="Q186" s="46"/>
      <x:c r="R186" s="46"/>
      <x:c r="S186" s="23"/>
      <x:c r="T186" s="23"/>
      <x:c r="U186" s="23"/>
      <x:c r="V186" s="23"/>
      <x:c r="W186" s="23"/>
      <x:c r="X186" s="23"/>
      <x:c r="Y186" s="23"/>
      <x:c r="Z186" s="23"/>
    </x:row>
    <x:row r="187">
      <x:c r="A187" s="46"/>
      <x:c r="B187" s="46"/>
      <x:c r="C187" s="46"/>
      <x:c r="D187" s="46"/>
      <x:c r="E187" s="46"/>
      <x:c r="F187" s="46"/>
      <x:c r="G187" s="46"/>
      <x:c r="H187" s="46"/>
      <x:c r="I187" s="46"/>
      <x:c r="J187" s="46"/>
      <x:c r="K187" s="46"/>
      <x:c r="L187" s="46"/>
      <x:c r="M187" s="46"/>
      <x:c r="N187" s="46"/>
      <x:c r="O187" s="46"/>
      <x:c r="P187" s="46"/>
      <x:c r="Q187" s="46"/>
      <x:c r="R187" s="46"/>
      <x:c r="S187" s="23"/>
      <x:c r="T187" s="23"/>
      <x:c r="U187" s="23"/>
      <x:c r="V187" s="23"/>
      <x:c r="W187" s="23"/>
      <x:c r="X187" s="23"/>
      <x:c r="Y187" s="23"/>
      <x:c r="Z187" s="23"/>
    </x:row>
    <x:row r="188">
      <x:c r="A188" s="46"/>
      <x:c r="B188" s="46"/>
      <x:c r="C188" s="46"/>
      <x:c r="D188" s="46"/>
      <x:c r="E188" s="46"/>
      <x:c r="F188" s="46"/>
      <x:c r="G188" s="46"/>
      <x:c r="H188" s="46"/>
      <x:c r="I188" s="46"/>
      <x:c r="J188" s="46"/>
      <x:c r="K188" s="46"/>
      <x:c r="L188" s="46"/>
      <x:c r="M188" s="46"/>
      <x:c r="N188" s="46"/>
      <x:c r="O188" s="46"/>
      <x:c r="P188" s="46"/>
      <x:c r="Q188" s="46"/>
      <x:c r="R188" s="46"/>
      <x:c r="S188" s="23"/>
      <x:c r="T188" s="23"/>
      <x:c r="U188" s="23"/>
      <x:c r="V188" s="23"/>
      <x:c r="W188" s="23"/>
      <x:c r="X188" s="23"/>
      <x:c r="Y188" s="23"/>
      <x:c r="Z188" s="23"/>
    </x:row>
    <x:row r="189">
      <x:c r="A189" s="46"/>
      <x:c r="B189" s="46"/>
      <x:c r="C189" s="46"/>
      <x:c r="D189" s="46"/>
      <x:c r="E189" s="46"/>
      <x:c r="F189" s="46"/>
      <x:c r="G189" s="46"/>
      <x:c r="H189" s="46"/>
      <x:c r="I189" s="46"/>
      <x:c r="J189" s="46"/>
      <x:c r="K189" s="46"/>
      <x:c r="L189" s="46"/>
      <x:c r="M189" s="46"/>
      <x:c r="N189" s="46"/>
      <x:c r="O189" s="46"/>
      <x:c r="P189" s="46"/>
      <x:c r="Q189" s="46"/>
      <x:c r="R189" s="46"/>
      <x:c r="S189" s="23"/>
      <x:c r="T189" s="23"/>
      <x:c r="U189" s="23"/>
      <x:c r="V189" s="23"/>
      <x:c r="W189" s="23"/>
      <x:c r="X189" s="23"/>
      <x:c r="Y189" s="23"/>
      <x:c r="Z189" s="23"/>
    </x:row>
    <x:row r="190">
      <x:c r="A190" s="46"/>
      <x:c r="B190" s="46"/>
      <x:c r="C190" s="46"/>
      <x:c r="D190" s="46"/>
      <x:c r="E190" s="46"/>
      <x:c r="F190" s="46"/>
      <x:c r="G190" s="46"/>
      <x:c r="H190" s="46"/>
      <x:c r="I190" s="46"/>
      <x:c r="J190" s="46"/>
      <x:c r="K190" s="46"/>
      <x:c r="L190" s="46"/>
      <x:c r="M190" s="46"/>
      <x:c r="N190" s="46"/>
      <x:c r="O190" s="46"/>
      <x:c r="P190" s="46"/>
      <x:c r="Q190" s="46"/>
      <x:c r="R190" s="46"/>
      <x:c r="S190" s="23"/>
      <x:c r="T190" s="23"/>
      <x:c r="U190" s="23"/>
      <x:c r="V190" s="23"/>
      <x:c r="W190" s="23"/>
      <x:c r="X190" s="23"/>
      <x:c r="Y190" s="23"/>
      <x:c r="Z190" s="23"/>
    </x:row>
    <x:row r="191">
      <x:c r="A191" s="46"/>
      <x:c r="B191" s="46"/>
      <x:c r="C191" s="46"/>
      <x:c r="D191" s="46"/>
      <x:c r="E191" s="46"/>
      <x:c r="F191" s="46"/>
      <x:c r="G191" s="46"/>
      <x:c r="H191" s="46"/>
      <x:c r="I191" s="46"/>
      <x:c r="J191" s="46"/>
      <x:c r="K191" s="46"/>
      <x:c r="L191" s="46"/>
      <x:c r="M191" s="46"/>
      <x:c r="N191" s="46"/>
      <x:c r="O191" s="46"/>
      <x:c r="P191" s="46"/>
      <x:c r="Q191" s="46"/>
      <x:c r="R191" s="46"/>
      <x:c r="S191" s="23"/>
      <x:c r="T191" s="23"/>
      <x:c r="U191" s="23"/>
      <x:c r="V191" s="23"/>
      <x:c r="W191" s="23"/>
      <x:c r="X191" s="23"/>
      <x:c r="Y191" s="23"/>
      <x:c r="Z191" s="23"/>
    </x:row>
    <x:row r="192">
      <x:c r="A192" s="46"/>
      <x:c r="B192" s="46"/>
      <x:c r="C192" s="46"/>
      <x:c r="D192" s="46"/>
      <x:c r="E192" s="46"/>
      <x:c r="F192" s="46"/>
      <x:c r="G192" s="46"/>
      <x:c r="H192" s="46"/>
      <x:c r="I192" s="46"/>
      <x:c r="J192" s="46"/>
      <x:c r="K192" s="46"/>
      <x:c r="L192" s="46"/>
      <x:c r="M192" s="46"/>
      <x:c r="N192" s="46"/>
      <x:c r="O192" s="46"/>
      <x:c r="P192" s="46"/>
      <x:c r="Q192" s="46"/>
      <x:c r="R192" s="46"/>
      <x:c r="S192" s="23"/>
      <x:c r="T192" s="23"/>
      <x:c r="U192" s="23"/>
      <x:c r="V192" s="23"/>
      <x:c r="W192" s="23"/>
      <x:c r="X192" s="23"/>
      <x:c r="Y192" s="23"/>
      <x:c r="Z192" s="23"/>
    </x:row>
    <x:row r="193">
      <x:c r="A193" s="46"/>
      <x:c r="B193" s="46"/>
      <x:c r="C193" s="46"/>
      <x:c r="D193" s="46"/>
      <x:c r="E193" s="46"/>
      <x:c r="F193" s="46"/>
      <x:c r="G193" s="46"/>
      <x:c r="H193" s="46"/>
      <x:c r="I193" s="46"/>
      <x:c r="J193" s="46"/>
      <x:c r="K193" s="46"/>
      <x:c r="L193" s="46"/>
      <x:c r="M193" s="46"/>
      <x:c r="N193" s="46"/>
      <x:c r="O193" s="46"/>
      <x:c r="P193" s="46"/>
      <x:c r="Q193" s="46"/>
      <x:c r="R193" s="46"/>
      <x:c r="S193" s="23"/>
      <x:c r="T193" s="23"/>
      <x:c r="U193" s="23"/>
      <x:c r="V193" s="23"/>
      <x:c r="W193" s="23"/>
      <x:c r="X193" s="23"/>
      <x:c r="Y193" s="23"/>
      <x:c r="Z193" s="23"/>
    </x:row>
    <x:row r="194">
      <x:c r="A194" s="46"/>
      <x:c r="B194" s="46"/>
      <x:c r="C194" s="46"/>
      <x:c r="D194" s="46"/>
      <x:c r="E194" s="46"/>
      <x:c r="F194" s="46"/>
      <x:c r="G194" s="46"/>
      <x:c r="H194" s="46"/>
      <x:c r="I194" s="46"/>
      <x:c r="J194" s="46"/>
      <x:c r="K194" s="46"/>
      <x:c r="L194" s="46"/>
      <x:c r="M194" s="46"/>
      <x:c r="N194" s="46"/>
      <x:c r="O194" s="46"/>
      <x:c r="P194" s="46"/>
      <x:c r="Q194" s="46"/>
      <x:c r="R194" s="46"/>
      <x:c r="S194" s="23"/>
      <x:c r="T194" s="23"/>
      <x:c r="U194" s="23"/>
      <x:c r="V194" s="23"/>
      <x:c r="W194" s="23"/>
      <x:c r="X194" s="23"/>
      <x:c r="Y194" s="23"/>
      <x:c r="Z194" s="23"/>
    </x:row>
    <x:row r="195">
      <x:c r="A195" s="46"/>
      <x:c r="B195" s="46"/>
      <x:c r="C195" s="46"/>
      <x:c r="D195" s="46"/>
      <x:c r="E195" s="46"/>
      <x:c r="F195" s="46"/>
      <x:c r="G195" s="46"/>
      <x:c r="H195" s="46"/>
      <x:c r="I195" s="46"/>
      <x:c r="J195" s="46"/>
      <x:c r="K195" s="46"/>
      <x:c r="L195" s="46"/>
      <x:c r="M195" s="46"/>
      <x:c r="N195" s="46"/>
      <x:c r="O195" s="46"/>
      <x:c r="P195" s="46"/>
      <x:c r="Q195" s="46"/>
      <x:c r="R195" s="46"/>
      <x:c r="S195" s="23"/>
      <x:c r="T195" s="23"/>
      <x:c r="U195" s="23"/>
      <x:c r="V195" s="23"/>
      <x:c r="W195" s="23"/>
      <x:c r="X195" s="23"/>
      <x:c r="Y195" s="23"/>
      <x:c r="Z195" s="23"/>
    </x:row>
    <x:row r="196">
      <x:c r="A196" s="46"/>
      <x:c r="B196" s="46"/>
      <x:c r="C196" s="46"/>
      <x:c r="D196" s="46"/>
      <x:c r="E196" s="46"/>
      <x:c r="F196" s="46"/>
      <x:c r="G196" s="46"/>
      <x:c r="H196" s="46"/>
      <x:c r="I196" s="46"/>
      <x:c r="J196" s="46"/>
      <x:c r="K196" s="46"/>
      <x:c r="L196" s="46"/>
      <x:c r="M196" s="46"/>
      <x:c r="N196" s="46"/>
      <x:c r="O196" s="46"/>
      <x:c r="P196" s="46"/>
      <x:c r="Q196" s="46"/>
      <x:c r="R196" s="46"/>
      <x:c r="S196" s="23"/>
      <x:c r="T196" s="23"/>
      <x:c r="U196" s="23"/>
      <x:c r="V196" s="23"/>
      <x:c r="W196" s="23"/>
      <x:c r="X196" s="23"/>
      <x:c r="Y196" s="23"/>
      <x:c r="Z196" s="23"/>
    </x:row>
    <x:row r="197">
      <x:c r="A197" s="46"/>
      <x:c r="B197" s="46"/>
      <x:c r="C197" s="46"/>
      <x:c r="D197" s="46"/>
      <x:c r="E197" s="46"/>
      <x:c r="F197" s="46"/>
      <x:c r="G197" s="46"/>
      <x:c r="H197" s="46"/>
      <x:c r="I197" s="46"/>
      <x:c r="J197" s="46"/>
      <x:c r="K197" s="46"/>
      <x:c r="L197" s="46"/>
      <x:c r="M197" s="46"/>
      <x:c r="N197" s="46"/>
      <x:c r="O197" s="46"/>
      <x:c r="P197" s="46"/>
      <x:c r="Q197" s="46"/>
      <x:c r="R197" s="46"/>
      <x:c r="S197" s="23"/>
      <x:c r="T197" s="23"/>
      <x:c r="U197" s="23"/>
      <x:c r="V197" s="23"/>
      <x:c r="W197" s="23"/>
      <x:c r="X197" s="23"/>
      <x:c r="Y197" s="23"/>
      <x:c r="Z197" s="23"/>
    </x:row>
    <x:row r="198">
      <x:c r="A198" s="46"/>
      <x:c r="B198" s="46"/>
      <x:c r="C198" s="46"/>
      <x:c r="D198" s="46"/>
      <x:c r="E198" s="46"/>
      <x:c r="F198" s="46"/>
      <x:c r="G198" s="46"/>
      <x:c r="H198" s="46"/>
      <x:c r="I198" s="46"/>
      <x:c r="J198" s="46"/>
      <x:c r="K198" s="46"/>
      <x:c r="L198" s="46"/>
      <x:c r="M198" s="46"/>
      <x:c r="N198" s="46"/>
      <x:c r="O198" s="46"/>
      <x:c r="P198" s="46"/>
      <x:c r="Q198" s="46"/>
      <x:c r="R198" s="46"/>
      <x:c r="S198" s="23"/>
      <x:c r="T198" s="23"/>
      <x:c r="U198" s="23"/>
      <x:c r="V198" s="23"/>
      <x:c r="W198" s="23"/>
      <x:c r="X198" s="23"/>
      <x:c r="Y198" s="23"/>
      <x:c r="Z198" s="23"/>
    </x:row>
    <x:row r="199">
      <x:c r="A199" s="46"/>
      <x:c r="B199" s="46"/>
      <x:c r="C199" s="46"/>
      <x:c r="D199" s="46"/>
      <x:c r="E199" s="46"/>
      <x:c r="F199" s="46"/>
      <x:c r="G199" s="46"/>
      <x:c r="H199" s="46"/>
      <x:c r="I199" s="46"/>
      <x:c r="J199" s="46"/>
      <x:c r="K199" s="46"/>
      <x:c r="L199" s="46"/>
      <x:c r="M199" s="46"/>
      <x:c r="N199" s="46"/>
      <x:c r="O199" s="46"/>
      <x:c r="P199" s="46"/>
      <x:c r="Q199" s="46"/>
      <x:c r="R199" s="46"/>
      <x:c r="S199" s="23"/>
      <x:c r="T199" s="23"/>
      <x:c r="U199" s="23"/>
      <x:c r="V199" s="23"/>
      <x:c r="W199" s="23"/>
      <x:c r="X199" s="23"/>
      <x:c r="Y199" s="23"/>
      <x:c r="Z199" s="23"/>
    </x:row>
    <x:row r="200">
      <x:c r="A200" s="46"/>
      <x:c r="B200" s="46"/>
      <x:c r="C200" s="46"/>
      <x:c r="D200" s="46"/>
      <x:c r="E200" s="46"/>
      <x:c r="F200" s="46"/>
      <x:c r="G200" s="46"/>
      <x:c r="H200" s="46"/>
      <x:c r="I200" s="46"/>
      <x:c r="J200" s="46"/>
      <x:c r="K200" s="46"/>
      <x:c r="L200" s="46"/>
      <x:c r="M200" s="46"/>
      <x:c r="N200" s="46"/>
      <x:c r="O200" s="46"/>
      <x:c r="P200" s="46"/>
      <x:c r="Q200" s="46"/>
      <x:c r="R200" s="46"/>
      <x:c r="S200" s="23"/>
      <x:c r="T200" s="23"/>
      <x:c r="U200" s="23"/>
      <x:c r="V200" s="23"/>
      <x:c r="W200" s="23"/>
      <x:c r="X200" s="23"/>
      <x:c r="Y200" s="23"/>
      <x:c r="Z200" s="23"/>
    </x:row>
    <x:row r="201">
      <x:c r="A201" s="46"/>
      <x:c r="B201" s="46"/>
      <x:c r="C201" s="46"/>
      <x:c r="D201" s="46"/>
      <x:c r="E201" s="46"/>
      <x:c r="F201" s="46"/>
      <x:c r="G201" s="46"/>
      <x:c r="H201" s="46"/>
      <x:c r="I201" s="46"/>
      <x:c r="J201" s="46"/>
      <x:c r="K201" s="46"/>
      <x:c r="L201" s="46"/>
      <x:c r="M201" s="46"/>
      <x:c r="N201" s="46"/>
      <x:c r="O201" s="46"/>
      <x:c r="P201" s="46"/>
      <x:c r="Q201" s="46"/>
      <x:c r="R201" s="46"/>
      <x:c r="S201" s="23"/>
      <x:c r="T201" s="23"/>
      <x:c r="U201" s="23"/>
      <x:c r="V201" s="23"/>
      <x:c r="W201" s="23"/>
      <x:c r="X201" s="23"/>
      <x:c r="Y201" s="23"/>
      <x:c r="Z201" s="23"/>
    </x:row>
    <x:row r="202">
      <x:c r="A202" s="46"/>
      <x:c r="B202" s="46"/>
      <x:c r="C202" s="46"/>
      <x:c r="D202" s="46"/>
      <x:c r="E202" s="46"/>
      <x:c r="F202" s="46"/>
      <x:c r="G202" s="46"/>
      <x:c r="H202" s="46"/>
      <x:c r="I202" s="46"/>
      <x:c r="J202" s="46"/>
      <x:c r="K202" s="46"/>
      <x:c r="L202" s="46"/>
      <x:c r="M202" s="46"/>
      <x:c r="N202" s="46"/>
      <x:c r="O202" s="46"/>
      <x:c r="P202" s="46"/>
      <x:c r="Q202" s="46"/>
      <x:c r="R202" s="46"/>
      <x:c r="S202" s="23"/>
      <x:c r="T202" s="23"/>
      <x:c r="U202" s="23"/>
      <x:c r="V202" s="23"/>
      <x:c r="W202" s="23"/>
      <x:c r="X202" s="23"/>
      <x:c r="Y202" s="23"/>
      <x:c r="Z202" s="23"/>
    </x:row>
    <x:row r="203">
      <x:c r="A203" s="46"/>
      <x:c r="B203" s="46"/>
      <x:c r="C203" s="46"/>
      <x:c r="D203" s="46"/>
      <x:c r="E203" s="46"/>
      <x:c r="F203" s="46"/>
      <x:c r="G203" s="46"/>
      <x:c r="H203" s="46"/>
      <x:c r="I203" s="46"/>
      <x:c r="J203" s="46"/>
      <x:c r="K203" s="46"/>
      <x:c r="L203" s="46"/>
      <x:c r="M203" s="46"/>
      <x:c r="N203" s="46"/>
      <x:c r="O203" s="46"/>
      <x:c r="P203" s="46"/>
      <x:c r="Q203" s="46"/>
      <x:c r="R203" s="46"/>
      <x:c r="S203" s="23"/>
      <x:c r="T203" s="23"/>
      <x:c r="U203" s="23"/>
      <x:c r="V203" s="23"/>
      <x:c r="W203" s="23"/>
      <x:c r="X203" s="23"/>
      <x:c r="Y203" s="23"/>
      <x:c r="Z203" s="23"/>
    </x:row>
    <x:row r="204">
      <x:c r="A204" s="46"/>
      <x:c r="B204" s="46"/>
      <x:c r="C204" s="46"/>
      <x:c r="D204" s="46"/>
      <x:c r="E204" s="46"/>
      <x:c r="F204" s="46"/>
      <x:c r="G204" s="46"/>
      <x:c r="H204" s="46"/>
      <x:c r="I204" s="46"/>
      <x:c r="J204" s="46"/>
      <x:c r="K204" s="46"/>
      <x:c r="L204" s="46"/>
      <x:c r="M204" s="46"/>
      <x:c r="N204" s="46"/>
      <x:c r="O204" s="46"/>
      <x:c r="P204" s="46"/>
      <x:c r="Q204" s="46"/>
      <x:c r="R204" s="46"/>
      <x:c r="S204" s="23"/>
      <x:c r="T204" s="23"/>
      <x:c r="U204" s="23"/>
      <x:c r="V204" s="23"/>
      <x:c r="W204" s="23"/>
      <x:c r="X204" s="23"/>
      <x:c r="Y204" s="23"/>
      <x:c r="Z204" s="23"/>
    </x:row>
    <x:row r="205">
      <x:c r="A205" s="46"/>
      <x:c r="B205" s="46"/>
      <x:c r="C205" s="46"/>
      <x:c r="D205" s="46"/>
      <x:c r="E205" s="46"/>
      <x:c r="F205" s="46"/>
      <x:c r="G205" s="46"/>
      <x:c r="H205" s="46"/>
      <x:c r="I205" s="46"/>
      <x:c r="J205" s="46"/>
      <x:c r="K205" s="46"/>
      <x:c r="L205" s="46"/>
      <x:c r="M205" s="46"/>
      <x:c r="N205" s="46"/>
      <x:c r="O205" s="46"/>
      <x:c r="P205" s="46"/>
      <x:c r="Q205" s="46"/>
      <x:c r="R205" s="46"/>
      <x:c r="S205" s="23"/>
      <x:c r="T205" s="23"/>
      <x:c r="U205" s="23"/>
      <x:c r="V205" s="23"/>
      <x:c r="W205" s="23"/>
      <x:c r="X205" s="23"/>
      <x:c r="Y205" s="23"/>
      <x:c r="Z205" s="23"/>
    </x:row>
    <x:row r="206">
      <x:c r="A206" s="46"/>
      <x:c r="B206" s="46"/>
      <x:c r="C206" s="46"/>
      <x:c r="D206" s="46"/>
      <x:c r="E206" s="46"/>
      <x:c r="F206" s="46"/>
      <x:c r="G206" s="46"/>
      <x:c r="H206" s="46"/>
      <x:c r="I206" s="46"/>
      <x:c r="J206" s="46"/>
      <x:c r="K206" s="46"/>
      <x:c r="L206" s="46"/>
      <x:c r="M206" s="46"/>
      <x:c r="N206" s="46"/>
      <x:c r="O206" s="46"/>
      <x:c r="P206" s="46"/>
      <x:c r="Q206" s="46"/>
      <x:c r="R206" s="46"/>
      <x:c r="S206" s="23"/>
      <x:c r="T206" s="23"/>
      <x:c r="U206" s="23"/>
      <x:c r="V206" s="23"/>
      <x:c r="W206" s="23"/>
      <x:c r="X206" s="23"/>
      <x:c r="Y206" s="23"/>
      <x:c r="Z206" s="23"/>
    </x:row>
    <x:row r="207">
      <x:c r="A207" s="46"/>
      <x:c r="B207" s="46"/>
      <x:c r="C207" s="46"/>
      <x:c r="D207" s="46"/>
      <x:c r="E207" s="46"/>
      <x:c r="F207" s="46"/>
      <x:c r="G207" s="46"/>
      <x:c r="H207" s="46"/>
      <x:c r="I207" s="46"/>
      <x:c r="J207" s="46"/>
      <x:c r="K207" s="46"/>
      <x:c r="L207" s="46"/>
      <x:c r="M207" s="46"/>
      <x:c r="N207" s="46"/>
      <x:c r="O207" s="46"/>
      <x:c r="P207" s="46"/>
      <x:c r="Q207" s="46"/>
      <x:c r="R207" s="46"/>
      <x:c r="S207" s="23"/>
      <x:c r="T207" s="23"/>
      <x:c r="U207" s="23"/>
      <x:c r="V207" s="23"/>
      <x:c r="W207" s="23"/>
      <x:c r="X207" s="23"/>
      <x:c r="Y207" s="23"/>
      <x:c r="Z207" s="23"/>
    </x:row>
    <x:row r="208">
      <x:c r="A208" s="46"/>
      <x:c r="B208" s="46"/>
      <x:c r="C208" s="46"/>
      <x:c r="D208" s="46"/>
      <x:c r="E208" s="46"/>
      <x:c r="F208" s="46"/>
      <x:c r="G208" s="46"/>
      <x:c r="H208" s="46"/>
      <x:c r="I208" s="46"/>
      <x:c r="J208" s="46"/>
      <x:c r="K208" s="46"/>
      <x:c r="L208" s="46"/>
      <x:c r="M208" s="46"/>
      <x:c r="N208" s="46"/>
      <x:c r="O208" s="46"/>
      <x:c r="P208" s="46"/>
      <x:c r="Q208" s="46"/>
      <x:c r="R208" s="46"/>
      <x:c r="S208" s="23"/>
      <x:c r="T208" s="23"/>
      <x:c r="U208" s="23"/>
      <x:c r="V208" s="23"/>
      <x:c r="W208" s="23"/>
      <x:c r="X208" s="23"/>
      <x:c r="Y208" s="23"/>
      <x:c r="Z208" s="23"/>
    </x:row>
    <x:row r="209">
      <x:c r="A209" s="46"/>
      <x:c r="B209" s="46"/>
      <x:c r="C209" s="46"/>
      <x:c r="D209" s="46"/>
      <x:c r="E209" s="46"/>
      <x:c r="F209" s="46"/>
      <x:c r="G209" s="46"/>
      <x:c r="H209" s="46"/>
      <x:c r="I209" s="46"/>
      <x:c r="J209" s="46"/>
      <x:c r="K209" s="46"/>
      <x:c r="L209" s="46"/>
      <x:c r="M209" s="46"/>
      <x:c r="N209" s="46"/>
      <x:c r="O209" s="46"/>
      <x:c r="P209" s="46"/>
      <x:c r="Q209" s="46"/>
      <x:c r="R209" s="46"/>
      <x:c r="S209" s="23"/>
      <x:c r="T209" s="23"/>
      <x:c r="U209" s="23"/>
      <x:c r="V209" s="23"/>
      <x:c r="W209" s="23"/>
      <x:c r="X209" s="23"/>
      <x:c r="Y209" s="23"/>
      <x:c r="Z209" s="23"/>
    </x:row>
    <x:row r="210">
      <x:c r="A210" s="46"/>
      <x:c r="B210" s="46"/>
      <x:c r="C210" s="46"/>
      <x:c r="D210" s="46"/>
      <x:c r="E210" s="46"/>
      <x:c r="F210" s="46"/>
      <x:c r="G210" s="46"/>
      <x:c r="H210" s="46"/>
      <x:c r="I210" s="46"/>
      <x:c r="J210" s="46"/>
      <x:c r="K210" s="46"/>
      <x:c r="L210" s="46"/>
      <x:c r="M210" s="46"/>
      <x:c r="N210" s="46"/>
      <x:c r="O210" s="46"/>
      <x:c r="P210" s="46"/>
      <x:c r="Q210" s="46"/>
      <x:c r="R210" s="46"/>
      <x:c r="S210" s="23"/>
      <x:c r="T210" s="23"/>
      <x:c r="U210" s="23"/>
      <x:c r="V210" s="23"/>
      <x:c r="W210" s="23"/>
      <x:c r="X210" s="23"/>
      <x:c r="Y210" s="23"/>
      <x:c r="Z210" s="23"/>
    </x:row>
    <x:row r="211">
      <x:c r="A211" s="46"/>
      <x:c r="B211" s="46"/>
      <x:c r="C211" s="46"/>
      <x:c r="D211" s="46"/>
      <x:c r="E211" s="46"/>
      <x:c r="F211" s="46"/>
      <x:c r="G211" s="46"/>
      <x:c r="H211" s="46"/>
      <x:c r="I211" s="46"/>
      <x:c r="J211" s="46"/>
      <x:c r="K211" s="46"/>
      <x:c r="L211" s="46"/>
      <x:c r="M211" s="46"/>
      <x:c r="N211" s="46"/>
      <x:c r="O211" s="46"/>
      <x:c r="P211" s="46"/>
      <x:c r="Q211" s="46"/>
      <x:c r="R211" s="46"/>
      <x:c r="S211" s="23"/>
      <x:c r="T211" s="23"/>
      <x:c r="U211" s="23"/>
      <x:c r="V211" s="23"/>
      <x:c r="W211" s="23"/>
      <x:c r="X211" s="23"/>
      <x:c r="Y211" s="23"/>
      <x:c r="Z211" s="23"/>
    </x:row>
    <x:row r="212">
      <x:c r="A212" s="46"/>
      <x:c r="B212" s="46"/>
      <x:c r="C212" s="46"/>
      <x:c r="D212" s="46"/>
      <x:c r="E212" s="46"/>
      <x:c r="F212" s="46"/>
      <x:c r="G212" s="46"/>
      <x:c r="H212" s="46"/>
      <x:c r="I212" s="46"/>
      <x:c r="J212" s="46"/>
      <x:c r="K212" s="46"/>
      <x:c r="L212" s="46"/>
      <x:c r="M212" s="46"/>
      <x:c r="N212" s="46"/>
      <x:c r="O212" s="46"/>
      <x:c r="P212" s="46"/>
      <x:c r="Q212" s="46"/>
      <x:c r="R212" s="46"/>
      <x:c r="S212" s="23"/>
      <x:c r="T212" s="23"/>
      <x:c r="U212" s="23"/>
      <x:c r="V212" s="23"/>
      <x:c r="W212" s="23"/>
      <x:c r="X212" s="23"/>
      <x:c r="Y212" s="23"/>
      <x:c r="Z212" s="23"/>
    </x:row>
    <x:row r="213">
      <x:c r="A213" s="46"/>
      <x:c r="B213" s="46"/>
      <x:c r="C213" s="46"/>
      <x:c r="D213" s="46"/>
      <x:c r="E213" s="46"/>
      <x:c r="F213" s="46"/>
      <x:c r="G213" s="46"/>
      <x:c r="H213" s="46"/>
      <x:c r="I213" s="46"/>
      <x:c r="J213" s="46"/>
      <x:c r="K213" s="46"/>
      <x:c r="L213" s="46"/>
      <x:c r="M213" s="46"/>
      <x:c r="N213" s="46"/>
      <x:c r="O213" s="46"/>
      <x:c r="P213" s="46"/>
      <x:c r="Q213" s="46"/>
      <x:c r="R213" s="46"/>
      <x:c r="S213" s="23"/>
      <x:c r="T213" s="23"/>
      <x:c r="U213" s="23"/>
      <x:c r="V213" s="23"/>
      <x:c r="W213" s="23"/>
      <x:c r="X213" s="23"/>
      <x:c r="Y213" s="23"/>
      <x:c r="Z213" s="23"/>
    </x:row>
    <x:row r="214">
      <x:c r="A214" s="46"/>
      <x:c r="B214" s="46"/>
      <x:c r="C214" s="46"/>
      <x:c r="D214" s="46"/>
      <x:c r="E214" s="46"/>
      <x:c r="F214" s="46"/>
      <x:c r="G214" s="46"/>
      <x:c r="H214" s="46"/>
      <x:c r="I214" s="46"/>
      <x:c r="J214" s="46"/>
      <x:c r="K214" s="46"/>
      <x:c r="L214" s="46"/>
      <x:c r="M214" s="46"/>
      <x:c r="N214" s="46"/>
      <x:c r="O214" s="46"/>
      <x:c r="P214" s="46"/>
      <x:c r="Q214" s="46"/>
      <x:c r="R214" s="46"/>
      <x:c r="S214" s="23"/>
      <x:c r="T214" s="23"/>
      <x:c r="U214" s="23"/>
      <x:c r="V214" s="23"/>
      <x:c r="W214" s="23"/>
      <x:c r="X214" s="23"/>
      <x:c r="Y214" s="23"/>
      <x:c r="Z214" s="23"/>
    </x:row>
    <x:row r="215">
      <x:c r="A215" s="46"/>
      <x:c r="B215" s="46"/>
      <x:c r="C215" s="46"/>
      <x:c r="D215" s="46"/>
      <x:c r="E215" s="46"/>
      <x:c r="F215" s="46"/>
      <x:c r="G215" s="46"/>
      <x:c r="H215" s="46"/>
      <x:c r="I215" s="46"/>
      <x:c r="J215" s="46"/>
      <x:c r="K215" s="46"/>
      <x:c r="L215" s="46"/>
      <x:c r="M215" s="46"/>
      <x:c r="N215" s="46"/>
      <x:c r="O215" s="46"/>
      <x:c r="P215" s="46"/>
      <x:c r="Q215" s="46"/>
      <x:c r="R215" s="46"/>
      <x:c r="S215" s="23"/>
      <x:c r="T215" s="23"/>
      <x:c r="U215" s="23"/>
      <x:c r="V215" s="23"/>
      <x:c r="W215" s="23"/>
      <x:c r="X215" s="23"/>
      <x:c r="Y215" s="23"/>
      <x:c r="Z215" s="23"/>
    </x:row>
    <x:row r="216">
      <x:c r="A216" s="46"/>
      <x:c r="B216" s="46"/>
      <x:c r="C216" s="46"/>
      <x:c r="D216" s="46"/>
      <x:c r="E216" s="46"/>
      <x:c r="F216" s="46"/>
      <x:c r="G216" s="46"/>
      <x:c r="H216" s="46"/>
      <x:c r="I216" s="46"/>
      <x:c r="J216" s="46"/>
      <x:c r="K216" s="46"/>
      <x:c r="L216" s="46"/>
      <x:c r="M216" s="46"/>
      <x:c r="N216" s="46"/>
      <x:c r="O216" s="46"/>
      <x:c r="P216" s="46"/>
      <x:c r="Q216" s="46"/>
      <x:c r="R216" s="46"/>
      <x:c r="S216" s="23"/>
      <x:c r="T216" s="23"/>
      <x:c r="U216" s="23"/>
      <x:c r="V216" s="23"/>
      <x:c r="W216" s="23"/>
      <x:c r="X216" s="23"/>
      <x:c r="Y216" s="23"/>
      <x:c r="Z216" s="23"/>
    </x:row>
    <x:row r="217">
      <x:c r="A217" s="46"/>
      <x:c r="B217" s="46"/>
      <x:c r="C217" s="46"/>
      <x:c r="D217" s="46"/>
      <x:c r="E217" s="46"/>
      <x:c r="F217" s="46"/>
      <x:c r="G217" s="46"/>
      <x:c r="H217" s="46"/>
      <x:c r="I217" s="46"/>
      <x:c r="J217" s="46"/>
      <x:c r="K217" s="46"/>
      <x:c r="L217" s="46"/>
      <x:c r="M217" s="46"/>
      <x:c r="N217" s="46"/>
      <x:c r="O217" s="46"/>
      <x:c r="P217" s="46"/>
      <x:c r="Q217" s="46"/>
      <x:c r="R217" s="46"/>
      <x:c r="S217" s="23"/>
      <x:c r="T217" s="23"/>
      <x:c r="U217" s="23"/>
      <x:c r="V217" s="23"/>
      <x:c r="W217" s="23"/>
      <x:c r="X217" s="23"/>
      <x:c r="Y217" s="23"/>
      <x:c r="Z217" s="23"/>
    </x:row>
    <x:row r="218">
      <x:c r="A218" s="46"/>
      <x:c r="B218" s="46"/>
      <x:c r="C218" s="46"/>
      <x:c r="D218" s="46"/>
      <x:c r="E218" s="46"/>
      <x:c r="F218" s="46"/>
      <x:c r="G218" s="46"/>
      <x:c r="H218" s="46"/>
      <x:c r="I218" s="46"/>
      <x:c r="J218" s="46"/>
      <x:c r="K218" s="46"/>
      <x:c r="L218" s="46"/>
      <x:c r="M218" s="46"/>
      <x:c r="N218" s="46"/>
      <x:c r="O218" s="46"/>
      <x:c r="P218" s="46"/>
      <x:c r="Q218" s="46"/>
      <x:c r="R218" s="46"/>
      <x:c r="S218" s="23"/>
      <x:c r="T218" s="23"/>
      <x:c r="U218" s="23"/>
      <x:c r="V218" s="23"/>
      <x:c r="W218" s="23"/>
      <x:c r="X218" s="23"/>
      <x:c r="Y218" s="23"/>
      <x:c r="Z218" s="23"/>
    </x:row>
    <x:row r="219">
      <x:c r="A219" s="46"/>
      <x:c r="B219" s="46"/>
      <x:c r="C219" s="46"/>
      <x:c r="D219" s="46"/>
      <x:c r="E219" s="46"/>
      <x:c r="F219" s="46"/>
      <x:c r="G219" s="46"/>
      <x:c r="H219" s="46"/>
      <x:c r="I219" s="46"/>
      <x:c r="J219" s="46"/>
      <x:c r="K219" s="46"/>
      <x:c r="L219" s="46"/>
      <x:c r="M219" s="46"/>
      <x:c r="N219" s="46"/>
      <x:c r="O219" s="46"/>
      <x:c r="P219" s="46"/>
      <x:c r="Q219" s="46"/>
      <x:c r="R219" s="46"/>
      <x:c r="S219" s="23"/>
      <x:c r="T219" s="23"/>
      <x:c r="U219" s="23"/>
      <x:c r="V219" s="23"/>
      <x:c r="W219" s="23"/>
      <x:c r="X219" s="23"/>
      <x:c r="Y219" s="23"/>
      <x:c r="Z219" s="23"/>
    </x:row>
    <x:row r="220">
      <x:c r="A220" s="46"/>
      <x:c r="B220" s="46"/>
      <x:c r="C220" s="46"/>
      <x:c r="D220" s="46"/>
      <x:c r="E220" s="46"/>
      <x:c r="F220" s="46"/>
      <x:c r="G220" s="46"/>
      <x:c r="H220" s="46"/>
      <x:c r="I220" s="46"/>
      <x:c r="J220" s="46"/>
      <x:c r="K220" s="46"/>
      <x:c r="L220" s="46"/>
      <x:c r="M220" s="46"/>
      <x:c r="N220" s="46"/>
      <x:c r="O220" s="46"/>
      <x:c r="P220" s="46"/>
      <x:c r="Q220" s="46"/>
      <x:c r="R220" s="46"/>
      <x:c r="S220" s="23"/>
      <x:c r="T220" s="23"/>
      <x:c r="U220" s="23"/>
      <x:c r="V220" s="23"/>
      <x:c r="W220" s="23"/>
      <x:c r="X220" s="23"/>
      <x:c r="Y220" s="23"/>
      <x:c r="Z220" s="23"/>
    </x:row>
    <x:row r="221">
      <x:c r="A221" s="46"/>
      <x:c r="B221" s="46"/>
      <x:c r="C221" s="46"/>
      <x:c r="D221" s="46"/>
      <x:c r="E221" s="46"/>
      <x:c r="F221" s="46"/>
      <x:c r="G221" s="46"/>
      <x:c r="H221" s="46"/>
      <x:c r="I221" s="46"/>
      <x:c r="J221" s="46"/>
      <x:c r="K221" s="46"/>
      <x:c r="L221" s="46"/>
      <x:c r="M221" s="46"/>
      <x:c r="N221" s="46"/>
      <x:c r="O221" s="46"/>
      <x:c r="P221" s="46"/>
      <x:c r="Q221" s="46"/>
      <x:c r="R221" s="46"/>
      <x:c r="S221" s="23"/>
      <x:c r="T221" s="23"/>
      <x:c r="U221" s="23"/>
      <x:c r="V221" s="23"/>
      <x:c r="W221" s="23"/>
      <x:c r="X221" s="23"/>
      <x:c r="Y221" s="23"/>
      <x:c r="Z221" s="23"/>
    </x:row>
    <x:row r="222">
      <x:c r="A222" s="46"/>
      <x:c r="B222" s="46"/>
      <x:c r="C222" s="46"/>
      <x:c r="D222" s="46"/>
      <x:c r="E222" s="46"/>
      <x:c r="F222" s="46"/>
      <x:c r="G222" s="46"/>
      <x:c r="H222" s="46"/>
      <x:c r="I222" s="46"/>
      <x:c r="J222" s="46"/>
      <x:c r="K222" s="46"/>
      <x:c r="L222" s="46"/>
      <x:c r="M222" s="46"/>
      <x:c r="N222" s="46"/>
      <x:c r="O222" s="46"/>
      <x:c r="P222" s="46"/>
      <x:c r="Q222" s="46"/>
      <x:c r="R222" s="46"/>
      <x:c r="S222" s="23"/>
      <x:c r="T222" s="23"/>
      <x:c r="U222" s="23"/>
      <x:c r="V222" s="23"/>
      <x:c r="W222" s="23"/>
      <x:c r="X222" s="23"/>
      <x:c r="Y222" s="23"/>
      <x:c r="Z222" s="23"/>
    </x:row>
    <x:row r="223">
      <x:c r="A223" s="46"/>
      <x:c r="B223" s="46"/>
      <x:c r="C223" s="46"/>
      <x:c r="D223" s="46"/>
      <x:c r="E223" s="46"/>
      <x:c r="F223" s="46"/>
      <x:c r="G223" s="46"/>
      <x:c r="H223" s="46"/>
      <x:c r="I223" s="46"/>
      <x:c r="J223" s="46"/>
      <x:c r="K223" s="46"/>
      <x:c r="L223" s="46"/>
      <x:c r="M223" s="46"/>
      <x:c r="N223" s="46"/>
      <x:c r="O223" s="46"/>
      <x:c r="P223" s="46"/>
      <x:c r="Q223" s="46"/>
      <x:c r="R223" s="46"/>
      <x:c r="S223" s="23"/>
      <x:c r="T223" s="23"/>
      <x:c r="U223" s="23"/>
      <x:c r="V223" s="23"/>
      <x:c r="W223" s="23"/>
      <x:c r="X223" s="23"/>
      <x:c r="Y223" s="23"/>
      <x:c r="Z223" s="23"/>
    </x:row>
    <x:row r="224">
      <x:c r="A224" s="46"/>
      <x:c r="B224" s="46"/>
      <x:c r="C224" s="46"/>
      <x:c r="D224" s="46"/>
      <x:c r="E224" s="46"/>
      <x:c r="F224" s="46"/>
      <x:c r="G224" s="46"/>
      <x:c r="H224" s="46"/>
      <x:c r="I224" s="46"/>
      <x:c r="J224" s="46"/>
      <x:c r="K224" s="46"/>
      <x:c r="L224" s="46"/>
      <x:c r="M224" s="46"/>
      <x:c r="N224" s="46"/>
      <x:c r="O224" s="46"/>
      <x:c r="P224" s="46"/>
      <x:c r="Q224" s="46"/>
      <x:c r="R224" s="46"/>
      <x:c r="S224" s="23"/>
      <x:c r="T224" s="23"/>
      <x:c r="U224" s="23"/>
      <x:c r="V224" s="23"/>
      <x:c r="W224" s="23"/>
      <x:c r="X224" s="23"/>
      <x:c r="Y224" s="23"/>
      <x:c r="Z224" s="23"/>
    </x:row>
    <x:row r="225">
      <x:c r="A225" s="46"/>
      <x:c r="B225" s="46"/>
      <x:c r="C225" s="46"/>
      <x:c r="D225" s="46"/>
      <x:c r="E225" s="46"/>
      <x:c r="F225" s="46"/>
      <x:c r="G225" s="46"/>
      <x:c r="H225" s="46"/>
      <x:c r="I225" s="46"/>
      <x:c r="J225" s="46"/>
      <x:c r="K225" s="46"/>
      <x:c r="L225" s="46"/>
      <x:c r="M225" s="46"/>
      <x:c r="N225" s="46"/>
      <x:c r="O225" s="46"/>
      <x:c r="P225" s="46"/>
      <x:c r="Q225" s="46"/>
      <x:c r="R225" s="46"/>
      <x:c r="S225" s="23"/>
      <x:c r="T225" s="23"/>
      <x:c r="U225" s="23"/>
      <x:c r="V225" s="23"/>
      <x:c r="W225" s="23"/>
      <x:c r="X225" s="23"/>
      <x:c r="Y225" s="23"/>
      <x:c r="Z225" s="23"/>
    </x:row>
    <x:row r="226">
      <x:c r="A226" s="46"/>
      <x:c r="B226" s="46"/>
      <x:c r="C226" s="46"/>
      <x:c r="D226" s="46"/>
      <x:c r="E226" s="46"/>
      <x:c r="F226" s="46"/>
      <x:c r="G226" s="46"/>
      <x:c r="H226" s="46"/>
      <x:c r="I226" s="46"/>
      <x:c r="J226" s="46"/>
      <x:c r="K226" s="46"/>
      <x:c r="L226" s="46"/>
      <x:c r="M226" s="46"/>
      <x:c r="N226" s="46"/>
      <x:c r="O226" s="46"/>
      <x:c r="P226" s="46"/>
      <x:c r="Q226" s="46"/>
      <x:c r="R226" s="46"/>
      <x:c r="S226" s="23"/>
      <x:c r="T226" s="23"/>
      <x:c r="U226" s="23"/>
      <x:c r="V226" s="23"/>
      <x:c r="W226" s="23"/>
      <x:c r="X226" s="23"/>
      <x:c r="Y226" s="23"/>
      <x:c r="Z226" s="23"/>
    </x:row>
    <x:row r="227">
      <x:c r="A227" s="46"/>
      <x:c r="B227" s="46"/>
      <x:c r="C227" s="46"/>
      <x:c r="D227" s="46"/>
      <x:c r="E227" s="46"/>
      <x:c r="F227" s="46"/>
      <x:c r="G227" s="46"/>
      <x:c r="H227" s="46"/>
      <x:c r="I227" s="46"/>
      <x:c r="J227" s="46"/>
      <x:c r="K227" s="46"/>
      <x:c r="L227" s="46"/>
      <x:c r="M227" s="46"/>
      <x:c r="N227" s="46"/>
      <x:c r="O227" s="46"/>
      <x:c r="P227" s="46"/>
      <x:c r="Q227" s="46"/>
      <x:c r="R227" s="46"/>
      <x:c r="S227" s="23"/>
      <x:c r="T227" s="23"/>
      <x:c r="U227" s="23"/>
      <x:c r="V227" s="23"/>
      <x:c r="W227" s="23"/>
      <x:c r="X227" s="23"/>
      <x:c r="Y227" s="23"/>
      <x:c r="Z227" s="23"/>
    </x:row>
    <x:row r="228">
      <x:c r="A228" s="46"/>
      <x:c r="B228" s="46"/>
      <x:c r="C228" s="46"/>
      <x:c r="D228" s="46"/>
      <x:c r="E228" s="46"/>
      <x:c r="F228" s="46"/>
      <x:c r="G228" s="46"/>
      <x:c r="H228" s="46"/>
      <x:c r="I228" s="46"/>
      <x:c r="J228" s="46"/>
      <x:c r="K228" s="46"/>
      <x:c r="L228" s="46"/>
      <x:c r="M228" s="46"/>
      <x:c r="N228" s="46"/>
      <x:c r="O228" s="46"/>
      <x:c r="P228" s="46"/>
      <x:c r="Q228" s="46"/>
      <x:c r="R228" s="46"/>
      <x:c r="S228" s="23"/>
      <x:c r="T228" s="23"/>
      <x:c r="U228" s="23"/>
      <x:c r="V228" s="23"/>
      <x:c r="W228" s="23"/>
      <x:c r="X228" s="23"/>
      <x:c r="Y228" s="23"/>
      <x:c r="Z228" s="23"/>
    </x:row>
    <x:row r="229">
      <x:c r="A229" s="46"/>
      <x:c r="B229" s="46"/>
      <x:c r="C229" s="46"/>
      <x:c r="D229" s="46"/>
      <x:c r="E229" s="46"/>
      <x:c r="F229" s="46"/>
      <x:c r="G229" s="46"/>
      <x:c r="H229" s="46"/>
      <x:c r="I229" s="46"/>
      <x:c r="J229" s="46"/>
      <x:c r="K229" s="46"/>
      <x:c r="L229" s="46"/>
      <x:c r="M229" s="46"/>
      <x:c r="N229" s="46"/>
      <x:c r="O229" s="46"/>
      <x:c r="P229" s="46"/>
      <x:c r="Q229" s="46"/>
      <x:c r="R229" s="46"/>
      <x:c r="S229" s="23"/>
      <x:c r="T229" s="23"/>
      <x:c r="U229" s="23"/>
      <x:c r="V229" s="23"/>
      <x:c r="W229" s="23"/>
      <x:c r="X229" s="23"/>
      <x:c r="Y229" s="23"/>
      <x:c r="Z229" s="23"/>
    </x:row>
    <x:row r="230">
      <x:c r="A230" s="46"/>
      <x:c r="B230" s="46"/>
      <x:c r="C230" s="46"/>
      <x:c r="D230" s="46"/>
      <x:c r="E230" s="46"/>
      <x:c r="F230" s="46"/>
      <x:c r="G230" s="46"/>
      <x:c r="H230" s="46"/>
      <x:c r="I230" s="46"/>
      <x:c r="J230" s="46"/>
      <x:c r="K230" s="46"/>
      <x:c r="L230" s="46"/>
      <x:c r="M230" s="46"/>
      <x:c r="N230" s="46"/>
      <x:c r="O230" s="46"/>
      <x:c r="P230" s="46"/>
      <x:c r="Q230" s="46"/>
      <x:c r="R230" s="46"/>
      <x:c r="S230" s="23"/>
      <x:c r="T230" s="23"/>
      <x:c r="U230" s="23"/>
      <x:c r="V230" s="23"/>
      <x:c r="W230" s="23"/>
      <x:c r="X230" s="23"/>
      <x:c r="Y230" s="23"/>
      <x:c r="Z230" s="23"/>
    </x:row>
    <x:row r="231">
      <x:c r="A231" s="46"/>
      <x:c r="B231" s="46"/>
      <x:c r="C231" s="46"/>
      <x:c r="D231" s="46"/>
      <x:c r="E231" s="46"/>
      <x:c r="F231" s="46"/>
      <x:c r="G231" s="46"/>
      <x:c r="H231" s="46"/>
      <x:c r="I231" s="46"/>
      <x:c r="J231" s="46"/>
      <x:c r="K231" s="46"/>
      <x:c r="L231" s="46"/>
      <x:c r="M231" s="46"/>
      <x:c r="N231" s="46"/>
      <x:c r="O231" s="46"/>
      <x:c r="P231" s="46"/>
      <x:c r="Q231" s="46"/>
      <x:c r="R231" s="46"/>
      <x:c r="S231" s="23"/>
      <x:c r="T231" s="23"/>
      <x:c r="U231" s="23"/>
      <x:c r="V231" s="23"/>
      <x:c r="W231" s="23"/>
      <x:c r="X231" s="23"/>
      <x:c r="Y231" s="23"/>
      <x:c r="Z231" s="23"/>
    </x:row>
    <x:row r="232">
      <x:c r="A232" s="46"/>
      <x:c r="B232" s="46"/>
      <x:c r="C232" s="46"/>
      <x:c r="D232" s="46"/>
      <x:c r="E232" s="46"/>
      <x:c r="F232" s="46"/>
      <x:c r="G232" s="46"/>
      <x:c r="H232" s="46"/>
      <x:c r="I232" s="46"/>
      <x:c r="J232" s="46"/>
      <x:c r="K232" s="46"/>
      <x:c r="L232" s="46"/>
      <x:c r="M232" s="46"/>
      <x:c r="N232" s="46"/>
      <x:c r="O232" s="46"/>
      <x:c r="P232" s="46"/>
      <x:c r="Q232" s="46"/>
      <x:c r="R232" s="46"/>
      <x:c r="S232" s="23"/>
      <x:c r="T232" s="23"/>
      <x:c r="U232" s="23"/>
      <x:c r="V232" s="23"/>
      <x:c r="W232" s="23"/>
      <x:c r="X232" s="23"/>
      <x:c r="Y232" s="23"/>
      <x:c r="Z232" s="23"/>
    </x:row>
    <x:row r="233">
      <x:c r="A233" s="46"/>
      <x:c r="B233" s="46"/>
      <x:c r="C233" s="46"/>
      <x:c r="D233" s="46"/>
      <x:c r="E233" s="46"/>
      <x:c r="F233" s="46"/>
      <x:c r="G233" s="46"/>
      <x:c r="H233" s="46"/>
      <x:c r="I233" s="46"/>
      <x:c r="J233" s="46"/>
      <x:c r="K233" s="46"/>
      <x:c r="L233" s="46"/>
      <x:c r="M233" s="46"/>
      <x:c r="N233" s="46"/>
      <x:c r="O233" s="46"/>
      <x:c r="P233" s="46"/>
      <x:c r="Q233" s="46"/>
      <x:c r="R233" s="46"/>
      <x:c r="S233" s="23"/>
      <x:c r="T233" s="23"/>
      <x:c r="U233" s="23"/>
      <x:c r="V233" s="23"/>
      <x:c r="W233" s="23"/>
      <x:c r="X233" s="23"/>
      <x:c r="Y233" s="23"/>
      <x:c r="Z233" s="23"/>
    </x:row>
    <x:row r="234">
      <x:c r="A234" s="46"/>
      <x:c r="B234" s="46"/>
      <x:c r="C234" s="46"/>
      <x:c r="D234" s="46"/>
      <x:c r="E234" s="46"/>
      <x:c r="F234" s="46"/>
      <x:c r="G234" s="46"/>
      <x:c r="H234" s="46"/>
      <x:c r="I234" s="46"/>
      <x:c r="J234" s="46"/>
      <x:c r="K234" s="46"/>
      <x:c r="L234" s="46"/>
      <x:c r="M234" s="46"/>
      <x:c r="N234" s="46"/>
      <x:c r="O234" s="46"/>
      <x:c r="P234" s="46"/>
      <x:c r="Q234" s="46"/>
      <x:c r="R234" s="46"/>
      <x:c r="S234" s="23"/>
      <x:c r="T234" s="23"/>
      <x:c r="U234" s="23"/>
      <x:c r="V234" s="23"/>
      <x:c r="W234" s="23"/>
      <x:c r="X234" s="23"/>
      <x:c r="Y234" s="23"/>
      <x:c r="Z234" s="23"/>
    </x:row>
    <x:row r="235">
      <x:c r="A235" s="46"/>
      <x:c r="B235" s="46"/>
      <x:c r="C235" s="46"/>
      <x:c r="D235" s="46"/>
      <x:c r="E235" s="46"/>
      <x:c r="F235" s="46"/>
      <x:c r="G235" s="46"/>
      <x:c r="H235" s="46"/>
      <x:c r="I235" s="46"/>
      <x:c r="J235" s="46"/>
      <x:c r="K235" s="46"/>
      <x:c r="L235" s="46"/>
      <x:c r="M235" s="46"/>
      <x:c r="N235" s="46"/>
      <x:c r="O235" s="46"/>
      <x:c r="P235" s="46"/>
      <x:c r="Q235" s="46"/>
      <x:c r="R235" s="46"/>
      <x:c r="S235" s="23"/>
      <x:c r="T235" s="23"/>
      <x:c r="U235" s="23"/>
      <x:c r="V235" s="23"/>
      <x:c r="W235" s="23"/>
      <x:c r="X235" s="23"/>
      <x:c r="Y235" s="23"/>
      <x:c r="Z235" s="23"/>
    </x:row>
    <x:row r="236">
      <x:c r="A236" s="46"/>
      <x:c r="B236" s="46"/>
      <x:c r="C236" s="46"/>
      <x:c r="D236" s="46"/>
      <x:c r="E236" s="46"/>
      <x:c r="F236" s="46"/>
      <x:c r="G236" s="46"/>
      <x:c r="H236" s="46"/>
      <x:c r="I236" s="46"/>
      <x:c r="J236" s="46"/>
      <x:c r="K236" s="46"/>
      <x:c r="L236" s="46"/>
      <x:c r="M236" s="46"/>
      <x:c r="N236" s="46"/>
      <x:c r="O236" s="46"/>
      <x:c r="P236" s="46"/>
      <x:c r="Q236" s="46"/>
      <x:c r="R236" s="46"/>
      <x:c r="S236" s="23"/>
      <x:c r="T236" s="23"/>
      <x:c r="U236" s="23"/>
      <x:c r="V236" s="23"/>
      <x:c r="W236" s="23"/>
      <x:c r="X236" s="23"/>
      <x:c r="Y236" s="23"/>
      <x:c r="Z236" s="23"/>
    </x:row>
    <x:row r="237">
      <x:c r="A237" s="46"/>
      <x:c r="B237" s="46"/>
      <x:c r="C237" s="46"/>
      <x:c r="D237" s="46"/>
      <x:c r="E237" s="46"/>
      <x:c r="F237" s="46"/>
      <x:c r="G237" s="46"/>
      <x:c r="H237" s="46"/>
      <x:c r="I237" s="46"/>
      <x:c r="J237" s="46"/>
      <x:c r="K237" s="46"/>
      <x:c r="L237" s="46"/>
      <x:c r="M237" s="46"/>
      <x:c r="N237" s="46"/>
      <x:c r="O237" s="46"/>
      <x:c r="P237" s="46"/>
      <x:c r="Q237" s="46"/>
      <x:c r="R237" s="46"/>
      <x:c r="S237" s="23"/>
      <x:c r="T237" s="23"/>
      <x:c r="U237" s="23"/>
      <x:c r="V237" s="23"/>
      <x:c r="W237" s="23"/>
      <x:c r="X237" s="23"/>
      <x:c r="Y237" s="23"/>
      <x:c r="Z237" s="23"/>
    </x:row>
    <x:row r="238">
      <x:c r="A238" s="46"/>
      <x:c r="B238" s="46"/>
      <x:c r="C238" s="46"/>
      <x:c r="D238" s="46"/>
      <x:c r="E238" s="46"/>
      <x:c r="F238" s="46"/>
      <x:c r="G238" s="46"/>
      <x:c r="H238" s="46"/>
      <x:c r="I238" s="46"/>
      <x:c r="J238" s="46"/>
      <x:c r="K238" s="46"/>
      <x:c r="L238" s="46"/>
      <x:c r="M238" s="46"/>
      <x:c r="N238" s="46"/>
      <x:c r="O238" s="46"/>
      <x:c r="P238" s="46"/>
      <x:c r="Q238" s="46"/>
      <x:c r="R238" s="46"/>
      <x:c r="S238" s="23"/>
      <x:c r="T238" s="23"/>
      <x:c r="U238" s="23"/>
      <x:c r="V238" s="23"/>
      <x:c r="W238" s="23"/>
      <x:c r="X238" s="23"/>
      <x:c r="Y238" s="23"/>
      <x:c r="Z238" s="23"/>
    </x:row>
    <x:row r="239">
      <x:c r="A239" s="46"/>
      <x:c r="B239" s="46"/>
      <x:c r="C239" s="46"/>
      <x:c r="D239" s="46"/>
      <x:c r="E239" s="46"/>
      <x:c r="F239" s="46"/>
      <x:c r="G239" s="46"/>
      <x:c r="H239" s="46"/>
      <x:c r="I239" s="46"/>
      <x:c r="J239" s="46"/>
      <x:c r="K239" s="46"/>
      <x:c r="L239" s="46"/>
      <x:c r="M239" s="46"/>
      <x:c r="N239" s="46"/>
      <x:c r="O239" s="46"/>
      <x:c r="P239" s="46"/>
      <x:c r="Q239" s="46"/>
      <x:c r="R239" s="46"/>
      <x:c r="S239" s="23"/>
      <x:c r="T239" s="23"/>
      <x:c r="U239" s="23"/>
      <x:c r="V239" s="23"/>
      <x:c r="W239" s="23"/>
      <x:c r="X239" s="23"/>
      <x:c r="Y239" s="23"/>
      <x:c r="Z239" s="23"/>
    </x:row>
    <x:row r="240">
      <x:c r="A240" s="46"/>
      <x:c r="B240" s="46"/>
      <x:c r="C240" s="46"/>
      <x:c r="D240" s="46"/>
      <x:c r="E240" s="46"/>
      <x:c r="F240" s="46"/>
      <x:c r="G240" s="46"/>
      <x:c r="H240" s="46"/>
      <x:c r="I240" s="46"/>
      <x:c r="J240" s="46"/>
      <x:c r="K240" s="46"/>
      <x:c r="L240" s="46"/>
      <x:c r="M240" s="46"/>
      <x:c r="N240" s="46"/>
      <x:c r="O240" s="46"/>
      <x:c r="P240" s="46"/>
      <x:c r="Q240" s="46"/>
      <x:c r="R240" s="46"/>
      <x:c r="S240" s="23"/>
      <x:c r="T240" s="23"/>
      <x:c r="U240" s="23"/>
      <x:c r="V240" s="23"/>
      <x:c r="W240" s="23"/>
      <x:c r="X240" s="23"/>
      <x:c r="Y240" s="23"/>
      <x:c r="Z240" s="23"/>
    </x:row>
    <x:row r="241">
      <x:c r="A241" s="46"/>
      <x:c r="B241" s="46"/>
      <x:c r="C241" s="46"/>
      <x:c r="D241" s="46"/>
      <x:c r="E241" s="46"/>
      <x:c r="F241" s="46"/>
      <x:c r="G241" s="46"/>
      <x:c r="H241" s="46"/>
      <x:c r="I241" s="46"/>
      <x:c r="J241" s="46"/>
      <x:c r="K241" s="46"/>
      <x:c r="L241" s="46"/>
      <x:c r="M241" s="46"/>
      <x:c r="N241" s="46"/>
      <x:c r="O241" s="46"/>
      <x:c r="P241" s="46"/>
      <x:c r="Q241" s="46"/>
      <x:c r="R241" s="46"/>
      <x:c r="S241" s="23"/>
      <x:c r="T241" s="23"/>
      <x:c r="U241" s="23"/>
      <x:c r="V241" s="23"/>
      <x:c r="W241" s="23"/>
      <x:c r="X241" s="23"/>
      <x:c r="Y241" s="23"/>
      <x:c r="Z241" s="23"/>
    </x:row>
    <x:row r="242">
      <x:c r="A242" s="46"/>
      <x:c r="B242" s="46"/>
      <x:c r="C242" s="46"/>
      <x:c r="D242" s="46"/>
      <x:c r="E242" s="46"/>
      <x:c r="F242" s="46"/>
      <x:c r="G242" s="46"/>
      <x:c r="H242" s="46"/>
      <x:c r="I242" s="46"/>
      <x:c r="J242" s="46"/>
      <x:c r="K242" s="46"/>
      <x:c r="L242" s="46"/>
      <x:c r="M242" s="46"/>
      <x:c r="N242" s="46"/>
      <x:c r="O242" s="46"/>
      <x:c r="P242" s="46"/>
      <x:c r="Q242" s="46"/>
      <x:c r="R242" s="46"/>
      <x:c r="S242" s="23"/>
      <x:c r="T242" s="23"/>
      <x:c r="U242" s="23"/>
      <x:c r="V242" s="23"/>
      <x:c r="W242" s="23"/>
      <x:c r="X242" s="23"/>
      <x:c r="Y242" s="23"/>
      <x:c r="Z242" s="23"/>
    </x:row>
    <x:row r="243">
      <x:c r="A243" s="46"/>
      <x:c r="B243" s="46"/>
      <x:c r="C243" s="46"/>
      <x:c r="D243" s="46"/>
      <x:c r="E243" s="46"/>
      <x:c r="F243" s="46"/>
      <x:c r="G243" s="46"/>
      <x:c r="H243" s="46"/>
      <x:c r="I243" s="46"/>
      <x:c r="J243" s="46"/>
      <x:c r="K243" s="46"/>
      <x:c r="L243" s="46"/>
      <x:c r="M243" s="46"/>
      <x:c r="N243" s="46"/>
      <x:c r="O243" s="46"/>
      <x:c r="P243" s="46"/>
      <x:c r="Q243" s="46"/>
      <x:c r="R243" s="46"/>
      <x:c r="S243" s="23"/>
      <x:c r="T243" s="23"/>
      <x:c r="U243" s="23"/>
      <x:c r="V243" s="23"/>
      <x:c r="W243" s="23"/>
      <x:c r="X243" s="23"/>
      <x:c r="Y243" s="23"/>
      <x:c r="Z243" s="23"/>
    </x:row>
    <x:row r="244">
      <x:c r="A244" s="46"/>
      <x:c r="B244" s="46"/>
      <x:c r="C244" s="46"/>
      <x:c r="D244" s="46"/>
      <x:c r="E244" s="46"/>
      <x:c r="F244" s="46"/>
      <x:c r="G244" s="46"/>
      <x:c r="H244" s="46"/>
      <x:c r="I244" s="46"/>
      <x:c r="J244" s="46"/>
      <x:c r="K244" s="46"/>
      <x:c r="L244" s="46"/>
      <x:c r="M244" s="46"/>
      <x:c r="N244" s="46"/>
      <x:c r="O244" s="46"/>
      <x:c r="P244" s="46"/>
      <x:c r="Q244" s="46"/>
      <x:c r="R244" s="46"/>
      <x:c r="S244" s="23"/>
      <x:c r="T244" s="23"/>
      <x:c r="U244" s="23"/>
      <x:c r="V244" s="23"/>
      <x:c r="W244" s="23"/>
      <x:c r="X244" s="23"/>
      <x:c r="Y244" s="23"/>
      <x:c r="Z244" s="23"/>
    </x:row>
    <x:row r="245">
      <x:c r="A245" s="46"/>
      <x:c r="B245" s="46"/>
      <x:c r="C245" s="46"/>
      <x:c r="D245" s="46"/>
      <x:c r="E245" s="46"/>
      <x:c r="F245" s="46"/>
      <x:c r="G245" s="46"/>
      <x:c r="H245" s="46"/>
      <x:c r="I245" s="46"/>
      <x:c r="J245" s="46"/>
      <x:c r="K245" s="46"/>
      <x:c r="L245" s="46"/>
      <x:c r="M245" s="46"/>
      <x:c r="N245" s="46"/>
      <x:c r="O245" s="46"/>
      <x:c r="P245" s="46"/>
      <x:c r="Q245" s="46"/>
      <x:c r="R245" s="46"/>
      <x:c r="S245" s="23"/>
      <x:c r="T245" s="23"/>
      <x:c r="U245" s="23"/>
      <x:c r="V245" s="23"/>
      <x:c r="W245" s="23"/>
      <x:c r="X245" s="23"/>
      <x:c r="Y245" s="23"/>
      <x:c r="Z245" s="23"/>
    </x:row>
    <x:row r="246">
      <x:c r="A246" s="46"/>
      <x:c r="B246" s="46"/>
      <x:c r="C246" s="46"/>
      <x:c r="D246" s="46"/>
      <x:c r="E246" s="46"/>
      <x:c r="F246" s="46"/>
      <x:c r="G246" s="46"/>
      <x:c r="H246" s="46"/>
      <x:c r="I246" s="46"/>
      <x:c r="J246" s="46"/>
      <x:c r="K246" s="46"/>
      <x:c r="L246" s="46"/>
      <x:c r="M246" s="46"/>
      <x:c r="N246" s="46"/>
      <x:c r="O246" s="46"/>
      <x:c r="P246" s="46"/>
      <x:c r="Q246" s="46"/>
      <x:c r="R246" s="46"/>
      <x:c r="S246" s="23"/>
      <x:c r="T246" s="23"/>
      <x:c r="U246" s="23"/>
      <x:c r="V246" s="23"/>
      <x:c r="W246" s="23"/>
      <x:c r="X246" s="23"/>
      <x:c r="Y246" s="23"/>
      <x:c r="Z246" s="23"/>
    </x:row>
    <x:row r="247">
      <x:c r="A247" s="46"/>
      <x:c r="B247" s="46"/>
      <x:c r="C247" s="46"/>
      <x:c r="D247" s="46"/>
      <x:c r="E247" s="46"/>
      <x:c r="F247" s="46"/>
      <x:c r="G247" s="46"/>
      <x:c r="H247" s="46"/>
      <x:c r="I247" s="46"/>
      <x:c r="J247" s="46"/>
      <x:c r="K247" s="46"/>
      <x:c r="L247" s="46"/>
      <x:c r="M247" s="46"/>
      <x:c r="N247" s="46"/>
      <x:c r="O247" s="46"/>
      <x:c r="P247" s="46"/>
      <x:c r="Q247" s="46"/>
      <x:c r="R247" s="46"/>
      <x:c r="S247" s="23"/>
      <x:c r="T247" s="23"/>
      <x:c r="U247" s="23"/>
      <x:c r="V247" s="23"/>
      <x:c r="W247" s="23"/>
      <x:c r="X247" s="23"/>
      <x:c r="Y247" s="23"/>
      <x:c r="Z247" s="23"/>
    </x:row>
    <x:row r="248">
      <x:c r="A248" s="46"/>
      <x:c r="B248" s="46"/>
      <x:c r="C248" s="46"/>
      <x:c r="D248" s="46"/>
      <x:c r="E248" s="46"/>
      <x:c r="F248" s="46"/>
      <x:c r="G248" s="46"/>
      <x:c r="H248" s="46"/>
      <x:c r="I248" s="46"/>
      <x:c r="J248" s="46"/>
      <x:c r="K248" s="46"/>
      <x:c r="L248" s="46"/>
      <x:c r="M248" s="46"/>
      <x:c r="N248" s="46"/>
      <x:c r="O248" s="46"/>
      <x:c r="P248" s="46"/>
      <x:c r="Q248" s="46"/>
      <x:c r="R248" s="46"/>
      <x:c r="S248" s="23"/>
      <x:c r="T248" s="23"/>
      <x:c r="U248" s="23"/>
      <x:c r="V248" s="23"/>
      <x:c r="W248" s="23"/>
      <x:c r="X248" s="23"/>
      <x:c r="Y248" s="23"/>
      <x:c r="Z248" s="23"/>
    </x:row>
    <x:row r="249">
      <x:c r="A249" s="46"/>
      <x:c r="B249" s="46"/>
      <x:c r="C249" s="46"/>
      <x:c r="D249" s="46"/>
      <x:c r="E249" s="46"/>
      <x:c r="F249" s="46"/>
      <x:c r="G249" s="46"/>
      <x:c r="H249" s="46"/>
      <x:c r="I249" s="46"/>
      <x:c r="J249" s="46"/>
      <x:c r="K249" s="46"/>
      <x:c r="L249" s="46"/>
      <x:c r="M249" s="46"/>
      <x:c r="N249" s="46"/>
      <x:c r="O249" s="46"/>
      <x:c r="P249" s="46"/>
      <x:c r="Q249" s="46"/>
      <x:c r="R249" s="46"/>
      <x:c r="S249" s="23"/>
      <x:c r="T249" s="23"/>
      <x:c r="U249" s="23"/>
      <x:c r="V249" s="23"/>
      <x:c r="W249" s="23"/>
      <x:c r="X249" s="23"/>
      <x:c r="Y249" s="23"/>
      <x:c r="Z249" s="23"/>
    </x:row>
    <x:row r="250">
      <x:c r="A250" s="46"/>
      <x:c r="B250" s="46"/>
      <x:c r="C250" s="46"/>
      <x:c r="D250" s="46"/>
      <x:c r="E250" s="46"/>
      <x:c r="F250" s="46"/>
      <x:c r="G250" s="46"/>
      <x:c r="H250" s="46"/>
      <x:c r="I250" s="46"/>
      <x:c r="J250" s="46"/>
      <x:c r="K250" s="46"/>
      <x:c r="L250" s="46"/>
      <x:c r="M250" s="46"/>
      <x:c r="N250" s="46"/>
      <x:c r="O250" s="46"/>
      <x:c r="P250" s="46"/>
      <x:c r="Q250" s="46"/>
      <x:c r="R250" s="46"/>
      <x:c r="S250" s="23"/>
      <x:c r="T250" s="23"/>
      <x:c r="U250" s="23"/>
      <x:c r="V250" s="23"/>
      <x:c r="W250" s="23"/>
      <x:c r="X250" s="23"/>
      <x:c r="Y250" s="23"/>
      <x:c r="Z250" s="23"/>
    </x:row>
    <x:row r="251">
      <x:c r="A251" s="46"/>
      <x:c r="B251" s="46"/>
      <x:c r="C251" s="46"/>
      <x:c r="D251" s="46"/>
      <x:c r="E251" s="46"/>
      <x:c r="F251" s="46"/>
      <x:c r="G251" s="46"/>
      <x:c r="H251" s="46"/>
      <x:c r="I251" s="46"/>
      <x:c r="J251" s="46"/>
      <x:c r="K251" s="46"/>
      <x:c r="L251" s="46"/>
      <x:c r="M251" s="46"/>
      <x:c r="N251" s="46"/>
      <x:c r="O251" s="46"/>
      <x:c r="P251" s="46"/>
      <x:c r="Q251" s="46"/>
      <x:c r="R251" s="46"/>
      <x:c r="S251" s="23"/>
      <x:c r="T251" s="23"/>
      <x:c r="U251" s="23"/>
      <x:c r="V251" s="23"/>
      <x:c r="W251" s="23"/>
      <x:c r="X251" s="23"/>
      <x:c r="Y251" s="23"/>
      <x:c r="Z251" s="23"/>
    </x:row>
    <x:row r="252">
      <x:c r="A252" s="46"/>
      <x:c r="B252" s="46"/>
      <x:c r="C252" s="46"/>
      <x:c r="D252" s="46"/>
      <x:c r="E252" s="46"/>
      <x:c r="F252" s="46"/>
      <x:c r="G252" s="46"/>
      <x:c r="H252" s="46"/>
      <x:c r="I252" s="46"/>
      <x:c r="J252" s="46"/>
      <x:c r="K252" s="46"/>
      <x:c r="L252" s="46"/>
      <x:c r="M252" s="46"/>
      <x:c r="N252" s="46"/>
      <x:c r="O252" s="46"/>
      <x:c r="P252" s="46"/>
      <x:c r="Q252" s="46"/>
      <x:c r="R252" s="46"/>
      <x:c r="S252" s="23"/>
      <x:c r="T252" s="23"/>
      <x:c r="U252" s="23"/>
      <x:c r="V252" s="23"/>
      <x:c r="W252" s="23"/>
      <x:c r="X252" s="23"/>
      <x:c r="Y252" s="23"/>
      <x:c r="Z252" s="23"/>
    </x:row>
    <x:row r="253">
      <x:c r="A253" s="46"/>
      <x:c r="B253" s="46"/>
      <x:c r="C253" s="46"/>
      <x:c r="D253" s="46"/>
      <x:c r="E253" s="46"/>
      <x:c r="F253" s="46"/>
      <x:c r="G253" s="46"/>
      <x:c r="H253" s="46"/>
      <x:c r="I253" s="46"/>
      <x:c r="J253" s="46"/>
      <x:c r="K253" s="46"/>
      <x:c r="L253" s="46"/>
      <x:c r="M253" s="46"/>
      <x:c r="N253" s="46"/>
      <x:c r="O253" s="46"/>
      <x:c r="P253" s="46"/>
      <x:c r="Q253" s="46"/>
      <x:c r="R253" s="46"/>
      <x:c r="S253" s="23"/>
      <x:c r="T253" s="23"/>
      <x:c r="U253" s="23"/>
      <x:c r="V253" s="23"/>
      <x:c r="W253" s="23"/>
      <x:c r="X253" s="23"/>
      <x:c r="Y253" s="23"/>
      <x:c r="Z253" s="23"/>
    </x:row>
    <x:row r="254">
      <x:c r="A254" s="46"/>
      <x:c r="B254" s="46"/>
      <x:c r="C254" s="46"/>
      <x:c r="D254" s="46"/>
      <x:c r="E254" s="46"/>
      <x:c r="F254" s="46"/>
      <x:c r="G254" s="46"/>
      <x:c r="H254" s="46"/>
      <x:c r="I254" s="46"/>
      <x:c r="J254" s="46"/>
      <x:c r="K254" s="46"/>
      <x:c r="L254" s="46"/>
      <x:c r="M254" s="46"/>
      <x:c r="N254" s="46"/>
      <x:c r="O254" s="46"/>
      <x:c r="P254" s="46"/>
      <x:c r="Q254" s="46"/>
      <x:c r="R254" s="46"/>
      <x:c r="S254" s="23"/>
      <x:c r="T254" s="23"/>
      <x:c r="U254" s="23"/>
      <x:c r="V254" s="23"/>
      <x:c r="W254" s="23"/>
      <x:c r="X254" s="23"/>
      <x:c r="Y254" s="23"/>
      <x:c r="Z254" s="23"/>
    </x:row>
    <x:row r="255">
      <x:c r="A255" s="46"/>
      <x:c r="B255" s="46"/>
      <x:c r="C255" s="46"/>
      <x:c r="D255" s="46"/>
      <x:c r="E255" s="46"/>
      <x:c r="F255" s="46"/>
      <x:c r="G255" s="46"/>
      <x:c r="H255" s="46"/>
      <x:c r="I255" s="46"/>
      <x:c r="J255" s="46"/>
      <x:c r="K255" s="46"/>
      <x:c r="L255" s="46"/>
      <x:c r="M255" s="46"/>
      <x:c r="N255" s="46"/>
      <x:c r="O255" s="46"/>
      <x:c r="P255" s="46"/>
      <x:c r="Q255" s="46"/>
      <x:c r="R255" s="46"/>
      <x:c r="S255" s="23"/>
      <x:c r="T255" s="23"/>
      <x:c r="U255" s="23"/>
      <x:c r="V255" s="23"/>
      <x:c r="W255" s="23"/>
      <x:c r="X255" s="23"/>
      <x:c r="Y255" s="23"/>
      <x:c r="Z255" s="23"/>
    </x:row>
    <x:row r="256">
      <x:c r="A256" s="46"/>
      <x:c r="B256" s="46"/>
      <x:c r="C256" s="46"/>
      <x:c r="D256" s="46"/>
      <x:c r="E256" s="46"/>
      <x:c r="F256" s="46"/>
      <x:c r="G256" s="46"/>
      <x:c r="H256" s="46"/>
      <x:c r="I256" s="46"/>
      <x:c r="J256" s="46"/>
      <x:c r="K256" s="46"/>
      <x:c r="L256" s="46"/>
      <x:c r="M256" s="46"/>
      <x:c r="N256" s="46"/>
      <x:c r="O256" s="46"/>
      <x:c r="P256" s="46"/>
      <x:c r="Q256" s="46"/>
      <x:c r="R256" s="46"/>
      <x:c r="S256" s="23"/>
      <x:c r="T256" s="23"/>
      <x:c r="U256" s="23"/>
      <x:c r="V256" s="23"/>
      <x:c r="W256" s="23"/>
      <x:c r="X256" s="23"/>
      <x:c r="Y256" s="23"/>
      <x:c r="Z256" s="23"/>
    </x:row>
    <x:row r="257">
      <x:c r="A257" s="46"/>
      <x:c r="B257" s="46"/>
      <x:c r="C257" s="46"/>
      <x:c r="D257" s="46"/>
      <x:c r="E257" s="46"/>
      <x:c r="F257" s="46"/>
      <x:c r="G257" s="46"/>
      <x:c r="H257" s="46"/>
      <x:c r="I257" s="46"/>
      <x:c r="J257" s="46"/>
      <x:c r="K257" s="46"/>
      <x:c r="L257" s="46"/>
      <x:c r="M257" s="46"/>
      <x:c r="N257" s="46"/>
      <x:c r="O257" s="46"/>
      <x:c r="P257" s="46"/>
      <x:c r="Q257" s="46"/>
      <x:c r="R257" s="46"/>
      <x:c r="S257" s="23"/>
      <x:c r="T257" s="23"/>
      <x:c r="U257" s="23"/>
      <x:c r="V257" s="23"/>
      <x:c r="W257" s="23"/>
      <x:c r="X257" s="23"/>
      <x:c r="Y257" s="23"/>
      <x:c r="Z257" s="23"/>
    </x:row>
    <x:row r="258">
      <x:c r="A258" s="46"/>
      <x:c r="B258" s="46"/>
      <x:c r="C258" s="46"/>
      <x:c r="D258" s="46"/>
      <x:c r="E258" s="46"/>
      <x:c r="F258" s="46"/>
      <x:c r="G258" s="46"/>
      <x:c r="H258" s="46"/>
      <x:c r="I258" s="46"/>
      <x:c r="J258" s="46"/>
      <x:c r="K258" s="46"/>
      <x:c r="L258" s="46"/>
      <x:c r="M258" s="46"/>
      <x:c r="N258" s="46"/>
      <x:c r="O258" s="46"/>
      <x:c r="P258" s="46"/>
      <x:c r="Q258" s="46"/>
      <x:c r="R258" s="46"/>
      <x:c r="S258" s="23"/>
      <x:c r="T258" s="23"/>
      <x:c r="U258" s="23"/>
      <x:c r="V258" s="23"/>
      <x:c r="W258" s="23"/>
      <x:c r="X258" s="23"/>
      <x:c r="Y258" s="23"/>
      <x:c r="Z258" s="23"/>
    </x:row>
    <x:row r="259">
      <x:c r="A259" s="46"/>
      <x:c r="B259" s="46"/>
      <x:c r="C259" s="46"/>
      <x:c r="D259" s="46"/>
      <x:c r="E259" s="46"/>
      <x:c r="F259" s="46"/>
      <x:c r="G259" s="46"/>
      <x:c r="H259" s="46"/>
      <x:c r="I259" s="46"/>
      <x:c r="J259" s="46"/>
      <x:c r="K259" s="46"/>
      <x:c r="L259" s="46"/>
      <x:c r="M259" s="46"/>
      <x:c r="N259" s="46"/>
      <x:c r="O259" s="46"/>
      <x:c r="P259" s="46"/>
      <x:c r="Q259" s="46"/>
      <x:c r="R259" s="46"/>
      <x:c r="S259" s="23"/>
      <x:c r="T259" s="23"/>
      <x:c r="U259" s="23"/>
      <x:c r="V259" s="23"/>
      <x:c r="W259" s="23"/>
      <x:c r="X259" s="23"/>
      <x:c r="Y259" s="23"/>
      <x:c r="Z259" s="23"/>
    </x:row>
    <x:row r="260">
      <x:c r="A260" s="46"/>
      <x:c r="B260" s="46"/>
      <x:c r="C260" s="46"/>
      <x:c r="D260" s="46"/>
      <x:c r="E260" s="46"/>
      <x:c r="F260" s="46"/>
      <x:c r="G260" s="46"/>
      <x:c r="H260" s="46"/>
      <x:c r="I260" s="46"/>
      <x:c r="J260" s="46"/>
      <x:c r="K260" s="46"/>
      <x:c r="L260" s="46"/>
      <x:c r="M260" s="46"/>
      <x:c r="N260" s="46"/>
      <x:c r="O260" s="46"/>
      <x:c r="P260" s="46"/>
      <x:c r="Q260" s="46"/>
      <x:c r="R260" s="46"/>
      <x:c r="S260" s="23"/>
      <x:c r="T260" s="23"/>
      <x:c r="U260" s="23"/>
      <x:c r="V260" s="23"/>
      <x:c r="W260" s="23"/>
      <x:c r="X260" s="23"/>
      <x:c r="Y260" s="23"/>
      <x:c r="Z260" s="23"/>
    </x:row>
    <x:row r="261">
      <x:c r="A261" s="46"/>
      <x:c r="B261" s="46"/>
      <x:c r="C261" s="46"/>
      <x:c r="D261" s="46"/>
      <x:c r="E261" s="46"/>
      <x:c r="F261" s="46"/>
      <x:c r="G261" s="46"/>
      <x:c r="H261" s="46"/>
      <x:c r="I261" s="46"/>
      <x:c r="J261" s="46"/>
      <x:c r="K261" s="46"/>
      <x:c r="L261" s="46"/>
      <x:c r="M261" s="46"/>
      <x:c r="N261" s="46"/>
      <x:c r="O261" s="46"/>
      <x:c r="P261" s="46"/>
      <x:c r="Q261" s="46"/>
      <x:c r="R261" s="46"/>
      <x:c r="S261" s="23"/>
      <x:c r="T261" s="23"/>
      <x:c r="U261" s="23"/>
      <x:c r="V261" s="23"/>
      <x:c r="W261" s="23"/>
      <x:c r="X261" s="23"/>
      <x:c r="Y261" s="23"/>
      <x:c r="Z261" s="23"/>
    </x:row>
    <x:row r="262">
      <x:c r="A262" s="46"/>
      <x:c r="B262" s="46"/>
      <x:c r="C262" s="46"/>
      <x:c r="D262" s="46"/>
      <x:c r="E262" s="46"/>
      <x:c r="F262" s="46"/>
      <x:c r="G262" s="46"/>
      <x:c r="H262" s="46"/>
      <x:c r="I262" s="46"/>
      <x:c r="J262" s="46"/>
      <x:c r="K262" s="46"/>
      <x:c r="L262" s="46"/>
      <x:c r="M262" s="46"/>
      <x:c r="N262" s="46"/>
      <x:c r="O262" s="46"/>
      <x:c r="P262" s="46"/>
      <x:c r="Q262" s="46"/>
      <x:c r="R262" s="46"/>
      <x:c r="S262" s="23"/>
      <x:c r="T262" s="23"/>
      <x:c r="U262" s="23"/>
      <x:c r="V262" s="23"/>
      <x:c r="W262" s="23"/>
      <x:c r="X262" s="23"/>
      <x:c r="Y262" s="23"/>
      <x:c r="Z262" s="23"/>
    </x:row>
    <x:row r="263">
      <x:c r="A263" s="46"/>
      <x:c r="B263" s="46"/>
      <x:c r="C263" s="46"/>
      <x:c r="D263" s="46"/>
      <x:c r="E263" s="46"/>
      <x:c r="F263" s="46"/>
      <x:c r="G263" s="46"/>
      <x:c r="H263" s="46"/>
      <x:c r="I263" s="46"/>
      <x:c r="J263" s="46"/>
      <x:c r="K263" s="46"/>
      <x:c r="L263" s="46"/>
      <x:c r="M263" s="46"/>
      <x:c r="N263" s="46"/>
      <x:c r="O263" s="46"/>
      <x:c r="P263" s="46"/>
      <x:c r="Q263" s="46"/>
      <x:c r="R263" s="46"/>
      <x:c r="S263" s="23"/>
      <x:c r="T263" s="23"/>
      <x:c r="U263" s="23"/>
      <x:c r="V263" s="23"/>
      <x:c r="W263" s="23"/>
      <x:c r="X263" s="23"/>
      <x:c r="Y263" s="23"/>
      <x:c r="Z263" s="23"/>
    </x:row>
    <x:row r="264">
      <x:c r="A264" s="46"/>
      <x:c r="B264" s="46"/>
      <x:c r="C264" s="46"/>
      <x:c r="D264" s="46"/>
      <x:c r="E264" s="46"/>
      <x:c r="F264" s="46"/>
      <x:c r="G264" s="46"/>
      <x:c r="H264" s="46"/>
      <x:c r="I264" s="46"/>
      <x:c r="J264" s="46"/>
      <x:c r="K264" s="46"/>
      <x:c r="L264" s="46"/>
      <x:c r="M264" s="46"/>
      <x:c r="N264" s="46"/>
      <x:c r="O264" s="46"/>
      <x:c r="P264" s="46"/>
      <x:c r="Q264" s="46"/>
      <x:c r="R264" s="46"/>
      <x:c r="S264" s="23"/>
      <x:c r="T264" s="23"/>
      <x:c r="U264" s="23"/>
      <x:c r="V264" s="23"/>
      <x:c r="W264" s="23"/>
      <x:c r="X264" s="23"/>
      <x:c r="Y264" s="23"/>
      <x:c r="Z264" s="23"/>
    </x:row>
    <x:row r="265">
      <x:c r="A265" s="46"/>
      <x:c r="B265" s="46"/>
      <x:c r="C265" s="46"/>
      <x:c r="D265" s="46"/>
      <x:c r="E265" s="46"/>
      <x:c r="F265" s="46"/>
      <x:c r="G265" s="46"/>
      <x:c r="H265" s="46"/>
      <x:c r="I265" s="46"/>
      <x:c r="J265" s="46"/>
      <x:c r="K265" s="46"/>
      <x:c r="L265" s="46"/>
      <x:c r="M265" s="46"/>
      <x:c r="N265" s="46"/>
      <x:c r="O265" s="46"/>
      <x:c r="P265" s="46"/>
      <x:c r="Q265" s="46"/>
      <x:c r="R265" s="46"/>
      <x:c r="S265" s="23"/>
      <x:c r="T265" s="23"/>
      <x:c r="U265" s="23"/>
      <x:c r="V265" s="23"/>
      <x:c r="W265" s="23"/>
      <x:c r="X265" s="23"/>
      <x:c r="Y265" s="23"/>
      <x:c r="Z265" s="23"/>
    </x:row>
    <x:row r="266">
      <x:c r="A266" s="46"/>
      <x:c r="B266" s="46"/>
      <x:c r="C266" s="46"/>
      <x:c r="D266" s="46"/>
      <x:c r="E266" s="46"/>
      <x:c r="F266" s="46"/>
      <x:c r="G266" s="46"/>
      <x:c r="H266" s="46"/>
      <x:c r="I266" s="46"/>
      <x:c r="J266" s="46"/>
      <x:c r="K266" s="46"/>
      <x:c r="L266" s="46"/>
      <x:c r="M266" s="46"/>
      <x:c r="N266" s="46"/>
      <x:c r="O266" s="46"/>
      <x:c r="P266" s="46"/>
      <x:c r="Q266" s="46"/>
      <x:c r="R266" s="46"/>
      <x:c r="S266" s="23"/>
      <x:c r="T266" s="23"/>
      <x:c r="U266" s="23"/>
      <x:c r="V266" s="23"/>
      <x:c r="W266" s="23"/>
      <x:c r="X266" s="23"/>
      <x:c r="Y266" s="23"/>
      <x:c r="Z266" s="23"/>
    </x:row>
    <x:row r="267">
      <x:c r="A267" s="46"/>
      <x:c r="B267" s="46"/>
      <x:c r="C267" s="46"/>
      <x:c r="D267" s="46"/>
      <x:c r="E267" s="46"/>
      <x:c r="F267" s="46"/>
      <x:c r="G267" s="46"/>
      <x:c r="H267" s="46"/>
      <x:c r="I267" s="46"/>
      <x:c r="J267" s="46"/>
      <x:c r="K267" s="46"/>
      <x:c r="L267" s="46"/>
      <x:c r="M267" s="46"/>
      <x:c r="N267" s="46"/>
      <x:c r="O267" s="46"/>
      <x:c r="P267" s="46"/>
      <x:c r="Q267" s="46"/>
      <x:c r="R267" s="46"/>
      <x:c r="S267" s="23"/>
      <x:c r="T267" s="23"/>
      <x:c r="U267" s="23"/>
      <x:c r="V267" s="23"/>
      <x:c r="W267" s="23"/>
      <x:c r="X267" s="23"/>
      <x:c r="Y267" s="23"/>
      <x:c r="Z267" s="23"/>
    </x:row>
    <x:row r="268">
      <x:c r="A268" s="46"/>
      <x:c r="B268" s="46"/>
      <x:c r="C268" s="46"/>
      <x:c r="D268" s="46"/>
      <x:c r="E268" s="46"/>
      <x:c r="F268" s="46"/>
      <x:c r="G268" s="46"/>
      <x:c r="H268" s="46"/>
      <x:c r="I268" s="46"/>
      <x:c r="J268" s="46"/>
      <x:c r="K268" s="46"/>
      <x:c r="L268" s="46"/>
      <x:c r="M268" s="46"/>
      <x:c r="N268" s="46"/>
      <x:c r="O268" s="46"/>
      <x:c r="P268" s="46"/>
      <x:c r="Q268" s="46"/>
      <x:c r="R268" s="46"/>
      <x:c r="S268" s="23"/>
      <x:c r="T268" s="23"/>
      <x:c r="U268" s="23"/>
      <x:c r="V268" s="23"/>
      <x:c r="W268" s="23"/>
      <x:c r="X268" s="23"/>
      <x:c r="Y268" s="23"/>
      <x:c r="Z268" s="23"/>
    </x:row>
    <x:row r="269">
      <x:c r="A269" s="46"/>
      <x:c r="B269" s="46"/>
      <x:c r="C269" s="46"/>
      <x:c r="D269" s="46"/>
      <x:c r="E269" s="46"/>
      <x:c r="F269" s="46"/>
      <x:c r="G269" s="46"/>
      <x:c r="H269" s="46"/>
      <x:c r="I269" s="46"/>
      <x:c r="J269" s="46"/>
      <x:c r="K269" s="46"/>
      <x:c r="L269" s="46"/>
      <x:c r="M269" s="46"/>
      <x:c r="N269" s="46"/>
      <x:c r="O269" s="46"/>
      <x:c r="P269" s="46"/>
      <x:c r="Q269" s="46"/>
      <x:c r="R269" s="46"/>
      <x:c r="S269" s="23"/>
      <x:c r="T269" s="23"/>
      <x:c r="U269" s="23"/>
      <x:c r="V269" s="23"/>
      <x:c r="W269" s="23"/>
      <x:c r="X269" s="23"/>
      <x:c r="Y269" s="23"/>
      <x:c r="Z269" s="23"/>
    </x:row>
    <x:row r="270">
      <x:c r="A270" s="46"/>
      <x:c r="B270" s="46"/>
      <x:c r="C270" s="46"/>
      <x:c r="D270" s="46"/>
      <x:c r="E270" s="46"/>
      <x:c r="F270" s="46"/>
      <x:c r="G270" s="46"/>
      <x:c r="H270" s="46"/>
      <x:c r="I270" s="46"/>
      <x:c r="J270" s="46"/>
      <x:c r="K270" s="46"/>
      <x:c r="L270" s="46"/>
      <x:c r="M270" s="46"/>
      <x:c r="N270" s="46"/>
      <x:c r="O270" s="46"/>
      <x:c r="P270" s="46"/>
      <x:c r="Q270" s="46"/>
      <x:c r="R270" s="46"/>
      <x:c r="S270" s="23"/>
      <x:c r="T270" s="23"/>
      <x:c r="U270" s="23"/>
      <x:c r="V270" s="23"/>
      <x:c r="W270" s="23"/>
      <x:c r="X270" s="23"/>
      <x:c r="Y270" s="23"/>
      <x:c r="Z270" s="23"/>
    </x:row>
    <x:row r="271">
      <x:c r="A271" s="46"/>
      <x:c r="B271" s="46"/>
      <x:c r="C271" s="46"/>
      <x:c r="D271" s="46"/>
      <x:c r="E271" s="46"/>
      <x:c r="F271" s="46"/>
      <x:c r="G271" s="46"/>
      <x:c r="H271" s="46"/>
      <x:c r="I271" s="46"/>
      <x:c r="J271" s="46"/>
      <x:c r="K271" s="46"/>
      <x:c r="L271" s="46"/>
      <x:c r="M271" s="46"/>
      <x:c r="N271" s="46"/>
      <x:c r="O271" s="46"/>
      <x:c r="P271" s="46"/>
      <x:c r="Q271" s="46"/>
      <x:c r="R271" s="46"/>
      <x:c r="S271" s="23"/>
      <x:c r="T271" s="23"/>
      <x:c r="U271" s="23"/>
      <x:c r="V271" s="23"/>
      <x:c r="W271" s="23"/>
      <x:c r="X271" s="23"/>
      <x:c r="Y271" s="23"/>
      <x:c r="Z271" s="23"/>
    </x:row>
    <x:row r="272">
      <x:c r="A272" s="46"/>
      <x:c r="B272" s="46"/>
      <x:c r="C272" s="46"/>
      <x:c r="D272" s="46"/>
      <x:c r="E272" s="46"/>
      <x:c r="F272" s="46"/>
      <x:c r="G272" s="46"/>
      <x:c r="H272" s="46"/>
      <x:c r="I272" s="46"/>
      <x:c r="J272" s="46"/>
      <x:c r="K272" s="46"/>
      <x:c r="L272" s="46"/>
      <x:c r="M272" s="46"/>
      <x:c r="N272" s="46"/>
      <x:c r="O272" s="46"/>
      <x:c r="P272" s="46"/>
      <x:c r="Q272" s="46"/>
      <x:c r="R272" s="46"/>
      <x:c r="S272" s="23"/>
      <x:c r="T272" s="23"/>
      <x:c r="U272" s="23"/>
      <x:c r="V272" s="23"/>
      <x:c r="W272" s="23"/>
      <x:c r="X272" s="23"/>
      <x:c r="Y272" s="23"/>
      <x:c r="Z272" s="23"/>
    </x:row>
    <x:row r="273">
      <x:c r="A273" s="46"/>
      <x:c r="B273" s="46"/>
      <x:c r="C273" s="46"/>
      <x:c r="D273" s="46"/>
      <x:c r="E273" s="46"/>
      <x:c r="F273" s="46"/>
      <x:c r="G273" s="46"/>
      <x:c r="H273" s="46"/>
      <x:c r="I273" s="46"/>
      <x:c r="J273" s="46"/>
      <x:c r="K273" s="46"/>
      <x:c r="L273" s="46"/>
      <x:c r="M273" s="46"/>
      <x:c r="N273" s="46"/>
      <x:c r="O273" s="46"/>
      <x:c r="P273" s="46"/>
      <x:c r="Q273" s="46"/>
      <x:c r="R273" s="46"/>
      <x:c r="S273" s="23"/>
      <x:c r="T273" s="23"/>
      <x:c r="U273" s="23"/>
      <x:c r="V273" s="23"/>
      <x:c r="W273" s="23"/>
      <x:c r="X273" s="23"/>
      <x:c r="Y273" s="23"/>
      <x:c r="Z273" s="23"/>
    </x:row>
    <x:row r="274">
      <x:c r="A274" s="46"/>
      <x:c r="B274" s="46"/>
      <x:c r="C274" s="46"/>
      <x:c r="D274" s="46"/>
      <x:c r="E274" s="46"/>
      <x:c r="F274" s="46"/>
      <x:c r="G274" s="46"/>
      <x:c r="H274" s="46"/>
      <x:c r="I274" s="46"/>
      <x:c r="J274" s="46"/>
      <x:c r="K274" s="46"/>
      <x:c r="L274" s="46"/>
      <x:c r="M274" s="46"/>
      <x:c r="N274" s="46"/>
      <x:c r="O274" s="46"/>
      <x:c r="P274" s="46"/>
      <x:c r="Q274" s="46"/>
      <x:c r="R274" s="46"/>
      <x:c r="S274" s="23"/>
      <x:c r="T274" s="23"/>
      <x:c r="U274" s="23"/>
      <x:c r="V274" s="23"/>
      <x:c r="W274" s="23"/>
      <x:c r="X274" s="23"/>
      <x:c r="Y274" s="23"/>
      <x:c r="Z274" s="23"/>
    </x:row>
    <x:row r="275">
      <x:c r="A275" s="46"/>
      <x:c r="B275" s="46"/>
      <x:c r="C275" s="46"/>
      <x:c r="D275" s="46"/>
      <x:c r="E275" s="46"/>
      <x:c r="F275" s="46"/>
      <x:c r="G275" s="46"/>
      <x:c r="H275" s="46"/>
      <x:c r="I275" s="46"/>
      <x:c r="J275" s="46"/>
      <x:c r="K275" s="46"/>
      <x:c r="L275" s="46"/>
      <x:c r="M275" s="46"/>
      <x:c r="N275" s="46"/>
      <x:c r="O275" s="46"/>
      <x:c r="P275" s="46"/>
      <x:c r="Q275" s="46"/>
      <x:c r="R275" s="46"/>
      <x:c r="S275" s="23"/>
      <x:c r="T275" s="23"/>
      <x:c r="U275" s="23"/>
      <x:c r="V275" s="23"/>
      <x:c r="W275" s="23"/>
      <x:c r="X275" s="23"/>
      <x:c r="Y275" s="23"/>
      <x:c r="Z275" s="23"/>
    </x:row>
    <x:row r="276">
      <x:c r="A276" s="46"/>
      <x:c r="B276" s="46"/>
      <x:c r="C276" s="46"/>
      <x:c r="D276" s="46"/>
      <x:c r="E276" s="46"/>
      <x:c r="F276" s="46"/>
      <x:c r="G276" s="46"/>
      <x:c r="H276" s="46"/>
      <x:c r="I276" s="46"/>
      <x:c r="J276" s="46"/>
      <x:c r="K276" s="46"/>
      <x:c r="L276" s="46"/>
      <x:c r="M276" s="46"/>
      <x:c r="N276" s="46"/>
      <x:c r="O276" s="46"/>
      <x:c r="P276" s="46"/>
      <x:c r="Q276" s="46"/>
      <x:c r="R276" s="46"/>
      <x:c r="S276" s="23"/>
      <x:c r="T276" s="23"/>
      <x:c r="U276" s="23"/>
      <x:c r="V276" s="23"/>
      <x:c r="W276" s="23"/>
      <x:c r="X276" s="23"/>
      <x:c r="Y276" s="23"/>
      <x:c r="Z276" s="23"/>
    </x:row>
    <x:row r="277">
      <x:c r="A277" s="46"/>
      <x:c r="B277" s="46"/>
      <x:c r="C277" s="46"/>
      <x:c r="D277" s="46"/>
      <x:c r="E277" s="46"/>
      <x:c r="F277" s="46"/>
      <x:c r="G277" s="46"/>
      <x:c r="H277" s="46"/>
      <x:c r="I277" s="46"/>
      <x:c r="J277" s="46"/>
      <x:c r="K277" s="46"/>
      <x:c r="L277" s="46"/>
      <x:c r="M277" s="46"/>
      <x:c r="N277" s="46"/>
      <x:c r="O277" s="46"/>
      <x:c r="P277" s="46"/>
      <x:c r="Q277" s="46"/>
      <x:c r="R277" s="46"/>
      <x:c r="S277" s="23"/>
      <x:c r="T277" s="23"/>
      <x:c r="U277" s="23"/>
      <x:c r="V277" s="23"/>
      <x:c r="W277" s="23"/>
      <x:c r="X277" s="23"/>
      <x:c r="Y277" s="23"/>
      <x:c r="Z277" s="23"/>
    </x:row>
    <x:row r="278">
      <x:c r="A278" s="46"/>
      <x:c r="B278" s="46"/>
      <x:c r="C278" s="46"/>
      <x:c r="D278" s="46"/>
      <x:c r="E278" s="46"/>
      <x:c r="F278" s="46"/>
      <x:c r="G278" s="46"/>
      <x:c r="H278" s="46"/>
      <x:c r="I278" s="46"/>
      <x:c r="J278" s="46"/>
      <x:c r="K278" s="46"/>
      <x:c r="L278" s="46"/>
      <x:c r="M278" s="46"/>
      <x:c r="N278" s="46"/>
      <x:c r="O278" s="46"/>
      <x:c r="P278" s="46"/>
      <x:c r="Q278" s="46"/>
      <x:c r="R278" s="46"/>
      <x:c r="S278" s="23"/>
      <x:c r="T278" s="23"/>
      <x:c r="U278" s="23"/>
      <x:c r="V278" s="23"/>
      <x:c r="W278" s="23"/>
      <x:c r="X278" s="23"/>
      <x:c r="Y278" s="23"/>
      <x:c r="Z278" s="23"/>
    </x:row>
    <x:row r="279">
      <x:c r="A279" s="46"/>
      <x:c r="B279" s="46"/>
      <x:c r="C279" s="46"/>
      <x:c r="D279" s="46"/>
      <x:c r="E279" s="46"/>
      <x:c r="F279" s="46"/>
      <x:c r="G279" s="46"/>
      <x:c r="H279" s="46"/>
      <x:c r="I279" s="46"/>
      <x:c r="J279" s="46"/>
      <x:c r="K279" s="46"/>
      <x:c r="L279" s="46"/>
      <x:c r="M279" s="46"/>
      <x:c r="N279" s="46"/>
      <x:c r="O279" s="46"/>
      <x:c r="P279" s="46"/>
      <x:c r="Q279" s="46"/>
      <x:c r="R279" s="46"/>
      <x:c r="S279" s="23"/>
      <x:c r="T279" s="23"/>
      <x:c r="U279" s="23"/>
      <x:c r="V279" s="23"/>
      <x:c r="W279" s="23"/>
      <x:c r="X279" s="23"/>
      <x:c r="Y279" s="23"/>
      <x:c r="Z279" s="23"/>
    </x:row>
    <x:row r="280">
      <x:c r="A280" s="46"/>
      <x:c r="B280" s="46"/>
      <x:c r="C280" s="46"/>
      <x:c r="D280" s="46"/>
      <x:c r="E280" s="46"/>
      <x:c r="F280" s="46"/>
      <x:c r="G280" s="46"/>
      <x:c r="H280" s="46"/>
      <x:c r="I280" s="46"/>
      <x:c r="J280" s="46"/>
      <x:c r="K280" s="46"/>
      <x:c r="L280" s="46"/>
      <x:c r="M280" s="46"/>
      <x:c r="N280" s="46"/>
      <x:c r="O280" s="46"/>
      <x:c r="P280" s="46"/>
      <x:c r="Q280" s="46"/>
      <x:c r="R280" s="46"/>
      <x:c r="S280" s="23"/>
      <x:c r="T280" s="23"/>
      <x:c r="U280" s="23"/>
      <x:c r="V280" s="23"/>
      <x:c r="W280" s="23"/>
      <x:c r="X280" s="23"/>
      <x:c r="Y280" s="23"/>
      <x:c r="Z280" s="23"/>
    </x:row>
    <x:row r="281">
      <x:c r="A281" s="46"/>
      <x:c r="B281" s="46"/>
      <x:c r="C281" s="46"/>
      <x:c r="D281" s="46"/>
      <x:c r="E281" s="46"/>
      <x:c r="F281" s="46"/>
      <x:c r="G281" s="46"/>
      <x:c r="H281" s="46"/>
      <x:c r="I281" s="46"/>
      <x:c r="J281" s="46"/>
      <x:c r="K281" s="46"/>
      <x:c r="L281" s="46"/>
      <x:c r="M281" s="46"/>
      <x:c r="N281" s="46"/>
      <x:c r="O281" s="46"/>
      <x:c r="P281" s="46"/>
      <x:c r="Q281" s="46"/>
      <x:c r="R281" s="46"/>
      <x:c r="S281" s="23"/>
      <x:c r="T281" s="23"/>
      <x:c r="U281" s="23"/>
      <x:c r="V281" s="23"/>
      <x:c r="W281" s="23"/>
      <x:c r="X281" s="23"/>
      <x:c r="Y281" s="23"/>
      <x:c r="Z281" s="23"/>
    </x:row>
    <x:row r="282">
      <x:c r="A282" s="46"/>
      <x:c r="B282" s="46"/>
      <x:c r="C282" s="46"/>
      <x:c r="D282" s="46"/>
      <x:c r="E282" s="46"/>
      <x:c r="F282" s="46"/>
      <x:c r="G282" s="46"/>
      <x:c r="H282" s="46"/>
      <x:c r="I282" s="46"/>
      <x:c r="J282" s="46"/>
      <x:c r="K282" s="46"/>
      <x:c r="L282" s="46"/>
      <x:c r="M282" s="46"/>
      <x:c r="N282" s="46"/>
      <x:c r="O282" s="46"/>
      <x:c r="P282" s="46"/>
      <x:c r="Q282" s="46"/>
      <x:c r="R282" s="46"/>
      <x:c r="S282" s="23"/>
      <x:c r="T282" s="23"/>
      <x:c r="U282" s="23"/>
      <x:c r="V282" s="23"/>
      <x:c r="W282" s="23"/>
      <x:c r="X282" s="23"/>
      <x:c r="Y282" s="23"/>
      <x:c r="Z282" s="23"/>
    </x:row>
    <x:row r="283">
      <x:c r="A283" s="46"/>
      <x:c r="B283" s="46"/>
      <x:c r="C283" s="46"/>
      <x:c r="D283" s="46"/>
      <x:c r="E283" s="46"/>
      <x:c r="F283" s="46"/>
      <x:c r="G283" s="46"/>
      <x:c r="H283" s="46"/>
      <x:c r="I283" s="46"/>
      <x:c r="J283" s="46"/>
      <x:c r="K283" s="46"/>
      <x:c r="L283" s="46"/>
      <x:c r="M283" s="46"/>
      <x:c r="N283" s="46"/>
      <x:c r="O283" s="46"/>
      <x:c r="P283" s="46"/>
      <x:c r="Q283" s="46"/>
      <x:c r="R283" s="46"/>
      <x:c r="S283" s="23"/>
      <x:c r="T283" s="23"/>
      <x:c r="U283" s="23"/>
      <x:c r="V283" s="23"/>
      <x:c r="W283" s="23"/>
      <x:c r="X283" s="23"/>
      <x:c r="Y283" s="23"/>
      <x:c r="Z283" s="23"/>
    </x:row>
    <x:row r="284">
      <x:c r="A284" s="46"/>
      <x:c r="B284" s="46"/>
      <x:c r="C284" s="46"/>
      <x:c r="D284" s="46"/>
      <x:c r="E284" s="46"/>
      <x:c r="F284" s="46"/>
      <x:c r="G284" s="46"/>
      <x:c r="H284" s="46"/>
      <x:c r="I284" s="46"/>
      <x:c r="J284" s="46"/>
      <x:c r="K284" s="46"/>
      <x:c r="L284" s="46"/>
      <x:c r="M284" s="46"/>
      <x:c r="N284" s="46"/>
      <x:c r="O284" s="46"/>
      <x:c r="P284" s="46"/>
      <x:c r="Q284" s="46"/>
      <x:c r="R284" s="46"/>
      <x:c r="S284" s="23"/>
      <x:c r="T284" s="23"/>
      <x:c r="U284" s="23"/>
      <x:c r="V284" s="23"/>
      <x:c r="W284" s="23"/>
      <x:c r="X284" s="23"/>
      <x:c r="Y284" s="23"/>
      <x:c r="Z284" s="23"/>
    </x:row>
    <x:row r="285">
      <x:c r="A285" s="46"/>
      <x:c r="B285" s="46"/>
      <x:c r="C285" s="46"/>
      <x:c r="D285" s="46"/>
      <x:c r="E285" s="46"/>
      <x:c r="F285" s="46"/>
      <x:c r="G285" s="46"/>
      <x:c r="H285" s="46"/>
      <x:c r="I285" s="46"/>
      <x:c r="J285" s="46"/>
      <x:c r="K285" s="46"/>
      <x:c r="L285" s="46"/>
      <x:c r="M285" s="46"/>
      <x:c r="N285" s="46"/>
      <x:c r="O285" s="46"/>
      <x:c r="P285" s="46"/>
      <x:c r="Q285" s="46"/>
      <x:c r="R285" s="46"/>
      <x:c r="S285" s="23"/>
      <x:c r="T285" s="23"/>
      <x:c r="U285" s="23"/>
      <x:c r="V285" s="23"/>
      <x:c r="W285" s="23"/>
      <x:c r="X285" s="23"/>
      <x:c r="Y285" s="23"/>
      <x:c r="Z285" s="23"/>
    </x:row>
    <x:row r="286">
      <x:c r="A286" s="46"/>
      <x:c r="B286" s="46"/>
      <x:c r="C286" s="46"/>
      <x:c r="D286" s="46"/>
      <x:c r="E286" s="46"/>
      <x:c r="F286" s="46"/>
      <x:c r="G286" s="46"/>
      <x:c r="H286" s="46"/>
      <x:c r="I286" s="46"/>
      <x:c r="J286" s="46"/>
      <x:c r="K286" s="46"/>
      <x:c r="L286" s="46"/>
      <x:c r="M286" s="46"/>
      <x:c r="N286" s="46"/>
      <x:c r="O286" s="46"/>
      <x:c r="P286" s="46"/>
      <x:c r="Q286" s="46"/>
      <x:c r="R286" s="46"/>
      <x:c r="S286" s="23"/>
      <x:c r="T286" s="23"/>
      <x:c r="U286" s="23"/>
      <x:c r="V286" s="23"/>
      <x:c r="W286" s="23"/>
      <x:c r="X286" s="23"/>
      <x:c r="Y286" s="23"/>
      <x:c r="Z286" s="23"/>
    </x:row>
    <x:row r="287">
      <x:c r="A287" s="46"/>
      <x:c r="B287" s="46"/>
      <x:c r="C287" s="46"/>
      <x:c r="D287" s="46"/>
      <x:c r="E287" s="46"/>
      <x:c r="F287" s="46"/>
      <x:c r="G287" s="46"/>
      <x:c r="H287" s="46"/>
      <x:c r="I287" s="46"/>
      <x:c r="J287" s="46"/>
      <x:c r="K287" s="46"/>
      <x:c r="L287" s="46"/>
      <x:c r="M287" s="46"/>
      <x:c r="N287" s="46"/>
      <x:c r="O287" s="46"/>
      <x:c r="P287" s="46"/>
      <x:c r="Q287" s="46"/>
      <x:c r="R287" s="46"/>
      <x:c r="S287" s="23"/>
      <x:c r="T287" s="23"/>
      <x:c r="U287" s="23"/>
      <x:c r="V287" s="23"/>
      <x:c r="W287" s="23"/>
      <x:c r="X287" s="23"/>
      <x:c r="Y287" s="23"/>
      <x:c r="Z287" s="23"/>
    </x:row>
    <x:row r="288">
      <x:c r="A288" s="46"/>
      <x:c r="B288" s="46"/>
      <x:c r="C288" s="46"/>
      <x:c r="D288" s="46"/>
      <x:c r="E288" s="46"/>
      <x:c r="F288" s="46"/>
      <x:c r="G288" s="46"/>
      <x:c r="H288" s="46"/>
      <x:c r="I288" s="46"/>
      <x:c r="J288" s="46"/>
      <x:c r="K288" s="46"/>
      <x:c r="L288" s="46"/>
      <x:c r="M288" s="46"/>
      <x:c r="N288" s="46"/>
      <x:c r="O288" s="46"/>
      <x:c r="P288" s="46"/>
      <x:c r="Q288" s="46"/>
      <x:c r="R288" s="46"/>
      <x:c r="S288" s="23"/>
      <x:c r="T288" s="23"/>
      <x:c r="U288" s="23"/>
      <x:c r="V288" s="23"/>
      <x:c r="W288" s="23"/>
      <x:c r="X288" s="23"/>
      <x:c r="Y288" s="23"/>
      <x:c r="Z288" s="23"/>
    </x:row>
    <x:row r="289">
      <x:c r="A289" s="46"/>
      <x:c r="B289" s="46"/>
      <x:c r="C289" s="46"/>
      <x:c r="D289" s="46"/>
      <x:c r="E289" s="46"/>
      <x:c r="F289" s="46"/>
      <x:c r="G289" s="46"/>
      <x:c r="H289" s="46"/>
      <x:c r="I289" s="46"/>
      <x:c r="J289" s="46"/>
      <x:c r="K289" s="46"/>
      <x:c r="L289" s="46"/>
      <x:c r="M289" s="46"/>
      <x:c r="N289" s="46"/>
      <x:c r="O289" s="46"/>
      <x:c r="P289" s="46"/>
      <x:c r="Q289" s="46"/>
      <x:c r="R289" s="46"/>
      <x:c r="S289" s="23"/>
      <x:c r="T289" s="23"/>
      <x:c r="U289" s="23"/>
      <x:c r="V289" s="23"/>
      <x:c r="W289" s="23"/>
      <x:c r="X289" s="23"/>
      <x:c r="Y289" s="23"/>
      <x:c r="Z289" s="23"/>
    </x:row>
    <x:row r="290">
      <x:c r="A290" s="46"/>
      <x:c r="B290" s="46"/>
      <x:c r="C290" s="46"/>
      <x:c r="D290" s="46"/>
      <x:c r="E290" s="46"/>
      <x:c r="F290" s="46"/>
      <x:c r="G290" s="46"/>
      <x:c r="H290" s="46"/>
      <x:c r="I290" s="46"/>
      <x:c r="J290" s="46"/>
      <x:c r="K290" s="46"/>
      <x:c r="L290" s="46"/>
      <x:c r="M290" s="46"/>
      <x:c r="N290" s="46"/>
      <x:c r="O290" s="46"/>
      <x:c r="P290" s="46"/>
      <x:c r="Q290" s="46"/>
      <x:c r="R290" s="46"/>
      <x:c r="S290" s="23"/>
      <x:c r="T290" s="23"/>
      <x:c r="U290" s="23"/>
      <x:c r="V290" s="23"/>
      <x:c r="W290" s="23"/>
      <x:c r="X290" s="23"/>
      <x:c r="Y290" s="23"/>
      <x:c r="Z290" s="23"/>
    </x:row>
    <x:row r="291">
      <x:c r="A291" s="46"/>
      <x:c r="B291" s="46"/>
      <x:c r="C291" s="46"/>
      <x:c r="D291" s="46"/>
      <x:c r="E291" s="46"/>
      <x:c r="F291" s="46"/>
      <x:c r="G291" s="46"/>
      <x:c r="H291" s="46"/>
      <x:c r="I291" s="46"/>
      <x:c r="J291" s="46"/>
      <x:c r="K291" s="46"/>
      <x:c r="L291" s="46"/>
      <x:c r="M291" s="46"/>
      <x:c r="N291" s="46"/>
      <x:c r="O291" s="46"/>
      <x:c r="P291" s="46"/>
      <x:c r="Q291" s="46"/>
      <x:c r="R291" s="46"/>
      <x:c r="S291" s="23"/>
      <x:c r="T291" s="23"/>
      <x:c r="U291" s="23"/>
      <x:c r="V291" s="23"/>
      <x:c r="W291" s="23"/>
      <x:c r="X291" s="23"/>
      <x:c r="Y291" s="23"/>
      <x:c r="Z291" s="23"/>
    </x:row>
    <x:row r="292">
      <x:c r="A292" s="46"/>
      <x:c r="B292" s="46"/>
      <x:c r="C292" s="46"/>
      <x:c r="D292" s="46"/>
      <x:c r="E292" s="46"/>
      <x:c r="F292" s="46"/>
      <x:c r="G292" s="46"/>
      <x:c r="H292" s="46"/>
      <x:c r="I292" s="46"/>
      <x:c r="J292" s="46"/>
      <x:c r="K292" s="46"/>
      <x:c r="L292" s="46"/>
      <x:c r="M292" s="46"/>
      <x:c r="N292" s="46"/>
      <x:c r="O292" s="46"/>
      <x:c r="P292" s="46"/>
      <x:c r="Q292" s="46"/>
      <x:c r="R292" s="46"/>
      <x:c r="S292" s="23"/>
      <x:c r="T292" s="23"/>
      <x:c r="U292" s="23"/>
      <x:c r="V292" s="23"/>
      <x:c r="W292" s="23"/>
      <x:c r="X292" s="23"/>
      <x:c r="Y292" s="23"/>
      <x:c r="Z292" s="23"/>
    </x:row>
    <x:row r="293">
      <x:c r="A293" s="46"/>
      <x:c r="B293" s="46"/>
      <x:c r="C293" s="46"/>
      <x:c r="D293" s="46"/>
      <x:c r="E293" s="46"/>
      <x:c r="F293" s="46"/>
      <x:c r="G293" s="46"/>
      <x:c r="H293" s="46"/>
      <x:c r="I293" s="46"/>
      <x:c r="J293" s="46"/>
      <x:c r="K293" s="46"/>
      <x:c r="L293" s="46"/>
      <x:c r="M293" s="46"/>
      <x:c r="N293" s="46"/>
      <x:c r="O293" s="46"/>
      <x:c r="P293" s="46"/>
      <x:c r="Q293" s="46"/>
      <x:c r="R293" s="46"/>
      <x:c r="S293" s="23"/>
      <x:c r="T293" s="23"/>
      <x:c r="U293" s="23"/>
      <x:c r="V293" s="23"/>
      <x:c r="W293" s="23"/>
      <x:c r="X293" s="23"/>
      <x:c r="Y293" s="23"/>
      <x:c r="Z293" s="23"/>
    </x:row>
    <x:row r="294">
      <x:c r="A294" s="46"/>
      <x:c r="B294" s="46"/>
      <x:c r="C294" s="46"/>
      <x:c r="D294" s="46"/>
      <x:c r="E294" s="46"/>
      <x:c r="F294" s="46"/>
      <x:c r="G294" s="46"/>
      <x:c r="H294" s="46"/>
      <x:c r="I294" s="46"/>
      <x:c r="J294" s="46"/>
      <x:c r="K294" s="46"/>
      <x:c r="L294" s="46"/>
      <x:c r="M294" s="46"/>
      <x:c r="N294" s="46"/>
      <x:c r="O294" s="46"/>
      <x:c r="P294" s="46"/>
      <x:c r="Q294" s="46"/>
      <x:c r="R294" s="46"/>
      <x:c r="S294" s="23"/>
      <x:c r="T294" s="23"/>
      <x:c r="U294" s="23"/>
      <x:c r="V294" s="23"/>
      <x:c r="W294" s="23"/>
      <x:c r="X294" s="23"/>
      <x:c r="Y294" s="23"/>
      <x:c r="Z294" s="23"/>
    </x:row>
    <x:row r="295">
      <x:c r="A295" s="46"/>
      <x:c r="B295" s="46"/>
      <x:c r="C295" s="46"/>
      <x:c r="D295" s="46"/>
      <x:c r="E295" s="46"/>
      <x:c r="F295" s="46"/>
      <x:c r="G295" s="46"/>
      <x:c r="H295" s="46"/>
      <x:c r="I295" s="46"/>
      <x:c r="J295" s="46"/>
      <x:c r="K295" s="46"/>
      <x:c r="L295" s="46"/>
      <x:c r="M295" s="46"/>
      <x:c r="N295" s="46"/>
      <x:c r="O295" s="46"/>
      <x:c r="P295" s="46"/>
      <x:c r="Q295" s="46"/>
      <x:c r="R295" s="46"/>
      <x:c r="S295" s="23"/>
      <x:c r="T295" s="23"/>
      <x:c r="U295" s="23"/>
      <x:c r="V295" s="23"/>
      <x:c r="W295" s="23"/>
      <x:c r="X295" s="23"/>
      <x:c r="Y295" s="23"/>
      <x:c r="Z295" s="23"/>
    </x:row>
    <x:row r="296">
      <x:c r="A296" s="46"/>
      <x:c r="B296" s="46"/>
      <x:c r="C296" s="46"/>
      <x:c r="D296" s="46"/>
      <x:c r="E296" s="46"/>
      <x:c r="F296" s="46"/>
      <x:c r="G296" s="46"/>
      <x:c r="H296" s="46"/>
      <x:c r="I296" s="46"/>
      <x:c r="J296" s="46"/>
      <x:c r="K296" s="46"/>
      <x:c r="L296" s="46"/>
      <x:c r="M296" s="46"/>
      <x:c r="N296" s="46"/>
      <x:c r="O296" s="46"/>
      <x:c r="P296" s="46"/>
      <x:c r="Q296" s="46"/>
      <x:c r="R296" s="46"/>
      <x:c r="S296" s="23"/>
      <x:c r="T296" s="23"/>
      <x:c r="U296" s="23"/>
      <x:c r="V296" s="23"/>
      <x:c r="W296" s="23"/>
      <x:c r="X296" s="23"/>
      <x:c r="Y296" s="23"/>
      <x:c r="Z296" s="23"/>
    </x:row>
    <x:row r="297">
      <x:c r="A297" s="46"/>
      <x:c r="B297" s="46"/>
      <x:c r="C297" s="46"/>
      <x:c r="D297" s="46"/>
      <x:c r="E297" s="46"/>
      <x:c r="F297" s="46"/>
      <x:c r="G297" s="46"/>
      <x:c r="H297" s="46"/>
      <x:c r="I297" s="46"/>
      <x:c r="J297" s="46"/>
      <x:c r="K297" s="46"/>
      <x:c r="L297" s="46"/>
      <x:c r="M297" s="46"/>
      <x:c r="N297" s="46"/>
      <x:c r="O297" s="46"/>
      <x:c r="P297" s="46"/>
      <x:c r="Q297" s="46"/>
      <x:c r="R297" s="46"/>
      <x:c r="S297" s="23"/>
      <x:c r="T297" s="23"/>
      <x:c r="U297" s="23"/>
      <x:c r="V297" s="23"/>
      <x:c r="W297" s="23"/>
      <x:c r="X297" s="23"/>
      <x:c r="Y297" s="23"/>
      <x:c r="Z297" s="23"/>
    </x:row>
    <x:row r="298">
      <x:c r="A298" s="46"/>
      <x:c r="B298" s="46"/>
      <x:c r="C298" s="46"/>
      <x:c r="D298" s="46"/>
      <x:c r="E298" s="46"/>
      <x:c r="F298" s="46"/>
      <x:c r="G298" s="46"/>
      <x:c r="H298" s="46"/>
      <x:c r="I298" s="46"/>
      <x:c r="J298" s="46"/>
      <x:c r="K298" s="46"/>
      <x:c r="L298" s="46"/>
      <x:c r="M298" s="46"/>
      <x:c r="N298" s="46"/>
      <x:c r="O298" s="46"/>
      <x:c r="P298" s="46"/>
      <x:c r="Q298" s="46"/>
      <x:c r="R298" s="46"/>
      <x:c r="S298" s="23"/>
      <x:c r="T298" s="23"/>
      <x:c r="U298" s="23"/>
      <x:c r="V298" s="23"/>
      <x:c r="W298" s="23"/>
      <x:c r="X298" s="23"/>
      <x:c r="Y298" s="23"/>
      <x:c r="Z298" s="23"/>
    </x:row>
    <x:row r="299">
      <x:c r="A299" s="46"/>
      <x:c r="B299" s="46"/>
      <x:c r="C299" s="46"/>
      <x:c r="D299" s="46"/>
      <x:c r="E299" s="46"/>
      <x:c r="F299" s="46"/>
      <x:c r="G299" s="46"/>
      <x:c r="H299" s="46"/>
      <x:c r="I299" s="46"/>
      <x:c r="J299" s="46"/>
      <x:c r="K299" s="46"/>
      <x:c r="L299" s="46"/>
      <x:c r="M299" s="46"/>
      <x:c r="N299" s="46"/>
      <x:c r="O299" s="46"/>
      <x:c r="P299" s="46"/>
      <x:c r="Q299" s="46"/>
      <x:c r="R299" s="46"/>
      <x:c r="S299" s="23"/>
      <x:c r="T299" s="23"/>
      <x:c r="U299" s="23"/>
      <x:c r="V299" s="23"/>
      <x:c r="W299" s="23"/>
      <x:c r="X299" s="23"/>
      <x:c r="Y299" s="23"/>
      <x:c r="Z299" s="23"/>
    </x:row>
    <x:row r="300">
      <x:c r="A300" s="46"/>
      <x:c r="B300" s="46"/>
      <x:c r="C300" s="46"/>
      <x:c r="D300" s="46"/>
      <x:c r="E300" s="46"/>
      <x:c r="F300" s="46"/>
      <x:c r="G300" s="46"/>
      <x:c r="H300" s="46"/>
      <x:c r="I300" s="46"/>
      <x:c r="J300" s="46"/>
      <x:c r="K300" s="46"/>
      <x:c r="L300" s="46"/>
      <x:c r="M300" s="46"/>
      <x:c r="N300" s="46"/>
      <x:c r="O300" s="46"/>
      <x:c r="P300" s="46"/>
      <x:c r="Q300" s="46"/>
      <x:c r="R300" s="46"/>
      <x:c r="S300" s="23"/>
      <x:c r="T300" s="23"/>
      <x:c r="U300" s="23"/>
      <x:c r="V300" s="23"/>
      <x:c r="W300" s="23"/>
      <x:c r="X300" s="23"/>
      <x:c r="Y300" s="23"/>
      <x:c r="Z300" s="23"/>
    </x:row>
  </x:sheetData>
  <x:conditionalFormatting sqref="I2:I50">
    <x:cfRule type="expression" dxfId="6" priority="1">
      <x:formula>I2="measured"</x:formula>
    </x:cfRule>
    <x:cfRule type="expression" dxfId="7" priority="2">
      <x:formula>I2="founder_equivalence"</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7" hidden="0" customWidth="1"/>
    <x:col min="2" max="2" width="36" hidden="0" customWidth="1"/>
    <x:col min="3" max="3" width="16" hidden="0" customWidth="1"/>
    <x:col min="4" max="4" width="24" hidden="0" customWidth="1"/>
    <x:col min="5" max="5" width="29" hidden="0" customWidth="1"/>
    <x:col min="6" max="6" width="50" hidden="0" customWidth="1"/>
    <x:col min="7" max="7" width="30" hidden="0" customWidth="1"/>
    <x:col min="8" max="8" width="12" hidden="0" customWidth="1"/>
    <x:col min="9" max="9" width="14" hidden="0" customWidth="1"/>
    <x:col min="10" max="10" width="14" hidden="0" customWidth="1"/>
    <x:col min="11" max="11" width="14" hidden="0" customWidth="1"/>
    <x:col min="12" max="12" width="18" hidden="0" customWidth="1"/>
    <x:col min="13" max="13" width="13" hidden="0" customWidth="1"/>
    <x:col min="14" max="14" width="13" hidden="0" customWidth="1"/>
    <x:col min="15" max="15" width="52" hidden="0" customWidth="1"/>
  </x:cols>
  <x:sheetData>
    <x:row r="1" ht="34" customHeight="1">
      <x:c r="A1" s="50" t="str">
        <x:v>compound_id</x:v>
      </x:c>
      <x:c r="B1" s="50" t="str">
        <x:v>canonical_name</x:v>
      </x:c>
      <x:c r="C1" s="50" t="str">
        <x:v>cas</x:v>
      </x:c>
      <x:c r="D1" s="50" t="str">
        <x:v>compound_group</x:v>
      </x:c>
      <x:c r="E1" s="50" t="str">
        <x:v>identity_source_type</x:v>
      </x:c>
      <x:c r="F1" s="50" t="str">
        <x:v>identity_source_url</x:v>
      </x:c>
      <x:c r="G1" s="50" t="str">
        <x:v>identity_status</x:v>
      </x:c>
      <x:c r="H1" s="50" t="str">
        <x:v>raw_state</x:v>
      </x:c>
      <x:c r="I1" s="50" t="str">
        <x:v>poached_state</x:v>
      </x:c>
      <x:c r="J1" s="50" t="str">
        <x:v>roasted_state</x:v>
      </x:c>
      <x:c r="K1" s="50" t="str">
        <x:v>stewed_state</x:v>
      </x:c>
      <x:c r="L1" s="50" t="str">
        <x:v>air_fried_partial</x:v>
      </x:c>
      <x:c r="M1" s="50" t="str">
        <x:v>fried_state</x:v>
      </x:c>
      <x:c r="N1" s="50" t="str">
        <x:v>grilled_state</x:v>
      </x:c>
      <x:c r="O1" s="50" t="str">
        <x:v>registry_notes</x:v>
      </x:c>
    </x:row>
    <x:row r="2">
      <x:c r="A2" s="46" t="str">
        <x:v>CHICK-CMP-001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v>marker</x:v>
      </x:c>
      <x:c r="J2" s="46" t="str">
        <x:v>yes</x:v>
      </x:c>
      <x:c r="K2" s="46" t="str">
        <x:v>yes</x:v>
      </x:c>
      <x:c r="L2" s="46" t="str">
        <x:v>partial</x:v>
      </x:c>
      <x:c r="M2" s="46" t="str"/>
      <x:c r="N2" s="46" t="str"/>
      <x:c r="O2" s="46" t="str">
        <x:v>Roasted source used commercial seasoned chicken; shared critical list is retained with source-context confound and is not eligible by itself for poultry-family promotion.</x:v>
      </x:c>
    </x:row>
    <x:row r="3">
      <x:c r="A3" s="46" t="str">
        <x:v>CHICK-CMP-002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v>yes</x:v>
      </x:c>
      <x:c r="L3" s="46" t="str"/>
      <x:c r="M3" s="46" t="str"/>
      <x:c r="N3" s="46" t="str"/>
      <x:c r="O3" s="46" t="str"/>
    </x:row>
    <x:row r="4">
      <x:c r="A4" s="46" t="str">
        <x:v>CHICK-CMP-003</x:v>
      </x:c>
      <x:c r="B4" s="46" t="str">
        <x:v>octanal</x:v>
      </x:c>
      <x:c r="C4" s="46" t="str">
        <x:v>124-13-0</x:v>
      </x:c>
      <x:c r="D4" s="46" t="str">
        <x:v>Carbonyls, aldehydes</x:v>
      </x:c>
      <x:c r="E4" s="46" t="str">
        <x:v>institutional chemical registry</x:v>
      </x:c>
      <x:c r="F4" s="46" t="str">
        <x:v>https://pubchem.ncbi.nlm.nih.gov/compound/Octanal</x:v>
      </x:c>
      <x:c r="G4" s="46" t="str">
        <x:v>verified</x:v>
      </x:c>
      <x:c r="H4" s="46" t="str">
        <x:v>yes</x:v>
      </x:c>
      <x:c r="I4" s="46" t="str"/>
      <x:c r="J4" s="46" t="str"/>
      <x:c r="K4" s="46" t="str">
        <x:v>yes</x:v>
      </x:c>
      <x:c r="L4" s="46" t="str">
        <x:v>partial</x:v>
      </x:c>
      <x:c r="M4" s="46" t="str"/>
      <x:c r="N4" s="46" t="str"/>
      <x:c r="O4" s="46" t="str"/>
    </x:row>
    <x:row r="5">
      <x:c r="A5" s="46" t="str">
        <x:v>CHICK-CMP-004</x:v>
      </x:c>
      <x:c r="B5" s="46" t="str">
        <x:v>nonanal</x:v>
      </x:c>
      <x:c r="C5" s="46" t="str">
        <x:v>124-19-6</x:v>
      </x:c>
      <x:c r="D5" s="46" t="str">
        <x:v>Carbonyls, aldehydes</x:v>
      </x:c>
      <x:c r="E5" s="46" t="str">
        <x:v>institutional chemical registry</x:v>
      </x:c>
      <x:c r="F5" s="46" t="str">
        <x:v>https://pubchem.ncbi.nlm.nih.gov/compound/Nonanal</x:v>
      </x:c>
      <x:c r="G5" s="46" t="str">
        <x:v>verified</x:v>
      </x:c>
      <x:c r="H5" s="46" t="str">
        <x:v>yes</x:v>
      </x:c>
      <x:c r="I5" s="46" t="str"/>
      <x:c r="J5" s="46" t="str"/>
      <x:c r="K5" s="46" t="str">
        <x:v>yes</x:v>
      </x:c>
      <x:c r="L5" s="46" t="str"/>
      <x:c r="M5" s="46" t="str"/>
      <x:c r="N5" s="46" t="str"/>
      <x:c r="O5" s="46" t="str"/>
    </x:row>
    <x:row r="6">
      <x:c r="A6" s="46" t="str">
        <x:v>CHICK-CMP-005</x:v>
      </x:c>
      <x:c r="B6" s="46" t="str">
        <x:v>dodecanal</x:v>
      </x:c>
      <x:c r="C6" s="46" t="str">
        <x:v>112-54-9</x:v>
      </x:c>
      <x:c r="D6" s="46" t="str">
        <x:v>Carbonyls, aldehydes</x:v>
      </x:c>
      <x:c r="E6" s="46" t="str">
        <x:v>institutional chemical registry</x:v>
      </x:c>
      <x:c r="F6" s="46" t="str">
        <x:v>https://pubchem.ncbi.nlm.nih.gov/compound/Dodecanal</x:v>
      </x:c>
      <x:c r="G6" s="46" t="str">
        <x:v>verified</x:v>
      </x:c>
      <x:c r="H6" s="46" t="str">
        <x:v>yes</x:v>
      </x:c>
      <x:c r="I6" s="46" t="str"/>
      <x:c r="J6" s="46" t="str"/>
      <x:c r="K6" s="46" t="str"/>
      <x:c r="L6" s="46" t="str"/>
      <x:c r="M6" s="46" t="str"/>
      <x:c r="N6" s="46" t="str"/>
      <x:c r="O6" s="46" t="str"/>
    </x:row>
    <x:row r="7">
      <x:c r="A7" s="46" t="str">
        <x:v>CHICK-CMP-006</x:v>
      </x:c>
      <x:c r="B7" s="46" t="str">
        <x:v>1-octen-3-ol</x:v>
      </x:c>
      <x:c r="C7" s="46" t="str">
        <x:v>3391-86-4</x:v>
      </x:c>
      <x:c r="D7" s="46" t="str">
        <x:v>Alcohols</x:v>
      </x:c>
      <x:c r="E7" s="46" t="str">
        <x:v>institutional chemical registry</x:v>
      </x:c>
      <x:c r="F7" s="46" t="str">
        <x:v>https://pubchem.ncbi.nlm.nih.gov/compound/1-Octen-3-Ol</x:v>
      </x:c>
      <x:c r="G7" s="46" t="str">
        <x:v>verified</x:v>
      </x:c>
      <x:c r="H7" s="46" t="str">
        <x:v>yes</x:v>
      </x:c>
      <x:c r="I7" s="46" t="str"/>
      <x:c r="J7" s="46" t="str">
        <x:v>yes</x:v>
      </x:c>
      <x:c r="K7" s="46" t="str">
        <x:v>yes</x:v>
      </x:c>
      <x:c r="L7" s="46" t="str"/>
      <x:c r="M7" s="46" t="str"/>
      <x:c r="N7" s="46" t="str"/>
      <x:c r="O7" s="46" t="str">
        <x:v>Roasted source used commercial seasoned chicken; shared critical list is retained with source-context confound and is not eligible by itself for poultry-family promotion.</x:v>
      </x:c>
    </x:row>
    <x:row r="8">
      <x:c r="A8" s="46" t="str">
        <x:v>CHICK-CMP-007</x:v>
      </x:c>
      <x:c r="B8" s="46" t="str">
        <x:v>dimethyl sulfide</x:v>
      </x:c>
      <x:c r="C8" s="46" t="str">
        <x:v>75-18-3</x:v>
      </x:c>
      <x:c r="D8" s="46" t="str">
        <x:v>Sulfur compounds</x:v>
      </x:c>
      <x:c r="E8" s="46" t="str">
        <x:v>institutional chemical registry</x:v>
      </x:c>
      <x:c r="F8" s="46" t="str">
        <x:v>https://pubchem.ncbi.nlm.nih.gov/compound/Dimethyl-Sulfide</x:v>
      </x:c>
      <x:c r="G8" s="46" t="str">
        <x:v>verified</x:v>
      </x:c>
      <x:c r="H8" s="46" t="str"/>
      <x:c r="I8" s="46" t="str">
        <x:v>marker</x:v>
      </x:c>
      <x:c r="J8" s="46" t="str"/>
      <x:c r="K8" s="46" t="str"/>
      <x:c r="L8" s="46" t="str"/>
      <x:c r="M8" s="46" t="str"/>
      <x:c r="N8" s="46" t="str"/>
      <x:c r="O8" s="46" t="str"/>
    </x:row>
    <x:row r="9">
      <x:c r="A9" s="46" t="str">
        <x:v>CHICK-CMP-008</x:v>
      </x:c>
      <x:c r="B9" s="46" t="str">
        <x:v>propanal</x:v>
      </x:c>
      <x:c r="C9" s="46" t="str">
        <x:v>123-38-6</x:v>
      </x:c>
      <x:c r="D9" s="46" t="str">
        <x:v>Carbonyls, aldehydes</x:v>
      </x:c>
      <x:c r="E9" s="46" t="str">
        <x:v>institutional chemical registry</x:v>
      </x:c>
      <x:c r="F9" s="46" t="str">
        <x:v>https://pubchem.ncbi.nlm.nih.gov/compound/Propanal</x:v>
      </x:c>
      <x:c r="G9" s="46" t="str">
        <x:v>verified</x:v>
      </x:c>
      <x:c r="H9" s="46" t="str"/>
      <x:c r="I9" s="46" t="str">
        <x:v>marker</x:v>
      </x:c>
      <x:c r="J9" s="46" t="str"/>
      <x:c r="K9" s="46" t="str"/>
      <x:c r="L9" s="46" t="str"/>
      <x:c r="M9" s="46" t="str"/>
      <x:c r="N9" s="46" t="str"/>
      <x:c r="O9" s="46" t="str"/>
    </x:row>
    <x:row r="10">
      <x:c r="A10" s="46" t="str">
        <x:v>CHICK-CMP-009</x:v>
      </x:c>
      <x:c r="B10" s="46" t="str">
        <x:v>3-ethyl-2,5-dimethylpyrazine</x:v>
      </x:c>
      <x:c r="C10" s="46" t="str">
        <x:v>13360-65-1</x:v>
      </x:c>
      <x:c r="D10" s="46" t="str">
        <x:v>Bases</x:v>
      </x:c>
      <x:c r="E10" s="46" t="str">
        <x:v>institutional chemical registry</x:v>
      </x:c>
      <x:c r="F10" s="46" t="str">
        <x:v>https://pubchem.ncbi.nlm.nih.gov/compound/3-Ethyl-2_5-dimethylpyrazine</x:v>
      </x:c>
      <x:c r="G10" s="46" t="str">
        <x:v>verified</x:v>
      </x:c>
      <x:c r="H10" s="46" t="str"/>
      <x:c r="I10" s="46" t="str"/>
      <x:c r="J10" s="46" t="str">
        <x:v>yes</x:v>
      </x:c>
      <x:c r="K10" s="46" t="str"/>
      <x:c r="L10" s="46" t="str"/>
      <x:c r="M10" s="46" t="str"/>
      <x:c r="N10" s="46" t="str"/>
      <x:c r="O10" s="46" t="str">
        <x:v>Roasted source used commercial seasoned chicken; shared critical list is retained with source-context confound and is not eligible by itself for poultry-family promotion.</x:v>
      </x:c>
    </x:row>
    <x:row r="11">
      <x:c r="A11" s="46" t="str">
        <x:v>CHICK-CMP-010</x:v>
      </x:c>
      <x:c r="B11" s="46" t="str">
        <x:v>2,5-dimethyltetrahydrofuran</x:v>
      </x:c>
      <x:c r="C11" s="46" t="str">
        <x:v>1003-38-9</x:v>
      </x:c>
      <x:c r="D11" s="46" t="str">
        <x:v>Ethers</x:v>
      </x:c>
      <x:c r="E11" s="46" t="str">
        <x:v>institutional chemical registry</x:v>
      </x:c>
      <x:c r="F11" s="46" t="str">
        <x:v>https://pubchem.ncbi.nlm.nih.gov/compound/2_5-Dimethyltetrahydrofuran</x:v>
      </x:c>
      <x:c r="G11" s="46" t="str">
        <x:v>verified</x:v>
      </x:c>
      <x:c r="H11" s="46" t="str"/>
      <x:c r="I11" s="46" t="str"/>
      <x:c r="J11" s="46" t="str">
        <x:v>yes</x:v>
      </x:c>
      <x:c r="K11" s="46" t="str"/>
      <x:c r="L11" s="46" t="str"/>
      <x:c r="M11" s="46" t="str"/>
      <x:c r="N11" s="46" t="str"/>
      <x:c r="O11" s="46" t="str">
        <x:v>Roasted source used commercial seasoned chicken; shared critical list is retained with source-context confound and is not eligible by itself for poultry-family promotion.</x:v>
      </x:c>
    </x:row>
    <x:row r="12">
      <x:c r="A12" s="46" t="str">
        <x:v>CHICK-CMP-011</x:v>
      </x:c>
      <x:c r="B12" s="46" t="str">
        <x:v>2-ethyl-5-methylpyrazine</x:v>
      </x:c>
      <x:c r="C12" s="46" t="str">
        <x:v>13360-64-0</x:v>
      </x:c>
      <x:c r="D12" s="46" t="str">
        <x:v>Bases</x:v>
      </x:c>
      <x:c r="E12" s="46" t="str">
        <x:v>institutional chemical registry</x:v>
      </x:c>
      <x:c r="F12" s="46" t="str">
        <x:v>https://pubchem.ncbi.nlm.nih.gov/compound/2-Ethyl-5-methylpyrazine</x:v>
      </x:c>
      <x:c r="G12" s="46" t="str">
        <x:v>verified</x:v>
      </x:c>
      <x:c r="H12" s="46" t="str"/>
      <x:c r="I12" s="46" t="str"/>
      <x:c r="J12" s="46" t="str">
        <x:v>yes</x:v>
      </x:c>
      <x:c r="K12" s="46" t="str"/>
      <x:c r="L12" s="46" t="str"/>
      <x:c r="M12" s="46" t="str"/>
      <x:c r="N12" s="46" t="str"/>
      <x:c r="O12" s="46" t="str">
        <x:v>Roasted source used commercial seasoned chicken; shared critical list is retained with source-context confound and is not eligible by itself for poultry-family promotion.</x:v>
      </x:c>
    </x:row>
    <x:row r="13">
      <x:c r="A13" s="46" t="str">
        <x:v>CHICK-CMP-012</x:v>
      </x:c>
      <x:c r="B13" s="46" t="str">
        <x:v>5-ethyl-2,3-dimethylpyrazine</x:v>
      </x:c>
      <x:c r="C13" s="46" t="str">
        <x:v>15707-34-3</x:v>
      </x:c>
      <x:c r="D13" s="46" t="str">
        <x:v>Bases</x:v>
      </x:c>
      <x:c r="E13" s="46" t="str">
        <x:v>institutional chemical registry</x:v>
      </x:c>
      <x:c r="F13" s="46" t="str">
        <x:v>https://precision.fda.gov/ginas/app/ui/substances/6496XCH56Q</x:v>
      </x:c>
      <x:c r="G13" s="46" t="str">
        <x:v>verified</x:v>
      </x:c>
      <x:c r="H13" s="46" t="str"/>
      <x:c r="I13" s="46" t="str"/>
      <x:c r="J13" s="46" t="str">
        <x:v>yes</x:v>
      </x:c>
      <x:c r="K13" s="46" t="str"/>
      <x:c r="L13" s="46" t="str"/>
      <x:c r="M13" s="46" t="str"/>
      <x:c r="N13" s="46" t="str"/>
      <x:c r="O13" s="46" t="str">
        <x:v>Roasted source used commercial seasoned chicken; shared critical list is retained with source-context confound and is not eligible by itself for poultry-family promotion.</x:v>
      </x:c>
    </x:row>
    <x:row r="14">
      <x:c r="A14" s="46" t="str">
        <x:v>CHICK-CMP-013</x:v>
      </x:c>
      <x:c r="B14" s="46" t="str">
        <x:v>2-methylbutanal</x:v>
      </x:c>
      <x:c r="C14" s="46" t="str">
        <x:v>96-17-3</x:v>
      </x:c>
      <x:c r="D14" s="46" t="str">
        <x:v>Carbonyls, aldehydes</x:v>
      </x:c>
      <x:c r="E14" s="46" t="str">
        <x:v>institutional chemical registry</x:v>
      </x:c>
      <x:c r="F14" s="46" t="str">
        <x:v>https://pubchem.ncbi.nlm.nih.gov/compound/2-Methylbutanal</x:v>
      </x:c>
      <x:c r="G14" s="46" t="str">
        <x:v>verified</x:v>
      </x:c>
      <x:c r="H14" s="46" t="str"/>
      <x:c r="I14" s="46" t="str"/>
      <x:c r="J14" s="46" t="str">
        <x:v>yes</x:v>
      </x:c>
      <x:c r="K14" s="46" t="str"/>
      <x:c r="L14" s="46" t="str"/>
      <x:c r="M14" s="46" t="str"/>
      <x:c r="N14" s="46" t="str"/>
      <x:c r="O14" s="46" t="str">
        <x:v>Roasted source used commercial seasoned chicken; shared critical list is retained with source-context confound and is not eligible by itself for poultry-family promotion.</x:v>
      </x:c>
    </x:row>
    <x:row r="15">
      <x:c r="A15" s="46" t="str">
        <x:v>CHICK-CMP-014</x:v>
      </x:c>
      <x:c r="B15" s="46" t="str">
        <x:v>hydroxyacetone</x:v>
      </x:c>
      <x:c r="C15" s="46" t="str">
        <x:v>116-09-6</x:v>
      </x:c>
      <x:c r="D15" s="46" t="str">
        <x:v>Carbonyls, ketones</x:v>
      </x:c>
      <x:c r="E15" s="46" t="str">
        <x:v>institutional chemical registry</x:v>
      </x:c>
      <x:c r="F15" s="46" t="str">
        <x:v>https://pubchem.ncbi.nlm.nih.gov/compound/Hydroxyacetone</x:v>
      </x:c>
      <x:c r="G15" s="46" t="str">
        <x:v>verified</x:v>
      </x:c>
      <x:c r="H15" s="46" t="str"/>
      <x:c r="I15" s="46" t="str"/>
      <x:c r="J15" s="46" t="str">
        <x:v>yes</x:v>
      </x:c>
      <x:c r="K15" s="46" t="str"/>
      <x:c r="L15" s="46" t="str"/>
      <x:c r="M15" s="46" t="str"/>
      <x:c r="N15" s="46" t="str"/>
      <x:c r="O15" s="46" t="str">
        <x:v>Roasted source used commercial seasoned chicken; shared critical list is retained with source-context confound and is not eligible by itself for poultry-family promotion.</x:v>
      </x:c>
    </x:row>
    <x:row r="16">
      <x:c r="A16" s="46" t="str">
        <x:v>CHICK-CMP-015</x:v>
      </x:c>
      <x:c r="B16" s="46" t="str">
        <x:v>(E,E)-2,4-decadienal</x:v>
      </x:c>
      <x:c r="C16" s="46" t="str">
        <x:v>25152-84-5</x:v>
      </x:c>
      <x:c r="D16" s="46" t="str">
        <x:v>Carbonyls, aldehydes</x:v>
      </x:c>
      <x:c r="E16" s="46" t="str">
        <x:v>institutional chemical registry</x:v>
      </x:c>
      <x:c r="F16" s="46" t="str">
        <x:v>https://pubchem.ncbi.nlm.nih.gov/compound/2_4-Decadienal</x:v>
      </x:c>
      <x:c r="G16" s="46" t="str">
        <x:v>verified</x:v>
      </x:c>
      <x:c r="H16" s="46" t="str"/>
      <x:c r="I16" s="46" t="str"/>
      <x:c r="J16" s="46" t="str">
        <x:v>yes</x:v>
      </x:c>
      <x:c r="K16" s="46" t="str"/>
      <x:c r="L16" s="46" t="str"/>
      <x:c r="M16" s="46" t="str"/>
      <x:c r="N16" s="46" t="str"/>
      <x:c r="O16" s="46" t="str">
        <x:v>Roasted source used commercial seasoned chicken; shared critical list is retained with source-context confound and is not eligible by itself for poultry-family promotion.</x:v>
      </x:c>
    </x:row>
    <x:row r="17">
      <x:c r="A17" s="46" t="str">
        <x:v>CHICK-CMP-016</x:v>
      </x:c>
      <x:c r="B17" s="46" t="str">
        <x:v>methanethiol</x:v>
      </x:c>
      <x:c r="C17" s="46" t="str">
        <x:v>74-93-1</x:v>
      </x:c>
      <x:c r="D17" s="46" t="str">
        <x:v>Sulfur compounds</x:v>
      </x:c>
      <x:c r="E17" s="46" t="str">
        <x:v>institutional chemical registry</x:v>
      </x:c>
      <x:c r="F17" s="46" t="str">
        <x:v>https://pubchem.ncbi.nlm.nih.gov/compound/Methanethiol</x:v>
      </x:c>
      <x:c r="G17" s="46" t="str">
        <x:v>verified</x:v>
      </x:c>
      <x:c r="H17" s="46" t="str"/>
      <x:c r="I17" s="46" t="str"/>
      <x:c r="J17" s="46" t="str">
        <x:v>yes</x:v>
      </x:c>
      <x:c r="K17" s="46" t="str"/>
      <x:c r="L17" s="46" t="str"/>
      <x:c r="M17" s="46" t="str"/>
      <x:c r="N17" s="46" t="str"/>
      <x:c r="O17" s="46" t="str">
        <x:v>Roasted source used commercial seasoned chicken; shared critical list is retained with source-context confound and is not eligible by itself for poultry-family promotion.</x:v>
      </x:c>
    </x:row>
    <x:row r="18">
      <x:c r="A18" s="46" t="str">
        <x:v>CHICK-CMP-017</x:v>
      </x:c>
      <x:c r="B18" s="46" t="str">
        <x:v>(E)-2-octenal</x:v>
      </x:c>
      <x:c r="C18" s="46" t="str">
        <x:v>2548-87-0</x:v>
      </x:c>
      <x:c r="D18" s="46" t="str">
        <x:v>Carbonyls, aldehydes</x:v>
      </x:c>
      <x:c r="E18" s="46" t="str">
        <x:v>institutional chemical registry</x:v>
      </x:c>
      <x:c r="F18" s="46" t="str">
        <x:v>https://pubchem.ncbi.nlm.nih.gov/compound/2-Octenal</x:v>
      </x:c>
      <x:c r="G18" s="46" t="str">
        <x:v>verified</x:v>
      </x:c>
      <x:c r="H18" s="46" t="str"/>
      <x:c r="I18" s="46" t="str"/>
      <x:c r="J18" s="46" t="str"/>
      <x:c r="K18" s="46" t="str">
        <x:v>yes</x:v>
      </x:c>
      <x:c r="L18" s="46" t="str"/>
      <x:c r="M18" s="46" t="str"/>
      <x:c r="N18" s="46" t="str"/>
      <x:c r="O18" s="46" t="str"/>
    </x:row>
    <x:row r="19">
      <x:c r="A19" s="46" t="str">
        <x:v>CHICK-CMP-018</x:v>
      </x:c>
      <x:c r="B19" s="46" t="str">
        <x:v>(E,E)-2,4-nonadienal</x:v>
      </x:c>
      <x:c r="C19" s="46" t="str">
        <x:v>5910-87-2</x:v>
      </x:c>
      <x:c r="D19" s="46" t="str">
        <x:v>Carbonyls, aldehydes</x:v>
      </x:c>
      <x:c r="E19" s="46" t="str">
        <x:v>institutional chemical registry</x:v>
      </x:c>
      <x:c r="F19" s="46" t="str">
        <x:v>https://pubchem.ncbi.nlm.nih.gov/compound/2_4-Nonadienal</x:v>
      </x:c>
      <x:c r="G19" s="46" t="str">
        <x:v>verified</x:v>
      </x:c>
      <x:c r="H19" s="46" t="str"/>
      <x:c r="I19" s="46" t="str"/>
      <x:c r="J19" s="46" t="str"/>
      <x:c r="K19" s="46" t="str">
        <x:v>yes</x:v>
      </x:c>
      <x:c r="L19" s="46" t="str"/>
      <x:c r="M19" s="46" t="str"/>
      <x:c r="N19" s="46" t="str"/>
      <x:c r="O19" s="46" t="str"/>
    </x:row>
    <x:row r="20">
      <x:c r="A20" s="46" t="str">
        <x:v>CHICK-CMP-019</x:v>
      </x:c>
      <x:c r="B20" s="46" t="str">
        <x:v>(E,Z)-2,4-decadienal</x:v>
      </x:c>
      <x:c r="C20" s="46"/>
      <x:c r="D20" s="46" t="str">
        <x:v>Carbonyls, aldehydes</x:v>
      </x:c>
      <x:c r="E20" s="46" t="str">
        <x:v>pending institutional identity lookup</x:v>
      </x:c>
      <x:c r="F20" s="46"/>
      <x:c r="G20" s="46" t="str">
        <x:v>identity_pending_stereospecific_confirmation</x:v>
      </x:c>
      <x:c r="H20" s="46" t="str"/>
      <x:c r="I20" s="46" t="str"/>
      <x:c r="J20" s="46" t="str"/>
      <x:c r="K20" s="46" t="str">
        <x:v>yes</x:v>
      </x:c>
      <x:c r="L20" s="46" t="str"/>
      <x:c r="M20" s="46" t="str"/>
      <x:c r="N20" s="46" t="str"/>
      <x:c r="O20" s="46" t="str">
        <x:v>Direct stewed-chicken source resolves the E,Z isomer, but exact CAS identity has not yet been independently confirmed from an institutional registry; row remains usable as source text but not promotion-ready.</x:v>
      </x:c>
    </x:row>
    <x:row r="21">
      <x:c r="A21" s="46" t="str">
        <x:v>CHICK-CMP-020</x:v>
      </x:c>
      <x:c r="B21" s="46" t="str">
        <x:v>decanal</x:v>
      </x:c>
      <x:c r="C21" s="46" t="str">
        <x:v>112-31-2</x:v>
      </x:c>
      <x:c r="D21" s="46" t="str">
        <x:v>Carbonyls, aldehydes</x:v>
      </x:c>
      <x:c r="E21" s="46" t="str">
        <x:v>institutional chemical registry</x:v>
      </x:c>
      <x:c r="F21" s="46" t="str">
        <x:v>https://pubchem.ncbi.nlm.nih.gov/compound/Decanal</x:v>
      </x:c>
      <x:c r="G21" s="46" t="str">
        <x:v>verified</x:v>
      </x:c>
      <x:c r="H21" s="46" t="str"/>
      <x:c r="I21" s="46" t="str"/>
      <x:c r="J21" s="46" t="str"/>
      <x:c r="K21" s="46" t="str">
        <x:v>yes</x:v>
      </x:c>
      <x:c r="L21" s="46" t="str"/>
      <x:c r="M21" s="46" t="str"/>
      <x:c r="N21" s="46" t="str"/>
      <x:c r="O21" s="46" t="str"/>
    </x:row>
    <x:row r="22">
      <x:c r="A22" s="46" t="str">
        <x:v>CHICK-CMP-021</x:v>
      </x:c>
      <x:c r="B22" s="46" t="str">
        <x:v>1-hexanol</x:v>
      </x:c>
      <x:c r="C22" s="46" t="str">
        <x:v>111-27-3</x:v>
      </x:c>
      <x:c r="D22" s="46" t="str">
        <x:v>Alcohols</x:v>
      </x:c>
      <x:c r="E22" s="46" t="str">
        <x:v>institutional chemical registry</x:v>
      </x:c>
      <x:c r="F22" s="46" t="str">
        <x:v>https://pubchem.ncbi.nlm.nih.gov/compound/1-Hexanol</x:v>
      </x:c>
      <x:c r="G22" s="46" t="str">
        <x:v>verified</x:v>
      </x:c>
      <x:c r="H22" s="46" t="str"/>
      <x:c r="I22" s="46" t="str"/>
      <x:c r="J22" s="46" t="str"/>
      <x:c r="K22" s="46" t="str">
        <x:v>yes</x:v>
      </x:c>
      <x:c r="L22" s="46" t="str"/>
      <x:c r="M22" s="46" t="str"/>
      <x:c r="N22" s="46" t="str"/>
      <x:c r="O22" s="46" t="str"/>
    </x:row>
    <x:row r="23">
      <x:c r="A23" s="46" t="str">
        <x:v>CHICK-CMP-022</x:v>
      </x:c>
      <x:c r="B23" s="46" t="str">
        <x:v>1-heptanol</x:v>
      </x:c>
      <x:c r="C23" s="46" t="str">
        <x:v>111-70-6</x:v>
      </x:c>
      <x:c r="D23" s="46" t="str">
        <x:v>Alcohols</x:v>
      </x:c>
      <x:c r="E23" s="46" t="str">
        <x:v>institutional chemical registry</x:v>
      </x:c>
      <x:c r="F23" s="46" t="str">
        <x:v>https://pubchem.ncbi.nlm.nih.gov/compound/111-70-6</x:v>
      </x:c>
      <x:c r="G23" s="46" t="str">
        <x:v>verified</x:v>
      </x:c>
      <x:c r="H23" s="46" t="str"/>
      <x:c r="I23" s="46" t="str"/>
      <x:c r="J23" s="46" t="str"/>
      <x:c r="K23" s="46" t="str">
        <x:v>yes</x:v>
      </x:c>
      <x:c r="L23" s="46" t="str"/>
      <x:c r="M23" s="46" t="str"/>
      <x:c r="N23" s="46" t="str"/>
      <x:c r="O23" s="46" t="str"/>
    </x:row>
    <x:row r="24">
      <x:c r="A24" s="46" t="str">
        <x:v>CHICK-CMP-023</x:v>
      </x:c>
      <x:c r="B24" s="46" t="str">
        <x:v>2-pentylfuran</x:v>
      </x:c>
      <x:c r="C24" s="46" t="str">
        <x:v>3777-69-3</x:v>
      </x:c>
      <x:c r="D24" s="46" t="str">
        <x:v>Furans</x:v>
      </x:c>
      <x:c r="E24" s="46" t="str">
        <x:v>institutional chemical registry</x:v>
      </x:c>
      <x:c r="F24" s="46" t="str">
        <x:v>https://pubchem.ncbi.nlm.nih.gov/compound/2-Pentylfuran</x:v>
      </x:c>
      <x:c r="G24" s="46" t="str">
        <x:v>verified</x:v>
      </x:c>
      <x:c r="H24" s="46" t="str"/>
      <x:c r="I24" s="46" t="str"/>
      <x:c r="J24" s="46" t="str"/>
      <x:c r="K24" s="46" t="str">
        <x:v>yes</x:v>
      </x:c>
      <x:c r="L24" s="46" t="str"/>
      <x:c r="M24" s="46" t="str"/>
      <x:c r="N24" s="46" t="str"/>
      <x:c r="O24" s="46" t="str"/>
    </x:row>
    <x:row r="25">
      <x:c r="A25" s="46" t="str">
        <x:v>CHICK-CMP-024</x:v>
      </x:c>
      <x:c r="B25" s="46" t="str">
        <x:v>dimethyl disulfide</x:v>
      </x:c>
      <x:c r="C25" s="46" t="str">
        <x:v>624-92-0</x:v>
      </x:c>
      <x:c r="D25" s="46" t="str">
        <x:v>Sulfur compounds</x:v>
      </x:c>
      <x:c r="E25" s="46" t="str">
        <x:v>institutional chemical registry</x:v>
      </x:c>
      <x:c r="F25" s="46" t="str">
        <x:v>https://pubchem.ncbi.nlm.nih.gov/compound/Dimethyl-Disulfide</x:v>
      </x:c>
      <x:c r="G25" s="46" t="str">
        <x:v>verified</x:v>
      </x:c>
      <x:c r="H25" s="46" t="str"/>
      <x:c r="I25" s="46" t="str"/>
      <x:c r="J25" s="46" t="str"/>
      <x:c r="K25" s="46" t="str">
        <x:v>yes</x:v>
      </x:c>
      <x:c r="L25" s="46" t="str"/>
      <x:c r="M25" s="46" t="str"/>
      <x:c r="N25" s="46" t="str"/>
      <x:c r="O25" s="46" t="str"/>
    </x:row>
    <x:row r="26">
      <x:c r="A26" s="46" t="str">
        <x:v>CHICK-CMP-025</x:v>
      </x:c>
      <x:c r="B26" s="46" t="str">
        <x:v>methional</x:v>
      </x:c>
      <x:c r="C26" s="46" t="str">
        <x:v>3268-49-3</x:v>
      </x:c>
      <x:c r="D26" s="46" t="str">
        <x:v>Sulfur compounds</x:v>
      </x:c>
      <x:c r="E26" s="46" t="str">
        <x:v>institutional chemical registry</x:v>
      </x:c>
      <x:c r="F26" s="46" t="str">
        <x:v>https://pubchem.ncbi.nlm.nih.gov/compound/Methional</x:v>
      </x:c>
      <x:c r="G26" s="46" t="str">
        <x:v>verified</x:v>
      </x:c>
      <x:c r="H26" s="46" t="str"/>
      <x:c r="I26" s="46" t="str"/>
      <x:c r="J26" s="46" t="str"/>
      <x:c r="K26" s="46" t="str"/>
      <x:c r="L26" s="46" t="str">
        <x:v>partial</x:v>
      </x:c>
      <x:c r="M26" s="46" t="str"/>
      <x:c r="N26" s="46" t="str"/>
      <x:c r="O26" s="46" t="str"/>
    </x:row>
    <x:row r="27">
      <x:c r="A27" s="46" t="str">
        <x:v>CHICK-CMP-026</x:v>
      </x:c>
      <x:c r="B27" s="46" t="str">
        <x:v>phenylacetaldehyde</x:v>
      </x:c>
      <x:c r="C27" s="46" t="str">
        <x:v>122-78-1</x:v>
      </x:c>
      <x:c r="D27" s="46" t="str">
        <x:v>Carbonyls, aldehydes</x:v>
      </x:c>
      <x:c r="E27" s="46" t="str">
        <x:v>institutional chemical registry</x:v>
      </x:c>
      <x:c r="F27" s="46" t="str">
        <x:v>https://pubchem.ncbi.nlm.nih.gov/compound/Phenylacetaldehyde</x:v>
      </x:c>
      <x:c r="G27" s="46" t="str">
        <x:v>verified</x:v>
      </x:c>
      <x:c r="H27" s="46" t="str"/>
      <x:c r="I27" s="46" t="str"/>
      <x:c r="J27" s="46" t="str"/>
      <x:c r="K27" s="46" t="str"/>
      <x:c r="L27" s="46" t="str">
        <x:v>partial</x:v>
      </x:c>
      <x:c r="M27" s="46" t="str"/>
      <x:c r="N27" s="46" t="str"/>
      <x:c r="O27" s="46" t="str"/>
    </x:row>
    <x:row r="28">
      <x:c r="A28" s="46" t="str">
        <x:v>CHICK-CMP-027</x:v>
      </x:c>
      <x:c r="B28" s="46" t="str">
        <x:v>3-methylbutanal</x:v>
      </x:c>
      <x:c r="C28" s="46" t="str">
        <x:v>590-86-3</x:v>
      </x:c>
      <x:c r="D28" s="46" t="str">
        <x:v>Carbonyls, aldehydes</x:v>
      </x:c>
      <x:c r="E28" s="46" t="str">
        <x:v>institutional chemical registry</x:v>
      </x:c>
      <x:c r="F28" s="46" t="str">
        <x:v>https://pubchem.ncbi.nlm.nih.gov/compound/3-Methylbutanal</x:v>
      </x:c>
      <x:c r="G28" s="46" t="str">
        <x:v>verified</x:v>
      </x:c>
      <x:c r="H28" s="46" t="str"/>
      <x:c r="I28" s="46" t="str"/>
      <x:c r="J28" s="46" t="str"/>
      <x:c r="K28" s="46" t="str"/>
      <x:c r="L28" s="46" t="str">
        <x:v>partial</x:v>
      </x:c>
      <x:c r="M28" s="46" t="str"/>
      <x:c r="N28" s="46" t="str"/>
      <x:c r="O28" s="46" t="str"/>
    </x:row>
    <x:row r="29">
      <x:c r="A29" s="46" t="str">
        <x:v>CHICK-CMP-028</x:v>
      </x:c>
      <x:c r="B29" s="46" t="str">
        <x:v>(E)-2-nonenal</x:v>
      </x:c>
      <x:c r="C29" s="46" t="str">
        <x:v>18829-56-6</x:v>
      </x:c>
      <x:c r="D29" s="46" t="str">
        <x:v>Carbonyls, aldehydes</x:v>
      </x:c>
      <x:c r="E29" s="46" t="str">
        <x:v>institutional chemical registry</x:v>
      </x:c>
      <x:c r="F29" s="46" t="str">
        <x:v>https://pubchem.ncbi.nlm.nih.gov/compound/trans-2-Nonenal</x:v>
      </x:c>
      <x:c r="G29" s="46" t="str">
        <x:v>verified</x:v>
      </x:c>
      <x:c r="H29" s="46" t="str"/>
      <x:c r="I29" s="46" t="str"/>
      <x:c r="J29" s="46" t="str"/>
      <x:c r="K29" s="46" t="str"/>
      <x:c r="L29" s="46" t="str">
        <x:v>partial</x:v>
      </x:c>
      <x:c r="M29" s="46" t="str"/>
      <x:c r="N29" s="46" t="str"/>
      <x:c r="O29" s="46" t="str"/>
    </x:row>
    <x:row r="30">
      <x:c r="A30" s="46"/>
      <x:c r="B30" s="46"/>
      <x:c r="C30" s="46"/>
      <x:c r="D30" s="46"/>
      <x:c r="E30" s="46"/>
      <x:c r="F30" s="46"/>
      <x:c r="G30" s="46"/>
      <x:c r="H30" s="46"/>
      <x:c r="I30" s="46"/>
      <x:c r="J30" s="46"/>
      <x:c r="K30" s="46"/>
      <x:c r="L30" s="46"/>
      <x:c r="M30" s="46"/>
      <x:c r="N30" s="46"/>
      <x:c r="O30" s="46"/>
    </x:row>
    <x:row r="31">
      <x:c r="A31" s="46"/>
      <x:c r="B31" s="46"/>
      <x:c r="C31" s="46"/>
      <x:c r="D31" s="46"/>
      <x:c r="E31" s="46"/>
      <x:c r="F31" s="46"/>
      <x:c r="G31" s="46"/>
      <x:c r="H31" s="46"/>
      <x:c r="I31" s="46"/>
      <x:c r="J31" s="46"/>
      <x:c r="K31" s="46"/>
      <x:c r="L31" s="46"/>
      <x:c r="M31" s="46"/>
      <x:c r="N31" s="46"/>
      <x:c r="O31" s="46"/>
    </x:row>
    <x:row r="32">
      <x:c r="A32" s="46"/>
      <x:c r="B32" s="46"/>
      <x:c r="C32" s="46"/>
      <x:c r="D32" s="46"/>
      <x:c r="E32" s="46"/>
      <x:c r="F32" s="46"/>
      <x:c r="G32" s="46"/>
      <x:c r="H32" s="46"/>
      <x:c r="I32" s="46"/>
      <x:c r="J32" s="46"/>
      <x:c r="K32" s="46"/>
      <x:c r="L32" s="46"/>
      <x:c r="M32" s="46"/>
      <x:c r="N32" s="46"/>
      <x:c r="O32" s="46"/>
    </x:row>
    <x:row r="33">
      <x:c r="A33" s="46"/>
      <x:c r="B33" s="46"/>
      <x:c r="C33" s="46"/>
      <x:c r="D33" s="46"/>
      <x:c r="E33" s="46"/>
      <x:c r="F33" s="46"/>
      <x:c r="G33" s="46"/>
      <x:c r="H33" s="46"/>
      <x:c r="I33" s="46"/>
      <x:c r="J33" s="46"/>
      <x:c r="K33" s="46"/>
      <x:c r="L33" s="46"/>
      <x:c r="M33" s="46"/>
      <x:c r="N33" s="46"/>
      <x:c r="O33" s="46"/>
    </x:row>
    <x:row r="34">
      <x:c r="A34" s="46"/>
      <x:c r="B34" s="46"/>
      <x:c r="C34" s="46"/>
      <x:c r="D34" s="46"/>
      <x:c r="E34" s="46"/>
      <x:c r="F34" s="46"/>
      <x:c r="G34" s="46"/>
      <x:c r="H34" s="46"/>
      <x:c r="I34" s="46"/>
      <x:c r="J34" s="46"/>
      <x:c r="K34" s="46"/>
      <x:c r="L34" s="46"/>
      <x:c r="M34" s="46"/>
      <x:c r="N34" s="46"/>
      <x:c r="O34" s="46"/>
    </x:row>
    <x:row r="35">
      <x:c r="A35" s="46"/>
      <x:c r="B35" s="46"/>
      <x:c r="C35" s="46"/>
      <x:c r="D35" s="46"/>
      <x:c r="E35" s="46"/>
      <x:c r="F35" s="46"/>
      <x:c r="G35" s="46"/>
      <x:c r="H35" s="46"/>
      <x:c r="I35" s="46"/>
      <x:c r="J35" s="46"/>
      <x:c r="K35" s="46"/>
      <x:c r="L35" s="46"/>
      <x:c r="M35" s="46"/>
      <x:c r="N35" s="46"/>
      <x:c r="O35" s="46"/>
    </x:row>
    <x:row r="36">
      <x:c r="A36" s="46"/>
      <x:c r="B36" s="46"/>
      <x:c r="C36" s="46"/>
      <x:c r="D36" s="46"/>
      <x:c r="E36" s="46"/>
      <x:c r="F36" s="46"/>
      <x:c r="G36" s="46"/>
      <x:c r="H36" s="46"/>
      <x:c r="I36" s="46"/>
      <x:c r="J36" s="46"/>
      <x:c r="K36" s="46"/>
      <x:c r="L36" s="46"/>
      <x:c r="M36" s="46"/>
      <x:c r="N36" s="46"/>
      <x:c r="O36" s="46"/>
    </x:row>
    <x:row r="37">
      <x:c r="A37" s="46"/>
      <x:c r="B37" s="46"/>
      <x:c r="C37" s="46"/>
      <x:c r="D37" s="46"/>
      <x:c r="E37" s="46"/>
      <x:c r="F37" s="46"/>
      <x:c r="G37" s="46"/>
      <x:c r="H37" s="46"/>
      <x:c r="I37" s="46"/>
      <x:c r="J37" s="46"/>
      <x:c r="K37" s="46"/>
      <x:c r="L37" s="46"/>
      <x:c r="M37" s="46"/>
      <x:c r="N37" s="46"/>
      <x:c r="O37" s="46"/>
    </x:row>
    <x:row r="38">
      <x:c r="A38" s="46"/>
      <x:c r="B38" s="46"/>
      <x:c r="C38" s="46"/>
      <x:c r="D38" s="46"/>
      <x:c r="E38" s="46"/>
      <x:c r="F38" s="46"/>
      <x:c r="G38" s="46"/>
      <x:c r="H38" s="46"/>
      <x:c r="I38" s="46"/>
      <x:c r="J38" s="46"/>
      <x:c r="K38" s="46"/>
      <x:c r="L38" s="46"/>
      <x:c r="M38" s="46"/>
      <x:c r="N38" s="46"/>
      <x:c r="O38" s="46"/>
    </x:row>
    <x:row r="39">
      <x:c r="A39" s="46"/>
      <x:c r="B39" s="46"/>
      <x:c r="C39" s="46"/>
      <x:c r="D39" s="46"/>
      <x:c r="E39" s="46"/>
      <x:c r="F39" s="46"/>
      <x:c r="G39" s="46"/>
      <x:c r="H39" s="46"/>
      <x:c r="I39" s="46"/>
      <x:c r="J39" s="46"/>
      <x:c r="K39" s="46"/>
      <x:c r="L39" s="46"/>
      <x:c r="M39" s="46"/>
      <x:c r="N39" s="46"/>
      <x:c r="O39" s="46"/>
    </x:row>
    <x:row r="40">
      <x:c r="A40" s="46"/>
      <x:c r="B40" s="46"/>
      <x:c r="C40" s="46"/>
      <x:c r="D40" s="46"/>
      <x:c r="E40" s="46"/>
      <x:c r="F40" s="46"/>
      <x:c r="G40" s="46"/>
      <x:c r="H40" s="46"/>
      <x:c r="I40" s="46"/>
      <x:c r="J40" s="46"/>
      <x:c r="K40" s="46"/>
      <x:c r="L40" s="46"/>
      <x:c r="M40" s="46"/>
      <x:c r="N40" s="46"/>
      <x:c r="O40" s="46"/>
    </x:row>
    <x:row r="41">
      <x:c r="A41" s="46"/>
      <x:c r="B41" s="46"/>
      <x:c r="C41" s="46"/>
      <x:c r="D41" s="46"/>
      <x:c r="E41" s="46"/>
      <x:c r="F41" s="46"/>
      <x:c r="G41" s="46"/>
      <x:c r="H41" s="46"/>
      <x:c r="I41" s="46"/>
      <x:c r="J41" s="46"/>
      <x:c r="K41" s="46"/>
      <x:c r="L41" s="46"/>
      <x:c r="M41" s="46"/>
      <x:c r="N41" s="46"/>
      <x:c r="O41" s="46"/>
    </x:row>
    <x:row r="42">
      <x:c r="A42" s="46"/>
      <x:c r="B42" s="46"/>
      <x:c r="C42" s="46"/>
      <x:c r="D42" s="46"/>
      <x:c r="E42" s="46"/>
      <x:c r="F42" s="46"/>
      <x:c r="G42" s="46"/>
      <x:c r="H42" s="46"/>
      <x:c r="I42" s="46"/>
      <x:c r="J42" s="46"/>
      <x:c r="K42" s="46"/>
      <x:c r="L42" s="46"/>
      <x:c r="M42" s="46"/>
      <x:c r="N42" s="46"/>
      <x:c r="O42" s="46"/>
    </x:row>
    <x:row r="43">
      <x:c r="A43" s="46"/>
      <x:c r="B43" s="46"/>
      <x:c r="C43" s="46"/>
      <x:c r="D43" s="46"/>
      <x:c r="E43" s="46"/>
      <x:c r="F43" s="46"/>
      <x:c r="G43" s="46"/>
      <x:c r="H43" s="46"/>
      <x:c r="I43" s="46"/>
      <x:c r="J43" s="46"/>
      <x:c r="K43" s="46"/>
      <x:c r="L43" s="46"/>
      <x:c r="M43" s="46"/>
      <x:c r="N43" s="46"/>
      <x:c r="O43" s="46"/>
    </x:row>
    <x:row r="44">
      <x:c r="A44" s="46"/>
      <x:c r="B44" s="46"/>
      <x:c r="C44" s="46"/>
      <x:c r="D44" s="46"/>
      <x:c r="E44" s="46"/>
      <x:c r="F44" s="46"/>
      <x:c r="G44" s="46"/>
      <x:c r="H44" s="46"/>
      <x:c r="I44" s="46"/>
      <x:c r="J44" s="46"/>
      <x:c r="K44" s="46"/>
      <x:c r="L44" s="46"/>
      <x:c r="M44" s="46"/>
      <x:c r="N44" s="46"/>
      <x:c r="O44" s="46"/>
    </x:row>
    <x:row r="45">
      <x:c r="A45" s="46"/>
      <x:c r="B45" s="46"/>
      <x:c r="C45" s="46"/>
      <x:c r="D45" s="46"/>
      <x:c r="E45" s="46"/>
      <x:c r="F45" s="46"/>
      <x:c r="G45" s="46"/>
      <x:c r="H45" s="46"/>
      <x:c r="I45" s="46"/>
      <x:c r="J45" s="46"/>
      <x:c r="K45" s="46"/>
      <x:c r="L45" s="46"/>
      <x:c r="M45" s="46"/>
      <x:c r="N45" s="46"/>
      <x:c r="O45" s="46"/>
    </x:row>
    <x:row r="46">
      <x:c r="A46" s="46"/>
      <x:c r="B46" s="46"/>
      <x:c r="C46" s="46"/>
      <x:c r="D46" s="46"/>
      <x:c r="E46" s="46"/>
      <x:c r="F46" s="46"/>
      <x:c r="G46" s="46"/>
      <x:c r="H46" s="46"/>
      <x:c r="I46" s="46"/>
      <x:c r="J46" s="46"/>
      <x:c r="K46" s="46"/>
      <x:c r="L46" s="46"/>
      <x:c r="M46" s="46"/>
      <x:c r="N46" s="46"/>
      <x:c r="O46" s="46"/>
    </x:row>
    <x:row r="47">
      <x:c r="A47" s="46"/>
      <x:c r="B47" s="46"/>
      <x:c r="C47" s="46"/>
      <x:c r="D47" s="46"/>
      <x:c r="E47" s="46"/>
      <x:c r="F47" s="46"/>
      <x:c r="G47" s="46"/>
      <x:c r="H47" s="46"/>
      <x:c r="I47" s="46"/>
      <x:c r="J47" s="46"/>
      <x:c r="K47" s="46"/>
      <x:c r="L47" s="46"/>
      <x:c r="M47" s="46"/>
      <x:c r="N47" s="46"/>
      <x:c r="O47" s="46"/>
    </x:row>
    <x:row r="48">
      <x:c r="A48" s="46"/>
      <x:c r="B48" s="46"/>
      <x:c r="C48" s="46"/>
      <x:c r="D48" s="46"/>
      <x:c r="E48" s="46"/>
      <x:c r="F48" s="46"/>
      <x:c r="G48" s="46"/>
      <x:c r="H48" s="46"/>
      <x:c r="I48" s="46"/>
      <x:c r="J48" s="46"/>
      <x:c r="K48" s="46"/>
      <x:c r="L48" s="46"/>
      <x:c r="M48" s="46"/>
      <x:c r="N48" s="46"/>
      <x:c r="O48" s="46"/>
    </x:row>
    <x:row r="49">
      <x:c r="A49" s="46"/>
      <x:c r="B49" s="46"/>
      <x:c r="C49" s="46"/>
      <x:c r="D49" s="46"/>
      <x:c r="E49" s="46"/>
      <x:c r="F49" s="46"/>
      <x:c r="G49" s="46"/>
      <x:c r="H49" s="46"/>
      <x:c r="I49" s="46"/>
      <x:c r="J49" s="46"/>
      <x:c r="K49" s="46"/>
      <x:c r="L49" s="46"/>
      <x:c r="M49" s="46"/>
      <x:c r="N49" s="46"/>
      <x:c r="O49" s="46"/>
    </x:row>
    <x:row r="50">
      <x:c r="A50" s="46"/>
      <x:c r="B50" s="46"/>
      <x:c r="C50" s="46"/>
      <x:c r="D50" s="46"/>
      <x:c r="E50" s="46"/>
      <x:c r="F50" s="46"/>
      <x:c r="G50" s="46"/>
      <x:c r="H50" s="46"/>
      <x:c r="I50" s="46"/>
      <x:c r="J50" s="46"/>
      <x:c r="K50" s="46"/>
      <x:c r="L50" s="46"/>
      <x:c r="M50" s="46"/>
      <x:c r="N50" s="46"/>
      <x:c r="O50" s="46"/>
    </x:row>
    <x:row r="51">
      <x:c r="A51" s="46"/>
      <x:c r="B51" s="46"/>
      <x:c r="C51" s="46"/>
      <x:c r="D51" s="46"/>
      <x:c r="E51" s="46"/>
      <x:c r="F51" s="46"/>
      <x:c r="G51" s="46"/>
      <x:c r="H51" s="46"/>
      <x:c r="I51" s="46"/>
      <x:c r="J51" s="46"/>
      <x:c r="K51" s="46"/>
      <x:c r="L51" s="46"/>
      <x:c r="M51" s="46"/>
      <x:c r="N51" s="46"/>
      <x:c r="O51" s="46"/>
    </x:row>
    <x:row r="52">
      <x:c r="A52" s="46"/>
      <x:c r="B52" s="46"/>
      <x:c r="C52" s="46"/>
      <x:c r="D52" s="46"/>
      <x:c r="E52" s="46"/>
      <x:c r="F52" s="46"/>
      <x:c r="G52" s="46"/>
      <x:c r="H52" s="46"/>
      <x:c r="I52" s="46"/>
      <x:c r="J52" s="46"/>
      <x:c r="K52" s="46"/>
      <x:c r="L52" s="46"/>
      <x:c r="M52" s="46"/>
      <x:c r="N52" s="46"/>
      <x:c r="O52" s="46"/>
    </x:row>
    <x:row r="53">
      <x:c r="A53" s="46"/>
      <x:c r="B53" s="46"/>
      <x:c r="C53" s="46"/>
      <x:c r="D53" s="46"/>
      <x:c r="E53" s="46"/>
      <x:c r="F53" s="46"/>
      <x:c r="G53" s="46"/>
      <x:c r="H53" s="46"/>
      <x:c r="I53" s="46"/>
      <x:c r="J53" s="46"/>
      <x:c r="K53" s="46"/>
      <x:c r="L53" s="46"/>
      <x:c r="M53" s="46"/>
      <x:c r="N53" s="46"/>
      <x:c r="O53" s="46"/>
    </x:row>
    <x:row r="54">
      <x:c r="A54" s="46"/>
      <x:c r="B54" s="46"/>
      <x:c r="C54" s="46"/>
      <x:c r="D54" s="46"/>
      <x:c r="E54" s="46"/>
      <x:c r="F54" s="46"/>
      <x:c r="G54" s="46"/>
      <x:c r="H54" s="46"/>
      <x:c r="I54" s="46"/>
      <x:c r="J54" s="46"/>
      <x:c r="K54" s="46"/>
      <x:c r="L54" s="46"/>
      <x:c r="M54" s="46"/>
      <x:c r="N54" s="46"/>
      <x:c r="O54" s="46"/>
    </x:row>
    <x:row r="55">
      <x:c r="A55" s="46"/>
      <x:c r="B55" s="46"/>
      <x:c r="C55" s="46"/>
      <x:c r="D55" s="46"/>
      <x:c r="E55" s="46"/>
      <x:c r="F55" s="46"/>
      <x:c r="G55" s="46"/>
      <x:c r="H55" s="46"/>
      <x:c r="I55" s="46"/>
      <x:c r="J55" s="46"/>
      <x:c r="K55" s="46"/>
      <x:c r="L55" s="46"/>
      <x:c r="M55" s="46"/>
      <x:c r="N55" s="46"/>
      <x:c r="O55" s="46"/>
    </x:row>
    <x:row r="56">
      <x:c r="A56" s="46"/>
      <x:c r="B56" s="46"/>
      <x:c r="C56" s="46"/>
      <x:c r="D56" s="46"/>
      <x:c r="E56" s="46"/>
      <x:c r="F56" s="46"/>
      <x:c r="G56" s="46"/>
      <x:c r="H56" s="46"/>
      <x:c r="I56" s="46"/>
      <x:c r="J56" s="46"/>
      <x:c r="K56" s="46"/>
      <x:c r="L56" s="46"/>
      <x:c r="M56" s="46"/>
      <x:c r="N56" s="46"/>
      <x:c r="O56" s="46"/>
    </x:row>
    <x:row r="57">
      <x:c r="A57" s="46"/>
      <x:c r="B57" s="46"/>
      <x:c r="C57" s="46"/>
      <x:c r="D57" s="46"/>
      <x:c r="E57" s="46"/>
      <x:c r="F57" s="46"/>
      <x:c r="G57" s="46"/>
      <x:c r="H57" s="46"/>
      <x:c r="I57" s="46"/>
      <x:c r="J57" s="46"/>
      <x:c r="K57" s="46"/>
      <x:c r="L57" s="46"/>
      <x:c r="M57" s="46"/>
      <x:c r="N57" s="46"/>
      <x:c r="O57" s="46"/>
    </x:row>
    <x:row r="58">
      <x:c r="A58" s="46"/>
      <x:c r="B58" s="46"/>
      <x:c r="C58" s="46"/>
      <x:c r="D58" s="46"/>
      <x:c r="E58" s="46"/>
      <x:c r="F58" s="46"/>
      <x:c r="G58" s="46"/>
      <x:c r="H58" s="46"/>
      <x:c r="I58" s="46"/>
      <x:c r="J58" s="46"/>
      <x:c r="K58" s="46"/>
      <x:c r="L58" s="46"/>
      <x:c r="M58" s="46"/>
      <x:c r="N58" s="46"/>
      <x:c r="O58" s="46"/>
    </x:row>
    <x:row r="59">
      <x:c r="A59" s="46"/>
      <x:c r="B59" s="46"/>
      <x:c r="C59" s="46"/>
      <x:c r="D59" s="46"/>
      <x:c r="E59" s="46"/>
      <x:c r="F59" s="46"/>
      <x:c r="G59" s="46"/>
      <x:c r="H59" s="46"/>
      <x:c r="I59" s="46"/>
      <x:c r="J59" s="46"/>
      <x:c r="K59" s="46"/>
      <x:c r="L59" s="46"/>
      <x:c r="M59" s="46"/>
      <x:c r="N59" s="46"/>
      <x:c r="O59" s="46"/>
    </x:row>
    <x:row r="60">
      <x:c r="A60" s="46"/>
      <x:c r="B60" s="46"/>
      <x:c r="C60" s="46"/>
      <x:c r="D60" s="46"/>
      <x:c r="E60" s="46"/>
      <x:c r="F60" s="46"/>
      <x:c r="G60" s="46"/>
      <x:c r="H60" s="46"/>
      <x:c r="I60" s="46"/>
      <x:c r="J60" s="46"/>
      <x:c r="K60" s="46"/>
      <x:c r="L60" s="46"/>
      <x:c r="M60" s="46"/>
      <x:c r="N60" s="46"/>
      <x:c r="O60" s="46"/>
    </x:row>
    <x:row r="61">
      <x:c r="A61" s="46"/>
      <x:c r="B61" s="46"/>
      <x:c r="C61" s="46"/>
      <x:c r="D61" s="46"/>
      <x:c r="E61" s="46"/>
      <x:c r="F61" s="46"/>
      <x:c r="G61" s="46"/>
      <x:c r="H61" s="46"/>
      <x:c r="I61" s="46"/>
      <x:c r="J61" s="46"/>
      <x:c r="K61" s="46"/>
      <x:c r="L61" s="46"/>
      <x:c r="M61" s="46"/>
      <x:c r="N61" s="46"/>
      <x:c r="O61" s="46"/>
    </x:row>
    <x:row r="62">
      <x:c r="A62" s="46"/>
      <x:c r="B62" s="46"/>
      <x:c r="C62" s="46"/>
      <x:c r="D62" s="46"/>
      <x:c r="E62" s="46"/>
      <x:c r="F62" s="46"/>
      <x:c r="G62" s="46"/>
      <x:c r="H62" s="46"/>
      <x:c r="I62" s="46"/>
      <x:c r="J62" s="46"/>
      <x:c r="K62" s="46"/>
      <x:c r="L62" s="46"/>
      <x:c r="M62" s="46"/>
      <x:c r="N62" s="46"/>
      <x:c r="O62" s="46"/>
    </x:row>
    <x:row r="63">
      <x:c r="A63" s="46"/>
      <x:c r="B63" s="46"/>
      <x:c r="C63" s="46"/>
      <x:c r="D63" s="46"/>
      <x:c r="E63" s="46"/>
      <x:c r="F63" s="46"/>
      <x:c r="G63" s="46"/>
      <x:c r="H63" s="46"/>
      <x:c r="I63" s="46"/>
      <x:c r="J63" s="46"/>
      <x:c r="K63" s="46"/>
      <x:c r="L63" s="46"/>
      <x:c r="M63" s="46"/>
      <x:c r="N63" s="46"/>
      <x:c r="O63" s="46"/>
    </x:row>
    <x:row r="64">
      <x:c r="A64" s="46"/>
      <x:c r="B64" s="46"/>
      <x:c r="C64" s="46"/>
      <x:c r="D64" s="46"/>
      <x:c r="E64" s="46"/>
      <x:c r="F64" s="46"/>
      <x:c r="G64" s="46"/>
      <x:c r="H64" s="46"/>
      <x:c r="I64" s="46"/>
      <x:c r="J64" s="46"/>
      <x:c r="K64" s="46"/>
      <x:c r="L64" s="46"/>
      <x:c r="M64" s="46"/>
      <x:c r="N64" s="46"/>
      <x:c r="O64" s="46"/>
    </x:row>
    <x:row r="65">
      <x:c r="A65" s="46"/>
      <x:c r="B65" s="46"/>
      <x:c r="C65" s="46"/>
      <x:c r="D65" s="46"/>
      <x:c r="E65" s="46"/>
      <x:c r="F65" s="46"/>
      <x:c r="G65" s="46"/>
      <x:c r="H65" s="46"/>
      <x:c r="I65" s="46"/>
      <x:c r="J65" s="46"/>
      <x:c r="K65" s="46"/>
      <x:c r="L65" s="46"/>
      <x:c r="M65" s="46"/>
      <x:c r="N65" s="46"/>
      <x:c r="O65" s="46"/>
    </x:row>
    <x:row r="66">
      <x:c r="A66" s="46"/>
      <x:c r="B66" s="46"/>
      <x:c r="C66" s="46"/>
      <x:c r="D66" s="46"/>
      <x:c r="E66" s="46"/>
      <x:c r="F66" s="46"/>
      <x:c r="G66" s="46"/>
      <x:c r="H66" s="46"/>
      <x:c r="I66" s="46"/>
      <x:c r="J66" s="46"/>
      <x:c r="K66" s="46"/>
      <x:c r="L66" s="46"/>
      <x:c r="M66" s="46"/>
      <x:c r="N66" s="46"/>
      <x:c r="O66" s="46"/>
    </x:row>
    <x:row r="67">
      <x:c r="A67" s="46"/>
      <x:c r="B67" s="46"/>
      <x:c r="C67" s="46"/>
      <x:c r="D67" s="46"/>
      <x:c r="E67" s="46"/>
      <x:c r="F67" s="46"/>
      <x:c r="G67" s="46"/>
      <x:c r="H67" s="46"/>
      <x:c r="I67" s="46"/>
      <x:c r="J67" s="46"/>
      <x:c r="K67" s="46"/>
      <x:c r="L67" s="46"/>
      <x:c r="M67" s="46"/>
      <x:c r="N67" s="46"/>
      <x:c r="O67" s="46"/>
    </x:row>
    <x:row r="68">
      <x:c r="A68" s="46"/>
      <x:c r="B68" s="46"/>
      <x:c r="C68" s="46"/>
      <x:c r="D68" s="46"/>
      <x:c r="E68" s="46"/>
      <x:c r="F68" s="46"/>
      <x:c r="G68" s="46"/>
      <x:c r="H68" s="46"/>
      <x:c r="I68" s="46"/>
      <x:c r="J68" s="46"/>
      <x:c r="K68" s="46"/>
      <x:c r="L68" s="46"/>
      <x:c r="M68" s="46"/>
      <x:c r="N68" s="46"/>
      <x:c r="O68" s="46"/>
    </x:row>
    <x:row r="69">
      <x:c r="A69" s="46"/>
      <x:c r="B69" s="46"/>
      <x:c r="C69" s="46"/>
      <x:c r="D69" s="46"/>
      <x:c r="E69" s="46"/>
      <x:c r="F69" s="46"/>
      <x:c r="G69" s="46"/>
      <x:c r="H69" s="46"/>
      <x:c r="I69" s="46"/>
      <x:c r="J69" s="46"/>
      <x:c r="K69" s="46"/>
      <x:c r="L69" s="46"/>
      <x:c r="M69" s="46"/>
      <x:c r="N69" s="46"/>
      <x:c r="O69" s="46"/>
    </x:row>
    <x:row r="70">
      <x:c r="A70" s="46"/>
      <x:c r="B70" s="46"/>
      <x:c r="C70" s="46"/>
      <x:c r="D70" s="46"/>
      <x:c r="E70" s="46"/>
      <x:c r="F70" s="46"/>
      <x:c r="G70" s="46"/>
      <x:c r="H70" s="46"/>
      <x:c r="I70" s="46"/>
      <x:c r="J70" s="46"/>
      <x:c r="K70" s="46"/>
      <x:c r="L70" s="46"/>
      <x:c r="M70" s="46"/>
      <x:c r="N70" s="46"/>
      <x:c r="O70" s="46"/>
    </x:row>
    <x:row r="71">
      <x:c r="A71" s="46"/>
      <x:c r="B71" s="46"/>
      <x:c r="C71" s="46"/>
      <x:c r="D71" s="46"/>
      <x:c r="E71" s="46"/>
      <x:c r="F71" s="46"/>
      <x:c r="G71" s="46"/>
      <x:c r="H71" s="46"/>
      <x:c r="I71" s="46"/>
      <x:c r="J71" s="46"/>
      <x:c r="K71" s="46"/>
      <x:c r="L71" s="46"/>
      <x:c r="M71" s="46"/>
      <x:c r="N71" s="46"/>
      <x:c r="O71" s="46"/>
    </x:row>
    <x:row r="72">
      <x:c r="A72" s="46"/>
      <x:c r="B72" s="46"/>
      <x:c r="C72" s="46"/>
      <x:c r="D72" s="46"/>
      <x:c r="E72" s="46"/>
      <x:c r="F72" s="46"/>
      <x:c r="G72" s="46"/>
      <x:c r="H72" s="46"/>
      <x:c r="I72" s="46"/>
      <x:c r="J72" s="46"/>
      <x:c r="K72" s="46"/>
      <x:c r="L72" s="46"/>
      <x:c r="M72" s="46"/>
      <x:c r="N72" s="46"/>
      <x:c r="O72" s="46"/>
    </x:row>
    <x:row r="73">
      <x:c r="A73" s="46"/>
      <x:c r="B73" s="46"/>
      <x:c r="C73" s="46"/>
      <x:c r="D73" s="46"/>
      <x:c r="E73" s="46"/>
      <x:c r="F73" s="46"/>
      <x:c r="G73" s="46"/>
      <x:c r="H73" s="46"/>
      <x:c r="I73" s="46"/>
      <x:c r="J73" s="46"/>
      <x:c r="K73" s="46"/>
      <x:c r="L73" s="46"/>
      <x:c r="M73" s="46"/>
      <x:c r="N73" s="46"/>
      <x:c r="O73" s="46"/>
    </x:row>
    <x:row r="74">
      <x:c r="A74" s="46"/>
      <x:c r="B74" s="46"/>
      <x:c r="C74" s="46"/>
      <x:c r="D74" s="46"/>
      <x:c r="E74" s="46"/>
      <x:c r="F74" s="46"/>
      <x:c r="G74" s="46"/>
      <x:c r="H74" s="46"/>
      <x:c r="I74" s="46"/>
      <x:c r="J74" s="46"/>
      <x:c r="K74" s="46"/>
      <x:c r="L74" s="46"/>
      <x:c r="M74" s="46"/>
      <x:c r="N74" s="46"/>
      <x:c r="O74" s="46"/>
    </x:row>
    <x:row r="75">
      <x:c r="A75" s="46"/>
      <x:c r="B75" s="46"/>
      <x:c r="C75" s="46"/>
      <x:c r="D75" s="46"/>
      <x:c r="E75" s="46"/>
      <x:c r="F75" s="46"/>
      <x:c r="G75" s="46"/>
      <x:c r="H75" s="46"/>
      <x:c r="I75" s="46"/>
      <x:c r="J75" s="46"/>
      <x:c r="K75" s="46"/>
      <x:c r="L75" s="46"/>
      <x:c r="M75" s="46"/>
      <x:c r="N75" s="46"/>
      <x:c r="O75" s="46"/>
    </x:row>
    <x:row r="76">
      <x:c r="A76" s="46"/>
      <x:c r="B76" s="46"/>
      <x:c r="C76" s="46"/>
      <x:c r="D76" s="46"/>
      <x:c r="E76" s="46"/>
      <x:c r="F76" s="46"/>
      <x:c r="G76" s="46"/>
      <x:c r="H76" s="46"/>
      <x:c r="I76" s="46"/>
      <x:c r="J76" s="46"/>
      <x:c r="K76" s="46"/>
      <x:c r="L76" s="46"/>
      <x:c r="M76" s="46"/>
      <x:c r="N76" s="46"/>
      <x:c r="O76" s="46"/>
    </x:row>
    <x:row r="77">
      <x:c r="A77" s="46"/>
      <x:c r="B77" s="46"/>
      <x:c r="C77" s="46"/>
      <x:c r="D77" s="46"/>
      <x:c r="E77" s="46"/>
      <x:c r="F77" s="46"/>
      <x:c r="G77" s="46"/>
      <x:c r="H77" s="46"/>
      <x:c r="I77" s="46"/>
      <x:c r="J77" s="46"/>
      <x:c r="K77" s="46"/>
      <x:c r="L77" s="46"/>
      <x:c r="M77" s="46"/>
      <x:c r="N77" s="46"/>
      <x:c r="O77" s="46"/>
    </x:row>
    <x:row r="78">
      <x:c r="A78" s="46"/>
      <x:c r="B78" s="46"/>
      <x:c r="C78" s="46"/>
      <x:c r="D78" s="46"/>
      <x:c r="E78" s="46"/>
      <x:c r="F78" s="46"/>
      <x:c r="G78" s="46"/>
      <x:c r="H78" s="46"/>
      <x:c r="I78" s="46"/>
      <x:c r="J78" s="46"/>
      <x:c r="K78" s="46"/>
      <x:c r="L78" s="46"/>
      <x:c r="M78" s="46"/>
      <x:c r="N78" s="46"/>
      <x:c r="O78" s="46"/>
    </x:row>
    <x:row r="79">
      <x:c r="A79" s="46"/>
      <x:c r="B79" s="46"/>
      <x:c r="C79" s="46"/>
      <x:c r="D79" s="46"/>
      <x:c r="E79" s="46"/>
      <x:c r="F79" s="46"/>
      <x:c r="G79" s="46"/>
      <x:c r="H79" s="46"/>
      <x:c r="I79" s="46"/>
      <x:c r="J79" s="46"/>
      <x:c r="K79" s="46"/>
      <x:c r="L79" s="46"/>
      <x:c r="M79" s="46"/>
      <x:c r="N79" s="46"/>
      <x:c r="O79" s="46"/>
    </x:row>
    <x:row r="80">
      <x:c r="A80" s="46"/>
      <x:c r="B80" s="46"/>
      <x:c r="C80" s="46"/>
      <x:c r="D80" s="46"/>
      <x:c r="E80" s="46"/>
      <x:c r="F80" s="46"/>
      <x:c r="G80" s="46"/>
      <x:c r="H80" s="46"/>
      <x:c r="I80" s="46"/>
      <x:c r="J80" s="46"/>
      <x:c r="K80" s="46"/>
      <x:c r="L80" s="46"/>
      <x:c r="M80" s="46"/>
      <x:c r="N80" s="46"/>
      <x:c r="O80" s="46"/>
    </x:row>
    <x:row r="81">
      <x:c r="A81" s="46"/>
      <x:c r="B81" s="46"/>
      <x:c r="C81" s="46"/>
      <x:c r="D81" s="46"/>
      <x:c r="E81" s="46"/>
      <x:c r="F81" s="46"/>
      <x:c r="G81" s="46"/>
      <x:c r="H81" s="46"/>
      <x:c r="I81" s="46"/>
      <x:c r="J81" s="46"/>
      <x:c r="K81" s="46"/>
      <x:c r="L81" s="46"/>
      <x:c r="M81" s="46"/>
      <x:c r="N81" s="46"/>
      <x:c r="O81" s="46"/>
    </x:row>
    <x:row r="82">
      <x:c r="A82" s="46"/>
      <x:c r="B82" s="46"/>
      <x:c r="C82" s="46"/>
      <x:c r="D82" s="46"/>
      <x:c r="E82" s="46"/>
      <x:c r="F82" s="46"/>
      <x:c r="G82" s="46"/>
      <x:c r="H82" s="46"/>
      <x:c r="I82" s="46"/>
      <x:c r="J82" s="46"/>
      <x:c r="K82" s="46"/>
      <x:c r="L82" s="46"/>
      <x:c r="M82" s="46"/>
      <x:c r="N82" s="46"/>
      <x:c r="O82" s="46"/>
    </x:row>
    <x:row r="83">
      <x:c r="A83" s="46"/>
      <x:c r="B83" s="46"/>
      <x:c r="C83" s="46"/>
      <x:c r="D83" s="46"/>
      <x:c r="E83" s="46"/>
      <x:c r="F83" s="46"/>
      <x:c r="G83" s="46"/>
      <x:c r="H83" s="46"/>
      <x:c r="I83" s="46"/>
      <x:c r="J83" s="46"/>
      <x:c r="K83" s="46"/>
      <x:c r="L83" s="46"/>
      <x:c r="M83" s="46"/>
      <x:c r="N83" s="46"/>
      <x:c r="O83" s="46"/>
    </x:row>
    <x:row r="84">
      <x:c r="A84" s="46"/>
      <x:c r="B84" s="46"/>
      <x:c r="C84" s="46"/>
      <x:c r="D84" s="46"/>
      <x:c r="E84" s="46"/>
      <x:c r="F84" s="46"/>
      <x:c r="G84" s="46"/>
      <x:c r="H84" s="46"/>
      <x:c r="I84" s="46"/>
      <x:c r="J84" s="46"/>
      <x:c r="K84" s="46"/>
      <x:c r="L84" s="46"/>
      <x:c r="M84" s="46"/>
      <x:c r="N84" s="46"/>
      <x:c r="O84" s="46"/>
    </x:row>
    <x:row r="85">
      <x:c r="A85" s="46"/>
      <x:c r="B85" s="46"/>
      <x:c r="C85" s="46"/>
      <x:c r="D85" s="46"/>
      <x:c r="E85" s="46"/>
      <x:c r="F85" s="46"/>
      <x:c r="G85" s="46"/>
      <x:c r="H85" s="46"/>
      <x:c r="I85" s="46"/>
      <x:c r="J85" s="46"/>
      <x:c r="K85" s="46"/>
      <x:c r="L85" s="46"/>
      <x:c r="M85" s="46"/>
      <x:c r="N85" s="46"/>
      <x:c r="O85" s="46"/>
    </x:row>
    <x:row r="86">
      <x:c r="A86" s="46"/>
      <x:c r="B86" s="46"/>
      <x:c r="C86" s="46"/>
      <x:c r="D86" s="46"/>
      <x:c r="E86" s="46"/>
      <x:c r="F86" s="46"/>
      <x:c r="G86" s="46"/>
      <x:c r="H86" s="46"/>
      <x:c r="I86" s="46"/>
      <x:c r="J86" s="46"/>
      <x:c r="K86" s="46"/>
      <x:c r="L86" s="46"/>
      <x:c r="M86" s="46"/>
      <x:c r="N86" s="46"/>
      <x:c r="O86" s="46"/>
    </x:row>
    <x:row r="87">
      <x:c r="A87" s="46"/>
      <x:c r="B87" s="46"/>
      <x:c r="C87" s="46"/>
      <x:c r="D87" s="46"/>
      <x:c r="E87" s="46"/>
      <x:c r="F87" s="46"/>
      <x:c r="G87" s="46"/>
      <x:c r="H87" s="46"/>
      <x:c r="I87" s="46"/>
      <x:c r="J87" s="46"/>
      <x:c r="K87" s="46"/>
      <x:c r="L87" s="46"/>
      <x:c r="M87" s="46"/>
      <x:c r="N87" s="46"/>
      <x:c r="O87" s="46"/>
    </x:row>
    <x:row r="88">
      <x:c r="A88" s="46"/>
      <x:c r="B88" s="46"/>
      <x:c r="C88" s="46"/>
      <x:c r="D88" s="46"/>
      <x:c r="E88" s="46"/>
      <x:c r="F88" s="46"/>
      <x:c r="G88" s="46"/>
      <x:c r="H88" s="46"/>
      <x:c r="I88" s="46"/>
      <x:c r="J88" s="46"/>
      <x:c r="K88" s="46"/>
      <x:c r="L88" s="46"/>
      <x:c r="M88" s="46"/>
      <x:c r="N88" s="46"/>
      <x:c r="O88" s="46"/>
    </x:row>
    <x:row r="89">
      <x:c r="A89" s="46"/>
      <x:c r="B89" s="46"/>
      <x:c r="C89" s="46"/>
      <x:c r="D89" s="46"/>
      <x:c r="E89" s="46"/>
      <x:c r="F89" s="46"/>
      <x:c r="G89" s="46"/>
      <x:c r="H89" s="46"/>
      <x:c r="I89" s="46"/>
      <x:c r="J89" s="46"/>
      <x:c r="K89" s="46"/>
      <x:c r="L89" s="46"/>
      <x:c r="M89" s="46"/>
      <x:c r="N89" s="46"/>
      <x:c r="O89" s="46"/>
    </x:row>
    <x:row r="90">
      <x:c r="A90" s="46"/>
      <x:c r="B90" s="46"/>
      <x:c r="C90" s="46"/>
      <x:c r="D90" s="46"/>
      <x:c r="E90" s="46"/>
      <x:c r="F90" s="46"/>
      <x:c r="G90" s="46"/>
      <x:c r="H90" s="46"/>
      <x:c r="I90" s="46"/>
      <x:c r="J90" s="46"/>
      <x:c r="K90" s="46"/>
      <x:c r="L90" s="46"/>
      <x:c r="M90" s="46"/>
      <x:c r="N90" s="46"/>
      <x:c r="O90" s="46"/>
    </x:row>
    <x:row r="91">
      <x:c r="A91" s="46"/>
      <x:c r="B91" s="46"/>
      <x:c r="C91" s="46"/>
      <x:c r="D91" s="46"/>
      <x:c r="E91" s="46"/>
      <x:c r="F91" s="46"/>
      <x:c r="G91" s="46"/>
      <x:c r="H91" s="46"/>
      <x:c r="I91" s="46"/>
      <x:c r="J91" s="46"/>
      <x:c r="K91" s="46"/>
      <x:c r="L91" s="46"/>
      <x:c r="M91" s="46"/>
      <x:c r="N91" s="46"/>
      <x:c r="O91" s="46"/>
    </x:row>
    <x:row r="92">
      <x:c r="A92" s="46"/>
      <x:c r="B92" s="46"/>
      <x:c r="C92" s="46"/>
      <x:c r="D92" s="46"/>
      <x:c r="E92" s="46"/>
      <x:c r="F92" s="46"/>
      <x:c r="G92" s="46"/>
      <x:c r="H92" s="46"/>
      <x:c r="I92" s="46"/>
      <x:c r="J92" s="46"/>
      <x:c r="K92" s="46"/>
      <x:c r="L92" s="46"/>
      <x:c r="M92" s="46"/>
      <x:c r="N92" s="46"/>
      <x:c r="O92" s="46"/>
    </x:row>
    <x:row r="93">
      <x:c r="A93" s="46"/>
      <x:c r="B93" s="46"/>
      <x:c r="C93" s="46"/>
      <x:c r="D93" s="46"/>
      <x:c r="E93" s="46"/>
      <x:c r="F93" s="46"/>
      <x:c r="G93" s="46"/>
      <x:c r="H93" s="46"/>
      <x:c r="I93" s="46"/>
      <x:c r="J93" s="46"/>
      <x:c r="K93" s="46"/>
      <x:c r="L93" s="46"/>
      <x:c r="M93" s="46"/>
      <x:c r="N93" s="46"/>
      <x:c r="O93" s="46"/>
    </x:row>
    <x:row r="94">
      <x:c r="A94" s="46"/>
      <x:c r="B94" s="46"/>
      <x:c r="C94" s="46"/>
      <x:c r="D94" s="46"/>
      <x:c r="E94" s="46"/>
      <x:c r="F94" s="46"/>
      <x:c r="G94" s="46"/>
      <x:c r="H94" s="46"/>
      <x:c r="I94" s="46"/>
      <x:c r="J94" s="46"/>
      <x:c r="K94" s="46"/>
      <x:c r="L94" s="46"/>
      <x:c r="M94" s="46"/>
      <x:c r="N94" s="46"/>
      <x:c r="O94" s="46"/>
    </x:row>
    <x:row r="95">
      <x:c r="A95" s="46"/>
      <x:c r="B95" s="46"/>
      <x:c r="C95" s="46"/>
      <x:c r="D95" s="46"/>
      <x:c r="E95" s="46"/>
      <x:c r="F95" s="46"/>
      <x:c r="G95" s="46"/>
      <x:c r="H95" s="46"/>
      <x:c r="I95" s="46"/>
      <x:c r="J95" s="46"/>
      <x:c r="K95" s="46"/>
      <x:c r="L95" s="46"/>
      <x:c r="M95" s="46"/>
      <x:c r="N95" s="46"/>
      <x:c r="O95" s="46"/>
    </x:row>
    <x:row r="96">
      <x:c r="A96" s="46"/>
      <x:c r="B96" s="46"/>
      <x:c r="C96" s="46"/>
      <x:c r="D96" s="46"/>
      <x:c r="E96" s="46"/>
      <x:c r="F96" s="46"/>
      <x:c r="G96" s="46"/>
      <x:c r="H96" s="46"/>
      <x:c r="I96" s="46"/>
      <x:c r="J96" s="46"/>
      <x:c r="K96" s="46"/>
      <x:c r="L96" s="46"/>
      <x:c r="M96" s="46"/>
      <x:c r="N96" s="46"/>
      <x:c r="O96" s="46"/>
    </x:row>
    <x:row r="97">
      <x:c r="A97" s="46"/>
      <x:c r="B97" s="46"/>
      <x:c r="C97" s="46"/>
      <x:c r="D97" s="46"/>
      <x:c r="E97" s="46"/>
      <x:c r="F97" s="46"/>
      <x:c r="G97" s="46"/>
      <x:c r="H97" s="46"/>
      <x:c r="I97" s="46"/>
      <x:c r="J97" s="46"/>
      <x:c r="K97" s="46"/>
      <x:c r="L97" s="46"/>
      <x:c r="M97" s="46"/>
      <x:c r="N97" s="46"/>
      <x:c r="O97" s="46"/>
    </x:row>
    <x:row r="98">
      <x:c r="A98" s="46"/>
      <x:c r="B98" s="46"/>
      <x:c r="C98" s="46"/>
      <x:c r="D98" s="46"/>
      <x:c r="E98" s="46"/>
      <x:c r="F98" s="46"/>
      <x:c r="G98" s="46"/>
      <x:c r="H98" s="46"/>
      <x:c r="I98" s="46"/>
      <x:c r="J98" s="46"/>
      <x:c r="K98" s="46"/>
      <x:c r="L98" s="46"/>
      <x:c r="M98" s="46"/>
      <x:c r="N98" s="46"/>
      <x:c r="O98" s="46"/>
    </x:row>
    <x:row r="99">
      <x:c r="A99" s="46"/>
      <x:c r="B99" s="46"/>
      <x:c r="C99" s="46"/>
      <x:c r="D99" s="46"/>
      <x:c r="E99" s="46"/>
      <x:c r="F99" s="46"/>
      <x:c r="G99" s="46"/>
      <x:c r="H99" s="46"/>
      <x:c r="I99" s="46"/>
      <x:c r="J99" s="46"/>
      <x:c r="K99" s="46"/>
      <x:c r="L99" s="46"/>
      <x:c r="M99" s="46"/>
      <x:c r="N99" s="46"/>
      <x:c r="O99" s="46"/>
    </x:row>
    <x:row r="100">
      <x:c r="A100" s="46"/>
      <x:c r="B100" s="46"/>
      <x:c r="C100" s="46"/>
      <x:c r="D100" s="46"/>
      <x:c r="E100" s="46"/>
      <x:c r="F100" s="46"/>
      <x:c r="G100" s="46"/>
      <x:c r="H100" s="46"/>
      <x:c r="I100" s="46"/>
      <x:c r="J100" s="46"/>
      <x:c r="K100" s="46"/>
      <x:c r="L100" s="46"/>
      <x:c r="M100" s="46"/>
      <x:c r="N100" s="46"/>
      <x:c r="O100" s="46"/>
    </x:row>
    <x:row r="101">
      <x:c r="A101" s="46"/>
      <x:c r="B101" s="46"/>
      <x:c r="C101" s="46"/>
      <x:c r="D101" s="46"/>
      <x:c r="E101" s="46"/>
      <x:c r="F101" s="46"/>
      <x:c r="G101" s="46"/>
      <x:c r="H101" s="46"/>
      <x:c r="I101" s="46"/>
      <x:c r="J101" s="46"/>
      <x:c r="K101" s="46"/>
      <x:c r="L101" s="46"/>
      <x:c r="M101" s="46"/>
      <x:c r="N101" s="46"/>
      <x:c r="O101" s="46"/>
    </x:row>
    <x:row r="102">
      <x:c r="A102" s="46"/>
      <x:c r="B102" s="46"/>
      <x:c r="C102" s="46"/>
      <x:c r="D102" s="46"/>
      <x:c r="E102" s="46"/>
      <x:c r="F102" s="46"/>
      <x:c r="G102" s="46"/>
      <x:c r="H102" s="46"/>
      <x:c r="I102" s="46"/>
      <x:c r="J102" s="46"/>
      <x:c r="K102" s="46"/>
      <x:c r="L102" s="46"/>
      <x:c r="M102" s="46"/>
      <x:c r="N102" s="46"/>
      <x:c r="O102" s="46"/>
    </x:row>
    <x:row r="103">
      <x:c r="A103" s="46"/>
      <x:c r="B103" s="46"/>
      <x:c r="C103" s="46"/>
      <x:c r="D103" s="46"/>
      <x:c r="E103" s="46"/>
      <x:c r="F103" s="46"/>
      <x:c r="G103" s="46"/>
      <x:c r="H103" s="46"/>
      <x:c r="I103" s="46"/>
      <x:c r="J103" s="46"/>
      <x:c r="K103" s="46"/>
      <x:c r="L103" s="46"/>
      <x:c r="M103" s="46"/>
      <x:c r="N103" s="46"/>
      <x:c r="O103" s="46"/>
    </x:row>
    <x:row r="104">
      <x:c r="A104" s="46"/>
      <x:c r="B104" s="46"/>
      <x:c r="C104" s="46"/>
      <x:c r="D104" s="46"/>
      <x:c r="E104" s="46"/>
      <x:c r="F104" s="46"/>
      <x:c r="G104" s="46"/>
      <x:c r="H104" s="46"/>
      <x:c r="I104" s="46"/>
      <x:c r="J104" s="46"/>
      <x:c r="K104" s="46"/>
      <x:c r="L104" s="46"/>
      <x:c r="M104" s="46"/>
      <x:c r="N104" s="46"/>
      <x:c r="O104" s="46"/>
    </x:row>
    <x:row r="105">
      <x:c r="A105" s="46"/>
      <x:c r="B105" s="46"/>
      <x:c r="C105" s="46"/>
      <x:c r="D105" s="46"/>
      <x:c r="E105" s="46"/>
      <x:c r="F105" s="46"/>
      <x:c r="G105" s="46"/>
      <x:c r="H105" s="46"/>
      <x:c r="I105" s="46"/>
      <x:c r="J105" s="46"/>
      <x:c r="K105" s="46"/>
      <x:c r="L105" s="46"/>
      <x:c r="M105" s="46"/>
      <x:c r="N105" s="46"/>
      <x:c r="O105" s="46"/>
    </x:row>
    <x:row r="106">
      <x:c r="A106" s="46"/>
      <x:c r="B106" s="46"/>
      <x:c r="C106" s="46"/>
      <x:c r="D106" s="46"/>
      <x:c r="E106" s="46"/>
      <x:c r="F106" s="46"/>
      <x:c r="G106" s="46"/>
      <x:c r="H106" s="46"/>
      <x:c r="I106" s="46"/>
      <x:c r="J106" s="46"/>
      <x:c r="K106" s="46"/>
      <x:c r="L106" s="46"/>
      <x:c r="M106" s="46"/>
      <x:c r="N106" s="46"/>
      <x:c r="O106" s="46"/>
    </x:row>
    <x:row r="107">
      <x:c r="A107" s="46"/>
      <x:c r="B107" s="46"/>
      <x:c r="C107" s="46"/>
      <x:c r="D107" s="46"/>
      <x:c r="E107" s="46"/>
      <x:c r="F107" s="46"/>
      <x:c r="G107" s="46"/>
      <x:c r="H107" s="46"/>
      <x:c r="I107" s="46"/>
      <x:c r="J107" s="46"/>
      <x:c r="K107" s="46"/>
      <x:c r="L107" s="46"/>
      <x:c r="M107" s="46"/>
      <x:c r="N107" s="46"/>
      <x:c r="O107" s="46"/>
    </x:row>
    <x:row r="108">
      <x:c r="A108" s="46"/>
      <x:c r="B108" s="46"/>
      <x:c r="C108" s="46"/>
      <x:c r="D108" s="46"/>
      <x:c r="E108" s="46"/>
      <x:c r="F108" s="46"/>
      <x:c r="G108" s="46"/>
      <x:c r="H108" s="46"/>
      <x:c r="I108" s="46"/>
      <x:c r="J108" s="46"/>
      <x:c r="K108" s="46"/>
      <x:c r="L108" s="46"/>
      <x:c r="M108" s="46"/>
      <x:c r="N108" s="46"/>
      <x:c r="O108" s="46"/>
    </x:row>
    <x:row r="109">
      <x:c r="A109" s="46"/>
      <x:c r="B109" s="46"/>
      <x:c r="C109" s="46"/>
      <x:c r="D109" s="46"/>
      <x:c r="E109" s="46"/>
      <x:c r="F109" s="46"/>
      <x:c r="G109" s="46"/>
      <x:c r="H109" s="46"/>
      <x:c r="I109" s="46"/>
      <x:c r="J109" s="46"/>
      <x:c r="K109" s="46"/>
      <x:c r="L109" s="46"/>
      <x:c r="M109" s="46"/>
      <x:c r="N109" s="46"/>
      <x:c r="O109" s="46"/>
    </x:row>
    <x:row r="110">
      <x:c r="A110" s="46"/>
      <x:c r="B110" s="46"/>
      <x:c r="C110" s="46"/>
      <x:c r="D110" s="46"/>
      <x:c r="E110" s="46"/>
      <x:c r="F110" s="46"/>
      <x:c r="G110" s="46"/>
      <x:c r="H110" s="46"/>
      <x:c r="I110" s="46"/>
      <x:c r="J110" s="46"/>
      <x:c r="K110" s="46"/>
      <x:c r="L110" s="46"/>
      <x:c r="M110" s="46"/>
      <x:c r="N110" s="46"/>
      <x:c r="O110" s="46"/>
    </x:row>
    <x:row r="111">
      <x:c r="A111" s="46"/>
      <x:c r="B111" s="46"/>
      <x:c r="C111" s="46"/>
      <x:c r="D111" s="46"/>
      <x:c r="E111" s="46"/>
      <x:c r="F111" s="46"/>
      <x:c r="G111" s="46"/>
      <x:c r="H111" s="46"/>
      <x:c r="I111" s="46"/>
      <x:c r="J111" s="46"/>
      <x:c r="K111" s="46"/>
      <x:c r="L111" s="46"/>
      <x:c r="M111" s="46"/>
      <x:c r="N111" s="46"/>
      <x:c r="O111" s="46"/>
    </x:row>
    <x:row r="112">
      <x:c r="A112" s="46"/>
      <x:c r="B112" s="46"/>
      <x:c r="C112" s="46"/>
      <x:c r="D112" s="46"/>
      <x:c r="E112" s="46"/>
      <x:c r="F112" s="46"/>
      <x:c r="G112" s="46"/>
      <x:c r="H112" s="46"/>
      <x:c r="I112" s="46"/>
      <x:c r="J112" s="46"/>
      <x:c r="K112" s="46"/>
      <x:c r="L112" s="46"/>
      <x:c r="M112" s="46"/>
      <x:c r="N112" s="46"/>
      <x:c r="O112" s="46"/>
    </x:row>
    <x:row r="113">
      <x:c r="A113" s="46"/>
      <x:c r="B113" s="46"/>
      <x:c r="C113" s="46"/>
      <x:c r="D113" s="46"/>
      <x:c r="E113" s="46"/>
      <x:c r="F113" s="46"/>
      <x:c r="G113" s="46"/>
      <x:c r="H113" s="46"/>
      <x:c r="I113" s="46"/>
      <x:c r="J113" s="46"/>
      <x:c r="K113" s="46"/>
      <x:c r="L113" s="46"/>
      <x:c r="M113" s="46"/>
      <x:c r="N113" s="46"/>
      <x:c r="O113" s="46"/>
    </x:row>
    <x:row r="114">
      <x:c r="A114" s="46"/>
      <x:c r="B114" s="46"/>
      <x:c r="C114" s="46"/>
      <x:c r="D114" s="46"/>
      <x:c r="E114" s="46"/>
      <x:c r="F114" s="46"/>
      <x:c r="G114" s="46"/>
      <x:c r="H114" s="46"/>
      <x:c r="I114" s="46"/>
      <x:c r="J114" s="46"/>
      <x:c r="K114" s="46"/>
      <x:c r="L114" s="46"/>
      <x:c r="M114" s="46"/>
      <x:c r="N114" s="46"/>
      <x:c r="O114" s="46"/>
    </x:row>
    <x:row r="115">
      <x:c r="A115" s="46"/>
      <x:c r="B115" s="46"/>
      <x:c r="C115" s="46"/>
      <x:c r="D115" s="46"/>
      <x:c r="E115" s="46"/>
      <x:c r="F115" s="46"/>
      <x:c r="G115" s="46"/>
      <x:c r="H115" s="46"/>
      <x:c r="I115" s="46"/>
      <x:c r="J115" s="46"/>
      <x:c r="K115" s="46"/>
      <x:c r="L115" s="46"/>
      <x:c r="M115" s="46"/>
      <x:c r="N115" s="46"/>
      <x:c r="O115" s="46"/>
    </x:row>
    <x:row r="116">
      <x:c r="A116" s="46"/>
      <x:c r="B116" s="46"/>
      <x:c r="C116" s="46"/>
      <x:c r="D116" s="46"/>
      <x:c r="E116" s="46"/>
      <x:c r="F116" s="46"/>
      <x:c r="G116" s="46"/>
      <x:c r="H116" s="46"/>
      <x:c r="I116" s="46"/>
      <x:c r="J116" s="46"/>
      <x:c r="K116" s="46"/>
      <x:c r="L116" s="46"/>
      <x:c r="M116" s="46"/>
      <x:c r="N116" s="46"/>
      <x:c r="O116" s="46"/>
    </x:row>
    <x:row r="117">
      <x:c r="A117" s="46"/>
      <x:c r="B117" s="46"/>
      <x:c r="C117" s="46"/>
      <x:c r="D117" s="46"/>
      <x:c r="E117" s="46"/>
      <x:c r="F117" s="46"/>
      <x:c r="G117" s="46"/>
      <x:c r="H117" s="46"/>
      <x:c r="I117" s="46"/>
      <x:c r="J117" s="46"/>
      <x:c r="K117" s="46"/>
      <x:c r="L117" s="46"/>
      <x:c r="M117" s="46"/>
      <x:c r="N117" s="46"/>
      <x:c r="O117" s="46"/>
    </x:row>
    <x:row r="118">
      <x:c r="A118" s="46"/>
      <x:c r="B118" s="46"/>
      <x:c r="C118" s="46"/>
      <x:c r="D118" s="46"/>
      <x:c r="E118" s="46"/>
      <x:c r="F118" s="46"/>
      <x:c r="G118" s="46"/>
      <x:c r="H118" s="46"/>
      <x:c r="I118" s="46"/>
      <x:c r="J118" s="46"/>
      <x:c r="K118" s="46"/>
      <x:c r="L118" s="46"/>
      <x:c r="M118" s="46"/>
      <x:c r="N118" s="46"/>
      <x:c r="O118" s="46"/>
    </x:row>
    <x:row r="119">
      <x:c r="A119" s="46"/>
      <x:c r="B119" s="46"/>
      <x:c r="C119" s="46"/>
      <x:c r="D119" s="46"/>
      <x:c r="E119" s="46"/>
      <x:c r="F119" s="46"/>
      <x:c r="G119" s="46"/>
      <x:c r="H119" s="46"/>
      <x:c r="I119" s="46"/>
      <x:c r="J119" s="46"/>
      <x:c r="K119" s="46"/>
      <x:c r="L119" s="46"/>
      <x:c r="M119" s="46"/>
      <x:c r="N119" s="46"/>
      <x:c r="O119" s="46"/>
    </x:row>
    <x:row r="120">
      <x:c r="A120" s="46"/>
      <x:c r="B120" s="46"/>
      <x:c r="C120" s="46"/>
      <x:c r="D120" s="46"/>
      <x:c r="E120" s="46"/>
      <x:c r="F120" s="46"/>
      <x:c r="G120" s="46"/>
      <x:c r="H120" s="46"/>
      <x:c r="I120" s="46"/>
      <x:c r="J120" s="46"/>
      <x:c r="K120" s="46"/>
      <x:c r="L120" s="46"/>
      <x:c r="M120" s="46"/>
      <x:c r="N120" s="46"/>
      <x:c r="O120" s="46"/>
    </x:row>
    <x:row r="121">
      <x:c r="A121" s="46"/>
      <x:c r="B121" s="46"/>
      <x:c r="C121" s="46"/>
      <x:c r="D121" s="46"/>
      <x:c r="E121" s="46"/>
      <x:c r="F121" s="46"/>
      <x:c r="G121" s="46"/>
      <x:c r="H121" s="46"/>
      <x:c r="I121" s="46"/>
      <x:c r="J121" s="46"/>
      <x:c r="K121" s="46"/>
      <x:c r="L121" s="46"/>
      <x:c r="M121" s="46"/>
      <x:c r="N121" s="46"/>
      <x:c r="O121" s="46"/>
    </x:row>
    <x:row r="122">
      <x:c r="A122" s="46"/>
      <x:c r="B122" s="46"/>
      <x:c r="C122" s="46"/>
      <x:c r="D122" s="46"/>
      <x:c r="E122" s="46"/>
      <x:c r="F122" s="46"/>
      <x:c r="G122" s="46"/>
      <x:c r="H122" s="46"/>
      <x:c r="I122" s="46"/>
      <x:c r="J122" s="46"/>
      <x:c r="K122" s="46"/>
      <x:c r="L122" s="46"/>
      <x:c r="M122" s="46"/>
      <x:c r="N122" s="46"/>
      <x:c r="O122" s="46"/>
    </x:row>
    <x:row r="123">
      <x:c r="A123" s="46"/>
      <x:c r="B123" s="46"/>
      <x:c r="C123" s="46"/>
      <x:c r="D123" s="46"/>
      <x:c r="E123" s="46"/>
      <x:c r="F123" s="46"/>
      <x:c r="G123" s="46"/>
      <x:c r="H123" s="46"/>
      <x:c r="I123" s="46"/>
      <x:c r="J123" s="46"/>
      <x:c r="K123" s="46"/>
      <x:c r="L123" s="46"/>
      <x:c r="M123" s="46"/>
      <x:c r="N123" s="46"/>
      <x:c r="O123" s="46"/>
    </x:row>
    <x:row r="124">
      <x:c r="A124" s="46"/>
      <x:c r="B124" s="46"/>
      <x:c r="C124" s="46"/>
      <x:c r="D124" s="46"/>
      <x:c r="E124" s="46"/>
      <x:c r="F124" s="46"/>
      <x:c r="G124" s="46"/>
      <x:c r="H124" s="46"/>
      <x:c r="I124" s="46"/>
      <x:c r="J124" s="46"/>
      <x:c r="K124" s="46"/>
      <x:c r="L124" s="46"/>
      <x:c r="M124" s="46"/>
      <x:c r="N124" s="46"/>
      <x:c r="O124" s="46"/>
    </x:row>
    <x:row r="125">
      <x:c r="A125" s="46"/>
      <x:c r="B125" s="46"/>
      <x:c r="C125" s="46"/>
      <x:c r="D125" s="46"/>
      <x:c r="E125" s="46"/>
      <x:c r="F125" s="46"/>
      <x:c r="G125" s="46"/>
      <x:c r="H125" s="46"/>
      <x:c r="I125" s="46"/>
      <x:c r="J125" s="46"/>
      <x:c r="K125" s="46"/>
      <x:c r="L125" s="46"/>
      <x:c r="M125" s="46"/>
      <x:c r="N125" s="46"/>
      <x:c r="O125" s="46"/>
    </x:row>
    <x:row r="126">
      <x:c r="A126" s="46"/>
      <x:c r="B126" s="46"/>
      <x:c r="C126" s="46"/>
      <x:c r="D126" s="46"/>
      <x:c r="E126" s="46"/>
      <x:c r="F126" s="46"/>
      <x:c r="G126" s="46"/>
      <x:c r="H126" s="46"/>
      <x:c r="I126" s="46"/>
      <x:c r="J126" s="46"/>
      <x:c r="K126" s="46"/>
      <x:c r="L126" s="46"/>
      <x:c r="M126" s="46"/>
      <x:c r="N126" s="46"/>
      <x:c r="O126" s="46"/>
    </x:row>
    <x:row r="127">
      <x:c r="A127" s="46"/>
      <x:c r="B127" s="46"/>
      <x:c r="C127" s="46"/>
      <x:c r="D127" s="46"/>
      <x:c r="E127" s="46"/>
      <x:c r="F127" s="46"/>
      <x:c r="G127" s="46"/>
      <x:c r="H127" s="46"/>
      <x:c r="I127" s="46"/>
      <x:c r="J127" s="46"/>
      <x:c r="K127" s="46"/>
      <x:c r="L127" s="46"/>
      <x:c r="M127" s="46"/>
      <x:c r="N127" s="46"/>
      <x:c r="O127" s="46"/>
    </x:row>
    <x:row r="128">
      <x:c r="A128" s="46"/>
      <x:c r="B128" s="46"/>
      <x:c r="C128" s="46"/>
      <x:c r="D128" s="46"/>
      <x:c r="E128" s="46"/>
      <x:c r="F128" s="46"/>
      <x:c r="G128" s="46"/>
      <x:c r="H128" s="46"/>
      <x:c r="I128" s="46"/>
      <x:c r="J128" s="46"/>
      <x:c r="K128" s="46"/>
      <x:c r="L128" s="46"/>
      <x:c r="M128" s="46"/>
      <x:c r="N128" s="46"/>
      <x:c r="O128" s="46"/>
    </x:row>
    <x:row r="129">
      <x:c r="A129" s="46"/>
      <x:c r="B129" s="46"/>
      <x:c r="C129" s="46"/>
      <x:c r="D129" s="46"/>
      <x:c r="E129" s="46"/>
      <x:c r="F129" s="46"/>
      <x:c r="G129" s="46"/>
      <x:c r="H129" s="46"/>
      <x:c r="I129" s="46"/>
      <x:c r="J129" s="46"/>
      <x:c r="K129" s="46"/>
      <x:c r="L129" s="46"/>
      <x:c r="M129" s="46"/>
      <x:c r="N129" s="46"/>
      <x:c r="O129" s="46"/>
    </x:row>
    <x:row r="130">
      <x:c r="A130" s="46"/>
      <x:c r="B130" s="46"/>
      <x:c r="C130" s="46"/>
      <x:c r="D130" s="46"/>
      <x:c r="E130" s="46"/>
      <x:c r="F130" s="46"/>
      <x:c r="G130" s="46"/>
      <x:c r="H130" s="46"/>
      <x:c r="I130" s="46"/>
      <x:c r="J130" s="46"/>
      <x:c r="K130" s="46"/>
      <x:c r="L130" s="46"/>
      <x:c r="M130" s="46"/>
      <x:c r="N130" s="46"/>
      <x:c r="O130" s="46"/>
    </x:row>
    <x:row r="131">
      <x:c r="A131" s="46"/>
      <x:c r="B131" s="46"/>
      <x:c r="C131" s="46"/>
      <x:c r="D131" s="46"/>
      <x:c r="E131" s="46"/>
      <x:c r="F131" s="46"/>
      <x:c r="G131" s="46"/>
      <x:c r="H131" s="46"/>
      <x:c r="I131" s="46"/>
      <x:c r="J131" s="46"/>
      <x:c r="K131" s="46"/>
      <x:c r="L131" s="46"/>
      <x:c r="M131" s="46"/>
      <x:c r="N131" s="46"/>
      <x:c r="O131" s="46"/>
    </x:row>
    <x:row r="132">
      <x:c r="A132" s="46"/>
      <x:c r="B132" s="46"/>
      <x:c r="C132" s="46"/>
      <x:c r="D132" s="46"/>
      <x:c r="E132" s="46"/>
      <x:c r="F132" s="46"/>
      <x:c r="G132" s="46"/>
      <x:c r="H132" s="46"/>
      <x:c r="I132" s="46"/>
      <x:c r="J132" s="46"/>
      <x:c r="K132" s="46"/>
      <x:c r="L132" s="46"/>
      <x:c r="M132" s="46"/>
      <x:c r="N132" s="46"/>
      <x:c r="O132" s="46"/>
    </x:row>
    <x:row r="133">
      <x:c r="A133" s="46"/>
      <x:c r="B133" s="46"/>
      <x:c r="C133" s="46"/>
      <x:c r="D133" s="46"/>
      <x:c r="E133" s="46"/>
      <x:c r="F133" s="46"/>
      <x:c r="G133" s="46"/>
      <x:c r="H133" s="46"/>
      <x:c r="I133" s="46"/>
      <x:c r="J133" s="46"/>
      <x:c r="K133" s="46"/>
      <x:c r="L133" s="46"/>
      <x:c r="M133" s="46"/>
      <x:c r="N133" s="46"/>
      <x:c r="O133" s="46"/>
    </x:row>
    <x:row r="134">
      <x:c r="A134" s="46"/>
      <x:c r="B134" s="46"/>
      <x:c r="C134" s="46"/>
      <x:c r="D134" s="46"/>
      <x:c r="E134" s="46"/>
      <x:c r="F134" s="46"/>
      <x:c r="G134" s="46"/>
      <x:c r="H134" s="46"/>
      <x:c r="I134" s="46"/>
      <x:c r="J134" s="46"/>
      <x:c r="K134" s="46"/>
      <x:c r="L134" s="46"/>
      <x:c r="M134" s="46"/>
      <x:c r="N134" s="46"/>
      <x:c r="O134" s="46"/>
    </x:row>
    <x:row r="135">
      <x:c r="A135" s="46"/>
      <x:c r="B135" s="46"/>
      <x:c r="C135" s="46"/>
      <x:c r="D135" s="46"/>
      <x:c r="E135" s="46"/>
      <x:c r="F135" s="46"/>
      <x:c r="G135" s="46"/>
      <x:c r="H135" s="46"/>
      <x:c r="I135" s="46"/>
      <x:c r="J135" s="46"/>
      <x:c r="K135" s="46"/>
      <x:c r="L135" s="46"/>
      <x:c r="M135" s="46"/>
      <x:c r="N135" s="46"/>
      <x:c r="O135" s="46"/>
    </x:row>
    <x:row r="136">
      <x:c r="A136" s="46"/>
      <x:c r="B136" s="46"/>
      <x:c r="C136" s="46"/>
      <x:c r="D136" s="46"/>
      <x:c r="E136" s="46"/>
      <x:c r="F136" s="46"/>
      <x:c r="G136" s="46"/>
      <x:c r="H136" s="46"/>
      <x:c r="I136" s="46"/>
      <x:c r="J136" s="46"/>
      <x:c r="K136" s="46"/>
      <x:c r="L136" s="46"/>
      <x:c r="M136" s="46"/>
      <x:c r="N136" s="46"/>
      <x:c r="O136" s="46"/>
    </x:row>
    <x:row r="137">
      <x:c r="A137" s="46"/>
      <x:c r="B137" s="46"/>
      <x:c r="C137" s="46"/>
      <x:c r="D137" s="46"/>
      <x:c r="E137" s="46"/>
      <x:c r="F137" s="46"/>
      <x:c r="G137" s="46"/>
      <x:c r="H137" s="46"/>
      <x:c r="I137" s="46"/>
      <x:c r="J137" s="46"/>
      <x:c r="K137" s="46"/>
      <x:c r="L137" s="46"/>
      <x:c r="M137" s="46"/>
      <x:c r="N137" s="46"/>
      <x:c r="O137" s="46"/>
    </x:row>
    <x:row r="138">
      <x:c r="A138" s="46"/>
      <x:c r="B138" s="46"/>
      <x:c r="C138" s="46"/>
      <x:c r="D138" s="46"/>
      <x:c r="E138" s="46"/>
      <x:c r="F138" s="46"/>
      <x:c r="G138" s="46"/>
      <x:c r="H138" s="46"/>
      <x:c r="I138" s="46"/>
      <x:c r="J138" s="46"/>
      <x:c r="K138" s="46"/>
      <x:c r="L138" s="46"/>
      <x:c r="M138" s="46"/>
      <x:c r="N138" s="46"/>
      <x:c r="O138" s="46"/>
    </x:row>
    <x:row r="139">
      <x:c r="A139" s="46"/>
      <x:c r="B139" s="46"/>
      <x:c r="C139" s="46"/>
      <x:c r="D139" s="46"/>
      <x:c r="E139" s="46"/>
      <x:c r="F139" s="46"/>
      <x:c r="G139" s="46"/>
      <x:c r="H139" s="46"/>
      <x:c r="I139" s="46"/>
      <x:c r="J139" s="46"/>
      <x:c r="K139" s="46"/>
      <x:c r="L139" s="46"/>
      <x:c r="M139" s="46"/>
      <x:c r="N139" s="46"/>
      <x:c r="O139" s="46"/>
    </x:row>
    <x:row r="140">
      <x:c r="A140" s="46"/>
      <x:c r="B140" s="46"/>
      <x:c r="C140" s="46"/>
      <x:c r="D140" s="46"/>
      <x:c r="E140" s="46"/>
      <x:c r="F140" s="46"/>
      <x:c r="G140" s="46"/>
      <x:c r="H140" s="46"/>
      <x:c r="I140" s="46"/>
      <x:c r="J140" s="46"/>
      <x:c r="K140" s="46"/>
      <x:c r="L140" s="46"/>
      <x:c r="M140" s="46"/>
      <x:c r="N140" s="46"/>
      <x:c r="O140" s="46"/>
    </x:row>
    <x:row r="141">
      <x:c r="A141" s="46"/>
      <x:c r="B141" s="46"/>
      <x:c r="C141" s="46"/>
      <x:c r="D141" s="46"/>
      <x:c r="E141" s="46"/>
      <x:c r="F141" s="46"/>
      <x:c r="G141" s="46"/>
      <x:c r="H141" s="46"/>
      <x:c r="I141" s="46"/>
      <x:c r="J141" s="46"/>
      <x:c r="K141" s="46"/>
      <x:c r="L141" s="46"/>
      <x:c r="M141" s="46"/>
      <x:c r="N141" s="46"/>
      <x:c r="O141" s="46"/>
    </x:row>
    <x:row r="142">
      <x:c r="A142" s="46"/>
      <x:c r="B142" s="46"/>
      <x:c r="C142" s="46"/>
      <x:c r="D142" s="46"/>
      <x:c r="E142" s="46"/>
      <x:c r="F142" s="46"/>
      <x:c r="G142" s="46"/>
      <x:c r="H142" s="46"/>
      <x:c r="I142" s="46"/>
      <x:c r="J142" s="46"/>
      <x:c r="K142" s="46"/>
      <x:c r="L142" s="46"/>
      <x:c r="M142" s="46"/>
      <x:c r="N142" s="46"/>
      <x:c r="O142" s="46"/>
    </x:row>
    <x:row r="143">
      <x:c r="A143" s="46"/>
      <x:c r="B143" s="46"/>
      <x:c r="C143" s="46"/>
      <x:c r="D143" s="46"/>
      <x:c r="E143" s="46"/>
      <x:c r="F143" s="46"/>
      <x:c r="G143" s="46"/>
      <x:c r="H143" s="46"/>
      <x:c r="I143" s="46"/>
      <x:c r="J143" s="46"/>
      <x:c r="K143" s="46"/>
      <x:c r="L143" s="46"/>
      <x:c r="M143" s="46"/>
      <x:c r="N143" s="46"/>
      <x:c r="O143" s="46"/>
    </x:row>
    <x:row r="144">
      <x:c r="A144" s="46"/>
      <x:c r="B144" s="46"/>
      <x:c r="C144" s="46"/>
      <x:c r="D144" s="46"/>
      <x:c r="E144" s="46"/>
      <x:c r="F144" s="46"/>
      <x:c r="G144" s="46"/>
      <x:c r="H144" s="46"/>
      <x:c r="I144" s="46"/>
      <x:c r="J144" s="46"/>
      <x:c r="K144" s="46"/>
      <x:c r="L144" s="46"/>
      <x:c r="M144" s="46"/>
      <x:c r="N144" s="46"/>
      <x:c r="O144" s="46"/>
    </x:row>
    <x:row r="145">
      <x:c r="A145" s="46"/>
      <x:c r="B145" s="46"/>
      <x:c r="C145" s="46"/>
      <x:c r="D145" s="46"/>
      <x:c r="E145" s="46"/>
      <x:c r="F145" s="46"/>
      <x:c r="G145" s="46"/>
      <x:c r="H145" s="46"/>
      <x:c r="I145" s="46"/>
      <x:c r="J145" s="46"/>
      <x:c r="K145" s="46"/>
      <x:c r="L145" s="46"/>
      <x:c r="M145" s="46"/>
      <x:c r="N145" s="46"/>
      <x:c r="O145" s="46"/>
    </x:row>
    <x:row r="146">
      <x:c r="A146" s="46"/>
      <x:c r="B146" s="46"/>
      <x:c r="C146" s="46"/>
      <x:c r="D146" s="46"/>
      <x:c r="E146" s="46"/>
      <x:c r="F146" s="46"/>
      <x:c r="G146" s="46"/>
      <x:c r="H146" s="46"/>
      <x:c r="I146" s="46"/>
      <x:c r="J146" s="46"/>
      <x:c r="K146" s="46"/>
      <x:c r="L146" s="46"/>
      <x:c r="M146" s="46"/>
      <x:c r="N146" s="46"/>
      <x:c r="O146" s="46"/>
    </x:row>
    <x:row r="147">
      <x:c r="A147" s="46"/>
      <x:c r="B147" s="46"/>
      <x:c r="C147" s="46"/>
      <x:c r="D147" s="46"/>
      <x:c r="E147" s="46"/>
      <x:c r="F147" s="46"/>
      <x:c r="G147" s="46"/>
      <x:c r="H147" s="46"/>
      <x:c r="I147" s="46"/>
      <x:c r="J147" s="46"/>
      <x:c r="K147" s="46"/>
      <x:c r="L147" s="46"/>
      <x:c r="M147" s="46"/>
      <x:c r="N147" s="46"/>
      <x:c r="O147" s="46"/>
    </x:row>
    <x:row r="148">
      <x:c r="A148" s="46"/>
      <x:c r="B148" s="46"/>
      <x:c r="C148" s="46"/>
      <x:c r="D148" s="46"/>
      <x:c r="E148" s="46"/>
      <x:c r="F148" s="46"/>
      <x:c r="G148" s="46"/>
      <x:c r="H148" s="46"/>
      <x:c r="I148" s="46"/>
      <x:c r="J148" s="46"/>
      <x:c r="K148" s="46"/>
      <x:c r="L148" s="46"/>
      <x:c r="M148" s="46"/>
      <x:c r="N148" s="46"/>
      <x:c r="O148" s="46"/>
    </x:row>
    <x:row r="149">
      <x:c r="A149" s="46"/>
      <x:c r="B149" s="46"/>
      <x:c r="C149" s="46"/>
      <x:c r="D149" s="46"/>
      <x:c r="E149" s="46"/>
      <x:c r="F149" s="46"/>
      <x:c r="G149" s="46"/>
      <x:c r="H149" s="46"/>
      <x:c r="I149" s="46"/>
      <x:c r="J149" s="46"/>
      <x:c r="K149" s="46"/>
      <x:c r="L149" s="46"/>
      <x:c r="M149" s="46"/>
      <x:c r="N149" s="46"/>
      <x:c r="O149" s="46"/>
    </x:row>
    <x:row r="150">
      <x:c r="A150" s="46"/>
      <x:c r="B150" s="46"/>
      <x:c r="C150" s="46"/>
      <x:c r="D150" s="46"/>
      <x:c r="E150" s="46"/>
      <x:c r="F150" s="46"/>
      <x:c r="G150" s="46"/>
      <x:c r="H150" s="46"/>
      <x:c r="I150" s="46"/>
      <x:c r="J150" s="46"/>
      <x:c r="K150" s="46"/>
      <x:c r="L150" s="46"/>
      <x:c r="M150" s="46"/>
      <x:c r="N150" s="46"/>
      <x:c r="O150" s="46"/>
    </x:row>
    <x:row r="151">
      <x:c r="A151" s="46"/>
      <x:c r="B151" s="46"/>
      <x:c r="C151" s="46"/>
      <x:c r="D151" s="46"/>
      <x:c r="E151" s="46"/>
      <x:c r="F151" s="46"/>
      <x:c r="G151" s="46"/>
      <x:c r="H151" s="46"/>
      <x:c r="I151" s="46"/>
      <x:c r="J151" s="46"/>
      <x:c r="K151" s="46"/>
      <x:c r="L151" s="46"/>
      <x:c r="M151" s="46"/>
      <x:c r="N151" s="46"/>
      <x:c r="O151" s="46"/>
    </x:row>
    <x:row r="152">
      <x:c r="A152" s="46"/>
      <x:c r="B152" s="46"/>
      <x:c r="C152" s="46"/>
      <x:c r="D152" s="46"/>
      <x:c r="E152" s="46"/>
      <x:c r="F152" s="46"/>
      <x:c r="G152" s="46"/>
      <x:c r="H152" s="46"/>
      <x:c r="I152" s="46"/>
      <x:c r="J152" s="46"/>
      <x:c r="K152" s="46"/>
      <x:c r="L152" s="46"/>
      <x:c r="M152" s="46"/>
      <x:c r="N152" s="46"/>
      <x:c r="O152" s="46"/>
    </x:row>
    <x:row r="153">
      <x:c r="A153" s="46"/>
      <x:c r="B153" s="46"/>
      <x:c r="C153" s="46"/>
      <x:c r="D153" s="46"/>
      <x:c r="E153" s="46"/>
      <x:c r="F153" s="46"/>
      <x:c r="G153" s="46"/>
      <x:c r="H153" s="46"/>
      <x:c r="I153" s="46"/>
      <x:c r="J153" s="46"/>
      <x:c r="K153" s="46"/>
      <x:c r="L153" s="46"/>
      <x:c r="M153" s="46"/>
      <x:c r="N153" s="46"/>
      <x:c r="O153" s="46"/>
    </x:row>
    <x:row r="154">
      <x:c r="A154" s="46"/>
      <x:c r="B154" s="46"/>
      <x:c r="C154" s="46"/>
      <x:c r="D154" s="46"/>
      <x:c r="E154" s="46"/>
      <x:c r="F154" s="46"/>
      <x:c r="G154" s="46"/>
      <x:c r="H154" s="46"/>
      <x:c r="I154" s="46"/>
      <x:c r="J154" s="46"/>
      <x:c r="K154" s="46"/>
      <x:c r="L154" s="46"/>
      <x:c r="M154" s="46"/>
      <x:c r="N154" s="46"/>
      <x:c r="O154" s="46"/>
    </x:row>
    <x:row r="155">
      <x:c r="A155" s="46"/>
      <x:c r="B155" s="46"/>
      <x:c r="C155" s="46"/>
      <x:c r="D155" s="46"/>
      <x:c r="E155" s="46"/>
      <x:c r="F155" s="46"/>
      <x:c r="G155" s="46"/>
      <x:c r="H155" s="46"/>
      <x:c r="I155" s="46"/>
      <x:c r="J155" s="46"/>
      <x:c r="K155" s="46"/>
      <x:c r="L155" s="46"/>
      <x:c r="M155" s="46"/>
      <x:c r="N155" s="46"/>
      <x:c r="O155" s="46"/>
    </x:row>
    <x:row r="156">
      <x:c r="A156" s="46"/>
      <x:c r="B156" s="46"/>
      <x:c r="C156" s="46"/>
      <x:c r="D156" s="46"/>
      <x:c r="E156" s="46"/>
      <x:c r="F156" s="46"/>
      <x:c r="G156" s="46"/>
      <x:c r="H156" s="46"/>
      <x:c r="I156" s="46"/>
      <x:c r="J156" s="46"/>
      <x:c r="K156" s="46"/>
      <x:c r="L156" s="46"/>
      <x:c r="M156" s="46"/>
      <x:c r="N156" s="46"/>
      <x:c r="O156" s="46"/>
    </x:row>
    <x:row r="157">
      <x:c r="A157" s="46"/>
      <x:c r="B157" s="46"/>
      <x:c r="C157" s="46"/>
      <x:c r="D157" s="46"/>
      <x:c r="E157" s="46"/>
      <x:c r="F157" s="46"/>
      <x:c r="G157" s="46"/>
      <x:c r="H157" s="46"/>
      <x:c r="I157" s="46"/>
      <x:c r="J157" s="46"/>
      <x:c r="K157" s="46"/>
      <x:c r="L157" s="46"/>
      <x:c r="M157" s="46"/>
      <x:c r="N157" s="46"/>
      <x:c r="O157" s="46"/>
    </x:row>
    <x:row r="158">
      <x:c r="A158" s="46"/>
      <x:c r="B158" s="46"/>
      <x:c r="C158" s="46"/>
      <x:c r="D158" s="46"/>
      <x:c r="E158" s="46"/>
      <x:c r="F158" s="46"/>
      <x:c r="G158" s="46"/>
      <x:c r="H158" s="46"/>
      <x:c r="I158" s="46"/>
      <x:c r="J158" s="46"/>
      <x:c r="K158" s="46"/>
      <x:c r="L158" s="46"/>
      <x:c r="M158" s="46"/>
      <x:c r="N158" s="46"/>
      <x:c r="O158" s="46"/>
    </x:row>
    <x:row r="159">
      <x:c r="A159" s="46"/>
      <x:c r="B159" s="46"/>
      <x:c r="C159" s="46"/>
      <x:c r="D159" s="46"/>
      <x:c r="E159" s="46"/>
      <x:c r="F159" s="46"/>
      <x:c r="G159" s="46"/>
      <x:c r="H159" s="46"/>
      <x:c r="I159" s="46"/>
      <x:c r="J159" s="46"/>
      <x:c r="K159" s="46"/>
      <x:c r="L159" s="46"/>
      <x:c r="M159" s="46"/>
      <x:c r="N159" s="46"/>
      <x:c r="O159" s="46"/>
    </x:row>
    <x:row r="160">
      <x:c r="A160" s="46"/>
      <x:c r="B160" s="46"/>
      <x:c r="C160" s="46"/>
      <x:c r="D160" s="46"/>
      <x:c r="E160" s="46"/>
      <x:c r="F160" s="46"/>
      <x:c r="G160" s="46"/>
      <x:c r="H160" s="46"/>
      <x:c r="I160" s="46"/>
      <x:c r="J160" s="46"/>
      <x:c r="K160" s="46"/>
      <x:c r="L160" s="46"/>
      <x:c r="M160" s="46"/>
      <x:c r="N160" s="46"/>
      <x:c r="O160" s="46"/>
    </x:row>
    <x:row r="161">
      <x:c r="A161" s="46"/>
      <x:c r="B161" s="46"/>
      <x:c r="C161" s="46"/>
      <x:c r="D161" s="46"/>
      <x:c r="E161" s="46"/>
      <x:c r="F161" s="46"/>
      <x:c r="G161" s="46"/>
      <x:c r="H161" s="46"/>
      <x:c r="I161" s="46"/>
      <x:c r="J161" s="46"/>
      <x:c r="K161" s="46"/>
      <x:c r="L161" s="46"/>
      <x:c r="M161" s="46"/>
      <x:c r="N161" s="46"/>
      <x:c r="O161" s="46"/>
    </x:row>
    <x:row r="162">
      <x:c r="A162" s="46"/>
      <x:c r="B162" s="46"/>
      <x:c r="C162" s="46"/>
      <x:c r="D162" s="46"/>
      <x:c r="E162" s="46"/>
      <x:c r="F162" s="46"/>
      <x:c r="G162" s="46"/>
      <x:c r="H162" s="46"/>
      <x:c r="I162" s="46"/>
      <x:c r="J162" s="46"/>
      <x:c r="K162" s="46"/>
      <x:c r="L162" s="46"/>
      <x:c r="M162" s="46"/>
      <x:c r="N162" s="46"/>
      <x:c r="O162" s="46"/>
    </x:row>
    <x:row r="163">
      <x:c r="A163" s="46"/>
      <x:c r="B163" s="46"/>
      <x:c r="C163" s="46"/>
      <x:c r="D163" s="46"/>
      <x:c r="E163" s="46"/>
      <x:c r="F163" s="46"/>
      <x:c r="G163" s="46"/>
      <x:c r="H163" s="46"/>
      <x:c r="I163" s="46"/>
      <x:c r="J163" s="46"/>
      <x:c r="K163" s="46"/>
      <x:c r="L163" s="46"/>
      <x:c r="M163" s="46"/>
      <x:c r="N163" s="46"/>
      <x:c r="O163" s="46"/>
    </x:row>
    <x:row r="164">
      <x:c r="A164" s="46"/>
      <x:c r="B164" s="46"/>
      <x:c r="C164" s="46"/>
      <x:c r="D164" s="46"/>
      <x:c r="E164" s="46"/>
      <x:c r="F164" s="46"/>
      <x:c r="G164" s="46"/>
      <x:c r="H164" s="46"/>
      <x:c r="I164" s="46"/>
      <x:c r="J164" s="46"/>
      <x:c r="K164" s="46"/>
      <x:c r="L164" s="46"/>
      <x:c r="M164" s="46"/>
      <x:c r="N164" s="46"/>
      <x:c r="O164" s="46"/>
    </x:row>
    <x:row r="165">
      <x:c r="A165" s="46"/>
      <x:c r="B165" s="46"/>
      <x:c r="C165" s="46"/>
      <x:c r="D165" s="46"/>
      <x:c r="E165" s="46"/>
      <x:c r="F165" s="46"/>
      <x:c r="G165" s="46"/>
      <x:c r="H165" s="46"/>
      <x:c r="I165" s="46"/>
      <x:c r="J165" s="46"/>
      <x:c r="K165" s="46"/>
      <x:c r="L165" s="46"/>
      <x:c r="M165" s="46"/>
      <x:c r="N165" s="46"/>
      <x:c r="O165" s="46"/>
    </x:row>
    <x:row r="166">
      <x:c r="A166" s="46"/>
      <x:c r="B166" s="46"/>
      <x:c r="C166" s="46"/>
      <x:c r="D166" s="46"/>
      <x:c r="E166" s="46"/>
      <x:c r="F166" s="46"/>
      <x:c r="G166" s="46"/>
      <x:c r="H166" s="46"/>
      <x:c r="I166" s="46"/>
      <x:c r="J166" s="46"/>
      <x:c r="K166" s="46"/>
      <x:c r="L166" s="46"/>
      <x:c r="M166" s="46"/>
      <x:c r="N166" s="46"/>
      <x:c r="O166" s="46"/>
    </x:row>
    <x:row r="167">
      <x:c r="A167" s="46"/>
      <x:c r="B167" s="46"/>
      <x:c r="C167" s="46"/>
      <x:c r="D167" s="46"/>
      <x:c r="E167" s="46"/>
      <x:c r="F167" s="46"/>
      <x:c r="G167" s="46"/>
      <x:c r="H167" s="46"/>
      <x:c r="I167" s="46"/>
      <x:c r="J167" s="46"/>
      <x:c r="K167" s="46"/>
      <x:c r="L167" s="46"/>
      <x:c r="M167" s="46"/>
      <x:c r="N167" s="46"/>
      <x:c r="O167" s="46"/>
    </x:row>
    <x:row r="168">
      <x:c r="A168" s="46"/>
      <x:c r="B168" s="46"/>
      <x:c r="C168" s="46"/>
      <x:c r="D168" s="46"/>
      <x:c r="E168" s="46"/>
      <x:c r="F168" s="46"/>
      <x:c r="G168" s="46"/>
      <x:c r="H168" s="46"/>
      <x:c r="I168" s="46"/>
      <x:c r="J168" s="46"/>
      <x:c r="K168" s="46"/>
      <x:c r="L168" s="46"/>
      <x:c r="M168" s="46"/>
      <x:c r="N168" s="46"/>
      <x:c r="O168" s="46"/>
    </x:row>
    <x:row r="169">
      <x:c r="A169" s="46"/>
      <x:c r="B169" s="46"/>
      <x:c r="C169" s="46"/>
      <x:c r="D169" s="46"/>
      <x:c r="E169" s="46"/>
      <x:c r="F169" s="46"/>
      <x:c r="G169" s="46"/>
      <x:c r="H169" s="46"/>
      <x:c r="I169" s="46"/>
      <x:c r="J169" s="46"/>
      <x:c r="K169" s="46"/>
      <x:c r="L169" s="46"/>
      <x:c r="M169" s="46"/>
      <x:c r="N169" s="46"/>
      <x:c r="O169" s="46"/>
    </x:row>
    <x:row r="170">
      <x:c r="A170" s="46"/>
      <x:c r="B170" s="46"/>
      <x:c r="C170" s="46"/>
      <x:c r="D170" s="46"/>
      <x:c r="E170" s="46"/>
      <x:c r="F170" s="46"/>
      <x:c r="G170" s="46"/>
      <x:c r="H170" s="46"/>
      <x:c r="I170" s="46"/>
      <x:c r="J170" s="46"/>
      <x:c r="K170" s="46"/>
      <x:c r="L170" s="46"/>
      <x:c r="M170" s="46"/>
      <x:c r="N170" s="46"/>
      <x:c r="O170" s="46"/>
    </x:row>
    <x:row r="171">
      <x:c r="A171" s="46"/>
      <x:c r="B171" s="46"/>
      <x:c r="C171" s="46"/>
      <x:c r="D171" s="46"/>
      <x:c r="E171" s="46"/>
      <x:c r="F171" s="46"/>
      <x:c r="G171" s="46"/>
      <x:c r="H171" s="46"/>
      <x:c r="I171" s="46"/>
      <x:c r="J171" s="46"/>
      <x:c r="K171" s="46"/>
      <x:c r="L171" s="46"/>
      <x:c r="M171" s="46"/>
      <x:c r="N171" s="46"/>
      <x:c r="O171" s="46"/>
    </x:row>
    <x:row r="172">
      <x:c r="A172" s="46"/>
      <x:c r="B172" s="46"/>
      <x:c r="C172" s="46"/>
      <x:c r="D172" s="46"/>
      <x:c r="E172" s="46"/>
      <x:c r="F172" s="46"/>
      <x:c r="G172" s="46"/>
      <x:c r="H172" s="46"/>
      <x:c r="I172" s="46"/>
      <x:c r="J172" s="46"/>
      <x:c r="K172" s="46"/>
      <x:c r="L172" s="46"/>
      <x:c r="M172" s="46"/>
      <x:c r="N172" s="46"/>
      <x:c r="O172" s="46"/>
    </x:row>
    <x:row r="173">
      <x:c r="A173" s="46"/>
      <x:c r="B173" s="46"/>
      <x:c r="C173" s="46"/>
      <x:c r="D173" s="46"/>
      <x:c r="E173" s="46"/>
      <x:c r="F173" s="46"/>
      <x:c r="G173" s="46"/>
      <x:c r="H173" s="46"/>
      <x:c r="I173" s="46"/>
      <x:c r="J173" s="46"/>
      <x:c r="K173" s="46"/>
      <x:c r="L173" s="46"/>
      <x:c r="M173" s="46"/>
      <x:c r="N173" s="46"/>
      <x:c r="O173" s="46"/>
    </x:row>
    <x:row r="174">
      <x:c r="A174" s="46"/>
      <x:c r="B174" s="46"/>
      <x:c r="C174" s="46"/>
      <x:c r="D174" s="46"/>
      <x:c r="E174" s="46"/>
      <x:c r="F174" s="46"/>
      <x:c r="G174" s="46"/>
      <x:c r="H174" s="46"/>
      <x:c r="I174" s="46"/>
      <x:c r="J174" s="46"/>
      <x:c r="K174" s="46"/>
      <x:c r="L174" s="46"/>
      <x:c r="M174" s="46"/>
      <x:c r="N174" s="46"/>
      <x:c r="O174" s="46"/>
    </x:row>
    <x:row r="175">
      <x:c r="A175" s="46"/>
      <x:c r="B175" s="46"/>
      <x:c r="C175" s="46"/>
      <x:c r="D175" s="46"/>
      <x:c r="E175" s="46"/>
      <x:c r="F175" s="46"/>
      <x:c r="G175" s="46"/>
      <x:c r="H175" s="46"/>
      <x:c r="I175" s="46"/>
      <x:c r="J175" s="46"/>
      <x:c r="K175" s="46"/>
      <x:c r="L175" s="46"/>
      <x:c r="M175" s="46"/>
      <x:c r="N175" s="46"/>
      <x:c r="O175" s="46"/>
    </x:row>
    <x:row r="176">
      <x:c r="A176" s="46"/>
      <x:c r="B176" s="46"/>
      <x:c r="C176" s="46"/>
      <x:c r="D176" s="46"/>
      <x:c r="E176" s="46"/>
      <x:c r="F176" s="46"/>
      <x:c r="G176" s="46"/>
      <x:c r="H176" s="46"/>
      <x:c r="I176" s="46"/>
      <x:c r="J176" s="46"/>
      <x:c r="K176" s="46"/>
      <x:c r="L176" s="46"/>
      <x:c r="M176" s="46"/>
      <x:c r="N176" s="46"/>
      <x:c r="O176" s="46"/>
    </x:row>
    <x:row r="177">
      <x:c r="A177" s="46"/>
      <x:c r="B177" s="46"/>
      <x:c r="C177" s="46"/>
      <x:c r="D177" s="46"/>
      <x:c r="E177" s="46"/>
      <x:c r="F177" s="46"/>
      <x:c r="G177" s="46"/>
      <x:c r="H177" s="46"/>
      <x:c r="I177" s="46"/>
      <x:c r="J177" s="46"/>
      <x:c r="K177" s="46"/>
      <x:c r="L177" s="46"/>
      <x:c r="M177" s="46"/>
      <x:c r="N177" s="46"/>
      <x:c r="O177" s="46"/>
    </x:row>
    <x:row r="178">
      <x:c r="A178" s="46"/>
      <x:c r="B178" s="46"/>
      <x:c r="C178" s="46"/>
      <x:c r="D178" s="46"/>
      <x:c r="E178" s="46"/>
      <x:c r="F178" s="46"/>
      <x:c r="G178" s="46"/>
      <x:c r="H178" s="46"/>
      <x:c r="I178" s="46"/>
      <x:c r="J178" s="46"/>
      <x:c r="K178" s="46"/>
      <x:c r="L178" s="46"/>
      <x:c r="M178" s="46"/>
      <x:c r="N178" s="46"/>
      <x:c r="O178" s="46"/>
    </x:row>
    <x:row r="179">
      <x:c r="A179" s="46"/>
      <x:c r="B179" s="46"/>
      <x:c r="C179" s="46"/>
      <x:c r="D179" s="46"/>
      <x:c r="E179" s="46"/>
      <x:c r="F179" s="46"/>
      <x:c r="G179" s="46"/>
      <x:c r="H179" s="46"/>
      <x:c r="I179" s="46"/>
      <x:c r="J179" s="46"/>
      <x:c r="K179" s="46"/>
      <x:c r="L179" s="46"/>
      <x:c r="M179" s="46"/>
      <x:c r="N179" s="46"/>
      <x:c r="O179" s="46"/>
    </x:row>
    <x:row r="180">
      <x:c r="A180" s="46"/>
      <x:c r="B180" s="46"/>
      <x:c r="C180" s="46"/>
      <x:c r="D180" s="46"/>
      <x:c r="E180" s="46"/>
      <x:c r="F180" s="46"/>
      <x:c r="G180" s="46"/>
      <x:c r="H180" s="46"/>
      <x:c r="I180" s="46"/>
      <x:c r="J180" s="46"/>
      <x:c r="K180" s="46"/>
      <x:c r="L180" s="46"/>
      <x:c r="M180" s="46"/>
      <x:c r="N180" s="46"/>
      <x:c r="O180" s="46"/>
    </x:row>
    <x:row r="181">
      <x:c r="A181" s="46"/>
      <x:c r="B181" s="46"/>
      <x:c r="C181" s="46"/>
      <x:c r="D181" s="46"/>
      <x:c r="E181" s="46"/>
      <x:c r="F181" s="46"/>
      <x:c r="G181" s="46"/>
      <x:c r="H181" s="46"/>
      <x:c r="I181" s="46"/>
      <x:c r="J181" s="46"/>
      <x:c r="K181" s="46"/>
      <x:c r="L181" s="46"/>
      <x:c r="M181" s="46"/>
      <x:c r="N181" s="46"/>
      <x:c r="O181" s="46"/>
    </x:row>
    <x:row r="182">
      <x:c r="A182" s="46"/>
      <x:c r="B182" s="46"/>
      <x:c r="C182" s="46"/>
      <x:c r="D182" s="46"/>
      <x:c r="E182" s="46"/>
      <x:c r="F182" s="46"/>
      <x:c r="G182" s="46"/>
      <x:c r="H182" s="46"/>
      <x:c r="I182" s="46"/>
      <x:c r="J182" s="46"/>
      <x:c r="K182" s="46"/>
      <x:c r="L182" s="46"/>
      <x:c r="M182" s="46"/>
      <x:c r="N182" s="46"/>
      <x:c r="O182" s="46"/>
    </x:row>
    <x:row r="183">
      <x:c r="A183" s="46"/>
      <x:c r="B183" s="46"/>
      <x:c r="C183" s="46"/>
      <x:c r="D183" s="46"/>
      <x:c r="E183" s="46"/>
      <x:c r="F183" s="46"/>
      <x:c r="G183" s="46"/>
      <x:c r="H183" s="46"/>
      <x:c r="I183" s="46"/>
      <x:c r="J183" s="46"/>
      <x:c r="K183" s="46"/>
      <x:c r="L183" s="46"/>
      <x:c r="M183" s="46"/>
      <x:c r="N183" s="46"/>
      <x:c r="O183" s="46"/>
    </x:row>
    <x:row r="184">
      <x:c r="A184" s="46"/>
      <x:c r="B184" s="46"/>
      <x:c r="C184" s="46"/>
      <x:c r="D184" s="46"/>
      <x:c r="E184" s="46"/>
      <x:c r="F184" s="46"/>
      <x:c r="G184" s="46"/>
      <x:c r="H184" s="46"/>
      <x:c r="I184" s="46"/>
      <x:c r="J184" s="46"/>
      <x:c r="K184" s="46"/>
      <x:c r="L184" s="46"/>
      <x:c r="M184" s="46"/>
      <x:c r="N184" s="46"/>
      <x:c r="O184" s="46"/>
    </x:row>
    <x:row r="185">
      <x:c r="A185" s="46"/>
      <x:c r="B185" s="46"/>
      <x:c r="C185" s="46"/>
      <x:c r="D185" s="46"/>
      <x:c r="E185" s="46"/>
      <x:c r="F185" s="46"/>
      <x:c r="G185" s="46"/>
      <x:c r="H185" s="46"/>
      <x:c r="I185" s="46"/>
      <x:c r="J185" s="46"/>
      <x:c r="K185" s="46"/>
      <x:c r="L185" s="46"/>
      <x:c r="M185" s="46"/>
      <x:c r="N185" s="46"/>
      <x:c r="O185" s="46"/>
    </x:row>
    <x:row r="186">
      <x:c r="A186" s="46"/>
      <x:c r="B186" s="46"/>
      <x:c r="C186" s="46"/>
      <x:c r="D186" s="46"/>
      <x:c r="E186" s="46"/>
      <x:c r="F186" s="46"/>
      <x:c r="G186" s="46"/>
      <x:c r="H186" s="46"/>
      <x:c r="I186" s="46"/>
      <x:c r="J186" s="46"/>
      <x:c r="K186" s="46"/>
      <x:c r="L186" s="46"/>
      <x:c r="M186" s="46"/>
      <x:c r="N186" s="46"/>
      <x:c r="O186" s="46"/>
    </x:row>
    <x:row r="187">
      <x:c r="A187" s="46"/>
      <x:c r="B187" s="46"/>
      <x:c r="C187" s="46"/>
      <x:c r="D187" s="46"/>
      <x:c r="E187" s="46"/>
      <x:c r="F187" s="46"/>
      <x:c r="G187" s="46"/>
      <x:c r="H187" s="46"/>
      <x:c r="I187" s="46"/>
      <x:c r="J187" s="46"/>
      <x:c r="K187" s="46"/>
      <x:c r="L187" s="46"/>
      <x:c r="M187" s="46"/>
      <x:c r="N187" s="46"/>
      <x:c r="O187" s="46"/>
    </x:row>
    <x:row r="188">
      <x:c r="A188" s="46"/>
      <x:c r="B188" s="46"/>
      <x:c r="C188" s="46"/>
      <x:c r="D188" s="46"/>
      <x:c r="E188" s="46"/>
      <x:c r="F188" s="46"/>
      <x:c r="G188" s="46"/>
      <x:c r="H188" s="46"/>
      <x:c r="I188" s="46"/>
      <x:c r="J188" s="46"/>
      <x:c r="K188" s="46"/>
      <x:c r="L188" s="46"/>
      <x:c r="M188" s="46"/>
      <x:c r="N188" s="46"/>
      <x:c r="O188" s="46"/>
    </x:row>
    <x:row r="189">
      <x:c r="A189" s="46"/>
      <x:c r="B189" s="46"/>
      <x:c r="C189" s="46"/>
      <x:c r="D189" s="46"/>
      <x:c r="E189" s="46"/>
      <x:c r="F189" s="46"/>
      <x:c r="G189" s="46"/>
      <x:c r="H189" s="46"/>
      <x:c r="I189" s="46"/>
      <x:c r="J189" s="46"/>
      <x:c r="K189" s="46"/>
      <x:c r="L189" s="46"/>
      <x:c r="M189" s="46"/>
      <x:c r="N189" s="46"/>
      <x:c r="O189" s="46"/>
    </x:row>
    <x:row r="190">
      <x:c r="A190" s="46"/>
      <x:c r="B190" s="46"/>
      <x:c r="C190" s="46"/>
      <x:c r="D190" s="46"/>
      <x:c r="E190" s="46"/>
      <x:c r="F190" s="46"/>
      <x:c r="G190" s="46"/>
      <x:c r="H190" s="46"/>
      <x:c r="I190" s="46"/>
      <x:c r="J190" s="46"/>
      <x:c r="K190" s="46"/>
      <x:c r="L190" s="46"/>
      <x:c r="M190" s="46"/>
      <x:c r="N190" s="46"/>
      <x:c r="O190" s="46"/>
    </x:row>
    <x:row r="191">
      <x:c r="A191" s="46"/>
      <x:c r="B191" s="46"/>
      <x:c r="C191" s="46"/>
      <x:c r="D191" s="46"/>
      <x:c r="E191" s="46"/>
      <x:c r="F191" s="46"/>
      <x:c r="G191" s="46"/>
      <x:c r="H191" s="46"/>
      <x:c r="I191" s="46"/>
      <x:c r="J191" s="46"/>
      <x:c r="K191" s="46"/>
      <x:c r="L191" s="46"/>
      <x:c r="M191" s="46"/>
      <x:c r="N191" s="46"/>
      <x:c r="O191" s="46"/>
    </x:row>
    <x:row r="192">
      <x:c r="A192" s="46"/>
      <x:c r="B192" s="46"/>
      <x:c r="C192" s="46"/>
      <x:c r="D192" s="46"/>
      <x:c r="E192" s="46"/>
      <x:c r="F192" s="46"/>
      <x:c r="G192" s="46"/>
      <x:c r="H192" s="46"/>
      <x:c r="I192" s="46"/>
      <x:c r="J192" s="46"/>
      <x:c r="K192" s="46"/>
      <x:c r="L192" s="46"/>
      <x:c r="M192" s="46"/>
      <x:c r="N192" s="46"/>
      <x:c r="O192" s="46"/>
    </x:row>
    <x:row r="193">
      <x:c r="A193" s="46"/>
      <x:c r="B193" s="46"/>
      <x:c r="C193" s="46"/>
      <x:c r="D193" s="46"/>
      <x:c r="E193" s="46"/>
      <x:c r="F193" s="46"/>
      <x:c r="G193" s="46"/>
      <x:c r="H193" s="46"/>
      <x:c r="I193" s="46"/>
      <x:c r="J193" s="46"/>
      <x:c r="K193" s="46"/>
      <x:c r="L193" s="46"/>
      <x:c r="M193" s="46"/>
      <x:c r="N193" s="46"/>
      <x:c r="O193" s="46"/>
    </x:row>
    <x:row r="194">
      <x:c r="A194" s="46"/>
      <x:c r="B194" s="46"/>
      <x:c r="C194" s="46"/>
      <x:c r="D194" s="46"/>
      <x:c r="E194" s="46"/>
      <x:c r="F194" s="46"/>
      <x:c r="G194" s="46"/>
      <x:c r="H194" s="46"/>
      <x:c r="I194" s="46"/>
      <x:c r="J194" s="46"/>
      <x:c r="K194" s="46"/>
      <x:c r="L194" s="46"/>
      <x:c r="M194" s="46"/>
      <x:c r="N194" s="46"/>
      <x:c r="O194" s="46"/>
    </x:row>
    <x:row r="195">
      <x:c r="A195" s="46"/>
      <x:c r="B195" s="46"/>
      <x:c r="C195" s="46"/>
      <x:c r="D195" s="46"/>
      <x:c r="E195" s="46"/>
      <x:c r="F195" s="46"/>
      <x:c r="G195" s="46"/>
      <x:c r="H195" s="46"/>
      <x:c r="I195" s="46"/>
      <x:c r="J195" s="46"/>
      <x:c r="K195" s="46"/>
      <x:c r="L195" s="46"/>
      <x:c r="M195" s="46"/>
      <x:c r="N195" s="46"/>
      <x:c r="O195" s="46"/>
    </x:row>
    <x:row r="196">
      <x:c r="A196" s="46"/>
      <x:c r="B196" s="46"/>
      <x:c r="C196" s="46"/>
      <x:c r="D196" s="46"/>
      <x:c r="E196" s="46"/>
      <x:c r="F196" s="46"/>
      <x:c r="G196" s="46"/>
      <x:c r="H196" s="46"/>
      <x:c r="I196" s="46"/>
      <x:c r="J196" s="46"/>
      <x:c r="K196" s="46"/>
      <x:c r="L196" s="46"/>
      <x:c r="M196" s="46"/>
      <x:c r="N196" s="46"/>
      <x:c r="O196" s="46"/>
    </x:row>
    <x:row r="197">
      <x:c r="A197" s="46"/>
      <x:c r="B197" s="46"/>
      <x:c r="C197" s="46"/>
      <x:c r="D197" s="46"/>
      <x:c r="E197" s="46"/>
      <x:c r="F197" s="46"/>
      <x:c r="G197" s="46"/>
      <x:c r="H197" s="46"/>
      <x:c r="I197" s="46"/>
      <x:c r="J197" s="46"/>
      <x:c r="K197" s="46"/>
      <x:c r="L197" s="46"/>
      <x:c r="M197" s="46"/>
      <x:c r="N197" s="46"/>
      <x:c r="O197" s="46"/>
    </x:row>
    <x:row r="198">
      <x:c r="A198" s="46"/>
      <x:c r="B198" s="46"/>
      <x:c r="C198" s="46"/>
      <x:c r="D198" s="46"/>
      <x:c r="E198" s="46"/>
      <x:c r="F198" s="46"/>
      <x:c r="G198" s="46"/>
      <x:c r="H198" s="46"/>
      <x:c r="I198" s="46"/>
      <x:c r="J198" s="46"/>
      <x:c r="K198" s="46"/>
      <x:c r="L198" s="46"/>
      <x:c r="M198" s="46"/>
      <x:c r="N198" s="46"/>
      <x:c r="O198" s="46"/>
    </x:row>
    <x:row r="199">
      <x:c r="A199" s="46"/>
      <x:c r="B199" s="46"/>
      <x:c r="C199" s="46"/>
      <x:c r="D199" s="46"/>
      <x:c r="E199" s="46"/>
      <x:c r="F199" s="46"/>
      <x:c r="G199" s="46"/>
      <x:c r="H199" s="46"/>
      <x:c r="I199" s="46"/>
      <x:c r="J199" s="46"/>
      <x:c r="K199" s="46"/>
      <x:c r="L199" s="46"/>
      <x:c r="M199" s="46"/>
      <x:c r="N199" s="46"/>
      <x:c r="O199" s="46"/>
    </x:row>
    <x:row r="200">
      <x:c r="A200" s="46"/>
      <x:c r="B200" s="46"/>
      <x:c r="C200" s="46"/>
      <x:c r="D200" s="46"/>
      <x:c r="E200" s="46"/>
      <x:c r="F200" s="46"/>
      <x:c r="G200" s="46"/>
      <x:c r="H200" s="46"/>
      <x:c r="I200" s="46"/>
      <x:c r="J200" s="46"/>
      <x:c r="K200" s="46"/>
      <x:c r="L200" s="46"/>
      <x:c r="M200" s="46"/>
      <x:c r="N200" s="46"/>
      <x:c r="O200" s="46"/>
    </x:row>
    <x:row r="201">
      <x:c r="A201" s="46"/>
      <x:c r="B201" s="46"/>
      <x:c r="C201" s="46"/>
      <x:c r="D201" s="46"/>
      <x:c r="E201" s="46"/>
      <x:c r="F201" s="46"/>
      <x:c r="G201" s="46"/>
      <x:c r="H201" s="46"/>
      <x:c r="I201" s="46"/>
      <x:c r="J201" s="46"/>
      <x:c r="K201" s="46"/>
      <x:c r="L201" s="46"/>
      <x:c r="M201" s="46"/>
      <x:c r="N201" s="46"/>
      <x:c r="O201" s="46"/>
    </x:row>
    <x:row r="202">
      <x:c r="A202" s="46"/>
      <x:c r="B202" s="46"/>
      <x:c r="C202" s="46"/>
      <x:c r="D202" s="46"/>
      <x:c r="E202" s="46"/>
      <x:c r="F202" s="46"/>
      <x:c r="G202" s="46"/>
      <x:c r="H202" s="46"/>
      <x:c r="I202" s="46"/>
      <x:c r="J202" s="46"/>
      <x:c r="K202" s="46"/>
      <x:c r="L202" s="46"/>
      <x:c r="M202" s="46"/>
      <x:c r="N202" s="46"/>
      <x:c r="O202" s="46"/>
    </x:row>
    <x:row r="203">
      <x:c r="A203" s="46"/>
      <x:c r="B203" s="46"/>
      <x:c r="C203" s="46"/>
      <x:c r="D203" s="46"/>
      <x:c r="E203" s="46"/>
      <x:c r="F203" s="46"/>
      <x:c r="G203" s="46"/>
      <x:c r="H203" s="46"/>
      <x:c r="I203" s="46"/>
      <x:c r="J203" s="46"/>
      <x:c r="K203" s="46"/>
      <x:c r="L203" s="46"/>
      <x:c r="M203" s="46"/>
      <x:c r="N203" s="46"/>
      <x:c r="O203" s="46"/>
    </x:row>
    <x:row r="204">
      <x:c r="A204" s="46"/>
      <x:c r="B204" s="46"/>
      <x:c r="C204" s="46"/>
      <x:c r="D204" s="46"/>
      <x:c r="E204" s="46"/>
      <x:c r="F204" s="46"/>
      <x:c r="G204" s="46"/>
      <x:c r="H204" s="46"/>
      <x:c r="I204" s="46"/>
      <x:c r="J204" s="46"/>
      <x:c r="K204" s="46"/>
      <x:c r="L204" s="46"/>
      <x:c r="M204" s="46"/>
      <x:c r="N204" s="46"/>
      <x:c r="O204" s="46"/>
    </x:row>
    <x:row r="205">
      <x:c r="A205" s="46"/>
      <x:c r="B205" s="46"/>
      <x:c r="C205" s="46"/>
      <x:c r="D205" s="46"/>
      <x:c r="E205" s="46"/>
      <x:c r="F205" s="46"/>
      <x:c r="G205" s="46"/>
      <x:c r="H205" s="46"/>
      <x:c r="I205" s="46"/>
      <x:c r="J205" s="46"/>
      <x:c r="K205" s="46"/>
      <x:c r="L205" s="46"/>
      <x:c r="M205" s="46"/>
      <x:c r="N205" s="46"/>
      <x:c r="O205" s="46"/>
    </x:row>
    <x:row r="206">
      <x:c r="A206" s="46"/>
      <x:c r="B206" s="46"/>
      <x:c r="C206" s="46"/>
      <x:c r="D206" s="46"/>
      <x:c r="E206" s="46"/>
      <x:c r="F206" s="46"/>
      <x:c r="G206" s="46"/>
      <x:c r="H206" s="46"/>
      <x:c r="I206" s="46"/>
      <x:c r="J206" s="46"/>
      <x:c r="K206" s="46"/>
      <x:c r="L206" s="46"/>
      <x:c r="M206" s="46"/>
      <x:c r="N206" s="46"/>
      <x:c r="O206" s="46"/>
    </x:row>
    <x:row r="207">
      <x:c r="A207" s="46"/>
      <x:c r="B207" s="46"/>
      <x:c r="C207" s="46"/>
      <x:c r="D207" s="46"/>
      <x:c r="E207" s="46"/>
      <x:c r="F207" s="46"/>
      <x:c r="G207" s="46"/>
      <x:c r="H207" s="46"/>
      <x:c r="I207" s="46"/>
      <x:c r="J207" s="46"/>
      <x:c r="K207" s="46"/>
      <x:c r="L207" s="46"/>
      <x:c r="M207" s="46"/>
      <x:c r="N207" s="46"/>
      <x:c r="O207" s="46"/>
    </x:row>
    <x:row r="208">
      <x:c r="A208" s="46"/>
      <x:c r="B208" s="46"/>
      <x:c r="C208" s="46"/>
      <x:c r="D208" s="46"/>
      <x:c r="E208" s="46"/>
      <x:c r="F208" s="46"/>
      <x:c r="G208" s="46"/>
      <x:c r="H208" s="46"/>
      <x:c r="I208" s="46"/>
      <x:c r="J208" s="46"/>
      <x:c r="K208" s="46"/>
      <x:c r="L208" s="46"/>
      <x:c r="M208" s="46"/>
      <x:c r="N208" s="46"/>
      <x:c r="O208" s="46"/>
    </x:row>
    <x:row r="209">
      <x:c r="A209" s="46"/>
      <x:c r="B209" s="46"/>
      <x:c r="C209" s="46"/>
      <x:c r="D209" s="46"/>
      <x:c r="E209" s="46"/>
      <x:c r="F209" s="46"/>
      <x:c r="G209" s="46"/>
      <x:c r="H209" s="46"/>
      <x:c r="I209" s="46"/>
      <x:c r="J209" s="46"/>
      <x:c r="K209" s="46"/>
      <x:c r="L209" s="46"/>
      <x:c r="M209" s="46"/>
      <x:c r="N209" s="46"/>
      <x:c r="O209" s="46"/>
    </x:row>
    <x:row r="210">
      <x:c r="A210" s="46"/>
      <x:c r="B210" s="46"/>
      <x:c r="C210" s="46"/>
      <x:c r="D210" s="46"/>
      <x:c r="E210" s="46"/>
      <x:c r="F210" s="46"/>
      <x:c r="G210" s="46"/>
      <x:c r="H210" s="46"/>
      <x:c r="I210" s="46"/>
      <x:c r="J210" s="46"/>
      <x:c r="K210" s="46"/>
      <x:c r="L210" s="46"/>
      <x:c r="M210" s="46"/>
      <x:c r="N210" s="46"/>
      <x:c r="O210" s="46"/>
    </x:row>
    <x:row r="211">
      <x:c r="A211" s="46"/>
      <x:c r="B211" s="46"/>
      <x:c r="C211" s="46"/>
      <x:c r="D211" s="46"/>
      <x:c r="E211" s="46"/>
      <x:c r="F211" s="46"/>
      <x:c r="G211" s="46"/>
      <x:c r="H211" s="46"/>
      <x:c r="I211" s="46"/>
      <x:c r="J211" s="46"/>
      <x:c r="K211" s="46"/>
      <x:c r="L211" s="46"/>
      <x:c r="M211" s="46"/>
      <x:c r="N211" s="46"/>
      <x:c r="O211" s="46"/>
    </x:row>
    <x:row r="212">
      <x:c r="A212" s="46"/>
      <x:c r="B212" s="46"/>
      <x:c r="C212" s="46"/>
      <x:c r="D212" s="46"/>
      <x:c r="E212" s="46"/>
      <x:c r="F212" s="46"/>
      <x:c r="G212" s="46"/>
      <x:c r="H212" s="46"/>
      <x:c r="I212" s="46"/>
      <x:c r="J212" s="46"/>
      <x:c r="K212" s="46"/>
      <x:c r="L212" s="46"/>
      <x:c r="M212" s="46"/>
      <x:c r="N212" s="46"/>
      <x:c r="O212" s="46"/>
    </x:row>
    <x:row r="213">
      <x:c r="A213" s="46"/>
      <x:c r="B213" s="46"/>
      <x:c r="C213" s="46"/>
      <x:c r="D213" s="46"/>
      <x:c r="E213" s="46"/>
      <x:c r="F213" s="46"/>
      <x:c r="G213" s="46"/>
      <x:c r="H213" s="46"/>
      <x:c r="I213" s="46"/>
      <x:c r="J213" s="46"/>
      <x:c r="K213" s="46"/>
      <x:c r="L213" s="46"/>
      <x:c r="M213" s="46"/>
      <x:c r="N213" s="46"/>
      <x:c r="O213" s="46"/>
    </x:row>
    <x:row r="214">
      <x:c r="A214" s="46"/>
      <x:c r="B214" s="46"/>
      <x:c r="C214" s="46"/>
      <x:c r="D214" s="46"/>
      <x:c r="E214" s="46"/>
      <x:c r="F214" s="46"/>
      <x:c r="G214" s="46"/>
      <x:c r="H214" s="46"/>
      <x:c r="I214" s="46"/>
      <x:c r="J214" s="46"/>
      <x:c r="K214" s="46"/>
      <x:c r="L214" s="46"/>
      <x:c r="M214" s="46"/>
      <x:c r="N214" s="46"/>
      <x:c r="O214" s="46"/>
    </x:row>
    <x:row r="215">
      <x:c r="A215" s="46"/>
      <x:c r="B215" s="46"/>
      <x:c r="C215" s="46"/>
      <x:c r="D215" s="46"/>
      <x:c r="E215" s="46"/>
      <x:c r="F215" s="46"/>
      <x:c r="G215" s="46"/>
      <x:c r="H215" s="46"/>
      <x:c r="I215" s="46"/>
      <x:c r="J215" s="46"/>
      <x:c r="K215" s="46"/>
      <x:c r="L215" s="46"/>
      <x:c r="M215" s="46"/>
      <x:c r="N215" s="46"/>
      <x:c r="O215" s="46"/>
    </x:row>
    <x:row r="216">
      <x:c r="A216" s="46"/>
      <x:c r="B216" s="46"/>
      <x:c r="C216" s="46"/>
      <x:c r="D216" s="46"/>
      <x:c r="E216" s="46"/>
      <x:c r="F216" s="46"/>
      <x:c r="G216" s="46"/>
      <x:c r="H216" s="46"/>
      <x:c r="I216" s="46"/>
      <x:c r="J216" s="46"/>
      <x:c r="K216" s="46"/>
      <x:c r="L216" s="46"/>
      <x:c r="M216" s="46"/>
      <x:c r="N216" s="46"/>
      <x:c r="O216" s="46"/>
    </x:row>
    <x:row r="217">
      <x:c r="A217" s="46"/>
      <x:c r="B217" s="46"/>
      <x:c r="C217" s="46"/>
      <x:c r="D217" s="46"/>
      <x:c r="E217" s="46"/>
      <x:c r="F217" s="46"/>
      <x:c r="G217" s="46"/>
      <x:c r="H217" s="46"/>
      <x:c r="I217" s="46"/>
      <x:c r="J217" s="46"/>
      <x:c r="K217" s="46"/>
      <x:c r="L217" s="46"/>
      <x:c r="M217" s="46"/>
      <x:c r="N217" s="46"/>
      <x:c r="O217" s="46"/>
    </x:row>
    <x:row r="218">
      <x:c r="A218" s="46"/>
      <x:c r="B218" s="46"/>
      <x:c r="C218" s="46"/>
      <x:c r="D218" s="46"/>
      <x:c r="E218" s="46"/>
      <x:c r="F218" s="46"/>
      <x:c r="G218" s="46"/>
      <x:c r="H218" s="46"/>
      <x:c r="I218" s="46"/>
      <x:c r="J218" s="46"/>
      <x:c r="K218" s="46"/>
      <x:c r="L218" s="46"/>
      <x:c r="M218" s="46"/>
      <x:c r="N218" s="46"/>
      <x:c r="O218" s="46"/>
    </x:row>
    <x:row r="219">
      <x:c r="A219" s="46"/>
      <x:c r="B219" s="46"/>
      <x:c r="C219" s="46"/>
      <x:c r="D219" s="46"/>
      <x:c r="E219" s="46"/>
      <x:c r="F219" s="46"/>
      <x:c r="G219" s="46"/>
      <x:c r="H219" s="46"/>
      <x:c r="I219" s="46"/>
      <x:c r="J219" s="46"/>
      <x:c r="K219" s="46"/>
      <x:c r="L219" s="46"/>
      <x:c r="M219" s="46"/>
      <x:c r="N219" s="46"/>
      <x:c r="O219" s="46"/>
    </x:row>
    <x:row r="220">
      <x:c r="A220" s="46"/>
      <x:c r="B220" s="46"/>
      <x:c r="C220" s="46"/>
      <x:c r="D220" s="46"/>
      <x:c r="E220" s="46"/>
      <x:c r="F220" s="46"/>
      <x:c r="G220" s="46"/>
      <x:c r="H220" s="46"/>
      <x:c r="I220" s="46"/>
      <x:c r="J220" s="46"/>
      <x:c r="K220" s="46"/>
      <x:c r="L220" s="46"/>
      <x:c r="M220" s="46"/>
      <x:c r="N220" s="46"/>
      <x:c r="O220" s="46"/>
    </x:row>
    <x:row r="221">
      <x:c r="A221" s="46"/>
      <x:c r="B221" s="46"/>
      <x:c r="C221" s="46"/>
      <x:c r="D221" s="46"/>
      <x:c r="E221" s="46"/>
      <x:c r="F221" s="46"/>
      <x:c r="G221" s="46"/>
      <x:c r="H221" s="46"/>
      <x:c r="I221" s="46"/>
      <x:c r="J221" s="46"/>
      <x:c r="K221" s="46"/>
      <x:c r="L221" s="46"/>
      <x:c r="M221" s="46"/>
      <x:c r="N221" s="46"/>
      <x:c r="O221" s="46"/>
    </x:row>
    <x:row r="222">
      <x:c r="A222" s="46"/>
      <x:c r="B222" s="46"/>
      <x:c r="C222" s="46"/>
      <x:c r="D222" s="46"/>
      <x:c r="E222" s="46"/>
      <x:c r="F222" s="46"/>
      <x:c r="G222" s="46"/>
      <x:c r="H222" s="46"/>
      <x:c r="I222" s="46"/>
      <x:c r="J222" s="46"/>
      <x:c r="K222" s="46"/>
      <x:c r="L222" s="46"/>
      <x:c r="M222" s="46"/>
      <x:c r="N222" s="46"/>
      <x:c r="O222" s="46"/>
    </x:row>
    <x:row r="223">
      <x:c r="A223" s="46"/>
      <x:c r="B223" s="46"/>
      <x:c r="C223" s="46"/>
      <x:c r="D223" s="46"/>
      <x:c r="E223" s="46"/>
      <x:c r="F223" s="46"/>
      <x:c r="G223" s="46"/>
      <x:c r="H223" s="46"/>
      <x:c r="I223" s="46"/>
      <x:c r="J223" s="46"/>
      <x:c r="K223" s="46"/>
      <x:c r="L223" s="46"/>
      <x:c r="M223" s="46"/>
      <x:c r="N223" s="46"/>
      <x:c r="O223" s="46"/>
    </x:row>
    <x:row r="224">
      <x:c r="A224" s="46"/>
      <x:c r="B224" s="46"/>
      <x:c r="C224" s="46"/>
      <x:c r="D224" s="46"/>
      <x:c r="E224" s="46"/>
      <x:c r="F224" s="46"/>
      <x:c r="G224" s="46"/>
      <x:c r="H224" s="46"/>
      <x:c r="I224" s="46"/>
      <x:c r="J224" s="46"/>
      <x:c r="K224" s="46"/>
      <x:c r="L224" s="46"/>
      <x:c r="M224" s="46"/>
      <x:c r="N224" s="46"/>
      <x:c r="O224" s="46"/>
    </x:row>
    <x:row r="225">
      <x:c r="A225" s="46"/>
      <x:c r="B225" s="46"/>
      <x:c r="C225" s="46"/>
      <x:c r="D225" s="46"/>
      <x:c r="E225" s="46"/>
      <x:c r="F225" s="46"/>
      <x:c r="G225" s="46"/>
      <x:c r="H225" s="46"/>
      <x:c r="I225" s="46"/>
      <x:c r="J225" s="46"/>
      <x:c r="K225" s="46"/>
      <x:c r="L225" s="46"/>
      <x:c r="M225" s="46"/>
      <x:c r="N225" s="46"/>
      <x:c r="O225" s="46"/>
    </x:row>
    <x:row r="226">
      <x:c r="A226" s="46"/>
      <x:c r="B226" s="46"/>
      <x:c r="C226" s="46"/>
      <x:c r="D226" s="46"/>
      <x:c r="E226" s="46"/>
      <x:c r="F226" s="46"/>
      <x:c r="G226" s="46"/>
      <x:c r="H226" s="46"/>
      <x:c r="I226" s="46"/>
      <x:c r="J226" s="46"/>
      <x:c r="K226" s="46"/>
      <x:c r="L226" s="46"/>
      <x:c r="M226" s="46"/>
      <x:c r="N226" s="46"/>
      <x:c r="O226" s="46"/>
    </x:row>
    <x:row r="227">
      <x:c r="A227" s="46"/>
      <x:c r="B227" s="46"/>
      <x:c r="C227" s="46"/>
      <x:c r="D227" s="46"/>
      <x:c r="E227" s="46"/>
      <x:c r="F227" s="46"/>
      <x:c r="G227" s="46"/>
      <x:c r="H227" s="46"/>
      <x:c r="I227" s="46"/>
      <x:c r="J227" s="46"/>
      <x:c r="K227" s="46"/>
      <x:c r="L227" s="46"/>
      <x:c r="M227" s="46"/>
      <x:c r="N227" s="46"/>
      <x:c r="O227" s="46"/>
    </x:row>
    <x:row r="228">
      <x:c r="A228" s="46"/>
      <x:c r="B228" s="46"/>
      <x:c r="C228" s="46"/>
      <x:c r="D228" s="46"/>
      <x:c r="E228" s="46"/>
      <x:c r="F228" s="46"/>
      <x:c r="G228" s="46"/>
      <x:c r="H228" s="46"/>
      <x:c r="I228" s="46"/>
      <x:c r="J228" s="46"/>
      <x:c r="K228" s="46"/>
      <x:c r="L228" s="46"/>
      <x:c r="M228" s="46"/>
      <x:c r="N228" s="46"/>
      <x:c r="O228" s="46"/>
    </x:row>
    <x:row r="229">
      <x:c r="A229" s="46"/>
      <x:c r="B229" s="46"/>
      <x:c r="C229" s="46"/>
      <x:c r="D229" s="46"/>
      <x:c r="E229" s="46"/>
      <x:c r="F229" s="46"/>
      <x:c r="G229" s="46"/>
      <x:c r="H229" s="46"/>
      <x:c r="I229" s="46"/>
      <x:c r="J229" s="46"/>
      <x:c r="K229" s="46"/>
      <x:c r="L229" s="46"/>
      <x:c r="M229" s="46"/>
      <x:c r="N229" s="46"/>
      <x:c r="O229" s="46"/>
    </x:row>
    <x:row r="230">
      <x:c r="A230" s="46"/>
      <x:c r="B230" s="46"/>
      <x:c r="C230" s="46"/>
      <x:c r="D230" s="46"/>
      <x:c r="E230" s="46"/>
      <x:c r="F230" s="46"/>
      <x:c r="G230" s="46"/>
      <x:c r="H230" s="46"/>
      <x:c r="I230" s="46"/>
      <x:c r="J230" s="46"/>
      <x:c r="K230" s="46"/>
      <x:c r="L230" s="46"/>
      <x:c r="M230" s="46"/>
      <x:c r="N230" s="46"/>
      <x:c r="O230" s="46"/>
    </x:row>
    <x:row r="231">
      <x:c r="A231" s="46"/>
      <x:c r="B231" s="46"/>
      <x:c r="C231" s="46"/>
      <x:c r="D231" s="46"/>
      <x:c r="E231" s="46"/>
      <x:c r="F231" s="46"/>
      <x:c r="G231" s="46"/>
      <x:c r="H231" s="46"/>
      <x:c r="I231" s="46"/>
      <x:c r="J231" s="46"/>
      <x:c r="K231" s="46"/>
      <x:c r="L231" s="46"/>
      <x:c r="M231" s="46"/>
      <x:c r="N231" s="46"/>
      <x:c r="O231" s="46"/>
    </x:row>
    <x:row r="232">
      <x:c r="A232" s="46"/>
      <x:c r="B232" s="46"/>
      <x:c r="C232" s="46"/>
      <x:c r="D232" s="46"/>
      <x:c r="E232" s="46"/>
      <x:c r="F232" s="46"/>
      <x:c r="G232" s="46"/>
      <x:c r="H232" s="46"/>
      <x:c r="I232" s="46"/>
      <x:c r="J232" s="46"/>
      <x:c r="K232" s="46"/>
      <x:c r="L232" s="46"/>
      <x:c r="M232" s="46"/>
      <x:c r="N232" s="46"/>
      <x:c r="O232" s="46"/>
    </x:row>
    <x:row r="233">
      <x:c r="A233" s="46"/>
      <x:c r="B233" s="46"/>
      <x:c r="C233" s="46"/>
      <x:c r="D233" s="46"/>
      <x:c r="E233" s="46"/>
      <x:c r="F233" s="46"/>
      <x:c r="G233" s="46"/>
      <x:c r="H233" s="46"/>
      <x:c r="I233" s="46"/>
      <x:c r="J233" s="46"/>
      <x:c r="K233" s="46"/>
      <x:c r="L233" s="46"/>
      <x:c r="M233" s="46"/>
      <x:c r="N233" s="46"/>
      <x:c r="O233" s="46"/>
    </x:row>
    <x:row r="234">
      <x:c r="A234" s="46"/>
      <x:c r="B234" s="46"/>
      <x:c r="C234" s="46"/>
      <x:c r="D234" s="46"/>
      <x:c r="E234" s="46"/>
      <x:c r="F234" s="46"/>
      <x:c r="G234" s="46"/>
      <x:c r="H234" s="46"/>
      <x:c r="I234" s="46"/>
      <x:c r="J234" s="46"/>
      <x:c r="K234" s="46"/>
      <x:c r="L234" s="46"/>
      <x:c r="M234" s="46"/>
      <x:c r="N234" s="46"/>
      <x:c r="O234" s="46"/>
    </x:row>
    <x:row r="235">
      <x:c r="A235" s="46"/>
      <x:c r="B235" s="46"/>
      <x:c r="C235" s="46"/>
      <x:c r="D235" s="46"/>
      <x:c r="E235" s="46"/>
      <x:c r="F235" s="46"/>
      <x:c r="G235" s="46"/>
      <x:c r="H235" s="46"/>
      <x:c r="I235" s="46"/>
      <x:c r="J235" s="46"/>
      <x:c r="K235" s="46"/>
      <x:c r="L235" s="46"/>
      <x:c r="M235" s="46"/>
      <x:c r="N235" s="46"/>
      <x:c r="O235" s="46"/>
    </x:row>
    <x:row r="236">
      <x:c r="A236" s="46"/>
      <x:c r="B236" s="46"/>
      <x:c r="C236" s="46"/>
      <x:c r="D236" s="46"/>
      <x:c r="E236" s="46"/>
      <x:c r="F236" s="46"/>
      <x:c r="G236" s="46"/>
      <x:c r="H236" s="46"/>
      <x:c r="I236" s="46"/>
      <x:c r="J236" s="46"/>
      <x:c r="K236" s="46"/>
      <x:c r="L236" s="46"/>
      <x:c r="M236" s="46"/>
      <x:c r="N236" s="46"/>
      <x:c r="O236" s="46"/>
    </x:row>
    <x:row r="237">
      <x:c r="A237" s="46"/>
      <x:c r="B237" s="46"/>
      <x:c r="C237" s="46"/>
      <x:c r="D237" s="46"/>
      <x:c r="E237" s="46"/>
      <x:c r="F237" s="46"/>
      <x:c r="G237" s="46"/>
      <x:c r="H237" s="46"/>
      <x:c r="I237" s="46"/>
      <x:c r="J237" s="46"/>
      <x:c r="K237" s="46"/>
      <x:c r="L237" s="46"/>
      <x:c r="M237" s="46"/>
      <x:c r="N237" s="46"/>
      <x:c r="O237" s="46"/>
    </x:row>
    <x:row r="238">
      <x:c r="A238" s="46"/>
      <x:c r="B238" s="46"/>
      <x:c r="C238" s="46"/>
      <x:c r="D238" s="46"/>
      <x:c r="E238" s="46"/>
      <x:c r="F238" s="46"/>
      <x:c r="G238" s="46"/>
      <x:c r="H238" s="46"/>
      <x:c r="I238" s="46"/>
      <x:c r="J238" s="46"/>
      <x:c r="K238" s="46"/>
      <x:c r="L238" s="46"/>
      <x:c r="M238" s="46"/>
      <x:c r="N238" s="46"/>
      <x:c r="O238" s="46"/>
    </x:row>
    <x:row r="239">
      <x:c r="A239" s="46"/>
      <x:c r="B239" s="46"/>
      <x:c r="C239" s="46"/>
      <x:c r="D239" s="46"/>
      <x:c r="E239" s="46"/>
      <x:c r="F239" s="46"/>
      <x:c r="G239" s="46"/>
      <x:c r="H239" s="46"/>
      <x:c r="I239" s="46"/>
      <x:c r="J239" s="46"/>
      <x:c r="K239" s="46"/>
      <x:c r="L239" s="46"/>
      <x:c r="M239" s="46"/>
      <x:c r="N239" s="46"/>
      <x:c r="O239" s="46"/>
    </x:row>
    <x:row r="240">
      <x:c r="A240" s="46"/>
      <x:c r="B240" s="46"/>
      <x:c r="C240" s="46"/>
      <x:c r="D240" s="46"/>
      <x:c r="E240" s="46"/>
      <x:c r="F240" s="46"/>
      <x:c r="G240" s="46"/>
      <x:c r="H240" s="46"/>
      <x:c r="I240" s="46"/>
      <x:c r="J240" s="46"/>
      <x:c r="K240" s="46"/>
      <x:c r="L240" s="46"/>
      <x:c r="M240" s="46"/>
      <x:c r="N240" s="46"/>
      <x:c r="O240" s="46"/>
    </x:row>
    <x:row r="241">
      <x:c r="A241" s="46"/>
      <x:c r="B241" s="46"/>
      <x:c r="C241" s="46"/>
      <x:c r="D241" s="46"/>
      <x:c r="E241" s="46"/>
      <x:c r="F241" s="46"/>
      <x:c r="G241" s="46"/>
      <x:c r="H241" s="46"/>
      <x:c r="I241" s="46"/>
      <x:c r="J241" s="46"/>
      <x:c r="K241" s="46"/>
      <x:c r="L241" s="46"/>
      <x:c r="M241" s="46"/>
      <x:c r="N241" s="46"/>
      <x:c r="O241" s="46"/>
    </x:row>
    <x:row r="242">
      <x:c r="A242" s="46"/>
      <x:c r="B242" s="46"/>
      <x:c r="C242" s="46"/>
      <x:c r="D242" s="46"/>
      <x:c r="E242" s="46"/>
      <x:c r="F242" s="46"/>
      <x:c r="G242" s="46"/>
      <x:c r="H242" s="46"/>
      <x:c r="I242" s="46"/>
      <x:c r="J242" s="46"/>
      <x:c r="K242" s="46"/>
      <x:c r="L242" s="46"/>
      <x:c r="M242" s="46"/>
      <x:c r="N242" s="46"/>
      <x:c r="O242" s="46"/>
    </x:row>
    <x:row r="243">
      <x:c r="A243" s="46"/>
      <x:c r="B243" s="46"/>
      <x:c r="C243" s="46"/>
      <x:c r="D243" s="46"/>
      <x:c r="E243" s="46"/>
      <x:c r="F243" s="46"/>
      <x:c r="G243" s="46"/>
      <x:c r="H243" s="46"/>
      <x:c r="I243" s="46"/>
      <x:c r="J243" s="46"/>
      <x:c r="K243" s="46"/>
      <x:c r="L243" s="46"/>
      <x:c r="M243" s="46"/>
      <x:c r="N243" s="46"/>
      <x:c r="O243" s="46"/>
    </x:row>
    <x:row r="244">
      <x:c r="A244" s="46"/>
      <x:c r="B244" s="46"/>
      <x:c r="C244" s="46"/>
      <x:c r="D244" s="46"/>
      <x:c r="E244" s="46"/>
      <x:c r="F244" s="46"/>
      <x:c r="G244" s="46"/>
      <x:c r="H244" s="46"/>
      <x:c r="I244" s="46"/>
      <x:c r="J244" s="46"/>
      <x:c r="K244" s="46"/>
      <x:c r="L244" s="46"/>
      <x:c r="M244" s="46"/>
      <x:c r="N244" s="46"/>
      <x:c r="O244" s="46"/>
    </x:row>
    <x:row r="245">
      <x:c r="A245" s="46"/>
      <x:c r="B245" s="46"/>
      <x:c r="C245" s="46"/>
      <x:c r="D245" s="46"/>
      <x:c r="E245" s="46"/>
      <x:c r="F245" s="46"/>
      <x:c r="G245" s="46"/>
      <x:c r="H245" s="46"/>
      <x:c r="I245" s="46"/>
      <x:c r="J245" s="46"/>
      <x:c r="K245" s="46"/>
      <x:c r="L245" s="46"/>
      <x:c r="M245" s="46"/>
      <x:c r="N245" s="46"/>
      <x:c r="O245" s="46"/>
    </x:row>
    <x:row r="246">
      <x:c r="A246" s="46"/>
      <x:c r="B246" s="46"/>
      <x:c r="C246" s="46"/>
      <x:c r="D246" s="46"/>
      <x:c r="E246" s="46"/>
      <x:c r="F246" s="46"/>
      <x:c r="G246" s="46"/>
      <x:c r="H246" s="46"/>
      <x:c r="I246" s="46"/>
      <x:c r="J246" s="46"/>
      <x:c r="K246" s="46"/>
      <x:c r="L246" s="46"/>
      <x:c r="M246" s="46"/>
      <x:c r="N246" s="46"/>
      <x:c r="O246" s="46"/>
    </x:row>
    <x:row r="247">
      <x:c r="A247" s="46"/>
      <x:c r="B247" s="46"/>
      <x:c r="C247" s="46"/>
      <x:c r="D247" s="46"/>
      <x:c r="E247" s="46"/>
      <x:c r="F247" s="46"/>
      <x:c r="G247" s="46"/>
      <x:c r="H247" s="46"/>
      <x:c r="I247" s="46"/>
      <x:c r="J247" s="46"/>
      <x:c r="K247" s="46"/>
      <x:c r="L247" s="46"/>
      <x:c r="M247" s="46"/>
      <x:c r="N247" s="46"/>
      <x:c r="O247" s="46"/>
    </x:row>
    <x:row r="248">
      <x:c r="A248" s="46"/>
      <x:c r="B248" s="46"/>
      <x:c r="C248" s="46"/>
      <x:c r="D248" s="46"/>
      <x:c r="E248" s="46"/>
      <x:c r="F248" s="46"/>
      <x:c r="G248" s="46"/>
      <x:c r="H248" s="46"/>
      <x:c r="I248" s="46"/>
      <x:c r="J248" s="46"/>
      <x:c r="K248" s="46"/>
      <x:c r="L248" s="46"/>
      <x:c r="M248" s="46"/>
      <x:c r="N248" s="46"/>
      <x:c r="O248" s="46"/>
    </x:row>
    <x:row r="249">
      <x:c r="A249" s="46"/>
      <x:c r="B249" s="46"/>
      <x:c r="C249" s="46"/>
      <x:c r="D249" s="46"/>
      <x:c r="E249" s="46"/>
      <x:c r="F249" s="46"/>
      <x:c r="G249" s="46"/>
      <x:c r="H249" s="46"/>
      <x:c r="I249" s="46"/>
      <x:c r="J249" s="46"/>
      <x:c r="K249" s="46"/>
      <x:c r="L249" s="46"/>
      <x:c r="M249" s="46"/>
      <x:c r="N249" s="46"/>
      <x:c r="O249" s="46"/>
    </x:row>
    <x:row r="250">
      <x:c r="A250" s="46"/>
      <x:c r="B250" s="46"/>
      <x:c r="C250" s="46"/>
      <x:c r="D250" s="46"/>
      <x:c r="E250" s="46"/>
      <x:c r="F250" s="46"/>
      <x:c r="G250" s="46"/>
      <x:c r="H250" s="46"/>
      <x:c r="I250" s="46"/>
      <x:c r="J250" s="46"/>
      <x:c r="K250" s="46"/>
      <x:c r="L250" s="46"/>
      <x:c r="M250" s="46"/>
      <x:c r="N250" s="46"/>
      <x:c r="O250" s="46"/>
    </x:row>
    <x:row r="251">
      <x:c r="A251" s="46"/>
      <x:c r="B251" s="46"/>
      <x:c r="C251" s="46"/>
      <x:c r="D251" s="46"/>
      <x:c r="E251" s="46"/>
      <x:c r="F251" s="46"/>
      <x:c r="G251" s="46"/>
      <x:c r="H251" s="46"/>
      <x:c r="I251" s="46"/>
      <x:c r="J251" s="46"/>
      <x:c r="K251" s="46"/>
      <x:c r="L251" s="46"/>
      <x:c r="M251" s="46"/>
      <x:c r="N251" s="46"/>
      <x:c r="O251" s="46"/>
    </x:row>
    <x:row r="252">
      <x:c r="A252" s="46"/>
      <x:c r="B252" s="46"/>
      <x:c r="C252" s="46"/>
      <x:c r="D252" s="46"/>
      <x:c r="E252" s="46"/>
      <x:c r="F252" s="46"/>
      <x:c r="G252" s="46"/>
      <x:c r="H252" s="46"/>
      <x:c r="I252" s="46"/>
      <x:c r="J252" s="46"/>
      <x:c r="K252" s="46"/>
      <x:c r="L252" s="46"/>
      <x:c r="M252" s="46"/>
      <x:c r="N252" s="46"/>
      <x:c r="O252" s="46"/>
    </x:row>
    <x:row r="253">
      <x:c r="A253" s="46"/>
      <x:c r="B253" s="46"/>
      <x:c r="C253" s="46"/>
      <x:c r="D253" s="46"/>
      <x:c r="E253" s="46"/>
      <x:c r="F253" s="46"/>
      <x:c r="G253" s="46"/>
      <x:c r="H253" s="46"/>
      <x:c r="I253" s="46"/>
      <x:c r="J253" s="46"/>
      <x:c r="K253" s="46"/>
      <x:c r="L253" s="46"/>
      <x:c r="M253" s="46"/>
      <x:c r="N253" s="46"/>
      <x:c r="O253" s="46"/>
    </x:row>
    <x:row r="254">
      <x:c r="A254" s="46"/>
      <x:c r="B254" s="46"/>
      <x:c r="C254" s="46"/>
      <x:c r="D254" s="46"/>
      <x:c r="E254" s="46"/>
      <x:c r="F254" s="46"/>
      <x:c r="G254" s="46"/>
      <x:c r="H254" s="46"/>
      <x:c r="I254" s="46"/>
      <x:c r="J254" s="46"/>
      <x:c r="K254" s="46"/>
      <x:c r="L254" s="46"/>
      <x:c r="M254" s="46"/>
      <x:c r="N254" s="46"/>
      <x:c r="O254" s="46"/>
    </x:row>
    <x:row r="255">
      <x:c r="A255" s="46"/>
      <x:c r="B255" s="46"/>
      <x:c r="C255" s="46"/>
      <x:c r="D255" s="46"/>
      <x:c r="E255" s="46"/>
      <x:c r="F255" s="46"/>
      <x:c r="G255" s="46"/>
      <x:c r="H255" s="46"/>
      <x:c r="I255" s="46"/>
      <x:c r="J255" s="46"/>
      <x:c r="K255" s="46"/>
      <x:c r="L255" s="46"/>
      <x:c r="M255" s="46"/>
      <x:c r="N255" s="46"/>
      <x:c r="O255" s="46"/>
    </x:row>
    <x:row r="256">
      <x:c r="A256" s="46"/>
      <x:c r="B256" s="46"/>
      <x:c r="C256" s="46"/>
      <x:c r="D256" s="46"/>
      <x:c r="E256" s="46"/>
      <x:c r="F256" s="46"/>
      <x:c r="G256" s="46"/>
      <x:c r="H256" s="46"/>
      <x:c r="I256" s="46"/>
      <x:c r="J256" s="46"/>
      <x:c r="K256" s="46"/>
      <x:c r="L256" s="46"/>
      <x:c r="M256" s="46"/>
      <x:c r="N256" s="46"/>
      <x:c r="O256" s="46"/>
    </x:row>
    <x:row r="257">
      <x:c r="A257" s="46"/>
      <x:c r="B257" s="46"/>
      <x:c r="C257" s="46"/>
      <x:c r="D257" s="46"/>
      <x:c r="E257" s="46"/>
      <x:c r="F257" s="46"/>
      <x:c r="G257" s="46"/>
      <x:c r="H257" s="46"/>
      <x:c r="I257" s="46"/>
      <x:c r="J257" s="46"/>
      <x:c r="K257" s="46"/>
      <x:c r="L257" s="46"/>
      <x:c r="M257" s="46"/>
      <x:c r="N257" s="46"/>
      <x:c r="O257" s="46"/>
    </x:row>
    <x:row r="258">
      <x:c r="A258" s="46"/>
      <x:c r="B258" s="46"/>
      <x:c r="C258" s="46"/>
      <x:c r="D258" s="46"/>
      <x:c r="E258" s="46"/>
      <x:c r="F258" s="46"/>
      <x:c r="G258" s="46"/>
      <x:c r="H258" s="46"/>
      <x:c r="I258" s="46"/>
      <x:c r="J258" s="46"/>
      <x:c r="K258" s="46"/>
      <x:c r="L258" s="46"/>
      <x:c r="M258" s="46"/>
      <x:c r="N258" s="46"/>
      <x:c r="O258" s="46"/>
    </x:row>
    <x:row r="259">
      <x:c r="A259" s="46"/>
      <x:c r="B259" s="46"/>
      <x:c r="C259" s="46"/>
      <x:c r="D259" s="46"/>
      <x:c r="E259" s="46"/>
      <x:c r="F259" s="46"/>
      <x:c r="G259" s="46"/>
      <x:c r="H259" s="46"/>
      <x:c r="I259" s="46"/>
      <x:c r="J259" s="46"/>
      <x:c r="K259" s="46"/>
      <x:c r="L259" s="46"/>
      <x:c r="M259" s="46"/>
      <x:c r="N259" s="46"/>
      <x:c r="O259" s="46"/>
    </x:row>
    <x:row r="260">
      <x:c r="A260" s="46"/>
      <x:c r="B260" s="46"/>
      <x:c r="C260" s="46"/>
      <x:c r="D260" s="46"/>
      <x:c r="E260" s="46"/>
      <x:c r="F260" s="46"/>
      <x:c r="G260" s="46"/>
      <x:c r="H260" s="46"/>
      <x:c r="I260" s="46"/>
      <x:c r="J260" s="46"/>
      <x:c r="K260" s="46"/>
      <x:c r="L260" s="46"/>
      <x:c r="M260" s="46"/>
      <x:c r="N260" s="46"/>
      <x:c r="O260" s="46"/>
    </x:row>
    <x:row r="261">
      <x:c r="A261" s="46"/>
      <x:c r="B261" s="46"/>
      <x:c r="C261" s="46"/>
      <x:c r="D261" s="46"/>
      <x:c r="E261" s="46"/>
      <x:c r="F261" s="46"/>
      <x:c r="G261" s="46"/>
      <x:c r="H261" s="46"/>
      <x:c r="I261" s="46"/>
      <x:c r="J261" s="46"/>
      <x:c r="K261" s="46"/>
      <x:c r="L261" s="46"/>
      <x:c r="M261" s="46"/>
      <x:c r="N261" s="46"/>
      <x:c r="O261" s="46"/>
    </x:row>
    <x:row r="262">
      <x:c r="A262" s="46"/>
      <x:c r="B262" s="46"/>
      <x:c r="C262" s="46"/>
      <x:c r="D262" s="46"/>
      <x:c r="E262" s="46"/>
      <x:c r="F262" s="46"/>
      <x:c r="G262" s="46"/>
      <x:c r="H262" s="46"/>
      <x:c r="I262" s="46"/>
      <x:c r="J262" s="46"/>
      <x:c r="K262" s="46"/>
      <x:c r="L262" s="46"/>
      <x:c r="M262" s="46"/>
      <x:c r="N262" s="46"/>
      <x:c r="O262" s="46"/>
    </x:row>
    <x:row r="263">
      <x:c r="A263" s="46"/>
      <x:c r="B263" s="46"/>
      <x:c r="C263" s="46"/>
      <x:c r="D263" s="46"/>
      <x:c r="E263" s="46"/>
      <x:c r="F263" s="46"/>
      <x:c r="G263" s="46"/>
      <x:c r="H263" s="46"/>
      <x:c r="I263" s="46"/>
      <x:c r="J263" s="46"/>
      <x:c r="K263" s="46"/>
      <x:c r="L263" s="46"/>
      <x:c r="M263" s="46"/>
      <x:c r="N263" s="46"/>
      <x:c r="O263" s="46"/>
    </x:row>
    <x:row r="264">
      <x:c r="A264" s="46"/>
      <x:c r="B264" s="46"/>
      <x:c r="C264" s="46"/>
      <x:c r="D264" s="46"/>
      <x:c r="E264" s="46"/>
      <x:c r="F264" s="46"/>
      <x:c r="G264" s="46"/>
      <x:c r="H264" s="46"/>
      <x:c r="I264" s="46"/>
      <x:c r="J264" s="46"/>
      <x:c r="K264" s="46"/>
      <x:c r="L264" s="46"/>
      <x:c r="M264" s="46"/>
      <x:c r="N264" s="46"/>
      <x:c r="O264" s="46"/>
    </x:row>
    <x:row r="265">
      <x:c r="A265" s="46"/>
      <x:c r="B265" s="46"/>
      <x:c r="C265" s="46"/>
      <x:c r="D265" s="46"/>
      <x:c r="E265" s="46"/>
      <x:c r="F265" s="46"/>
      <x:c r="G265" s="46"/>
      <x:c r="H265" s="46"/>
      <x:c r="I265" s="46"/>
      <x:c r="J265" s="46"/>
      <x:c r="K265" s="46"/>
      <x:c r="L265" s="46"/>
      <x:c r="M265" s="46"/>
      <x:c r="N265" s="46"/>
      <x:c r="O265" s="46"/>
    </x:row>
    <x:row r="266">
      <x:c r="A266" s="46"/>
      <x:c r="B266" s="46"/>
      <x:c r="C266" s="46"/>
      <x:c r="D266" s="46"/>
      <x:c r="E266" s="46"/>
      <x:c r="F266" s="46"/>
      <x:c r="G266" s="46"/>
      <x:c r="H266" s="46"/>
      <x:c r="I266" s="46"/>
      <x:c r="J266" s="46"/>
      <x:c r="K266" s="46"/>
      <x:c r="L266" s="46"/>
      <x:c r="M266" s="46"/>
      <x:c r="N266" s="46"/>
      <x:c r="O266" s="46"/>
    </x:row>
    <x:row r="267">
      <x:c r="A267" s="46"/>
      <x:c r="B267" s="46"/>
      <x:c r="C267" s="46"/>
      <x:c r="D267" s="46"/>
      <x:c r="E267" s="46"/>
      <x:c r="F267" s="46"/>
      <x:c r="G267" s="46"/>
      <x:c r="H267" s="46"/>
      <x:c r="I267" s="46"/>
      <x:c r="J267" s="46"/>
      <x:c r="K267" s="46"/>
      <x:c r="L267" s="46"/>
      <x:c r="M267" s="46"/>
      <x:c r="N267" s="46"/>
      <x:c r="O267" s="46"/>
    </x:row>
    <x:row r="268">
      <x:c r="A268" s="46"/>
      <x:c r="B268" s="46"/>
      <x:c r="C268" s="46"/>
      <x:c r="D268" s="46"/>
      <x:c r="E268" s="46"/>
      <x:c r="F268" s="46"/>
      <x:c r="G268" s="46"/>
      <x:c r="H268" s="46"/>
      <x:c r="I268" s="46"/>
      <x:c r="J268" s="46"/>
      <x:c r="K268" s="46"/>
      <x:c r="L268" s="46"/>
      <x:c r="M268" s="46"/>
      <x:c r="N268" s="46"/>
      <x:c r="O268" s="46"/>
    </x:row>
    <x:row r="269">
      <x:c r="A269" s="46"/>
      <x:c r="B269" s="46"/>
      <x:c r="C269" s="46"/>
      <x:c r="D269" s="46"/>
      <x:c r="E269" s="46"/>
      <x:c r="F269" s="46"/>
      <x:c r="G269" s="46"/>
      <x:c r="H269" s="46"/>
      <x:c r="I269" s="46"/>
      <x:c r="J269" s="46"/>
      <x:c r="K269" s="46"/>
      <x:c r="L269" s="46"/>
      <x:c r="M269" s="46"/>
      <x:c r="N269" s="46"/>
      <x:c r="O269" s="46"/>
    </x:row>
    <x:row r="270">
      <x:c r="A270" s="46"/>
      <x:c r="B270" s="46"/>
      <x:c r="C270" s="46"/>
      <x:c r="D270" s="46"/>
      <x:c r="E270" s="46"/>
      <x:c r="F270" s="46"/>
      <x:c r="G270" s="46"/>
      <x:c r="H270" s="46"/>
      <x:c r="I270" s="46"/>
      <x:c r="J270" s="46"/>
      <x:c r="K270" s="46"/>
      <x:c r="L270" s="46"/>
      <x:c r="M270" s="46"/>
      <x:c r="N270" s="46"/>
      <x:c r="O270" s="46"/>
    </x:row>
    <x:row r="271">
      <x:c r="A271" s="46"/>
      <x:c r="B271" s="46"/>
      <x:c r="C271" s="46"/>
      <x:c r="D271" s="46"/>
      <x:c r="E271" s="46"/>
      <x:c r="F271" s="46"/>
      <x:c r="G271" s="46"/>
      <x:c r="H271" s="46"/>
      <x:c r="I271" s="46"/>
      <x:c r="J271" s="46"/>
      <x:c r="K271" s="46"/>
      <x:c r="L271" s="46"/>
      <x:c r="M271" s="46"/>
      <x:c r="N271" s="46"/>
      <x:c r="O271" s="46"/>
    </x:row>
    <x:row r="272">
      <x:c r="A272" s="46"/>
      <x:c r="B272" s="46"/>
      <x:c r="C272" s="46"/>
      <x:c r="D272" s="46"/>
      <x:c r="E272" s="46"/>
      <x:c r="F272" s="46"/>
      <x:c r="G272" s="46"/>
      <x:c r="H272" s="46"/>
      <x:c r="I272" s="46"/>
      <x:c r="J272" s="46"/>
      <x:c r="K272" s="46"/>
      <x:c r="L272" s="46"/>
      <x:c r="M272" s="46"/>
      <x:c r="N272" s="46"/>
      <x:c r="O272" s="46"/>
    </x:row>
    <x:row r="273">
      <x:c r="A273" s="46"/>
      <x:c r="B273" s="46"/>
      <x:c r="C273" s="46"/>
      <x:c r="D273" s="46"/>
      <x:c r="E273" s="46"/>
      <x:c r="F273" s="46"/>
      <x:c r="G273" s="46"/>
      <x:c r="H273" s="46"/>
      <x:c r="I273" s="46"/>
      <x:c r="J273" s="46"/>
      <x:c r="K273" s="46"/>
      <x:c r="L273" s="46"/>
      <x:c r="M273" s="46"/>
      <x:c r="N273" s="46"/>
      <x:c r="O273" s="46"/>
    </x:row>
    <x:row r="274">
      <x:c r="A274" s="46"/>
      <x:c r="B274" s="46"/>
      <x:c r="C274" s="46"/>
      <x:c r="D274" s="46"/>
      <x:c r="E274" s="46"/>
      <x:c r="F274" s="46"/>
      <x:c r="G274" s="46"/>
      <x:c r="H274" s="46"/>
      <x:c r="I274" s="46"/>
      <x:c r="J274" s="46"/>
      <x:c r="K274" s="46"/>
      <x:c r="L274" s="46"/>
      <x:c r="M274" s="46"/>
      <x:c r="N274" s="46"/>
      <x:c r="O274" s="46"/>
    </x:row>
    <x:row r="275">
      <x:c r="A275" s="46"/>
      <x:c r="B275" s="46"/>
      <x:c r="C275" s="46"/>
      <x:c r="D275" s="46"/>
      <x:c r="E275" s="46"/>
      <x:c r="F275" s="46"/>
      <x:c r="G275" s="46"/>
      <x:c r="H275" s="46"/>
      <x:c r="I275" s="46"/>
      <x:c r="J275" s="46"/>
      <x:c r="K275" s="46"/>
      <x:c r="L275" s="46"/>
      <x:c r="M275" s="46"/>
      <x:c r="N275" s="46"/>
      <x:c r="O275" s="46"/>
    </x:row>
    <x:row r="276">
      <x:c r="A276" s="46"/>
      <x:c r="B276" s="46"/>
      <x:c r="C276" s="46"/>
      <x:c r="D276" s="46"/>
      <x:c r="E276" s="46"/>
      <x:c r="F276" s="46"/>
      <x:c r="G276" s="46"/>
      <x:c r="H276" s="46"/>
      <x:c r="I276" s="46"/>
      <x:c r="J276" s="46"/>
      <x:c r="K276" s="46"/>
      <x:c r="L276" s="46"/>
      <x:c r="M276" s="46"/>
      <x:c r="N276" s="46"/>
      <x:c r="O276" s="46"/>
    </x:row>
    <x:row r="277">
      <x:c r="A277" s="46"/>
      <x:c r="B277" s="46"/>
      <x:c r="C277" s="46"/>
      <x:c r="D277" s="46"/>
      <x:c r="E277" s="46"/>
      <x:c r="F277" s="46"/>
      <x:c r="G277" s="46"/>
      <x:c r="H277" s="46"/>
      <x:c r="I277" s="46"/>
      <x:c r="J277" s="46"/>
      <x:c r="K277" s="46"/>
      <x:c r="L277" s="46"/>
      <x:c r="M277" s="46"/>
      <x:c r="N277" s="46"/>
      <x:c r="O277" s="46"/>
    </x:row>
    <x:row r="278">
      <x:c r="A278" s="46"/>
      <x:c r="B278" s="46"/>
      <x:c r="C278" s="46"/>
      <x:c r="D278" s="46"/>
      <x:c r="E278" s="46"/>
      <x:c r="F278" s="46"/>
      <x:c r="G278" s="46"/>
      <x:c r="H278" s="46"/>
      <x:c r="I278" s="46"/>
      <x:c r="J278" s="46"/>
      <x:c r="K278" s="46"/>
      <x:c r="L278" s="46"/>
      <x:c r="M278" s="46"/>
      <x:c r="N278" s="46"/>
      <x:c r="O278" s="46"/>
    </x:row>
    <x:row r="279">
      <x:c r="A279" s="46"/>
      <x:c r="B279" s="46"/>
      <x:c r="C279" s="46"/>
      <x:c r="D279" s="46"/>
      <x:c r="E279" s="46"/>
      <x:c r="F279" s="46"/>
      <x:c r="G279" s="46"/>
      <x:c r="H279" s="46"/>
      <x:c r="I279" s="46"/>
      <x:c r="J279" s="46"/>
      <x:c r="K279" s="46"/>
      <x:c r="L279" s="46"/>
      <x:c r="M279" s="46"/>
      <x:c r="N279" s="46"/>
      <x:c r="O279" s="46"/>
    </x:row>
    <x:row r="280">
      <x:c r="A280" s="46"/>
      <x:c r="B280" s="46"/>
      <x:c r="C280" s="46"/>
      <x:c r="D280" s="46"/>
      <x:c r="E280" s="46"/>
      <x:c r="F280" s="46"/>
      <x:c r="G280" s="46"/>
      <x:c r="H280" s="46"/>
      <x:c r="I280" s="46"/>
      <x:c r="J280" s="46"/>
      <x:c r="K280" s="46"/>
      <x:c r="L280" s="46"/>
      <x:c r="M280" s="46"/>
      <x:c r="N280" s="46"/>
      <x:c r="O280" s="46"/>
    </x:row>
    <x:row r="281">
      <x:c r="A281" s="46"/>
      <x:c r="B281" s="46"/>
      <x:c r="C281" s="46"/>
      <x:c r="D281" s="46"/>
      <x:c r="E281" s="46"/>
      <x:c r="F281" s="46"/>
      <x:c r="G281" s="46"/>
      <x:c r="H281" s="46"/>
      <x:c r="I281" s="46"/>
      <x:c r="J281" s="46"/>
      <x:c r="K281" s="46"/>
      <x:c r="L281" s="46"/>
      <x:c r="M281" s="46"/>
      <x:c r="N281" s="46"/>
      <x:c r="O281" s="46"/>
    </x:row>
    <x:row r="282">
      <x:c r="A282" s="46"/>
      <x:c r="B282" s="46"/>
      <x:c r="C282" s="46"/>
      <x:c r="D282" s="46"/>
      <x:c r="E282" s="46"/>
      <x:c r="F282" s="46"/>
      <x:c r="G282" s="46"/>
      <x:c r="H282" s="46"/>
      <x:c r="I282" s="46"/>
      <x:c r="J282" s="46"/>
      <x:c r="K282" s="46"/>
      <x:c r="L282" s="46"/>
      <x:c r="M282" s="46"/>
      <x:c r="N282" s="46"/>
      <x:c r="O282" s="46"/>
    </x:row>
    <x:row r="283">
      <x:c r="A283" s="46"/>
      <x:c r="B283" s="46"/>
      <x:c r="C283" s="46"/>
      <x:c r="D283" s="46"/>
      <x:c r="E283" s="46"/>
      <x:c r="F283" s="46"/>
      <x:c r="G283" s="46"/>
      <x:c r="H283" s="46"/>
      <x:c r="I283" s="46"/>
      <x:c r="J283" s="46"/>
      <x:c r="K283" s="46"/>
      <x:c r="L283" s="46"/>
      <x:c r="M283" s="46"/>
      <x:c r="N283" s="46"/>
      <x:c r="O283" s="46"/>
    </x:row>
    <x:row r="284">
      <x:c r="A284" s="46"/>
      <x:c r="B284" s="46"/>
      <x:c r="C284" s="46"/>
      <x:c r="D284" s="46"/>
      <x:c r="E284" s="46"/>
      <x:c r="F284" s="46"/>
      <x:c r="G284" s="46"/>
      <x:c r="H284" s="46"/>
      <x:c r="I284" s="46"/>
      <x:c r="J284" s="46"/>
      <x:c r="K284" s="46"/>
      <x:c r="L284" s="46"/>
      <x:c r="M284" s="46"/>
      <x:c r="N284" s="46"/>
      <x:c r="O284" s="46"/>
    </x:row>
    <x:row r="285">
      <x:c r="A285" s="46"/>
      <x:c r="B285" s="46"/>
      <x:c r="C285" s="46"/>
      <x:c r="D285" s="46"/>
      <x:c r="E285" s="46"/>
      <x:c r="F285" s="46"/>
      <x:c r="G285" s="46"/>
      <x:c r="H285" s="46"/>
      <x:c r="I285" s="46"/>
      <x:c r="J285" s="46"/>
      <x:c r="K285" s="46"/>
      <x:c r="L285" s="46"/>
      <x:c r="M285" s="46"/>
      <x:c r="N285" s="46"/>
      <x:c r="O285" s="46"/>
    </x:row>
    <x:row r="286">
      <x:c r="A286" s="46"/>
      <x:c r="B286" s="46"/>
      <x:c r="C286" s="46"/>
      <x:c r="D286" s="46"/>
      <x:c r="E286" s="46"/>
      <x:c r="F286" s="46"/>
      <x:c r="G286" s="46"/>
      <x:c r="H286" s="46"/>
      <x:c r="I286" s="46"/>
      <x:c r="J286" s="46"/>
      <x:c r="K286" s="46"/>
      <x:c r="L286" s="46"/>
      <x:c r="M286" s="46"/>
      <x:c r="N286" s="46"/>
      <x:c r="O286" s="46"/>
    </x:row>
    <x:row r="287">
      <x:c r="A287" s="46"/>
      <x:c r="B287" s="46"/>
      <x:c r="C287" s="46"/>
      <x:c r="D287" s="46"/>
      <x:c r="E287" s="46"/>
      <x:c r="F287" s="46"/>
      <x:c r="G287" s="46"/>
      <x:c r="H287" s="46"/>
      <x:c r="I287" s="46"/>
      <x:c r="J287" s="46"/>
      <x:c r="K287" s="46"/>
      <x:c r="L287" s="46"/>
      <x:c r="M287" s="46"/>
      <x:c r="N287" s="46"/>
      <x:c r="O287" s="46"/>
    </x:row>
    <x:row r="288">
      <x:c r="A288" s="46"/>
      <x:c r="B288" s="46"/>
      <x:c r="C288" s="46"/>
      <x:c r="D288" s="46"/>
      <x:c r="E288" s="46"/>
      <x:c r="F288" s="46"/>
      <x:c r="G288" s="46"/>
      <x:c r="H288" s="46"/>
      <x:c r="I288" s="46"/>
      <x:c r="J288" s="46"/>
      <x:c r="K288" s="46"/>
      <x:c r="L288" s="46"/>
      <x:c r="M288" s="46"/>
      <x:c r="N288" s="46"/>
      <x:c r="O288" s="46"/>
    </x:row>
    <x:row r="289">
      <x:c r="A289" s="46"/>
      <x:c r="B289" s="46"/>
      <x:c r="C289" s="46"/>
      <x:c r="D289" s="46"/>
      <x:c r="E289" s="46"/>
      <x:c r="F289" s="46"/>
      <x:c r="G289" s="46"/>
      <x:c r="H289" s="46"/>
      <x:c r="I289" s="46"/>
      <x:c r="J289" s="46"/>
      <x:c r="K289" s="46"/>
      <x:c r="L289" s="46"/>
      <x:c r="M289" s="46"/>
      <x:c r="N289" s="46"/>
      <x:c r="O289" s="46"/>
    </x:row>
    <x:row r="290">
      <x:c r="A290" s="46"/>
      <x:c r="B290" s="46"/>
      <x:c r="C290" s="46"/>
      <x:c r="D290" s="46"/>
      <x:c r="E290" s="46"/>
      <x:c r="F290" s="46"/>
      <x:c r="G290" s="46"/>
      <x:c r="H290" s="46"/>
      <x:c r="I290" s="46"/>
      <x:c r="J290" s="46"/>
      <x:c r="K290" s="46"/>
      <x:c r="L290" s="46"/>
      <x:c r="M290" s="46"/>
      <x:c r="N290" s="46"/>
      <x:c r="O290" s="46"/>
    </x:row>
    <x:row r="291">
      <x:c r="A291" s="46"/>
      <x:c r="B291" s="46"/>
      <x:c r="C291" s="46"/>
      <x:c r="D291" s="46"/>
      <x:c r="E291" s="46"/>
      <x:c r="F291" s="46"/>
      <x:c r="G291" s="46"/>
      <x:c r="H291" s="46"/>
      <x:c r="I291" s="46"/>
      <x:c r="J291" s="46"/>
      <x:c r="K291" s="46"/>
      <x:c r="L291" s="46"/>
      <x:c r="M291" s="46"/>
      <x:c r="N291" s="46"/>
      <x:c r="O291" s="46"/>
    </x:row>
    <x:row r="292">
      <x:c r="A292" s="46"/>
      <x:c r="B292" s="46"/>
      <x:c r="C292" s="46"/>
      <x:c r="D292" s="46"/>
      <x:c r="E292" s="46"/>
      <x:c r="F292" s="46"/>
      <x:c r="G292" s="46"/>
      <x:c r="H292" s="46"/>
      <x:c r="I292" s="46"/>
      <x:c r="J292" s="46"/>
      <x:c r="K292" s="46"/>
      <x:c r="L292" s="46"/>
      <x:c r="M292" s="46"/>
      <x:c r="N292" s="46"/>
      <x:c r="O292" s="46"/>
    </x:row>
    <x:row r="293">
      <x:c r="A293" s="46"/>
      <x:c r="B293" s="46"/>
      <x:c r="C293" s="46"/>
      <x:c r="D293" s="46"/>
      <x:c r="E293" s="46"/>
      <x:c r="F293" s="46"/>
      <x:c r="G293" s="46"/>
      <x:c r="H293" s="46"/>
      <x:c r="I293" s="46"/>
      <x:c r="J293" s="46"/>
      <x:c r="K293" s="46"/>
      <x:c r="L293" s="46"/>
      <x:c r="M293" s="46"/>
      <x:c r="N293" s="46"/>
      <x:c r="O293" s="46"/>
    </x:row>
    <x:row r="294">
      <x:c r="A294" s="46"/>
      <x:c r="B294" s="46"/>
      <x:c r="C294" s="46"/>
      <x:c r="D294" s="46"/>
      <x:c r="E294" s="46"/>
      <x:c r="F294" s="46"/>
      <x:c r="G294" s="46"/>
      <x:c r="H294" s="46"/>
      <x:c r="I294" s="46"/>
      <x:c r="J294" s="46"/>
      <x:c r="K294" s="46"/>
      <x:c r="L294" s="46"/>
      <x:c r="M294" s="46"/>
      <x:c r="N294" s="46"/>
      <x:c r="O294" s="46"/>
    </x:row>
    <x:row r="295">
      <x:c r="A295" s="46"/>
      <x:c r="B295" s="46"/>
      <x:c r="C295" s="46"/>
      <x:c r="D295" s="46"/>
      <x:c r="E295" s="46"/>
      <x:c r="F295" s="46"/>
      <x:c r="G295" s="46"/>
      <x:c r="H295" s="46"/>
      <x:c r="I295" s="46"/>
      <x:c r="J295" s="46"/>
      <x:c r="K295" s="46"/>
      <x:c r="L295" s="46"/>
      <x:c r="M295" s="46"/>
      <x:c r="N295" s="46"/>
      <x:c r="O295" s="46"/>
    </x:row>
    <x:row r="296">
      <x:c r="A296" s="46"/>
      <x:c r="B296" s="46"/>
      <x:c r="C296" s="46"/>
      <x:c r="D296" s="46"/>
      <x:c r="E296" s="46"/>
      <x:c r="F296" s="46"/>
      <x:c r="G296" s="46"/>
      <x:c r="H296" s="46"/>
      <x:c r="I296" s="46"/>
      <x:c r="J296" s="46"/>
      <x:c r="K296" s="46"/>
      <x:c r="L296" s="46"/>
      <x:c r="M296" s="46"/>
      <x:c r="N296" s="46"/>
      <x:c r="O296" s="46"/>
    </x:row>
    <x:row r="297">
      <x:c r="A297" s="46"/>
      <x:c r="B297" s="46"/>
      <x:c r="C297" s="46"/>
      <x:c r="D297" s="46"/>
      <x:c r="E297" s="46"/>
      <x:c r="F297" s="46"/>
      <x:c r="G297" s="46"/>
      <x:c r="H297" s="46"/>
      <x:c r="I297" s="46"/>
      <x:c r="J297" s="46"/>
      <x:c r="K297" s="46"/>
      <x:c r="L297" s="46"/>
      <x:c r="M297" s="46"/>
      <x:c r="N297" s="46"/>
      <x:c r="O297" s="46"/>
    </x:row>
    <x:row r="298">
      <x:c r="A298" s="46"/>
      <x:c r="B298" s="46"/>
      <x:c r="C298" s="46"/>
      <x:c r="D298" s="46"/>
      <x:c r="E298" s="46"/>
      <x:c r="F298" s="46"/>
      <x:c r="G298" s="46"/>
      <x:c r="H298" s="46"/>
      <x:c r="I298" s="46"/>
      <x:c r="J298" s="46"/>
      <x:c r="K298" s="46"/>
      <x:c r="L298" s="46"/>
      <x:c r="M298" s="46"/>
      <x:c r="N298" s="46"/>
      <x:c r="O298" s="46"/>
    </x:row>
    <x:row r="299">
      <x:c r="A299" s="46"/>
      <x:c r="B299" s="46"/>
      <x:c r="C299" s="46"/>
      <x:c r="D299" s="46"/>
      <x:c r="E299" s="46"/>
      <x:c r="F299" s="46"/>
      <x:c r="G299" s="46"/>
      <x:c r="H299" s="46"/>
      <x:c r="I299" s="46"/>
      <x:c r="J299" s="46"/>
      <x:c r="K299" s="46"/>
      <x:c r="L299" s="46"/>
      <x:c r="M299" s="46"/>
      <x:c r="N299" s="46"/>
      <x:c r="O299" s="46"/>
    </x:row>
    <x:row r="300">
      <x:c r="A300" s="46"/>
      <x:c r="B300" s="46"/>
      <x:c r="C300" s="46"/>
      <x:c r="D300" s="46"/>
      <x:c r="E300" s="46"/>
      <x:c r="F300" s="46"/>
      <x:c r="G300" s="46"/>
      <x:c r="H300" s="46"/>
      <x:c r="I300" s="46"/>
      <x:c r="J300" s="46"/>
      <x:c r="K300" s="46"/>
      <x:c r="L300" s="46"/>
      <x:c r="M300" s="46"/>
      <x:c r="N300" s="46"/>
      <x:c r="O300" s="46"/>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0" hidden="0" customWidth="1"/>
    <x:col min="10" max="10" width="18" hidden="0" customWidth="1"/>
    <x:col min="11" max="11" width="30" hidden="0" customWidth="1"/>
    <x:col min="12" max="12" width="58" hidden="0" customWidth="1"/>
    <x:col min="13" max="13" width="22" hidden="0" customWidth="1"/>
    <x:col min="14" max="14" width="50" hidden="0" customWidth="1"/>
    <x:col min="15" max="15" width="24" hidden="0" customWidth="1"/>
    <x:col min="16" max="16" width="28" hidden="0" customWidth="1"/>
    <x:col min="17" max="17" width="50" hidden="0" customWidth="1"/>
  </x:cols>
  <x:sheetData>
    <x:row r="1" ht="34" customHeight="1">
      <x:c r="A1" s="50" t="str">
        <x:v>profile_record_id</x:v>
      </x:c>
      <x:c r="B1" s="50" t="str">
        <x:v>protein</x:v>
      </x:c>
      <x:c r="C1" s="50" t="str">
        <x:v>family_id</x:v>
      </x:c>
      <x:c r="D1" s="50" t="str">
        <x:v>preparation_state</x:v>
      </x:c>
      <x:c r="E1" s="50" t="str">
        <x:v>cut_or_part</x:v>
      </x:c>
      <x:c r="F1" s="50" t="str">
        <x:v>compound_name</x:v>
      </x:c>
      <x:c r="G1" s="50" t="str">
        <x:v>cas</x:v>
      </x:c>
      <x:c r="H1" s="50" t="str">
        <x:v>compound_group</x:v>
      </x:c>
      <x:c r="I1" s="50" t="str">
        <x:v>evidence_mode</x:v>
      </x:c>
      <x:c r="J1" s="50" t="str">
        <x:v>direct_source_state</x:v>
      </x:c>
      <x:c r="K1" s="50" t="str">
        <x:v>importance_class</x:v>
      </x:c>
      <x:c r="L1" s="50" t="str">
        <x:v>importance_detail</x:v>
      </x:c>
      <x:c r="M1" s="50" t="str">
        <x:v>source_id</x:v>
      </x:c>
      <x:c r="N1" s="50" t="str">
        <x:v>source_url</x:v>
      </x:c>
      <x:c r="O1" s="50" t="str">
        <x:v>source_context_confounded</x:v>
      </x:c>
      <x:c r="P1" s="50" t="str">
        <x:v>promotion_status</x:v>
      </x:c>
      <x:c r="Q1" s="50" t="str">
        <x:v>notes</x:v>
      </x:c>
    </x:row>
    <x:row r="2">
      <x:c r="A2" s="46" t="str">
        <x:v>CP-001</x:v>
      </x:c>
      <x:c r="B2" s="46" t="str">
        <x:v>chicken</x:v>
      </x:c>
      <x:c r="C2" s="46" t="str">
        <x:v>family:poultry</x:v>
      </x:c>
      <x:c r="D2" s="46" t="str">
        <x:v>raw</x:v>
      </x:c>
      <x:c r="E2" s="46" t="str">
        <x:v>breast + thigh; free-range Xuan-Zhou</x:v>
      </x:c>
      <x:c r="F2" s="46" t="str">
        <x:v>hexanal</x:v>
      </x:c>
      <x:c r="G2" s="46" t="str">
        <x:v>66-25-1</x:v>
      </x:c>
      <x:c r="H2" s="46" t="str">
        <x:v>Carbonyls, aldehydes</x:v>
      </x:c>
      <x:c r="I2" s="46" t="str">
        <x:v>measured</x:v>
      </x:c>
      <x:c r="J2" s="46" t="str">
        <x:v>raw</x:v>
      </x:c>
      <x:c r="K2" s="46" t="str">
        <x:v>above_sensory_threshold</x:v>
      </x:c>
      <x:c r="L2" s="46" t="str">
        <x:v>Six of 56 measured VOCs exceeded their sensory thresholds in all or several experimental samples and were retained for the source study's integrated evaluation.</x:v>
      </x:c>
      <x:c r="M2" s="46" t="str">
        <x:v>SRC-CHICK-RAW-001</x:v>
      </x:c>
      <x:c r="N2" s="46" t="str">
        <x:v>https://pmc.ncbi.nlm.nih.gov/articles/PMC11283215/</x:v>
      </x:c>
      <x:c r="O2" s="46" t="str">
        <x:v>no</x:v>
      </x:c>
      <x:c r="P2" s="46" t="str">
        <x:v>eligible_for_chicken_pilot</x:v>
      </x:c>
      <x:c r="Q2" s="46" t="str"/>
    </x:row>
    <x:row r="3">
      <x:c r="A3" s="46" t="str">
        <x:v>CP-002</x:v>
      </x:c>
      <x:c r="B3" s="46" t="str">
        <x:v>chicken</x:v>
      </x:c>
      <x:c r="C3" s="46" t="str">
        <x:v>family:poultry</x:v>
      </x:c>
      <x:c r="D3" s="46" t="str">
        <x:v>raw</x:v>
      </x:c>
      <x:c r="E3" s="46" t="str">
        <x:v>breast + thigh; free-range Xuan-Zhou</x:v>
      </x:c>
      <x:c r="F3" s="46" t="str">
        <x:v>heptanal</x:v>
      </x:c>
      <x:c r="G3" s="46" t="str">
        <x:v>111-71-7</x:v>
      </x:c>
      <x:c r="H3" s="46" t="str">
        <x:v>Carbonyls, aldehydes</x:v>
      </x:c>
      <x:c r="I3" s="46" t="str">
        <x:v>measured</x:v>
      </x:c>
      <x:c r="J3" s="46" t="str">
        <x:v>raw</x:v>
      </x:c>
      <x:c r="K3" s="46" t="str">
        <x:v>above_sensory_threshold</x:v>
      </x:c>
      <x:c r="L3" s="46" t="str">
        <x:v>Six of 56 measured VOCs exceeded their sensory thresholds in all or several experimental samples and were retained for the source study's integrated evaluation.</x:v>
      </x:c>
      <x:c r="M3" s="46" t="str">
        <x:v>SRC-CHICK-RAW-001</x:v>
      </x:c>
      <x:c r="N3" s="46" t="str">
        <x:v>https://pmc.ncbi.nlm.nih.gov/articles/PMC11283215/</x:v>
      </x:c>
      <x:c r="O3" s="46" t="str">
        <x:v>no</x:v>
      </x:c>
      <x:c r="P3" s="46" t="str">
        <x:v>eligible_for_chicken_pilot</x:v>
      </x:c>
      <x:c r="Q3" s="46" t="str"/>
    </x:row>
    <x:row r="4">
      <x:c r="A4" s="46" t="str">
        <x:v>CP-003</x:v>
      </x:c>
      <x:c r="B4" s="46" t="str">
        <x:v>chicken</x:v>
      </x:c>
      <x:c r="C4" s="46" t="str">
        <x:v>family:poultry</x:v>
      </x:c>
      <x:c r="D4" s="46" t="str">
        <x:v>raw</x:v>
      </x:c>
      <x:c r="E4" s="46" t="str">
        <x:v>breast + thigh; free-range Xuan-Zhou</x:v>
      </x:c>
      <x:c r="F4" s="46" t="str">
        <x:v>octanal</x:v>
      </x:c>
      <x:c r="G4" s="46" t="str">
        <x:v>124-13-0</x:v>
      </x:c>
      <x:c r="H4" s="46" t="str">
        <x:v>Carbonyls, aldehydes</x:v>
      </x:c>
      <x:c r="I4" s="46" t="str">
        <x:v>measured</x:v>
      </x:c>
      <x:c r="J4" s="46" t="str">
        <x:v>raw</x:v>
      </x:c>
      <x:c r="K4" s="46" t="str">
        <x:v>above_sensory_threshold</x:v>
      </x:c>
      <x:c r="L4" s="46" t="str">
        <x:v>Six of 56 measured VOCs exceeded their sensory thresholds in all or several experimental samples and were retained for the source study's integrated evaluation.</x:v>
      </x:c>
      <x:c r="M4" s="46" t="str">
        <x:v>SRC-CHICK-RAW-001</x:v>
      </x:c>
      <x:c r="N4" s="46" t="str">
        <x:v>https://pmc.ncbi.nlm.nih.gov/articles/PMC11283215/</x:v>
      </x:c>
      <x:c r="O4" s="46" t="str">
        <x:v>no</x:v>
      </x:c>
      <x:c r="P4" s="46" t="str">
        <x:v>eligible_for_chicken_pilot</x:v>
      </x:c>
      <x:c r="Q4" s="46" t="str"/>
    </x:row>
    <x:row r="5">
      <x:c r="A5" s="46" t="str">
        <x:v>CP-004</x:v>
      </x:c>
      <x:c r="B5" s="46" t="str">
        <x:v>chicken</x:v>
      </x:c>
      <x:c r="C5" s="46" t="str">
        <x:v>family:poultry</x:v>
      </x:c>
      <x:c r="D5" s="46" t="str">
        <x:v>raw</x:v>
      </x:c>
      <x:c r="E5" s="46" t="str">
        <x:v>breast + thigh; free-range Xuan-Zhou</x:v>
      </x:c>
      <x:c r="F5" s="46" t="str">
        <x:v>nonanal</x:v>
      </x:c>
      <x:c r="G5" s="46" t="str">
        <x:v>124-19-6</x:v>
      </x:c>
      <x:c r="H5" s="46" t="str">
        <x:v>Carbonyls, aldehydes</x:v>
      </x:c>
      <x:c r="I5" s="46" t="str">
        <x:v>measured</x:v>
      </x:c>
      <x:c r="J5" s="46" t="str">
        <x:v>raw</x:v>
      </x:c>
      <x:c r="K5" s="46" t="str">
        <x:v>above_sensory_threshold</x:v>
      </x:c>
      <x:c r="L5" s="46" t="str">
        <x:v>Six of 56 measured VOCs exceeded their sensory thresholds in all or several experimental samples and were retained for the source study's integrated evaluation.</x:v>
      </x:c>
      <x:c r="M5" s="46" t="str">
        <x:v>SRC-CHICK-RAW-001</x:v>
      </x:c>
      <x:c r="N5" s="46" t="str">
        <x:v>https://pmc.ncbi.nlm.nih.gov/articles/PMC11283215/</x:v>
      </x:c>
      <x:c r="O5" s="46" t="str">
        <x:v>no</x:v>
      </x:c>
      <x:c r="P5" s="46" t="str">
        <x:v>eligible_for_chicken_pilot</x:v>
      </x:c>
      <x:c r="Q5" s="46" t="str"/>
    </x:row>
    <x:row r="6">
      <x:c r="A6" s="46" t="str">
        <x:v>CP-005</x:v>
      </x:c>
      <x:c r="B6" s="46" t="str">
        <x:v>chicken</x:v>
      </x:c>
      <x:c r="C6" s="46" t="str">
        <x:v>family:poultry</x:v>
      </x:c>
      <x:c r="D6" s="46" t="str">
        <x:v>raw</x:v>
      </x:c>
      <x:c r="E6" s="46" t="str">
        <x:v>breast + thigh; free-range Xuan-Zhou</x:v>
      </x:c>
      <x:c r="F6" s="46" t="str">
        <x:v>dodecanal</x:v>
      </x:c>
      <x:c r="G6" s="46" t="str">
        <x:v>112-54-9</x:v>
      </x:c>
      <x:c r="H6" s="46" t="str">
        <x:v>Carbonyls, aldehydes</x:v>
      </x:c>
      <x:c r="I6" s="46" t="str">
        <x:v>measured</x:v>
      </x:c>
      <x:c r="J6" s="46" t="str">
        <x:v>raw</x:v>
      </x:c>
      <x:c r="K6" s="46" t="str">
        <x:v>above_sensory_threshold</x:v>
      </x:c>
      <x:c r="L6" s="46" t="str">
        <x:v>Six of 56 measured VOCs exceeded their sensory thresholds in all or several experimental samples and were retained for the source study's integrated evaluation.</x:v>
      </x:c>
      <x:c r="M6" s="46" t="str">
        <x:v>SRC-CHICK-RAW-001</x:v>
      </x:c>
      <x:c r="N6" s="46" t="str">
        <x:v>https://pmc.ncbi.nlm.nih.gov/articles/PMC11283215/</x:v>
      </x:c>
      <x:c r="O6" s="46" t="str">
        <x:v>no</x:v>
      </x:c>
      <x:c r="P6" s="46" t="str">
        <x:v>eligible_for_chicken_pilot</x:v>
      </x:c>
      <x:c r="Q6" s="46" t="str"/>
    </x:row>
    <x:row r="7">
      <x:c r="A7" s="46" t="str">
        <x:v>CP-006</x:v>
      </x:c>
      <x:c r="B7" s="46" t="str">
        <x:v>chicken</x:v>
      </x:c>
      <x:c r="C7" s="46" t="str">
        <x:v>family:poultry</x:v>
      </x:c>
      <x:c r="D7" s="46" t="str">
        <x:v>raw</x:v>
      </x:c>
      <x:c r="E7" s="46" t="str">
        <x:v>breast + thigh; free-range Xuan-Zhou</x:v>
      </x:c>
      <x:c r="F7" s="46" t="str">
        <x:v>1-octen-3-ol</x:v>
      </x:c>
      <x:c r="G7" s="46" t="str">
        <x:v>3391-86-4</x:v>
      </x:c>
      <x:c r="H7" s="46" t="str">
        <x:v>Alcohols</x:v>
      </x:c>
      <x:c r="I7" s="46" t="str">
        <x:v>measured</x:v>
      </x:c>
      <x:c r="J7" s="46" t="str">
        <x:v>raw</x:v>
      </x:c>
      <x:c r="K7" s="46" t="str">
        <x:v>above_sensory_threshold</x:v>
      </x:c>
      <x:c r="L7" s="46" t="str">
        <x:v>Six of 56 measured VOCs exceeded their sensory thresholds in all or several experimental samples and were retained for the source study's integrated evaluation.</x:v>
      </x:c>
      <x:c r="M7" s="46" t="str">
        <x:v>SRC-CHICK-RAW-001</x:v>
      </x:c>
      <x:c r="N7" s="46" t="str">
        <x:v>https://pmc.ncbi.nlm.nih.gov/articles/PMC11283215/</x:v>
      </x:c>
      <x:c r="O7" s="46" t="str">
        <x:v>no</x:v>
      </x:c>
      <x:c r="P7" s="46" t="str">
        <x:v>eligible_for_chicken_pilot</x:v>
      </x:c>
      <x:c r="Q7" s="46" t="str"/>
    </x:row>
    <x:row r="8">
      <x:c r="A8" s="46" t="str">
        <x:v>CP-007</x:v>
      </x:c>
      <x:c r="B8" s="46" t="str">
        <x:v>chicken</x:v>
      </x:c>
      <x:c r="C8" s="46" t="str">
        <x:v>family:poultry</x:v>
      </x:c>
      <x:c r="D8" s="46" t="str">
        <x:v>poached</x:v>
      </x:c>
      <x:c r="E8" s="46" t="str">
        <x:v>poached chicken; holding comparison</x:v>
      </x:c>
      <x:c r="F8" s="46" t="str">
        <x:v>hexanal</x:v>
      </x:c>
      <x:c r="G8" s="46" t="str">
        <x:v>66-25-1</x:v>
      </x:c>
      <x:c r="H8" s="46" t="str">
        <x:v>Carbonyls, aldehydes</x:v>
      </x:c>
      <x:c r="I8" s="46" t="str">
        <x:v>measured</x:v>
      </x:c>
      <x:c r="J8" s="46" t="str">
        <x:v>poached</x:v>
      </x:c>
      <x:c r="K8" s="46" t="str">
        <x:v>holding_sensitive_marker</x:v>
      </x:c>
      <x:c r="L8" s="46" t="str">
        <x:v>These three compounds changed consistently between 1- and 10-minute holding conditions. They are direct poached markers, not a complete key-aroma profile.</x:v>
      </x:c>
      <x:c r="M8" s="46" t="str">
        <x:v>SRC-CHICK-POACH-001</x:v>
      </x:c>
      <x:c r="N8" s="46" t="str">
        <x:v>https://www.tandfonline.com/doi/full/10.1080/15428052.2012.706120</x:v>
      </x:c>
      <x:c r="O8" s="46" t="str">
        <x:v>no</x:v>
      </x:c>
      <x:c r="P8" s="46" t="str">
        <x:v>eligible_for_chicken_pilot</x:v>
      </x:c>
      <x:c r="Q8" s="46" t="str">
        <x:v>Do not interpret absence of other compounds as evidence they are absent from poached chicken.</x:v>
      </x:c>
    </x:row>
    <x:row r="9">
      <x:c r="A9" s="46" t="str">
        <x:v>CP-008</x:v>
      </x:c>
      <x:c r="B9" s="46" t="str">
        <x:v>chicken</x:v>
      </x:c>
      <x:c r="C9" s="46" t="str">
        <x:v>family:poultry</x:v>
      </x:c>
      <x:c r="D9" s="46" t="str">
        <x:v>poached</x:v>
      </x:c>
      <x:c r="E9" s="46" t="str">
        <x:v>poached chicken; holding comparison</x:v>
      </x:c>
      <x:c r="F9" s="46" t="str">
        <x:v>dimethyl sulfide</x:v>
      </x:c>
      <x:c r="G9" s="46" t="str">
        <x:v>75-18-3</x:v>
      </x:c>
      <x:c r="H9" s="46" t="str">
        <x:v>Sulfur compounds</x:v>
      </x:c>
      <x:c r="I9" s="46" t="str">
        <x:v>measured</x:v>
      </x:c>
      <x:c r="J9" s="46" t="str">
        <x:v>poached</x:v>
      </x:c>
      <x:c r="K9" s="46" t="str">
        <x:v>holding_sensitive_marker</x:v>
      </x:c>
      <x:c r="L9" s="46" t="str">
        <x:v>These three compounds changed consistently between 1- and 10-minute holding conditions. They are direct poached markers, not a complete key-aroma profile.</x:v>
      </x:c>
      <x:c r="M9" s="46" t="str">
        <x:v>SRC-CHICK-POACH-001</x:v>
      </x:c>
      <x:c r="N9" s="46" t="str">
        <x:v>https://www.tandfonline.com/doi/full/10.1080/15428052.2012.706120</x:v>
      </x:c>
      <x:c r="O9" s="46" t="str">
        <x:v>no</x:v>
      </x:c>
      <x:c r="P9" s="46" t="str">
        <x:v>eligible_for_chicken_pilot</x:v>
      </x:c>
      <x:c r="Q9" s="46" t="str">
        <x:v>Do not interpret absence of other compounds as evidence they are absent from poached chicken.</x:v>
      </x:c>
    </x:row>
    <x:row r="10">
      <x:c r="A10" s="46" t="str">
        <x:v>CP-009</x:v>
      </x:c>
      <x:c r="B10" s="46" t="str">
        <x:v>chicken</x:v>
      </x:c>
      <x:c r="C10" s="46" t="str">
        <x:v>family:poultry</x:v>
      </x:c>
      <x:c r="D10" s="46" t="str">
        <x:v>poached</x:v>
      </x:c>
      <x:c r="E10" s="46" t="str">
        <x:v>poached chicken; holding comparison</x:v>
      </x:c>
      <x:c r="F10" s="46" t="str">
        <x:v>propanal</x:v>
      </x:c>
      <x:c r="G10" s="46" t="str">
        <x:v>123-38-6</x:v>
      </x:c>
      <x:c r="H10" s="46" t="str">
        <x:v>Carbonyls, aldehydes</x:v>
      </x:c>
      <x:c r="I10" s="46" t="str">
        <x:v>measured</x:v>
      </x:c>
      <x:c r="J10" s="46" t="str">
        <x:v>poached</x:v>
      </x:c>
      <x:c r="K10" s="46" t="str">
        <x:v>holding_sensitive_marker</x:v>
      </x:c>
      <x:c r="L10" s="46" t="str">
        <x:v>These three compounds changed consistently between 1- and 10-minute holding conditions. They are direct poached markers, not a complete key-aroma profile.</x:v>
      </x:c>
      <x:c r="M10" s="46" t="str">
        <x:v>SRC-CHICK-POACH-001</x:v>
      </x:c>
      <x:c r="N10" s="46" t="str">
        <x:v>https://www.tandfonline.com/doi/full/10.1080/15428052.2012.706120</x:v>
      </x:c>
      <x:c r="O10" s="46" t="str">
        <x:v>no</x:v>
      </x:c>
      <x:c r="P10" s="46" t="str">
        <x:v>eligible_for_chicken_pilot</x:v>
      </x:c>
      <x:c r="Q10" s="46" t="str">
        <x:v>Do not interpret absence of other compounds as evidence they are absent from poached chicken.</x:v>
      </x:c>
    </x:row>
    <x:row r="11">
      <x:c r="A11" s="46" t="str">
        <x:v>CP-010</x:v>
      </x:c>
      <x:c r="B11" s="46" t="str">
        <x:v>chicken</x:v>
      </x:c>
      <x:c r="C11" s="46" t="str">
        <x:v>family:poultry</x:v>
      </x:c>
      <x:c r="D11" s="46" t="str">
        <x:v>roasted</x:v>
      </x:c>
      <x:c r="E11" s="46" t="str">
        <x:v>breast/thigh/skin across three roasting methods</x:v>
      </x:c>
      <x:c r="F11" s="46" t="str">
        <x:v>3-ethyl-2,5-dimethylpyrazine</x:v>
      </x:c>
      <x:c r="G11" s="46" t="str">
        <x:v>13360-65-1</x:v>
      </x:c>
      <x:c r="H11" s="46" t="str">
        <x:v>Bases</x:v>
      </x:c>
      <x:c r="I11" s="46" t="str">
        <x:v>measured</x:v>
      </x:c>
      <x:c r="J11" s="46" t="str">
        <x:v>roasted</x:v>
      </x:c>
      <x:c r="K11" s="46" t="str">
        <x:v>shared_critical_across_roast_methods</x:v>
      </x:c>
      <x:c r="L11" s="46" t="str">
        <x:v>Ten critical compounds reported as shared by the three roasted-chicken preparations after GC-O/AEDA/OAV/recombination-omission analysis.</x:v>
      </x:c>
      <x:c r="M11" s="46" t="str">
        <x:v>SRC-CHICK-ROAST-001</x:v>
      </x:c>
      <x:c r="N11" s="46" t="str">
        <x:v>https://pmc.ncbi.nlm.nih.gov/articles/PMC10900400/</x:v>
      </x:c>
      <x:c r="O11" s="46" t="str">
        <x:v>yes_recipe_spice_context</x:v>
      </x:c>
      <x:c r="P11" s="46" t="str">
        <x:v>state_specific_only</x:v>
      </x:c>
      <x:c r="Q11" s="46" t="str">
        <x:v>Commercial roasted chickens were seasoned; retain this as roasted-product evidence, not an intrinsic raw-chicken or poultry-family claim.</x:v>
      </x:c>
    </x:row>
    <x:row r="12">
      <x:c r="A12" s="46" t="str">
        <x:v>CP-011</x:v>
      </x:c>
      <x:c r="B12" s="46" t="str">
        <x:v>chicken</x:v>
      </x:c>
      <x:c r="C12" s="46" t="str">
        <x:v>family:poultry</x:v>
      </x:c>
      <x:c r="D12" s="46" t="str">
        <x:v>roasted</x:v>
      </x:c>
      <x:c r="E12" s="46" t="str">
        <x:v>breast/thigh/skin across three roasting methods</x:v>
      </x:c>
      <x:c r="F12" s="46" t="str">
        <x:v>hexanal</x:v>
      </x:c>
      <x:c r="G12" s="46" t="str">
        <x:v>66-25-1</x:v>
      </x:c>
      <x:c r="H12" s="46" t="str">
        <x:v>Carbonyls, aldehydes</x:v>
      </x:c>
      <x:c r="I12" s="46" t="str">
        <x:v>measured</x:v>
      </x:c>
      <x:c r="J12" s="46" t="str">
        <x:v>roasted</x:v>
      </x:c>
      <x:c r="K12" s="46" t="str">
        <x:v>shared_critical_across_roast_methods</x:v>
      </x:c>
      <x:c r="L12" s="46" t="str">
        <x:v>Ten critical compounds reported as shared by the three roasted-chicken preparations after GC-O/AEDA/OAV/recombination-omission analysis.</x:v>
      </x:c>
      <x:c r="M12" s="46" t="str">
        <x:v>SRC-CHICK-ROAST-001</x:v>
      </x:c>
      <x:c r="N12" s="46" t="str">
        <x:v>https://pmc.ncbi.nlm.nih.gov/articles/PMC10900400/</x:v>
      </x:c>
      <x:c r="O12" s="46" t="str">
        <x:v>yes_recipe_spice_context</x:v>
      </x:c>
      <x:c r="P12" s="46" t="str">
        <x:v>state_specific_only</x:v>
      </x:c>
      <x:c r="Q12" s="46" t="str">
        <x:v>Commercial roasted chickens were seasoned; retain this as roasted-product evidence, not an intrinsic raw-chicken or poultry-family claim.</x:v>
      </x:c>
    </x:row>
    <x:row r="13">
      <x:c r="A13" s="46" t="str">
        <x:v>CP-012</x:v>
      </x:c>
      <x:c r="B13" s="46" t="str">
        <x:v>chicken</x:v>
      </x:c>
      <x:c r="C13" s="46" t="str">
        <x:v>family:poultry</x:v>
      </x:c>
      <x:c r="D13" s="46" t="str">
        <x:v>roasted</x:v>
      </x:c>
      <x:c r="E13" s="46" t="str">
        <x:v>breast/thigh/skin across three roasting methods</x:v>
      </x:c>
      <x:c r="F13" s="46" t="str">
        <x:v>2,5-dimethyltetrahydrofuran</x:v>
      </x:c>
      <x:c r="G13" s="46" t="str">
        <x:v>1003-38-9</x:v>
      </x:c>
      <x:c r="H13" s="46" t="str">
        <x:v>Ethers</x:v>
      </x:c>
      <x:c r="I13" s="46" t="str">
        <x:v>measured</x:v>
      </x:c>
      <x:c r="J13" s="46" t="str">
        <x:v>roasted</x:v>
      </x:c>
      <x:c r="K13" s="46" t="str">
        <x:v>shared_critical_across_roast_methods</x:v>
      </x:c>
      <x:c r="L13" s="46" t="str">
        <x:v>Ten critical compounds reported as shared by the three roasted-chicken preparations after GC-O/AEDA/OAV/recombination-omission analysis.</x:v>
      </x:c>
      <x:c r="M13" s="46" t="str">
        <x:v>SRC-CHICK-ROAST-001</x:v>
      </x:c>
      <x:c r="N13" s="46" t="str">
        <x:v>https://pmc.ncbi.nlm.nih.gov/articles/PMC10900400/</x:v>
      </x:c>
      <x:c r="O13" s="46" t="str">
        <x:v>yes_recipe_spice_context</x:v>
      </x:c>
      <x:c r="P13" s="46" t="str">
        <x:v>state_specific_only</x:v>
      </x:c>
      <x:c r="Q13" s="46" t="str">
        <x:v>Commercial roasted chickens were seasoned; retain this as roasted-product evidence, not an intrinsic raw-chicken or poultry-family claim.</x:v>
      </x:c>
    </x:row>
    <x:row r="14">
      <x:c r="A14" s="46" t="str">
        <x:v>CP-013</x:v>
      </x:c>
      <x:c r="B14" s="46" t="str">
        <x:v>chicken</x:v>
      </x:c>
      <x:c r="C14" s="46" t="str">
        <x:v>family:poultry</x:v>
      </x:c>
      <x:c r="D14" s="46" t="str">
        <x:v>roasted</x:v>
      </x:c>
      <x:c r="E14" s="46" t="str">
        <x:v>breast/thigh/skin across three roasting methods</x:v>
      </x:c>
      <x:c r="F14" s="46" t="str">
        <x:v>2-ethyl-5-methylpyrazine</x:v>
      </x:c>
      <x:c r="G14" s="46" t="str">
        <x:v>13360-64-0</x:v>
      </x:c>
      <x:c r="H14" s="46" t="str">
        <x:v>Bases</x:v>
      </x:c>
      <x:c r="I14" s="46" t="str">
        <x:v>measured</x:v>
      </x:c>
      <x:c r="J14" s="46" t="str">
        <x:v>roasted</x:v>
      </x:c>
      <x:c r="K14" s="46" t="str">
        <x:v>shared_critical_across_roast_methods</x:v>
      </x:c>
      <x:c r="L14" s="46" t="str">
        <x:v>Ten critical compounds reported as shared by the three roasted-chicken preparations after GC-O/AEDA/OAV/recombination-omission analysis.</x:v>
      </x:c>
      <x:c r="M14" s="46" t="str">
        <x:v>SRC-CHICK-ROAST-001</x:v>
      </x:c>
      <x:c r="N14" s="46" t="str">
        <x:v>https://pmc.ncbi.nlm.nih.gov/articles/PMC10900400/</x:v>
      </x:c>
      <x:c r="O14" s="46" t="str">
        <x:v>yes_recipe_spice_context</x:v>
      </x:c>
      <x:c r="P14" s="46" t="str">
        <x:v>state_specific_only</x:v>
      </x:c>
      <x:c r="Q14" s="46" t="str">
        <x:v>Commercial roasted chickens were seasoned; retain this as roasted-product evidence, not an intrinsic raw-chicken or poultry-family claim.</x:v>
      </x:c>
    </x:row>
    <x:row r="15">
      <x:c r="A15" s="46" t="str">
        <x:v>CP-014</x:v>
      </x:c>
      <x:c r="B15" s="46" t="str">
        <x:v>chicken</x:v>
      </x:c>
      <x:c r="C15" s="46" t="str">
        <x:v>family:poultry</x:v>
      </x:c>
      <x:c r="D15" s="46" t="str">
        <x:v>roasted</x:v>
      </x:c>
      <x:c r="E15" s="46" t="str">
        <x:v>breast/thigh/skin across three roasting methods</x:v>
      </x:c>
      <x:c r="F15" s="46" t="str">
        <x:v>5-ethyl-2,3-dimethylpyrazine</x:v>
      </x:c>
      <x:c r="G15" s="46" t="str">
        <x:v>15707-34-3</x:v>
      </x:c>
      <x:c r="H15" s="46" t="str">
        <x:v>Bases</x:v>
      </x:c>
      <x:c r="I15" s="46" t="str">
        <x:v>measured</x:v>
      </x:c>
      <x:c r="J15" s="46" t="str">
        <x:v>roasted</x:v>
      </x:c>
      <x:c r="K15" s="46" t="str">
        <x:v>shared_critical_across_roast_methods</x:v>
      </x:c>
      <x:c r="L15" s="46" t="str">
        <x:v>Ten critical compounds reported as shared by the three roasted-chicken preparations after GC-O/AEDA/OAV/recombination-omission analysis.</x:v>
      </x:c>
      <x:c r="M15" s="46" t="str">
        <x:v>SRC-CHICK-ROAST-001</x:v>
      </x:c>
      <x:c r="N15" s="46" t="str">
        <x:v>https://pmc.ncbi.nlm.nih.gov/articles/PMC10900400/</x:v>
      </x:c>
      <x:c r="O15" s="46" t="str">
        <x:v>yes_recipe_spice_context</x:v>
      </x:c>
      <x:c r="P15" s="46" t="str">
        <x:v>state_specific_only</x:v>
      </x:c>
      <x:c r="Q15" s="46" t="str">
        <x:v>Commercial roasted chickens were seasoned; retain this as roasted-product evidence, not an intrinsic raw-chicken or poultry-family claim.</x:v>
      </x:c>
    </x:row>
    <x:row r="16">
      <x:c r="A16" s="46" t="str">
        <x:v>CP-015</x:v>
      </x:c>
      <x:c r="B16" s="46" t="str">
        <x:v>chicken</x:v>
      </x:c>
      <x:c r="C16" s="46" t="str">
        <x:v>family:poultry</x:v>
      </x:c>
      <x:c r="D16" s="46" t="str">
        <x:v>roasted</x:v>
      </x:c>
      <x:c r="E16" s="46" t="str">
        <x:v>breast/thigh/skin across three roasting methods</x:v>
      </x:c>
      <x:c r="F16" s="46" t="str">
        <x:v>2-methylbutanal</x:v>
      </x:c>
      <x:c r="G16" s="46" t="str">
        <x:v>96-17-3</x:v>
      </x:c>
      <x:c r="H16" s="46" t="str">
        <x:v>Carbonyls, aldehydes</x:v>
      </x:c>
      <x:c r="I16" s="46" t="str">
        <x:v>measured</x:v>
      </x:c>
      <x:c r="J16" s="46" t="str">
        <x:v>roasted</x:v>
      </x:c>
      <x:c r="K16" s="46" t="str">
        <x:v>shared_critical_across_roast_methods</x:v>
      </x:c>
      <x:c r="L16" s="46" t="str">
        <x:v>Ten critical compounds reported as shared by the three roasted-chicken preparations after GC-O/AEDA/OAV/recombination-omission analysis.</x:v>
      </x:c>
      <x:c r="M16" s="46" t="str">
        <x:v>SRC-CHICK-ROAST-001</x:v>
      </x:c>
      <x:c r="N16" s="46" t="str">
        <x:v>https://pmc.ncbi.nlm.nih.gov/articles/PMC10900400/</x:v>
      </x:c>
      <x:c r="O16" s="46" t="str">
        <x:v>yes_recipe_spice_context</x:v>
      </x:c>
      <x:c r="P16" s="46" t="str">
        <x:v>state_specific_only</x:v>
      </x:c>
      <x:c r="Q16" s="46" t="str">
        <x:v>Commercial roasted chickens were seasoned; retain this as roasted-product evidence, not an intrinsic raw-chicken or poultry-family claim.</x:v>
      </x:c>
    </x:row>
    <x:row r="17">
      <x:c r="A17" s="46" t="str">
        <x:v>CP-016</x:v>
      </x:c>
      <x:c r="B17" s="46" t="str">
        <x:v>chicken</x:v>
      </x:c>
      <x:c r="C17" s="46" t="str">
        <x:v>family:poultry</x:v>
      </x:c>
      <x:c r="D17" s="46" t="str">
        <x:v>roasted</x:v>
      </x:c>
      <x:c r="E17" s="46" t="str">
        <x:v>breast/thigh/skin across three roasting methods</x:v>
      </x:c>
      <x:c r="F17" s="46" t="str">
        <x:v>hydroxyacetone</x:v>
      </x:c>
      <x:c r="G17" s="46" t="str">
        <x:v>116-09-6</x:v>
      </x:c>
      <x:c r="H17" s="46" t="str">
        <x:v>Carbonyls, ketones</x:v>
      </x:c>
      <x:c r="I17" s="46" t="str">
        <x:v>measured</x:v>
      </x:c>
      <x:c r="J17" s="46" t="str">
        <x:v>roasted</x:v>
      </x:c>
      <x:c r="K17" s="46" t="str">
        <x:v>shared_critical_across_roast_methods</x:v>
      </x:c>
      <x:c r="L17" s="46" t="str">
        <x:v>Ten critical compounds reported as shared by the three roasted-chicken preparations after GC-O/AEDA/OAV/recombination-omission analysis.</x:v>
      </x:c>
      <x:c r="M17" s="46" t="str">
        <x:v>SRC-CHICK-ROAST-001</x:v>
      </x:c>
      <x:c r="N17" s="46" t="str">
        <x:v>https://pmc.ncbi.nlm.nih.gov/articles/PMC10900400/</x:v>
      </x:c>
      <x:c r="O17" s="46" t="str">
        <x:v>yes_recipe_spice_context</x:v>
      </x:c>
      <x:c r="P17" s="46" t="str">
        <x:v>state_specific_only</x:v>
      </x:c>
      <x:c r="Q17" s="46" t="str">
        <x:v>Commercial roasted chickens were seasoned; retain this as roasted-product evidence, not an intrinsic raw-chicken or poultry-family claim.</x:v>
      </x:c>
    </x:row>
    <x:row r="18">
      <x:c r="A18" s="46" t="str">
        <x:v>CP-017</x:v>
      </x:c>
      <x:c r="B18" s="46" t="str">
        <x:v>chicken</x:v>
      </x:c>
      <x:c r="C18" s="46" t="str">
        <x:v>family:poultry</x:v>
      </x:c>
      <x:c r="D18" s="46" t="str">
        <x:v>roasted</x:v>
      </x:c>
      <x:c r="E18" s="46" t="str">
        <x:v>breast/thigh/skin across three roasting methods</x:v>
      </x:c>
      <x:c r="F18" s="46" t="str">
        <x:v>(E,E)-2,4-decadienal</x:v>
      </x:c>
      <x:c r="G18" s="46" t="str">
        <x:v>25152-84-5</x:v>
      </x:c>
      <x:c r="H18" s="46" t="str">
        <x:v>Carbonyls, aldehydes</x:v>
      </x:c>
      <x:c r="I18" s="46" t="str">
        <x:v>measured</x:v>
      </x:c>
      <x:c r="J18" s="46" t="str">
        <x:v>roasted</x:v>
      </x:c>
      <x:c r="K18" s="46" t="str">
        <x:v>shared_critical_across_roast_methods</x:v>
      </x:c>
      <x:c r="L18" s="46" t="str">
        <x:v>Ten critical compounds reported as shared by the three roasted-chicken preparations after GC-O/AEDA/OAV/recombination-omission analysis.</x:v>
      </x:c>
      <x:c r="M18" s="46" t="str">
        <x:v>SRC-CHICK-ROAST-001</x:v>
      </x:c>
      <x:c r="N18" s="46" t="str">
        <x:v>https://pmc.ncbi.nlm.nih.gov/articles/PMC10900400/</x:v>
      </x:c>
      <x:c r="O18" s="46" t="str">
        <x:v>yes_recipe_spice_context</x:v>
      </x:c>
      <x:c r="P18" s="46" t="str">
        <x:v>state_specific_only</x:v>
      </x:c>
      <x:c r="Q18" s="46" t="str">
        <x:v>Commercial roasted chickens were seasoned; retain this as roasted-product evidence, not an intrinsic raw-chicken or poultry-family claim.</x:v>
      </x:c>
    </x:row>
    <x:row r="19">
      <x:c r="A19" s="46" t="str">
        <x:v>CP-018</x:v>
      </x:c>
      <x:c r="B19" s="46" t="str">
        <x:v>chicken</x:v>
      </x:c>
      <x:c r="C19" s="46" t="str">
        <x:v>family:poultry</x:v>
      </x:c>
      <x:c r="D19" s="46" t="str">
        <x:v>roasted</x:v>
      </x:c>
      <x:c r="E19" s="46" t="str">
        <x:v>breast/thigh/skin across three roasting methods</x:v>
      </x:c>
      <x:c r="F19" s="46" t="str">
        <x:v>1-octen-3-ol</x:v>
      </x:c>
      <x:c r="G19" s="46" t="str">
        <x:v>3391-86-4</x:v>
      </x:c>
      <x:c r="H19" s="46" t="str">
        <x:v>Alcohols</x:v>
      </x:c>
      <x:c r="I19" s="46" t="str">
        <x:v>measured</x:v>
      </x:c>
      <x:c r="J19" s="46" t="str">
        <x:v>roasted</x:v>
      </x:c>
      <x:c r="K19" s="46" t="str">
        <x:v>shared_critical_across_roast_methods</x:v>
      </x:c>
      <x:c r="L19" s="46" t="str">
        <x:v>Ten critical compounds reported as shared by the three roasted-chicken preparations after GC-O/AEDA/OAV/recombination-omission analysis.</x:v>
      </x:c>
      <x:c r="M19" s="46" t="str">
        <x:v>SRC-CHICK-ROAST-001</x:v>
      </x:c>
      <x:c r="N19" s="46" t="str">
        <x:v>https://pmc.ncbi.nlm.nih.gov/articles/PMC10900400/</x:v>
      </x:c>
      <x:c r="O19" s="46" t="str">
        <x:v>yes_recipe_spice_context</x:v>
      </x:c>
      <x:c r="P19" s="46" t="str">
        <x:v>state_specific_only</x:v>
      </x:c>
      <x:c r="Q19" s="46" t="str">
        <x:v>Commercial roasted chickens were seasoned; retain this as roasted-product evidence, not an intrinsic raw-chicken or poultry-family claim.</x:v>
      </x:c>
    </x:row>
    <x:row r="20">
      <x:c r="A20" s="46" t="str">
        <x:v>CP-019</x:v>
      </x:c>
      <x:c r="B20" s="46" t="str">
        <x:v>chicken</x:v>
      </x:c>
      <x:c r="C20" s="46" t="str">
        <x:v>family:poultry</x:v>
      </x:c>
      <x:c r="D20" s="46" t="str">
        <x:v>roasted</x:v>
      </x:c>
      <x:c r="E20" s="46" t="str">
        <x:v>breast/thigh/skin across three roasting methods</x:v>
      </x:c>
      <x:c r="F20" s="46" t="str">
        <x:v>methanethiol</x:v>
      </x:c>
      <x:c r="G20" s="46" t="str">
        <x:v>74-93-1</x:v>
      </x:c>
      <x:c r="H20" s="46" t="str">
        <x:v>Sulfur compounds</x:v>
      </x:c>
      <x:c r="I20" s="46" t="str">
        <x:v>measured</x:v>
      </x:c>
      <x:c r="J20" s="46" t="str">
        <x:v>roasted</x:v>
      </x:c>
      <x:c r="K20" s="46" t="str">
        <x:v>shared_critical_across_roast_methods</x:v>
      </x:c>
      <x:c r="L20" s="46" t="str">
        <x:v>Ten critical compounds reported as shared by the three roasted-chicken preparations after GC-O/AEDA/OAV/recombination-omission analysis.</x:v>
      </x:c>
      <x:c r="M20" s="46" t="str">
        <x:v>SRC-CHICK-ROAST-001</x:v>
      </x:c>
      <x:c r="N20" s="46" t="str">
        <x:v>https://pmc.ncbi.nlm.nih.gov/articles/PMC10900400/</x:v>
      </x:c>
      <x:c r="O20" s="46" t="str">
        <x:v>yes_recipe_spice_context</x:v>
      </x:c>
      <x:c r="P20" s="46" t="str">
        <x:v>state_specific_only</x:v>
      </x:c>
      <x:c r="Q20" s="46" t="str">
        <x:v>Commercial roasted chickens were seasoned; retain this as roasted-product evidence, not an intrinsic raw-chicken or poultry-family claim.</x:v>
      </x:c>
    </x:row>
    <x:row r="21">
      <x:c r="A21" s="46" t="str">
        <x:v>CP-020</x:v>
      </x:c>
      <x:c r="B21" s="46" t="str">
        <x:v>chicken</x:v>
      </x:c>
      <x:c r="C21" s="46" t="str">
        <x:v>family:poultry</x:v>
      </x:c>
      <x:c r="D21" s="46" t="str">
        <x:v>stewed</x:v>
      </x:c>
      <x:c r="E21" s="46" t="str">
        <x:v>breast + leg; three specialty chicken types</x:v>
      </x:c>
      <x:c r="F21" s="46" t="str">
        <x:v>hexanal</x:v>
      </x:c>
      <x:c r="G21" s="46" t="str">
        <x:v>66-25-1</x:v>
      </x:c>
      <x:c r="H21" s="46" t="str">
        <x:v>Carbonyls, aldehydes</x:v>
      </x:c>
      <x:c r="I21" s="46" t="str">
        <x:v>measured</x:v>
      </x:c>
      <x:c r="J21" s="46" t="str">
        <x:v>stewed</x:v>
      </x:c>
      <x:c r="K21" s="46" t="str">
        <x:v>ROAV_gt_1</x:v>
      </x:c>
      <x:c r="L21" s="46" t="str">
        <x:v>Thirteen compounds had ROAV &gt; 1 and were identified as significantly contributing to stewed chicken flavor.</x:v>
      </x:c>
      <x:c r="M21" s="46" t="str">
        <x:v>SRC-CHICK-STEW-001</x:v>
      </x:c>
      <x:c r="N21" s="46" t="str">
        <x:v>https://pmc.ncbi.nlm.nih.gov/articles/PMC12167448/</x:v>
      </x:c>
      <x:c r="O21" s="46" t="str">
        <x:v>no</x:v>
      </x:c>
      <x:c r="P21" s="46" t="str">
        <x:v>supplemental_state_evidence</x:v>
      </x:c>
      <x:c r="Q21" s="46" t="str">
        <x:v>Supplemental moist-heat reference. It is not silently substituted for poached.</x:v>
      </x:c>
    </x:row>
    <x:row r="22">
      <x:c r="A22" s="46" t="str">
        <x:v>CP-021</x:v>
      </x:c>
      <x:c r="B22" s="46" t="str">
        <x:v>chicken</x:v>
      </x:c>
      <x:c r="C22" s="46" t="str">
        <x:v>family:poultry</x:v>
      </x:c>
      <x:c r="D22" s="46" t="str">
        <x:v>stewed</x:v>
      </x:c>
      <x:c r="E22" s="46" t="str">
        <x:v>breast + leg; three specialty chicken types</x:v>
      </x:c>
      <x:c r="F22" s="46" t="str">
        <x:v>heptanal</x:v>
      </x:c>
      <x:c r="G22" s="46" t="str">
        <x:v>111-71-7</x:v>
      </x:c>
      <x:c r="H22" s="46" t="str">
        <x:v>Carbonyls, aldehydes</x:v>
      </x:c>
      <x:c r="I22" s="46" t="str">
        <x:v>measured</x:v>
      </x:c>
      <x:c r="J22" s="46" t="str">
        <x:v>stewed</x:v>
      </x:c>
      <x:c r="K22" s="46" t="str">
        <x:v>ROAV_gt_1</x:v>
      </x:c>
      <x:c r="L22" s="46" t="str">
        <x:v>Thirteen compounds had ROAV &gt; 1 and were identified as significantly contributing to stewed chicken flavor.</x:v>
      </x:c>
      <x:c r="M22" s="46" t="str">
        <x:v>SRC-CHICK-STEW-001</x:v>
      </x:c>
      <x:c r="N22" s="46" t="str">
        <x:v>https://pmc.ncbi.nlm.nih.gov/articles/PMC12167448/</x:v>
      </x:c>
      <x:c r="O22" s="46" t="str">
        <x:v>no</x:v>
      </x:c>
      <x:c r="P22" s="46" t="str">
        <x:v>supplemental_state_evidence</x:v>
      </x:c>
      <x:c r="Q22" s="46" t="str">
        <x:v>Supplemental moist-heat reference. It is not silently substituted for poached.</x:v>
      </x:c>
    </x:row>
    <x:row r="23">
      <x:c r="A23" s="46" t="str">
        <x:v>CP-022</x:v>
      </x:c>
      <x:c r="B23" s="46" t="str">
        <x:v>chicken</x:v>
      </x:c>
      <x:c r="C23" s="46" t="str">
        <x:v>family:poultry</x:v>
      </x:c>
      <x:c r="D23" s="46" t="str">
        <x:v>stewed</x:v>
      </x:c>
      <x:c r="E23" s="46" t="str">
        <x:v>breast + leg; three specialty chicken types</x:v>
      </x:c>
      <x:c r="F23" s="46" t="str">
        <x:v>nonanal</x:v>
      </x:c>
      <x:c r="G23" s="46" t="str">
        <x:v>124-19-6</x:v>
      </x:c>
      <x:c r="H23" s="46" t="str">
        <x:v>Carbonyls, aldehydes</x:v>
      </x:c>
      <x:c r="I23" s="46" t="str">
        <x:v>measured</x:v>
      </x:c>
      <x:c r="J23" s="46" t="str">
        <x:v>stewed</x:v>
      </x:c>
      <x:c r="K23" s="46" t="str">
        <x:v>ROAV_gt_1</x:v>
      </x:c>
      <x:c r="L23" s="46" t="str">
        <x:v>Thirteen compounds had ROAV &gt; 1 and were identified as significantly contributing to stewed chicken flavor.</x:v>
      </x:c>
      <x:c r="M23" s="46" t="str">
        <x:v>SRC-CHICK-STEW-001</x:v>
      </x:c>
      <x:c r="N23" s="46" t="str">
        <x:v>https://pmc.ncbi.nlm.nih.gov/articles/PMC12167448/</x:v>
      </x:c>
      <x:c r="O23" s="46" t="str">
        <x:v>no</x:v>
      </x:c>
      <x:c r="P23" s="46" t="str">
        <x:v>supplemental_state_evidence</x:v>
      </x:c>
      <x:c r="Q23" s="46" t="str">
        <x:v>Supplemental moist-heat reference. It is not silently substituted for poached.</x:v>
      </x:c>
    </x:row>
    <x:row r="24">
      <x:c r="A24" s="46" t="str">
        <x:v>CP-023</x:v>
      </x:c>
      <x:c r="B24" s="46" t="str">
        <x:v>chicken</x:v>
      </x:c>
      <x:c r="C24" s="46" t="str">
        <x:v>family:poultry</x:v>
      </x:c>
      <x:c r="D24" s="46" t="str">
        <x:v>stewed</x:v>
      </x:c>
      <x:c r="E24" s="46" t="str">
        <x:v>breast + leg; three specialty chicken types</x:v>
      </x:c>
      <x:c r="F24" s="46" t="str">
        <x:v>(E)-2-octenal</x:v>
      </x:c>
      <x:c r="G24" s="46" t="str">
        <x:v>2548-87-0</x:v>
      </x:c>
      <x:c r="H24" s="46" t="str">
        <x:v>Carbonyls, aldehydes</x:v>
      </x:c>
      <x:c r="I24" s="46" t="str">
        <x:v>measured</x:v>
      </x:c>
      <x:c r="J24" s="46" t="str">
        <x:v>stewed</x:v>
      </x:c>
      <x:c r="K24" s="46" t="str">
        <x:v>ROAV_gt_1</x:v>
      </x:c>
      <x:c r="L24" s="46" t="str">
        <x:v>Thirteen compounds had ROAV &gt; 1 and were identified as significantly contributing to stewed chicken flavor.</x:v>
      </x:c>
      <x:c r="M24" s="46" t="str">
        <x:v>SRC-CHICK-STEW-001</x:v>
      </x:c>
      <x:c r="N24" s="46" t="str">
        <x:v>https://pmc.ncbi.nlm.nih.gov/articles/PMC12167448/</x:v>
      </x:c>
      <x:c r="O24" s="46" t="str">
        <x:v>no</x:v>
      </x:c>
      <x:c r="P24" s="46" t="str">
        <x:v>supplemental_state_evidence</x:v>
      </x:c>
      <x:c r="Q24" s="46" t="str">
        <x:v>Supplemental moist-heat reference. It is not silently substituted for poached.</x:v>
      </x:c>
    </x:row>
    <x:row r="25">
      <x:c r="A25" s="46" t="str">
        <x:v>CP-024</x:v>
      </x:c>
      <x:c r="B25" s="46" t="str">
        <x:v>chicken</x:v>
      </x:c>
      <x:c r="C25" s="46" t="str">
        <x:v>family:poultry</x:v>
      </x:c>
      <x:c r="D25" s="46" t="str">
        <x:v>stewed</x:v>
      </x:c>
      <x:c r="E25" s="46" t="str">
        <x:v>breast + leg; three specialty chicken types</x:v>
      </x:c>
      <x:c r="F25" s="46" t="str">
        <x:v>octanal</x:v>
      </x:c>
      <x:c r="G25" s="46" t="str">
        <x:v>124-13-0</x:v>
      </x:c>
      <x:c r="H25" s="46" t="str">
        <x:v>Carbonyls, aldehydes</x:v>
      </x:c>
      <x:c r="I25" s="46" t="str">
        <x:v>measured</x:v>
      </x:c>
      <x:c r="J25" s="46" t="str">
        <x:v>stewed</x:v>
      </x:c>
      <x:c r="K25" s="46" t="str">
        <x:v>ROAV_gt_1</x:v>
      </x:c>
      <x:c r="L25" s="46" t="str">
        <x:v>Thirteen compounds had ROAV &gt; 1 and were identified as significantly contributing to stewed chicken flavor.</x:v>
      </x:c>
      <x:c r="M25" s="46" t="str">
        <x:v>SRC-CHICK-STEW-001</x:v>
      </x:c>
      <x:c r="N25" s="46" t="str">
        <x:v>https://pmc.ncbi.nlm.nih.gov/articles/PMC12167448/</x:v>
      </x:c>
      <x:c r="O25" s="46" t="str">
        <x:v>no</x:v>
      </x:c>
      <x:c r="P25" s="46" t="str">
        <x:v>supplemental_state_evidence</x:v>
      </x:c>
      <x:c r="Q25" s="46" t="str">
        <x:v>Supplemental moist-heat reference. It is not silently substituted for poached.</x:v>
      </x:c>
    </x:row>
    <x:row r="26">
      <x:c r="A26" s="46" t="str">
        <x:v>CP-025</x:v>
      </x:c>
      <x:c r="B26" s="46" t="str">
        <x:v>chicken</x:v>
      </x:c>
      <x:c r="C26" s="46" t="str">
        <x:v>family:poultry</x:v>
      </x:c>
      <x:c r="D26" s="46" t="str">
        <x:v>stewed</x:v>
      </x:c>
      <x:c r="E26" s="46" t="str">
        <x:v>breast + leg; three specialty chicken types</x:v>
      </x:c>
      <x:c r="F26" s="46" t="str">
        <x:v>(E,E)-2,4-nonadienal</x:v>
      </x:c>
      <x:c r="G26" s="46" t="str">
        <x:v>5910-87-2</x:v>
      </x:c>
      <x:c r="H26" s="46" t="str">
        <x:v>Carbonyls, aldehydes</x:v>
      </x:c>
      <x:c r="I26" s="46" t="str">
        <x:v>measured</x:v>
      </x:c>
      <x:c r="J26" s="46" t="str">
        <x:v>stewed</x:v>
      </x:c>
      <x:c r="K26" s="46" t="str">
        <x:v>ROAV_gt_1</x:v>
      </x:c>
      <x:c r="L26" s="46" t="str">
        <x:v>Thirteen compounds had ROAV &gt; 1 and were identified as significantly contributing to stewed chicken flavor.</x:v>
      </x:c>
      <x:c r="M26" s="46" t="str">
        <x:v>SRC-CHICK-STEW-001</x:v>
      </x:c>
      <x:c r="N26" s="46" t="str">
        <x:v>https://pmc.ncbi.nlm.nih.gov/articles/PMC12167448/</x:v>
      </x:c>
      <x:c r="O26" s="46" t="str">
        <x:v>no</x:v>
      </x:c>
      <x:c r="P26" s="46" t="str">
        <x:v>supplemental_state_evidence</x:v>
      </x:c>
      <x:c r="Q26" s="46" t="str">
        <x:v>Supplemental moist-heat reference. It is not silently substituted for poached.</x:v>
      </x:c>
    </x:row>
    <x:row r="27">
      <x:c r="A27" s="46" t="str">
        <x:v>CP-026</x:v>
      </x:c>
      <x:c r="B27" s="46" t="str">
        <x:v>chicken</x:v>
      </x:c>
      <x:c r="C27" s="46" t="str">
        <x:v>family:poultry</x:v>
      </x:c>
      <x:c r="D27" s="46" t="str">
        <x:v>stewed</x:v>
      </x:c>
      <x:c r="E27" s="46" t="str">
        <x:v>breast + leg; three specialty chicken types</x:v>
      </x:c>
      <x:c r="F27" s="46" t="str">
        <x:v>(E,Z)-2,4-decadienal</x:v>
      </x:c>
      <x:c r="G27" s="46"/>
      <x:c r="H27" s="46" t="str">
        <x:v>Carbonyls, aldehydes</x:v>
      </x:c>
      <x:c r="I27" s="46" t="str">
        <x:v>measured</x:v>
      </x:c>
      <x:c r="J27" s="46" t="str">
        <x:v>stewed</x:v>
      </x:c>
      <x:c r="K27" s="46" t="str">
        <x:v>ROAV_gt_1</x:v>
      </x:c>
      <x:c r="L27" s="46" t="str">
        <x:v>Thirteen compounds had ROAV &gt; 1 and were identified as significantly contributing to stewed chicken flavor.</x:v>
      </x:c>
      <x:c r="M27" s="46" t="str">
        <x:v>SRC-CHICK-STEW-001</x:v>
      </x:c>
      <x:c r="N27" s="46" t="str">
        <x:v>https://pmc.ncbi.nlm.nih.gov/articles/PMC12167448/</x:v>
      </x:c>
      <x:c r="O27" s="46" t="str">
        <x:v>no</x:v>
      </x:c>
      <x:c r="P27" s="46" t="str">
        <x:v>hold_identity_resolution</x:v>
      </x:c>
      <x:c r="Q27" s="46" t="str">
        <x:v>Supplemental moist-heat reference. It is not silently substituted for poached. Chemical identity/CAS not yet independently confirmed.</x:v>
      </x:c>
    </x:row>
    <x:row r="28">
      <x:c r="A28" s="46" t="str">
        <x:v>CP-027</x:v>
      </x:c>
      <x:c r="B28" s="46" t="str">
        <x:v>chicken</x:v>
      </x:c>
      <x:c r="C28" s="46" t="str">
        <x:v>family:poultry</x:v>
      </x:c>
      <x:c r="D28" s="46" t="str">
        <x:v>stewed</x:v>
      </x:c>
      <x:c r="E28" s="46" t="str">
        <x:v>breast + leg; three specialty chicken types</x:v>
      </x:c>
      <x:c r="F28" s="46" t="str">
        <x:v>decanal</x:v>
      </x:c>
      <x:c r="G28" s="46" t="str">
        <x:v>112-31-2</x:v>
      </x:c>
      <x:c r="H28" s="46" t="str">
        <x:v>Carbonyls, aldehydes</x:v>
      </x:c>
      <x:c r="I28" s="46" t="str">
        <x:v>measured</x:v>
      </x:c>
      <x:c r="J28" s="46" t="str">
        <x:v>stewed</x:v>
      </x:c>
      <x:c r="K28" s="46" t="str">
        <x:v>ROAV_gt_1</x:v>
      </x:c>
      <x:c r="L28" s="46" t="str">
        <x:v>Thirteen compounds had ROAV &gt; 1 and were identified as significantly contributing to stewed chicken flavor.</x:v>
      </x:c>
      <x:c r="M28" s="46" t="str">
        <x:v>SRC-CHICK-STEW-001</x:v>
      </x:c>
      <x:c r="N28" s="46" t="str">
        <x:v>https://pmc.ncbi.nlm.nih.gov/articles/PMC12167448/</x:v>
      </x:c>
      <x:c r="O28" s="46" t="str">
        <x:v>no</x:v>
      </x:c>
      <x:c r="P28" s="46" t="str">
        <x:v>supplemental_state_evidence</x:v>
      </x:c>
      <x:c r="Q28" s="46" t="str">
        <x:v>Supplemental moist-heat reference. It is not silently substituted for poached.</x:v>
      </x:c>
    </x:row>
    <x:row r="29">
      <x:c r="A29" s="46" t="str">
        <x:v>CP-028</x:v>
      </x:c>
      <x:c r="B29" s="46" t="str">
        <x:v>chicken</x:v>
      </x:c>
      <x:c r="C29" s="46" t="str">
        <x:v>family:poultry</x:v>
      </x:c>
      <x:c r="D29" s="46" t="str">
        <x:v>stewed</x:v>
      </x:c>
      <x:c r="E29" s="46" t="str">
        <x:v>breast + leg; three specialty chicken types</x:v>
      </x:c>
      <x:c r="F29" s="46" t="str">
        <x:v>1-hexanol</x:v>
      </x:c>
      <x:c r="G29" s="46" t="str">
        <x:v>111-27-3</x:v>
      </x:c>
      <x:c r="H29" s="46" t="str">
        <x:v>Alcohols</x:v>
      </x:c>
      <x:c r="I29" s="46" t="str">
        <x:v>measured</x:v>
      </x:c>
      <x:c r="J29" s="46" t="str">
        <x:v>stewed</x:v>
      </x:c>
      <x:c r="K29" s="46" t="str">
        <x:v>ROAV_gt_1</x:v>
      </x:c>
      <x:c r="L29" s="46" t="str">
        <x:v>Thirteen compounds had ROAV &gt; 1 and were identified as significantly contributing to stewed chicken flavor.</x:v>
      </x:c>
      <x:c r="M29" s="46" t="str">
        <x:v>SRC-CHICK-STEW-001</x:v>
      </x:c>
      <x:c r="N29" s="46" t="str">
        <x:v>https://pmc.ncbi.nlm.nih.gov/articles/PMC12167448/</x:v>
      </x:c>
      <x:c r="O29" s="46" t="str">
        <x:v>no</x:v>
      </x:c>
      <x:c r="P29" s="46" t="str">
        <x:v>supplemental_state_evidence</x:v>
      </x:c>
      <x:c r="Q29" s="46" t="str">
        <x:v>Supplemental moist-heat reference. It is not silently substituted for poached.</x:v>
      </x:c>
    </x:row>
    <x:row r="30">
      <x:c r="A30" s="46" t="str">
        <x:v>CP-029</x:v>
      </x:c>
      <x:c r="B30" s="46" t="str">
        <x:v>chicken</x:v>
      </x:c>
      <x:c r="C30" s="46" t="str">
        <x:v>family:poultry</x:v>
      </x:c>
      <x:c r="D30" s="46" t="str">
        <x:v>stewed</x:v>
      </x:c>
      <x:c r="E30" s="46" t="str">
        <x:v>breast + leg; three specialty chicken types</x:v>
      </x:c>
      <x:c r="F30" s="46" t="str">
        <x:v>1-octen-3-ol</x:v>
      </x:c>
      <x:c r="G30" s="46" t="str">
        <x:v>3391-86-4</x:v>
      </x:c>
      <x:c r="H30" s="46" t="str">
        <x:v>Alcohols</x:v>
      </x:c>
      <x:c r="I30" s="46" t="str">
        <x:v>measured</x:v>
      </x:c>
      <x:c r="J30" s="46" t="str">
        <x:v>stewed</x:v>
      </x:c>
      <x:c r="K30" s="46" t="str">
        <x:v>ROAV_gt_1</x:v>
      </x:c>
      <x:c r="L30" s="46" t="str">
        <x:v>Thirteen compounds had ROAV &gt; 1 and were identified as significantly contributing to stewed chicken flavor.</x:v>
      </x:c>
      <x:c r="M30" s="46" t="str">
        <x:v>SRC-CHICK-STEW-001</x:v>
      </x:c>
      <x:c r="N30" s="46" t="str">
        <x:v>https://pmc.ncbi.nlm.nih.gov/articles/PMC12167448/</x:v>
      </x:c>
      <x:c r="O30" s="46" t="str">
        <x:v>no</x:v>
      </x:c>
      <x:c r="P30" s="46" t="str">
        <x:v>supplemental_state_evidence</x:v>
      </x:c>
      <x:c r="Q30" s="46" t="str">
        <x:v>Supplemental moist-heat reference. It is not silently substituted for poached.</x:v>
      </x:c>
    </x:row>
    <x:row r="31">
      <x:c r="A31" s="46" t="str">
        <x:v>CP-030</x:v>
      </x:c>
      <x:c r="B31" s="46" t="str">
        <x:v>chicken</x:v>
      </x:c>
      <x:c r="C31" s="46" t="str">
        <x:v>family:poultry</x:v>
      </x:c>
      <x:c r="D31" s="46" t="str">
        <x:v>stewed</x:v>
      </x:c>
      <x:c r="E31" s="46" t="str">
        <x:v>breast + leg; three specialty chicken types</x:v>
      </x:c>
      <x:c r="F31" s="46" t="str">
        <x:v>1-heptanol</x:v>
      </x:c>
      <x:c r="G31" s="46" t="str">
        <x:v>111-70-6</x:v>
      </x:c>
      <x:c r="H31" s="46" t="str">
        <x:v>Alcohols</x:v>
      </x:c>
      <x:c r="I31" s="46" t="str">
        <x:v>measured</x:v>
      </x:c>
      <x:c r="J31" s="46" t="str">
        <x:v>stewed</x:v>
      </x:c>
      <x:c r="K31" s="46" t="str">
        <x:v>ROAV_gt_1</x:v>
      </x:c>
      <x:c r="L31" s="46" t="str">
        <x:v>Thirteen compounds had ROAV &gt; 1 and were identified as significantly contributing to stewed chicken flavor.</x:v>
      </x:c>
      <x:c r="M31" s="46" t="str">
        <x:v>SRC-CHICK-STEW-001</x:v>
      </x:c>
      <x:c r="N31" s="46" t="str">
        <x:v>https://pmc.ncbi.nlm.nih.gov/articles/PMC12167448/</x:v>
      </x:c>
      <x:c r="O31" s="46" t="str">
        <x:v>no</x:v>
      </x:c>
      <x:c r="P31" s="46" t="str">
        <x:v>supplemental_state_evidence</x:v>
      </x:c>
      <x:c r="Q31" s="46" t="str">
        <x:v>Supplemental moist-heat reference. It is not silently substituted for poached.</x:v>
      </x:c>
    </x:row>
    <x:row r="32">
      <x:c r="A32" s="46" t="str">
        <x:v>CP-031</x:v>
      </x:c>
      <x:c r="B32" s="46" t="str">
        <x:v>chicken</x:v>
      </x:c>
      <x:c r="C32" s="46" t="str">
        <x:v>family:poultry</x:v>
      </x:c>
      <x:c r="D32" s="46" t="str">
        <x:v>stewed</x:v>
      </x:c>
      <x:c r="E32" s="46" t="str">
        <x:v>breast + leg; three specialty chicken types</x:v>
      </x:c>
      <x:c r="F32" s="46" t="str">
        <x:v>2-pentylfuran</x:v>
      </x:c>
      <x:c r="G32" s="46" t="str">
        <x:v>3777-69-3</x:v>
      </x:c>
      <x:c r="H32" s="46" t="str">
        <x:v>Furans</x:v>
      </x:c>
      <x:c r="I32" s="46" t="str">
        <x:v>measured</x:v>
      </x:c>
      <x:c r="J32" s="46" t="str">
        <x:v>stewed</x:v>
      </x:c>
      <x:c r="K32" s="46" t="str">
        <x:v>ROAV_gt_1</x:v>
      </x:c>
      <x:c r="L32" s="46" t="str">
        <x:v>Thirteen compounds had ROAV &gt; 1 and were identified as significantly contributing to stewed chicken flavor.</x:v>
      </x:c>
      <x:c r="M32" s="46" t="str">
        <x:v>SRC-CHICK-STEW-001</x:v>
      </x:c>
      <x:c r="N32" s="46" t="str">
        <x:v>https://pmc.ncbi.nlm.nih.gov/articles/PMC12167448/</x:v>
      </x:c>
      <x:c r="O32" s="46" t="str">
        <x:v>no</x:v>
      </x:c>
      <x:c r="P32" s="46" t="str">
        <x:v>supplemental_state_evidence</x:v>
      </x:c>
      <x:c r="Q32" s="46" t="str">
        <x:v>Supplemental moist-heat reference. It is not silently substituted for poached.</x:v>
      </x:c>
    </x:row>
    <x:row r="33">
      <x:c r="A33" s="46" t="str">
        <x:v>CP-032</x:v>
      </x:c>
      <x:c r="B33" s="46" t="str">
        <x:v>chicken</x:v>
      </x:c>
      <x:c r="C33" s="46" t="str">
        <x:v>family:poultry</x:v>
      </x:c>
      <x:c r="D33" s="46" t="str">
        <x:v>stewed</x:v>
      </x:c>
      <x:c r="E33" s="46" t="str">
        <x:v>breast + leg; three specialty chicken types</x:v>
      </x:c>
      <x:c r="F33" s="46" t="str">
        <x:v>dimethyl disulfide</x:v>
      </x:c>
      <x:c r="G33" s="46" t="str">
        <x:v>624-92-0</x:v>
      </x:c>
      <x:c r="H33" s="46" t="str">
        <x:v>Sulfur compounds</x:v>
      </x:c>
      <x:c r="I33" s="46" t="str">
        <x:v>measured</x:v>
      </x:c>
      <x:c r="J33" s="46" t="str">
        <x:v>stewed</x:v>
      </x:c>
      <x:c r="K33" s="46" t="str">
        <x:v>ROAV_gt_1</x:v>
      </x:c>
      <x:c r="L33" s="46" t="str">
        <x:v>Thirteen compounds had ROAV &gt; 1 and were identified as significantly contributing to stewed chicken flavor.</x:v>
      </x:c>
      <x:c r="M33" s="46" t="str">
        <x:v>SRC-CHICK-STEW-001</x:v>
      </x:c>
      <x:c r="N33" s="46" t="str">
        <x:v>https://pmc.ncbi.nlm.nih.gov/articles/PMC12167448/</x:v>
      </x:c>
      <x:c r="O33" s="46" t="str">
        <x:v>no</x:v>
      </x:c>
      <x:c r="P33" s="46" t="str">
        <x:v>supplemental_state_evidence</x:v>
      </x:c>
      <x:c r="Q33" s="46" t="str">
        <x:v>Supplemental moist-heat reference. It is not silently substituted for poached.</x:v>
      </x:c>
    </x:row>
    <x:row r="34">
      <x:c r="A34" s="46" t="str">
        <x:v>CP-033</x:v>
      </x:c>
      <x:c r="B34" s="46" t="str">
        <x:v>chicken</x:v>
      </x:c>
      <x:c r="C34" s="46" t="str">
        <x:v>family:poultry</x:v>
      </x:c>
      <x:c r="D34" s="46" t="str">
        <x:v>air_fried</x:v>
      </x:c>
      <x:c r="E34" s="46" t="str">
        <x:v>Gushi chicken breast</x:v>
      </x:c>
      <x:c r="F34" s="46" t="str">
        <x:v>methional</x:v>
      </x:c>
      <x:c r="G34" s="46" t="str">
        <x:v>3268-49-3</x:v>
      </x:c>
      <x:c r="H34" s="46" t="str">
        <x:v>Sulfur compounds</x:v>
      </x:c>
      <x:c r="I34" s="46" t="str">
        <x:v>measured_partial</x:v>
      </x:c>
      <x:c r="J34" s="46" t="str">
        <x:v>air_fried</x:v>
      </x:c>
      <x:c r="K34" s="46" t="str">
        <x:v>characteristic_or_named_ROAV_subset</x:v>
      </x:c>
      <x:c r="L34" s="46" t="str">
        <x:v>Accessible abstract identifies methional and phenylacetaldehyde as characteristic markers and explicitly names 3-methylbutanal, (E)-2-nonenal, octanal and hexanal among ROAV&gt;=1 compounds. This is a partial named subset, not the complete nine-compound set.</x:v>
      </x:c>
      <x:c r="M34" s="46" t="str">
        <x:v>SRC-CHICK-AIRFRY-001</x:v>
      </x:c>
      <x:c r="N34" s="46" t="str">
        <x:v>https://pubmed.ncbi.nlm.nih.gov/34254338/</x:v>
      </x:c>
      <x:c r="O34" s="46" t="str">
        <x:v>no</x:v>
      </x:c>
      <x:c r="P34" s="46" t="str">
        <x:v>supplemental_state_evidence</x:v>
      </x:c>
      <x:c r="Q34" s="46" t="str">
        <x:v>Not used as a substitute for the direct fried or grilled states.</x:v>
      </x:c>
    </x:row>
    <x:row r="35">
      <x:c r="A35" s="46" t="str">
        <x:v>CP-034</x:v>
      </x:c>
      <x:c r="B35" s="46" t="str">
        <x:v>chicken</x:v>
      </x:c>
      <x:c r="C35" s="46" t="str">
        <x:v>family:poultry</x:v>
      </x:c>
      <x:c r="D35" s="46" t="str">
        <x:v>air_fried</x:v>
      </x:c>
      <x:c r="E35" s="46" t="str">
        <x:v>Gushi chicken breast</x:v>
      </x:c>
      <x:c r="F35" s="46" t="str">
        <x:v>phenylacetaldehyde</x:v>
      </x:c>
      <x:c r="G35" s="46" t="str">
        <x:v>122-78-1</x:v>
      </x:c>
      <x:c r="H35" s="46" t="str">
        <x:v>Carbonyls, aldehydes</x:v>
      </x:c>
      <x:c r="I35" s="46" t="str">
        <x:v>measured_partial</x:v>
      </x:c>
      <x:c r="J35" s="46" t="str">
        <x:v>air_fried</x:v>
      </x:c>
      <x:c r="K35" s="46" t="str">
        <x:v>characteristic_or_named_ROAV_subset</x:v>
      </x:c>
      <x:c r="L35" s="46" t="str">
        <x:v>Accessible abstract identifies methional and phenylacetaldehyde as characteristic markers and explicitly names 3-methylbutanal, (E)-2-nonenal, octanal and hexanal among ROAV&gt;=1 compounds. This is a partial named subset, not the complete nine-compound set.</x:v>
      </x:c>
      <x:c r="M35" s="46" t="str">
        <x:v>SRC-CHICK-AIRFRY-001</x:v>
      </x:c>
      <x:c r="N35" s="46" t="str">
        <x:v>https://pubmed.ncbi.nlm.nih.gov/34254338/</x:v>
      </x:c>
      <x:c r="O35" s="46" t="str">
        <x:v>no</x:v>
      </x:c>
      <x:c r="P35" s="46" t="str">
        <x:v>supplemental_state_evidence</x:v>
      </x:c>
      <x:c r="Q35" s="46" t="str">
        <x:v>Not used as a substitute for the direct fried or grilled states.</x:v>
      </x:c>
    </x:row>
    <x:row r="36">
      <x:c r="A36" s="46" t="str">
        <x:v>CP-035</x:v>
      </x:c>
      <x:c r="B36" s="46" t="str">
        <x:v>chicken</x:v>
      </x:c>
      <x:c r="C36" s="46" t="str">
        <x:v>family:poultry</x:v>
      </x:c>
      <x:c r="D36" s="46" t="str">
        <x:v>air_fried</x:v>
      </x:c>
      <x:c r="E36" s="46" t="str">
        <x:v>Gushi chicken breast</x:v>
      </x:c>
      <x:c r="F36" s="46" t="str">
        <x:v>3-methylbutanal</x:v>
      </x:c>
      <x:c r="G36" s="46" t="str">
        <x:v>590-86-3</x:v>
      </x:c>
      <x:c r="H36" s="46" t="str">
        <x:v>Carbonyls, aldehydes</x:v>
      </x:c>
      <x:c r="I36" s="46" t="str">
        <x:v>measured_partial</x:v>
      </x:c>
      <x:c r="J36" s="46" t="str">
        <x:v>air_fried</x:v>
      </x:c>
      <x:c r="K36" s="46" t="str">
        <x:v>characteristic_or_named_ROAV_subset</x:v>
      </x:c>
      <x:c r="L36" s="46" t="str">
        <x:v>Accessible abstract identifies methional and phenylacetaldehyde as characteristic markers and explicitly names 3-methylbutanal, (E)-2-nonenal, octanal and hexanal among ROAV&gt;=1 compounds. This is a partial named subset, not the complete nine-compound set.</x:v>
      </x:c>
      <x:c r="M36" s="46" t="str">
        <x:v>SRC-CHICK-AIRFRY-001</x:v>
      </x:c>
      <x:c r="N36" s="46" t="str">
        <x:v>https://pubmed.ncbi.nlm.nih.gov/34254338/</x:v>
      </x:c>
      <x:c r="O36" s="46" t="str">
        <x:v>no</x:v>
      </x:c>
      <x:c r="P36" s="46" t="str">
        <x:v>supplemental_state_evidence</x:v>
      </x:c>
      <x:c r="Q36" s="46" t="str">
        <x:v>Not used as a substitute for the direct fried or grilled states.</x:v>
      </x:c>
    </x:row>
    <x:row r="37">
      <x:c r="A37" s="46" t="str">
        <x:v>CP-036</x:v>
      </x:c>
      <x:c r="B37" s="46" t="str">
        <x:v>chicken</x:v>
      </x:c>
      <x:c r="C37" s="46" t="str">
        <x:v>family:poultry</x:v>
      </x:c>
      <x:c r="D37" s="46" t="str">
        <x:v>air_fried</x:v>
      </x:c>
      <x:c r="E37" s="46" t="str">
        <x:v>Gushi chicken breast</x:v>
      </x:c>
      <x:c r="F37" s="46" t="str">
        <x:v>(E)-2-nonenal</x:v>
      </x:c>
      <x:c r="G37" s="46" t="str">
        <x:v>18829-56-6</x:v>
      </x:c>
      <x:c r="H37" s="46" t="str">
        <x:v>Carbonyls, aldehydes</x:v>
      </x:c>
      <x:c r="I37" s="46" t="str">
        <x:v>measured_partial</x:v>
      </x:c>
      <x:c r="J37" s="46" t="str">
        <x:v>air_fried</x:v>
      </x:c>
      <x:c r="K37" s="46" t="str">
        <x:v>characteristic_or_named_ROAV_subset</x:v>
      </x:c>
      <x:c r="L37" s="46" t="str">
        <x:v>Accessible abstract identifies methional and phenylacetaldehyde as characteristic markers and explicitly names 3-methylbutanal, (E)-2-nonenal, octanal and hexanal among ROAV&gt;=1 compounds. This is a partial named subset, not the complete nine-compound set.</x:v>
      </x:c>
      <x:c r="M37" s="46" t="str">
        <x:v>SRC-CHICK-AIRFRY-001</x:v>
      </x:c>
      <x:c r="N37" s="46" t="str">
        <x:v>https://pubmed.ncbi.nlm.nih.gov/34254338/</x:v>
      </x:c>
      <x:c r="O37" s="46" t="str">
        <x:v>no</x:v>
      </x:c>
      <x:c r="P37" s="46" t="str">
        <x:v>supplemental_state_evidence</x:v>
      </x:c>
      <x:c r="Q37" s="46" t="str">
        <x:v>Not used as a substitute for the direct fried or grilled states.</x:v>
      </x:c>
    </x:row>
    <x:row r="38">
      <x:c r="A38" s="46" t="str">
        <x:v>CP-037</x:v>
      </x:c>
      <x:c r="B38" s="46" t="str">
        <x:v>chicken</x:v>
      </x:c>
      <x:c r="C38" s="46" t="str">
        <x:v>family:poultry</x:v>
      </x:c>
      <x:c r="D38" s="46" t="str">
        <x:v>air_fried</x:v>
      </x:c>
      <x:c r="E38" s="46" t="str">
        <x:v>Gushi chicken breast</x:v>
      </x:c>
      <x:c r="F38" s="46" t="str">
        <x:v>octanal</x:v>
      </x:c>
      <x:c r="G38" s="46" t="str">
        <x:v>124-13-0</x:v>
      </x:c>
      <x:c r="H38" s="46" t="str">
        <x:v>Carbonyls, aldehydes</x:v>
      </x:c>
      <x:c r="I38" s="46" t="str">
        <x:v>measured_partial</x:v>
      </x:c>
      <x:c r="J38" s="46" t="str">
        <x:v>air_fried</x:v>
      </x:c>
      <x:c r="K38" s="46" t="str">
        <x:v>characteristic_or_named_ROAV_subset</x:v>
      </x:c>
      <x:c r="L38" s="46" t="str">
        <x:v>Accessible abstract identifies methional and phenylacetaldehyde as characteristic markers and explicitly names 3-methylbutanal, (E)-2-nonenal, octanal and hexanal among ROAV&gt;=1 compounds. This is a partial named subset, not the complete nine-compound set.</x:v>
      </x:c>
      <x:c r="M38" s="46" t="str">
        <x:v>SRC-CHICK-AIRFRY-001</x:v>
      </x:c>
      <x:c r="N38" s="46" t="str">
        <x:v>https://pubmed.ncbi.nlm.nih.gov/34254338/</x:v>
      </x:c>
      <x:c r="O38" s="46" t="str">
        <x:v>no</x:v>
      </x:c>
      <x:c r="P38" s="46" t="str">
        <x:v>supplemental_state_evidence</x:v>
      </x:c>
      <x:c r="Q38" s="46" t="str">
        <x:v>Not used as a substitute for the direct fried or grilled states.</x:v>
      </x:c>
    </x:row>
    <x:row r="39">
      <x:c r="A39" s="46" t="str">
        <x:v>CP-038</x:v>
      </x:c>
      <x:c r="B39" s="46" t="str">
        <x:v>chicken</x:v>
      </x:c>
      <x:c r="C39" s="46" t="str">
        <x:v>family:poultry</x:v>
      </x:c>
      <x:c r="D39" s="46" t="str">
        <x:v>air_fried</x:v>
      </x:c>
      <x:c r="E39" s="46" t="str">
        <x:v>Gushi chicken breast</x:v>
      </x:c>
      <x:c r="F39" s="46" t="str">
        <x:v>hexanal</x:v>
      </x:c>
      <x:c r="G39" s="46" t="str">
        <x:v>66-25-1</x:v>
      </x:c>
      <x:c r="H39" s="46" t="str">
        <x:v>Carbonyls, aldehydes</x:v>
      </x:c>
      <x:c r="I39" s="46" t="str">
        <x:v>measured_partial</x:v>
      </x:c>
      <x:c r="J39" s="46" t="str">
        <x:v>air_fried</x:v>
      </x:c>
      <x:c r="K39" s="46" t="str">
        <x:v>characteristic_or_named_ROAV_subset</x:v>
      </x:c>
      <x:c r="L39" s="46" t="str">
        <x:v>Accessible abstract identifies methional and phenylacetaldehyde as characteristic markers and explicitly names 3-methylbutanal, (E)-2-nonenal, octanal and hexanal among ROAV&gt;=1 compounds. This is a partial named subset, not the complete nine-compound set.</x:v>
      </x:c>
      <x:c r="M39" s="46" t="str">
        <x:v>SRC-CHICK-AIRFRY-001</x:v>
      </x:c>
      <x:c r="N39" s="46" t="str">
        <x:v>https://pubmed.ncbi.nlm.nih.gov/34254338/</x:v>
      </x:c>
      <x:c r="O39" s="46" t="str">
        <x:v>no</x:v>
      </x:c>
      <x:c r="P39" s="46" t="str">
        <x:v>supplemental_state_evidence</x:v>
      </x:c>
      <x:c r="Q39" s="46" t="str">
        <x:v>Not used as a substitute for the direct fried or grilled states.</x:v>
      </x:c>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39">
    <x:cfRule type="expression" dxfId="8" priority="1">
      <x:formula>I2="measured"</x:formula>
    </x:cfRule>
    <x:cfRule type="expression" dxfId="9" priority="2">
      <x:formula>I2="measured_partial"</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20" hidden="0" customWidth="1"/>
    <x:col min="4" max="4" width="25" hidden="0" customWidth="1"/>
    <x:col min="5" max="5" width="30" hidden="0" customWidth="1"/>
    <x:col min="6" max="6" width="52" hidden="0" customWidth="1"/>
    <x:col min="7" max="7" width="52" hidden="0" customWidth="1"/>
    <x:col min="8" max="8" width="55" hidden="0" customWidth="1"/>
    <x:col min="9" max="9" width="34" hidden="0" customWidth="1"/>
  </x:cols>
  <x:sheetData>
    <x:row r="1" ht="34" customHeight="1">
      <x:c r="A1" s="50" t="str">
        <x:v>queue_state</x:v>
      </x:c>
      <x:c r="B1" s="50" t="str">
        <x:v>direct_source_id</x:v>
      </x:c>
      <x:c r="C1" s="50" t="str">
        <x:v>direct_source_verified</x:v>
      </x:c>
      <x:c r="D1" s="50" t="str">
        <x:v>compound_resolved_in_workbook</x:v>
      </x:c>
      <x:c r="E1" s="50" t="str">
        <x:v>profile_strength</x:v>
      </x:c>
      <x:c r="F1" s="50" t="str">
        <x:v>what_is_supported</x:v>
      </x:c>
      <x:c r="G1" s="50" t="str">
        <x:v>what_is_not_supported</x:v>
      </x:c>
      <x:c r="H1" s="50" t="str">
        <x:v>recommended_action</x:v>
      </x:c>
      <x:c r="I1" s="50" t="str">
        <x:v>status</x:v>
      </x:c>
    </x:row>
    <x:row r="2">
      <x:c r="A2" s="46" t="str">
        <x:v>raw</x:v>
      </x:c>
      <x:c r="B2" s="46" t="str">
        <x:v>SRC-CHICK-RAW-001</x:v>
      </x:c>
      <x:c r="C2" s="46" t="str">
        <x:v>yes</x:v>
      </x:c>
      <x:c r="D2" s="46" t="str">
        <x:v>yes</x:v>
      </x:c>
      <x:c r="E2" s="46" t="str">
        <x:v>strong_conservative</x:v>
      </x:c>
      <x:c r="F2" s="46" t="str">
        <x:v>Six measured VOCs exceeding sensory thresholds in all/several samples.</x:v>
      </x:c>
      <x:c r="G2" s="46" t="str">
        <x:v>Not a complete list of every detected raw chicken VOC.</x:v>
      </x:c>
      <x:c r="H2" s="46" t="str">
        <x:v>Use as raw odor-active seed; expand only with equally well-provenanced evidence.</x:v>
      </x:c>
      <x:c r="I2" s="46" t="str">
        <x:v>verified_seed</x:v>
      </x:c>
    </x:row>
    <x:row r="3">
      <x:c r="A3" s="46" t="str">
        <x:v>poached</x:v>
      </x:c>
      <x:c r="B3" s="46" t="str">
        <x:v>SRC-CHICK-POACH-001</x:v>
      </x:c>
      <x:c r="C3" s="46" t="str">
        <x:v>yes</x:v>
      </x:c>
      <x:c r="D3" s="46" t="str">
        <x:v>yes_partial</x:v>
      </x:c>
      <x:c r="E3" s="46" t="str">
        <x:v>thin_direct</x:v>
      </x:c>
      <x:c r="F3" s="46" t="str">
        <x:v>Three directly measured holding-sensitive poached markers.</x:v>
      </x:c>
      <x:c r="G3" s="46" t="str">
        <x:v>Not a complete key-aroma profile.</x:v>
      </x:c>
      <x:c r="H3" s="46" t="str">
        <x:v>Keep thin and honest; do not fill from stewed/boiled without an approved equivalence rule.</x:v>
      </x:c>
      <x:c r="I3" s="46" t="str">
        <x:v>verified_thin</x:v>
      </x:c>
    </x:row>
    <x:row r="4">
      <x:c r="A4" s="46" t="str">
        <x:v>roasted</x:v>
      </x:c>
      <x:c r="B4" s="46" t="str">
        <x:v>SRC-CHICK-ROAST-001</x:v>
      </x:c>
      <x:c r="C4" s="46" t="str">
        <x:v>yes</x:v>
      </x:c>
      <x:c r="D4" s="46" t="str">
        <x:v>yes</x:v>
      </x:c>
      <x:c r="E4" s="46" t="str">
        <x:v>strong_state_specific</x:v>
      </x:c>
      <x:c r="F4" s="46" t="str">
        <x:v>Ten critical compounds shared across three roasted preparations.</x:v>
      </x:c>
      <x:c r="G4" s="46" t="str">
        <x:v>Cannot be assumed intrinsic to unseasoned chicken because commercial products included seasoning/spice context.</x:v>
      </x:c>
      <x:c r="H4" s="46" t="str">
        <x:v>Use for roasted state only; seek a plain/unseasoned roast table before family promotion.</x:v>
      </x:c>
      <x:c r="I4" s="46" t="str">
        <x:v>verified_state_specific</x:v>
      </x:c>
    </x:row>
    <x:row r="5">
      <x:c r="A5" s="46" t="str">
        <x:v>fried</x:v>
      </x:c>
      <x:c r="B5" s="46" t="str">
        <x:v>SRC-CHICK-FRY-001</x:v>
      </x:c>
      <x:c r="C5" s="46" t="str">
        <x:v>yes</x:v>
      </x:c>
      <x:c r="D5" s="46" t="str">
        <x:v>no</x:v>
      </x:c>
      <x:c r="E5" s="46" t="str">
        <x:v>strong_source_incomplete_extraction</x:v>
      </x:c>
      <x:c r="F5" s="46" t="str">
        <x:v>40 VOCs identified; 28 key compounds selected by OAV in direct frying study.</x:v>
      </x:c>
      <x:c r="G5" s="46" t="str">
        <x:v>Accessible source text used here does not enumerate the 28 key compounds.</x:v>
      </x:c>
      <x:c r="H5" s="46" t="str">
        <x:v>Acquire or extract the primary compound table; do not invent the list.</x:v>
      </x:c>
      <x:c r="I5" s="46" t="str">
        <x:v>source_verified_profile_pending</x:v>
      </x:c>
    </x:row>
    <x:row r="6">
      <x:c r="A6" s="46" t="str">
        <x:v>grilled</x:v>
      </x:c>
      <x:c r="B6" s="46" t="str">
        <x:v>SRC-CHICK-GRILL-001</x:v>
      </x:c>
      <x:c r="C6" s="46" t="str">
        <x:v>yes</x:v>
      </x:c>
      <x:c r="D6" s="46" t="str">
        <x:v>no</x:v>
      </x:c>
      <x:c r="E6" s="46" t="str">
        <x:v>source_class_level_only</x:v>
      </x:c>
      <x:c r="F6" s="46" t="str">
        <x:v>Direct grilled study confirms cooking-state odor changes and release of aromatic and sulfur-containing compounds.</x:v>
      </x:c>
      <x:c r="G6" s="46" t="str">
        <x:v>No compound-resolved grilled list in the accessible record used here.</x:v>
      </x:c>
      <x:c r="H6" s="46" t="str">
        <x:v>Find a compound-resolved primary grilled source or obtain full table before populating compounds.</x:v>
      </x:c>
      <x:c r="I6" s="46" t="str">
        <x:v>source_verified_profile_pending</x:v>
      </x:c>
    </x:row>
    <x:row r="7">
      <x:c r="A7" s="46" t="str">
        <x:v>stewed</x:v>
      </x:c>
      <x:c r="B7" s="46" t="str">
        <x:v>SRC-CHICK-STEW-001</x:v>
      </x:c>
      <x:c r="C7" s="46" t="str">
        <x:v>yes</x:v>
      </x:c>
      <x:c r="D7" s="46" t="str">
        <x:v>yes</x:v>
      </x:c>
      <x:c r="E7" s="46" t="str">
        <x:v>strong_supplemental</x:v>
      </x:c>
      <x:c r="F7" s="46" t="str">
        <x:v>13 ROAV&gt;1 odor-active compounds.</x:v>
      </x:c>
      <x:c r="G7" s="46" t="str">
        <x:v>Not the same state as poached.</x:v>
      </x:c>
      <x:c r="H7" s="46" t="str">
        <x:v>Retain as supplemental moist-heat evidence.</x:v>
      </x:c>
      <x:c r="I7" s="46" t="str">
        <x:v>supplemental_verified</x:v>
      </x:c>
    </x:row>
    <x:row r="8">
      <x:c r="A8" s="46" t="str">
        <x:v>air_fried</x:v>
      </x:c>
      <x:c r="B8" s="46" t="str">
        <x:v>SRC-CHICK-AIRFRY-001</x:v>
      </x:c>
      <x:c r="C8" s="46" t="str">
        <x:v>yes</x:v>
      </x:c>
      <x:c r="D8" s="46" t="str">
        <x:v>yes_partial</x:v>
      </x:c>
      <x:c r="E8" s="46" t="str">
        <x:v>moderate_supplemental</x:v>
      </x:c>
      <x:c r="F8" s="46" t="str">
        <x:v>Characteristic markers plus explicitly named ROAV&gt;=1 subset.</x:v>
      </x:c>
      <x:c r="G8" s="46" t="str">
        <x:v>Not the complete nine-compound air-fried set in accessible abstract.</x:v>
      </x:c>
      <x:c r="H8" s="46" t="str">
        <x:v>Retain as partial supplemental evidence.</x:v>
      </x:c>
      <x:c r="I8" s="46" t="str">
        <x:v>supplemental_partial</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sheetData>
  <x:conditionalFormatting sqref="I2:I8">
    <x:cfRule type="expression" dxfId="10" priority="1">
      <x:formula>ISNUMBER(SEARCH("pending",I2))</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7" hidden="0" customWidth="1"/>
    <x:col min="2" max="2" width="16" hidden="0" customWidth="1"/>
    <x:col min="3" max="3" width="30" hidden="0" customWidth="1"/>
    <x:col min="4" max="4" width="16" hidden="0" customWidth="1"/>
    <x:col min="5" max="5" width="24" hidden="0" customWidth="1"/>
    <x:col min="6" max="6" width="22" hidden="0" customWidth="1"/>
    <x:col min="7" max="7" width="22" hidden="0" customWidth="1"/>
    <x:col min="8" max="8" width="22" hidden="0" customWidth="1"/>
    <x:col min="9" max="9" width="36" hidden="0" customWidth="1"/>
    <x:col min="10" max="10" width="32" hidden="0" customWidth="1"/>
    <x:col min="11" max="11" width="58" hidden="0" customWidth="1"/>
    <x:col min="12" max="12" width="58" hidden="0" customWidth="1"/>
  </x:cols>
  <x:sheetData>
    <x:row r="1" ht="34" customHeight="1">
      <x:c r="A1" s="61" t="str">
        <x:v>candidate_id</x:v>
      </x:c>
      <x:c r="B1" s="61" t="str">
        <x:v>comparison_state</x:v>
      </x:c>
      <x:c r="C1" s="61" t="str">
        <x:v>compound</x:v>
      </x:c>
      <x:c r="D1" s="61" t="str">
        <x:v>cas</x:v>
      </x:c>
      <x:c r="E1" s="61" t="str">
        <x:v>compound_group</x:v>
      </x:c>
      <x:c r="F1" s="61" t="str">
        <x:v>duck_direct_source</x:v>
      </x:c>
      <x:c r="G1" s="61" t="str">
        <x:v>chicken_direct_source</x:v>
      </x:c>
      <x:c r="H1" s="61" t="str">
        <x:v>turkey_direct_source</x:v>
      </x:c>
      <x:c r="I1" s="61" t="str">
        <x:v>relationship</x:v>
      </x:c>
      <x:c r="J1" s="61" t="str">
        <x:v>family_promotion_status</x:v>
      </x:c>
      <x:c r="K1" s="61" t="str">
        <x:v>reason</x:v>
      </x:c>
      <x:c r="L1" s="61" t="str">
        <x:v>next_validation_needed</x:v>
      </x:c>
    </x:row>
    <x:row r="2">
      <x:c r="A2" s="46" t="str">
        <x:v>POULTRY-X-001</x:v>
      </x:c>
      <x:c r="B2" s="46" t="str">
        <x:v>raw</x:v>
      </x:c>
      <x:c r="C2" s="46" t="str">
        <x:v>hexanal</x:v>
      </x:c>
      <x:c r="D2" s="46" t="str">
        <x:v>66-25-1</x:v>
      </x:c>
      <x:c r="E2" s="46" t="str">
        <x:v>Carbonyls, aldehydes</x:v>
      </x:c>
      <x:c r="F2" s="46" t="str">
        <x:v>SRC-DUCK-RAW-001</x:v>
      </x:c>
      <x:c r="G2" s="46" t="str">
        <x:v>SRC-CHICK-RAW-001</x:v>
      </x:c>
      <x:c r="H2" s="46" t="str">
        <x:v>SRC-TURKEY-RAW-001</x:v>
      </x:c>
      <x:c r="I2" s="47" t="str">
        <x:v>shared_in_three_independent_direct_profiles</x:v>
      </x:c>
      <x:c r="J2" s="62" t="str">
        <x:v>founder_verification_candidate</x:v>
      </x:c>
      <x:c r="K2" s="46" t="str">
        <x:v>Now appears in independently measured raw duck, chicken, and turkey profiles.</x:v>
      </x:c>
      <x:c r="L2" s="46" t="str">
        <x:v>Founder decision: approve as v1 raw-poultry core now, or wait for goose/another member.</x:v>
      </x:c>
    </x:row>
    <x:row r="3">
      <x:c r="A3" s="46" t="str">
        <x:v>POULTRY-X-002</x:v>
      </x:c>
      <x:c r="B3" s="46" t="str">
        <x:v>raw</x:v>
      </x:c>
      <x:c r="C3" s="46" t="str">
        <x:v>heptanal</x:v>
      </x:c>
      <x:c r="D3" s="46" t="str">
        <x:v>111-71-7</x:v>
      </x:c>
      <x:c r="E3" s="46" t="str">
        <x:v>Carbonyls, aldehydes</x:v>
      </x:c>
      <x:c r="F3" s="46" t="str">
        <x:v>SRC-DUCK-RAW-001</x:v>
      </x:c>
      <x:c r="G3" s="46" t="str">
        <x:v>SRC-CHICK-RAW-001</x:v>
      </x:c>
      <x:c r="H3" s="46" t="str">
        <x:v>SRC-TURKEY-RAW-001</x:v>
      </x:c>
      <x:c r="I3" s="47" t="str">
        <x:v>shared_in_three_independent_direct_profiles</x:v>
      </x:c>
      <x:c r="J3" s="62" t="str">
        <x:v>founder_verification_candidate</x:v>
      </x:c>
      <x:c r="K3" s="46" t="str">
        <x:v>Now appears in independently measured raw duck, chicken, and turkey profiles.</x:v>
      </x:c>
      <x:c r="L3" s="46" t="str">
        <x:v>Founder decision: approve as v1 raw-poultry core now, or wait for goose/another member.</x:v>
      </x:c>
    </x:row>
    <x:row r="4">
      <x:c r="A4" s="46" t="str">
        <x:v>POULTRY-X-003</x:v>
      </x:c>
      <x:c r="B4" s="46" t="str">
        <x:v>raw</x:v>
      </x:c>
      <x:c r="C4" s="46" t="str">
        <x:v>octanal</x:v>
      </x:c>
      <x:c r="D4" s="46" t="str">
        <x:v>124-13-0</x:v>
      </x:c>
      <x:c r="E4" s="46" t="str">
        <x:v>Carbonyls, aldehydes</x:v>
      </x:c>
      <x:c r="F4" s="46" t="str">
        <x:v>SRC-DUCK-RAW-001</x:v>
      </x:c>
      <x:c r="G4" s="46" t="str">
        <x:v>SRC-CHICK-RAW-001</x:v>
      </x:c>
      <x:c r="H4" s="46" t="str">
        <x:v>SRC-TURKEY-RAW-001</x:v>
      </x:c>
      <x:c r="I4" s="47" t="str">
        <x:v>shared_in_three_independent_direct_profiles</x:v>
      </x:c>
      <x:c r="J4" s="62" t="str">
        <x:v>founder_verification_candidate</x:v>
      </x:c>
      <x:c r="K4" s="46" t="str">
        <x:v>Now appears in independently measured raw duck, chicken, and turkey profiles.</x:v>
      </x:c>
      <x:c r="L4" s="46" t="str">
        <x:v>Founder decision: approve as v1 raw-poultry core now, or wait for goose/another member.</x:v>
      </x:c>
    </x:row>
    <x:row r="5">
      <x:c r="A5" s="46" t="str">
        <x:v>POULTRY-X-004</x:v>
      </x:c>
      <x:c r="B5" s="46" t="str">
        <x:v>raw</x:v>
      </x:c>
      <x:c r="C5" s="46" t="str">
        <x:v>nonanal</x:v>
      </x:c>
      <x:c r="D5" s="46" t="str">
        <x:v>124-19-6</x:v>
      </x:c>
      <x:c r="E5" s="46" t="str">
        <x:v>Carbonyls, aldehydes</x:v>
      </x:c>
      <x:c r="F5" s="46" t="str">
        <x:v>SRC-DUCK-RAW-001</x:v>
      </x:c>
      <x:c r="G5" s="46" t="str">
        <x:v>SRC-CHICK-RAW-001</x:v>
      </x:c>
      <x:c r="H5" s="46" t="str">
        <x:v>SRC-TURKEY-RAW-001</x:v>
      </x:c>
      <x:c r="I5" s="47" t="str">
        <x:v>shared_in_three_independent_direct_profiles</x:v>
      </x:c>
      <x:c r="J5" s="62" t="str">
        <x:v>founder_verification_candidate</x:v>
      </x:c>
      <x:c r="K5" s="46" t="str">
        <x:v>Now appears in independently measured raw duck, chicken, and turkey profiles.</x:v>
      </x:c>
      <x:c r="L5" s="46" t="str">
        <x:v>Founder decision: approve as v1 raw-poultry core now, or wait for goose/another member.</x:v>
      </x:c>
    </x:row>
    <x:row r="6">
      <x:c r="A6" s="46" t="str">
        <x:v>POULTRY-X-005</x:v>
      </x:c>
      <x:c r="B6" s="46" t="str">
        <x:v>roasted</x:v>
      </x:c>
      <x:c r="C6" s="46" t="str">
        <x:v>hexanal</x:v>
      </x:c>
      <x:c r="D6" s="46" t="str">
        <x:v>66-25-1</x:v>
      </x:c>
      <x:c r="E6" s="46" t="str">
        <x:v>Carbonyls, aldehydes</x:v>
      </x:c>
      <x:c r="F6" s="46" t="str">
        <x:v>SRC-DUCK-ROAST-001</x:v>
      </x:c>
      <x:c r="G6" s="46" t="str">
        <x:v>SRC-CHICK-ROAST-001</x:v>
      </x:c>
      <x:c r="H6" s="46" t="str"/>
      <x:c r="I6" s="47" t="str">
        <x:v>shared_in_two_independent_direct_profiles</x:v>
      </x:c>
      <x:c r="J6" s="62" t="str">
        <x:v>candidate_only_not_family_base</x:v>
      </x:c>
      <x:c r="K6" s="46" t="str">
        <x:v>Direct roasted evidence exists for duck and chicken only.</x:v>
      </x:c>
      <x:c r="L6" s="46" t="str">
        <x:v>Verify turkey/goose in a comparable high-heat state before family promotion.</x:v>
      </x:c>
    </x:row>
    <x:row r="7">
      <x:c r="A7" s="46" t="str">
        <x:v>POULTRY-X-006</x:v>
      </x:c>
      <x:c r="B7" s="46" t="str">
        <x:v>roasted</x:v>
      </x:c>
      <x:c r="C7" s="46" t="str">
        <x:v>1-octen-3-ol</x:v>
      </x:c>
      <x:c r="D7" s="46" t="str">
        <x:v>3391-86-4</x:v>
      </x:c>
      <x:c r="E7" s="46" t="str">
        <x:v>Alcohols</x:v>
      </x:c>
      <x:c r="F7" s="46" t="str">
        <x:v>SRC-DUCK-ROAST-001</x:v>
      </x:c>
      <x:c r="G7" s="46" t="str">
        <x:v>SRC-CHICK-ROAST-001</x:v>
      </x:c>
      <x:c r="H7" s="46" t="str"/>
      <x:c r="I7" s="47" t="str">
        <x:v>shared_in_two_independent_direct_profiles</x:v>
      </x:c>
      <x:c r="J7" s="62" t="str">
        <x:v>candidate_only_not_family_base</x:v>
      </x:c>
      <x:c r="K7" s="46" t="str">
        <x:v>Direct roasted evidence exists for duck and chicken only.</x:v>
      </x:c>
      <x:c r="L7" s="46" t="str">
        <x:v>Verify turkey/goose in a comparable high-heat state before family promotion.</x:v>
      </x:c>
    </x:row>
    <x:row r="8">
      <x:c r="A8" s="46" t="str">
        <x:v>POULTRY-X-007</x:v>
      </x:c>
      <x:c r="B8" s="46" t="str">
        <x:v>roasted</x:v>
      </x:c>
      <x:c r="C8" s="46" t="str">
        <x:v>(E,E)-2,4-decadienal</x:v>
      </x:c>
      <x:c r="D8" s="46" t="str">
        <x:v>25152-84-5</x:v>
      </x:c>
      <x:c r="E8" s="46" t="str">
        <x:v>Carbonyls, aldehydes</x:v>
      </x:c>
      <x:c r="F8" s="46" t="str">
        <x:v>SRC-DUCK-ROAST-001</x:v>
      </x:c>
      <x:c r="G8" s="46" t="str">
        <x:v>SRC-CHICK-ROAST-001</x:v>
      </x:c>
      <x:c r="H8" s="46" t="str">
        <x:v>SRC-TURKEY-COOK-001</x:v>
      </x:c>
      <x:c r="I8" s="47" t="str">
        <x:v>shared_across_duck_chicken_roast_and_turkey_cooked</x:v>
      </x:c>
      <x:c r="J8" s="62" t="str">
        <x:v>founder_pattern_candidate_not_family_base</x:v>
      </x:c>
      <x:c r="K8" s="46" t="str">
        <x:v>The same unsaturated aldehyde is a key odorant in roasted duck/chicken and freshly cooked turkey, but turkey evidence is not roast-specific.</x:v>
      </x:c>
      <x:c r="L8" s="46" t="str">
        <x:v>Founder decision on whether this supports a general high-heat poultry trend or remains state-specific.</x:v>
      </x:c>
    </x:row>
    <x:row r="9">
      <x:c r="A9" s="46"/>
      <x:c r="B9" s="46"/>
      <x:c r="C9" s="46"/>
      <x:c r="D9" s="46"/>
      <x:c r="E9" s="46"/>
      <x:c r="F9" s="46"/>
      <x:c r="G9" s="46"/>
      <x:c r="H9" s="46"/>
      <x:c r="I9" s="46"/>
      <x:c r="J9" s="46"/>
      <x:c r="K9" s="46"/>
      <x:c r="L9" s="46"/>
    </x:row>
    <x:row r="10">
      <x:c r="A10" s="46"/>
      <x:c r="B10" s="46"/>
      <x:c r="C10" s="46"/>
      <x:c r="D10" s="46"/>
      <x:c r="E10" s="46"/>
      <x:c r="F10" s="46"/>
      <x:c r="G10" s="46"/>
      <x:c r="H10" s="46"/>
      <x:c r="I10" s="46"/>
      <x:c r="J10" s="46"/>
      <x:c r="K10" s="46"/>
      <x:c r="L10" s="46"/>
    </x:row>
    <x:row r="11">
      <x:c r="A11" s="46"/>
      <x:c r="B11" s="46"/>
      <x:c r="C11" s="46"/>
      <x:c r="D11" s="46"/>
      <x:c r="E11" s="46"/>
      <x:c r="F11" s="46"/>
      <x:c r="G11" s="46"/>
      <x:c r="H11" s="46"/>
      <x:c r="I11" s="46"/>
      <x:c r="J11" s="46"/>
      <x:c r="K11" s="46"/>
      <x:c r="L11" s="46"/>
    </x:row>
    <x:row r="12">
      <x:c r="A12" s="46"/>
      <x:c r="B12" s="46"/>
      <x:c r="C12" s="46"/>
      <x:c r="D12" s="46"/>
      <x:c r="E12" s="46"/>
      <x:c r="F12" s="46"/>
      <x:c r="G12" s="46"/>
      <x:c r="H12" s="46"/>
      <x:c r="I12" s="46"/>
      <x:c r="J12" s="46"/>
      <x:c r="K12" s="46"/>
      <x:c r="L12" s="46"/>
    </x:row>
    <x:row r="13">
      <x:c r="A13" s="46"/>
      <x:c r="B13" s="46"/>
      <x:c r="C13" s="46"/>
      <x:c r="D13" s="46"/>
      <x:c r="E13" s="46"/>
      <x:c r="F13" s="46"/>
      <x:c r="G13" s="46"/>
      <x:c r="H13" s="46"/>
      <x:c r="I13" s="46"/>
      <x:c r="J13" s="46"/>
      <x:c r="K13" s="46"/>
      <x:c r="L13" s="46"/>
    </x:row>
    <x:row r="14">
      <x:c r="A14" s="46"/>
      <x:c r="B14" s="46"/>
      <x:c r="C14" s="46"/>
      <x:c r="D14" s="46"/>
      <x:c r="E14" s="46"/>
      <x:c r="F14" s="46"/>
      <x:c r="G14" s="46"/>
      <x:c r="H14" s="46"/>
      <x:c r="I14" s="46"/>
      <x:c r="J14" s="46"/>
      <x:c r="K14" s="46"/>
      <x:c r="L14" s="46"/>
    </x:row>
    <x:row r="15">
      <x:c r="A15" s="46"/>
      <x:c r="B15" s="46"/>
      <x:c r="C15" s="46"/>
      <x:c r="D15" s="46"/>
      <x:c r="E15" s="46"/>
      <x:c r="F15" s="46"/>
      <x:c r="G15" s="46"/>
      <x:c r="H15" s="46"/>
      <x:c r="I15" s="46"/>
      <x:c r="J15" s="46"/>
      <x:c r="K15" s="46"/>
      <x:c r="L15" s="46"/>
    </x:row>
    <x:row r="16">
      <x:c r="A16" s="46"/>
      <x:c r="B16" s="46"/>
      <x:c r="C16" s="46"/>
      <x:c r="D16" s="46"/>
      <x:c r="E16" s="46"/>
      <x:c r="F16" s="46"/>
      <x:c r="G16" s="46"/>
      <x:c r="H16" s="46"/>
      <x:c r="I16" s="46"/>
      <x:c r="J16" s="46"/>
      <x:c r="K16" s="46"/>
      <x:c r="L16" s="46"/>
    </x:row>
    <x:row r="17">
      <x:c r="A17" s="46"/>
      <x:c r="B17" s="46"/>
      <x:c r="C17" s="46"/>
      <x:c r="D17" s="46"/>
      <x:c r="E17" s="46"/>
      <x:c r="F17" s="46"/>
      <x:c r="G17" s="46"/>
      <x:c r="H17" s="46"/>
      <x:c r="I17" s="46"/>
      <x:c r="J17" s="46"/>
      <x:c r="K17" s="46"/>
      <x:c r="L17" s="46"/>
    </x:row>
    <x:row r="18">
      <x:c r="A18" s="46"/>
      <x:c r="B18" s="46"/>
      <x:c r="C18" s="46"/>
      <x:c r="D18" s="46"/>
      <x:c r="E18" s="46"/>
      <x:c r="F18" s="46"/>
      <x:c r="G18" s="46"/>
      <x:c r="H18" s="46"/>
      <x:c r="I18" s="46"/>
      <x:c r="J18" s="46"/>
      <x:c r="K18" s="46"/>
      <x:c r="L18" s="46"/>
    </x:row>
    <x:row r="19">
      <x:c r="A19" s="46"/>
      <x:c r="B19" s="46"/>
      <x:c r="C19" s="46"/>
      <x:c r="D19" s="46"/>
      <x:c r="E19" s="46"/>
      <x:c r="F19" s="46"/>
      <x:c r="G19" s="46"/>
      <x:c r="H19" s="46"/>
      <x:c r="I19" s="46"/>
      <x:c r="J19" s="46"/>
      <x:c r="K19" s="46"/>
      <x:c r="L19" s="46"/>
    </x:row>
    <x:row r="20">
      <x:c r="A20" s="46"/>
      <x:c r="B20" s="46"/>
      <x:c r="C20" s="46"/>
      <x:c r="D20" s="46"/>
      <x:c r="E20" s="46"/>
      <x:c r="F20" s="46"/>
      <x:c r="G20" s="46"/>
      <x:c r="H20" s="46"/>
      <x:c r="I20" s="46"/>
      <x:c r="J20" s="46"/>
      <x:c r="K20" s="46"/>
      <x:c r="L20" s="46"/>
    </x:row>
    <x:row r="21">
      <x:c r="A21" s="46"/>
      <x:c r="B21" s="46"/>
      <x:c r="C21" s="46"/>
      <x:c r="D21" s="46"/>
      <x:c r="E21" s="46"/>
      <x:c r="F21" s="46"/>
      <x:c r="G21" s="46"/>
      <x:c r="H21" s="46"/>
      <x:c r="I21" s="46"/>
      <x:c r="J21" s="46"/>
      <x:c r="K21" s="46"/>
      <x:c r="L21" s="46"/>
    </x:row>
    <x:row r="22">
      <x:c r="A22" s="46"/>
      <x:c r="B22" s="46"/>
      <x:c r="C22" s="46"/>
      <x:c r="D22" s="46"/>
      <x:c r="E22" s="46"/>
      <x:c r="F22" s="46"/>
      <x:c r="G22" s="46"/>
      <x:c r="H22" s="46"/>
      <x:c r="I22" s="46"/>
      <x:c r="J22" s="46"/>
      <x:c r="K22" s="46"/>
      <x:c r="L22" s="46"/>
    </x:row>
    <x:row r="23">
      <x:c r="A23" s="46"/>
      <x:c r="B23" s="46"/>
      <x:c r="C23" s="46"/>
      <x:c r="D23" s="46"/>
      <x:c r="E23" s="46"/>
      <x:c r="F23" s="46"/>
      <x:c r="G23" s="46"/>
      <x:c r="H23" s="46"/>
      <x:c r="I23" s="46"/>
      <x:c r="J23" s="46"/>
      <x:c r="K23" s="46"/>
      <x:c r="L23" s="46"/>
    </x:row>
    <x:row r="24">
      <x:c r="A24" s="46"/>
      <x:c r="B24" s="46"/>
      <x:c r="C24" s="46"/>
      <x:c r="D24" s="46"/>
      <x:c r="E24" s="46"/>
      <x:c r="F24" s="46"/>
      <x:c r="G24" s="46"/>
      <x:c r="H24" s="46"/>
      <x:c r="I24" s="46"/>
      <x:c r="J24" s="46"/>
      <x:c r="K24" s="46"/>
      <x:c r="L24" s="46"/>
    </x:row>
    <x:row r="25">
      <x:c r="A25" s="46"/>
      <x:c r="B25" s="46"/>
      <x:c r="C25" s="46"/>
      <x:c r="D25" s="46"/>
      <x:c r="E25" s="46"/>
      <x:c r="F25" s="46"/>
      <x:c r="G25" s="46"/>
      <x:c r="H25" s="46"/>
      <x:c r="I25" s="46"/>
      <x:c r="J25" s="46"/>
      <x:c r="K25" s="46"/>
      <x:c r="L25" s="46"/>
    </x:row>
    <x:row r="26">
      <x:c r="A26" s="46"/>
      <x:c r="B26" s="46"/>
      <x:c r="C26" s="46"/>
      <x:c r="D26" s="46"/>
      <x:c r="E26" s="46"/>
      <x:c r="F26" s="46"/>
      <x:c r="G26" s="46"/>
      <x:c r="H26" s="46"/>
      <x:c r="I26" s="46"/>
      <x:c r="J26" s="46"/>
      <x:c r="K26" s="46"/>
      <x:c r="L26" s="46"/>
    </x:row>
    <x:row r="27">
      <x:c r="A27" s="46"/>
      <x:c r="B27" s="46"/>
      <x:c r="C27" s="46"/>
      <x:c r="D27" s="46"/>
      <x:c r="E27" s="46"/>
      <x:c r="F27" s="46"/>
      <x:c r="G27" s="46"/>
      <x:c r="H27" s="46"/>
      <x:c r="I27" s="46"/>
      <x:c r="J27" s="46"/>
      <x:c r="K27" s="46"/>
      <x:c r="L27" s="46"/>
    </x:row>
    <x:row r="28">
      <x:c r="A28" s="46"/>
      <x:c r="B28" s="46"/>
      <x:c r="C28" s="46"/>
      <x:c r="D28" s="46"/>
      <x:c r="E28" s="46"/>
      <x:c r="F28" s="46"/>
      <x:c r="G28" s="46"/>
      <x:c r="H28" s="46"/>
      <x:c r="I28" s="46"/>
      <x:c r="J28" s="46"/>
      <x:c r="K28" s="46"/>
      <x:c r="L28" s="46"/>
    </x:row>
    <x:row r="29">
      <x:c r="A29" s="46"/>
      <x:c r="B29" s="46"/>
      <x:c r="C29" s="46"/>
      <x:c r="D29" s="46"/>
      <x:c r="E29" s="46"/>
      <x:c r="F29" s="46"/>
      <x:c r="G29" s="46"/>
      <x:c r="H29" s="46"/>
      <x:c r="I29" s="46"/>
      <x:c r="J29" s="46"/>
      <x:c r="K29" s="46"/>
      <x:c r="L29" s="46"/>
    </x:row>
    <x:row r="30">
      <x:c r="A30" s="46"/>
      <x:c r="B30" s="46"/>
      <x:c r="C30" s="46"/>
      <x:c r="D30" s="46"/>
      <x:c r="E30" s="46"/>
      <x:c r="F30" s="46"/>
      <x:c r="G30" s="46"/>
      <x:c r="H30" s="46"/>
      <x:c r="I30" s="46"/>
      <x:c r="J30" s="46"/>
      <x:c r="K30" s="46"/>
      <x:c r="L30" s="46"/>
    </x:row>
    <x:row r="31">
      <x:c r="A31" s="46"/>
      <x:c r="B31" s="46"/>
      <x:c r="C31" s="46"/>
      <x:c r="D31" s="46"/>
      <x:c r="E31" s="46"/>
      <x:c r="F31" s="46"/>
      <x:c r="G31" s="46"/>
      <x:c r="H31" s="46"/>
      <x:c r="I31" s="46"/>
      <x:c r="J31" s="46"/>
      <x:c r="K31" s="46"/>
      <x:c r="L31" s="46"/>
    </x:row>
    <x:row r="32">
      <x:c r="A32" s="46"/>
      <x:c r="B32" s="46"/>
      <x:c r="C32" s="46"/>
      <x:c r="D32" s="46"/>
      <x:c r="E32" s="46"/>
      <x:c r="F32" s="46"/>
      <x:c r="G32" s="46"/>
      <x:c r="H32" s="46"/>
      <x:c r="I32" s="46"/>
      <x:c r="J32" s="46"/>
      <x:c r="K32" s="46"/>
      <x:c r="L32" s="46"/>
    </x:row>
    <x:row r="33">
      <x:c r="A33" s="46"/>
      <x:c r="B33" s="46"/>
      <x:c r="C33" s="46"/>
      <x:c r="D33" s="46"/>
      <x:c r="E33" s="46"/>
      <x:c r="F33" s="46"/>
      <x:c r="G33" s="46"/>
      <x:c r="H33" s="46"/>
      <x:c r="I33" s="46"/>
      <x:c r="J33" s="46"/>
      <x:c r="K33" s="46"/>
      <x:c r="L33" s="46"/>
    </x:row>
    <x:row r="34">
      <x:c r="A34" s="46"/>
      <x:c r="B34" s="46"/>
      <x:c r="C34" s="46"/>
      <x:c r="D34" s="46"/>
      <x:c r="E34" s="46"/>
      <x:c r="F34" s="46"/>
      <x:c r="G34" s="46"/>
      <x:c r="H34" s="46"/>
      <x:c r="I34" s="46"/>
      <x:c r="J34" s="46"/>
      <x:c r="K34" s="46"/>
      <x:c r="L34" s="46"/>
    </x:row>
    <x:row r="35">
      <x:c r="A35" s="46"/>
      <x:c r="B35" s="46"/>
      <x:c r="C35" s="46"/>
      <x:c r="D35" s="46"/>
      <x:c r="E35" s="46"/>
      <x:c r="F35" s="46"/>
      <x:c r="G35" s="46"/>
      <x:c r="H35" s="46"/>
      <x:c r="I35" s="46"/>
      <x:c r="J35" s="46"/>
      <x:c r="K35" s="46"/>
      <x:c r="L35" s="46"/>
    </x:row>
    <x:row r="36">
      <x:c r="A36" s="46"/>
      <x:c r="B36" s="46"/>
      <x:c r="C36" s="46"/>
      <x:c r="D36" s="46"/>
      <x:c r="E36" s="46"/>
      <x:c r="F36" s="46"/>
      <x:c r="G36" s="46"/>
      <x:c r="H36" s="46"/>
      <x:c r="I36" s="46"/>
      <x:c r="J36" s="46"/>
      <x:c r="K36" s="46"/>
      <x:c r="L36" s="46"/>
    </x:row>
    <x:row r="37">
      <x:c r="A37" s="46"/>
      <x:c r="B37" s="46"/>
      <x:c r="C37" s="46"/>
      <x:c r="D37" s="46"/>
      <x:c r="E37" s="46"/>
      <x:c r="F37" s="46"/>
      <x:c r="G37" s="46"/>
      <x:c r="H37" s="46"/>
      <x:c r="I37" s="46"/>
      <x:c r="J37" s="46"/>
      <x:c r="K37" s="46"/>
      <x:c r="L37" s="46"/>
    </x:row>
    <x:row r="38">
      <x:c r="A38" s="46"/>
      <x:c r="B38" s="46"/>
      <x:c r="C38" s="46"/>
      <x:c r="D38" s="46"/>
      <x:c r="E38" s="46"/>
      <x:c r="F38" s="46"/>
      <x:c r="G38" s="46"/>
      <x:c r="H38" s="46"/>
      <x:c r="I38" s="46"/>
      <x:c r="J38" s="46"/>
      <x:c r="K38" s="46"/>
      <x:c r="L38" s="46"/>
    </x:row>
    <x:row r="39">
      <x:c r="A39" s="46"/>
      <x:c r="B39" s="46"/>
      <x:c r="C39" s="46"/>
      <x:c r="D39" s="46"/>
      <x:c r="E39" s="46"/>
      <x:c r="F39" s="46"/>
      <x:c r="G39" s="46"/>
      <x:c r="H39" s="46"/>
      <x:c r="I39" s="46"/>
      <x:c r="J39" s="46"/>
      <x:c r="K39" s="46"/>
      <x:c r="L39" s="46"/>
    </x:row>
    <x:row r="40">
      <x:c r="A40" s="46"/>
      <x:c r="B40" s="46"/>
      <x:c r="C40" s="46"/>
      <x:c r="D40" s="46"/>
      <x:c r="E40" s="46"/>
      <x:c r="F40" s="46"/>
      <x:c r="G40" s="46"/>
      <x:c r="H40" s="46"/>
      <x:c r="I40" s="46"/>
      <x:c r="J40" s="46"/>
      <x:c r="K40" s="46"/>
      <x:c r="L40" s="46"/>
    </x:row>
    <x:row r="41">
      <x:c r="A41" s="46"/>
      <x:c r="B41" s="46"/>
      <x:c r="C41" s="46"/>
      <x:c r="D41" s="46"/>
      <x:c r="E41" s="46"/>
      <x:c r="F41" s="46"/>
      <x:c r="G41" s="46"/>
      <x:c r="H41" s="46"/>
      <x:c r="I41" s="46"/>
      <x:c r="J41" s="46"/>
      <x:c r="K41" s="46"/>
      <x:c r="L41" s="46"/>
    </x:row>
    <x:row r="42">
      <x:c r="A42" s="46"/>
      <x:c r="B42" s="46"/>
      <x:c r="C42" s="46"/>
      <x:c r="D42" s="46"/>
      <x:c r="E42" s="46"/>
      <x:c r="F42" s="46"/>
      <x:c r="G42" s="46"/>
      <x:c r="H42" s="46"/>
      <x:c r="I42" s="46"/>
      <x:c r="J42" s="46"/>
      <x:c r="K42" s="46"/>
      <x:c r="L42" s="46"/>
    </x:row>
    <x:row r="43">
      <x:c r="A43" s="46"/>
      <x:c r="B43" s="46"/>
      <x:c r="C43" s="46"/>
      <x:c r="D43" s="46"/>
      <x:c r="E43" s="46"/>
      <x:c r="F43" s="46"/>
      <x:c r="G43" s="46"/>
      <x:c r="H43" s="46"/>
      <x:c r="I43" s="46"/>
      <x:c r="J43" s="46"/>
      <x:c r="K43" s="46"/>
      <x:c r="L43" s="46"/>
    </x:row>
    <x:row r="44">
      <x:c r="A44" s="46"/>
      <x:c r="B44" s="46"/>
      <x:c r="C44" s="46"/>
      <x:c r="D44" s="46"/>
      <x:c r="E44" s="46"/>
      <x:c r="F44" s="46"/>
      <x:c r="G44" s="46"/>
      <x:c r="H44" s="46"/>
      <x:c r="I44" s="46"/>
      <x:c r="J44" s="46"/>
      <x:c r="K44" s="46"/>
      <x:c r="L44" s="46"/>
    </x:row>
    <x:row r="45">
      <x:c r="A45" s="46"/>
      <x:c r="B45" s="46"/>
      <x:c r="C45" s="46"/>
      <x:c r="D45" s="46"/>
      <x:c r="E45" s="46"/>
      <x:c r="F45" s="46"/>
      <x:c r="G45" s="46"/>
      <x:c r="H45" s="46"/>
      <x:c r="I45" s="46"/>
      <x:c r="J45" s="46"/>
      <x:c r="K45" s="46"/>
      <x:c r="L45" s="46"/>
    </x:row>
    <x:row r="46">
      <x:c r="A46" s="46"/>
      <x:c r="B46" s="46"/>
      <x:c r="C46" s="46"/>
      <x:c r="D46" s="46"/>
      <x:c r="E46" s="46"/>
      <x:c r="F46" s="46"/>
      <x:c r="G46" s="46"/>
      <x:c r="H46" s="46"/>
      <x:c r="I46" s="46"/>
      <x:c r="J46" s="46"/>
      <x:c r="K46" s="46"/>
      <x:c r="L46" s="46"/>
    </x:row>
    <x:row r="47">
      <x:c r="A47" s="46"/>
      <x:c r="B47" s="46"/>
      <x:c r="C47" s="46"/>
      <x:c r="D47" s="46"/>
      <x:c r="E47" s="46"/>
      <x:c r="F47" s="46"/>
      <x:c r="G47" s="46"/>
      <x:c r="H47" s="46"/>
      <x:c r="I47" s="46"/>
      <x:c r="J47" s="46"/>
      <x:c r="K47" s="46"/>
      <x:c r="L47" s="46"/>
    </x:row>
    <x:row r="48">
      <x:c r="A48" s="46"/>
      <x:c r="B48" s="46"/>
      <x:c r="C48" s="46"/>
      <x:c r="D48" s="46"/>
      <x:c r="E48" s="46"/>
      <x:c r="F48" s="46"/>
      <x:c r="G48" s="46"/>
      <x:c r="H48" s="46"/>
      <x:c r="I48" s="46"/>
      <x:c r="J48" s="46"/>
      <x:c r="K48" s="46"/>
      <x:c r="L48" s="46"/>
    </x:row>
    <x:row r="49">
      <x:c r="A49" s="46"/>
      <x:c r="B49" s="46"/>
      <x:c r="C49" s="46"/>
      <x:c r="D49" s="46"/>
      <x:c r="E49" s="46"/>
      <x:c r="F49" s="46"/>
      <x:c r="G49" s="46"/>
      <x:c r="H49" s="46"/>
      <x:c r="I49" s="46"/>
      <x:c r="J49" s="46"/>
      <x:c r="K49" s="46"/>
      <x:c r="L49" s="46"/>
    </x:row>
    <x:row r="50">
      <x:c r="A50" s="46"/>
      <x:c r="B50" s="46"/>
      <x:c r="C50" s="46"/>
      <x:c r="D50" s="46"/>
      <x:c r="E50" s="46"/>
      <x:c r="F50" s="46"/>
      <x:c r="G50" s="46"/>
      <x:c r="H50" s="46"/>
      <x:c r="I50" s="46"/>
      <x:c r="J50" s="46"/>
      <x:c r="K50" s="46"/>
      <x:c r="L50" s="46"/>
    </x:row>
    <x:row r="51">
      <x:c r="A51" s="46"/>
      <x:c r="B51" s="46"/>
      <x:c r="C51" s="46"/>
      <x:c r="D51" s="46"/>
      <x:c r="E51" s="46"/>
      <x:c r="F51" s="46"/>
      <x:c r="G51" s="46"/>
      <x:c r="H51" s="46"/>
      <x:c r="I51" s="46"/>
      <x:c r="J51" s="46"/>
      <x:c r="K51" s="46"/>
      <x:c r="L51" s="46"/>
    </x:row>
    <x:row r="52">
      <x:c r="A52" s="46"/>
      <x:c r="B52" s="46"/>
      <x:c r="C52" s="46"/>
      <x:c r="D52" s="46"/>
      <x:c r="E52" s="46"/>
      <x:c r="F52" s="46"/>
      <x:c r="G52" s="46"/>
      <x:c r="H52" s="46"/>
      <x:c r="I52" s="46"/>
      <x:c r="J52" s="46"/>
      <x:c r="K52" s="46"/>
      <x:c r="L52" s="46"/>
    </x:row>
    <x:row r="53">
      <x:c r="A53" s="46"/>
      <x:c r="B53" s="46"/>
      <x:c r="C53" s="46"/>
      <x:c r="D53" s="46"/>
      <x:c r="E53" s="46"/>
      <x:c r="F53" s="46"/>
      <x:c r="G53" s="46"/>
      <x:c r="H53" s="46"/>
      <x:c r="I53" s="46"/>
      <x:c r="J53" s="46"/>
      <x:c r="K53" s="46"/>
      <x:c r="L53" s="46"/>
    </x:row>
    <x:row r="54">
      <x:c r="A54" s="46"/>
      <x:c r="B54" s="46"/>
      <x:c r="C54" s="46"/>
      <x:c r="D54" s="46"/>
      <x:c r="E54" s="46"/>
      <x:c r="F54" s="46"/>
      <x:c r="G54" s="46"/>
      <x:c r="H54" s="46"/>
      <x:c r="I54" s="46"/>
      <x:c r="J54" s="46"/>
      <x:c r="K54" s="46"/>
      <x:c r="L54" s="46"/>
    </x:row>
    <x:row r="55">
      <x:c r="A55" s="46"/>
      <x:c r="B55" s="46"/>
      <x:c r="C55" s="46"/>
      <x:c r="D55" s="46"/>
      <x:c r="E55" s="46"/>
      <x:c r="F55" s="46"/>
      <x:c r="G55" s="46"/>
      <x:c r="H55" s="46"/>
      <x:c r="I55" s="46"/>
      <x:c r="J55" s="46"/>
      <x:c r="K55" s="46"/>
      <x:c r="L55" s="46"/>
    </x:row>
    <x:row r="56">
      <x:c r="A56" s="46"/>
      <x:c r="B56" s="46"/>
      <x:c r="C56" s="46"/>
      <x:c r="D56" s="46"/>
      <x:c r="E56" s="46"/>
      <x:c r="F56" s="46"/>
      <x:c r="G56" s="46"/>
      <x:c r="H56" s="46"/>
      <x:c r="I56" s="46"/>
      <x:c r="J56" s="46"/>
      <x:c r="K56" s="46"/>
      <x:c r="L56" s="46"/>
    </x:row>
    <x:row r="57">
      <x:c r="A57" s="46"/>
      <x:c r="B57" s="46"/>
      <x:c r="C57" s="46"/>
      <x:c r="D57" s="46"/>
      <x:c r="E57" s="46"/>
      <x:c r="F57" s="46"/>
      <x:c r="G57" s="46"/>
      <x:c r="H57" s="46"/>
      <x:c r="I57" s="46"/>
      <x:c r="J57" s="46"/>
      <x:c r="K57" s="46"/>
      <x:c r="L57" s="46"/>
    </x:row>
    <x:row r="58">
      <x:c r="A58" s="46"/>
      <x:c r="B58" s="46"/>
      <x:c r="C58" s="46"/>
      <x:c r="D58" s="46"/>
      <x:c r="E58" s="46"/>
      <x:c r="F58" s="46"/>
      <x:c r="G58" s="46"/>
      <x:c r="H58" s="46"/>
      <x:c r="I58" s="46"/>
      <x:c r="J58" s="46"/>
      <x:c r="K58" s="46"/>
      <x:c r="L58" s="46"/>
    </x:row>
    <x:row r="59">
      <x:c r="A59" s="46"/>
      <x:c r="B59" s="46"/>
      <x:c r="C59" s="46"/>
      <x:c r="D59" s="46"/>
      <x:c r="E59" s="46"/>
      <x:c r="F59" s="46"/>
      <x:c r="G59" s="46"/>
      <x:c r="H59" s="46"/>
      <x:c r="I59" s="46"/>
      <x:c r="J59" s="46"/>
      <x:c r="K59" s="46"/>
      <x:c r="L59" s="46"/>
    </x:row>
    <x:row r="60">
      <x:c r="A60" s="46"/>
      <x:c r="B60" s="46"/>
      <x:c r="C60" s="46"/>
      <x:c r="D60" s="46"/>
      <x:c r="E60" s="46"/>
      <x:c r="F60" s="46"/>
      <x:c r="G60" s="46"/>
      <x:c r="H60" s="46"/>
      <x:c r="I60" s="46"/>
      <x:c r="J60" s="46"/>
      <x:c r="K60" s="46"/>
      <x:c r="L60" s="46"/>
    </x:row>
    <x:row r="61">
      <x:c r="A61" s="46"/>
      <x:c r="B61" s="46"/>
      <x:c r="C61" s="46"/>
      <x:c r="D61" s="46"/>
      <x:c r="E61" s="46"/>
      <x:c r="F61" s="46"/>
      <x:c r="G61" s="46"/>
      <x:c r="H61" s="46"/>
      <x:c r="I61" s="46"/>
      <x:c r="J61" s="46"/>
      <x:c r="K61" s="46"/>
      <x:c r="L61" s="46"/>
    </x:row>
    <x:row r="62">
      <x:c r="A62" s="46"/>
      <x:c r="B62" s="46"/>
      <x:c r="C62" s="46"/>
      <x:c r="D62" s="46"/>
      <x:c r="E62" s="46"/>
      <x:c r="F62" s="46"/>
      <x:c r="G62" s="46"/>
      <x:c r="H62" s="46"/>
      <x:c r="I62" s="46"/>
      <x:c r="J62" s="46"/>
      <x:c r="K62" s="46"/>
      <x:c r="L62" s="46"/>
    </x:row>
    <x:row r="63">
      <x:c r="A63" s="46"/>
      <x:c r="B63" s="46"/>
      <x:c r="C63" s="46"/>
      <x:c r="D63" s="46"/>
      <x:c r="E63" s="46"/>
      <x:c r="F63" s="46"/>
      <x:c r="G63" s="46"/>
      <x:c r="H63" s="46"/>
      <x:c r="I63" s="46"/>
      <x:c r="J63" s="46"/>
      <x:c r="K63" s="46"/>
      <x:c r="L63" s="46"/>
    </x:row>
    <x:row r="64">
      <x:c r="A64" s="46"/>
      <x:c r="B64" s="46"/>
      <x:c r="C64" s="46"/>
      <x:c r="D64" s="46"/>
      <x:c r="E64" s="46"/>
      <x:c r="F64" s="46"/>
      <x:c r="G64" s="46"/>
      <x:c r="H64" s="46"/>
      <x:c r="I64" s="46"/>
      <x:c r="J64" s="46"/>
      <x:c r="K64" s="46"/>
      <x:c r="L64" s="46"/>
    </x:row>
    <x:row r="65">
      <x:c r="A65" s="46"/>
      <x:c r="B65" s="46"/>
      <x:c r="C65" s="46"/>
      <x:c r="D65" s="46"/>
      <x:c r="E65" s="46"/>
      <x:c r="F65" s="46"/>
      <x:c r="G65" s="46"/>
      <x:c r="H65" s="46"/>
      <x:c r="I65" s="46"/>
      <x:c r="J65" s="46"/>
      <x:c r="K65" s="46"/>
      <x:c r="L65" s="46"/>
    </x:row>
    <x:row r="66">
      <x:c r="A66" s="46"/>
      <x:c r="B66" s="46"/>
      <x:c r="C66" s="46"/>
      <x:c r="D66" s="46"/>
      <x:c r="E66" s="46"/>
      <x:c r="F66" s="46"/>
      <x:c r="G66" s="46"/>
      <x:c r="H66" s="46"/>
      <x:c r="I66" s="46"/>
      <x:c r="J66" s="46"/>
      <x:c r="K66" s="46"/>
      <x:c r="L66" s="46"/>
    </x:row>
    <x:row r="67">
      <x:c r="A67" s="46"/>
      <x:c r="B67" s="46"/>
      <x:c r="C67" s="46"/>
      <x:c r="D67" s="46"/>
      <x:c r="E67" s="46"/>
      <x:c r="F67" s="46"/>
      <x:c r="G67" s="46"/>
      <x:c r="H67" s="46"/>
      <x:c r="I67" s="46"/>
      <x:c r="J67" s="46"/>
      <x:c r="K67" s="46"/>
      <x:c r="L67" s="46"/>
    </x:row>
    <x:row r="68">
      <x:c r="A68" s="46"/>
      <x:c r="B68" s="46"/>
      <x:c r="C68" s="46"/>
      <x:c r="D68" s="46"/>
      <x:c r="E68" s="46"/>
      <x:c r="F68" s="46"/>
      <x:c r="G68" s="46"/>
      <x:c r="H68" s="46"/>
      <x:c r="I68" s="46"/>
      <x:c r="J68" s="46"/>
      <x:c r="K68" s="46"/>
      <x:c r="L68" s="46"/>
    </x:row>
    <x:row r="69">
      <x:c r="A69" s="46"/>
      <x:c r="B69" s="46"/>
      <x:c r="C69" s="46"/>
      <x:c r="D69" s="46"/>
      <x:c r="E69" s="46"/>
      <x:c r="F69" s="46"/>
      <x:c r="G69" s="46"/>
      <x:c r="H69" s="46"/>
      <x:c r="I69" s="46"/>
      <x:c r="J69" s="46"/>
      <x:c r="K69" s="46"/>
      <x:c r="L69" s="46"/>
    </x:row>
    <x:row r="70">
      <x:c r="A70" s="46"/>
      <x:c r="B70" s="46"/>
      <x:c r="C70" s="46"/>
      <x:c r="D70" s="46"/>
      <x:c r="E70" s="46"/>
      <x:c r="F70" s="46"/>
      <x:c r="G70" s="46"/>
      <x:c r="H70" s="46"/>
      <x:c r="I70" s="46"/>
      <x:c r="J70" s="46"/>
      <x:c r="K70" s="46"/>
      <x:c r="L70" s="46"/>
    </x:row>
    <x:row r="71">
      <x:c r="A71" s="46"/>
      <x:c r="B71" s="46"/>
      <x:c r="C71" s="46"/>
      <x:c r="D71" s="46"/>
      <x:c r="E71" s="46"/>
      <x:c r="F71" s="46"/>
      <x:c r="G71" s="46"/>
      <x:c r="H71" s="46"/>
      <x:c r="I71" s="46"/>
      <x:c r="J71" s="46"/>
      <x:c r="K71" s="46"/>
      <x:c r="L71" s="46"/>
    </x:row>
    <x:row r="72">
      <x:c r="A72" s="46"/>
      <x:c r="B72" s="46"/>
      <x:c r="C72" s="46"/>
      <x:c r="D72" s="46"/>
      <x:c r="E72" s="46"/>
      <x:c r="F72" s="46"/>
      <x:c r="G72" s="46"/>
      <x:c r="H72" s="46"/>
      <x:c r="I72" s="46"/>
      <x:c r="J72" s="46"/>
      <x:c r="K72" s="46"/>
      <x:c r="L72" s="46"/>
    </x:row>
    <x:row r="73">
      <x:c r="A73" s="46"/>
      <x:c r="B73" s="46"/>
      <x:c r="C73" s="46"/>
      <x:c r="D73" s="46"/>
      <x:c r="E73" s="46"/>
      <x:c r="F73" s="46"/>
      <x:c r="G73" s="46"/>
      <x:c r="H73" s="46"/>
      <x:c r="I73" s="46"/>
      <x:c r="J73" s="46"/>
      <x:c r="K73" s="46"/>
      <x:c r="L73" s="46"/>
    </x:row>
    <x:row r="74">
      <x:c r="A74" s="46"/>
      <x:c r="B74" s="46"/>
      <x:c r="C74" s="46"/>
      <x:c r="D74" s="46"/>
      <x:c r="E74" s="46"/>
      <x:c r="F74" s="46"/>
      <x:c r="G74" s="46"/>
      <x:c r="H74" s="46"/>
      <x:c r="I74" s="46"/>
      <x:c r="J74" s="46"/>
      <x:c r="K74" s="46"/>
      <x:c r="L74" s="46"/>
    </x:row>
    <x:row r="75">
      <x:c r="A75" s="46"/>
      <x:c r="B75" s="46"/>
      <x:c r="C75" s="46"/>
      <x:c r="D75" s="46"/>
      <x:c r="E75" s="46"/>
      <x:c r="F75" s="46"/>
      <x:c r="G75" s="46"/>
      <x:c r="H75" s="46"/>
      <x:c r="I75" s="46"/>
      <x:c r="J75" s="46"/>
      <x:c r="K75" s="46"/>
      <x:c r="L75" s="46"/>
    </x:row>
    <x:row r="76">
      <x:c r="A76" s="46"/>
      <x:c r="B76" s="46"/>
      <x:c r="C76" s="46"/>
      <x:c r="D76" s="46"/>
      <x:c r="E76" s="46"/>
      <x:c r="F76" s="46"/>
      <x:c r="G76" s="46"/>
      <x:c r="H76" s="46"/>
      <x:c r="I76" s="46"/>
      <x:c r="J76" s="46"/>
      <x:c r="K76" s="46"/>
      <x:c r="L76" s="46"/>
    </x:row>
    <x:row r="77">
      <x:c r="A77" s="46"/>
      <x:c r="B77" s="46"/>
      <x:c r="C77" s="46"/>
      <x:c r="D77" s="46"/>
      <x:c r="E77" s="46"/>
      <x:c r="F77" s="46"/>
      <x:c r="G77" s="46"/>
      <x:c r="H77" s="46"/>
      <x:c r="I77" s="46"/>
      <x:c r="J77" s="46"/>
      <x:c r="K77" s="46"/>
      <x:c r="L77" s="46"/>
    </x:row>
    <x:row r="78">
      <x:c r="A78" s="46"/>
      <x:c r="B78" s="46"/>
      <x:c r="C78" s="46"/>
      <x:c r="D78" s="46"/>
      <x:c r="E78" s="46"/>
      <x:c r="F78" s="46"/>
      <x:c r="G78" s="46"/>
      <x:c r="H78" s="46"/>
      <x:c r="I78" s="46"/>
      <x:c r="J78" s="46"/>
      <x:c r="K78" s="46"/>
      <x:c r="L78" s="46"/>
    </x:row>
    <x:row r="79">
      <x:c r="A79" s="46"/>
      <x:c r="B79" s="46"/>
      <x:c r="C79" s="46"/>
      <x:c r="D79" s="46"/>
      <x:c r="E79" s="46"/>
      <x:c r="F79" s="46"/>
      <x:c r="G79" s="46"/>
      <x:c r="H79" s="46"/>
      <x:c r="I79" s="46"/>
      <x:c r="J79" s="46"/>
      <x:c r="K79" s="46"/>
      <x:c r="L79" s="46"/>
    </x:row>
    <x:row r="80">
      <x:c r="A80" s="46"/>
      <x:c r="B80" s="46"/>
      <x:c r="C80" s="46"/>
      <x:c r="D80" s="46"/>
      <x:c r="E80" s="46"/>
      <x:c r="F80" s="46"/>
      <x:c r="G80" s="46"/>
      <x:c r="H80" s="46"/>
      <x:c r="I80" s="46"/>
      <x:c r="J80" s="46"/>
      <x:c r="K80" s="46"/>
      <x:c r="L80" s="46"/>
    </x:row>
    <x:row r="81">
      <x:c r="A81" s="46"/>
      <x:c r="B81" s="46"/>
      <x:c r="C81" s="46"/>
      <x:c r="D81" s="46"/>
      <x:c r="E81" s="46"/>
      <x:c r="F81" s="46"/>
      <x:c r="G81" s="46"/>
      <x:c r="H81" s="46"/>
      <x:c r="I81" s="46"/>
      <x:c r="J81" s="46"/>
      <x:c r="K81" s="46"/>
      <x:c r="L81" s="46"/>
    </x:row>
    <x:row r="82">
      <x:c r="A82" s="46"/>
      <x:c r="B82" s="46"/>
      <x:c r="C82" s="46"/>
      <x:c r="D82" s="46"/>
      <x:c r="E82" s="46"/>
      <x:c r="F82" s="46"/>
      <x:c r="G82" s="46"/>
      <x:c r="H82" s="46"/>
      <x:c r="I82" s="46"/>
      <x:c r="J82" s="46"/>
      <x:c r="K82" s="46"/>
      <x:c r="L82" s="46"/>
    </x:row>
    <x:row r="83">
      <x:c r="A83" s="46"/>
      <x:c r="B83" s="46"/>
      <x:c r="C83" s="46"/>
      <x:c r="D83" s="46"/>
      <x:c r="E83" s="46"/>
      <x:c r="F83" s="46"/>
      <x:c r="G83" s="46"/>
      <x:c r="H83" s="46"/>
      <x:c r="I83" s="46"/>
      <x:c r="J83" s="46"/>
      <x:c r="K83" s="46"/>
      <x:c r="L83" s="46"/>
    </x:row>
    <x:row r="84">
      <x:c r="A84" s="46"/>
      <x:c r="B84" s="46"/>
      <x:c r="C84" s="46"/>
      <x:c r="D84" s="46"/>
      <x:c r="E84" s="46"/>
      <x:c r="F84" s="46"/>
      <x:c r="G84" s="46"/>
      <x:c r="H84" s="46"/>
      <x:c r="I84" s="46"/>
      <x:c r="J84" s="46"/>
      <x:c r="K84" s="46"/>
      <x:c r="L84" s="46"/>
    </x:row>
    <x:row r="85">
      <x:c r="A85" s="46"/>
      <x:c r="B85" s="46"/>
      <x:c r="C85" s="46"/>
      <x:c r="D85" s="46"/>
      <x:c r="E85" s="46"/>
      <x:c r="F85" s="46"/>
      <x:c r="G85" s="46"/>
      <x:c r="H85" s="46"/>
      <x:c r="I85" s="46"/>
      <x:c r="J85" s="46"/>
      <x:c r="K85" s="46"/>
      <x:c r="L85" s="46"/>
    </x:row>
    <x:row r="86">
      <x:c r="A86" s="46"/>
      <x:c r="B86" s="46"/>
      <x:c r="C86" s="46"/>
      <x:c r="D86" s="46"/>
      <x:c r="E86" s="46"/>
      <x:c r="F86" s="46"/>
      <x:c r="G86" s="46"/>
      <x:c r="H86" s="46"/>
      <x:c r="I86" s="46"/>
      <x:c r="J86" s="46"/>
      <x:c r="K86" s="46"/>
      <x:c r="L86" s="46"/>
    </x:row>
    <x:row r="87">
      <x:c r="A87" s="46"/>
      <x:c r="B87" s="46"/>
      <x:c r="C87" s="46"/>
      <x:c r="D87" s="46"/>
      <x:c r="E87" s="46"/>
      <x:c r="F87" s="46"/>
      <x:c r="G87" s="46"/>
      <x:c r="H87" s="46"/>
      <x:c r="I87" s="46"/>
      <x:c r="J87" s="46"/>
      <x:c r="K87" s="46"/>
      <x:c r="L87" s="46"/>
    </x:row>
    <x:row r="88">
      <x:c r="A88" s="46"/>
      <x:c r="B88" s="46"/>
      <x:c r="C88" s="46"/>
      <x:c r="D88" s="46"/>
      <x:c r="E88" s="46"/>
      <x:c r="F88" s="46"/>
      <x:c r="G88" s="46"/>
      <x:c r="H88" s="46"/>
      <x:c r="I88" s="46"/>
      <x:c r="J88" s="46"/>
      <x:c r="K88" s="46"/>
      <x:c r="L88" s="46"/>
    </x:row>
    <x:row r="89">
      <x:c r="A89" s="46"/>
      <x:c r="B89" s="46"/>
      <x:c r="C89" s="46"/>
      <x:c r="D89" s="46"/>
      <x:c r="E89" s="46"/>
      <x:c r="F89" s="46"/>
      <x:c r="G89" s="46"/>
      <x:c r="H89" s="46"/>
      <x:c r="I89" s="46"/>
      <x:c r="J89" s="46"/>
      <x:c r="K89" s="46"/>
      <x:c r="L89" s="46"/>
    </x:row>
    <x:row r="90">
      <x:c r="A90" s="46"/>
      <x:c r="B90" s="46"/>
      <x:c r="C90" s="46"/>
      <x:c r="D90" s="46"/>
      <x:c r="E90" s="46"/>
      <x:c r="F90" s="46"/>
      <x:c r="G90" s="46"/>
      <x:c r="H90" s="46"/>
      <x:c r="I90" s="46"/>
      <x:c r="J90" s="46"/>
      <x:c r="K90" s="46"/>
      <x:c r="L90" s="46"/>
    </x:row>
    <x:row r="91">
      <x:c r="A91" s="46"/>
      <x:c r="B91" s="46"/>
      <x:c r="C91" s="46"/>
      <x:c r="D91" s="46"/>
      <x:c r="E91" s="46"/>
      <x:c r="F91" s="46"/>
      <x:c r="G91" s="46"/>
      <x:c r="H91" s="46"/>
      <x:c r="I91" s="46"/>
      <x:c r="J91" s="46"/>
      <x:c r="K91" s="46"/>
      <x:c r="L91" s="46"/>
    </x:row>
    <x:row r="92">
      <x:c r="A92" s="46"/>
      <x:c r="B92" s="46"/>
      <x:c r="C92" s="46"/>
      <x:c r="D92" s="46"/>
      <x:c r="E92" s="46"/>
      <x:c r="F92" s="46"/>
      <x:c r="G92" s="46"/>
      <x:c r="H92" s="46"/>
      <x:c r="I92" s="46"/>
      <x:c r="J92" s="46"/>
      <x:c r="K92" s="46"/>
      <x:c r="L92" s="46"/>
    </x:row>
    <x:row r="93">
      <x:c r="A93" s="46"/>
      <x:c r="B93" s="46"/>
      <x:c r="C93" s="46"/>
      <x:c r="D93" s="46"/>
      <x:c r="E93" s="46"/>
      <x:c r="F93" s="46"/>
      <x:c r="G93" s="46"/>
      <x:c r="H93" s="46"/>
      <x:c r="I93" s="46"/>
      <x:c r="J93" s="46"/>
      <x:c r="K93" s="46"/>
      <x:c r="L93" s="46"/>
    </x:row>
    <x:row r="94">
      <x:c r="A94" s="46"/>
      <x:c r="B94" s="46"/>
      <x:c r="C94" s="46"/>
      <x:c r="D94" s="46"/>
      <x:c r="E94" s="46"/>
      <x:c r="F94" s="46"/>
      <x:c r="G94" s="46"/>
      <x:c r="H94" s="46"/>
      <x:c r="I94" s="46"/>
      <x:c r="J94" s="46"/>
      <x:c r="K94" s="46"/>
      <x:c r="L94" s="46"/>
    </x:row>
    <x:row r="95">
      <x:c r="A95" s="46"/>
      <x:c r="B95" s="46"/>
      <x:c r="C95" s="46"/>
      <x:c r="D95" s="46"/>
      <x:c r="E95" s="46"/>
      <x:c r="F95" s="46"/>
      <x:c r="G95" s="46"/>
      <x:c r="H95" s="46"/>
      <x:c r="I95" s="46"/>
      <x:c r="J95" s="46"/>
      <x:c r="K95" s="46"/>
      <x:c r="L95" s="46"/>
    </x:row>
    <x:row r="96">
      <x:c r="A96" s="46"/>
      <x:c r="B96" s="46"/>
      <x:c r="C96" s="46"/>
      <x:c r="D96" s="46"/>
      <x:c r="E96" s="46"/>
      <x:c r="F96" s="46"/>
      <x:c r="G96" s="46"/>
      <x:c r="H96" s="46"/>
      <x:c r="I96" s="46"/>
      <x:c r="J96" s="46"/>
      <x:c r="K96" s="46"/>
      <x:c r="L96" s="46"/>
    </x:row>
    <x:row r="97">
      <x:c r="A97" s="46"/>
      <x:c r="B97" s="46"/>
      <x:c r="C97" s="46"/>
      <x:c r="D97" s="46"/>
      <x:c r="E97" s="46"/>
      <x:c r="F97" s="46"/>
      <x:c r="G97" s="46"/>
      <x:c r="H97" s="46"/>
      <x:c r="I97" s="46"/>
      <x:c r="J97" s="46"/>
      <x:c r="K97" s="46"/>
      <x:c r="L97" s="46"/>
    </x:row>
    <x:row r="98">
      <x:c r="A98" s="46"/>
      <x:c r="B98" s="46"/>
      <x:c r="C98" s="46"/>
      <x:c r="D98" s="46"/>
      <x:c r="E98" s="46"/>
      <x:c r="F98" s="46"/>
      <x:c r="G98" s="46"/>
      <x:c r="H98" s="46"/>
      <x:c r="I98" s="46"/>
      <x:c r="J98" s="46"/>
      <x:c r="K98" s="46"/>
      <x:c r="L98" s="46"/>
    </x:row>
    <x:row r="99">
      <x:c r="A99" s="46"/>
      <x:c r="B99" s="46"/>
      <x:c r="C99" s="46"/>
      <x:c r="D99" s="46"/>
      <x:c r="E99" s="46"/>
      <x:c r="F99" s="46"/>
      <x:c r="G99" s="46"/>
      <x:c r="H99" s="46"/>
      <x:c r="I99" s="46"/>
      <x:c r="J99" s="46"/>
      <x:c r="K99" s="46"/>
      <x:c r="L99" s="46"/>
    </x:row>
    <x:row r="100">
      <x:c r="A100" s="46"/>
      <x:c r="B100" s="46"/>
      <x:c r="C100" s="46"/>
      <x:c r="D100" s="46"/>
      <x:c r="E100" s="46"/>
      <x:c r="F100" s="46"/>
      <x:c r="G100" s="46"/>
      <x:c r="H100" s="46"/>
      <x:c r="I100" s="46"/>
      <x:c r="J100" s="46"/>
      <x:c r="K100" s="46"/>
      <x:c r="L100" s="46"/>
    </x:row>
    <x:row r="101">
      <x:c r="A101" s="46"/>
      <x:c r="B101" s="46"/>
      <x:c r="C101" s="46"/>
      <x:c r="D101" s="46"/>
      <x:c r="E101" s="46"/>
      <x:c r="F101" s="46"/>
      <x:c r="G101" s="46"/>
      <x:c r="H101" s="46"/>
      <x:c r="I101" s="46"/>
      <x:c r="J101" s="46"/>
      <x:c r="K101" s="46"/>
      <x:c r="L101" s="46"/>
    </x:row>
    <x:row r="102">
      <x:c r="A102" s="46"/>
      <x:c r="B102" s="46"/>
      <x:c r="C102" s="46"/>
      <x:c r="D102" s="46"/>
      <x:c r="E102" s="46"/>
      <x:c r="F102" s="46"/>
      <x:c r="G102" s="46"/>
      <x:c r="H102" s="46"/>
      <x:c r="I102" s="46"/>
      <x:c r="J102" s="46"/>
      <x:c r="K102" s="46"/>
      <x:c r="L102" s="46"/>
    </x:row>
    <x:row r="103">
      <x:c r="A103" s="46"/>
      <x:c r="B103" s="46"/>
      <x:c r="C103" s="46"/>
      <x:c r="D103" s="46"/>
      <x:c r="E103" s="46"/>
      <x:c r="F103" s="46"/>
      <x:c r="G103" s="46"/>
      <x:c r="H103" s="46"/>
      <x:c r="I103" s="46"/>
      <x:c r="J103" s="46"/>
      <x:c r="K103" s="46"/>
      <x:c r="L103" s="46"/>
    </x:row>
    <x:row r="104">
      <x:c r="A104" s="46"/>
      <x:c r="B104" s="46"/>
      <x:c r="C104" s="46"/>
      <x:c r="D104" s="46"/>
      <x:c r="E104" s="46"/>
      <x:c r="F104" s="46"/>
      <x:c r="G104" s="46"/>
      <x:c r="H104" s="46"/>
      <x:c r="I104" s="46"/>
      <x:c r="J104" s="46"/>
      <x:c r="K104" s="46"/>
      <x:c r="L104" s="46"/>
    </x:row>
    <x:row r="105">
      <x:c r="A105" s="46"/>
      <x:c r="B105" s="46"/>
      <x:c r="C105" s="46"/>
      <x:c r="D105" s="46"/>
      <x:c r="E105" s="46"/>
      <x:c r="F105" s="46"/>
      <x:c r="G105" s="46"/>
      <x:c r="H105" s="46"/>
      <x:c r="I105" s="46"/>
      <x:c r="J105" s="46"/>
      <x:c r="K105" s="46"/>
      <x:c r="L105" s="46"/>
    </x:row>
    <x:row r="106">
      <x:c r="A106" s="46"/>
      <x:c r="B106" s="46"/>
      <x:c r="C106" s="46"/>
      <x:c r="D106" s="46"/>
      <x:c r="E106" s="46"/>
      <x:c r="F106" s="46"/>
      <x:c r="G106" s="46"/>
      <x:c r="H106" s="46"/>
      <x:c r="I106" s="46"/>
      <x:c r="J106" s="46"/>
      <x:c r="K106" s="46"/>
      <x:c r="L106" s="46"/>
    </x:row>
    <x:row r="107">
      <x:c r="A107" s="46"/>
      <x:c r="B107" s="46"/>
      <x:c r="C107" s="46"/>
      <x:c r="D107" s="46"/>
      <x:c r="E107" s="46"/>
      <x:c r="F107" s="46"/>
      <x:c r="G107" s="46"/>
      <x:c r="H107" s="46"/>
      <x:c r="I107" s="46"/>
      <x:c r="J107" s="46"/>
      <x:c r="K107" s="46"/>
      <x:c r="L107" s="46"/>
    </x:row>
    <x:row r="108">
      <x:c r="A108" s="46"/>
      <x:c r="B108" s="46"/>
      <x:c r="C108" s="46"/>
      <x:c r="D108" s="46"/>
      <x:c r="E108" s="46"/>
      <x:c r="F108" s="46"/>
      <x:c r="G108" s="46"/>
      <x:c r="H108" s="46"/>
      <x:c r="I108" s="46"/>
      <x:c r="J108" s="46"/>
      <x:c r="K108" s="46"/>
      <x:c r="L108" s="46"/>
    </x:row>
    <x:row r="109">
      <x:c r="A109" s="46"/>
      <x:c r="B109" s="46"/>
      <x:c r="C109" s="46"/>
      <x:c r="D109" s="46"/>
      <x:c r="E109" s="46"/>
      <x:c r="F109" s="46"/>
      <x:c r="G109" s="46"/>
      <x:c r="H109" s="46"/>
      <x:c r="I109" s="46"/>
      <x:c r="J109" s="46"/>
      <x:c r="K109" s="46"/>
      <x:c r="L109" s="46"/>
    </x:row>
    <x:row r="110">
      <x:c r="A110" s="46"/>
      <x:c r="B110" s="46"/>
      <x:c r="C110" s="46"/>
      <x:c r="D110" s="46"/>
      <x:c r="E110" s="46"/>
      <x:c r="F110" s="46"/>
      <x:c r="G110" s="46"/>
      <x:c r="H110" s="46"/>
      <x:c r="I110" s="46"/>
      <x:c r="J110" s="46"/>
      <x:c r="K110" s="46"/>
      <x:c r="L110" s="46"/>
    </x:row>
    <x:row r="111">
      <x:c r="A111" s="46"/>
      <x:c r="B111" s="46"/>
      <x:c r="C111" s="46"/>
      <x:c r="D111" s="46"/>
      <x:c r="E111" s="46"/>
      <x:c r="F111" s="46"/>
      <x:c r="G111" s="46"/>
      <x:c r="H111" s="46"/>
      <x:c r="I111" s="46"/>
      <x:c r="J111" s="46"/>
      <x:c r="K111" s="46"/>
      <x:c r="L111" s="46"/>
    </x:row>
    <x:row r="112">
      <x:c r="A112" s="46"/>
      <x:c r="B112" s="46"/>
      <x:c r="C112" s="46"/>
      <x:c r="D112" s="46"/>
      <x:c r="E112" s="46"/>
      <x:c r="F112" s="46"/>
      <x:c r="G112" s="46"/>
      <x:c r="H112" s="46"/>
      <x:c r="I112" s="46"/>
      <x:c r="J112" s="46"/>
      <x:c r="K112" s="46"/>
      <x:c r="L112" s="46"/>
    </x:row>
    <x:row r="113">
      <x:c r="A113" s="46"/>
      <x:c r="B113" s="46"/>
      <x:c r="C113" s="46"/>
      <x:c r="D113" s="46"/>
      <x:c r="E113" s="46"/>
      <x:c r="F113" s="46"/>
      <x:c r="G113" s="46"/>
      <x:c r="H113" s="46"/>
      <x:c r="I113" s="46"/>
      <x:c r="J113" s="46"/>
      <x:c r="K113" s="46"/>
      <x:c r="L113" s="46"/>
    </x:row>
    <x:row r="114">
      <x:c r="A114" s="46"/>
      <x:c r="B114" s="46"/>
      <x:c r="C114" s="46"/>
      <x:c r="D114" s="46"/>
      <x:c r="E114" s="46"/>
      <x:c r="F114" s="46"/>
      <x:c r="G114" s="46"/>
      <x:c r="H114" s="46"/>
      <x:c r="I114" s="46"/>
      <x:c r="J114" s="46"/>
      <x:c r="K114" s="46"/>
      <x:c r="L114" s="46"/>
    </x:row>
    <x:row r="115">
      <x:c r="A115" s="46"/>
      <x:c r="B115" s="46"/>
      <x:c r="C115" s="46"/>
      <x:c r="D115" s="46"/>
      <x:c r="E115" s="46"/>
      <x:c r="F115" s="46"/>
      <x:c r="G115" s="46"/>
      <x:c r="H115" s="46"/>
      <x:c r="I115" s="46"/>
      <x:c r="J115" s="46"/>
      <x:c r="K115" s="46"/>
      <x:c r="L115" s="46"/>
    </x:row>
    <x:row r="116">
      <x:c r="A116" s="46"/>
      <x:c r="B116" s="46"/>
      <x:c r="C116" s="46"/>
      <x:c r="D116" s="46"/>
      <x:c r="E116" s="46"/>
      <x:c r="F116" s="46"/>
      <x:c r="G116" s="46"/>
      <x:c r="H116" s="46"/>
      <x:c r="I116" s="46"/>
      <x:c r="J116" s="46"/>
      <x:c r="K116" s="46"/>
      <x:c r="L116" s="46"/>
    </x:row>
    <x:row r="117">
      <x:c r="A117" s="46"/>
      <x:c r="B117" s="46"/>
      <x:c r="C117" s="46"/>
      <x:c r="D117" s="46"/>
      <x:c r="E117" s="46"/>
      <x:c r="F117" s="46"/>
      <x:c r="G117" s="46"/>
      <x:c r="H117" s="46"/>
      <x:c r="I117" s="46"/>
      <x:c r="J117" s="46"/>
      <x:c r="K117" s="46"/>
      <x:c r="L117" s="46"/>
    </x:row>
    <x:row r="118">
      <x:c r="A118" s="46"/>
      <x:c r="B118" s="46"/>
      <x:c r="C118" s="46"/>
      <x:c r="D118" s="46"/>
      <x:c r="E118" s="46"/>
      <x:c r="F118" s="46"/>
      <x:c r="G118" s="46"/>
      <x:c r="H118" s="46"/>
      <x:c r="I118" s="46"/>
      <x:c r="J118" s="46"/>
      <x:c r="K118" s="46"/>
      <x:c r="L118" s="46"/>
    </x:row>
    <x:row r="119">
      <x:c r="A119" s="46"/>
      <x:c r="B119" s="46"/>
      <x:c r="C119" s="46"/>
      <x:c r="D119" s="46"/>
      <x:c r="E119" s="46"/>
      <x:c r="F119" s="46"/>
      <x:c r="G119" s="46"/>
      <x:c r="H119" s="46"/>
      <x:c r="I119" s="46"/>
      <x:c r="J119" s="46"/>
      <x:c r="K119" s="46"/>
      <x:c r="L119" s="46"/>
    </x:row>
    <x:row r="120">
      <x:c r="A120" s="46"/>
      <x:c r="B120" s="46"/>
      <x:c r="C120" s="46"/>
      <x:c r="D120" s="46"/>
      <x:c r="E120" s="46"/>
      <x:c r="F120" s="46"/>
      <x:c r="G120" s="46"/>
      <x:c r="H120" s="46"/>
      <x:c r="I120" s="46"/>
      <x:c r="J120" s="46"/>
      <x:c r="K120" s="46"/>
      <x:c r="L120" s="46"/>
    </x:row>
    <x:row r="121">
      <x:c r="A121" s="46"/>
      <x:c r="B121" s="46"/>
      <x:c r="C121" s="46"/>
      <x:c r="D121" s="46"/>
      <x:c r="E121" s="46"/>
      <x:c r="F121" s="46"/>
      <x:c r="G121" s="46"/>
      <x:c r="H121" s="46"/>
      <x:c r="I121" s="46"/>
      <x:c r="J121" s="46"/>
      <x:c r="K121" s="46"/>
      <x:c r="L121" s="46"/>
    </x:row>
    <x:row r="122">
      <x:c r="A122" s="46"/>
      <x:c r="B122" s="46"/>
      <x:c r="C122" s="46"/>
      <x:c r="D122" s="46"/>
      <x:c r="E122" s="46"/>
      <x:c r="F122" s="46"/>
      <x:c r="G122" s="46"/>
      <x:c r="H122" s="46"/>
      <x:c r="I122" s="46"/>
      <x:c r="J122" s="46"/>
      <x:c r="K122" s="46"/>
      <x:c r="L122" s="46"/>
    </x:row>
    <x:row r="123">
      <x:c r="A123" s="46"/>
      <x:c r="B123" s="46"/>
      <x:c r="C123" s="46"/>
      <x:c r="D123" s="46"/>
      <x:c r="E123" s="46"/>
      <x:c r="F123" s="46"/>
      <x:c r="G123" s="46"/>
      <x:c r="H123" s="46"/>
      <x:c r="I123" s="46"/>
      <x:c r="J123" s="46"/>
      <x:c r="K123" s="46"/>
      <x:c r="L123" s="46"/>
    </x:row>
    <x:row r="124">
      <x:c r="A124" s="46"/>
      <x:c r="B124" s="46"/>
      <x:c r="C124" s="46"/>
      <x:c r="D124" s="46"/>
      <x:c r="E124" s="46"/>
      <x:c r="F124" s="46"/>
      <x:c r="G124" s="46"/>
      <x:c r="H124" s="46"/>
      <x:c r="I124" s="46"/>
      <x:c r="J124" s="46"/>
      <x:c r="K124" s="46"/>
      <x:c r="L124" s="46"/>
    </x:row>
    <x:row r="125">
      <x:c r="A125" s="46"/>
      <x:c r="B125" s="46"/>
      <x:c r="C125" s="46"/>
      <x:c r="D125" s="46"/>
      <x:c r="E125" s="46"/>
      <x:c r="F125" s="46"/>
      <x:c r="G125" s="46"/>
      <x:c r="H125" s="46"/>
      <x:c r="I125" s="46"/>
      <x:c r="J125" s="46"/>
      <x:c r="K125" s="46"/>
      <x:c r="L125" s="46"/>
    </x:row>
    <x:row r="126">
      <x:c r="A126" s="46"/>
      <x:c r="B126" s="46"/>
      <x:c r="C126" s="46"/>
      <x:c r="D126" s="46"/>
      <x:c r="E126" s="46"/>
      <x:c r="F126" s="46"/>
      <x:c r="G126" s="46"/>
      <x:c r="H126" s="46"/>
      <x:c r="I126" s="46"/>
      <x:c r="J126" s="46"/>
      <x:c r="K126" s="46"/>
      <x:c r="L126" s="46"/>
    </x:row>
    <x:row r="127">
      <x:c r="A127" s="46"/>
      <x:c r="B127" s="46"/>
      <x:c r="C127" s="46"/>
      <x:c r="D127" s="46"/>
      <x:c r="E127" s="46"/>
      <x:c r="F127" s="46"/>
      <x:c r="G127" s="46"/>
      <x:c r="H127" s="46"/>
      <x:c r="I127" s="46"/>
      <x:c r="J127" s="46"/>
      <x:c r="K127" s="46"/>
      <x:c r="L127" s="46"/>
    </x:row>
    <x:row r="128">
      <x:c r="A128" s="46"/>
      <x:c r="B128" s="46"/>
      <x:c r="C128" s="46"/>
      <x:c r="D128" s="46"/>
      <x:c r="E128" s="46"/>
      <x:c r="F128" s="46"/>
      <x:c r="G128" s="46"/>
      <x:c r="H128" s="46"/>
      <x:c r="I128" s="46"/>
      <x:c r="J128" s="46"/>
      <x:c r="K128" s="46"/>
      <x:c r="L128" s="46"/>
    </x:row>
    <x:row r="129">
      <x:c r="A129" s="46"/>
      <x:c r="B129" s="46"/>
      <x:c r="C129" s="46"/>
      <x:c r="D129" s="46"/>
      <x:c r="E129" s="46"/>
      <x:c r="F129" s="46"/>
      <x:c r="G129" s="46"/>
      <x:c r="H129" s="46"/>
      <x:c r="I129" s="46"/>
      <x:c r="J129" s="46"/>
      <x:c r="K129" s="46"/>
      <x:c r="L129" s="46"/>
    </x:row>
    <x:row r="130">
      <x:c r="A130" s="46"/>
      <x:c r="B130" s="46"/>
      <x:c r="C130" s="46"/>
      <x:c r="D130" s="46"/>
      <x:c r="E130" s="46"/>
      <x:c r="F130" s="46"/>
      <x:c r="G130" s="46"/>
      <x:c r="H130" s="46"/>
      <x:c r="I130" s="46"/>
      <x:c r="J130" s="46"/>
      <x:c r="K130" s="46"/>
      <x:c r="L130" s="46"/>
    </x:row>
    <x:row r="131">
      <x:c r="A131" s="46"/>
      <x:c r="B131" s="46"/>
      <x:c r="C131" s="46"/>
      <x:c r="D131" s="46"/>
      <x:c r="E131" s="46"/>
      <x:c r="F131" s="46"/>
      <x:c r="G131" s="46"/>
      <x:c r="H131" s="46"/>
      <x:c r="I131" s="46"/>
      <x:c r="J131" s="46"/>
      <x:c r="K131" s="46"/>
      <x:c r="L131" s="46"/>
    </x:row>
    <x:row r="132">
      <x:c r="A132" s="46"/>
      <x:c r="B132" s="46"/>
      <x:c r="C132" s="46"/>
      <x:c r="D132" s="46"/>
      <x:c r="E132" s="46"/>
      <x:c r="F132" s="46"/>
      <x:c r="G132" s="46"/>
      <x:c r="H132" s="46"/>
      <x:c r="I132" s="46"/>
      <x:c r="J132" s="46"/>
      <x:c r="K132" s="46"/>
      <x:c r="L132" s="46"/>
    </x:row>
    <x:row r="133">
      <x:c r="A133" s="46"/>
      <x:c r="B133" s="46"/>
      <x:c r="C133" s="46"/>
      <x:c r="D133" s="46"/>
      <x:c r="E133" s="46"/>
      <x:c r="F133" s="46"/>
      <x:c r="G133" s="46"/>
      <x:c r="H133" s="46"/>
      <x:c r="I133" s="46"/>
      <x:c r="J133" s="46"/>
      <x:c r="K133" s="46"/>
      <x:c r="L133" s="46"/>
    </x:row>
    <x:row r="134">
      <x:c r="A134" s="46"/>
      <x:c r="B134" s="46"/>
      <x:c r="C134" s="46"/>
      <x:c r="D134" s="46"/>
      <x:c r="E134" s="46"/>
      <x:c r="F134" s="46"/>
      <x:c r="G134" s="46"/>
      <x:c r="H134" s="46"/>
      <x:c r="I134" s="46"/>
      <x:c r="J134" s="46"/>
      <x:c r="K134" s="46"/>
      <x:c r="L134" s="46"/>
    </x:row>
    <x:row r="135">
      <x:c r="A135" s="46"/>
      <x:c r="B135" s="46"/>
      <x:c r="C135" s="46"/>
      <x:c r="D135" s="46"/>
      <x:c r="E135" s="46"/>
      <x:c r="F135" s="46"/>
      <x:c r="G135" s="46"/>
      <x:c r="H135" s="46"/>
      <x:c r="I135" s="46"/>
      <x:c r="J135" s="46"/>
      <x:c r="K135" s="46"/>
      <x:c r="L135" s="46"/>
    </x:row>
    <x:row r="136">
      <x:c r="A136" s="46"/>
      <x:c r="B136" s="46"/>
      <x:c r="C136" s="46"/>
      <x:c r="D136" s="46"/>
      <x:c r="E136" s="46"/>
      <x:c r="F136" s="46"/>
      <x:c r="G136" s="46"/>
      <x:c r="H136" s="46"/>
      <x:c r="I136" s="46"/>
      <x:c r="J136" s="46"/>
      <x:c r="K136" s="46"/>
      <x:c r="L136" s="46"/>
    </x:row>
    <x:row r="137">
      <x:c r="A137" s="46"/>
      <x:c r="B137" s="46"/>
      <x:c r="C137" s="46"/>
      <x:c r="D137" s="46"/>
      <x:c r="E137" s="46"/>
      <x:c r="F137" s="46"/>
      <x:c r="G137" s="46"/>
      <x:c r="H137" s="46"/>
      <x:c r="I137" s="46"/>
      <x:c r="J137" s="46"/>
      <x:c r="K137" s="46"/>
      <x:c r="L137" s="46"/>
    </x:row>
    <x:row r="138">
      <x:c r="A138" s="46"/>
      <x:c r="B138" s="46"/>
      <x:c r="C138" s="46"/>
      <x:c r="D138" s="46"/>
      <x:c r="E138" s="46"/>
      <x:c r="F138" s="46"/>
      <x:c r="G138" s="46"/>
      <x:c r="H138" s="46"/>
      <x:c r="I138" s="46"/>
      <x:c r="J138" s="46"/>
      <x:c r="K138" s="46"/>
      <x:c r="L138" s="46"/>
    </x:row>
    <x:row r="139">
      <x:c r="A139" s="46"/>
      <x:c r="B139" s="46"/>
      <x:c r="C139" s="46"/>
      <x:c r="D139" s="46"/>
      <x:c r="E139" s="46"/>
      <x:c r="F139" s="46"/>
      <x:c r="G139" s="46"/>
      <x:c r="H139" s="46"/>
      <x:c r="I139" s="46"/>
      <x:c r="J139" s="46"/>
      <x:c r="K139" s="46"/>
      <x:c r="L139" s="46"/>
    </x:row>
    <x:row r="140">
      <x:c r="A140" s="46"/>
      <x:c r="B140" s="46"/>
      <x:c r="C140" s="46"/>
      <x:c r="D140" s="46"/>
      <x:c r="E140" s="46"/>
      <x:c r="F140" s="46"/>
      <x:c r="G140" s="46"/>
      <x:c r="H140" s="46"/>
      <x:c r="I140" s="46"/>
      <x:c r="J140" s="46"/>
      <x:c r="K140" s="46"/>
      <x:c r="L140" s="46"/>
    </x:row>
    <x:row r="141">
      <x:c r="A141" s="46"/>
      <x:c r="B141" s="46"/>
      <x:c r="C141" s="46"/>
      <x:c r="D141" s="46"/>
      <x:c r="E141" s="46"/>
      <x:c r="F141" s="46"/>
      <x:c r="G141" s="46"/>
      <x:c r="H141" s="46"/>
      <x:c r="I141" s="46"/>
      <x:c r="J141" s="46"/>
      <x:c r="K141" s="46"/>
      <x:c r="L141" s="46"/>
    </x:row>
    <x:row r="142">
      <x:c r="A142" s="46"/>
      <x:c r="B142" s="46"/>
      <x:c r="C142" s="46"/>
      <x:c r="D142" s="46"/>
      <x:c r="E142" s="46"/>
      <x:c r="F142" s="46"/>
      <x:c r="G142" s="46"/>
      <x:c r="H142" s="46"/>
      <x:c r="I142" s="46"/>
      <x:c r="J142" s="46"/>
      <x:c r="K142" s="46"/>
      <x:c r="L142" s="46"/>
    </x:row>
    <x:row r="143">
      <x:c r="A143" s="46"/>
      <x:c r="B143" s="46"/>
      <x:c r="C143" s="46"/>
      <x:c r="D143" s="46"/>
      <x:c r="E143" s="46"/>
      <x:c r="F143" s="46"/>
      <x:c r="G143" s="46"/>
      <x:c r="H143" s="46"/>
      <x:c r="I143" s="46"/>
      <x:c r="J143" s="46"/>
      <x:c r="K143" s="46"/>
      <x:c r="L143" s="46"/>
    </x:row>
    <x:row r="144">
      <x:c r="A144" s="46"/>
      <x:c r="B144" s="46"/>
      <x:c r="C144" s="46"/>
      <x:c r="D144" s="46"/>
      <x:c r="E144" s="46"/>
      <x:c r="F144" s="46"/>
      <x:c r="G144" s="46"/>
      <x:c r="H144" s="46"/>
      <x:c r="I144" s="46"/>
      <x:c r="J144" s="46"/>
      <x:c r="K144" s="46"/>
      <x:c r="L144" s="46"/>
    </x:row>
    <x:row r="145">
      <x:c r="A145" s="46"/>
      <x:c r="B145" s="46"/>
      <x:c r="C145" s="46"/>
      <x:c r="D145" s="46"/>
      <x:c r="E145" s="46"/>
      <x:c r="F145" s="46"/>
      <x:c r="G145" s="46"/>
      <x:c r="H145" s="46"/>
      <x:c r="I145" s="46"/>
      <x:c r="J145" s="46"/>
      <x:c r="K145" s="46"/>
      <x:c r="L145" s="46"/>
    </x:row>
    <x:row r="146">
      <x:c r="A146" s="46"/>
      <x:c r="B146" s="46"/>
      <x:c r="C146" s="46"/>
      <x:c r="D146" s="46"/>
      <x:c r="E146" s="46"/>
      <x:c r="F146" s="46"/>
      <x:c r="G146" s="46"/>
      <x:c r="H146" s="46"/>
      <x:c r="I146" s="46"/>
      <x:c r="J146" s="46"/>
      <x:c r="K146" s="46"/>
      <x:c r="L146" s="46"/>
    </x:row>
    <x:row r="147">
      <x:c r="A147" s="46"/>
      <x:c r="B147" s="46"/>
      <x:c r="C147" s="46"/>
      <x:c r="D147" s="46"/>
      <x:c r="E147" s="46"/>
      <x:c r="F147" s="46"/>
      <x:c r="G147" s="46"/>
      <x:c r="H147" s="46"/>
      <x:c r="I147" s="46"/>
      <x:c r="J147" s="46"/>
      <x:c r="K147" s="46"/>
      <x:c r="L147" s="46"/>
    </x:row>
    <x:row r="148">
      <x:c r="A148" s="46"/>
      <x:c r="B148" s="46"/>
      <x:c r="C148" s="46"/>
      <x:c r="D148" s="46"/>
      <x:c r="E148" s="46"/>
      <x:c r="F148" s="46"/>
      <x:c r="G148" s="46"/>
      <x:c r="H148" s="46"/>
      <x:c r="I148" s="46"/>
      <x:c r="J148" s="46"/>
      <x:c r="K148" s="46"/>
      <x:c r="L148" s="46"/>
    </x:row>
    <x:row r="149">
      <x:c r="A149" s="46"/>
      <x:c r="B149" s="46"/>
      <x:c r="C149" s="46"/>
      <x:c r="D149" s="46"/>
      <x:c r="E149" s="46"/>
      <x:c r="F149" s="46"/>
      <x:c r="G149" s="46"/>
      <x:c r="H149" s="46"/>
      <x:c r="I149" s="46"/>
      <x:c r="J149" s="46"/>
      <x:c r="K149" s="46"/>
      <x:c r="L149" s="46"/>
    </x:row>
    <x:row r="150">
      <x:c r="A150" s="46"/>
      <x:c r="B150" s="46"/>
      <x:c r="C150" s="46"/>
      <x:c r="D150" s="46"/>
      <x:c r="E150" s="46"/>
      <x:c r="F150" s="46"/>
      <x:c r="G150" s="46"/>
      <x:c r="H150" s="46"/>
      <x:c r="I150" s="46"/>
      <x:c r="J150" s="46"/>
      <x:c r="K150" s="46"/>
      <x:c r="L150" s="46"/>
    </x:row>
    <x:row r="151">
      <x:c r="A151" s="46"/>
      <x:c r="B151" s="46"/>
      <x:c r="C151" s="46"/>
      <x:c r="D151" s="46"/>
      <x:c r="E151" s="46"/>
      <x:c r="F151" s="46"/>
      <x:c r="G151" s="46"/>
      <x:c r="H151" s="46"/>
      <x:c r="I151" s="46"/>
      <x:c r="J151" s="46"/>
      <x:c r="K151" s="46"/>
      <x:c r="L151" s="46"/>
    </x:row>
    <x:row r="152">
      <x:c r="A152" s="46"/>
      <x:c r="B152" s="46"/>
      <x:c r="C152" s="46"/>
      <x:c r="D152" s="46"/>
      <x:c r="E152" s="46"/>
      <x:c r="F152" s="46"/>
      <x:c r="G152" s="46"/>
      <x:c r="H152" s="46"/>
      <x:c r="I152" s="46"/>
      <x:c r="J152" s="46"/>
      <x:c r="K152" s="46"/>
      <x:c r="L152" s="46"/>
    </x:row>
    <x:row r="153">
      <x:c r="A153" s="46"/>
      <x:c r="B153" s="46"/>
      <x:c r="C153" s="46"/>
      <x:c r="D153" s="46"/>
      <x:c r="E153" s="46"/>
      <x:c r="F153" s="46"/>
      <x:c r="G153" s="46"/>
      <x:c r="H153" s="46"/>
      <x:c r="I153" s="46"/>
      <x:c r="J153" s="46"/>
      <x:c r="K153" s="46"/>
      <x:c r="L153" s="46"/>
    </x:row>
    <x:row r="154">
      <x:c r="A154" s="46"/>
      <x:c r="B154" s="46"/>
      <x:c r="C154" s="46"/>
      <x:c r="D154" s="46"/>
      <x:c r="E154" s="46"/>
      <x:c r="F154" s="46"/>
      <x:c r="G154" s="46"/>
      <x:c r="H154" s="46"/>
      <x:c r="I154" s="46"/>
      <x:c r="J154" s="46"/>
      <x:c r="K154" s="46"/>
      <x:c r="L154" s="46"/>
    </x:row>
    <x:row r="155">
      <x:c r="A155" s="46"/>
      <x:c r="B155" s="46"/>
      <x:c r="C155" s="46"/>
      <x:c r="D155" s="46"/>
      <x:c r="E155" s="46"/>
      <x:c r="F155" s="46"/>
      <x:c r="G155" s="46"/>
      <x:c r="H155" s="46"/>
      <x:c r="I155" s="46"/>
      <x:c r="J155" s="46"/>
      <x:c r="K155" s="46"/>
      <x:c r="L155" s="46"/>
    </x:row>
    <x:row r="156">
      <x:c r="A156" s="46"/>
      <x:c r="B156" s="46"/>
      <x:c r="C156" s="46"/>
      <x:c r="D156" s="46"/>
      <x:c r="E156" s="46"/>
      <x:c r="F156" s="46"/>
      <x:c r="G156" s="46"/>
      <x:c r="H156" s="46"/>
      <x:c r="I156" s="46"/>
      <x:c r="J156" s="46"/>
      <x:c r="K156" s="46"/>
      <x:c r="L156" s="46"/>
    </x:row>
    <x:row r="157">
      <x:c r="A157" s="46"/>
      <x:c r="B157" s="46"/>
      <x:c r="C157" s="46"/>
      <x:c r="D157" s="46"/>
      <x:c r="E157" s="46"/>
      <x:c r="F157" s="46"/>
      <x:c r="G157" s="46"/>
      <x:c r="H157" s="46"/>
      <x:c r="I157" s="46"/>
      <x:c r="J157" s="46"/>
      <x:c r="K157" s="46"/>
      <x:c r="L157" s="46"/>
    </x:row>
    <x:row r="158">
      <x:c r="A158" s="46"/>
      <x:c r="B158" s="46"/>
      <x:c r="C158" s="46"/>
      <x:c r="D158" s="46"/>
      <x:c r="E158" s="46"/>
      <x:c r="F158" s="46"/>
      <x:c r="G158" s="46"/>
      <x:c r="H158" s="46"/>
      <x:c r="I158" s="46"/>
      <x:c r="J158" s="46"/>
      <x:c r="K158" s="46"/>
      <x:c r="L158" s="46"/>
    </x:row>
    <x:row r="159">
      <x:c r="A159" s="46"/>
      <x:c r="B159" s="46"/>
      <x:c r="C159" s="46"/>
      <x:c r="D159" s="46"/>
      <x:c r="E159" s="46"/>
      <x:c r="F159" s="46"/>
      <x:c r="G159" s="46"/>
      <x:c r="H159" s="46"/>
      <x:c r="I159" s="46"/>
      <x:c r="J159" s="46"/>
      <x:c r="K159" s="46"/>
      <x:c r="L159" s="46"/>
    </x:row>
    <x:row r="160">
      <x:c r="A160" s="46"/>
      <x:c r="B160" s="46"/>
      <x:c r="C160" s="46"/>
      <x:c r="D160" s="46"/>
      <x:c r="E160" s="46"/>
      <x:c r="F160" s="46"/>
      <x:c r="G160" s="46"/>
      <x:c r="H160" s="46"/>
      <x:c r="I160" s="46"/>
      <x:c r="J160" s="46"/>
      <x:c r="K160" s="46"/>
      <x:c r="L160" s="46"/>
    </x:row>
    <x:row r="161">
      <x:c r="A161" s="46"/>
      <x:c r="B161" s="46"/>
      <x:c r="C161" s="46"/>
      <x:c r="D161" s="46"/>
      <x:c r="E161" s="46"/>
      <x:c r="F161" s="46"/>
      <x:c r="G161" s="46"/>
      <x:c r="H161" s="46"/>
      <x:c r="I161" s="46"/>
      <x:c r="J161" s="46"/>
      <x:c r="K161" s="46"/>
      <x:c r="L161" s="46"/>
    </x:row>
    <x:row r="162">
      <x:c r="A162" s="46"/>
      <x:c r="B162" s="46"/>
      <x:c r="C162" s="46"/>
      <x:c r="D162" s="46"/>
      <x:c r="E162" s="46"/>
      <x:c r="F162" s="46"/>
      <x:c r="G162" s="46"/>
      <x:c r="H162" s="46"/>
      <x:c r="I162" s="46"/>
      <x:c r="J162" s="46"/>
      <x:c r="K162" s="46"/>
      <x:c r="L162" s="46"/>
    </x:row>
    <x:row r="163">
      <x:c r="A163" s="46"/>
      <x:c r="B163" s="46"/>
      <x:c r="C163" s="46"/>
      <x:c r="D163" s="46"/>
      <x:c r="E163" s="46"/>
      <x:c r="F163" s="46"/>
      <x:c r="G163" s="46"/>
      <x:c r="H163" s="46"/>
      <x:c r="I163" s="46"/>
      <x:c r="J163" s="46"/>
      <x:c r="K163" s="46"/>
      <x:c r="L163" s="46"/>
    </x:row>
    <x:row r="164">
      <x:c r="A164" s="46"/>
      <x:c r="B164" s="46"/>
      <x:c r="C164" s="46"/>
      <x:c r="D164" s="46"/>
      <x:c r="E164" s="46"/>
      <x:c r="F164" s="46"/>
      <x:c r="G164" s="46"/>
      <x:c r="H164" s="46"/>
      <x:c r="I164" s="46"/>
      <x:c r="J164" s="46"/>
      <x:c r="K164" s="46"/>
      <x:c r="L164" s="46"/>
    </x:row>
    <x:row r="165">
      <x:c r="A165" s="46"/>
      <x:c r="B165" s="46"/>
      <x:c r="C165" s="46"/>
      <x:c r="D165" s="46"/>
      <x:c r="E165" s="46"/>
      <x:c r="F165" s="46"/>
      <x:c r="G165" s="46"/>
      <x:c r="H165" s="46"/>
      <x:c r="I165" s="46"/>
      <x:c r="J165" s="46"/>
      <x:c r="K165" s="46"/>
      <x:c r="L165" s="46"/>
    </x:row>
    <x:row r="166">
      <x:c r="A166" s="46"/>
      <x:c r="B166" s="46"/>
      <x:c r="C166" s="46"/>
      <x:c r="D166" s="46"/>
      <x:c r="E166" s="46"/>
      <x:c r="F166" s="46"/>
      <x:c r="G166" s="46"/>
      <x:c r="H166" s="46"/>
      <x:c r="I166" s="46"/>
      <x:c r="J166" s="46"/>
      <x:c r="K166" s="46"/>
      <x:c r="L166" s="46"/>
    </x:row>
    <x:row r="167">
      <x:c r="A167" s="46"/>
      <x:c r="B167" s="46"/>
      <x:c r="C167" s="46"/>
      <x:c r="D167" s="46"/>
      <x:c r="E167" s="46"/>
      <x:c r="F167" s="46"/>
      <x:c r="G167" s="46"/>
      <x:c r="H167" s="46"/>
      <x:c r="I167" s="46"/>
      <x:c r="J167" s="46"/>
      <x:c r="K167" s="46"/>
      <x:c r="L167" s="46"/>
    </x:row>
    <x:row r="168">
      <x:c r="A168" s="46"/>
      <x:c r="B168" s="46"/>
      <x:c r="C168" s="46"/>
      <x:c r="D168" s="46"/>
      <x:c r="E168" s="46"/>
      <x:c r="F168" s="46"/>
      <x:c r="G168" s="46"/>
      <x:c r="H168" s="46"/>
      <x:c r="I168" s="46"/>
      <x:c r="J168" s="46"/>
      <x:c r="K168" s="46"/>
      <x:c r="L168" s="46"/>
    </x:row>
    <x:row r="169">
      <x:c r="A169" s="46"/>
      <x:c r="B169" s="46"/>
      <x:c r="C169" s="46"/>
      <x:c r="D169" s="46"/>
      <x:c r="E169" s="46"/>
      <x:c r="F169" s="46"/>
      <x:c r="G169" s="46"/>
      <x:c r="H169" s="46"/>
      <x:c r="I169" s="46"/>
      <x:c r="J169" s="46"/>
      <x:c r="K169" s="46"/>
      <x:c r="L169" s="46"/>
    </x:row>
    <x:row r="170">
      <x:c r="A170" s="46"/>
      <x:c r="B170" s="46"/>
      <x:c r="C170" s="46"/>
      <x:c r="D170" s="46"/>
      <x:c r="E170" s="46"/>
      <x:c r="F170" s="46"/>
      <x:c r="G170" s="46"/>
      <x:c r="H170" s="46"/>
      <x:c r="I170" s="46"/>
      <x:c r="J170" s="46"/>
      <x:c r="K170" s="46"/>
      <x:c r="L170" s="46"/>
    </x:row>
    <x:row r="171">
      <x:c r="A171" s="46"/>
      <x:c r="B171" s="46"/>
      <x:c r="C171" s="46"/>
      <x:c r="D171" s="46"/>
      <x:c r="E171" s="46"/>
      <x:c r="F171" s="46"/>
      <x:c r="G171" s="46"/>
      <x:c r="H171" s="46"/>
      <x:c r="I171" s="46"/>
      <x:c r="J171" s="46"/>
      <x:c r="K171" s="46"/>
      <x:c r="L171" s="46"/>
    </x:row>
    <x:row r="172">
      <x:c r="A172" s="46"/>
      <x:c r="B172" s="46"/>
      <x:c r="C172" s="46"/>
      <x:c r="D172" s="46"/>
      <x:c r="E172" s="46"/>
      <x:c r="F172" s="46"/>
      <x:c r="G172" s="46"/>
      <x:c r="H172" s="46"/>
      <x:c r="I172" s="46"/>
      <x:c r="J172" s="46"/>
      <x:c r="K172" s="46"/>
      <x:c r="L172" s="46"/>
    </x:row>
    <x:row r="173">
      <x:c r="A173" s="46"/>
      <x:c r="B173" s="46"/>
      <x:c r="C173" s="46"/>
      <x:c r="D173" s="46"/>
      <x:c r="E173" s="46"/>
      <x:c r="F173" s="46"/>
      <x:c r="G173" s="46"/>
      <x:c r="H173" s="46"/>
      <x:c r="I173" s="46"/>
      <x:c r="J173" s="46"/>
      <x:c r="K173" s="46"/>
      <x:c r="L173" s="46"/>
    </x:row>
    <x:row r="174">
      <x:c r="A174" s="46"/>
      <x:c r="B174" s="46"/>
      <x:c r="C174" s="46"/>
      <x:c r="D174" s="46"/>
      <x:c r="E174" s="46"/>
      <x:c r="F174" s="46"/>
      <x:c r="G174" s="46"/>
      <x:c r="H174" s="46"/>
      <x:c r="I174" s="46"/>
      <x:c r="J174" s="46"/>
      <x:c r="K174" s="46"/>
      <x:c r="L174" s="46"/>
    </x:row>
    <x:row r="175">
      <x:c r="A175" s="46"/>
      <x:c r="B175" s="46"/>
      <x:c r="C175" s="46"/>
      <x:c r="D175" s="46"/>
      <x:c r="E175" s="46"/>
      <x:c r="F175" s="46"/>
      <x:c r="G175" s="46"/>
      <x:c r="H175" s="46"/>
      <x:c r="I175" s="46"/>
      <x:c r="J175" s="46"/>
      <x:c r="K175" s="46"/>
      <x:c r="L175" s="46"/>
    </x:row>
    <x:row r="176">
      <x:c r="A176" s="46"/>
      <x:c r="B176" s="46"/>
      <x:c r="C176" s="46"/>
      <x:c r="D176" s="46"/>
      <x:c r="E176" s="46"/>
      <x:c r="F176" s="46"/>
      <x:c r="G176" s="46"/>
      <x:c r="H176" s="46"/>
      <x:c r="I176" s="46"/>
      <x:c r="J176" s="46"/>
      <x:c r="K176" s="46"/>
      <x:c r="L176" s="46"/>
    </x:row>
    <x:row r="177">
      <x:c r="A177" s="46"/>
      <x:c r="B177" s="46"/>
      <x:c r="C177" s="46"/>
      <x:c r="D177" s="46"/>
      <x:c r="E177" s="46"/>
      <x:c r="F177" s="46"/>
      <x:c r="G177" s="46"/>
      <x:c r="H177" s="46"/>
      <x:c r="I177" s="46"/>
      <x:c r="J177" s="46"/>
      <x:c r="K177" s="46"/>
      <x:c r="L177" s="46"/>
    </x:row>
    <x:row r="178">
      <x:c r="A178" s="46"/>
      <x:c r="B178" s="46"/>
      <x:c r="C178" s="46"/>
      <x:c r="D178" s="46"/>
      <x:c r="E178" s="46"/>
      <x:c r="F178" s="46"/>
      <x:c r="G178" s="46"/>
      <x:c r="H178" s="46"/>
      <x:c r="I178" s="46"/>
      <x:c r="J178" s="46"/>
      <x:c r="K178" s="46"/>
      <x:c r="L178" s="46"/>
    </x:row>
    <x:row r="179">
      <x:c r="A179" s="46"/>
      <x:c r="B179" s="46"/>
      <x:c r="C179" s="46"/>
      <x:c r="D179" s="46"/>
      <x:c r="E179" s="46"/>
      <x:c r="F179" s="46"/>
      <x:c r="G179" s="46"/>
      <x:c r="H179" s="46"/>
      <x:c r="I179" s="46"/>
      <x:c r="J179" s="46"/>
      <x:c r="K179" s="46"/>
      <x:c r="L179" s="46"/>
    </x:row>
    <x:row r="180">
      <x:c r="A180" s="46"/>
      <x:c r="B180" s="46"/>
      <x:c r="C180" s="46"/>
      <x:c r="D180" s="46"/>
      <x:c r="E180" s="46"/>
      <x:c r="F180" s="46"/>
      <x:c r="G180" s="46"/>
      <x:c r="H180" s="46"/>
      <x:c r="I180" s="46"/>
      <x:c r="J180" s="46"/>
      <x:c r="K180" s="46"/>
      <x:c r="L180" s="46"/>
    </x:row>
    <x:row r="181">
      <x:c r="A181" s="46"/>
      <x:c r="B181" s="46"/>
      <x:c r="C181" s="46"/>
      <x:c r="D181" s="46"/>
      <x:c r="E181" s="46"/>
      <x:c r="F181" s="46"/>
      <x:c r="G181" s="46"/>
      <x:c r="H181" s="46"/>
      <x:c r="I181" s="46"/>
      <x:c r="J181" s="46"/>
      <x:c r="K181" s="46"/>
      <x:c r="L181" s="46"/>
    </x:row>
    <x:row r="182">
      <x:c r="A182" s="46"/>
      <x:c r="B182" s="46"/>
      <x:c r="C182" s="46"/>
      <x:c r="D182" s="46"/>
      <x:c r="E182" s="46"/>
      <x:c r="F182" s="46"/>
      <x:c r="G182" s="46"/>
      <x:c r="H182" s="46"/>
      <x:c r="I182" s="46"/>
      <x:c r="J182" s="46"/>
      <x:c r="K182" s="46"/>
      <x:c r="L182" s="46"/>
    </x:row>
    <x:row r="183">
      <x:c r="A183" s="46"/>
      <x:c r="B183" s="46"/>
      <x:c r="C183" s="46"/>
      <x:c r="D183" s="46"/>
      <x:c r="E183" s="46"/>
      <x:c r="F183" s="46"/>
      <x:c r="G183" s="46"/>
      <x:c r="H183" s="46"/>
      <x:c r="I183" s="46"/>
      <x:c r="J183" s="46"/>
      <x:c r="K183" s="46"/>
      <x:c r="L183" s="46"/>
    </x:row>
    <x:row r="184">
      <x:c r="A184" s="46"/>
      <x:c r="B184" s="46"/>
      <x:c r="C184" s="46"/>
      <x:c r="D184" s="46"/>
      <x:c r="E184" s="46"/>
      <x:c r="F184" s="46"/>
      <x:c r="G184" s="46"/>
      <x:c r="H184" s="46"/>
      <x:c r="I184" s="46"/>
      <x:c r="J184" s="46"/>
      <x:c r="K184" s="46"/>
      <x:c r="L184" s="46"/>
    </x:row>
    <x:row r="185">
      <x:c r="A185" s="46"/>
      <x:c r="B185" s="46"/>
      <x:c r="C185" s="46"/>
      <x:c r="D185" s="46"/>
      <x:c r="E185" s="46"/>
      <x:c r="F185" s="46"/>
      <x:c r="G185" s="46"/>
      <x:c r="H185" s="46"/>
      <x:c r="I185" s="46"/>
      <x:c r="J185" s="46"/>
      <x:c r="K185" s="46"/>
      <x:c r="L185" s="46"/>
    </x:row>
    <x:row r="186">
      <x:c r="A186" s="46"/>
      <x:c r="B186" s="46"/>
      <x:c r="C186" s="46"/>
      <x:c r="D186" s="46"/>
      <x:c r="E186" s="46"/>
      <x:c r="F186" s="46"/>
      <x:c r="G186" s="46"/>
      <x:c r="H186" s="46"/>
      <x:c r="I186" s="46"/>
      <x:c r="J186" s="46"/>
      <x:c r="K186" s="46"/>
      <x:c r="L186" s="46"/>
    </x:row>
    <x:row r="187">
      <x:c r="A187" s="46"/>
      <x:c r="B187" s="46"/>
      <x:c r="C187" s="46"/>
      <x:c r="D187" s="46"/>
      <x:c r="E187" s="46"/>
      <x:c r="F187" s="46"/>
      <x:c r="G187" s="46"/>
      <x:c r="H187" s="46"/>
      <x:c r="I187" s="46"/>
      <x:c r="J187" s="46"/>
      <x:c r="K187" s="46"/>
      <x:c r="L187" s="46"/>
    </x:row>
    <x:row r="188">
      <x:c r="A188" s="46"/>
      <x:c r="B188" s="46"/>
      <x:c r="C188" s="46"/>
      <x:c r="D188" s="46"/>
      <x:c r="E188" s="46"/>
      <x:c r="F188" s="46"/>
      <x:c r="G188" s="46"/>
      <x:c r="H188" s="46"/>
      <x:c r="I188" s="46"/>
      <x:c r="J188" s="46"/>
      <x:c r="K188" s="46"/>
      <x:c r="L188" s="46"/>
    </x:row>
    <x:row r="189">
      <x:c r="A189" s="46"/>
      <x:c r="B189" s="46"/>
      <x:c r="C189" s="46"/>
      <x:c r="D189" s="46"/>
      <x:c r="E189" s="46"/>
      <x:c r="F189" s="46"/>
      <x:c r="G189" s="46"/>
      <x:c r="H189" s="46"/>
      <x:c r="I189" s="46"/>
      <x:c r="J189" s="46"/>
      <x:c r="K189" s="46"/>
      <x:c r="L189" s="46"/>
    </x:row>
    <x:row r="190">
      <x:c r="A190" s="46"/>
      <x:c r="B190" s="46"/>
      <x:c r="C190" s="46"/>
      <x:c r="D190" s="46"/>
      <x:c r="E190" s="46"/>
      <x:c r="F190" s="46"/>
      <x:c r="G190" s="46"/>
      <x:c r="H190" s="46"/>
      <x:c r="I190" s="46"/>
      <x:c r="J190" s="46"/>
      <x:c r="K190" s="46"/>
      <x:c r="L190" s="46"/>
    </x:row>
    <x:row r="191">
      <x:c r="A191" s="46"/>
      <x:c r="B191" s="46"/>
      <x:c r="C191" s="46"/>
      <x:c r="D191" s="46"/>
      <x:c r="E191" s="46"/>
      <x:c r="F191" s="46"/>
      <x:c r="G191" s="46"/>
      <x:c r="H191" s="46"/>
      <x:c r="I191" s="46"/>
      <x:c r="J191" s="46"/>
      <x:c r="K191" s="46"/>
      <x:c r="L191" s="46"/>
    </x:row>
    <x:row r="192">
      <x:c r="A192" s="46"/>
      <x:c r="B192" s="46"/>
      <x:c r="C192" s="46"/>
      <x:c r="D192" s="46"/>
      <x:c r="E192" s="46"/>
      <x:c r="F192" s="46"/>
      <x:c r="G192" s="46"/>
      <x:c r="H192" s="46"/>
      <x:c r="I192" s="46"/>
      <x:c r="J192" s="46"/>
      <x:c r="K192" s="46"/>
      <x:c r="L192" s="46"/>
    </x:row>
    <x:row r="193">
      <x:c r="A193" s="46"/>
      <x:c r="B193" s="46"/>
      <x:c r="C193" s="46"/>
      <x:c r="D193" s="46"/>
      <x:c r="E193" s="46"/>
      <x:c r="F193" s="46"/>
      <x:c r="G193" s="46"/>
      <x:c r="H193" s="46"/>
      <x:c r="I193" s="46"/>
      <x:c r="J193" s="46"/>
      <x:c r="K193" s="46"/>
      <x:c r="L193" s="46"/>
    </x:row>
    <x:row r="194">
      <x:c r="A194" s="46"/>
      <x:c r="B194" s="46"/>
      <x:c r="C194" s="46"/>
      <x:c r="D194" s="46"/>
      <x:c r="E194" s="46"/>
      <x:c r="F194" s="46"/>
      <x:c r="G194" s="46"/>
      <x:c r="H194" s="46"/>
      <x:c r="I194" s="46"/>
      <x:c r="J194" s="46"/>
      <x:c r="K194" s="46"/>
      <x:c r="L194" s="46"/>
    </x:row>
    <x:row r="195">
      <x:c r="A195" s="46"/>
      <x:c r="B195" s="46"/>
      <x:c r="C195" s="46"/>
      <x:c r="D195" s="46"/>
      <x:c r="E195" s="46"/>
      <x:c r="F195" s="46"/>
      <x:c r="G195" s="46"/>
      <x:c r="H195" s="46"/>
      <x:c r="I195" s="46"/>
      <x:c r="J195" s="46"/>
      <x:c r="K195" s="46"/>
      <x:c r="L195" s="46"/>
    </x:row>
    <x:row r="196">
      <x:c r="A196" s="46"/>
      <x:c r="B196" s="46"/>
      <x:c r="C196" s="46"/>
      <x:c r="D196" s="46"/>
      <x:c r="E196" s="46"/>
      <x:c r="F196" s="46"/>
      <x:c r="G196" s="46"/>
      <x:c r="H196" s="46"/>
      <x:c r="I196" s="46"/>
      <x:c r="J196" s="46"/>
      <x:c r="K196" s="46"/>
      <x:c r="L196" s="46"/>
    </x:row>
    <x:row r="197">
      <x:c r="A197" s="46"/>
      <x:c r="B197" s="46"/>
      <x:c r="C197" s="46"/>
      <x:c r="D197" s="46"/>
      <x:c r="E197" s="46"/>
      <x:c r="F197" s="46"/>
      <x:c r="G197" s="46"/>
      <x:c r="H197" s="46"/>
      <x:c r="I197" s="46"/>
      <x:c r="J197" s="46"/>
      <x:c r="K197" s="46"/>
      <x:c r="L197" s="46"/>
    </x:row>
    <x:row r="198">
      <x:c r="A198" s="46"/>
      <x:c r="B198" s="46"/>
      <x:c r="C198" s="46"/>
      <x:c r="D198" s="46"/>
      <x:c r="E198" s="46"/>
      <x:c r="F198" s="46"/>
      <x:c r="G198" s="46"/>
      <x:c r="H198" s="46"/>
      <x:c r="I198" s="46"/>
      <x:c r="J198" s="46"/>
      <x:c r="K198" s="46"/>
      <x:c r="L198" s="46"/>
    </x:row>
    <x:row r="199">
      <x:c r="A199" s="46"/>
      <x:c r="B199" s="46"/>
      <x:c r="C199" s="46"/>
      <x:c r="D199" s="46"/>
      <x:c r="E199" s="46"/>
      <x:c r="F199" s="46"/>
      <x:c r="G199" s="46"/>
      <x:c r="H199" s="46"/>
      <x:c r="I199" s="46"/>
      <x:c r="J199" s="46"/>
      <x:c r="K199" s="46"/>
      <x:c r="L199" s="46"/>
    </x:row>
    <x:row r="200">
      <x:c r="A200" s="46"/>
      <x:c r="B200" s="46"/>
      <x:c r="C200" s="46"/>
      <x:c r="D200" s="46"/>
      <x:c r="E200" s="46"/>
      <x:c r="F200" s="46"/>
      <x:c r="G200" s="46"/>
      <x:c r="H200" s="46"/>
      <x:c r="I200" s="46"/>
      <x:c r="J200" s="46"/>
      <x:c r="K200" s="46"/>
      <x:c r="L200" s="46"/>
    </x:row>
    <x:row r="201">
      <x:c r="A201" s="46"/>
      <x:c r="B201" s="46"/>
      <x:c r="C201" s="46"/>
      <x:c r="D201" s="46"/>
      <x:c r="E201" s="46"/>
      <x:c r="F201" s="46"/>
      <x:c r="G201" s="46"/>
      <x:c r="H201" s="46"/>
      <x:c r="I201" s="46"/>
      <x:c r="J201" s="46"/>
      <x:c r="K201" s="46"/>
      <x:c r="L201" s="46"/>
    </x:row>
    <x:row r="202">
      <x:c r="A202" s="46"/>
      <x:c r="B202" s="46"/>
      <x:c r="C202" s="46"/>
      <x:c r="D202" s="46"/>
      <x:c r="E202" s="46"/>
      <x:c r="F202" s="46"/>
      <x:c r="G202" s="46"/>
      <x:c r="H202" s="46"/>
      <x:c r="I202" s="46"/>
      <x:c r="J202" s="46"/>
      <x:c r="K202" s="46"/>
      <x:c r="L202" s="46"/>
    </x:row>
    <x:row r="203">
      <x:c r="A203" s="46"/>
      <x:c r="B203" s="46"/>
      <x:c r="C203" s="46"/>
      <x:c r="D203" s="46"/>
      <x:c r="E203" s="46"/>
      <x:c r="F203" s="46"/>
      <x:c r="G203" s="46"/>
      <x:c r="H203" s="46"/>
      <x:c r="I203" s="46"/>
      <x:c r="J203" s="46"/>
      <x:c r="K203" s="46"/>
      <x:c r="L203" s="46"/>
    </x:row>
    <x:row r="204">
      <x:c r="A204" s="46"/>
      <x:c r="B204" s="46"/>
      <x:c r="C204" s="46"/>
      <x:c r="D204" s="46"/>
      <x:c r="E204" s="46"/>
      <x:c r="F204" s="46"/>
      <x:c r="G204" s="46"/>
      <x:c r="H204" s="46"/>
      <x:c r="I204" s="46"/>
      <x:c r="J204" s="46"/>
      <x:c r="K204" s="46"/>
      <x:c r="L204" s="46"/>
    </x:row>
    <x:row r="205">
      <x:c r="A205" s="46"/>
      <x:c r="B205" s="46"/>
      <x:c r="C205" s="46"/>
      <x:c r="D205" s="46"/>
      <x:c r="E205" s="46"/>
      <x:c r="F205" s="46"/>
      <x:c r="G205" s="46"/>
      <x:c r="H205" s="46"/>
      <x:c r="I205" s="46"/>
      <x:c r="J205" s="46"/>
      <x:c r="K205" s="46"/>
      <x:c r="L205" s="46"/>
    </x:row>
    <x:row r="206">
      <x:c r="A206" s="46"/>
      <x:c r="B206" s="46"/>
      <x:c r="C206" s="46"/>
      <x:c r="D206" s="46"/>
      <x:c r="E206" s="46"/>
      <x:c r="F206" s="46"/>
      <x:c r="G206" s="46"/>
      <x:c r="H206" s="46"/>
      <x:c r="I206" s="46"/>
      <x:c r="J206" s="46"/>
      <x:c r="K206" s="46"/>
      <x:c r="L206" s="46"/>
    </x:row>
    <x:row r="207">
      <x:c r="A207" s="46"/>
      <x:c r="B207" s="46"/>
      <x:c r="C207" s="46"/>
      <x:c r="D207" s="46"/>
      <x:c r="E207" s="46"/>
      <x:c r="F207" s="46"/>
      <x:c r="G207" s="46"/>
      <x:c r="H207" s="46"/>
      <x:c r="I207" s="46"/>
      <x:c r="J207" s="46"/>
      <x:c r="K207" s="46"/>
      <x:c r="L207" s="46"/>
    </x:row>
    <x:row r="208">
      <x:c r="A208" s="46"/>
      <x:c r="B208" s="46"/>
      <x:c r="C208" s="46"/>
      <x:c r="D208" s="46"/>
      <x:c r="E208" s="46"/>
      <x:c r="F208" s="46"/>
      <x:c r="G208" s="46"/>
      <x:c r="H208" s="46"/>
      <x:c r="I208" s="46"/>
      <x:c r="J208" s="46"/>
      <x:c r="K208" s="46"/>
      <x:c r="L208" s="46"/>
    </x:row>
    <x:row r="209">
      <x:c r="A209" s="46"/>
      <x:c r="B209" s="46"/>
      <x:c r="C209" s="46"/>
      <x:c r="D209" s="46"/>
      <x:c r="E209" s="46"/>
      <x:c r="F209" s="46"/>
      <x:c r="G209" s="46"/>
      <x:c r="H209" s="46"/>
      <x:c r="I209" s="46"/>
      <x:c r="J209" s="46"/>
      <x:c r="K209" s="46"/>
      <x:c r="L209" s="46"/>
    </x:row>
    <x:row r="210">
      <x:c r="A210" s="46"/>
      <x:c r="B210" s="46"/>
      <x:c r="C210" s="46"/>
      <x:c r="D210" s="46"/>
      <x:c r="E210" s="46"/>
      <x:c r="F210" s="46"/>
      <x:c r="G210" s="46"/>
      <x:c r="H210" s="46"/>
      <x:c r="I210" s="46"/>
      <x:c r="J210" s="46"/>
      <x:c r="K210" s="46"/>
      <x:c r="L210" s="46"/>
    </x:row>
    <x:row r="211">
      <x:c r="A211" s="46"/>
      <x:c r="B211" s="46"/>
      <x:c r="C211" s="46"/>
      <x:c r="D211" s="46"/>
      <x:c r="E211" s="46"/>
      <x:c r="F211" s="46"/>
      <x:c r="G211" s="46"/>
      <x:c r="H211" s="46"/>
      <x:c r="I211" s="46"/>
      <x:c r="J211" s="46"/>
      <x:c r="K211" s="46"/>
      <x:c r="L211" s="46"/>
    </x:row>
    <x:row r="212">
      <x:c r="A212" s="46"/>
      <x:c r="B212" s="46"/>
      <x:c r="C212" s="46"/>
      <x:c r="D212" s="46"/>
      <x:c r="E212" s="46"/>
      <x:c r="F212" s="46"/>
      <x:c r="G212" s="46"/>
      <x:c r="H212" s="46"/>
      <x:c r="I212" s="46"/>
      <x:c r="J212" s="46"/>
      <x:c r="K212" s="46"/>
      <x:c r="L212" s="46"/>
    </x:row>
    <x:row r="213">
      <x:c r="A213" s="46"/>
      <x:c r="B213" s="46"/>
      <x:c r="C213" s="46"/>
      <x:c r="D213" s="46"/>
      <x:c r="E213" s="46"/>
      <x:c r="F213" s="46"/>
      <x:c r="G213" s="46"/>
      <x:c r="H213" s="46"/>
      <x:c r="I213" s="46"/>
      <x:c r="J213" s="46"/>
      <x:c r="K213" s="46"/>
      <x:c r="L213" s="46"/>
    </x:row>
    <x:row r="214">
      <x:c r="A214" s="46"/>
      <x:c r="B214" s="46"/>
      <x:c r="C214" s="46"/>
      <x:c r="D214" s="46"/>
      <x:c r="E214" s="46"/>
      <x:c r="F214" s="46"/>
      <x:c r="G214" s="46"/>
      <x:c r="H214" s="46"/>
      <x:c r="I214" s="46"/>
      <x:c r="J214" s="46"/>
      <x:c r="K214" s="46"/>
      <x:c r="L214" s="46"/>
    </x:row>
    <x:row r="215">
      <x:c r="A215" s="46"/>
      <x:c r="B215" s="46"/>
      <x:c r="C215" s="46"/>
      <x:c r="D215" s="46"/>
      <x:c r="E215" s="46"/>
      <x:c r="F215" s="46"/>
      <x:c r="G215" s="46"/>
      <x:c r="H215" s="46"/>
      <x:c r="I215" s="46"/>
      <x:c r="J215" s="46"/>
      <x:c r="K215" s="46"/>
      <x:c r="L215" s="46"/>
    </x:row>
    <x:row r="216">
      <x:c r="A216" s="46"/>
      <x:c r="B216" s="46"/>
      <x:c r="C216" s="46"/>
      <x:c r="D216" s="46"/>
      <x:c r="E216" s="46"/>
      <x:c r="F216" s="46"/>
      <x:c r="G216" s="46"/>
      <x:c r="H216" s="46"/>
      <x:c r="I216" s="46"/>
      <x:c r="J216" s="46"/>
      <x:c r="K216" s="46"/>
      <x:c r="L216" s="46"/>
    </x:row>
    <x:row r="217">
      <x:c r="A217" s="46"/>
      <x:c r="B217" s="46"/>
      <x:c r="C217" s="46"/>
      <x:c r="D217" s="46"/>
      <x:c r="E217" s="46"/>
      <x:c r="F217" s="46"/>
      <x:c r="G217" s="46"/>
      <x:c r="H217" s="46"/>
      <x:c r="I217" s="46"/>
      <x:c r="J217" s="46"/>
      <x:c r="K217" s="46"/>
      <x:c r="L217" s="46"/>
    </x:row>
    <x:row r="218">
      <x:c r="A218" s="46"/>
      <x:c r="B218" s="46"/>
      <x:c r="C218" s="46"/>
      <x:c r="D218" s="46"/>
      <x:c r="E218" s="46"/>
      <x:c r="F218" s="46"/>
      <x:c r="G218" s="46"/>
      <x:c r="H218" s="46"/>
      <x:c r="I218" s="46"/>
      <x:c r="J218" s="46"/>
      <x:c r="K218" s="46"/>
      <x:c r="L218" s="46"/>
    </x:row>
    <x:row r="219">
      <x:c r="A219" s="46"/>
      <x:c r="B219" s="46"/>
      <x:c r="C219" s="46"/>
      <x:c r="D219" s="46"/>
      <x:c r="E219" s="46"/>
      <x:c r="F219" s="46"/>
      <x:c r="G219" s="46"/>
      <x:c r="H219" s="46"/>
      <x:c r="I219" s="46"/>
      <x:c r="J219" s="46"/>
      <x:c r="K219" s="46"/>
      <x:c r="L219" s="46"/>
    </x:row>
    <x:row r="220">
      <x:c r="A220" s="46"/>
      <x:c r="B220" s="46"/>
      <x:c r="C220" s="46"/>
      <x:c r="D220" s="46"/>
      <x:c r="E220" s="46"/>
      <x:c r="F220" s="46"/>
      <x:c r="G220" s="46"/>
      <x:c r="H220" s="46"/>
      <x:c r="I220" s="46"/>
      <x:c r="J220" s="46"/>
      <x:c r="K220" s="46"/>
      <x:c r="L220" s="46"/>
    </x:row>
    <x:row r="221">
      <x:c r="A221" s="46"/>
      <x:c r="B221" s="46"/>
      <x:c r="C221" s="46"/>
      <x:c r="D221" s="46"/>
      <x:c r="E221" s="46"/>
      <x:c r="F221" s="46"/>
      <x:c r="G221" s="46"/>
      <x:c r="H221" s="46"/>
      <x:c r="I221" s="46"/>
      <x:c r="J221" s="46"/>
      <x:c r="K221" s="46"/>
      <x:c r="L221" s="46"/>
    </x:row>
    <x:row r="222">
      <x:c r="A222" s="46"/>
      <x:c r="B222" s="46"/>
      <x:c r="C222" s="46"/>
      <x:c r="D222" s="46"/>
      <x:c r="E222" s="46"/>
      <x:c r="F222" s="46"/>
      <x:c r="G222" s="46"/>
      <x:c r="H222" s="46"/>
      <x:c r="I222" s="46"/>
      <x:c r="J222" s="46"/>
      <x:c r="K222" s="46"/>
      <x:c r="L222" s="46"/>
    </x:row>
    <x:row r="223">
      <x:c r="A223" s="46"/>
      <x:c r="B223" s="46"/>
      <x:c r="C223" s="46"/>
      <x:c r="D223" s="46"/>
      <x:c r="E223" s="46"/>
      <x:c r="F223" s="46"/>
      <x:c r="G223" s="46"/>
      <x:c r="H223" s="46"/>
      <x:c r="I223" s="46"/>
      <x:c r="J223" s="46"/>
      <x:c r="K223" s="46"/>
      <x:c r="L223" s="46"/>
    </x:row>
    <x:row r="224">
      <x:c r="A224" s="46"/>
      <x:c r="B224" s="46"/>
      <x:c r="C224" s="46"/>
      <x:c r="D224" s="46"/>
      <x:c r="E224" s="46"/>
      <x:c r="F224" s="46"/>
      <x:c r="G224" s="46"/>
      <x:c r="H224" s="46"/>
      <x:c r="I224" s="46"/>
      <x:c r="J224" s="46"/>
      <x:c r="K224" s="46"/>
      <x:c r="L224" s="46"/>
    </x:row>
    <x:row r="225">
      <x:c r="A225" s="46"/>
      <x:c r="B225" s="46"/>
      <x:c r="C225" s="46"/>
      <x:c r="D225" s="46"/>
      <x:c r="E225" s="46"/>
      <x:c r="F225" s="46"/>
      <x:c r="G225" s="46"/>
      <x:c r="H225" s="46"/>
      <x:c r="I225" s="46"/>
      <x:c r="J225" s="46"/>
      <x:c r="K225" s="46"/>
      <x:c r="L225" s="46"/>
    </x:row>
    <x:row r="226">
      <x:c r="A226" s="46"/>
      <x:c r="B226" s="46"/>
      <x:c r="C226" s="46"/>
      <x:c r="D226" s="46"/>
      <x:c r="E226" s="46"/>
      <x:c r="F226" s="46"/>
      <x:c r="G226" s="46"/>
      <x:c r="H226" s="46"/>
      <x:c r="I226" s="46"/>
      <x:c r="J226" s="46"/>
      <x:c r="K226" s="46"/>
      <x:c r="L226" s="46"/>
    </x:row>
    <x:row r="227">
      <x:c r="A227" s="46"/>
      <x:c r="B227" s="46"/>
      <x:c r="C227" s="46"/>
      <x:c r="D227" s="46"/>
      <x:c r="E227" s="46"/>
      <x:c r="F227" s="46"/>
      <x:c r="G227" s="46"/>
      <x:c r="H227" s="46"/>
      <x:c r="I227" s="46"/>
      <x:c r="J227" s="46"/>
      <x:c r="K227" s="46"/>
      <x:c r="L227" s="46"/>
    </x:row>
    <x:row r="228">
      <x:c r="A228" s="46"/>
      <x:c r="B228" s="46"/>
      <x:c r="C228" s="46"/>
      <x:c r="D228" s="46"/>
      <x:c r="E228" s="46"/>
      <x:c r="F228" s="46"/>
      <x:c r="G228" s="46"/>
      <x:c r="H228" s="46"/>
      <x:c r="I228" s="46"/>
      <x:c r="J228" s="46"/>
      <x:c r="K228" s="46"/>
      <x:c r="L228" s="46"/>
    </x:row>
    <x:row r="229">
      <x:c r="A229" s="46"/>
      <x:c r="B229" s="46"/>
      <x:c r="C229" s="46"/>
      <x:c r="D229" s="46"/>
      <x:c r="E229" s="46"/>
      <x:c r="F229" s="46"/>
      <x:c r="G229" s="46"/>
      <x:c r="H229" s="46"/>
      <x:c r="I229" s="46"/>
      <x:c r="J229" s="46"/>
      <x:c r="K229" s="46"/>
      <x:c r="L229" s="46"/>
    </x:row>
    <x:row r="230">
      <x:c r="A230" s="46"/>
      <x:c r="B230" s="46"/>
      <x:c r="C230" s="46"/>
      <x:c r="D230" s="46"/>
      <x:c r="E230" s="46"/>
      <x:c r="F230" s="46"/>
      <x:c r="G230" s="46"/>
      <x:c r="H230" s="46"/>
      <x:c r="I230" s="46"/>
      <x:c r="J230" s="46"/>
      <x:c r="K230" s="46"/>
      <x:c r="L230" s="46"/>
    </x:row>
    <x:row r="231">
      <x:c r="A231" s="46"/>
      <x:c r="B231" s="46"/>
      <x:c r="C231" s="46"/>
      <x:c r="D231" s="46"/>
      <x:c r="E231" s="46"/>
      <x:c r="F231" s="46"/>
      <x:c r="G231" s="46"/>
      <x:c r="H231" s="46"/>
      <x:c r="I231" s="46"/>
      <x:c r="J231" s="46"/>
      <x:c r="K231" s="46"/>
      <x:c r="L231" s="46"/>
    </x:row>
    <x:row r="232">
      <x:c r="A232" s="46"/>
      <x:c r="B232" s="46"/>
      <x:c r="C232" s="46"/>
      <x:c r="D232" s="46"/>
      <x:c r="E232" s="46"/>
      <x:c r="F232" s="46"/>
      <x:c r="G232" s="46"/>
      <x:c r="H232" s="46"/>
      <x:c r="I232" s="46"/>
      <x:c r="J232" s="46"/>
      <x:c r="K232" s="46"/>
      <x:c r="L232" s="46"/>
    </x:row>
    <x:row r="233">
      <x:c r="A233" s="46"/>
      <x:c r="B233" s="46"/>
      <x:c r="C233" s="46"/>
      <x:c r="D233" s="46"/>
      <x:c r="E233" s="46"/>
      <x:c r="F233" s="46"/>
      <x:c r="G233" s="46"/>
      <x:c r="H233" s="46"/>
      <x:c r="I233" s="46"/>
      <x:c r="J233" s="46"/>
      <x:c r="K233" s="46"/>
      <x:c r="L233" s="46"/>
    </x:row>
    <x:row r="234">
      <x:c r="A234" s="46"/>
      <x:c r="B234" s="46"/>
      <x:c r="C234" s="46"/>
      <x:c r="D234" s="46"/>
      <x:c r="E234" s="46"/>
      <x:c r="F234" s="46"/>
      <x:c r="G234" s="46"/>
      <x:c r="H234" s="46"/>
      <x:c r="I234" s="46"/>
      <x:c r="J234" s="46"/>
      <x:c r="K234" s="46"/>
      <x:c r="L234" s="46"/>
    </x:row>
    <x:row r="235">
      <x:c r="A235" s="46"/>
      <x:c r="B235" s="46"/>
      <x:c r="C235" s="46"/>
      <x:c r="D235" s="46"/>
      <x:c r="E235" s="46"/>
      <x:c r="F235" s="46"/>
      <x:c r="G235" s="46"/>
      <x:c r="H235" s="46"/>
      <x:c r="I235" s="46"/>
      <x:c r="J235" s="46"/>
      <x:c r="K235" s="46"/>
      <x:c r="L235" s="46"/>
    </x:row>
    <x:row r="236">
      <x:c r="A236" s="46"/>
      <x:c r="B236" s="46"/>
      <x:c r="C236" s="46"/>
      <x:c r="D236" s="46"/>
      <x:c r="E236" s="46"/>
      <x:c r="F236" s="46"/>
      <x:c r="G236" s="46"/>
      <x:c r="H236" s="46"/>
      <x:c r="I236" s="46"/>
      <x:c r="J236" s="46"/>
      <x:c r="K236" s="46"/>
      <x:c r="L236" s="46"/>
    </x:row>
    <x:row r="237">
      <x:c r="A237" s="46"/>
      <x:c r="B237" s="46"/>
      <x:c r="C237" s="46"/>
      <x:c r="D237" s="46"/>
      <x:c r="E237" s="46"/>
      <x:c r="F237" s="46"/>
      <x:c r="G237" s="46"/>
      <x:c r="H237" s="46"/>
      <x:c r="I237" s="46"/>
      <x:c r="J237" s="46"/>
      <x:c r="K237" s="46"/>
      <x:c r="L237" s="46"/>
    </x:row>
    <x:row r="238">
      <x:c r="A238" s="46"/>
      <x:c r="B238" s="46"/>
      <x:c r="C238" s="46"/>
      <x:c r="D238" s="46"/>
      <x:c r="E238" s="46"/>
      <x:c r="F238" s="46"/>
      <x:c r="G238" s="46"/>
      <x:c r="H238" s="46"/>
      <x:c r="I238" s="46"/>
      <x:c r="J238" s="46"/>
      <x:c r="K238" s="46"/>
      <x:c r="L238" s="46"/>
    </x:row>
    <x:row r="239">
      <x:c r="A239" s="46"/>
      <x:c r="B239" s="46"/>
      <x:c r="C239" s="46"/>
      <x:c r="D239" s="46"/>
      <x:c r="E239" s="46"/>
      <x:c r="F239" s="46"/>
      <x:c r="G239" s="46"/>
      <x:c r="H239" s="46"/>
      <x:c r="I239" s="46"/>
      <x:c r="J239" s="46"/>
      <x:c r="K239" s="46"/>
      <x:c r="L239" s="46"/>
    </x:row>
    <x:row r="240">
      <x:c r="A240" s="46"/>
      <x:c r="B240" s="46"/>
      <x:c r="C240" s="46"/>
      <x:c r="D240" s="46"/>
      <x:c r="E240" s="46"/>
      <x:c r="F240" s="46"/>
      <x:c r="G240" s="46"/>
      <x:c r="H240" s="46"/>
      <x:c r="I240" s="46"/>
      <x:c r="J240" s="46"/>
      <x:c r="K240" s="46"/>
      <x:c r="L240" s="46"/>
    </x:row>
    <x:row r="241">
      <x:c r="A241" s="46"/>
      <x:c r="B241" s="46"/>
      <x:c r="C241" s="46"/>
      <x:c r="D241" s="46"/>
      <x:c r="E241" s="46"/>
      <x:c r="F241" s="46"/>
      <x:c r="G241" s="46"/>
      <x:c r="H241" s="46"/>
      <x:c r="I241" s="46"/>
      <x:c r="J241" s="46"/>
      <x:c r="K241" s="46"/>
      <x:c r="L241" s="46"/>
    </x:row>
    <x:row r="242">
      <x:c r="A242" s="46"/>
      <x:c r="B242" s="46"/>
      <x:c r="C242" s="46"/>
      <x:c r="D242" s="46"/>
      <x:c r="E242" s="46"/>
      <x:c r="F242" s="46"/>
      <x:c r="G242" s="46"/>
      <x:c r="H242" s="46"/>
      <x:c r="I242" s="46"/>
      <x:c r="J242" s="46"/>
      <x:c r="K242" s="46"/>
      <x:c r="L242" s="46"/>
    </x:row>
    <x:row r="243">
      <x:c r="A243" s="46"/>
      <x:c r="B243" s="46"/>
      <x:c r="C243" s="46"/>
      <x:c r="D243" s="46"/>
      <x:c r="E243" s="46"/>
      <x:c r="F243" s="46"/>
      <x:c r="G243" s="46"/>
      <x:c r="H243" s="46"/>
      <x:c r="I243" s="46"/>
      <x:c r="J243" s="46"/>
      <x:c r="K243" s="46"/>
      <x:c r="L243" s="46"/>
    </x:row>
    <x:row r="244">
      <x:c r="A244" s="46"/>
      <x:c r="B244" s="46"/>
      <x:c r="C244" s="46"/>
      <x:c r="D244" s="46"/>
      <x:c r="E244" s="46"/>
      <x:c r="F244" s="46"/>
      <x:c r="G244" s="46"/>
      <x:c r="H244" s="46"/>
      <x:c r="I244" s="46"/>
      <x:c r="J244" s="46"/>
      <x:c r="K244" s="46"/>
      <x:c r="L244" s="46"/>
    </x:row>
    <x:row r="245">
      <x:c r="A245" s="46"/>
      <x:c r="B245" s="46"/>
      <x:c r="C245" s="46"/>
      <x:c r="D245" s="46"/>
      <x:c r="E245" s="46"/>
      <x:c r="F245" s="46"/>
      <x:c r="G245" s="46"/>
      <x:c r="H245" s="46"/>
      <x:c r="I245" s="46"/>
      <x:c r="J245" s="46"/>
      <x:c r="K245" s="46"/>
      <x:c r="L245" s="46"/>
    </x:row>
    <x:row r="246">
      <x:c r="A246" s="46"/>
      <x:c r="B246" s="46"/>
      <x:c r="C246" s="46"/>
      <x:c r="D246" s="46"/>
      <x:c r="E246" s="46"/>
      <x:c r="F246" s="46"/>
      <x:c r="G246" s="46"/>
      <x:c r="H246" s="46"/>
      <x:c r="I246" s="46"/>
      <x:c r="J246" s="46"/>
      <x:c r="K246" s="46"/>
      <x:c r="L246" s="46"/>
    </x:row>
    <x:row r="247">
      <x:c r="A247" s="46"/>
      <x:c r="B247" s="46"/>
      <x:c r="C247" s="46"/>
      <x:c r="D247" s="46"/>
      <x:c r="E247" s="46"/>
      <x:c r="F247" s="46"/>
      <x:c r="G247" s="46"/>
      <x:c r="H247" s="46"/>
      <x:c r="I247" s="46"/>
      <x:c r="J247" s="46"/>
      <x:c r="K247" s="46"/>
      <x:c r="L247" s="46"/>
    </x:row>
    <x:row r="248">
      <x:c r="A248" s="46"/>
      <x:c r="B248" s="46"/>
      <x:c r="C248" s="46"/>
      <x:c r="D248" s="46"/>
      <x:c r="E248" s="46"/>
      <x:c r="F248" s="46"/>
      <x:c r="G248" s="46"/>
      <x:c r="H248" s="46"/>
      <x:c r="I248" s="46"/>
      <x:c r="J248" s="46"/>
      <x:c r="K248" s="46"/>
      <x:c r="L248" s="46"/>
    </x:row>
    <x:row r="249">
      <x:c r="A249" s="46"/>
      <x:c r="B249" s="46"/>
      <x:c r="C249" s="46"/>
      <x:c r="D249" s="46"/>
      <x:c r="E249" s="46"/>
      <x:c r="F249" s="46"/>
      <x:c r="G249" s="46"/>
      <x:c r="H249" s="46"/>
      <x:c r="I249" s="46"/>
      <x:c r="J249" s="46"/>
      <x:c r="K249" s="46"/>
      <x:c r="L249" s="46"/>
    </x:row>
    <x:row r="250">
      <x:c r="A250" s="46"/>
      <x:c r="B250" s="46"/>
      <x:c r="C250" s="46"/>
      <x:c r="D250" s="46"/>
      <x:c r="E250" s="46"/>
      <x:c r="F250" s="46"/>
      <x:c r="G250" s="46"/>
      <x:c r="H250" s="46"/>
      <x:c r="I250" s="46"/>
      <x:c r="J250" s="46"/>
      <x:c r="K250" s="46"/>
      <x:c r="L250" s="46"/>
    </x:row>
    <x:row r="251">
      <x:c r="A251" s="46"/>
      <x:c r="B251" s="46"/>
      <x:c r="C251" s="46"/>
      <x:c r="D251" s="46"/>
      <x:c r="E251" s="46"/>
      <x:c r="F251" s="46"/>
      <x:c r="G251" s="46"/>
      <x:c r="H251" s="46"/>
      <x:c r="I251" s="46"/>
      <x:c r="J251" s="46"/>
      <x:c r="K251" s="46"/>
      <x:c r="L251" s="46"/>
    </x:row>
    <x:row r="252">
      <x:c r="A252" s="46"/>
      <x:c r="B252" s="46"/>
      <x:c r="C252" s="46"/>
      <x:c r="D252" s="46"/>
      <x:c r="E252" s="46"/>
      <x:c r="F252" s="46"/>
      <x:c r="G252" s="46"/>
      <x:c r="H252" s="46"/>
      <x:c r="I252" s="46"/>
      <x:c r="J252" s="46"/>
      <x:c r="K252" s="46"/>
      <x:c r="L252" s="46"/>
    </x:row>
    <x:row r="253">
      <x:c r="A253" s="46"/>
      <x:c r="B253" s="46"/>
      <x:c r="C253" s="46"/>
      <x:c r="D253" s="46"/>
      <x:c r="E253" s="46"/>
      <x:c r="F253" s="46"/>
      <x:c r="G253" s="46"/>
      <x:c r="H253" s="46"/>
      <x:c r="I253" s="46"/>
      <x:c r="J253" s="46"/>
      <x:c r="K253" s="46"/>
      <x:c r="L253" s="46"/>
    </x:row>
    <x:row r="254">
      <x:c r="A254" s="46"/>
      <x:c r="B254" s="46"/>
      <x:c r="C254" s="46"/>
      <x:c r="D254" s="46"/>
      <x:c r="E254" s="46"/>
      <x:c r="F254" s="46"/>
      <x:c r="G254" s="46"/>
      <x:c r="H254" s="46"/>
      <x:c r="I254" s="46"/>
      <x:c r="J254" s="46"/>
      <x:c r="K254" s="46"/>
      <x:c r="L254" s="46"/>
    </x:row>
    <x:row r="255">
      <x:c r="A255" s="46"/>
      <x:c r="B255" s="46"/>
      <x:c r="C255" s="46"/>
      <x:c r="D255" s="46"/>
      <x:c r="E255" s="46"/>
      <x:c r="F255" s="46"/>
      <x:c r="G255" s="46"/>
      <x:c r="H255" s="46"/>
      <x:c r="I255" s="46"/>
      <x:c r="J255" s="46"/>
      <x:c r="K255" s="46"/>
      <x:c r="L255" s="46"/>
    </x:row>
    <x:row r="256">
      <x:c r="A256" s="46"/>
      <x:c r="B256" s="46"/>
      <x:c r="C256" s="46"/>
      <x:c r="D256" s="46"/>
      <x:c r="E256" s="46"/>
      <x:c r="F256" s="46"/>
      <x:c r="G256" s="46"/>
      <x:c r="H256" s="46"/>
      <x:c r="I256" s="46"/>
      <x:c r="J256" s="46"/>
      <x:c r="K256" s="46"/>
      <x:c r="L256" s="46"/>
    </x:row>
    <x:row r="257">
      <x:c r="A257" s="46"/>
      <x:c r="B257" s="46"/>
      <x:c r="C257" s="46"/>
      <x:c r="D257" s="46"/>
      <x:c r="E257" s="46"/>
      <x:c r="F257" s="46"/>
      <x:c r="G257" s="46"/>
      <x:c r="H257" s="46"/>
      <x:c r="I257" s="46"/>
      <x:c r="J257" s="46"/>
      <x:c r="K257" s="46"/>
      <x:c r="L257" s="46"/>
    </x:row>
    <x:row r="258">
      <x:c r="A258" s="46"/>
      <x:c r="B258" s="46"/>
      <x:c r="C258" s="46"/>
      <x:c r="D258" s="46"/>
      <x:c r="E258" s="46"/>
      <x:c r="F258" s="46"/>
      <x:c r="G258" s="46"/>
      <x:c r="H258" s="46"/>
      <x:c r="I258" s="46"/>
      <x:c r="J258" s="46"/>
      <x:c r="K258" s="46"/>
      <x:c r="L258" s="46"/>
    </x:row>
    <x:row r="259">
      <x:c r="A259" s="46"/>
      <x:c r="B259" s="46"/>
      <x:c r="C259" s="46"/>
      <x:c r="D259" s="46"/>
      <x:c r="E259" s="46"/>
      <x:c r="F259" s="46"/>
      <x:c r="G259" s="46"/>
      <x:c r="H259" s="46"/>
      <x:c r="I259" s="46"/>
      <x:c r="J259" s="46"/>
      <x:c r="K259" s="46"/>
      <x:c r="L259" s="46"/>
    </x:row>
    <x:row r="260">
      <x:c r="A260" s="46"/>
      <x:c r="B260" s="46"/>
      <x:c r="C260" s="46"/>
      <x:c r="D260" s="46"/>
      <x:c r="E260" s="46"/>
      <x:c r="F260" s="46"/>
      <x:c r="G260" s="46"/>
      <x:c r="H260" s="46"/>
      <x:c r="I260" s="46"/>
      <x:c r="J260" s="46"/>
      <x:c r="K260" s="46"/>
      <x:c r="L260" s="46"/>
    </x:row>
    <x:row r="261">
      <x:c r="A261" s="46"/>
      <x:c r="B261" s="46"/>
      <x:c r="C261" s="46"/>
      <x:c r="D261" s="46"/>
      <x:c r="E261" s="46"/>
      <x:c r="F261" s="46"/>
      <x:c r="G261" s="46"/>
      <x:c r="H261" s="46"/>
      <x:c r="I261" s="46"/>
      <x:c r="J261" s="46"/>
      <x:c r="K261" s="46"/>
      <x:c r="L261" s="46"/>
    </x:row>
    <x:row r="262">
      <x:c r="A262" s="46"/>
      <x:c r="B262" s="46"/>
      <x:c r="C262" s="46"/>
      <x:c r="D262" s="46"/>
      <x:c r="E262" s="46"/>
      <x:c r="F262" s="46"/>
      <x:c r="G262" s="46"/>
      <x:c r="H262" s="46"/>
      <x:c r="I262" s="46"/>
      <x:c r="J262" s="46"/>
      <x:c r="K262" s="46"/>
      <x:c r="L262" s="46"/>
    </x:row>
    <x:row r="263">
      <x:c r="A263" s="46"/>
      <x:c r="B263" s="46"/>
      <x:c r="C263" s="46"/>
      <x:c r="D263" s="46"/>
      <x:c r="E263" s="46"/>
      <x:c r="F263" s="46"/>
      <x:c r="G263" s="46"/>
      <x:c r="H263" s="46"/>
      <x:c r="I263" s="46"/>
      <x:c r="J263" s="46"/>
      <x:c r="K263" s="46"/>
      <x:c r="L263" s="46"/>
    </x:row>
    <x:row r="264">
      <x:c r="A264" s="46"/>
      <x:c r="B264" s="46"/>
      <x:c r="C264" s="46"/>
      <x:c r="D264" s="46"/>
      <x:c r="E264" s="46"/>
      <x:c r="F264" s="46"/>
      <x:c r="G264" s="46"/>
      <x:c r="H264" s="46"/>
      <x:c r="I264" s="46"/>
      <x:c r="J264" s="46"/>
      <x:c r="K264" s="46"/>
      <x:c r="L264" s="46"/>
    </x:row>
    <x:row r="265">
      <x:c r="A265" s="46"/>
      <x:c r="B265" s="46"/>
      <x:c r="C265" s="46"/>
      <x:c r="D265" s="46"/>
      <x:c r="E265" s="46"/>
      <x:c r="F265" s="46"/>
      <x:c r="G265" s="46"/>
      <x:c r="H265" s="46"/>
      <x:c r="I265" s="46"/>
      <x:c r="J265" s="46"/>
      <x:c r="K265" s="46"/>
      <x:c r="L265" s="46"/>
    </x:row>
    <x:row r="266">
      <x:c r="A266" s="46"/>
      <x:c r="B266" s="46"/>
      <x:c r="C266" s="46"/>
      <x:c r="D266" s="46"/>
      <x:c r="E266" s="46"/>
      <x:c r="F266" s="46"/>
      <x:c r="G266" s="46"/>
      <x:c r="H266" s="46"/>
      <x:c r="I266" s="46"/>
      <x:c r="J266" s="46"/>
      <x:c r="K266" s="46"/>
      <x:c r="L266" s="46"/>
    </x:row>
    <x:row r="267">
      <x:c r="A267" s="46"/>
      <x:c r="B267" s="46"/>
      <x:c r="C267" s="46"/>
      <x:c r="D267" s="46"/>
      <x:c r="E267" s="46"/>
      <x:c r="F267" s="46"/>
      <x:c r="G267" s="46"/>
      <x:c r="H267" s="46"/>
      <x:c r="I267" s="46"/>
      <x:c r="J267" s="46"/>
      <x:c r="K267" s="46"/>
      <x:c r="L267" s="46"/>
    </x:row>
    <x:row r="268">
      <x:c r="A268" s="46"/>
      <x:c r="B268" s="46"/>
      <x:c r="C268" s="46"/>
      <x:c r="D268" s="46"/>
      <x:c r="E268" s="46"/>
      <x:c r="F268" s="46"/>
      <x:c r="G268" s="46"/>
      <x:c r="H268" s="46"/>
      <x:c r="I268" s="46"/>
      <x:c r="J268" s="46"/>
      <x:c r="K268" s="46"/>
      <x:c r="L268" s="46"/>
    </x:row>
    <x:row r="269">
      <x:c r="A269" s="46"/>
      <x:c r="B269" s="46"/>
      <x:c r="C269" s="46"/>
      <x:c r="D269" s="46"/>
      <x:c r="E269" s="46"/>
      <x:c r="F269" s="46"/>
      <x:c r="G269" s="46"/>
      <x:c r="H269" s="46"/>
      <x:c r="I269" s="46"/>
      <x:c r="J269" s="46"/>
      <x:c r="K269" s="46"/>
      <x:c r="L269" s="46"/>
    </x:row>
    <x:row r="270">
      <x:c r="A270" s="46"/>
      <x:c r="B270" s="46"/>
      <x:c r="C270" s="46"/>
      <x:c r="D270" s="46"/>
      <x:c r="E270" s="46"/>
      <x:c r="F270" s="46"/>
      <x:c r="G270" s="46"/>
      <x:c r="H270" s="46"/>
      <x:c r="I270" s="46"/>
      <x:c r="J270" s="46"/>
      <x:c r="K270" s="46"/>
      <x:c r="L270" s="46"/>
    </x:row>
    <x:row r="271">
      <x:c r="A271" s="46"/>
      <x:c r="B271" s="46"/>
      <x:c r="C271" s="46"/>
      <x:c r="D271" s="46"/>
      <x:c r="E271" s="46"/>
      <x:c r="F271" s="46"/>
      <x:c r="G271" s="46"/>
      <x:c r="H271" s="46"/>
      <x:c r="I271" s="46"/>
      <x:c r="J271" s="46"/>
      <x:c r="K271" s="46"/>
      <x:c r="L271" s="46"/>
    </x:row>
    <x:row r="272">
      <x:c r="A272" s="46"/>
      <x:c r="B272" s="46"/>
      <x:c r="C272" s="46"/>
      <x:c r="D272" s="46"/>
      <x:c r="E272" s="46"/>
      <x:c r="F272" s="46"/>
      <x:c r="G272" s="46"/>
      <x:c r="H272" s="46"/>
      <x:c r="I272" s="46"/>
      <x:c r="J272" s="46"/>
      <x:c r="K272" s="46"/>
      <x:c r="L272" s="46"/>
    </x:row>
    <x:row r="273">
      <x:c r="A273" s="46"/>
      <x:c r="B273" s="46"/>
      <x:c r="C273" s="46"/>
      <x:c r="D273" s="46"/>
      <x:c r="E273" s="46"/>
      <x:c r="F273" s="46"/>
      <x:c r="G273" s="46"/>
      <x:c r="H273" s="46"/>
      <x:c r="I273" s="46"/>
      <x:c r="J273" s="46"/>
      <x:c r="K273" s="46"/>
      <x:c r="L273" s="46"/>
    </x:row>
    <x:row r="274">
      <x:c r="A274" s="46"/>
      <x:c r="B274" s="46"/>
      <x:c r="C274" s="46"/>
      <x:c r="D274" s="46"/>
      <x:c r="E274" s="46"/>
      <x:c r="F274" s="46"/>
      <x:c r="G274" s="46"/>
      <x:c r="H274" s="46"/>
      <x:c r="I274" s="46"/>
      <x:c r="J274" s="46"/>
      <x:c r="K274" s="46"/>
      <x:c r="L274" s="46"/>
    </x:row>
    <x:row r="275">
      <x:c r="A275" s="46"/>
      <x:c r="B275" s="46"/>
      <x:c r="C275" s="46"/>
      <x:c r="D275" s="46"/>
      <x:c r="E275" s="46"/>
      <x:c r="F275" s="46"/>
      <x:c r="G275" s="46"/>
      <x:c r="H275" s="46"/>
      <x:c r="I275" s="46"/>
      <x:c r="J275" s="46"/>
      <x:c r="K275" s="46"/>
      <x:c r="L275" s="46"/>
    </x:row>
    <x:row r="276">
      <x:c r="A276" s="46"/>
      <x:c r="B276" s="46"/>
      <x:c r="C276" s="46"/>
      <x:c r="D276" s="46"/>
      <x:c r="E276" s="46"/>
      <x:c r="F276" s="46"/>
      <x:c r="G276" s="46"/>
      <x:c r="H276" s="46"/>
      <x:c r="I276" s="46"/>
      <x:c r="J276" s="46"/>
      <x:c r="K276" s="46"/>
      <x:c r="L276" s="46"/>
    </x:row>
    <x:row r="277">
      <x:c r="A277" s="46"/>
      <x:c r="B277" s="46"/>
      <x:c r="C277" s="46"/>
      <x:c r="D277" s="46"/>
      <x:c r="E277" s="46"/>
      <x:c r="F277" s="46"/>
      <x:c r="G277" s="46"/>
      <x:c r="H277" s="46"/>
      <x:c r="I277" s="46"/>
      <x:c r="J277" s="46"/>
      <x:c r="K277" s="46"/>
      <x:c r="L277" s="46"/>
    </x:row>
    <x:row r="278">
      <x:c r="A278" s="46"/>
      <x:c r="B278" s="46"/>
      <x:c r="C278" s="46"/>
      <x:c r="D278" s="46"/>
      <x:c r="E278" s="46"/>
      <x:c r="F278" s="46"/>
      <x:c r="G278" s="46"/>
      <x:c r="H278" s="46"/>
      <x:c r="I278" s="46"/>
      <x:c r="J278" s="46"/>
      <x:c r="K278" s="46"/>
      <x:c r="L278" s="46"/>
    </x:row>
    <x:row r="279">
      <x:c r="A279" s="46"/>
      <x:c r="B279" s="46"/>
      <x:c r="C279" s="46"/>
      <x:c r="D279" s="46"/>
      <x:c r="E279" s="46"/>
      <x:c r="F279" s="46"/>
      <x:c r="G279" s="46"/>
      <x:c r="H279" s="46"/>
      <x:c r="I279" s="46"/>
      <x:c r="J279" s="46"/>
      <x:c r="K279" s="46"/>
      <x:c r="L279" s="46"/>
    </x:row>
    <x:row r="280">
      <x:c r="A280" s="46"/>
      <x:c r="B280" s="46"/>
      <x:c r="C280" s="46"/>
      <x:c r="D280" s="46"/>
      <x:c r="E280" s="46"/>
      <x:c r="F280" s="46"/>
      <x:c r="G280" s="46"/>
      <x:c r="H280" s="46"/>
      <x:c r="I280" s="46"/>
      <x:c r="J280" s="46"/>
      <x:c r="K280" s="46"/>
      <x:c r="L280" s="46"/>
    </x:row>
    <x:row r="281">
      <x:c r="A281" s="46"/>
      <x:c r="B281" s="46"/>
      <x:c r="C281" s="46"/>
      <x:c r="D281" s="46"/>
      <x:c r="E281" s="46"/>
      <x:c r="F281" s="46"/>
      <x:c r="G281" s="46"/>
      <x:c r="H281" s="46"/>
      <x:c r="I281" s="46"/>
      <x:c r="J281" s="46"/>
      <x:c r="K281" s="46"/>
      <x:c r="L281" s="46"/>
    </x:row>
    <x:row r="282">
      <x:c r="A282" s="46"/>
      <x:c r="B282" s="46"/>
      <x:c r="C282" s="46"/>
      <x:c r="D282" s="46"/>
      <x:c r="E282" s="46"/>
      <x:c r="F282" s="46"/>
      <x:c r="G282" s="46"/>
      <x:c r="H282" s="46"/>
      <x:c r="I282" s="46"/>
      <x:c r="J282" s="46"/>
      <x:c r="K282" s="46"/>
      <x:c r="L282" s="46"/>
    </x:row>
    <x:row r="283">
      <x:c r="A283" s="46"/>
      <x:c r="B283" s="46"/>
      <x:c r="C283" s="46"/>
      <x:c r="D283" s="46"/>
      <x:c r="E283" s="46"/>
      <x:c r="F283" s="46"/>
      <x:c r="G283" s="46"/>
      <x:c r="H283" s="46"/>
      <x:c r="I283" s="46"/>
      <x:c r="J283" s="46"/>
      <x:c r="K283" s="46"/>
      <x:c r="L283" s="46"/>
    </x:row>
    <x:row r="284">
      <x:c r="A284" s="46"/>
      <x:c r="B284" s="46"/>
      <x:c r="C284" s="46"/>
      <x:c r="D284" s="46"/>
      <x:c r="E284" s="46"/>
      <x:c r="F284" s="46"/>
      <x:c r="G284" s="46"/>
      <x:c r="H284" s="46"/>
      <x:c r="I284" s="46"/>
      <x:c r="J284" s="46"/>
      <x:c r="K284" s="46"/>
      <x:c r="L284" s="46"/>
    </x:row>
    <x:row r="285">
      <x:c r="A285" s="46"/>
      <x:c r="B285" s="46"/>
      <x:c r="C285" s="46"/>
      <x:c r="D285" s="46"/>
      <x:c r="E285" s="46"/>
      <x:c r="F285" s="46"/>
      <x:c r="G285" s="46"/>
      <x:c r="H285" s="46"/>
      <x:c r="I285" s="46"/>
      <x:c r="J285" s="46"/>
      <x:c r="K285" s="46"/>
      <x:c r="L285" s="46"/>
    </x:row>
    <x:row r="286">
      <x:c r="A286" s="46"/>
      <x:c r="B286" s="46"/>
      <x:c r="C286" s="46"/>
      <x:c r="D286" s="46"/>
      <x:c r="E286" s="46"/>
      <x:c r="F286" s="46"/>
      <x:c r="G286" s="46"/>
      <x:c r="H286" s="46"/>
      <x:c r="I286" s="46"/>
      <x:c r="J286" s="46"/>
      <x:c r="K286" s="46"/>
      <x:c r="L286" s="46"/>
    </x:row>
    <x:row r="287">
      <x:c r="A287" s="46"/>
      <x:c r="B287" s="46"/>
      <x:c r="C287" s="46"/>
      <x:c r="D287" s="46"/>
      <x:c r="E287" s="46"/>
      <x:c r="F287" s="46"/>
      <x:c r="G287" s="46"/>
      <x:c r="H287" s="46"/>
      <x:c r="I287" s="46"/>
      <x:c r="J287" s="46"/>
      <x:c r="K287" s="46"/>
      <x:c r="L287" s="46"/>
    </x:row>
    <x:row r="288">
      <x:c r="A288" s="46"/>
      <x:c r="B288" s="46"/>
      <x:c r="C288" s="46"/>
      <x:c r="D288" s="46"/>
      <x:c r="E288" s="46"/>
      <x:c r="F288" s="46"/>
      <x:c r="G288" s="46"/>
      <x:c r="H288" s="46"/>
      <x:c r="I288" s="46"/>
      <x:c r="J288" s="46"/>
      <x:c r="K288" s="46"/>
      <x:c r="L288" s="46"/>
    </x:row>
    <x:row r="289">
      <x:c r="A289" s="46"/>
      <x:c r="B289" s="46"/>
      <x:c r="C289" s="46"/>
      <x:c r="D289" s="46"/>
      <x:c r="E289" s="46"/>
      <x:c r="F289" s="46"/>
      <x:c r="G289" s="46"/>
      <x:c r="H289" s="46"/>
      <x:c r="I289" s="46"/>
      <x:c r="J289" s="46"/>
      <x:c r="K289" s="46"/>
      <x:c r="L289" s="46"/>
    </x:row>
    <x:row r="290">
      <x:c r="A290" s="46"/>
      <x:c r="B290" s="46"/>
      <x:c r="C290" s="46"/>
      <x:c r="D290" s="46"/>
      <x:c r="E290" s="46"/>
      <x:c r="F290" s="46"/>
      <x:c r="G290" s="46"/>
      <x:c r="H290" s="46"/>
      <x:c r="I290" s="46"/>
      <x:c r="J290" s="46"/>
      <x:c r="K290" s="46"/>
      <x:c r="L290" s="46"/>
    </x:row>
    <x:row r="291">
      <x:c r="A291" s="46"/>
      <x:c r="B291" s="46"/>
      <x:c r="C291" s="46"/>
      <x:c r="D291" s="46"/>
      <x:c r="E291" s="46"/>
      <x:c r="F291" s="46"/>
      <x:c r="G291" s="46"/>
      <x:c r="H291" s="46"/>
      <x:c r="I291" s="46"/>
      <x:c r="J291" s="46"/>
      <x:c r="K291" s="46"/>
      <x:c r="L291" s="46"/>
    </x:row>
    <x:row r="292">
      <x:c r="A292" s="46"/>
      <x:c r="B292" s="46"/>
      <x:c r="C292" s="46"/>
      <x:c r="D292" s="46"/>
      <x:c r="E292" s="46"/>
      <x:c r="F292" s="46"/>
      <x:c r="G292" s="46"/>
      <x:c r="H292" s="46"/>
      <x:c r="I292" s="46"/>
      <x:c r="J292" s="46"/>
      <x:c r="K292" s="46"/>
      <x:c r="L292" s="46"/>
    </x:row>
    <x:row r="293">
      <x:c r="A293" s="46"/>
      <x:c r="B293" s="46"/>
      <x:c r="C293" s="46"/>
      <x:c r="D293" s="46"/>
      <x:c r="E293" s="46"/>
      <x:c r="F293" s="46"/>
      <x:c r="G293" s="46"/>
      <x:c r="H293" s="46"/>
      <x:c r="I293" s="46"/>
      <x:c r="J293" s="46"/>
      <x:c r="K293" s="46"/>
      <x:c r="L293" s="46"/>
    </x:row>
    <x:row r="294">
      <x:c r="A294" s="46"/>
      <x:c r="B294" s="46"/>
      <x:c r="C294" s="46"/>
      <x:c r="D294" s="46"/>
      <x:c r="E294" s="46"/>
      <x:c r="F294" s="46"/>
      <x:c r="G294" s="46"/>
      <x:c r="H294" s="46"/>
      <x:c r="I294" s="46"/>
      <x:c r="J294" s="46"/>
      <x:c r="K294" s="46"/>
      <x:c r="L294" s="46"/>
    </x:row>
    <x:row r="295">
      <x:c r="A295" s="46"/>
      <x:c r="B295" s="46"/>
      <x:c r="C295" s="46"/>
      <x:c r="D295" s="46"/>
      <x:c r="E295" s="46"/>
      <x:c r="F295" s="46"/>
      <x:c r="G295" s="46"/>
      <x:c r="H295" s="46"/>
      <x:c r="I295" s="46"/>
      <x:c r="J295" s="46"/>
      <x:c r="K295" s="46"/>
      <x:c r="L295" s="46"/>
    </x:row>
    <x:row r="296">
      <x:c r="A296" s="46"/>
      <x:c r="B296" s="46"/>
      <x:c r="C296" s="46"/>
      <x:c r="D296" s="46"/>
      <x:c r="E296" s="46"/>
      <x:c r="F296" s="46"/>
      <x:c r="G296" s="46"/>
      <x:c r="H296" s="46"/>
      <x:c r="I296" s="46"/>
      <x:c r="J296" s="46"/>
      <x:c r="K296" s="46"/>
      <x:c r="L296" s="46"/>
    </x:row>
    <x:row r="297">
      <x:c r="A297" s="46"/>
      <x:c r="B297" s="46"/>
      <x:c r="C297" s="46"/>
      <x:c r="D297" s="46"/>
      <x:c r="E297" s="46"/>
      <x:c r="F297" s="46"/>
      <x:c r="G297" s="46"/>
      <x:c r="H297" s="46"/>
      <x:c r="I297" s="46"/>
      <x:c r="J297" s="46"/>
      <x:c r="K297" s="46"/>
      <x:c r="L297" s="46"/>
    </x:row>
    <x:row r="298">
      <x:c r="A298" s="46"/>
      <x:c r="B298" s="46"/>
      <x:c r="C298" s="46"/>
      <x:c r="D298" s="46"/>
      <x:c r="E298" s="46"/>
      <x:c r="F298" s="46"/>
      <x:c r="G298" s="46"/>
      <x:c r="H298" s="46"/>
      <x:c r="I298" s="46"/>
      <x:c r="J298" s="46"/>
      <x:c r="K298" s="46"/>
      <x:c r="L298" s="46"/>
    </x:row>
    <x:row r="299">
      <x:c r="A299" s="46"/>
      <x:c r="B299" s="46"/>
      <x:c r="C299" s="46"/>
      <x:c r="D299" s="46"/>
      <x:c r="E299" s="46"/>
      <x:c r="F299" s="46"/>
      <x:c r="G299" s="46"/>
      <x:c r="H299" s="46"/>
      <x:c r="I299" s="46"/>
      <x:c r="J299" s="46"/>
      <x:c r="K299" s="46"/>
      <x:c r="L299" s="46"/>
    </x:row>
    <x:row r="300">
      <x:c r="A300" s="46"/>
      <x:c r="B300" s="46"/>
      <x:c r="C300" s="46"/>
      <x:c r="D300" s="46"/>
      <x:c r="E300" s="46"/>
      <x:c r="F300" s="46"/>
      <x:c r="G300" s="46"/>
      <x:c r="H300" s="46"/>
      <x:c r="I300" s="46"/>
      <x:c r="J300" s="46"/>
      <x:c r="K300" s="46"/>
      <x:c r="L300" s="46"/>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7" hidden="0" customWidth="1"/>
    <x:col min="2" max="2" width="34" hidden="0" customWidth="1"/>
    <x:col min="3" max="3" width="16" hidden="0" customWidth="1"/>
    <x:col min="4" max="4" width="24" hidden="0" customWidth="1"/>
    <x:col min="5" max="5" width="29" hidden="0" customWidth="1"/>
    <x:col min="6" max="6" width="50" hidden="0" customWidth="1"/>
    <x:col min="7" max="7" width="30" hidden="0" customWidth="1"/>
    <x:col min="8" max="8" width="13" hidden="0" customWidth="1"/>
    <x:col min="9" max="9" width="13" hidden="0" customWidth="1"/>
    <x:col min="10" max="10" width="15" hidden="0" customWidth="1"/>
    <x:col min="11" max="11" width="14" hidden="0" customWidth="1"/>
    <x:col min="12" max="12" width="28" hidden="0" customWidth="1"/>
    <x:col min="13" max="13" width="28" hidden="0" customWidth="1"/>
    <x:col min="14" max="14" width="52" hidden="0" customWidth="1"/>
  </x:cols>
  <x:sheetData>
    <x:row r="1" ht="34" customHeight="1">
      <x:c r="A1" s="61" t="str">
        <x:v>compound_id</x:v>
      </x:c>
      <x:c r="B1" s="61" t="str">
        <x:v>canonical_name</x:v>
      </x:c>
      <x:c r="C1" s="61" t="str">
        <x:v>cas</x:v>
      </x:c>
      <x:c r="D1" s="61" t="str">
        <x:v>compound_group</x:v>
      </x:c>
      <x:c r="E1" s="61" t="str">
        <x:v>identity_source_type</x:v>
      </x:c>
      <x:c r="F1" s="61" t="str">
        <x:v>identity_source_url</x:v>
      </x:c>
      <x:c r="G1" s="61" t="str">
        <x:v>identity_status</x:v>
      </x:c>
      <x:c r="H1" s="61" t="str">
        <x:v>raw_state</x:v>
      </x:c>
      <x:c r="I1" s="61" t="str">
        <x:v>cooked_state</x:v>
      </x:c>
      <x:c r="J1" s="61" t="str">
        <x:v>roasted_state</x:v>
      </x:c>
      <x:c r="K1" s="61" t="str">
        <x:v>smoked_state</x:v>
      </x:c>
      <x:c r="L1" s="61" t="str">
        <x:v>legacy_turkey_claim</x:v>
      </x:c>
      <x:c r="M1" s="61" t="str">
        <x:v>promotion_status</x:v>
      </x:c>
      <x:c r="N1" s="61" t="str">
        <x:v>registry_notes</x:v>
      </x:c>
    </x:row>
    <x:row r="2">
      <x:c r="A2" s="46" t="str">
        <x:v>TURKEY-CMP-001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yes</x:v>
      </x:c>
      <x:c r="I2" s="46" t="str"/>
      <x:c r="J2" s="46" t="str"/>
      <x:c r="K2" s="46" t="str"/>
      <x:c r="L2" s="46" t="str"/>
      <x:c r="M2" s="46" t="str">
        <x:v>eligible_for_turkey_pilot</x:v>
      </x:c>
      <x:c r="N2" s="46" t="str"/>
    </x:row>
    <x:row r="3">
      <x:c r="A3" s="46" t="str">
        <x:v>TURKEY-CMP-002</x:v>
      </x:c>
      <x:c r="B3" s="46" t="str">
        <x:v>heptanal</x:v>
      </x:c>
      <x:c r="C3" s="46" t="str">
        <x:v>111-71-7</x:v>
      </x:c>
      <x:c r="D3" s="46" t="str">
        <x:v>Carbonyls, aldehydes</x:v>
      </x:c>
      <x:c r="E3" s="46" t="str">
        <x:v>institutional chemical registry</x:v>
      </x:c>
      <x:c r="F3" s="46" t="str">
        <x:v>https://pubchem.ncbi.nlm.nih.gov/compound/Heptanal</x:v>
      </x:c>
      <x:c r="G3" s="46" t="str">
        <x:v>verified</x:v>
      </x:c>
      <x:c r="H3" s="46" t="str">
        <x:v>yes</x:v>
      </x:c>
      <x:c r="I3" s="46" t="str"/>
      <x:c r="J3" s="46" t="str"/>
      <x:c r="K3" s="46" t="str"/>
      <x:c r="L3" s="46" t="str"/>
      <x:c r="M3" s="46" t="str">
        <x:v>eligible_for_turkey_pilot</x:v>
      </x:c>
      <x:c r="N3" s="46" t="str"/>
    </x:row>
    <x:row r="4">
      <x:c r="A4" s="46" t="str">
        <x:v>TURKEY-CMP-003</x:v>
      </x:c>
      <x:c r="B4" s="46" t="str">
        <x:v>dimethyl trisulfide</x:v>
      </x:c>
      <x:c r="C4" s="46" t="str">
        <x:v>3658-80-8</x:v>
      </x:c>
      <x:c r="D4" s="46" t="str">
        <x:v>Sulfur compounds</x:v>
      </x:c>
      <x:c r="E4" s="46" t="str">
        <x:v>institutional chemical registry</x:v>
      </x:c>
      <x:c r="F4" s="46" t="str">
        <x:v>https://pubchem.ncbi.nlm.nih.gov/compound/Dimethyl-trisulfide</x:v>
      </x:c>
      <x:c r="G4" s="46" t="str">
        <x:v>verified</x:v>
      </x:c>
      <x:c r="H4" s="46" t="str">
        <x:v>yes</x:v>
      </x:c>
      <x:c r="I4" s="46" t="str"/>
      <x:c r="J4" s="46" t="str"/>
      <x:c r="K4" s="46" t="str"/>
      <x:c r="L4" s="46" t="str"/>
      <x:c r="M4" s="46" t="str">
        <x:v>eligible_for_turkey_pilot</x:v>
      </x:c>
      <x:c r="N4" s="46" t="str"/>
    </x:row>
    <x:row r="5">
      <x:c r="A5" s="46" t="str">
        <x:v>TURKEY-CMP-004</x:v>
      </x:c>
      <x:c r="B5" s="46" t="str">
        <x:v>1-octen-3-one</x:v>
      </x:c>
      <x:c r="C5" s="46" t="str">
        <x:v>4312-99-6</x:v>
      </x:c>
      <x:c r="D5" s="46" t="str">
        <x:v>Carbonyls, ketones</x:v>
      </x:c>
      <x:c r="E5" s="46" t="str">
        <x:v>institutional chemical registry</x:v>
      </x:c>
      <x:c r="F5" s="46" t="str">
        <x:v>https://pubchem.ncbi.nlm.nih.gov/compound/1-octen-3-one</x:v>
      </x:c>
      <x:c r="G5" s="46" t="str">
        <x:v>verified</x:v>
      </x:c>
      <x:c r="H5" s="46" t="str">
        <x:v>yes</x:v>
      </x:c>
      <x:c r="I5" s="46" t="str">
        <x:v>yes</x:v>
      </x:c>
      <x:c r="J5" s="46" t="str"/>
      <x:c r="K5" s="46" t="str"/>
      <x:c r="L5" s="46" t="str"/>
      <x:c r="M5" s="46" t="str">
        <x:v>eligible_for_turkey_pilot</x:v>
      </x:c>
      <x:c r="N5" s="46" t="str"/>
    </x:row>
    <x:row r="6">
      <x:c r="A6" s="46" t="str">
        <x:v>TURKEY-CMP-005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x:v>
      </x:c>
      <x:c r="I6" s="46" t="str"/>
      <x:c r="J6" s="46" t="str"/>
      <x:c r="K6" s="46" t="str"/>
      <x:c r="L6" s="46" t="str"/>
      <x:c r="M6" s="46" t="str">
        <x:v>eligible_for_turkey_pilot</x:v>
      </x:c>
      <x:c r="N6" s="46" t="str"/>
    </x:row>
    <x:row r="7">
      <x:c r="A7" s="46" t="str">
        <x:v>TURKEY-CMP-006</x:v>
      </x:c>
      <x:c r="B7" s="46" t="str">
        <x:v>octanal</x:v>
      </x:c>
      <x:c r="C7" s="46" t="str">
        <x:v>124-13-0</x:v>
      </x:c>
      <x:c r="D7" s="46" t="str">
        <x:v>Carbonyls, aldehydes</x:v>
      </x:c>
      <x:c r="E7" s="46" t="str">
        <x:v>institutional chemical registry</x:v>
      </x:c>
      <x:c r="F7" s="46" t="str">
        <x:v>https://pubchem.ncbi.nlm.nih.gov/compound/Octanal</x:v>
      </x:c>
      <x:c r="G7" s="46" t="str">
        <x:v>verified</x:v>
      </x:c>
      <x:c r="H7" s="46" t="str">
        <x:v>yes</x:v>
      </x:c>
      <x:c r="I7" s="46" t="str"/>
      <x:c r="J7" s="46" t="str"/>
      <x:c r="K7" s="46" t="str"/>
      <x:c r="L7" s="46" t="str"/>
      <x:c r="M7" s="46" t="str">
        <x:v>eligible_for_turkey_pilot</x:v>
      </x:c>
      <x:c r="N7" s="46" t="str"/>
    </x:row>
    <x:row r="8">
      <x:c r="A8" s="46" t="str">
        <x:v>TURKEY-CMP-007</x:v>
      </x:c>
      <x:c r="B8" s="46" t="str">
        <x:v>(E)-2-octenal</x:v>
      </x:c>
      <x:c r="C8" s="46" t="str">
        <x:v>2548-87-0</x:v>
      </x:c>
      <x:c r="D8" s="46" t="str">
        <x:v>Carbonyls, aldehydes</x:v>
      </x:c>
      <x:c r="E8" s="46" t="str">
        <x:v>institutional chemical registry</x:v>
      </x:c>
      <x:c r="F8" s="46" t="str">
        <x:v>https://pubchem.ncbi.nlm.nih.gov/compound/2-Octenal</x:v>
      </x:c>
      <x:c r="G8" s="46" t="str">
        <x:v>verified</x:v>
      </x:c>
      <x:c r="H8" s="46" t="str">
        <x:v>yes</x:v>
      </x:c>
      <x:c r="I8" s="46" t="str"/>
      <x:c r="J8" s="46" t="str"/>
      <x:c r="K8" s="46" t="str"/>
      <x:c r="L8" s="46" t="str"/>
      <x:c r="M8" s="46" t="str">
        <x:v>eligible_for_turkey_pilot</x:v>
      </x:c>
      <x:c r="N8" s="46" t="str"/>
    </x:row>
    <x:row r="9">
      <x:c r="A9" s="46" t="str">
        <x:v>TURKEY-CMP-008</x:v>
      </x:c>
      <x:c r="B9" s="46" t="str">
        <x:v>nonanal</x:v>
      </x:c>
      <x:c r="C9" s="46" t="str">
        <x:v>124-19-6</x:v>
      </x:c>
      <x:c r="D9" s="46" t="str">
        <x:v>Carbonyls, aldehydes</x:v>
      </x:c>
      <x:c r="E9" s="46" t="str">
        <x:v>institutional chemical registry</x:v>
      </x:c>
      <x:c r="F9" s="46" t="str">
        <x:v>https://pubchem.ncbi.nlm.nih.gov/compound/Nonanal</x:v>
      </x:c>
      <x:c r="G9" s="46" t="str">
        <x:v>verified</x:v>
      </x:c>
      <x:c r="H9" s="46" t="str">
        <x:v>yes</x:v>
      </x:c>
      <x:c r="I9" s="46" t="str"/>
      <x:c r="J9" s="46" t="str"/>
      <x:c r="K9" s="46" t="str"/>
      <x:c r="L9" s="46" t="str"/>
      <x:c r="M9" s="46" t="str">
        <x:v>eligible_for_turkey_pilot</x:v>
      </x:c>
      <x:c r="N9" s="46" t="str"/>
    </x:row>
    <x:row r="10">
      <x:c r="A10" s="46" t="str">
        <x:v>TURKEY-CMP-009</x:v>
      </x:c>
      <x:c r="B10" s="46" t="str">
        <x:v>decanal</x:v>
      </x:c>
      <x:c r="C10" s="46" t="str">
        <x:v>112-31-2</x:v>
      </x:c>
      <x:c r="D10" s="46" t="str">
        <x:v>Carbonyls, aldehydes</x:v>
      </x:c>
      <x:c r="E10" s="46" t="str">
        <x:v>institutional chemical registry</x:v>
      </x:c>
      <x:c r="F10" s="46" t="str">
        <x:v>https://pubchem.ncbi.nlm.nih.gov/compound/Decanal</x:v>
      </x:c>
      <x:c r="G10" s="46" t="str">
        <x:v>verified</x:v>
      </x:c>
      <x:c r="H10" s="46" t="str">
        <x:v>yes</x:v>
      </x:c>
      <x:c r="I10" s="46" t="str"/>
      <x:c r="J10" s="46" t="str"/>
      <x:c r="K10" s="46" t="str"/>
      <x:c r="L10" s="46" t="str"/>
      <x:c r="M10" s="46" t="str">
        <x:v>eligible_for_turkey_pilot</x:v>
      </x:c>
      <x:c r="N10" s="46" t="str"/>
    </x:row>
    <x:row r="11">
      <x:c r="A11" s="46" t="str">
        <x:v>TURKEY-CMP-010</x:v>
      </x:c>
      <x:c r="B11" s="46" t="str">
        <x:v>(E,E)-2,4-decadienal</x:v>
      </x:c>
      <x:c r="C11" s="46" t="str">
        <x:v>25152-84-5</x:v>
      </x:c>
      <x:c r="D11" s="46" t="str">
        <x:v>Carbonyls, aldehydes</x:v>
      </x:c>
      <x:c r="E11" s="46" t="str">
        <x:v>institutional chemical registry</x:v>
      </x:c>
      <x:c r="F11" s="46" t="str">
        <x:v>https://pubchem.ncbi.nlm.nih.gov/compound/2_4-Decadienal</x:v>
      </x:c>
      <x:c r="G11" s="46" t="str">
        <x:v>verified</x:v>
      </x:c>
      <x:c r="H11" s="46" t="str"/>
      <x:c r="I11" s="46" t="str">
        <x:v>yes</x:v>
      </x:c>
      <x:c r="J11" s="46" t="str"/>
      <x:c r="K11" s="46" t="str"/>
      <x:c r="L11" s="46" t="str"/>
      <x:c r="M11" s="46" t="str">
        <x:v>eligible_for_turkey_pilot</x:v>
      </x:c>
      <x:c r="N11" s="46" t="str"/>
    </x:row>
    <x:row r="12">
      <x:c r="A12" s="46" t="str">
        <x:v>TURKEY-CMP-011</x:v>
      </x:c>
      <x:c r="B12" s="46" t="str">
        <x:v>(E,Z)-2,6-nonadienal</x:v>
      </x:c>
      <x:c r="C12" s="46" t="str">
        <x:v>557-48-2</x:v>
      </x:c>
      <x:c r="D12" s="46" t="str">
        <x:v>Carbonyls, aldehydes</x:v>
      </x:c>
      <x:c r="E12" s="46" t="str">
        <x:v>institutional chemical registry</x:v>
      </x:c>
      <x:c r="F12" s="46" t="str">
        <x:v>https://precision.fda.gov/uniisearch/srs/unii/93E895X03C</x:v>
      </x:c>
      <x:c r="G12" s="46" t="str">
        <x:v>verified</x:v>
      </x:c>
      <x:c r="H12" s="46" t="str"/>
      <x:c r="I12" s="46" t="str">
        <x:v>yes</x:v>
      </x:c>
      <x:c r="J12" s="46" t="str"/>
      <x:c r="K12" s="46" t="str"/>
      <x:c r="L12" s="46" t="str"/>
      <x:c r="M12" s="46" t="str">
        <x:v>eligible_for_turkey_pilot</x:v>
      </x:c>
      <x:c r="N12" s="46" t="str">
        <x:v>FDA GSRS identity used for the E,Z isomer.</x:v>
      </x:c>
    </x:row>
    <x:row r="13">
      <x:c r="A13" s="46" t="str">
        <x:v>TURKEY-CMP-012</x:v>
      </x:c>
      <x:c r="B13" s="46" t="str">
        <x:v>2-pentylthiophene</x:v>
      </x:c>
      <x:c r="C13" s="46" t="str">
        <x:v>4861-58-9</x:v>
      </x:c>
      <x:c r="D13" s="46" t="str">
        <x:v>Sulfur compounds</x:v>
      </x:c>
      <x:c r="E13" s="46" t="str">
        <x:v>institutional chemical registry</x:v>
      </x:c>
      <x:c r="F13" s="46" t="str">
        <x:v>https://pubchem.ncbi.nlm.nih.gov/compound/2-Pentylthiophene</x:v>
      </x:c>
      <x:c r="G13" s="46" t="str">
        <x:v>verified</x:v>
      </x:c>
      <x:c r="H13" s="46" t="str"/>
      <x:c r="I13" s="46" t="str">
        <x:v>yes</x:v>
      </x:c>
      <x:c r="J13" s="46" t="str"/>
      <x:c r="K13" s="46" t="str"/>
      <x:c r="L13" s="46" t="str"/>
      <x:c r="M13" s="46" t="str">
        <x:v>eligible_for_turkey_pilot</x:v>
      </x:c>
      <x:c r="N13" s="46" t="str"/>
    </x:row>
    <x:row r="14">
      <x:c r="A14" s="46" t="str">
        <x:v>TURKEY-LEG-001</x:v>
      </x:c>
      <x:c r="B14" s="46" t="str">
        <x:v>ethylbenzene</x:v>
      </x:c>
      <x:c r="C14" s="46" t="str">
        <x:v>100-41-4</x:v>
      </x:c>
      <x:c r="D14" s="46" t="str">
        <x:v>Hydrocarbons</x:v>
      </x:c>
      <x:c r="E14" s="46" t="str">
        <x:v>institutional chemical registry</x:v>
      </x:c>
      <x:c r="F14" s="46" t="str">
        <x:v>https://pubchem.ncbi.nlm.nih.gov/compound/Ethylbenzene</x:v>
      </x:c>
      <x:c r="G14" s="46" t="str">
        <x:v>identity_verified_occurrence_unverified</x:v>
      </x:c>
      <x:c r="H14" s="46" t="str"/>
      <x:c r="I14" s="46" t="str"/>
      <x:c r="J14" s="46" t="str"/>
      <x:c r="K14" s="46" t="str"/>
      <x:c r="L14" s="46" t="str">
        <x:v>legacy: in turkey, not chicken</x:v>
      </x:c>
      <x:c r="M14" s="46" t="str">
        <x:v>hold_legacy_unverified</x:v>
      </x:c>
      <x:c r="N14" s="46" t="str">
        <x:v>No primary turkey-meat occurrence source found in this provenance pass. Do not promote.</x:v>
      </x:c>
    </x:row>
    <x:row r="15">
      <x:c r="A15" s="46" t="str">
        <x:v>TURKEY-LEG-002</x:v>
      </x:c>
      <x:c r="B15" s="46" t="str">
        <x:v>3-methylbenzaldehyde</x:v>
      </x:c>
      <x:c r="C15" s="46" t="str">
        <x:v>620-23-5</x:v>
      </x:c>
      <x:c r="D15" s="46" t="str">
        <x:v>Carbonyls, aldehydes</x:v>
      </x:c>
      <x:c r="E15" s="46" t="str">
        <x:v>institutional chemical registry</x:v>
      </x:c>
      <x:c r="F15" s="46" t="str">
        <x:v>https://pubchem.ncbi.nlm.nih.gov/compound/3-Methylbenzaldehyde</x:v>
      </x:c>
      <x:c r="G15" s="46" t="str">
        <x:v>identity_verified_occurrence_unverified</x:v>
      </x:c>
      <x:c r="H15" s="46" t="str"/>
      <x:c r="I15" s="46" t="str"/>
      <x:c r="J15" s="46" t="str"/>
      <x:c r="K15" s="46" t="str"/>
      <x:c r="L15" s="46" t="str">
        <x:v>legacy: in turkey, not chicken</x:v>
      </x:c>
      <x:c r="M15" s="46" t="str">
        <x:v>hold_legacy_unverified</x:v>
      </x:c>
      <x:c r="N15" s="46" t="str">
        <x:v>A secondary RIFM/VCF reference reports mixed tolualdehydes in turkey, but not enough to verify 3-methylbenzaldehyde specifically as a turkey-not-chicken marker.</x:v>
      </x:c>
    </x:row>
    <x:row r="16">
      <x:c r="A16" s="46"/>
      <x:c r="B16" s="46"/>
      <x:c r="C16" s="46"/>
      <x:c r="D16" s="46"/>
      <x:c r="E16" s="46"/>
      <x:c r="F16" s="46"/>
      <x:c r="G16" s="46"/>
      <x:c r="H16" s="46"/>
      <x:c r="I16" s="46"/>
      <x:c r="J16" s="46"/>
      <x:c r="K16" s="46"/>
      <x:c r="L16" s="46"/>
      <x:c r="M16" s="46"/>
      <x:c r="N16" s="46"/>
    </x:row>
    <x:row r="17">
      <x:c r="A17" s="46"/>
      <x:c r="B17" s="46"/>
      <x:c r="C17" s="46"/>
      <x:c r="D17" s="46"/>
      <x:c r="E17" s="46"/>
      <x:c r="F17" s="46"/>
      <x:c r="G17" s="46"/>
      <x:c r="H17" s="46"/>
      <x:c r="I17" s="46"/>
      <x:c r="J17" s="46"/>
      <x:c r="K17" s="46"/>
      <x:c r="L17" s="46"/>
      <x:c r="M17" s="46"/>
      <x:c r="N17" s="46"/>
    </x:row>
    <x:row r="18">
      <x:c r="A18" s="46"/>
      <x:c r="B18" s="46"/>
      <x:c r="C18" s="46"/>
      <x:c r="D18" s="46"/>
      <x:c r="E18" s="46"/>
      <x:c r="F18" s="46"/>
      <x:c r="G18" s="46"/>
      <x:c r="H18" s="46"/>
      <x:c r="I18" s="46"/>
      <x:c r="J18" s="46"/>
      <x:c r="K18" s="46"/>
      <x:c r="L18" s="46"/>
      <x:c r="M18" s="46"/>
      <x:c r="N18" s="46"/>
    </x:row>
    <x:row r="19">
      <x:c r="A19" s="46"/>
      <x:c r="B19" s="46"/>
      <x:c r="C19" s="46"/>
      <x:c r="D19" s="46"/>
      <x:c r="E19" s="46"/>
      <x:c r="F19" s="46"/>
      <x:c r="G19" s="46"/>
      <x:c r="H19" s="46"/>
      <x:c r="I19" s="46"/>
      <x:c r="J19" s="46"/>
      <x:c r="K19" s="46"/>
      <x:c r="L19" s="46"/>
      <x:c r="M19" s="46"/>
      <x:c r="N19" s="46"/>
    </x:row>
    <x:row r="20">
      <x:c r="A20" s="46"/>
      <x:c r="B20" s="46"/>
      <x:c r="C20" s="46"/>
      <x:c r="D20" s="46"/>
      <x:c r="E20" s="46"/>
      <x:c r="F20" s="46"/>
      <x:c r="G20" s="46"/>
      <x:c r="H20" s="46"/>
      <x:c r="I20" s="46"/>
      <x:c r="J20" s="46"/>
      <x:c r="K20" s="46"/>
      <x:c r="L20" s="46"/>
      <x:c r="M20" s="46"/>
      <x:c r="N20" s="46"/>
    </x:row>
    <x:row r="21">
      <x:c r="A21" s="46"/>
      <x:c r="B21" s="46"/>
      <x:c r="C21" s="46"/>
      <x:c r="D21" s="46"/>
      <x:c r="E21" s="46"/>
      <x:c r="F21" s="46"/>
      <x:c r="G21" s="46"/>
      <x:c r="H21" s="46"/>
      <x:c r="I21" s="46"/>
      <x:c r="J21" s="46"/>
      <x:c r="K21" s="46"/>
      <x:c r="L21" s="46"/>
      <x:c r="M21" s="46"/>
      <x:c r="N21" s="46"/>
    </x:row>
    <x:row r="22">
      <x:c r="A22" s="46"/>
      <x:c r="B22" s="46"/>
      <x:c r="C22" s="46"/>
      <x:c r="D22" s="46"/>
      <x:c r="E22" s="46"/>
      <x:c r="F22" s="46"/>
      <x:c r="G22" s="46"/>
      <x:c r="H22" s="46"/>
      <x:c r="I22" s="46"/>
      <x:c r="J22" s="46"/>
      <x:c r="K22" s="46"/>
      <x:c r="L22" s="46"/>
      <x:c r="M22" s="46"/>
      <x:c r="N22" s="46"/>
    </x:row>
    <x:row r="23">
      <x:c r="A23" s="46"/>
      <x:c r="B23" s="46"/>
      <x:c r="C23" s="46"/>
      <x:c r="D23" s="46"/>
      <x:c r="E23" s="46"/>
      <x:c r="F23" s="46"/>
      <x:c r="G23" s="46"/>
      <x:c r="H23" s="46"/>
      <x:c r="I23" s="46"/>
      <x:c r="J23" s="46"/>
      <x:c r="K23" s="46"/>
      <x:c r="L23" s="46"/>
      <x:c r="M23" s="46"/>
      <x:c r="N23" s="46"/>
    </x:row>
    <x:row r="24">
      <x:c r="A24" s="46"/>
      <x:c r="B24" s="46"/>
      <x:c r="C24" s="46"/>
      <x:c r="D24" s="46"/>
      <x:c r="E24" s="46"/>
      <x:c r="F24" s="46"/>
      <x:c r="G24" s="46"/>
      <x:c r="H24" s="46"/>
      <x:c r="I24" s="46"/>
      <x:c r="J24" s="46"/>
      <x:c r="K24" s="46"/>
      <x:c r="L24" s="46"/>
      <x:c r="M24" s="46"/>
      <x:c r="N24" s="46"/>
    </x:row>
    <x:row r="25">
      <x:c r="A25" s="46"/>
      <x:c r="B25" s="46"/>
      <x:c r="C25" s="46"/>
      <x:c r="D25" s="46"/>
      <x:c r="E25" s="46"/>
      <x:c r="F25" s="46"/>
      <x:c r="G25" s="46"/>
      <x:c r="H25" s="46"/>
      <x:c r="I25" s="46"/>
      <x:c r="J25" s="46"/>
      <x:c r="K25" s="46"/>
      <x:c r="L25" s="46"/>
      <x:c r="M25" s="46"/>
      <x:c r="N25" s="46"/>
    </x:row>
    <x:row r="26">
      <x:c r="A26" s="46"/>
      <x:c r="B26" s="46"/>
      <x:c r="C26" s="46"/>
      <x:c r="D26" s="46"/>
      <x:c r="E26" s="46"/>
      <x:c r="F26" s="46"/>
      <x:c r="G26" s="46"/>
      <x:c r="H26" s="46"/>
      <x:c r="I26" s="46"/>
      <x:c r="J26" s="46"/>
      <x:c r="K26" s="46"/>
      <x:c r="L26" s="46"/>
      <x:c r="M26" s="46"/>
      <x:c r="N26" s="46"/>
    </x:row>
    <x:row r="27">
      <x:c r="A27" s="46"/>
      <x:c r="B27" s="46"/>
      <x:c r="C27" s="46"/>
      <x:c r="D27" s="46"/>
      <x:c r="E27" s="46"/>
      <x:c r="F27" s="46"/>
      <x:c r="G27" s="46"/>
      <x:c r="H27" s="46"/>
      <x:c r="I27" s="46"/>
      <x:c r="J27" s="46"/>
      <x:c r="K27" s="46"/>
      <x:c r="L27" s="46"/>
      <x:c r="M27" s="46"/>
      <x:c r="N27" s="46"/>
    </x:row>
    <x:row r="28">
      <x:c r="A28" s="46"/>
      <x:c r="B28" s="46"/>
      <x:c r="C28" s="46"/>
      <x:c r="D28" s="46"/>
      <x:c r="E28" s="46"/>
      <x:c r="F28" s="46"/>
      <x:c r="G28" s="46"/>
      <x:c r="H28" s="46"/>
      <x:c r="I28" s="46"/>
      <x:c r="J28" s="46"/>
      <x:c r="K28" s="46"/>
      <x:c r="L28" s="46"/>
      <x:c r="M28" s="46"/>
      <x:c r="N28" s="46"/>
    </x:row>
    <x:row r="29">
      <x:c r="A29" s="46"/>
      <x:c r="B29" s="46"/>
      <x:c r="C29" s="46"/>
      <x:c r="D29" s="46"/>
      <x:c r="E29" s="46"/>
      <x:c r="F29" s="46"/>
      <x:c r="G29" s="46"/>
      <x:c r="H29" s="46"/>
      <x:c r="I29" s="46"/>
      <x:c r="J29" s="46"/>
      <x:c r="K29" s="46"/>
      <x:c r="L29" s="46"/>
      <x:c r="M29" s="46"/>
      <x:c r="N29" s="46"/>
    </x:row>
    <x:row r="30">
      <x:c r="A30" s="46"/>
      <x:c r="B30" s="46"/>
      <x:c r="C30" s="46"/>
      <x:c r="D30" s="46"/>
      <x:c r="E30" s="46"/>
      <x:c r="F30" s="46"/>
      <x:c r="G30" s="46"/>
      <x:c r="H30" s="46"/>
      <x:c r="I30" s="46"/>
      <x:c r="J30" s="46"/>
      <x:c r="K30" s="46"/>
      <x:c r="L30" s="46"/>
      <x:c r="M30" s="46"/>
      <x:c r="N30" s="46"/>
    </x:row>
    <x:row r="31">
      <x:c r="A31" s="46"/>
      <x:c r="B31" s="46"/>
      <x:c r="C31" s="46"/>
      <x:c r="D31" s="46"/>
      <x:c r="E31" s="46"/>
      <x:c r="F31" s="46"/>
      <x:c r="G31" s="46"/>
      <x:c r="H31" s="46"/>
      <x:c r="I31" s="46"/>
      <x:c r="J31" s="46"/>
      <x:c r="K31" s="46"/>
      <x:c r="L31" s="46"/>
      <x:c r="M31" s="46"/>
      <x:c r="N31" s="46"/>
    </x:row>
    <x:row r="32">
      <x:c r="A32" s="46"/>
      <x:c r="B32" s="46"/>
      <x:c r="C32" s="46"/>
      <x:c r="D32" s="46"/>
      <x:c r="E32" s="46"/>
      <x:c r="F32" s="46"/>
      <x:c r="G32" s="46"/>
      <x:c r="H32" s="46"/>
      <x:c r="I32" s="46"/>
      <x:c r="J32" s="46"/>
      <x:c r="K32" s="46"/>
      <x:c r="L32" s="46"/>
      <x:c r="M32" s="46"/>
      <x:c r="N32" s="46"/>
    </x:row>
    <x:row r="33">
      <x:c r="A33" s="46"/>
      <x:c r="B33" s="46"/>
      <x:c r="C33" s="46"/>
      <x:c r="D33" s="46"/>
      <x:c r="E33" s="46"/>
      <x:c r="F33" s="46"/>
      <x:c r="G33" s="46"/>
      <x:c r="H33" s="46"/>
      <x:c r="I33" s="46"/>
      <x:c r="J33" s="46"/>
      <x:c r="K33" s="46"/>
      <x:c r="L33" s="46"/>
      <x:c r="M33" s="46"/>
      <x:c r="N33" s="46"/>
    </x:row>
    <x:row r="34">
      <x:c r="A34" s="46"/>
      <x:c r="B34" s="46"/>
      <x:c r="C34" s="46"/>
      <x:c r="D34" s="46"/>
      <x:c r="E34" s="46"/>
      <x:c r="F34" s="46"/>
      <x:c r="G34" s="46"/>
      <x:c r="H34" s="46"/>
      <x:c r="I34" s="46"/>
      <x:c r="J34" s="46"/>
      <x:c r="K34" s="46"/>
      <x:c r="L34" s="46"/>
      <x:c r="M34" s="46"/>
      <x:c r="N34" s="46"/>
    </x:row>
    <x:row r="35">
      <x:c r="A35" s="46"/>
      <x:c r="B35" s="46"/>
      <x:c r="C35" s="46"/>
      <x:c r="D35" s="46"/>
      <x:c r="E35" s="46"/>
      <x:c r="F35" s="46"/>
      <x:c r="G35" s="46"/>
      <x:c r="H35" s="46"/>
      <x:c r="I35" s="46"/>
      <x:c r="J35" s="46"/>
      <x:c r="K35" s="46"/>
      <x:c r="L35" s="46"/>
      <x:c r="M35" s="46"/>
      <x:c r="N35" s="46"/>
    </x:row>
    <x:row r="36">
      <x:c r="A36" s="46"/>
      <x:c r="B36" s="46"/>
      <x:c r="C36" s="46"/>
      <x:c r="D36" s="46"/>
      <x:c r="E36" s="46"/>
      <x:c r="F36" s="46"/>
      <x:c r="G36" s="46"/>
      <x:c r="H36" s="46"/>
      <x:c r="I36" s="46"/>
      <x:c r="J36" s="46"/>
      <x:c r="K36" s="46"/>
      <x:c r="L36" s="46"/>
      <x:c r="M36" s="46"/>
      <x:c r="N36" s="46"/>
    </x:row>
    <x:row r="37">
      <x:c r="A37" s="46"/>
      <x:c r="B37" s="46"/>
      <x:c r="C37" s="46"/>
      <x:c r="D37" s="46"/>
      <x:c r="E37" s="46"/>
      <x:c r="F37" s="46"/>
      <x:c r="G37" s="46"/>
      <x:c r="H37" s="46"/>
      <x:c r="I37" s="46"/>
      <x:c r="J37" s="46"/>
      <x:c r="K37" s="46"/>
      <x:c r="L37" s="46"/>
      <x:c r="M37" s="46"/>
      <x:c r="N37" s="46"/>
    </x:row>
    <x:row r="38">
      <x:c r="A38" s="46"/>
      <x:c r="B38" s="46"/>
      <x:c r="C38" s="46"/>
      <x:c r="D38" s="46"/>
      <x:c r="E38" s="46"/>
      <x:c r="F38" s="46"/>
      <x:c r="G38" s="46"/>
      <x:c r="H38" s="46"/>
      <x:c r="I38" s="46"/>
      <x:c r="J38" s="46"/>
      <x:c r="K38" s="46"/>
      <x:c r="L38" s="46"/>
      <x:c r="M38" s="46"/>
      <x:c r="N38" s="46"/>
    </x:row>
    <x:row r="39">
      <x:c r="A39" s="46"/>
      <x:c r="B39" s="46"/>
      <x:c r="C39" s="46"/>
      <x:c r="D39" s="46"/>
      <x:c r="E39" s="46"/>
      <x:c r="F39" s="46"/>
      <x:c r="G39" s="46"/>
      <x:c r="H39" s="46"/>
      <x:c r="I39" s="46"/>
      <x:c r="J39" s="46"/>
      <x:c r="K39" s="46"/>
      <x:c r="L39" s="46"/>
      <x:c r="M39" s="46"/>
      <x:c r="N39" s="46"/>
    </x:row>
    <x:row r="40">
      <x:c r="A40" s="46"/>
      <x:c r="B40" s="46"/>
      <x:c r="C40" s="46"/>
      <x:c r="D40" s="46"/>
      <x:c r="E40" s="46"/>
      <x:c r="F40" s="46"/>
      <x:c r="G40" s="46"/>
      <x:c r="H40" s="46"/>
      <x:c r="I40" s="46"/>
      <x:c r="J40" s="46"/>
      <x:c r="K40" s="46"/>
      <x:c r="L40" s="46"/>
      <x:c r="M40" s="46"/>
      <x:c r="N40" s="46"/>
    </x:row>
    <x:row r="41">
      <x:c r="A41" s="46"/>
      <x:c r="B41" s="46"/>
      <x:c r="C41" s="46"/>
      <x:c r="D41" s="46"/>
      <x:c r="E41" s="46"/>
      <x:c r="F41" s="46"/>
      <x:c r="G41" s="46"/>
      <x:c r="H41" s="46"/>
      <x:c r="I41" s="46"/>
      <x:c r="J41" s="46"/>
      <x:c r="K41" s="46"/>
      <x:c r="L41" s="46"/>
      <x:c r="M41" s="46"/>
      <x:c r="N41" s="46"/>
    </x:row>
    <x:row r="42">
      <x:c r="A42" s="46"/>
      <x:c r="B42" s="46"/>
      <x:c r="C42" s="46"/>
      <x:c r="D42" s="46"/>
      <x:c r="E42" s="46"/>
      <x:c r="F42" s="46"/>
      <x:c r="G42" s="46"/>
      <x:c r="H42" s="46"/>
      <x:c r="I42" s="46"/>
      <x:c r="J42" s="46"/>
      <x:c r="K42" s="46"/>
      <x:c r="L42" s="46"/>
      <x:c r="M42" s="46"/>
      <x:c r="N42" s="46"/>
    </x:row>
    <x:row r="43">
      <x:c r="A43" s="46"/>
      <x:c r="B43" s="46"/>
      <x:c r="C43" s="46"/>
      <x:c r="D43" s="46"/>
      <x:c r="E43" s="46"/>
      <x:c r="F43" s="46"/>
      <x:c r="G43" s="46"/>
      <x:c r="H43" s="46"/>
      <x:c r="I43" s="46"/>
      <x:c r="J43" s="46"/>
      <x:c r="K43" s="46"/>
      <x:c r="L43" s="46"/>
      <x:c r="M43" s="46"/>
      <x:c r="N43" s="46"/>
    </x:row>
    <x:row r="44">
      <x:c r="A44" s="46"/>
      <x:c r="B44" s="46"/>
      <x:c r="C44" s="46"/>
      <x:c r="D44" s="46"/>
      <x:c r="E44" s="46"/>
      <x:c r="F44" s="46"/>
      <x:c r="G44" s="46"/>
      <x:c r="H44" s="46"/>
      <x:c r="I44" s="46"/>
      <x:c r="J44" s="46"/>
      <x:c r="K44" s="46"/>
      <x:c r="L44" s="46"/>
      <x:c r="M44" s="46"/>
      <x:c r="N44" s="46"/>
    </x:row>
    <x:row r="45">
      <x:c r="A45" s="46"/>
      <x:c r="B45" s="46"/>
      <x:c r="C45" s="46"/>
      <x:c r="D45" s="46"/>
      <x:c r="E45" s="46"/>
      <x:c r="F45" s="46"/>
      <x:c r="G45" s="46"/>
      <x:c r="H45" s="46"/>
      <x:c r="I45" s="46"/>
      <x:c r="J45" s="46"/>
      <x:c r="K45" s="46"/>
      <x:c r="L45" s="46"/>
      <x:c r="M45" s="46"/>
      <x:c r="N45" s="46"/>
    </x:row>
    <x:row r="46">
      <x:c r="A46" s="46"/>
      <x:c r="B46" s="46"/>
      <x:c r="C46" s="46"/>
      <x:c r="D46" s="46"/>
      <x:c r="E46" s="46"/>
      <x:c r="F46" s="46"/>
      <x:c r="G46" s="46"/>
      <x:c r="H46" s="46"/>
      <x:c r="I46" s="46"/>
      <x:c r="J46" s="46"/>
      <x:c r="K46" s="46"/>
      <x:c r="L46" s="46"/>
      <x:c r="M46" s="46"/>
      <x:c r="N46" s="46"/>
    </x:row>
    <x:row r="47">
      <x:c r="A47" s="46"/>
      <x:c r="B47" s="46"/>
      <x:c r="C47" s="46"/>
      <x:c r="D47" s="46"/>
      <x:c r="E47" s="46"/>
      <x:c r="F47" s="46"/>
      <x:c r="G47" s="46"/>
      <x:c r="H47" s="46"/>
      <x:c r="I47" s="46"/>
      <x:c r="J47" s="46"/>
      <x:c r="K47" s="46"/>
      <x:c r="L47" s="46"/>
      <x:c r="M47" s="46"/>
      <x:c r="N47" s="46"/>
    </x:row>
    <x:row r="48">
      <x:c r="A48" s="46"/>
      <x:c r="B48" s="46"/>
      <x:c r="C48" s="46"/>
      <x:c r="D48" s="46"/>
      <x:c r="E48" s="46"/>
      <x:c r="F48" s="46"/>
      <x:c r="G48" s="46"/>
      <x:c r="H48" s="46"/>
      <x:c r="I48" s="46"/>
      <x:c r="J48" s="46"/>
      <x:c r="K48" s="46"/>
      <x:c r="L48" s="46"/>
      <x:c r="M48" s="46"/>
      <x:c r="N48" s="46"/>
    </x:row>
    <x:row r="49">
      <x:c r="A49" s="46"/>
      <x:c r="B49" s="46"/>
      <x:c r="C49" s="46"/>
      <x:c r="D49" s="46"/>
      <x:c r="E49" s="46"/>
      <x:c r="F49" s="46"/>
      <x:c r="G49" s="46"/>
      <x:c r="H49" s="46"/>
      <x:c r="I49" s="46"/>
      <x:c r="J49" s="46"/>
      <x:c r="K49" s="46"/>
      <x:c r="L49" s="46"/>
      <x:c r="M49" s="46"/>
      <x:c r="N49" s="46"/>
    </x:row>
    <x:row r="50">
      <x:c r="A50" s="46"/>
      <x:c r="B50" s="46"/>
      <x:c r="C50" s="46"/>
      <x:c r="D50" s="46"/>
      <x:c r="E50" s="46"/>
      <x:c r="F50" s="46"/>
      <x:c r="G50" s="46"/>
      <x:c r="H50" s="46"/>
      <x:c r="I50" s="46"/>
      <x:c r="J50" s="46"/>
      <x:c r="K50" s="46"/>
      <x:c r="L50" s="46"/>
      <x:c r="M50" s="46"/>
      <x:c r="N50" s="46"/>
    </x:row>
    <x:row r="51">
      <x:c r="A51" s="46"/>
      <x:c r="B51" s="46"/>
      <x:c r="C51" s="46"/>
      <x:c r="D51" s="46"/>
      <x:c r="E51" s="46"/>
      <x:c r="F51" s="46"/>
      <x:c r="G51" s="46"/>
      <x:c r="H51" s="46"/>
      <x:c r="I51" s="46"/>
      <x:c r="J51" s="46"/>
      <x:c r="K51" s="46"/>
      <x:c r="L51" s="46"/>
      <x:c r="M51" s="46"/>
      <x:c r="N51" s="46"/>
    </x:row>
    <x:row r="52">
      <x:c r="A52" s="46"/>
      <x:c r="B52" s="46"/>
      <x:c r="C52" s="46"/>
      <x:c r="D52" s="46"/>
      <x:c r="E52" s="46"/>
      <x:c r="F52" s="46"/>
      <x:c r="G52" s="46"/>
      <x:c r="H52" s="46"/>
      <x:c r="I52" s="46"/>
      <x:c r="J52" s="46"/>
      <x:c r="K52" s="46"/>
      <x:c r="L52" s="46"/>
      <x:c r="M52" s="46"/>
      <x:c r="N52" s="46"/>
    </x:row>
    <x:row r="53">
      <x:c r="A53" s="46"/>
      <x:c r="B53" s="46"/>
      <x:c r="C53" s="46"/>
      <x:c r="D53" s="46"/>
      <x:c r="E53" s="46"/>
      <x:c r="F53" s="46"/>
      <x:c r="G53" s="46"/>
      <x:c r="H53" s="46"/>
      <x:c r="I53" s="46"/>
      <x:c r="J53" s="46"/>
      <x:c r="K53" s="46"/>
      <x:c r="L53" s="46"/>
      <x:c r="M53" s="46"/>
      <x:c r="N53" s="46"/>
    </x:row>
    <x:row r="54">
      <x:c r="A54" s="46"/>
      <x:c r="B54" s="46"/>
      <x:c r="C54" s="46"/>
      <x:c r="D54" s="46"/>
      <x:c r="E54" s="46"/>
      <x:c r="F54" s="46"/>
      <x:c r="G54" s="46"/>
      <x:c r="H54" s="46"/>
      <x:c r="I54" s="46"/>
      <x:c r="J54" s="46"/>
      <x:c r="K54" s="46"/>
      <x:c r="L54" s="46"/>
      <x:c r="M54" s="46"/>
      <x:c r="N54" s="46"/>
    </x:row>
    <x:row r="55">
      <x:c r="A55" s="46"/>
      <x:c r="B55" s="46"/>
      <x:c r="C55" s="46"/>
      <x:c r="D55" s="46"/>
      <x:c r="E55" s="46"/>
      <x:c r="F55" s="46"/>
      <x:c r="G55" s="46"/>
      <x:c r="H55" s="46"/>
      <x:c r="I55" s="46"/>
      <x:c r="J55" s="46"/>
      <x:c r="K55" s="46"/>
      <x:c r="L55" s="46"/>
      <x:c r="M55" s="46"/>
      <x:c r="N55" s="46"/>
    </x:row>
    <x:row r="56">
      <x:c r="A56" s="46"/>
      <x:c r="B56" s="46"/>
      <x:c r="C56" s="46"/>
      <x:c r="D56" s="46"/>
      <x:c r="E56" s="46"/>
      <x:c r="F56" s="46"/>
      <x:c r="G56" s="46"/>
      <x:c r="H56" s="46"/>
      <x:c r="I56" s="46"/>
      <x:c r="J56" s="46"/>
      <x:c r="K56" s="46"/>
      <x:c r="L56" s="46"/>
      <x:c r="M56" s="46"/>
      <x:c r="N56" s="46"/>
    </x:row>
    <x:row r="57">
      <x:c r="A57" s="46"/>
      <x:c r="B57" s="46"/>
      <x:c r="C57" s="46"/>
      <x:c r="D57" s="46"/>
      <x:c r="E57" s="46"/>
      <x:c r="F57" s="46"/>
      <x:c r="G57" s="46"/>
      <x:c r="H57" s="46"/>
      <x:c r="I57" s="46"/>
      <x:c r="J57" s="46"/>
      <x:c r="K57" s="46"/>
      <x:c r="L57" s="46"/>
      <x:c r="M57" s="46"/>
      <x:c r="N57" s="46"/>
    </x:row>
    <x:row r="58">
      <x:c r="A58" s="46"/>
      <x:c r="B58" s="46"/>
      <x:c r="C58" s="46"/>
      <x:c r="D58" s="46"/>
      <x:c r="E58" s="46"/>
      <x:c r="F58" s="46"/>
      <x:c r="G58" s="46"/>
      <x:c r="H58" s="46"/>
      <x:c r="I58" s="46"/>
      <x:c r="J58" s="46"/>
      <x:c r="K58" s="46"/>
      <x:c r="L58" s="46"/>
      <x:c r="M58" s="46"/>
      <x:c r="N58" s="46"/>
    </x:row>
    <x:row r="59">
      <x:c r="A59" s="46"/>
      <x:c r="B59" s="46"/>
      <x:c r="C59" s="46"/>
      <x:c r="D59" s="46"/>
      <x:c r="E59" s="46"/>
      <x:c r="F59" s="46"/>
      <x:c r="G59" s="46"/>
      <x:c r="H59" s="46"/>
      <x:c r="I59" s="46"/>
      <x:c r="J59" s="46"/>
      <x:c r="K59" s="46"/>
      <x:c r="L59" s="46"/>
      <x:c r="M59" s="46"/>
      <x:c r="N59" s="46"/>
    </x:row>
    <x:row r="60">
      <x:c r="A60" s="46"/>
      <x:c r="B60" s="46"/>
      <x:c r="C60" s="46"/>
      <x:c r="D60" s="46"/>
      <x:c r="E60" s="46"/>
      <x:c r="F60" s="46"/>
      <x:c r="G60" s="46"/>
      <x:c r="H60" s="46"/>
      <x:c r="I60" s="46"/>
      <x:c r="J60" s="46"/>
      <x:c r="K60" s="46"/>
      <x:c r="L60" s="46"/>
      <x:c r="M60" s="46"/>
      <x:c r="N60" s="46"/>
    </x:row>
    <x:row r="61">
      <x:c r="A61" s="46"/>
      <x:c r="B61" s="46"/>
      <x:c r="C61" s="46"/>
      <x:c r="D61" s="46"/>
      <x:c r="E61" s="46"/>
      <x:c r="F61" s="46"/>
      <x:c r="G61" s="46"/>
      <x:c r="H61" s="46"/>
      <x:c r="I61" s="46"/>
      <x:c r="J61" s="46"/>
      <x:c r="K61" s="46"/>
      <x:c r="L61" s="46"/>
      <x:c r="M61" s="46"/>
      <x:c r="N61" s="46"/>
    </x:row>
    <x:row r="62">
      <x:c r="A62" s="46"/>
      <x:c r="B62" s="46"/>
      <x:c r="C62" s="46"/>
      <x:c r="D62" s="46"/>
      <x:c r="E62" s="46"/>
      <x:c r="F62" s="46"/>
      <x:c r="G62" s="46"/>
      <x:c r="H62" s="46"/>
      <x:c r="I62" s="46"/>
      <x:c r="J62" s="46"/>
      <x:c r="K62" s="46"/>
      <x:c r="L62" s="46"/>
      <x:c r="M62" s="46"/>
      <x:c r="N62" s="46"/>
    </x:row>
    <x:row r="63">
      <x:c r="A63" s="46"/>
      <x:c r="B63" s="46"/>
      <x:c r="C63" s="46"/>
      <x:c r="D63" s="46"/>
      <x:c r="E63" s="46"/>
      <x:c r="F63" s="46"/>
      <x:c r="G63" s="46"/>
      <x:c r="H63" s="46"/>
      <x:c r="I63" s="46"/>
      <x:c r="J63" s="46"/>
      <x:c r="K63" s="46"/>
      <x:c r="L63" s="46"/>
      <x:c r="M63" s="46"/>
      <x:c r="N63" s="46"/>
    </x:row>
    <x:row r="64">
      <x:c r="A64" s="46"/>
      <x:c r="B64" s="46"/>
      <x:c r="C64" s="46"/>
      <x:c r="D64" s="46"/>
      <x:c r="E64" s="46"/>
      <x:c r="F64" s="46"/>
      <x:c r="G64" s="46"/>
      <x:c r="H64" s="46"/>
      <x:c r="I64" s="46"/>
      <x:c r="J64" s="46"/>
      <x:c r="K64" s="46"/>
      <x:c r="L64" s="46"/>
      <x:c r="M64" s="46"/>
      <x:c r="N64" s="46"/>
    </x:row>
    <x:row r="65">
      <x:c r="A65" s="46"/>
      <x:c r="B65" s="46"/>
      <x:c r="C65" s="46"/>
      <x:c r="D65" s="46"/>
      <x:c r="E65" s="46"/>
      <x:c r="F65" s="46"/>
      <x:c r="G65" s="46"/>
      <x:c r="H65" s="46"/>
      <x:c r="I65" s="46"/>
      <x:c r="J65" s="46"/>
      <x:c r="K65" s="46"/>
      <x:c r="L65" s="46"/>
      <x:c r="M65" s="46"/>
      <x:c r="N65" s="46"/>
    </x:row>
    <x:row r="66">
      <x:c r="A66" s="46"/>
      <x:c r="B66" s="46"/>
      <x:c r="C66" s="46"/>
      <x:c r="D66" s="46"/>
      <x:c r="E66" s="46"/>
      <x:c r="F66" s="46"/>
      <x:c r="G66" s="46"/>
      <x:c r="H66" s="46"/>
      <x:c r="I66" s="46"/>
      <x:c r="J66" s="46"/>
      <x:c r="K66" s="46"/>
      <x:c r="L66" s="46"/>
      <x:c r="M66" s="46"/>
      <x:c r="N66" s="46"/>
    </x:row>
    <x:row r="67">
      <x:c r="A67" s="46"/>
      <x:c r="B67" s="46"/>
      <x:c r="C67" s="46"/>
      <x:c r="D67" s="46"/>
      <x:c r="E67" s="46"/>
      <x:c r="F67" s="46"/>
      <x:c r="G67" s="46"/>
      <x:c r="H67" s="46"/>
      <x:c r="I67" s="46"/>
      <x:c r="J67" s="46"/>
      <x:c r="K67" s="46"/>
      <x:c r="L67" s="46"/>
      <x:c r="M67" s="46"/>
      <x:c r="N67" s="46"/>
    </x:row>
    <x:row r="68">
      <x:c r="A68" s="46"/>
      <x:c r="B68" s="46"/>
      <x:c r="C68" s="46"/>
      <x:c r="D68" s="46"/>
      <x:c r="E68" s="46"/>
      <x:c r="F68" s="46"/>
      <x:c r="G68" s="46"/>
      <x:c r="H68" s="46"/>
      <x:c r="I68" s="46"/>
      <x:c r="J68" s="46"/>
      <x:c r="K68" s="46"/>
      <x:c r="L68" s="46"/>
      <x:c r="M68" s="46"/>
      <x:c r="N68" s="46"/>
    </x:row>
    <x:row r="69">
      <x:c r="A69" s="46"/>
      <x:c r="B69" s="46"/>
      <x:c r="C69" s="46"/>
      <x:c r="D69" s="46"/>
      <x:c r="E69" s="46"/>
      <x:c r="F69" s="46"/>
      <x:c r="G69" s="46"/>
      <x:c r="H69" s="46"/>
      <x:c r="I69" s="46"/>
      <x:c r="J69" s="46"/>
      <x:c r="K69" s="46"/>
      <x:c r="L69" s="46"/>
      <x:c r="M69" s="46"/>
      <x:c r="N69" s="46"/>
    </x:row>
    <x:row r="70">
      <x:c r="A70" s="46"/>
      <x:c r="B70" s="46"/>
      <x:c r="C70" s="46"/>
      <x:c r="D70" s="46"/>
      <x:c r="E70" s="46"/>
      <x:c r="F70" s="46"/>
      <x:c r="G70" s="46"/>
      <x:c r="H70" s="46"/>
      <x:c r="I70" s="46"/>
      <x:c r="J70" s="46"/>
      <x:c r="K70" s="46"/>
      <x:c r="L70" s="46"/>
      <x:c r="M70" s="46"/>
      <x:c r="N70" s="46"/>
    </x:row>
    <x:row r="71">
      <x:c r="A71" s="46"/>
      <x:c r="B71" s="46"/>
      <x:c r="C71" s="46"/>
      <x:c r="D71" s="46"/>
      <x:c r="E71" s="46"/>
      <x:c r="F71" s="46"/>
      <x:c r="G71" s="46"/>
      <x:c r="H71" s="46"/>
      <x:c r="I71" s="46"/>
      <x:c r="J71" s="46"/>
      <x:c r="K71" s="46"/>
      <x:c r="L71" s="46"/>
      <x:c r="M71" s="46"/>
      <x:c r="N71" s="46"/>
    </x:row>
    <x:row r="72">
      <x:c r="A72" s="46"/>
      <x:c r="B72" s="46"/>
      <x:c r="C72" s="46"/>
      <x:c r="D72" s="46"/>
      <x:c r="E72" s="46"/>
      <x:c r="F72" s="46"/>
      <x:c r="G72" s="46"/>
      <x:c r="H72" s="46"/>
      <x:c r="I72" s="46"/>
      <x:c r="J72" s="46"/>
      <x:c r="K72" s="46"/>
      <x:c r="L72" s="46"/>
      <x:c r="M72" s="46"/>
      <x:c r="N72" s="46"/>
    </x:row>
    <x:row r="73">
      <x:c r="A73" s="46"/>
      <x:c r="B73" s="46"/>
      <x:c r="C73" s="46"/>
      <x:c r="D73" s="46"/>
      <x:c r="E73" s="46"/>
      <x:c r="F73" s="46"/>
      <x:c r="G73" s="46"/>
      <x:c r="H73" s="46"/>
      <x:c r="I73" s="46"/>
      <x:c r="J73" s="46"/>
      <x:c r="K73" s="46"/>
      <x:c r="L73" s="46"/>
      <x:c r="M73" s="46"/>
      <x:c r="N73" s="46"/>
    </x:row>
    <x:row r="74">
      <x:c r="A74" s="46"/>
      <x:c r="B74" s="46"/>
      <x:c r="C74" s="46"/>
      <x:c r="D74" s="46"/>
      <x:c r="E74" s="46"/>
      <x:c r="F74" s="46"/>
      <x:c r="G74" s="46"/>
      <x:c r="H74" s="46"/>
      <x:c r="I74" s="46"/>
      <x:c r="J74" s="46"/>
      <x:c r="K74" s="46"/>
      <x:c r="L74" s="46"/>
      <x:c r="M74" s="46"/>
      <x:c r="N74" s="46"/>
    </x:row>
    <x:row r="75">
      <x:c r="A75" s="46"/>
      <x:c r="B75" s="46"/>
      <x:c r="C75" s="46"/>
      <x:c r="D75" s="46"/>
      <x:c r="E75" s="46"/>
      <x:c r="F75" s="46"/>
      <x:c r="G75" s="46"/>
      <x:c r="H75" s="46"/>
      <x:c r="I75" s="46"/>
      <x:c r="J75" s="46"/>
      <x:c r="K75" s="46"/>
      <x:c r="L75" s="46"/>
      <x:c r="M75" s="46"/>
      <x:c r="N75" s="46"/>
    </x:row>
    <x:row r="76">
      <x:c r="A76" s="46"/>
      <x:c r="B76" s="46"/>
      <x:c r="C76" s="46"/>
      <x:c r="D76" s="46"/>
      <x:c r="E76" s="46"/>
      <x:c r="F76" s="46"/>
      <x:c r="G76" s="46"/>
      <x:c r="H76" s="46"/>
      <x:c r="I76" s="46"/>
      <x:c r="J76" s="46"/>
      <x:c r="K76" s="46"/>
      <x:c r="L76" s="46"/>
      <x:c r="M76" s="46"/>
      <x:c r="N76" s="46"/>
    </x:row>
    <x:row r="77">
      <x:c r="A77" s="46"/>
      <x:c r="B77" s="46"/>
      <x:c r="C77" s="46"/>
      <x:c r="D77" s="46"/>
      <x:c r="E77" s="46"/>
      <x:c r="F77" s="46"/>
      <x:c r="G77" s="46"/>
      <x:c r="H77" s="46"/>
      <x:c r="I77" s="46"/>
      <x:c r="J77" s="46"/>
      <x:c r="K77" s="46"/>
      <x:c r="L77" s="46"/>
      <x:c r="M77" s="46"/>
      <x:c r="N77" s="46"/>
    </x:row>
    <x:row r="78">
      <x:c r="A78" s="46"/>
      <x:c r="B78" s="46"/>
      <x:c r="C78" s="46"/>
      <x:c r="D78" s="46"/>
      <x:c r="E78" s="46"/>
      <x:c r="F78" s="46"/>
      <x:c r="G78" s="46"/>
      <x:c r="H78" s="46"/>
      <x:c r="I78" s="46"/>
      <x:c r="J78" s="46"/>
      <x:c r="K78" s="46"/>
      <x:c r="L78" s="46"/>
      <x:c r="M78" s="46"/>
      <x:c r="N78" s="46"/>
    </x:row>
    <x:row r="79">
      <x:c r="A79" s="46"/>
      <x:c r="B79" s="46"/>
      <x:c r="C79" s="46"/>
      <x:c r="D79" s="46"/>
      <x:c r="E79" s="46"/>
      <x:c r="F79" s="46"/>
      <x:c r="G79" s="46"/>
      <x:c r="H79" s="46"/>
      <x:c r="I79" s="46"/>
      <x:c r="J79" s="46"/>
      <x:c r="K79" s="46"/>
      <x:c r="L79" s="46"/>
      <x:c r="M79" s="46"/>
      <x:c r="N79" s="46"/>
    </x:row>
    <x:row r="80">
      <x:c r="A80" s="46"/>
      <x:c r="B80" s="46"/>
      <x:c r="C80" s="46"/>
      <x:c r="D80" s="46"/>
      <x:c r="E80" s="46"/>
      <x:c r="F80" s="46"/>
      <x:c r="G80" s="46"/>
      <x:c r="H80" s="46"/>
      <x:c r="I80" s="46"/>
      <x:c r="J80" s="46"/>
      <x:c r="K80" s="46"/>
      <x:c r="L80" s="46"/>
      <x:c r="M80" s="46"/>
      <x:c r="N80" s="46"/>
    </x:row>
    <x:row r="81">
      <x:c r="A81" s="46"/>
      <x:c r="B81" s="46"/>
      <x:c r="C81" s="46"/>
      <x:c r="D81" s="46"/>
      <x:c r="E81" s="46"/>
      <x:c r="F81" s="46"/>
      <x:c r="G81" s="46"/>
      <x:c r="H81" s="46"/>
      <x:c r="I81" s="46"/>
      <x:c r="J81" s="46"/>
      <x:c r="K81" s="46"/>
      <x:c r="L81" s="46"/>
      <x:c r="M81" s="46"/>
      <x:c r="N81" s="46"/>
    </x:row>
    <x:row r="82">
      <x:c r="A82" s="46"/>
      <x:c r="B82" s="46"/>
      <x:c r="C82" s="46"/>
      <x:c r="D82" s="46"/>
      <x:c r="E82" s="46"/>
      <x:c r="F82" s="46"/>
      <x:c r="G82" s="46"/>
      <x:c r="H82" s="46"/>
      <x:c r="I82" s="46"/>
      <x:c r="J82" s="46"/>
      <x:c r="K82" s="46"/>
      <x:c r="L82" s="46"/>
      <x:c r="M82" s="46"/>
      <x:c r="N82" s="46"/>
    </x:row>
    <x:row r="83">
      <x:c r="A83" s="46"/>
      <x:c r="B83" s="46"/>
      <x:c r="C83" s="46"/>
      <x:c r="D83" s="46"/>
      <x:c r="E83" s="46"/>
      <x:c r="F83" s="46"/>
      <x:c r="G83" s="46"/>
      <x:c r="H83" s="46"/>
      <x:c r="I83" s="46"/>
      <x:c r="J83" s="46"/>
      <x:c r="K83" s="46"/>
      <x:c r="L83" s="46"/>
      <x:c r="M83" s="46"/>
      <x:c r="N83" s="46"/>
    </x:row>
    <x:row r="84">
      <x:c r="A84" s="46"/>
      <x:c r="B84" s="46"/>
      <x:c r="C84" s="46"/>
      <x:c r="D84" s="46"/>
      <x:c r="E84" s="46"/>
      <x:c r="F84" s="46"/>
      <x:c r="G84" s="46"/>
      <x:c r="H84" s="46"/>
      <x:c r="I84" s="46"/>
      <x:c r="J84" s="46"/>
      <x:c r="K84" s="46"/>
      <x:c r="L84" s="46"/>
      <x:c r="M84" s="46"/>
      <x:c r="N84" s="46"/>
    </x:row>
    <x:row r="85">
      <x:c r="A85" s="46"/>
      <x:c r="B85" s="46"/>
      <x:c r="C85" s="46"/>
      <x:c r="D85" s="46"/>
      <x:c r="E85" s="46"/>
      <x:c r="F85" s="46"/>
      <x:c r="G85" s="46"/>
      <x:c r="H85" s="46"/>
      <x:c r="I85" s="46"/>
      <x:c r="J85" s="46"/>
      <x:c r="K85" s="46"/>
      <x:c r="L85" s="46"/>
      <x:c r="M85" s="46"/>
      <x:c r="N85" s="46"/>
    </x:row>
    <x:row r="86">
      <x:c r="A86" s="46"/>
      <x:c r="B86" s="46"/>
      <x:c r="C86" s="46"/>
      <x:c r="D86" s="46"/>
      <x:c r="E86" s="46"/>
      <x:c r="F86" s="46"/>
      <x:c r="G86" s="46"/>
      <x:c r="H86" s="46"/>
      <x:c r="I86" s="46"/>
      <x:c r="J86" s="46"/>
      <x:c r="K86" s="46"/>
      <x:c r="L86" s="46"/>
      <x:c r="M86" s="46"/>
      <x:c r="N86" s="46"/>
    </x:row>
    <x:row r="87">
      <x:c r="A87" s="46"/>
      <x:c r="B87" s="46"/>
      <x:c r="C87" s="46"/>
      <x:c r="D87" s="46"/>
      <x:c r="E87" s="46"/>
      <x:c r="F87" s="46"/>
      <x:c r="G87" s="46"/>
      <x:c r="H87" s="46"/>
      <x:c r="I87" s="46"/>
      <x:c r="J87" s="46"/>
      <x:c r="K87" s="46"/>
      <x:c r="L87" s="46"/>
      <x:c r="M87" s="46"/>
      <x:c r="N87" s="46"/>
    </x:row>
    <x:row r="88">
      <x:c r="A88" s="46"/>
      <x:c r="B88" s="46"/>
      <x:c r="C88" s="46"/>
      <x:c r="D88" s="46"/>
      <x:c r="E88" s="46"/>
      <x:c r="F88" s="46"/>
      <x:c r="G88" s="46"/>
      <x:c r="H88" s="46"/>
      <x:c r="I88" s="46"/>
      <x:c r="J88" s="46"/>
      <x:c r="K88" s="46"/>
      <x:c r="L88" s="46"/>
      <x:c r="M88" s="46"/>
      <x:c r="N88" s="46"/>
    </x:row>
    <x:row r="89">
      <x:c r="A89" s="46"/>
      <x:c r="B89" s="46"/>
      <x:c r="C89" s="46"/>
      <x:c r="D89" s="46"/>
      <x:c r="E89" s="46"/>
      <x:c r="F89" s="46"/>
      <x:c r="G89" s="46"/>
      <x:c r="H89" s="46"/>
      <x:c r="I89" s="46"/>
      <x:c r="J89" s="46"/>
      <x:c r="K89" s="46"/>
      <x:c r="L89" s="46"/>
      <x:c r="M89" s="46"/>
      <x:c r="N89" s="46"/>
    </x:row>
    <x:row r="90">
      <x:c r="A90" s="46"/>
      <x:c r="B90" s="46"/>
      <x:c r="C90" s="46"/>
      <x:c r="D90" s="46"/>
      <x:c r="E90" s="46"/>
      <x:c r="F90" s="46"/>
      <x:c r="G90" s="46"/>
      <x:c r="H90" s="46"/>
      <x:c r="I90" s="46"/>
      <x:c r="J90" s="46"/>
      <x:c r="K90" s="46"/>
      <x:c r="L90" s="46"/>
      <x:c r="M90" s="46"/>
      <x:c r="N90" s="46"/>
    </x:row>
    <x:row r="91">
      <x:c r="A91" s="46"/>
      <x:c r="B91" s="46"/>
      <x:c r="C91" s="46"/>
      <x:c r="D91" s="46"/>
      <x:c r="E91" s="46"/>
      <x:c r="F91" s="46"/>
      <x:c r="G91" s="46"/>
      <x:c r="H91" s="46"/>
      <x:c r="I91" s="46"/>
      <x:c r="J91" s="46"/>
      <x:c r="K91" s="46"/>
      <x:c r="L91" s="46"/>
      <x:c r="M91" s="46"/>
      <x:c r="N91" s="46"/>
    </x:row>
    <x:row r="92">
      <x:c r="A92" s="46"/>
      <x:c r="B92" s="46"/>
      <x:c r="C92" s="46"/>
      <x:c r="D92" s="46"/>
      <x:c r="E92" s="46"/>
      <x:c r="F92" s="46"/>
      <x:c r="G92" s="46"/>
      <x:c r="H92" s="46"/>
      <x:c r="I92" s="46"/>
      <x:c r="J92" s="46"/>
      <x:c r="K92" s="46"/>
      <x:c r="L92" s="46"/>
      <x:c r="M92" s="46"/>
      <x:c r="N92" s="46"/>
    </x:row>
    <x:row r="93">
      <x:c r="A93" s="46"/>
      <x:c r="B93" s="46"/>
      <x:c r="C93" s="46"/>
      <x:c r="D93" s="46"/>
      <x:c r="E93" s="46"/>
      <x:c r="F93" s="46"/>
      <x:c r="G93" s="46"/>
      <x:c r="H93" s="46"/>
      <x:c r="I93" s="46"/>
      <x:c r="J93" s="46"/>
      <x:c r="K93" s="46"/>
      <x:c r="L93" s="46"/>
      <x:c r="M93" s="46"/>
      <x:c r="N93" s="46"/>
    </x:row>
    <x:row r="94">
      <x:c r="A94" s="46"/>
      <x:c r="B94" s="46"/>
      <x:c r="C94" s="46"/>
      <x:c r="D94" s="46"/>
      <x:c r="E94" s="46"/>
      <x:c r="F94" s="46"/>
      <x:c r="G94" s="46"/>
      <x:c r="H94" s="46"/>
      <x:c r="I94" s="46"/>
      <x:c r="J94" s="46"/>
      <x:c r="K94" s="46"/>
      <x:c r="L94" s="46"/>
      <x:c r="M94" s="46"/>
      <x:c r="N94" s="46"/>
    </x:row>
    <x:row r="95">
      <x:c r="A95" s="46"/>
      <x:c r="B95" s="46"/>
      <x:c r="C95" s="46"/>
      <x:c r="D95" s="46"/>
      <x:c r="E95" s="46"/>
      <x:c r="F95" s="46"/>
      <x:c r="G95" s="46"/>
      <x:c r="H95" s="46"/>
      <x:c r="I95" s="46"/>
      <x:c r="J95" s="46"/>
      <x:c r="K95" s="46"/>
      <x:c r="L95" s="46"/>
      <x:c r="M95" s="46"/>
      <x:c r="N95" s="46"/>
    </x:row>
    <x:row r="96">
      <x:c r="A96" s="46"/>
      <x:c r="B96" s="46"/>
      <x:c r="C96" s="46"/>
      <x:c r="D96" s="46"/>
      <x:c r="E96" s="46"/>
      <x:c r="F96" s="46"/>
      <x:c r="G96" s="46"/>
      <x:c r="H96" s="46"/>
      <x:c r="I96" s="46"/>
      <x:c r="J96" s="46"/>
      <x:c r="K96" s="46"/>
      <x:c r="L96" s="46"/>
      <x:c r="M96" s="46"/>
      <x:c r="N96" s="46"/>
    </x:row>
    <x:row r="97">
      <x:c r="A97" s="46"/>
      <x:c r="B97" s="46"/>
      <x:c r="C97" s="46"/>
      <x:c r="D97" s="46"/>
      <x:c r="E97" s="46"/>
      <x:c r="F97" s="46"/>
      <x:c r="G97" s="46"/>
      <x:c r="H97" s="46"/>
      <x:c r="I97" s="46"/>
      <x:c r="J97" s="46"/>
      <x:c r="K97" s="46"/>
      <x:c r="L97" s="46"/>
      <x:c r="M97" s="46"/>
      <x:c r="N97" s="46"/>
    </x:row>
    <x:row r="98">
      <x:c r="A98" s="46"/>
      <x:c r="B98" s="46"/>
      <x:c r="C98" s="46"/>
      <x:c r="D98" s="46"/>
      <x:c r="E98" s="46"/>
      <x:c r="F98" s="46"/>
      <x:c r="G98" s="46"/>
      <x:c r="H98" s="46"/>
      <x:c r="I98" s="46"/>
      <x:c r="J98" s="46"/>
      <x:c r="K98" s="46"/>
      <x:c r="L98" s="46"/>
      <x:c r="M98" s="46"/>
      <x:c r="N98" s="46"/>
    </x:row>
    <x:row r="99">
      <x:c r="A99" s="46"/>
      <x:c r="B99" s="46"/>
      <x:c r="C99" s="46"/>
      <x:c r="D99" s="46"/>
      <x:c r="E99" s="46"/>
      <x:c r="F99" s="46"/>
      <x:c r="G99" s="46"/>
      <x:c r="H99" s="46"/>
      <x:c r="I99" s="46"/>
      <x:c r="J99" s="46"/>
      <x:c r="K99" s="46"/>
      <x:c r="L99" s="46"/>
      <x:c r="M99" s="46"/>
      <x:c r="N99" s="46"/>
    </x:row>
    <x:row r="100">
      <x:c r="A100" s="46"/>
      <x:c r="B100" s="46"/>
      <x:c r="C100" s="46"/>
      <x:c r="D100" s="46"/>
      <x:c r="E100" s="46"/>
      <x:c r="F100" s="46"/>
      <x:c r="G100" s="46"/>
      <x:c r="H100" s="46"/>
      <x:c r="I100" s="46"/>
      <x:c r="J100" s="46"/>
      <x:c r="K100" s="46"/>
      <x:c r="L100" s="46"/>
      <x:c r="M100" s="46"/>
      <x:c r="N100" s="46"/>
    </x:row>
    <x:row r="101">
      <x:c r="A101" s="46"/>
      <x:c r="B101" s="46"/>
      <x:c r="C101" s="46"/>
      <x:c r="D101" s="46"/>
      <x:c r="E101" s="46"/>
      <x:c r="F101" s="46"/>
      <x:c r="G101" s="46"/>
      <x:c r="H101" s="46"/>
      <x:c r="I101" s="46"/>
      <x:c r="J101" s="46"/>
      <x:c r="K101" s="46"/>
      <x:c r="L101" s="46"/>
      <x:c r="M101" s="46"/>
      <x:c r="N101" s="46"/>
    </x:row>
    <x:row r="102">
      <x:c r="A102" s="46"/>
      <x:c r="B102" s="46"/>
      <x:c r="C102" s="46"/>
      <x:c r="D102" s="46"/>
      <x:c r="E102" s="46"/>
      <x:c r="F102" s="46"/>
      <x:c r="G102" s="46"/>
      <x:c r="H102" s="46"/>
      <x:c r="I102" s="46"/>
      <x:c r="J102" s="46"/>
      <x:c r="K102" s="46"/>
      <x:c r="L102" s="46"/>
      <x:c r="M102" s="46"/>
      <x:c r="N102" s="46"/>
    </x:row>
    <x:row r="103">
      <x:c r="A103" s="46"/>
      <x:c r="B103" s="46"/>
      <x:c r="C103" s="46"/>
      <x:c r="D103" s="46"/>
      <x:c r="E103" s="46"/>
      <x:c r="F103" s="46"/>
      <x:c r="G103" s="46"/>
      <x:c r="H103" s="46"/>
      <x:c r="I103" s="46"/>
      <x:c r="J103" s="46"/>
      <x:c r="K103" s="46"/>
      <x:c r="L103" s="46"/>
      <x:c r="M103" s="46"/>
      <x:c r="N103" s="46"/>
    </x:row>
    <x:row r="104">
      <x:c r="A104" s="46"/>
      <x:c r="B104" s="46"/>
      <x:c r="C104" s="46"/>
      <x:c r="D104" s="46"/>
      <x:c r="E104" s="46"/>
      <x:c r="F104" s="46"/>
      <x:c r="G104" s="46"/>
      <x:c r="H104" s="46"/>
      <x:c r="I104" s="46"/>
      <x:c r="J104" s="46"/>
      <x:c r="K104" s="46"/>
      <x:c r="L104" s="46"/>
      <x:c r="M104" s="46"/>
      <x:c r="N104" s="46"/>
    </x:row>
    <x:row r="105">
      <x:c r="A105" s="46"/>
      <x:c r="B105" s="46"/>
      <x:c r="C105" s="46"/>
      <x:c r="D105" s="46"/>
      <x:c r="E105" s="46"/>
      <x:c r="F105" s="46"/>
      <x:c r="G105" s="46"/>
      <x:c r="H105" s="46"/>
      <x:c r="I105" s="46"/>
      <x:c r="J105" s="46"/>
      <x:c r="K105" s="46"/>
      <x:c r="L105" s="46"/>
      <x:c r="M105" s="46"/>
      <x:c r="N105" s="46"/>
    </x:row>
    <x:row r="106">
      <x:c r="A106" s="46"/>
      <x:c r="B106" s="46"/>
      <x:c r="C106" s="46"/>
      <x:c r="D106" s="46"/>
      <x:c r="E106" s="46"/>
      <x:c r="F106" s="46"/>
      <x:c r="G106" s="46"/>
      <x:c r="H106" s="46"/>
      <x:c r="I106" s="46"/>
      <x:c r="J106" s="46"/>
      <x:c r="K106" s="46"/>
      <x:c r="L106" s="46"/>
      <x:c r="M106" s="46"/>
      <x:c r="N106" s="46"/>
    </x:row>
    <x:row r="107">
      <x:c r="A107" s="46"/>
      <x:c r="B107" s="46"/>
      <x:c r="C107" s="46"/>
      <x:c r="D107" s="46"/>
      <x:c r="E107" s="46"/>
      <x:c r="F107" s="46"/>
      <x:c r="G107" s="46"/>
      <x:c r="H107" s="46"/>
      <x:c r="I107" s="46"/>
      <x:c r="J107" s="46"/>
      <x:c r="K107" s="46"/>
      <x:c r="L107" s="46"/>
      <x:c r="M107" s="46"/>
      <x:c r="N107" s="46"/>
    </x:row>
    <x:row r="108">
      <x:c r="A108" s="46"/>
      <x:c r="B108" s="46"/>
      <x:c r="C108" s="46"/>
      <x:c r="D108" s="46"/>
      <x:c r="E108" s="46"/>
      <x:c r="F108" s="46"/>
      <x:c r="G108" s="46"/>
      <x:c r="H108" s="46"/>
      <x:c r="I108" s="46"/>
      <x:c r="J108" s="46"/>
      <x:c r="K108" s="46"/>
      <x:c r="L108" s="46"/>
      <x:c r="M108" s="46"/>
      <x:c r="N108" s="46"/>
    </x:row>
    <x:row r="109">
      <x:c r="A109" s="46"/>
      <x:c r="B109" s="46"/>
      <x:c r="C109" s="46"/>
      <x:c r="D109" s="46"/>
      <x:c r="E109" s="46"/>
      <x:c r="F109" s="46"/>
      <x:c r="G109" s="46"/>
      <x:c r="H109" s="46"/>
      <x:c r="I109" s="46"/>
      <x:c r="J109" s="46"/>
      <x:c r="K109" s="46"/>
      <x:c r="L109" s="46"/>
      <x:c r="M109" s="46"/>
      <x:c r="N109" s="46"/>
    </x:row>
    <x:row r="110">
      <x:c r="A110" s="46"/>
      <x:c r="B110" s="46"/>
      <x:c r="C110" s="46"/>
      <x:c r="D110" s="46"/>
      <x:c r="E110" s="46"/>
      <x:c r="F110" s="46"/>
      <x:c r="G110" s="46"/>
      <x:c r="H110" s="46"/>
      <x:c r="I110" s="46"/>
      <x:c r="J110" s="46"/>
      <x:c r="K110" s="46"/>
      <x:c r="L110" s="46"/>
      <x:c r="M110" s="46"/>
      <x:c r="N110" s="46"/>
    </x:row>
    <x:row r="111">
      <x:c r="A111" s="46"/>
      <x:c r="B111" s="46"/>
      <x:c r="C111" s="46"/>
      <x:c r="D111" s="46"/>
      <x:c r="E111" s="46"/>
      <x:c r="F111" s="46"/>
      <x:c r="G111" s="46"/>
      <x:c r="H111" s="46"/>
      <x:c r="I111" s="46"/>
      <x:c r="J111" s="46"/>
      <x:c r="K111" s="46"/>
      <x:c r="L111" s="46"/>
      <x:c r="M111" s="46"/>
      <x:c r="N111" s="46"/>
    </x:row>
    <x:row r="112">
      <x:c r="A112" s="46"/>
      <x:c r="B112" s="46"/>
      <x:c r="C112" s="46"/>
      <x:c r="D112" s="46"/>
      <x:c r="E112" s="46"/>
      <x:c r="F112" s="46"/>
      <x:c r="G112" s="46"/>
      <x:c r="H112" s="46"/>
      <x:c r="I112" s="46"/>
      <x:c r="J112" s="46"/>
      <x:c r="K112" s="46"/>
      <x:c r="L112" s="46"/>
      <x:c r="M112" s="46"/>
      <x:c r="N112" s="46"/>
    </x:row>
    <x:row r="113">
      <x:c r="A113" s="46"/>
      <x:c r="B113" s="46"/>
      <x:c r="C113" s="46"/>
      <x:c r="D113" s="46"/>
      <x:c r="E113" s="46"/>
      <x:c r="F113" s="46"/>
      <x:c r="G113" s="46"/>
      <x:c r="H113" s="46"/>
      <x:c r="I113" s="46"/>
      <x:c r="J113" s="46"/>
      <x:c r="K113" s="46"/>
      <x:c r="L113" s="46"/>
      <x:c r="M113" s="46"/>
      <x:c r="N113" s="46"/>
    </x:row>
    <x:row r="114">
      <x:c r="A114" s="46"/>
      <x:c r="B114" s="46"/>
      <x:c r="C114" s="46"/>
      <x:c r="D114" s="46"/>
      <x:c r="E114" s="46"/>
      <x:c r="F114" s="46"/>
      <x:c r="G114" s="46"/>
      <x:c r="H114" s="46"/>
      <x:c r="I114" s="46"/>
      <x:c r="J114" s="46"/>
      <x:c r="K114" s="46"/>
      <x:c r="L114" s="46"/>
      <x:c r="M114" s="46"/>
      <x:c r="N114" s="46"/>
    </x:row>
    <x:row r="115">
      <x:c r="A115" s="46"/>
      <x:c r="B115" s="46"/>
      <x:c r="C115" s="46"/>
      <x:c r="D115" s="46"/>
      <x:c r="E115" s="46"/>
      <x:c r="F115" s="46"/>
      <x:c r="G115" s="46"/>
      <x:c r="H115" s="46"/>
      <x:c r="I115" s="46"/>
      <x:c r="J115" s="46"/>
      <x:c r="K115" s="46"/>
      <x:c r="L115" s="46"/>
      <x:c r="M115" s="46"/>
      <x:c r="N115" s="46"/>
    </x:row>
    <x:row r="116">
      <x:c r="A116" s="46"/>
      <x:c r="B116" s="46"/>
      <x:c r="C116" s="46"/>
      <x:c r="D116" s="46"/>
      <x:c r="E116" s="46"/>
      <x:c r="F116" s="46"/>
      <x:c r="G116" s="46"/>
      <x:c r="H116" s="46"/>
      <x:c r="I116" s="46"/>
      <x:c r="J116" s="46"/>
      <x:c r="K116" s="46"/>
      <x:c r="L116" s="46"/>
      <x:c r="M116" s="46"/>
      <x:c r="N116" s="46"/>
    </x:row>
    <x:row r="117">
      <x:c r="A117" s="46"/>
      <x:c r="B117" s="46"/>
      <x:c r="C117" s="46"/>
      <x:c r="D117" s="46"/>
      <x:c r="E117" s="46"/>
      <x:c r="F117" s="46"/>
      <x:c r="G117" s="46"/>
      <x:c r="H117" s="46"/>
      <x:c r="I117" s="46"/>
      <x:c r="J117" s="46"/>
      <x:c r="K117" s="46"/>
      <x:c r="L117" s="46"/>
      <x:c r="M117" s="46"/>
      <x:c r="N117" s="46"/>
    </x:row>
    <x:row r="118">
      <x:c r="A118" s="46"/>
      <x:c r="B118" s="46"/>
      <x:c r="C118" s="46"/>
      <x:c r="D118" s="46"/>
      <x:c r="E118" s="46"/>
      <x:c r="F118" s="46"/>
      <x:c r="G118" s="46"/>
      <x:c r="H118" s="46"/>
      <x:c r="I118" s="46"/>
      <x:c r="J118" s="46"/>
      <x:c r="K118" s="46"/>
      <x:c r="L118" s="46"/>
      <x:c r="M118" s="46"/>
      <x:c r="N118" s="46"/>
    </x:row>
    <x:row r="119">
      <x:c r="A119" s="46"/>
      <x:c r="B119" s="46"/>
      <x:c r="C119" s="46"/>
      <x:c r="D119" s="46"/>
      <x:c r="E119" s="46"/>
      <x:c r="F119" s="46"/>
      <x:c r="G119" s="46"/>
      <x:c r="H119" s="46"/>
      <x:c r="I119" s="46"/>
      <x:c r="J119" s="46"/>
      <x:c r="K119" s="46"/>
      <x:c r="L119" s="46"/>
      <x:c r="M119" s="46"/>
      <x:c r="N119" s="46"/>
    </x:row>
    <x:row r="120">
      <x:c r="A120" s="46"/>
      <x:c r="B120" s="46"/>
      <x:c r="C120" s="46"/>
      <x:c r="D120" s="46"/>
      <x:c r="E120" s="46"/>
      <x:c r="F120" s="46"/>
      <x:c r="G120" s="46"/>
      <x:c r="H120" s="46"/>
      <x:c r="I120" s="46"/>
      <x:c r="J120" s="46"/>
      <x:c r="K120" s="46"/>
      <x:c r="L120" s="46"/>
      <x:c r="M120" s="46"/>
      <x:c r="N120" s="46"/>
    </x:row>
    <x:row r="121">
      <x:c r="A121" s="46"/>
      <x:c r="B121" s="46"/>
      <x:c r="C121" s="46"/>
      <x:c r="D121" s="46"/>
      <x:c r="E121" s="46"/>
      <x:c r="F121" s="46"/>
      <x:c r="G121" s="46"/>
      <x:c r="H121" s="46"/>
      <x:c r="I121" s="46"/>
      <x:c r="J121" s="46"/>
      <x:c r="K121" s="46"/>
      <x:c r="L121" s="46"/>
      <x:c r="M121" s="46"/>
      <x:c r="N121" s="46"/>
    </x:row>
    <x:row r="122">
      <x:c r="A122" s="46"/>
      <x:c r="B122" s="46"/>
      <x:c r="C122" s="46"/>
      <x:c r="D122" s="46"/>
      <x:c r="E122" s="46"/>
      <x:c r="F122" s="46"/>
      <x:c r="G122" s="46"/>
      <x:c r="H122" s="46"/>
      <x:c r="I122" s="46"/>
      <x:c r="J122" s="46"/>
      <x:c r="K122" s="46"/>
      <x:c r="L122" s="46"/>
      <x:c r="M122" s="46"/>
      <x:c r="N122" s="46"/>
    </x:row>
    <x:row r="123">
      <x:c r="A123" s="46"/>
      <x:c r="B123" s="46"/>
      <x:c r="C123" s="46"/>
      <x:c r="D123" s="46"/>
      <x:c r="E123" s="46"/>
      <x:c r="F123" s="46"/>
      <x:c r="G123" s="46"/>
      <x:c r="H123" s="46"/>
      <x:c r="I123" s="46"/>
      <x:c r="J123" s="46"/>
      <x:c r="K123" s="46"/>
      <x:c r="L123" s="46"/>
      <x:c r="M123" s="46"/>
      <x:c r="N123" s="46"/>
    </x:row>
    <x:row r="124">
      <x:c r="A124" s="46"/>
      <x:c r="B124" s="46"/>
      <x:c r="C124" s="46"/>
      <x:c r="D124" s="46"/>
      <x:c r="E124" s="46"/>
      <x:c r="F124" s="46"/>
      <x:c r="G124" s="46"/>
      <x:c r="H124" s="46"/>
      <x:c r="I124" s="46"/>
      <x:c r="J124" s="46"/>
      <x:c r="K124" s="46"/>
      <x:c r="L124" s="46"/>
      <x:c r="M124" s="46"/>
      <x:c r="N124" s="46"/>
    </x:row>
    <x:row r="125">
      <x:c r="A125" s="46"/>
      <x:c r="B125" s="46"/>
      <x:c r="C125" s="46"/>
      <x:c r="D125" s="46"/>
      <x:c r="E125" s="46"/>
      <x:c r="F125" s="46"/>
      <x:c r="G125" s="46"/>
      <x:c r="H125" s="46"/>
      <x:c r="I125" s="46"/>
      <x:c r="J125" s="46"/>
      <x:c r="K125" s="46"/>
      <x:c r="L125" s="46"/>
      <x:c r="M125" s="46"/>
      <x:c r="N125" s="46"/>
    </x:row>
    <x:row r="126">
      <x:c r="A126" s="46"/>
      <x:c r="B126" s="46"/>
      <x:c r="C126" s="46"/>
      <x:c r="D126" s="46"/>
      <x:c r="E126" s="46"/>
      <x:c r="F126" s="46"/>
      <x:c r="G126" s="46"/>
      <x:c r="H126" s="46"/>
      <x:c r="I126" s="46"/>
      <x:c r="J126" s="46"/>
      <x:c r="K126" s="46"/>
      <x:c r="L126" s="46"/>
      <x:c r="M126" s="46"/>
      <x:c r="N126" s="46"/>
    </x:row>
    <x:row r="127">
      <x:c r="A127" s="46"/>
      <x:c r="B127" s="46"/>
      <x:c r="C127" s="46"/>
      <x:c r="D127" s="46"/>
      <x:c r="E127" s="46"/>
      <x:c r="F127" s="46"/>
      <x:c r="G127" s="46"/>
      <x:c r="H127" s="46"/>
      <x:c r="I127" s="46"/>
      <x:c r="J127" s="46"/>
      <x:c r="K127" s="46"/>
      <x:c r="L127" s="46"/>
      <x:c r="M127" s="46"/>
      <x:c r="N127" s="46"/>
    </x:row>
    <x:row r="128">
      <x:c r="A128" s="46"/>
      <x:c r="B128" s="46"/>
      <x:c r="C128" s="46"/>
      <x:c r="D128" s="46"/>
      <x:c r="E128" s="46"/>
      <x:c r="F128" s="46"/>
      <x:c r="G128" s="46"/>
      <x:c r="H128" s="46"/>
      <x:c r="I128" s="46"/>
      <x:c r="J128" s="46"/>
      <x:c r="K128" s="46"/>
      <x:c r="L128" s="46"/>
      <x:c r="M128" s="46"/>
      <x:c r="N128" s="46"/>
    </x:row>
    <x:row r="129">
      <x:c r="A129" s="46"/>
      <x:c r="B129" s="46"/>
      <x:c r="C129" s="46"/>
      <x:c r="D129" s="46"/>
      <x:c r="E129" s="46"/>
      <x:c r="F129" s="46"/>
      <x:c r="G129" s="46"/>
      <x:c r="H129" s="46"/>
      <x:c r="I129" s="46"/>
      <x:c r="J129" s="46"/>
      <x:c r="K129" s="46"/>
      <x:c r="L129" s="46"/>
      <x:c r="M129" s="46"/>
      <x:c r="N129" s="46"/>
    </x:row>
    <x:row r="130">
      <x:c r="A130" s="46"/>
      <x:c r="B130" s="46"/>
      <x:c r="C130" s="46"/>
      <x:c r="D130" s="46"/>
      <x:c r="E130" s="46"/>
      <x:c r="F130" s="46"/>
      <x:c r="G130" s="46"/>
      <x:c r="H130" s="46"/>
      <x:c r="I130" s="46"/>
      <x:c r="J130" s="46"/>
      <x:c r="K130" s="46"/>
      <x:c r="L130" s="46"/>
      <x:c r="M130" s="46"/>
      <x:c r="N130" s="46"/>
    </x:row>
    <x:row r="131">
      <x:c r="A131" s="46"/>
      <x:c r="B131" s="46"/>
      <x:c r="C131" s="46"/>
      <x:c r="D131" s="46"/>
      <x:c r="E131" s="46"/>
      <x:c r="F131" s="46"/>
      <x:c r="G131" s="46"/>
      <x:c r="H131" s="46"/>
      <x:c r="I131" s="46"/>
      <x:c r="J131" s="46"/>
      <x:c r="K131" s="46"/>
      <x:c r="L131" s="46"/>
      <x:c r="M131" s="46"/>
      <x:c r="N131" s="46"/>
    </x:row>
    <x:row r="132">
      <x:c r="A132" s="46"/>
      <x:c r="B132" s="46"/>
      <x:c r="C132" s="46"/>
      <x:c r="D132" s="46"/>
      <x:c r="E132" s="46"/>
      <x:c r="F132" s="46"/>
      <x:c r="G132" s="46"/>
      <x:c r="H132" s="46"/>
      <x:c r="I132" s="46"/>
      <x:c r="J132" s="46"/>
      <x:c r="K132" s="46"/>
      <x:c r="L132" s="46"/>
      <x:c r="M132" s="46"/>
      <x:c r="N132" s="46"/>
    </x:row>
    <x:row r="133">
      <x:c r="A133" s="46"/>
      <x:c r="B133" s="46"/>
      <x:c r="C133" s="46"/>
      <x:c r="D133" s="46"/>
      <x:c r="E133" s="46"/>
      <x:c r="F133" s="46"/>
      <x:c r="G133" s="46"/>
      <x:c r="H133" s="46"/>
      <x:c r="I133" s="46"/>
      <x:c r="J133" s="46"/>
      <x:c r="K133" s="46"/>
      <x:c r="L133" s="46"/>
      <x:c r="M133" s="46"/>
      <x:c r="N133" s="46"/>
    </x:row>
    <x:row r="134">
      <x:c r="A134" s="46"/>
      <x:c r="B134" s="46"/>
      <x:c r="C134" s="46"/>
      <x:c r="D134" s="46"/>
      <x:c r="E134" s="46"/>
      <x:c r="F134" s="46"/>
      <x:c r="G134" s="46"/>
      <x:c r="H134" s="46"/>
      <x:c r="I134" s="46"/>
      <x:c r="J134" s="46"/>
      <x:c r="K134" s="46"/>
      <x:c r="L134" s="46"/>
      <x:c r="M134" s="46"/>
      <x:c r="N134" s="46"/>
    </x:row>
    <x:row r="135">
      <x:c r="A135" s="46"/>
      <x:c r="B135" s="46"/>
      <x:c r="C135" s="46"/>
      <x:c r="D135" s="46"/>
      <x:c r="E135" s="46"/>
      <x:c r="F135" s="46"/>
      <x:c r="G135" s="46"/>
      <x:c r="H135" s="46"/>
      <x:c r="I135" s="46"/>
      <x:c r="J135" s="46"/>
      <x:c r="K135" s="46"/>
      <x:c r="L135" s="46"/>
      <x:c r="M135" s="46"/>
      <x:c r="N135" s="46"/>
    </x:row>
    <x:row r="136">
      <x:c r="A136" s="46"/>
      <x:c r="B136" s="46"/>
      <x:c r="C136" s="46"/>
      <x:c r="D136" s="46"/>
      <x:c r="E136" s="46"/>
      <x:c r="F136" s="46"/>
      <x:c r="G136" s="46"/>
      <x:c r="H136" s="46"/>
      <x:c r="I136" s="46"/>
      <x:c r="J136" s="46"/>
      <x:c r="K136" s="46"/>
      <x:c r="L136" s="46"/>
      <x:c r="M136" s="46"/>
      <x:c r="N136" s="46"/>
    </x:row>
    <x:row r="137">
      <x:c r="A137" s="46"/>
      <x:c r="B137" s="46"/>
      <x:c r="C137" s="46"/>
      <x:c r="D137" s="46"/>
      <x:c r="E137" s="46"/>
      <x:c r="F137" s="46"/>
      <x:c r="G137" s="46"/>
      <x:c r="H137" s="46"/>
      <x:c r="I137" s="46"/>
      <x:c r="J137" s="46"/>
      <x:c r="K137" s="46"/>
      <x:c r="L137" s="46"/>
      <x:c r="M137" s="46"/>
      <x:c r="N137" s="46"/>
    </x:row>
    <x:row r="138">
      <x:c r="A138" s="46"/>
      <x:c r="B138" s="46"/>
      <x:c r="C138" s="46"/>
      <x:c r="D138" s="46"/>
      <x:c r="E138" s="46"/>
      <x:c r="F138" s="46"/>
      <x:c r="G138" s="46"/>
      <x:c r="H138" s="46"/>
      <x:c r="I138" s="46"/>
      <x:c r="J138" s="46"/>
      <x:c r="K138" s="46"/>
      <x:c r="L138" s="46"/>
      <x:c r="M138" s="46"/>
      <x:c r="N138" s="46"/>
    </x:row>
    <x:row r="139">
      <x:c r="A139" s="46"/>
      <x:c r="B139" s="46"/>
      <x:c r="C139" s="46"/>
      <x:c r="D139" s="46"/>
      <x:c r="E139" s="46"/>
      <x:c r="F139" s="46"/>
      <x:c r="G139" s="46"/>
      <x:c r="H139" s="46"/>
      <x:c r="I139" s="46"/>
      <x:c r="J139" s="46"/>
      <x:c r="K139" s="46"/>
      <x:c r="L139" s="46"/>
      <x:c r="M139" s="46"/>
      <x:c r="N139" s="46"/>
    </x:row>
    <x:row r="140">
      <x:c r="A140" s="46"/>
      <x:c r="B140" s="46"/>
      <x:c r="C140" s="46"/>
      <x:c r="D140" s="46"/>
      <x:c r="E140" s="46"/>
      <x:c r="F140" s="46"/>
      <x:c r="G140" s="46"/>
      <x:c r="H140" s="46"/>
      <x:c r="I140" s="46"/>
      <x:c r="J140" s="46"/>
      <x:c r="K140" s="46"/>
      <x:c r="L140" s="46"/>
      <x:c r="M140" s="46"/>
      <x:c r="N140" s="46"/>
    </x:row>
    <x:row r="141">
      <x:c r="A141" s="46"/>
      <x:c r="B141" s="46"/>
      <x:c r="C141" s="46"/>
      <x:c r="D141" s="46"/>
      <x:c r="E141" s="46"/>
      <x:c r="F141" s="46"/>
      <x:c r="G141" s="46"/>
      <x:c r="H141" s="46"/>
      <x:c r="I141" s="46"/>
      <x:c r="J141" s="46"/>
      <x:c r="K141" s="46"/>
      <x:c r="L141" s="46"/>
      <x:c r="M141" s="46"/>
      <x:c r="N141" s="46"/>
    </x:row>
    <x:row r="142">
      <x:c r="A142" s="46"/>
      <x:c r="B142" s="46"/>
      <x:c r="C142" s="46"/>
      <x:c r="D142" s="46"/>
      <x:c r="E142" s="46"/>
      <x:c r="F142" s="46"/>
      <x:c r="G142" s="46"/>
      <x:c r="H142" s="46"/>
      <x:c r="I142" s="46"/>
      <x:c r="J142" s="46"/>
      <x:c r="K142" s="46"/>
      <x:c r="L142" s="46"/>
      <x:c r="M142" s="46"/>
      <x:c r="N142" s="46"/>
    </x:row>
    <x:row r="143">
      <x:c r="A143" s="46"/>
      <x:c r="B143" s="46"/>
      <x:c r="C143" s="46"/>
      <x:c r="D143" s="46"/>
      <x:c r="E143" s="46"/>
      <x:c r="F143" s="46"/>
      <x:c r="G143" s="46"/>
      <x:c r="H143" s="46"/>
      <x:c r="I143" s="46"/>
      <x:c r="J143" s="46"/>
      <x:c r="K143" s="46"/>
      <x:c r="L143" s="46"/>
      <x:c r="M143" s="46"/>
      <x:c r="N143" s="46"/>
    </x:row>
    <x:row r="144">
      <x:c r="A144" s="46"/>
      <x:c r="B144" s="46"/>
      <x:c r="C144" s="46"/>
      <x:c r="D144" s="46"/>
      <x:c r="E144" s="46"/>
      <x:c r="F144" s="46"/>
      <x:c r="G144" s="46"/>
      <x:c r="H144" s="46"/>
      <x:c r="I144" s="46"/>
      <x:c r="J144" s="46"/>
      <x:c r="K144" s="46"/>
      <x:c r="L144" s="46"/>
      <x:c r="M144" s="46"/>
      <x:c r="N144" s="46"/>
    </x:row>
    <x:row r="145">
      <x:c r="A145" s="46"/>
      <x:c r="B145" s="46"/>
      <x:c r="C145" s="46"/>
      <x:c r="D145" s="46"/>
      <x:c r="E145" s="46"/>
      <x:c r="F145" s="46"/>
      <x:c r="G145" s="46"/>
      <x:c r="H145" s="46"/>
      <x:c r="I145" s="46"/>
      <x:c r="J145" s="46"/>
      <x:c r="K145" s="46"/>
      <x:c r="L145" s="46"/>
      <x:c r="M145" s="46"/>
      <x:c r="N145" s="46"/>
    </x:row>
    <x:row r="146">
      <x:c r="A146" s="46"/>
      <x:c r="B146" s="46"/>
      <x:c r="C146" s="46"/>
      <x:c r="D146" s="46"/>
      <x:c r="E146" s="46"/>
      <x:c r="F146" s="46"/>
      <x:c r="G146" s="46"/>
      <x:c r="H146" s="46"/>
      <x:c r="I146" s="46"/>
      <x:c r="J146" s="46"/>
      <x:c r="K146" s="46"/>
      <x:c r="L146" s="46"/>
      <x:c r="M146" s="46"/>
      <x:c r="N146" s="46"/>
    </x:row>
    <x:row r="147">
      <x:c r="A147" s="46"/>
      <x:c r="B147" s="46"/>
      <x:c r="C147" s="46"/>
      <x:c r="D147" s="46"/>
      <x:c r="E147" s="46"/>
      <x:c r="F147" s="46"/>
      <x:c r="G147" s="46"/>
      <x:c r="H147" s="46"/>
      <x:c r="I147" s="46"/>
      <x:c r="J147" s="46"/>
      <x:c r="K147" s="46"/>
      <x:c r="L147" s="46"/>
      <x:c r="M147" s="46"/>
      <x:c r="N147" s="46"/>
    </x:row>
    <x:row r="148">
      <x:c r="A148" s="46"/>
      <x:c r="B148" s="46"/>
      <x:c r="C148" s="46"/>
      <x:c r="D148" s="46"/>
      <x:c r="E148" s="46"/>
      <x:c r="F148" s="46"/>
      <x:c r="G148" s="46"/>
      <x:c r="H148" s="46"/>
      <x:c r="I148" s="46"/>
      <x:c r="J148" s="46"/>
      <x:c r="K148" s="46"/>
      <x:c r="L148" s="46"/>
      <x:c r="M148" s="46"/>
      <x:c r="N148" s="46"/>
    </x:row>
    <x:row r="149">
      <x:c r="A149" s="46"/>
      <x:c r="B149" s="46"/>
      <x:c r="C149" s="46"/>
      <x:c r="D149" s="46"/>
      <x:c r="E149" s="46"/>
      <x:c r="F149" s="46"/>
      <x:c r="G149" s="46"/>
      <x:c r="H149" s="46"/>
      <x:c r="I149" s="46"/>
      <x:c r="J149" s="46"/>
      <x:c r="K149" s="46"/>
      <x:c r="L149" s="46"/>
      <x:c r="M149" s="46"/>
      <x:c r="N149" s="46"/>
    </x:row>
    <x:row r="150">
      <x:c r="A150" s="46"/>
      <x:c r="B150" s="46"/>
      <x:c r="C150" s="46"/>
      <x:c r="D150" s="46"/>
      <x:c r="E150" s="46"/>
      <x:c r="F150" s="46"/>
      <x:c r="G150" s="46"/>
      <x:c r="H150" s="46"/>
      <x:c r="I150" s="46"/>
      <x:c r="J150" s="46"/>
      <x:c r="K150" s="46"/>
      <x:c r="L150" s="46"/>
      <x:c r="M150" s="46"/>
      <x:c r="N150" s="46"/>
    </x:row>
    <x:row r="151">
      <x:c r="A151" s="46"/>
      <x:c r="B151" s="46"/>
      <x:c r="C151" s="46"/>
      <x:c r="D151" s="46"/>
      <x:c r="E151" s="46"/>
      <x:c r="F151" s="46"/>
      <x:c r="G151" s="46"/>
      <x:c r="H151" s="46"/>
      <x:c r="I151" s="46"/>
      <x:c r="J151" s="46"/>
      <x:c r="K151" s="46"/>
      <x:c r="L151" s="46"/>
      <x:c r="M151" s="46"/>
      <x:c r="N151" s="46"/>
    </x:row>
    <x:row r="152">
      <x:c r="A152" s="46"/>
      <x:c r="B152" s="46"/>
      <x:c r="C152" s="46"/>
      <x:c r="D152" s="46"/>
      <x:c r="E152" s="46"/>
      <x:c r="F152" s="46"/>
      <x:c r="G152" s="46"/>
      <x:c r="H152" s="46"/>
      <x:c r="I152" s="46"/>
      <x:c r="J152" s="46"/>
      <x:c r="K152" s="46"/>
      <x:c r="L152" s="46"/>
      <x:c r="M152" s="46"/>
      <x:c r="N152" s="46"/>
    </x:row>
    <x:row r="153">
      <x:c r="A153" s="46"/>
      <x:c r="B153" s="46"/>
      <x:c r="C153" s="46"/>
      <x:c r="D153" s="46"/>
      <x:c r="E153" s="46"/>
      <x:c r="F153" s="46"/>
      <x:c r="G153" s="46"/>
      <x:c r="H153" s="46"/>
      <x:c r="I153" s="46"/>
      <x:c r="J153" s="46"/>
      <x:c r="K153" s="46"/>
      <x:c r="L153" s="46"/>
      <x:c r="M153" s="46"/>
      <x:c r="N153" s="46"/>
    </x:row>
    <x:row r="154">
      <x:c r="A154" s="46"/>
      <x:c r="B154" s="46"/>
      <x:c r="C154" s="46"/>
      <x:c r="D154" s="46"/>
      <x:c r="E154" s="46"/>
      <x:c r="F154" s="46"/>
      <x:c r="G154" s="46"/>
      <x:c r="H154" s="46"/>
      <x:c r="I154" s="46"/>
      <x:c r="J154" s="46"/>
      <x:c r="K154" s="46"/>
      <x:c r="L154" s="46"/>
      <x:c r="M154" s="46"/>
      <x:c r="N154" s="46"/>
    </x:row>
    <x:row r="155">
      <x:c r="A155" s="46"/>
      <x:c r="B155" s="46"/>
      <x:c r="C155" s="46"/>
      <x:c r="D155" s="46"/>
      <x:c r="E155" s="46"/>
      <x:c r="F155" s="46"/>
      <x:c r="G155" s="46"/>
      <x:c r="H155" s="46"/>
      <x:c r="I155" s="46"/>
      <x:c r="J155" s="46"/>
      <x:c r="K155" s="46"/>
      <x:c r="L155" s="46"/>
      <x:c r="M155" s="46"/>
      <x:c r="N155" s="46"/>
    </x:row>
    <x:row r="156">
      <x:c r="A156" s="46"/>
      <x:c r="B156" s="46"/>
      <x:c r="C156" s="46"/>
      <x:c r="D156" s="46"/>
      <x:c r="E156" s="46"/>
      <x:c r="F156" s="46"/>
      <x:c r="G156" s="46"/>
      <x:c r="H156" s="46"/>
      <x:c r="I156" s="46"/>
      <x:c r="J156" s="46"/>
      <x:c r="K156" s="46"/>
      <x:c r="L156" s="46"/>
      <x:c r="M156" s="46"/>
      <x:c r="N156" s="46"/>
    </x:row>
    <x:row r="157">
      <x:c r="A157" s="46"/>
      <x:c r="B157" s="46"/>
      <x:c r="C157" s="46"/>
      <x:c r="D157" s="46"/>
      <x:c r="E157" s="46"/>
      <x:c r="F157" s="46"/>
      <x:c r="G157" s="46"/>
      <x:c r="H157" s="46"/>
      <x:c r="I157" s="46"/>
      <x:c r="J157" s="46"/>
      <x:c r="K157" s="46"/>
      <x:c r="L157" s="46"/>
      <x:c r="M157" s="46"/>
      <x:c r="N157" s="46"/>
    </x:row>
    <x:row r="158">
      <x:c r="A158" s="46"/>
      <x:c r="B158" s="46"/>
      <x:c r="C158" s="46"/>
      <x:c r="D158" s="46"/>
      <x:c r="E158" s="46"/>
      <x:c r="F158" s="46"/>
      <x:c r="G158" s="46"/>
      <x:c r="H158" s="46"/>
      <x:c r="I158" s="46"/>
      <x:c r="J158" s="46"/>
      <x:c r="K158" s="46"/>
      <x:c r="L158" s="46"/>
      <x:c r="M158" s="46"/>
      <x:c r="N158" s="46"/>
    </x:row>
    <x:row r="159">
      <x:c r="A159" s="46"/>
      <x:c r="B159" s="46"/>
      <x:c r="C159" s="46"/>
      <x:c r="D159" s="46"/>
      <x:c r="E159" s="46"/>
      <x:c r="F159" s="46"/>
      <x:c r="G159" s="46"/>
      <x:c r="H159" s="46"/>
      <x:c r="I159" s="46"/>
      <x:c r="J159" s="46"/>
      <x:c r="K159" s="46"/>
      <x:c r="L159" s="46"/>
      <x:c r="M159" s="46"/>
      <x:c r="N159" s="46"/>
    </x:row>
    <x:row r="160">
      <x:c r="A160" s="46"/>
      <x:c r="B160" s="46"/>
      <x:c r="C160" s="46"/>
      <x:c r="D160" s="46"/>
      <x:c r="E160" s="46"/>
      <x:c r="F160" s="46"/>
      <x:c r="G160" s="46"/>
      <x:c r="H160" s="46"/>
      <x:c r="I160" s="46"/>
      <x:c r="J160" s="46"/>
      <x:c r="K160" s="46"/>
      <x:c r="L160" s="46"/>
      <x:c r="M160" s="46"/>
      <x:c r="N160" s="46"/>
    </x:row>
    <x:row r="161">
      <x:c r="A161" s="46"/>
      <x:c r="B161" s="46"/>
      <x:c r="C161" s="46"/>
      <x:c r="D161" s="46"/>
      <x:c r="E161" s="46"/>
      <x:c r="F161" s="46"/>
      <x:c r="G161" s="46"/>
      <x:c r="H161" s="46"/>
      <x:c r="I161" s="46"/>
      <x:c r="J161" s="46"/>
      <x:c r="K161" s="46"/>
      <x:c r="L161" s="46"/>
      <x:c r="M161" s="46"/>
      <x:c r="N161" s="46"/>
    </x:row>
    <x:row r="162">
      <x:c r="A162" s="46"/>
      <x:c r="B162" s="46"/>
      <x:c r="C162" s="46"/>
      <x:c r="D162" s="46"/>
      <x:c r="E162" s="46"/>
      <x:c r="F162" s="46"/>
      <x:c r="G162" s="46"/>
      <x:c r="H162" s="46"/>
      <x:c r="I162" s="46"/>
      <x:c r="J162" s="46"/>
      <x:c r="K162" s="46"/>
      <x:c r="L162" s="46"/>
      <x:c r="M162" s="46"/>
      <x:c r="N162" s="46"/>
    </x:row>
    <x:row r="163">
      <x:c r="A163" s="46"/>
      <x:c r="B163" s="46"/>
      <x:c r="C163" s="46"/>
      <x:c r="D163" s="46"/>
      <x:c r="E163" s="46"/>
      <x:c r="F163" s="46"/>
      <x:c r="G163" s="46"/>
      <x:c r="H163" s="46"/>
      <x:c r="I163" s="46"/>
      <x:c r="J163" s="46"/>
      <x:c r="K163" s="46"/>
      <x:c r="L163" s="46"/>
      <x:c r="M163" s="46"/>
      <x:c r="N163" s="46"/>
    </x:row>
    <x:row r="164">
      <x:c r="A164" s="46"/>
      <x:c r="B164" s="46"/>
      <x:c r="C164" s="46"/>
      <x:c r="D164" s="46"/>
      <x:c r="E164" s="46"/>
      <x:c r="F164" s="46"/>
      <x:c r="G164" s="46"/>
      <x:c r="H164" s="46"/>
      <x:c r="I164" s="46"/>
      <x:c r="J164" s="46"/>
      <x:c r="K164" s="46"/>
      <x:c r="L164" s="46"/>
      <x:c r="M164" s="46"/>
      <x:c r="N164" s="46"/>
    </x:row>
    <x:row r="165">
      <x:c r="A165" s="46"/>
      <x:c r="B165" s="46"/>
      <x:c r="C165" s="46"/>
      <x:c r="D165" s="46"/>
      <x:c r="E165" s="46"/>
      <x:c r="F165" s="46"/>
      <x:c r="G165" s="46"/>
      <x:c r="H165" s="46"/>
      <x:c r="I165" s="46"/>
      <x:c r="J165" s="46"/>
      <x:c r="K165" s="46"/>
      <x:c r="L165" s="46"/>
      <x:c r="M165" s="46"/>
      <x:c r="N165" s="46"/>
    </x:row>
    <x:row r="166">
      <x:c r="A166" s="46"/>
      <x:c r="B166" s="46"/>
      <x:c r="C166" s="46"/>
      <x:c r="D166" s="46"/>
      <x:c r="E166" s="46"/>
      <x:c r="F166" s="46"/>
      <x:c r="G166" s="46"/>
      <x:c r="H166" s="46"/>
      <x:c r="I166" s="46"/>
      <x:c r="J166" s="46"/>
      <x:c r="K166" s="46"/>
      <x:c r="L166" s="46"/>
      <x:c r="M166" s="46"/>
      <x:c r="N166" s="46"/>
    </x:row>
    <x:row r="167">
      <x:c r="A167" s="46"/>
      <x:c r="B167" s="46"/>
      <x:c r="C167" s="46"/>
      <x:c r="D167" s="46"/>
      <x:c r="E167" s="46"/>
      <x:c r="F167" s="46"/>
      <x:c r="G167" s="46"/>
      <x:c r="H167" s="46"/>
      <x:c r="I167" s="46"/>
      <x:c r="J167" s="46"/>
      <x:c r="K167" s="46"/>
      <x:c r="L167" s="46"/>
      <x:c r="M167" s="46"/>
      <x:c r="N167" s="46"/>
    </x:row>
    <x:row r="168">
      <x:c r="A168" s="46"/>
      <x:c r="B168" s="46"/>
      <x:c r="C168" s="46"/>
      <x:c r="D168" s="46"/>
      <x:c r="E168" s="46"/>
      <x:c r="F168" s="46"/>
      <x:c r="G168" s="46"/>
      <x:c r="H168" s="46"/>
      <x:c r="I168" s="46"/>
      <x:c r="J168" s="46"/>
      <x:c r="K168" s="46"/>
      <x:c r="L168" s="46"/>
      <x:c r="M168" s="46"/>
      <x:c r="N168" s="46"/>
    </x:row>
    <x:row r="169">
      <x:c r="A169" s="46"/>
      <x:c r="B169" s="46"/>
      <x:c r="C169" s="46"/>
      <x:c r="D169" s="46"/>
      <x:c r="E169" s="46"/>
      <x:c r="F169" s="46"/>
      <x:c r="G169" s="46"/>
      <x:c r="H169" s="46"/>
      <x:c r="I169" s="46"/>
      <x:c r="J169" s="46"/>
      <x:c r="K169" s="46"/>
      <x:c r="L169" s="46"/>
      <x:c r="M169" s="46"/>
      <x:c r="N169" s="46"/>
    </x:row>
    <x:row r="170">
      <x:c r="A170" s="46"/>
      <x:c r="B170" s="46"/>
      <x:c r="C170" s="46"/>
      <x:c r="D170" s="46"/>
      <x:c r="E170" s="46"/>
      <x:c r="F170" s="46"/>
      <x:c r="G170" s="46"/>
      <x:c r="H170" s="46"/>
      <x:c r="I170" s="46"/>
      <x:c r="J170" s="46"/>
      <x:c r="K170" s="46"/>
      <x:c r="L170" s="46"/>
      <x:c r="M170" s="46"/>
      <x:c r="N170" s="46"/>
    </x:row>
    <x:row r="171">
      <x:c r="A171" s="46"/>
      <x:c r="B171" s="46"/>
      <x:c r="C171" s="46"/>
      <x:c r="D171" s="46"/>
      <x:c r="E171" s="46"/>
      <x:c r="F171" s="46"/>
      <x:c r="G171" s="46"/>
      <x:c r="H171" s="46"/>
      <x:c r="I171" s="46"/>
      <x:c r="J171" s="46"/>
      <x:c r="K171" s="46"/>
      <x:c r="L171" s="46"/>
      <x:c r="M171" s="46"/>
      <x:c r="N171" s="46"/>
    </x:row>
    <x:row r="172">
      <x:c r="A172" s="46"/>
      <x:c r="B172" s="46"/>
      <x:c r="C172" s="46"/>
      <x:c r="D172" s="46"/>
      <x:c r="E172" s="46"/>
      <x:c r="F172" s="46"/>
      <x:c r="G172" s="46"/>
      <x:c r="H172" s="46"/>
      <x:c r="I172" s="46"/>
      <x:c r="J172" s="46"/>
      <x:c r="K172" s="46"/>
      <x:c r="L172" s="46"/>
      <x:c r="M172" s="46"/>
      <x:c r="N172" s="46"/>
    </x:row>
    <x:row r="173">
      <x:c r="A173" s="46"/>
      <x:c r="B173" s="46"/>
      <x:c r="C173" s="46"/>
      <x:c r="D173" s="46"/>
      <x:c r="E173" s="46"/>
      <x:c r="F173" s="46"/>
      <x:c r="G173" s="46"/>
      <x:c r="H173" s="46"/>
      <x:c r="I173" s="46"/>
      <x:c r="J173" s="46"/>
      <x:c r="K173" s="46"/>
      <x:c r="L173" s="46"/>
      <x:c r="M173" s="46"/>
      <x:c r="N173" s="46"/>
    </x:row>
    <x:row r="174">
      <x:c r="A174" s="46"/>
      <x:c r="B174" s="46"/>
      <x:c r="C174" s="46"/>
      <x:c r="D174" s="46"/>
      <x:c r="E174" s="46"/>
      <x:c r="F174" s="46"/>
      <x:c r="G174" s="46"/>
      <x:c r="H174" s="46"/>
      <x:c r="I174" s="46"/>
      <x:c r="J174" s="46"/>
      <x:c r="K174" s="46"/>
      <x:c r="L174" s="46"/>
      <x:c r="M174" s="46"/>
      <x:c r="N174" s="46"/>
    </x:row>
    <x:row r="175">
      <x:c r="A175" s="46"/>
      <x:c r="B175" s="46"/>
      <x:c r="C175" s="46"/>
      <x:c r="D175" s="46"/>
      <x:c r="E175" s="46"/>
      <x:c r="F175" s="46"/>
      <x:c r="G175" s="46"/>
      <x:c r="H175" s="46"/>
      <x:c r="I175" s="46"/>
      <x:c r="J175" s="46"/>
      <x:c r="K175" s="46"/>
      <x:c r="L175" s="46"/>
      <x:c r="M175" s="46"/>
      <x:c r="N175" s="46"/>
    </x:row>
    <x:row r="176">
      <x:c r="A176" s="46"/>
      <x:c r="B176" s="46"/>
      <x:c r="C176" s="46"/>
      <x:c r="D176" s="46"/>
      <x:c r="E176" s="46"/>
      <x:c r="F176" s="46"/>
      <x:c r="G176" s="46"/>
      <x:c r="H176" s="46"/>
      <x:c r="I176" s="46"/>
      <x:c r="J176" s="46"/>
      <x:c r="K176" s="46"/>
      <x:c r="L176" s="46"/>
      <x:c r="M176" s="46"/>
      <x:c r="N176" s="46"/>
    </x:row>
    <x:row r="177">
      <x:c r="A177" s="46"/>
      <x:c r="B177" s="46"/>
      <x:c r="C177" s="46"/>
      <x:c r="D177" s="46"/>
      <x:c r="E177" s="46"/>
      <x:c r="F177" s="46"/>
      <x:c r="G177" s="46"/>
      <x:c r="H177" s="46"/>
      <x:c r="I177" s="46"/>
      <x:c r="J177" s="46"/>
      <x:c r="K177" s="46"/>
      <x:c r="L177" s="46"/>
      <x:c r="M177" s="46"/>
      <x:c r="N177" s="46"/>
    </x:row>
    <x:row r="178">
      <x:c r="A178" s="46"/>
      <x:c r="B178" s="46"/>
      <x:c r="C178" s="46"/>
      <x:c r="D178" s="46"/>
      <x:c r="E178" s="46"/>
      <x:c r="F178" s="46"/>
      <x:c r="G178" s="46"/>
      <x:c r="H178" s="46"/>
      <x:c r="I178" s="46"/>
      <x:c r="J178" s="46"/>
      <x:c r="K178" s="46"/>
      <x:c r="L178" s="46"/>
      <x:c r="M178" s="46"/>
      <x:c r="N178" s="46"/>
    </x:row>
    <x:row r="179">
      <x:c r="A179" s="46"/>
      <x:c r="B179" s="46"/>
      <x:c r="C179" s="46"/>
      <x:c r="D179" s="46"/>
      <x:c r="E179" s="46"/>
      <x:c r="F179" s="46"/>
      <x:c r="G179" s="46"/>
      <x:c r="H179" s="46"/>
      <x:c r="I179" s="46"/>
      <x:c r="J179" s="46"/>
      <x:c r="K179" s="46"/>
      <x:c r="L179" s="46"/>
      <x:c r="M179" s="46"/>
      <x:c r="N179" s="46"/>
    </x:row>
    <x:row r="180">
      <x:c r="A180" s="46"/>
      <x:c r="B180" s="46"/>
      <x:c r="C180" s="46"/>
      <x:c r="D180" s="46"/>
      <x:c r="E180" s="46"/>
      <x:c r="F180" s="46"/>
      <x:c r="G180" s="46"/>
      <x:c r="H180" s="46"/>
      <x:c r="I180" s="46"/>
      <x:c r="J180" s="46"/>
      <x:c r="K180" s="46"/>
      <x:c r="L180" s="46"/>
      <x:c r="M180" s="46"/>
      <x:c r="N180" s="46"/>
    </x:row>
    <x:row r="181">
      <x:c r="A181" s="46"/>
      <x:c r="B181" s="46"/>
      <x:c r="C181" s="46"/>
      <x:c r="D181" s="46"/>
      <x:c r="E181" s="46"/>
      <x:c r="F181" s="46"/>
      <x:c r="G181" s="46"/>
      <x:c r="H181" s="46"/>
      <x:c r="I181" s="46"/>
      <x:c r="J181" s="46"/>
      <x:c r="K181" s="46"/>
      <x:c r="L181" s="46"/>
      <x:c r="M181" s="46"/>
      <x:c r="N181" s="46"/>
    </x:row>
    <x:row r="182">
      <x:c r="A182" s="46"/>
      <x:c r="B182" s="46"/>
      <x:c r="C182" s="46"/>
      <x:c r="D182" s="46"/>
      <x:c r="E182" s="46"/>
      <x:c r="F182" s="46"/>
      <x:c r="G182" s="46"/>
      <x:c r="H182" s="46"/>
      <x:c r="I182" s="46"/>
      <x:c r="J182" s="46"/>
      <x:c r="K182" s="46"/>
      <x:c r="L182" s="46"/>
      <x:c r="M182" s="46"/>
      <x:c r="N182" s="46"/>
    </x:row>
    <x:row r="183">
      <x:c r="A183" s="46"/>
      <x:c r="B183" s="46"/>
      <x:c r="C183" s="46"/>
      <x:c r="D183" s="46"/>
      <x:c r="E183" s="46"/>
      <x:c r="F183" s="46"/>
      <x:c r="G183" s="46"/>
      <x:c r="H183" s="46"/>
      <x:c r="I183" s="46"/>
      <x:c r="J183" s="46"/>
      <x:c r="K183" s="46"/>
      <x:c r="L183" s="46"/>
      <x:c r="M183" s="46"/>
      <x:c r="N183" s="46"/>
    </x:row>
    <x:row r="184">
      <x:c r="A184" s="46"/>
      <x:c r="B184" s="46"/>
      <x:c r="C184" s="46"/>
      <x:c r="D184" s="46"/>
      <x:c r="E184" s="46"/>
      <x:c r="F184" s="46"/>
      <x:c r="G184" s="46"/>
      <x:c r="H184" s="46"/>
      <x:c r="I184" s="46"/>
      <x:c r="J184" s="46"/>
      <x:c r="K184" s="46"/>
      <x:c r="L184" s="46"/>
      <x:c r="M184" s="46"/>
      <x:c r="N184" s="46"/>
    </x:row>
    <x:row r="185">
      <x:c r="A185" s="46"/>
      <x:c r="B185" s="46"/>
      <x:c r="C185" s="46"/>
      <x:c r="D185" s="46"/>
      <x:c r="E185" s="46"/>
      <x:c r="F185" s="46"/>
      <x:c r="G185" s="46"/>
      <x:c r="H185" s="46"/>
      <x:c r="I185" s="46"/>
      <x:c r="J185" s="46"/>
      <x:c r="K185" s="46"/>
      <x:c r="L185" s="46"/>
      <x:c r="M185" s="46"/>
      <x:c r="N185" s="46"/>
    </x:row>
    <x:row r="186">
      <x:c r="A186" s="46"/>
      <x:c r="B186" s="46"/>
      <x:c r="C186" s="46"/>
      <x:c r="D186" s="46"/>
      <x:c r="E186" s="46"/>
      <x:c r="F186" s="46"/>
      <x:c r="G186" s="46"/>
      <x:c r="H186" s="46"/>
      <x:c r="I186" s="46"/>
      <x:c r="J186" s="46"/>
      <x:c r="K186" s="46"/>
      <x:c r="L186" s="46"/>
      <x:c r="M186" s="46"/>
      <x:c r="N186" s="46"/>
    </x:row>
    <x:row r="187">
      <x:c r="A187" s="46"/>
      <x:c r="B187" s="46"/>
      <x:c r="C187" s="46"/>
      <x:c r="D187" s="46"/>
      <x:c r="E187" s="46"/>
      <x:c r="F187" s="46"/>
      <x:c r="G187" s="46"/>
      <x:c r="H187" s="46"/>
      <x:c r="I187" s="46"/>
      <x:c r="J187" s="46"/>
      <x:c r="K187" s="46"/>
      <x:c r="L187" s="46"/>
      <x:c r="M187" s="46"/>
      <x:c r="N187" s="46"/>
    </x:row>
    <x:row r="188">
      <x:c r="A188" s="46"/>
      <x:c r="B188" s="46"/>
      <x:c r="C188" s="46"/>
      <x:c r="D188" s="46"/>
      <x:c r="E188" s="46"/>
      <x:c r="F188" s="46"/>
      <x:c r="G188" s="46"/>
      <x:c r="H188" s="46"/>
      <x:c r="I188" s="46"/>
      <x:c r="J188" s="46"/>
      <x:c r="K188" s="46"/>
      <x:c r="L188" s="46"/>
      <x:c r="M188" s="46"/>
      <x:c r="N188" s="46"/>
    </x:row>
    <x:row r="189">
      <x:c r="A189" s="46"/>
      <x:c r="B189" s="46"/>
      <x:c r="C189" s="46"/>
      <x:c r="D189" s="46"/>
      <x:c r="E189" s="46"/>
      <x:c r="F189" s="46"/>
      <x:c r="G189" s="46"/>
      <x:c r="H189" s="46"/>
      <x:c r="I189" s="46"/>
      <x:c r="J189" s="46"/>
      <x:c r="K189" s="46"/>
      <x:c r="L189" s="46"/>
      <x:c r="M189" s="46"/>
      <x:c r="N189" s="46"/>
    </x:row>
    <x:row r="190">
      <x:c r="A190" s="46"/>
      <x:c r="B190" s="46"/>
      <x:c r="C190" s="46"/>
      <x:c r="D190" s="46"/>
      <x:c r="E190" s="46"/>
      <x:c r="F190" s="46"/>
      <x:c r="G190" s="46"/>
      <x:c r="H190" s="46"/>
      <x:c r="I190" s="46"/>
      <x:c r="J190" s="46"/>
      <x:c r="K190" s="46"/>
      <x:c r="L190" s="46"/>
      <x:c r="M190" s="46"/>
      <x:c r="N190" s="46"/>
    </x:row>
    <x:row r="191">
      <x:c r="A191" s="46"/>
      <x:c r="B191" s="46"/>
      <x:c r="C191" s="46"/>
      <x:c r="D191" s="46"/>
      <x:c r="E191" s="46"/>
      <x:c r="F191" s="46"/>
      <x:c r="G191" s="46"/>
      <x:c r="H191" s="46"/>
      <x:c r="I191" s="46"/>
      <x:c r="J191" s="46"/>
      <x:c r="K191" s="46"/>
      <x:c r="L191" s="46"/>
      <x:c r="M191" s="46"/>
      <x:c r="N191" s="46"/>
    </x:row>
    <x:row r="192">
      <x:c r="A192" s="46"/>
      <x:c r="B192" s="46"/>
      <x:c r="C192" s="46"/>
      <x:c r="D192" s="46"/>
      <x:c r="E192" s="46"/>
      <x:c r="F192" s="46"/>
      <x:c r="G192" s="46"/>
      <x:c r="H192" s="46"/>
      <x:c r="I192" s="46"/>
      <x:c r="J192" s="46"/>
      <x:c r="K192" s="46"/>
      <x:c r="L192" s="46"/>
      <x:c r="M192" s="46"/>
      <x:c r="N192" s="46"/>
    </x:row>
    <x:row r="193">
      <x:c r="A193" s="46"/>
      <x:c r="B193" s="46"/>
      <x:c r="C193" s="46"/>
      <x:c r="D193" s="46"/>
      <x:c r="E193" s="46"/>
      <x:c r="F193" s="46"/>
      <x:c r="G193" s="46"/>
      <x:c r="H193" s="46"/>
      <x:c r="I193" s="46"/>
      <x:c r="J193" s="46"/>
      <x:c r="K193" s="46"/>
      <x:c r="L193" s="46"/>
      <x:c r="M193" s="46"/>
      <x:c r="N193" s="46"/>
    </x:row>
    <x:row r="194">
      <x:c r="A194" s="46"/>
      <x:c r="B194" s="46"/>
      <x:c r="C194" s="46"/>
      <x:c r="D194" s="46"/>
      <x:c r="E194" s="46"/>
      <x:c r="F194" s="46"/>
      <x:c r="G194" s="46"/>
      <x:c r="H194" s="46"/>
      <x:c r="I194" s="46"/>
      <x:c r="J194" s="46"/>
      <x:c r="K194" s="46"/>
      <x:c r="L194" s="46"/>
      <x:c r="M194" s="46"/>
      <x:c r="N194" s="46"/>
    </x:row>
    <x:row r="195">
      <x:c r="A195" s="46"/>
      <x:c r="B195" s="46"/>
      <x:c r="C195" s="46"/>
      <x:c r="D195" s="46"/>
      <x:c r="E195" s="46"/>
      <x:c r="F195" s="46"/>
      <x:c r="G195" s="46"/>
      <x:c r="H195" s="46"/>
      <x:c r="I195" s="46"/>
      <x:c r="J195" s="46"/>
      <x:c r="K195" s="46"/>
      <x:c r="L195" s="46"/>
      <x:c r="M195" s="46"/>
      <x:c r="N195" s="46"/>
    </x:row>
    <x:row r="196">
      <x:c r="A196" s="46"/>
      <x:c r="B196" s="46"/>
      <x:c r="C196" s="46"/>
      <x:c r="D196" s="46"/>
      <x:c r="E196" s="46"/>
      <x:c r="F196" s="46"/>
      <x:c r="G196" s="46"/>
      <x:c r="H196" s="46"/>
      <x:c r="I196" s="46"/>
      <x:c r="J196" s="46"/>
      <x:c r="K196" s="46"/>
      <x:c r="L196" s="46"/>
      <x:c r="M196" s="46"/>
      <x:c r="N196" s="46"/>
    </x:row>
    <x:row r="197">
      <x:c r="A197" s="46"/>
      <x:c r="B197" s="46"/>
      <x:c r="C197" s="46"/>
      <x:c r="D197" s="46"/>
      <x:c r="E197" s="46"/>
      <x:c r="F197" s="46"/>
      <x:c r="G197" s="46"/>
      <x:c r="H197" s="46"/>
      <x:c r="I197" s="46"/>
      <x:c r="J197" s="46"/>
      <x:c r="K197" s="46"/>
      <x:c r="L197" s="46"/>
      <x:c r="M197" s="46"/>
      <x:c r="N197" s="46"/>
    </x:row>
    <x:row r="198">
      <x:c r="A198" s="46"/>
      <x:c r="B198" s="46"/>
      <x:c r="C198" s="46"/>
      <x:c r="D198" s="46"/>
      <x:c r="E198" s="46"/>
      <x:c r="F198" s="46"/>
      <x:c r="G198" s="46"/>
      <x:c r="H198" s="46"/>
      <x:c r="I198" s="46"/>
      <x:c r="J198" s="46"/>
      <x:c r="K198" s="46"/>
      <x:c r="L198" s="46"/>
      <x:c r="M198" s="46"/>
      <x:c r="N198" s="46"/>
    </x:row>
    <x:row r="199">
      <x:c r="A199" s="46"/>
      <x:c r="B199" s="46"/>
      <x:c r="C199" s="46"/>
      <x:c r="D199" s="46"/>
      <x:c r="E199" s="46"/>
      <x:c r="F199" s="46"/>
      <x:c r="G199" s="46"/>
      <x:c r="H199" s="46"/>
      <x:c r="I199" s="46"/>
      <x:c r="J199" s="46"/>
      <x:c r="K199" s="46"/>
      <x:c r="L199" s="46"/>
      <x:c r="M199" s="46"/>
      <x:c r="N199" s="46"/>
    </x:row>
    <x:row r="200">
      <x:c r="A200" s="46"/>
      <x:c r="B200" s="46"/>
      <x:c r="C200" s="46"/>
      <x:c r="D200" s="46"/>
      <x:c r="E200" s="46"/>
      <x:c r="F200" s="46"/>
      <x:c r="G200" s="46"/>
      <x:c r="H200" s="46"/>
      <x:c r="I200" s="46"/>
      <x:c r="J200" s="46"/>
      <x:c r="K200" s="46"/>
      <x:c r="L200" s="46"/>
      <x:c r="M200" s="46"/>
      <x:c r="N200" s="46"/>
    </x:row>
    <x:row r="201">
      <x:c r="A201" s="46"/>
      <x:c r="B201" s="46"/>
      <x:c r="C201" s="46"/>
      <x:c r="D201" s="46"/>
      <x:c r="E201" s="46"/>
      <x:c r="F201" s="46"/>
      <x:c r="G201" s="46"/>
      <x:c r="H201" s="46"/>
      <x:c r="I201" s="46"/>
      <x:c r="J201" s="46"/>
      <x:c r="K201" s="46"/>
      <x:c r="L201" s="46"/>
      <x:c r="M201" s="46"/>
      <x:c r="N201" s="46"/>
    </x:row>
    <x:row r="202">
      <x:c r="A202" s="46"/>
      <x:c r="B202" s="46"/>
      <x:c r="C202" s="46"/>
      <x:c r="D202" s="46"/>
      <x:c r="E202" s="46"/>
      <x:c r="F202" s="46"/>
      <x:c r="G202" s="46"/>
      <x:c r="H202" s="46"/>
      <x:c r="I202" s="46"/>
      <x:c r="J202" s="46"/>
      <x:c r="K202" s="46"/>
      <x:c r="L202" s="46"/>
      <x:c r="M202" s="46"/>
      <x:c r="N202" s="46"/>
    </x:row>
    <x:row r="203">
      <x:c r="A203" s="46"/>
      <x:c r="B203" s="46"/>
      <x:c r="C203" s="46"/>
      <x:c r="D203" s="46"/>
      <x:c r="E203" s="46"/>
      <x:c r="F203" s="46"/>
      <x:c r="G203" s="46"/>
      <x:c r="H203" s="46"/>
      <x:c r="I203" s="46"/>
      <x:c r="J203" s="46"/>
      <x:c r="K203" s="46"/>
      <x:c r="L203" s="46"/>
      <x:c r="M203" s="46"/>
      <x:c r="N203" s="46"/>
    </x:row>
    <x:row r="204">
      <x:c r="A204" s="46"/>
      <x:c r="B204" s="46"/>
      <x:c r="C204" s="46"/>
      <x:c r="D204" s="46"/>
      <x:c r="E204" s="46"/>
      <x:c r="F204" s="46"/>
      <x:c r="G204" s="46"/>
      <x:c r="H204" s="46"/>
      <x:c r="I204" s="46"/>
      <x:c r="J204" s="46"/>
      <x:c r="K204" s="46"/>
      <x:c r="L204" s="46"/>
      <x:c r="M204" s="46"/>
      <x:c r="N204" s="46"/>
    </x:row>
    <x:row r="205">
      <x:c r="A205" s="46"/>
      <x:c r="B205" s="46"/>
      <x:c r="C205" s="46"/>
      <x:c r="D205" s="46"/>
      <x:c r="E205" s="46"/>
      <x:c r="F205" s="46"/>
      <x:c r="G205" s="46"/>
      <x:c r="H205" s="46"/>
      <x:c r="I205" s="46"/>
      <x:c r="J205" s="46"/>
      <x:c r="K205" s="46"/>
      <x:c r="L205" s="46"/>
      <x:c r="M205" s="46"/>
      <x:c r="N205" s="46"/>
    </x:row>
    <x:row r="206">
      <x:c r="A206" s="46"/>
      <x:c r="B206" s="46"/>
      <x:c r="C206" s="46"/>
      <x:c r="D206" s="46"/>
      <x:c r="E206" s="46"/>
      <x:c r="F206" s="46"/>
      <x:c r="G206" s="46"/>
      <x:c r="H206" s="46"/>
      <x:c r="I206" s="46"/>
      <x:c r="J206" s="46"/>
      <x:c r="K206" s="46"/>
      <x:c r="L206" s="46"/>
      <x:c r="M206" s="46"/>
      <x:c r="N206" s="46"/>
    </x:row>
    <x:row r="207">
      <x:c r="A207" s="46"/>
      <x:c r="B207" s="46"/>
      <x:c r="C207" s="46"/>
      <x:c r="D207" s="46"/>
      <x:c r="E207" s="46"/>
      <x:c r="F207" s="46"/>
      <x:c r="G207" s="46"/>
      <x:c r="H207" s="46"/>
      <x:c r="I207" s="46"/>
      <x:c r="J207" s="46"/>
      <x:c r="K207" s="46"/>
      <x:c r="L207" s="46"/>
      <x:c r="M207" s="46"/>
      <x:c r="N207" s="46"/>
    </x:row>
    <x:row r="208">
      <x:c r="A208" s="46"/>
      <x:c r="B208" s="46"/>
      <x:c r="C208" s="46"/>
      <x:c r="D208" s="46"/>
      <x:c r="E208" s="46"/>
      <x:c r="F208" s="46"/>
      <x:c r="G208" s="46"/>
      <x:c r="H208" s="46"/>
      <x:c r="I208" s="46"/>
      <x:c r="J208" s="46"/>
      <x:c r="K208" s="46"/>
      <x:c r="L208" s="46"/>
      <x:c r="M208" s="46"/>
      <x:c r="N208" s="46"/>
    </x:row>
    <x:row r="209">
      <x:c r="A209" s="46"/>
      <x:c r="B209" s="46"/>
      <x:c r="C209" s="46"/>
      <x:c r="D209" s="46"/>
      <x:c r="E209" s="46"/>
      <x:c r="F209" s="46"/>
      <x:c r="G209" s="46"/>
      <x:c r="H209" s="46"/>
      <x:c r="I209" s="46"/>
      <x:c r="J209" s="46"/>
      <x:c r="K209" s="46"/>
      <x:c r="L209" s="46"/>
      <x:c r="M209" s="46"/>
      <x:c r="N209" s="46"/>
    </x:row>
    <x:row r="210">
      <x:c r="A210" s="46"/>
      <x:c r="B210" s="46"/>
      <x:c r="C210" s="46"/>
      <x:c r="D210" s="46"/>
      <x:c r="E210" s="46"/>
      <x:c r="F210" s="46"/>
      <x:c r="G210" s="46"/>
      <x:c r="H210" s="46"/>
      <x:c r="I210" s="46"/>
      <x:c r="J210" s="46"/>
      <x:c r="K210" s="46"/>
      <x:c r="L210" s="46"/>
      <x:c r="M210" s="46"/>
      <x:c r="N210" s="46"/>
    </x:row>
    <x:row r="211">
      <x:c r="A211" s="46"/>
      <x:c r="B211" s="46"/>
      <x:c r="C211" s="46"/>
      <x:c r="D211" s="46"/>
      <x:c r="E211" s="46"/>
      <x:c r="F211" s="46"/>
      <x:c r="G211" s="46"/>
      <x:c r="H211" s="46"/>
      <x:c r="I211" s="46"/>
      <x:c r="J211" s="46"/>
      <x:c r="K211" s="46"/>
      <x:c r="L211" s="46"/>
      <x:c r="M211" s="46"/>
      <x:c r="N211" s="46"/>
    </x:row>
    <x:row r="212">
      <x:c r="A212" s="46"/>
      <x:c r="B212" s="46"/>
      <x:c r="C212" s="46"/>
      <x:c r="D212" s="46"/>
      <x:c r="E212" s="46"/>
      <x:c r="F212" s="46"/>
      <x:c r="G212" s="46"/>
      <x:c r="H212" s="46"/>
      <x:c r="I212" s="46"/>
      <x:c r="J212" s="46"/>
      <x:c r="K212" s="46"/>
      <x:c r="L212" s="46"/>
      <x:c r="M212" s="46"/>
      <x:c r="N212" s="46"/>
    </x:row>
    <x:row r="213">
      <x:c r="A213" s="46"/>
      <x:c r="B213" s="46"/>
      <x:c r="C213" s="46"/>
      <x:c r="D213" s="46"/>
      <x:c r="E213" s="46"/>
      <x:c r="F213" s="46"/>
      <x:c r="G213" s="46"/>
      <x:c r="H213" s="46"/>
      <x:c r="I213" s="46"/>
      <x:c r="J213" s="46"/>
      <x:c r="K213" s="46"/>
      <x:c r="L213" s="46"/>
      <x:c r="M213" s="46"/>
      <x:c r="N213" s="46"/>
    </x:row>
    <x:row r="214">
      <x:c r="A214" s="46"/>
      <x:c r="B214" s="46"/>
      <x:c r="C214" s="46"/>
      <x:c r="D214" s="46"/>
      <x:c r="E214" s="46"/>
      <x:c r="F214" s="46"/>
      <x:c r="G214" s="46"/>
      <x:c r="H214" s="46"/>
      <x:c r="I214" s="46"/>
      <x:c r="J214" s="46"/>
      <x:c r="K214" s="46"/>
      <x:c r="L214" s="46"/>
      <x:c r="M214" s="46"/>
      <x:c r="N214" s="46"/>
    </x:row>
    <x:row r="215">
      <x:c r="A215" s="46"/>
      <x:c r="B215" s="46"/>
      <x:c r="C215" s="46"/>
      <x:c r="D215" s="46"/>
      <x:c r="E215" s="46"/>
      <x:c r="F215" s="46"/>
      <x:c r="G215" s="46"/>
      <x:c r="H215" s="46"/>
      <x:c r="I215" s="46"/>
      <x:c r="J215" s="46"/>
      <x:c r="K215" s="46"/>
      <x:c r="L215" s="46"/>
      <x:c r="M215" s="46"/>
      <x:c r="N215" s="46"/>
    </x:row>
    <x:row r="216">
      <x:c r="A216" s="46"/>
      <x:c r="B216" s="46"/>
      <x:c r="C216" s="46"/>
      <x:c r="D216" s="46"/>
      <x:c r="E216" s="46"/>
      <x:c r="F216" s="46"/>
      <x:c r="G216" s="46"/>
      <x:c r="H216" s="46"/>
      <x:c r="I216" s="46"/>
      <x:c r="J216" s="46"/>
      <x:c r="K216" s="46"/>
      <x:c r="L216" s="46"/>
      <x:c r="M216" s="46"/>
      <x:c r="N216" s="46"/>
    </x:row>
    <x:row r="217">
      <x:c r="A217" s="46"/>
      <x:c r="B217" s="46"/>
      <x:c r="C217" s="46"/>
      <x:c r="D217" s="46"/>
      <x:c r="E217" s="46"/>
      <x:c r="F217" s="46"/>
      <x:c r="G217" s="46"/>
      <x:c r="H217" s="46"/>
      <x:c r="I217" s="46"/>
      <x:c r="J217" s="46"/>
      <x:c r="K217" s="46"/>
      <x:c r="L217" s="46"/>
      <x:c r="M217" s="46"/>
      <x:c r="N217" s="46"/>
    </x:row>
    <x:row r="218">
      <x:c r="A218" s="46"/>
      <x:c r="B218" s="46"/>
      <x:c r="C218" s="46"/>
      <x:c r="D218" s="46"/>
      <x:c r="E218" s="46"/>
      <x:c r="F218" s="46"/>
      <x:c r="G218" s="46"/>
      <x:c r="H218" s="46"/>
      <x:c r="I218" s="46"/>
      <x:c r="J218" s="46"/>
      <x:c r="K218" s="46"/>
      <x:c r="L218" s="46"/>
      <x:c r="M218" s="46"/>
      <x:c r="N218" s="46"/>
    </x:row>
    <x:row r="219">
      <x:c r="A219" s="46"/>
      <x:c r="B219" s="46"/>
      <x:c r="C219" s="46"/>
      <x:c r="D219" s="46"/>
      <x:c r="E219" s="46"/>
      <x:c r="F219" s="46"/>
      <x:c r="G219" s="46"/>
      <x:c r="H219" s="46"/>
      <x:c r="I219" s="46"/>
      <x:c r="J219" s="46"/>
      <x:c r="K219" s="46"/>
      <x:c r="L219" s="46"/>
      <x:c r="M219" s="46"/>
      <x:c r="N219" s="46"/>
    </x:row>
    <x:row r="220">
      <x:c r="A220" s="46"/>
      <x:c r="B220" s="46"/>
      <x:c r="C220" s="46"/>
      <x:c r="D220" s="46"/>
      <x:c r="E220" s="46"/>
      <x:c r="F220" s="46"/>
      <x:c r="G220" s="46"/>
      <x:c r="H220" s="46"/>
      <x:c r="I220" s="46"/>
      <x:c r="J220" s="46"/>
      <x:c r="K220" s="46"/>
      <x:c r="L220" s="46"/>
      <x:c r="M220" s="46"/>
      <x:c r="N220" s="46"/>
    </x:row>
    <x:row r="221">
      <x:c r="A221" s="46"/>
      <x:c r="B221" s="46"/>
      <x:c r="C221" s="46"/>
      <x:c r="D221" s="46"/>
      <x:c r="E221" s="46"/>
      <x:c r="F221" s="46"/>
      <x:c r="G221" s="46"/>
      <x:c r="H221" s="46"/>
      <x:c r="I221" s="46"/>
      <x:c r="J221" s="46"/>
      <x:c r="K221" s="46"/>
      <x:c r="L221" s="46"/>
      <x:c r="M221" s="46"/>
      <x:c r="N221" s="46"/>
    </x:row>
    <x:row r="222">
      <x:c r="A222" s="46"/>
      <x:c r="B222" s="46"/>
      <x:c r="C222" s="46"/>
      <x:c r="D222" s="46"/>
      <x:c r="E222" s="46"/>
      <x:c r="F222" s="46"/>
      <x:c r="G222" s="46"/>
      <x:c r="H222" s="46"/>
      <x:c r="I222" s="46"/>
      <x:c r="J222" s="46"/>
      <x:c r="K222" s="46"/>
      <x:c r="L222" s="46"/>
      <x:c r="M222" s="46"/>
      <x:c r="N222" s="46"/>
    </x:row>
    <x:row r="223">
      <x:c r="A223" s="46"/>
      <x:c r="B223" s="46"/>
      <x:c r="C223" s="46"/>
      <x:c r="D223" s="46"/>
      <x:c r="E223" s="46"/>
      <x:c r="F223" s="46"/>
      <x:c r="G223" s="46"/>
      <x:c r="H223" s="46"/>
      <x:c r="I223" s="46"/>
      <x:c r="J223" s="46"/>
      <x:c r="K223" s="46"/>
      <x:c r="L223" s="46"/>
      <x:c r="M223" s="46"/>
      <x:c r="N223" s="46"/>
    </x:row>
    <x:row r="224">
      <x:c r="A224" s="46"/>
      <x:c r="B224" s="46"/>
      <x:c r="C224" s="46"/>
      <x:c r="D224" s="46"/>
      <x:c r="E224" s="46"/>
      <x:c r="F224" s="46"/>
      <x:c r="G224" s="46"/>
      <x:c r="H224" s="46"/>
      <x:c r="I224" s="46"/>
      <x:c r="J224" s="46"/>
      <x:c r="K224" s="46"/>
      <x:c r="L224" s="46"/>
      <x:c r="M224" s="46"/>
      <x:c r="N224" s="46"/>
    </x:row>
    <x:row r="225">
      <x:c r="A225" s="46"/>
      <x:c r="B225" s="46"/>
      <x:c r="C225" s="46"/>
      <x:c r="D225" s="46"/>
      <x:c r="E225" s="46"/>
      <x:c r="F225" s="46"/>
      <x:c r="G225" s="46"/>
      <x:c r="H225" s="46"/>
      <x:c r="I225" s="46"/>
      <x:c r="J225" s="46"/>
      <x:c r="K225" s="46"/>
      <x:c r="L225" s="46"/>
      <x:c r="M225" s="46"/>
      <x:c r="N225" s="46"/>
    </x:row>
    <x:row r="226">
      <x:c r="A226" s="46"/>
      <x:c r="B226" s="46"/>
      <x:c r="C226" s="46"/>
      <x:c r="D226" s="46"/>
      <x:c r="E226" s="46"/>
      <x:c r="F226" s="46"/>
      <x:c r="G226" s="46"/>
      <x:c r="H226" s="46"/>
      <x:c r="I226" s="46"/>
      <x:c r="J226" s="46"/>
      <x:c r="K226" s="46"/>
      <x:c r="L226" s="46"/>
      <x:c r="M226" s="46"/>
      <x:c r="N226" s="46"/>
    </x:row>
    <x:row r="227">
      <x:c r="A227" s="46"/>
      <x:c r="B227" s="46"/>
      <x:c r="C227" s="46"/>
      <x:c r="D227" s="46"/>
      <x:c r="E227" s="46"/>
      <x:c r="F227" s="46"/>
      <x:c r="G227" s="46"/>
      <x:c r="H227" s="46"/>
      <x:c r="I227" s="46"/>
      <x:c r="J227" s="46"/>
      <x:c r="K227" s="46"/>
      <x:c r="L227" s="46"/>
      <x:c r="M227" s="46"/>
      <x:c r="N227" s="46"/>
    </x:row>
    <x:row r="228">
      <x:c r="A228" s="46"/>
      <x:c r="B228" s="46"/>
      <x:c r="C228" s="46"/>
      <x:c r="D228" s="46"/>
      <x:c r="E228" s="46"/>
      <x:c r="F228" s="46"/>
      <x:c r="G228" s="46"/>
      <x:c r="H228" s="46"/>
      <x:c r="I228" s="46"/>
      <x:c r="J228" s="46"/>
      <x:c r="K228" s="46"/>
      <x:c r="L228" s="46"/>
      <x:c r="M228" s="46"/>
      <x:c r="N228" s="46"/>
    </x:row>
    <x:row r="229">
      <x:c r="A229" s="46"/>
      <x:c r="B229" s="46"/>
      <x:c r="C229" s="46"/>
      <x:c r="D229" s="46"/>
      <x:c r="E229" s="46"/>
      <x:c r="F229" s="46"/>
      <x:c r="G229" s="46"/>
      <x:c r="H229" s="46"/>
      <x:c r="I229" s="46"/>
      <x:c r="J229" s="46"/>
      <x:c r="K229" s="46"/>
      <x:c r="L229" s="46"/>
      <x:c r="M229" s="46"/>
      <x:c r="N229" s="46"/>
    </x:row>
    <x:row r="230">
      <x:c r="A230" s="46"/>
      <x:c r="B230" s="46"/>
      <x:c r="C230" s="46"/>
      <x:c r="D230" s="46"/>
      <x:c r="E230" s="46"/>
      <x:c r="F230" s="46"/>
      <x:c r="G230" s="46"/>
      <x:c r="H230" s="46"/>
      <x:c r="I230" s="46"/>
      <x:c r="J230" s="46"/>
      <x:c r="K230" s="46"/>
      <x:c r="L230" s="46"/>
      <x:c r="M230" s="46"/>
      <x:c r="N230" s="46"/>
    </x:row>
    <x:row r="231">
      <x:c r="A231" s="46"/>
      <x:c r="B231" s="46"/>
      <x:c r="C231" s="46"/>
      <x:c r="D231" s="46"/>
      <x:c r="E231" s="46"/>
      <x:c r="F231" s="46"/>
      <x:c r="G231" s="46"/>
      <x:c r="H231" s="46"/>
      <x:c r="I231" s="46"/>
      <x:c r="J231" s="46"/>
      <x:c r="K231" s="46"/>
      <x:c r="L231" s="46"/>
      <x:c r="M231" s="46"/>
      <x:c r="N231" s="46"/>
    </x:row>
    <x:row r="232">
      <x:c r="A232" s="46"/>
      <x:c r="B232" s="46"/>
      <x:c r="C232" s="46"/>
      <x:c r="D232" s="46"/>
      <x:c r="E232" s="46"/>
      <x:c r="F232" s="46"/>
      <x:c r="G232" s="46"/>
      <x:c r="H232" s="46"/>
      <x:c r="I232" s="46"/>
      <x:c r="J232" s="46"/>
      <x:c r="K232" s="46"/>
      <x:c r="L232" s="46"/>
      <x:c r="M232" s="46"/>
      <x:c r="N232" s="46"/>
    </x:row>
    <x:row r="233">
      <x:c r="A233" s="46"/>
      <x:c r="B233" s="46"/>
      <x:c r="C233" s="46"/>
      <x:c r="D233" s="46"/>
      <x:c r="E233" s="46"/>
      <x:c r="F233" s="46"/>
      <x:c r="G233" s="46"/>
      <x:c r="H233" s="46"/>
      <x:c r="I233" s="46"/>
      <x:c r="J233" s="46"/>
      <x:c r="K233" s="46"/>
      <x:c r="L233" s="46"/>
      <x:c r="M233" s="46"/>
      <x:c r="N233" s="46"/>
    </x:row>
    <x:row r="234">
      <x:c r="A234" s="46"/>
      <x:c r="B234" s="46"/>
      <x:c r="C234" s="46"/>
      <x:c r="D234" s="46"/>
      <x:c r="E234" s="46"/>
      <x:c r="F234" s="46"/>
      <x:c r="G234" s="46"/>
      <x:c r="H234" s="46"/>
      <x:c r="I234" s="46"/>
      <x:c r="J234" s="46"/>
      <x:c r="K234" s="46"/>
      <x:c r="L234" s="46"/>
      <x:c r="M234" s="46"/>
      <x:c r="N234" s="46"/>
    </x:row>
    <x:row r="235">
      <x:c r="A235" s="46"/>
      <x:c r="B235" s="46"/>
      <x:c r="C235" s="46"/>
      <x:c r="D235" s="46"/>
      <x:c r="E235" s="46"/>
      <x:c r="F235" s="46"/>
      <x:c r="G235" s="46"/>
      <x:c r="H235" s="46"/>
      <x:c r="I235" s="46"/>
      <x:c r="J235" s="46"/>
      <x:c r="K235" s="46"/>
      <x:c r="L235" s="46"/>
      <x:c r="M235" s="46"/>
      <x:c r="N235" s="46"/>
    </x:row>
    <x:row r="236">
      <x:c r="A236" s="46"/>
      <x:c r="B236" s="46"/>
      <x:c r="C236" s="46"/>
      <x:c r="D236" s="46"/>
      <x:c r="E236" s="46"/>
      <x:c r="F236" s="46"/>
      <x:c r="G236" s="46"/>
      <x:c r="H236" s="46"/>
      <x:c r="I236" s="46"/>
      <x:c r="J236" s="46"/>
      <x:c r="K236" s="46"/>
      <x:c r="L236" s="46"/>
      <x:c r="M236" s="46"/>
      <x:c r="N236" s="46"/>
    </x:row>
    <x:row r="237">
      <x:c r="A237" s="46"/>
      <x:c r="B237" s="46"/>
      <x:c r="C237" s="46"/>
      <x:c r="D237" s="46"/>
      <x:c r="E237" s="46"/>
      <x:c r="F237" s="46"/>
      <x:c r="G237" s="46"/>
      <x:c r="H237" s="46"/>
      <x:c r="I237" s="46"/>
      <x:c r="J237" s="46"/>
      <x:c r="K237" s="46"/>
      <x:c r="L237" s="46"/>
      <x:c r="M237" s="46"/>
      <x:c r="N237" s="46"/>
    </x:row>
    <x:row r="238">
      <x:c r="A238" s="46"/>
      <x:c r="B238" s="46"/>
      <x:c r="C238" s="46"/>
      <x:c r="D238" s="46"/>
      <x:c r="E238" s="46"/>
      <x:c r="F238" s="46"/>
      <x:c r="G238" s="46"/>
      <x:c r="H238" s="46"/>
      <x:c r="I238" s="46"/>
      <x:c r="J238" s="46"/>
      <x:c r="K238" s="46"/>
      <x:c r="L238" s="46"/>
      <x:c r="M238" s="46"/>
      <x:c r="N238" s="46"/>
    </x:row>
    <x:row r="239">
      <x:c r="A239" s="46"/>
      <x:c r="B239" s="46"/>
      <x:c r="C239" s="46"/>
      <x:c r="D239" s="46"/>
      <x:c r="E239" s="46"/>
      <x:c r="F239" s="46"/>
      <x:c r="G239" s="46"/>
      <x:c r="H239" s="46"/>
      <x:c r="I239" s="46"/>
      <x:c r="J239" s="46"/>
      <x:c r="K239" s="46"/>
      <x:c r="L239" s="46"/>
      <x:c r="M239" s="46"/>
      <x:c r="N239" s="46"/>
    </x:row>
    <x:row r="240">
      <x:c r="A240" s="46"/>
      <x:c r="B240" s="46"/>
      <x:c r="C240" s="46"/>
      <x:c r="D240" s="46"/>
      <x:c r="E240" s="46"/>
      <x:c r="F240" s="46"/>
      <x:c r="G240" s="46"/>
      <x:c r="H240" s="46"/>
      <x:c r="I240" s="46"/>
      <x:c r="J240" s="46"/>
      <x:c r="K240" s="46"/>
      <x:c r="L240" s="46"/>
      <x:c r="M240" s="46"/>
      <x:c r="N240" s="46"/>
    </x:row>
    <x:row r="241">
      <x:c r="A241" s="46"/>
      <x:c r="B241" s="46"/>
      <x:c r="C241" s="46"/>
      <x:c r="D241" s="46"/>
      <x:c r="E241" s="46"/>
      <x:c r="F241" s="46"/>
      <x:c r="G241" s="46"/>
      <x:c r="H241" s="46"/>
      <x:c r="I241" s="46"/>
      <x:c r="J241" s="46"/>
      <x:c r="K241" s="46"/>
      <x:c r="L241" s="46"/>
      <x:c r="M241" s="46"/>
      <x:c r="N241" s="46"/>
    </x:row>
    <x:row r="242">
      <x:c r="A242" s="46"/>
      <x:c r="B242" s="46"/>
      <x:c r="C242" s="46"/>
      <x:c r="D242" s="46"/>
      <x:c r="E242" s="46"/>
      <x:c r="F242" s="46"/>
      <x:c r="G242" s="46"/>
      <x:c r="H242" s="46"/>
      <x:c r="I242" s="46"/>
      <x:c r="J242" s="46"/>
      <x:c r="K242" s="46"/>
      <x:c r="L242" s="46"/>
      <x:c r="M242" s="46"/>
      <x:c r="N242" s="46"/>
    </x:row>
    <x:row r="243">
      <x:c r="A243" s="46"/>
      <x:c r="B243" s="46"/>
      <x:c r="C243" s="46"/>
      <x:c r="D243" s="46"/>
      <x:c r="E243" s="46"/>
      <x:c r="F243" s="46"/>
      <x:c r="G243" s="46"/>
      <x:c r="H243" s="46"/>
      <x:c r="I243" s="46"/>
      <x:c r="J243" s="46"/>
      <x:c r="K243" s="46"/>
      <x:c r="L243" s="46"/>
      <x:c r="M243" s="46"/>
      <x:c r="N243" s="46"/>
    </x:row>
    <x:row r="244">
      <x:c r="A244" s="46"/>
      <x:c r="B244" s="46"/>
      <x:c r="C244" s="46"/>
      <x:c r="D244" s="46"/>
      <x:c r="E244" s="46"/>
      <x:c r="F244" s="46"/>
      <x:c r="G244" s="46"/>
      <x:c r="H244" s="46"/>
      <x:c r="I244" s="46"/>
      <x:c r="J244" s="46"/>
      <x:c r="K244" s="46"/>
      <x:c r="L244" s="46"/>
      <x:c r="M244" s="46"/>
      <x:c r="N244" s="46"/>
    </x:row>
    <x:row r="245">
      <x:c r="A245" s="46"/>
      <x:c r="B245" s="46"/>
      <x:c r="C245" s="46"/>
      <x:c r="D245" s="46"/>
      <x:c r="E245" s="46"/>
      <x:c r="F245" s="46"/>
      <x:c r="G245" s="46"/>
      <x:c r="H245" s="46"/>
      <x:c r="I245" s="46"/>
      <x:c r="J245" s="46"/>
      <x:c r="K245" s="46"/>
      <x:c r="L245" s="46"/>
      <x:c r="M245" s="46"/>
      <x:c r="N245" s="46"/>
    </x:row>
    <x:row r="246">
      <x:c r="A246" s="46"/>
      <x:c r="B246" s="46"/>
      <x:c r="C246" s="46"/>
      <x:c r="D246" s="46"/>
      <x:c r="E246" s="46"/>
      <x:c r="F246" s="46"/>
      <x:c r="G246" s="46"/>
      <x:c r="H246" s="46"/>
      <x:c r="I246" s="46"/>
      <x:c r="J246" s="46"/>
      <x:c r="K246" s="46"/>
      <x:c r="L246" s="46"/>
      <x:c r="M246" s="46"/>
      <x:c r="N246" s="46"/>
    </x:row>
    <x:row r="247">
      <x:c r="A247" s="46"/>
      <x:c r="B247" s="46"/>
      <x:c r="C247" s="46"/>
      <x:c r="D247" s="46"/>
      <x:c r="E247" s="46"/>
      <x:c r="F247" s="46"/>
      <x:c r="G247" s="46"/>
      <x:c r="H247" s="46"/>
      <x:c r="I247" s="46"/>
      <x:c r="J247" s="46"/>
      <x:c r="K247" s="46"/>
      <x:c r="L247" s="46"/>
      <x:c r="M247" s="46"/>
      <x:c r="N247" s="46"/>
    </x:row>
    <x:row r="248">
      <x:c r="A248" s="46"/>
      <x:c r="B248" s="46"/>
      <x:c r="C248" s="46"/>
      <x:c r="D248" s="46"/>
      <x:c r="E248" s="46"/>
      <x:c r="F248" s="46"/>
      <x:c r="G248" s="46"/>
      <x:c r="H248" s="46"/>
      <x:c r="I248" s="46"/>
      <x:c r="J248" s="46"/>
      <x:c r="K248" s="46"/>
      <x:c r="L248" s="46"/>
      <x:c r="M248" s="46"/>
      <x:c r="N248" s="46"/>
    </x:row>
    <x:row r="249">
      <x:c r="A249" s="46"/>
      <x:c r="B249" s="46"/>
      <x:c r="C249" s="46"/>
      <x:c r="D249" s="46"/>
      <x:c r="E249" s="46"/>
      <x:c r="F249" s="46"/>
      <x:c r="G249" s="46"/>
      <x:c r="H249" s="46"/>
      <x:c r="I249" s="46"/>
      <x:c r="J249" s="46"/>
      <x:c r="K249" s="46"/>
      <x:c r="L249" s="46"/>
      <x:c r="M249" s="46"/>
      <x:c r="N249" s="46"/>
    </x:row>
    <x:row r="250">
      <x:c r="A250" s="46"/>
      <x:c r="B250" s="46"/>
      <x:c r="C250" s="46"/>
      <x:c r="D250" s="46"/>
      <x:c r="E250" s="46"/>
      <x:c r="F250" s="46"/>
      <x:c r="G250" s="46"/>
      <x:c r="H250" s="46"/>
      <x:c r="I250" s="46"/>
      <x:c r="J250" s="46"/>
      <x:c r="K250" s="46"/>
      <x:c r="L250" s="46"/>
      <x:c r="M250" s="46"/>
      <x:c r="N250" s="46"/>
    </x:row>
    <x:row r="251">
      <x:c r="A251" s="46"/>
      <x:c r="B251" s="46"/>
      <x:c r="C251" s="46"/>
      <x:c r="D251" s="46"/>
      <x:c r="E251" s="46"/>
      <x:c r="F251" s="46"/>
      <x:c r="G251" s="46"/>
      <x:c r="H251" s="46"/>
      <x:c r="I251" s="46"/>
      <x:c r="J251" s="46"/>
      <x:c r="K251" s="46"/>
      <x:c r="L251" s="46"/>
      <x:c r="M251" s="46"/>
      <x:c r="N251" s="46"/>
    </x:row>
    <x:row r="252">
      <x:c r="A252" s="46"/>
      <x:c r="B252" s="46"/>
      <x:c r="C252" s="46"/>
      <x:c r="D252" s="46"/>
      <x:c r="E252" s="46"/>
      <x:c r="F252" s="46"/>
      <x:c r="G252" s="46"/>
      <x:c r="H252" s="46"/>
      <x:c r="I252" s="46"/>
      <x:c r="J252" s="46"/>
      <x:c r="K252" s="46"/>
      <x:c r="L252" s="46"/>
      <x:c r="M252" s="46"/>
      <x:c r="N252" s="46"/>
    </x:row>
    <x:row r="253">
      <x:c r="A253" s="46"/>
      <x:c r="B253" s="46"/>
      <x:c r="C253" s="46"/>
      <x:c r="D253" s="46"/>
      <x:c r="E253" s="46"/>
      <x:c r="F253" s="46"/>
      <x:c r="G253" s="46"/>
      <x:c r="H253" s="46"/>
      <x:c r="I253" s="46"/>
      <x:c r="J253" s="46"/>
      <x:c r="K253" s="46"/>
      <x:c r="L253" s="46"/>
      <x:c r="M253" s="46"/>
      <x:c r="N253" s="46"/>
    </x:row>
    <x:row r="254">
      <x:c r="A254" s="46"/>
      <x:c r="B254" s="46"/>
      <x:c r="C254" s="46"/>
      <x:c r="D254" s="46"/>
      <x:c r="E254" s="46"/>
      <x:c r="F254" s="46"/>
      <x:c r="G254" s="46"/>
      <x:c r="H254" s="46"/>
      <x:c r="I254" s="46"/>
      <x:c r="J254" s="46"/>
      <x:c r="K254" s="46"/>
      <x:c r="L254" s="46"/>
      <x:c r="M254" s="46"/>
      <x:c r="N254" s="46"/>
    </x:row>
    <x:row r="255">
      <x:c r="A255" s="46"/>
      <x:c r="B255" s="46"/>
      <x:c r="C255" s="46"/>
      <x:c r="D255" s="46"/>
      <x:c r="E255" s="46"/>
      <x:c r="F255" s="46"/>
      <x:c r="G255" s="46"/>
      <x:c r="H255" s="46"/>
      <x:c r="I255" s="46"/>
      <x:c r="J255" s="46"/>
      <x:c r="K255" s="46"/>
      <x:c r="L255" s="46"/>
      <x:c r="M255" s="46"/>
      <x:c r="N255" s="46"/>
    </x:row>
    <x:row r="256">
      <x:c r="A256" s="46"/>
      <x:c r="B256" s="46"/>
      <x:c r="C256" s="46"/>
      <x:c r="D256" s="46"/>
      <x:c r="E256" s="46"/>
      <x:c r="F256" s="46"/>
      <x:c r="G256" s="46"/>
      <x:c r="H256" s="46"/>
      <x:c r="I256" s="46"/>
      <x:c r="J256" s="46"/>
      <x:c r="K256" s="46"/>
      <x:c r="L256" s="46"/>
      <x:c r="M256" s="46"/>
      <x:c r="N256" s="46"/>
    </x:row>
    <x:row r="257">
      <x:c r="A257" s="46"/>
      <x:c r="B257" s="46"/>
      <x:c r="C257" s="46"/>
      <x:c r="D257" s="46"/>
      <x:c r="E257" s="46"/>
      <x:c r="F257" s="46"/>
      <x:c r="G257" s="46"/>
      <x:c r="H257" s="46"/>
      <x:c r="I257" s="46"/>
      <x:c r="J257" s="46"/>
      <x:c r="K257" s="46"/>
      <x:c r="L257" s="46"/>
      <x:c r="M257" s="46"/>
      <x:c r="N257" s="46"/>
    </x:row>
    <x:row r="258">
      <x:c r="A258" s="46"/>
      <x:c r="B258" s="46"/>
      <x:c r="C258" s="46"/>
      <x:c r="D258" s="46"/>
      <x:c r="E258" s="46"/>
      <x:c r="F258" s="46"/>
      <x:c r="G258" s="46"/>
      <x:c r="H258" s="46"/>
      <x:c r="I258" s="46"/>
      <x:c r="J258" s="46"/>
      <x:c r="K258" s="46"/>
      <x:c r="L258" s="46"/>
      <x:c r="M258" s="46"/>
      <x:c r="N258" s="46"/>
    </x:row>
    <x:row r="259">
      <x:c r="A259" s="46"/>
      <x:c r="B259" s="46"/>
      <x:c r="C259" s="46"/>
      <x:c r="D259" s="46"/>
      <x:c r="E259" s="46"/>
      <x:c r="F259" s="46"/>
      <x:c r="G259" s="46"/>
      <x:c r="H259" s="46"/>
      <x:c r="I259" s="46"/>
      <x:c r="J259" s="46"/>
      <x:c r="K259" s="46"/>
      <x:c r="L259" s="46"/>
      <x:c r="M259" s="46"/>
      <x:c r="N259" s="46"/>
    </x:row>
    <x:row r="260">
      <x:c r="A260" s="46"/>
      <x:c r="B260" s="46"/>
      <x:c r="C260" s="46"/>
      <x:c r="D260" s="46"/>
      <x:c r="E260" s="46"/>
      <x:c r="F260" s="46"/>
      <x:c r="G260" s="46"/>
      <x:c r="H260" s="46"/>
      <x:c r="I260" s="46"/>
      <x:c r="J260" s="46"/>
      <x:c r="K260" s="46"/>
      <x:c r="L260" s="46"/>
      <x:c r="M260" s="46"/>
      <x:c r="N260" s="46"/>
    </x:row>
    <x:row r="261">
      <x:c r="A261" s="46"/>
      <x:c r="B261" s="46"/>
      <x:c r="C261" s="46"/>
      <x:c r="D261" s="46"/>
      <x:c r="E261" s="46"/>
      <x:c r="F261" s="46"/>
      <x:c r="G261" s="46"/>
      <x:c r="H261" s="46"/>
      <x:c r="I261" s="46"/>
      <x:c r="J261" s="46"/>
      <x:c r="K261" s="46"/>
      <x:c r="L261" s="46"/>
      <x:c r="M261" s="46"/>
      <x:c r="N261" s="46"/>
    </x:row>
    <x:row r="262">
      <x:c r="A262" s="46"/>
      <x:c r="B262" s="46"/>
      <x:c r="C262" s="46"/>
      <x:c r="D262" s="46"/>
      <x:c r="E262" s="46"/>
      <x:c r="F262" s="46"/>
      <x:c r="G262" s="46"/>
      <x:c r="H262" s="46"/>
      <x:c r="I262" s="46"/>
      <x:c r="J262" s="46"/>
      <x:c r="K262" s="46"/>
      <x:c r="L262" s="46"/>
      <x:c r="M262" s="46"/>
      <x:c r="N262" s="46"/>
    </x:row>
    <x:row r="263">
      <x:c r="A263" s="46"/>
      <x:c r="B263" s="46"/>
      <x:c r="C263" s="46"/>
      <x:c r="D263" s="46"/>
      <x:c r="E263" s="46"/>
      <x:c r="F263" s="46"/>
      <x:c r="G263" s="46"/>
      <x:c r="H263" s="46"/>
      <x:c r="I263" s="46"/>
      <x:c r="J263" s="46"/>
      <x:c r="K263" s="46"/>
      <x:c r="L263" s="46"/>
      <x:c r="M263" s="46"/>
      <x:c r="N263" s="46"/>
    </x:row>
    <x:row r="264">
      <x:c r="A264" s="46"/>
      <x:c r="B264" s="46"/>
      <x:c r="C264" s="46"/>
      <x:c r="D264" s="46"/>
      <x:c r="E264" s="46"/>
      <x:c r="F264" s="46"/>
      <x:c r="G264" s="46"/>
      <x:c r="H264" s="46"/>
      <x:c r="I264" s="46"/>
      <x:c r="J264" s="46"/>
      <x:c r="K264" s="46"/>
      <x:c r="L264" s="46"/>
      <x:c r="M264" s="46"/>
      <x:c r="N264" s="46"/>
    </x:row>
    <x:row r="265">
      <x:c r="A265" s="46"/>
      <x:c r="B265" s="46"/>
      <x:c r="C265" s="46"/>
      <x:c r="D265" s="46"/>
      <x:c r="E265" s="46"/>
      <x:c r="F265" s="46"/>
      <x:c r="G265" s="46"/>
      <x:c r="H265" s="46"/>
      <x:c r="I265" s="46"/>
      <x:c r="J265" s="46"/>
      <x:c r="K265" s="46"/>
      <x:c r="L265" s="46"/>
      <x:c r="M265" s="46"/>
      <x:c r="N265" s="46"/>
    </x:row>
    <x:row r="266">
      <x:c r="A266" s="46"/>
      <x:c r="B266" s="46"/>
      <x:c r="C266" s="46"/>
      <x:c r="D266" s="46"/>
      <x:c r="E266" s="46"/>
      <x:c r="F266" s="46"/>
      <x:c r="G266" s="46"/>
      <x:c r="H266" s="46"/>
      <x:c r="I266" s="46"/>
      <x:c r="J266" s="46"/>
      <x:c r="K266" s="46"/>
      <x:c r="L266" s="46"/>
      <x:c r="M266" s="46"/>
      <x:c r="N266" s="46"/>
    </x:row>
    <x:row r="267">
      <x:c r="A267" s="46"/>
      <x:c r="B267" s="46"/>
      <x:c r="C267" s="46"/>
      <x:c r="D267" s="46"/>
      <x:c r="E267" s="46"/>
      <x:c r="F267" s="46"/>
      <x:c r="G267" s="46"/>
      <x:c r="H267" s="46"/>
      <x:c r="I267" s="46"/>
      <x:c r="J267" s="46"/>
      <x:c r="K267" s="46"/>
      <x:c r="L267" s="46"/>
      <x:c r="M267" s="46"/>
      <x:c r="N267" s="46"/>
    </x:row>
    <x:row r="268">
      <x:c r="A268" s="46"/>
      <x:c r="B268" s="46"/>
      <x:c r="C268" s="46"/>
      <x:c r="D268" s="46"/>
      <x:c r="E268" s="46"/>
      <x:c r="F268" s="46"/>
      <x:c r="G268" s="46"/>
      <x:c r="H268" s="46"/>
      <x:c r="I268" s="46"/>
      <x:c r="J268" s="46"/>
      <x:c r="K268" s="46"/>
      <x:c r="L268" s="46"/>
      <x:c r="M268" s="46"/>
      <x:c r="N268" s="46"/>
    </x:row>
    <x:row r="269">
      <x:c r="A269" s="46"/>
      <x:c r="B269" s="46"/>
      <x:c r="C269" s="46"/>
      <x:c r="D269" s="46"/>
      <x:c r="E269" s="46"/>
      <x:c r="F269" s="46"/>
      <x:c r="G269" s="46"/>
      <x:c r="H269" s="46"/>
      <x:c r="I269" s="46"/>
      <x:c r="J269" s="46"/>
      <x:c r="K269" s="46"/>
      <x:c r="L269" s="46"/>
      <x:c r="M269" s="46"/>
      <x:c r="N269" s="46"/>
    </x:row>
    <x:row r="270">
      <x:c r="A270" s="46"/>
      <x:c r="B270" s="46"/>
      <x:c r="C270" s="46"/>
      <x:c r="D270" s="46"/>
      <x:c r="E270" s="46"/>
      <x:c r="F270" s="46"/>
      <x:c r="G270" s="46"/>
      <x:c r="H270" s="46"/>
      <x:c r="I270" s="46"/>
      <x:c r="J270" s="46"/>
      <x:c r="K270" s="46"/>
      <x:c r="L270" s="46"/>
      <x:c r="M270" s="46"/>
      <x:c r="N270" s="46"/>
    </x:row>
    <x:row r="271">
      <x:c r="A271" s="46"/>
      <x:c r="B271" s="46"/>
      <x:c r="C271" s="46"/>
      <x:c r="D271" s="46"/>
      <x:c r="E271" s="46"/>
      <x:c r="F271" s="46"/>
      <x:c r="G271" s="46"/>
      <x:c r="H271" s="46"/>
      <x:c r="I271" s="46"/>
      <x:c r="J271" s="46"/>
      <x:c r="K271" s="46"/>
      <x:c r="L271" s="46"/>
      <x:c r="M271" s="46"/>
      <x:c r="N271" s="46"/>
    </x:row>
    <x:row r="272">
      <x:c r="A272" s="46"/>
      <x:c r="B272" s="46"/>
      <x:c r="C272" s="46"/>
      <x:c r="D272" s="46"/>
      <x:c r="E272" s="46"/>
      <x:c r="F272" s="46"/>
      <x:c r="G272" s="46"/>
      <x:c r="H272" s="46"/>
      <x:c r="I272" s="46"/>
      <x:c r="J272" s="46"/>
      <x:c r="K272" s="46"/>
      <x:c r="L272" s="46"/>
      <x:c r="M272" s="46"/>
      <x:c r="N272" s="46"/>
    </x:row>
    <x:row r="273">
      <x:c r="A273" s="46"/>
      <x:c r="B273" s="46"/>
      <x:c r="C273" s="46"/>
      <x:c r="D273" s="46"/>
      <x:c r="E273" s="46"/>
      <x:c r="F273" s="46"/>
      <x:c r="G273" s="46"/>
      <x:c r="H273" s="46"/>
      <x:c r="I273" s="46"/>
      <x:c r="J273" s="46"/>
      <x:c r="K273" s="46"/>
      <x:c r="L273" s="46"/>
      <x:c r="M273" s="46"/>
      <x:c r="N273" s="46"/>
    </x:row>
    <x:row r="274">
      <x:c r="A274" s="46"/>
      <x:c r="B274" s="46"/>
      <x:c r="C274" s="46"/>
      <x:c r="D274" s="46"/>
      <x:c r="E274" s="46"/>
      <x:c r="F274" s="46"/>
      <x:c r="G274" s="46"/>
      <x:c r="H274" s="46"/>
      <x:c r="I274" s="46"/>
      <x:c r="J274" s="46"/>
      <x:c r="K274" s="46"/>
      <x:c r="L274" s="46"/>
      <x:c r="M274" s="46"/>
      <x:c r="N274" s="46"/>
    </x:row>
    <x:row r="275">
      <x:c r="A275" s="46"/>
      <x:c r="B275" s="46"/>
      <x:c r="C275" s="46"/>
      <x:c r="D275" s="46"/>
      <x:c r="E275" s="46"/>
      <x:c r="F275" s="46"/>
      <x:c r="G275" s="46"/>
      <x:c r="H275" s="46"/>
      <x:c r="I275" s="46"/>
      <x:c r="J275" s="46"/>
      <x:c r="K275" s="46"/>
      <x:c r="L275" s="46"/>
      <x:c r="M275" s="46"/>
      <x:c r="N275" s="46"/>
    </x:row>
    <x:row r="276">
      <x:c r="A276" s="46"/>
      <x:c r="B276" s="46"/>
      <x:c r="C276" s="46"/>
      <x:c r="D276" s="46"/>
      <x:c r="E276" s="46"/>
      <x:c r="F276" s="46"/>
      <x:c r="G276" s="46"/>
      <x:c r="H276" s="46"/>
      <x:c r="I276" s="46"/>
      <x:c r="J276" s="46"/>
      <x:c r="K276" s="46"/>
      <x:c r="L276" s="46"/>
      <x:c r="M276" s="46"/>
      <x:c r="N276" s="46"/>
    </x:row>
    <x:row r="277">
      <x:c r="A277" s="46"/>
      <x:c r="B277" s="46"/>
      <x:c r="C277" s="46"/>
      <x:c r="D277" s="46"/>
      <x:c r="E277" s="46"/>
      <x:c r="F277" s="46"/>
      <x:c r="G277" s="46"/>
      <x:c r="H277" s="46"/>
      <x:c r="I277" s="46"/>
      <x:c r="J277" s="46"/>
      <x:c r="K277" s="46"/>
      <x:c r="L277" s="46"/>
      <x:c r="M277" s="46"/>
      <x:c r="N277" s="46"/>
    </x:row>
    <x:row r="278">
      <x:c r="A278" s="46"/>
      <x:c r="B278" s="46"/>
      <x:c r="C278" s="46"/>
      <x:c r="D278" s="46"/>
      <x:c r="E278" s="46"/>
      <x:c r="F278" s="46"/>
      <x:c r="G278" s="46"/>
      <x:c r="H278" s="46"/>
      <x:c r="I278" s="46"/>
      <x:c r="J278" s="46"/>
      <x:c r="K278" s="46"/>
      <x:c r="L278" s="46"/>
      <x:c r="M278" s="46"/>
      <x:c r="N278" s="46"/>
    </x:row>
    <x:row r="279">
      <x:c r="A279" s="46"/>
      <x:c r="B279" s="46"/>
      <x:c r="C279" s="46"/>
      <x:c r="D279" s="46"/>
      <x:c r="E279" s="46"/>
      <x:c r="F279" s="46"/>
      <x:c r="G279" s="46"/>
      <x:c r="H279" s="46"/>
      <x:c r="I279" s="46"/>
      <x:c r="J279" s="46"/>
      <x:c r="K279" s="46"/>
      <x:c r="L279" s="46"/>
      <x:c r="M279" s="46"/>
      <x:c r="N279" s="46"/>
    </x:row>
    <x:row r="280">
      <x:c r="A280" s="46"/>
      <x:c r="B280" s="46"/>
      <x:c r="C280" s="46"/>
      <x:c r="D280" s="46"/>
      <x:c r="E280" s="46"/>
      <x:c r="F280" s="46"/>
      <x:c r="G280" s="46"/>
      <x:c r="H280" s="46"/>
      <x:c r="I280" s="46"/>
      <x:c r="J280" s="46"/>
      <x:c r="K280" s="46"/>
      <x:c r="L280" s="46"/>
      <x:c r="M280" s="46"/>
      <x:c r="N280" s="46"/>
    </x:row>
    <x:row r="281">
      <x:c r="A281" s="46"/>
      <x:c r="B281" s="46"/>
      <x:c r="C281" s="46"/>
      <x:c r="D281" s="46"/>
      <x:c r="E281" s="46"/>
      <x:c r="F281" s="46"/>
      <x:c r="G281" s="46"/>
      <x:c r="H281" s="46"/>
      <x:c r="I281" s="46"/>
      <x:c r="J281" s="46"/>
      <x:c r="K281" s="46"/>
      <x:c r="L281" s="46"/>
      <x:c r="M281" s="46"/>
      <x:c r="N281" s="46"/>
    </x:row>
    <x:row r="282">
      <x:c r="A282" s="46"/>
      <x:c r="B282" s="46"/>
      <x:c r="C282" s="46"/>
      <x:c r="D282" s="46"/>
      <x:c r="E282" s="46"/>
      <x:c r="F282" s="46"/>
      <x:c r="G282" s="46"/>
      <x:c r="H282" s="46"/>
      <x:c r="I282" s="46"/>
      <x:c r="J282" s="46"/>
      <x:c r="K282" s="46"/>
      <x:c r="L282" s="46"/>
      <x:c r="M282" s="46"/>
      <x:c r="N282" s="46"/>
    </x:row>
    <x:row r="283">
      <x:c r="A283" s="46"/>
      <x:c r="B283" s="46"/>
      <x:c r="C283" s="46"/>
      <x:c r="D283" s="46"/>
      <x:c r="E283" s="46"/>
      <x:c r="F283" s="46"/>
      <x:c r="G283" s="46"/>
      <x:c r="H283" s="46"/>
      <x:c r="I283" s="46"/>
      <x:c r="J283" s="46"/>
      <x:c r="K283" s="46"/>
      <x:c r="L283" s="46"/>
      <x:c r="M283" s="46"/>
      <x:c r="N283" s="46"/>
    </x:row>
    <x:row r="284">
      <x:c r="A284" s="46"/>
      <x:c r="B284" s="46"/>
      <x:c r="C284" s="46"/>
      <x:c r="D284" s="46"/>
      <x:c r="E284" s="46"/>
      <x:c r="F284" s="46"/>
      <x:c r="G284" s="46"/>
      <x:c r="H284" s="46"/>
      <x:c r="I284" s="46"/>
      <x:c r="J284" s="46"/>
      <x:c r="K284" s="46"/>
      <x:c r="L284" s="46"/>
      <x:c r="M284" s="46"/>
      <x:c r="N284" s="46"/>
    </x:row>
    <x:row r="285">
      <x:c r="A285" s="46"/>
      <x:c r="B285" s="46"/>
      <x:c r="C285" s="46"/>
      <x:c r="D285" s="46"/>
      <x:c r="E285" s="46"/>
      <x:c r="F285" s="46"/>
      <x:c r="G285" s="46"/>
      <x:c r="H285" s="46"/>
      <x:c r="I285" s="46"/>
      <x:c r="J285" s="46"/>
      <x:c r="K285" s="46"/>
      <x:c r="L285" s="46"/>
      <x:c r="M285" s="46"/>
      <x:c r="N285" s="46"/>
    </x:row>
    <x:row r="286">
      <x:c r="A286" s="46"/>
      <x:c r="B286" s="46"/>
      <x:c r="C286" s="46"/>
      <x:c r="D286" s="46"/>
      <x:c r="E286" s="46"/>
      <x:c r="F286" s="46"/>
      <x:c r="G286" s="46"/>
      <x:c r="H286" s="46"/>
      <x:c r="I286" s="46"/>
      <x:c r="J286" s="46"/>
      <x:c r="K286" s="46"/>
      <x:c r="L286" s="46"/>
      <x:c r="M286" s="46"/>
      <x:c r="N286" s="46"/>
    </x:row>
    <x:row r="287">
      <x:c r="A287" s="46"/>
      <x:c r="B287" s="46"/>
      <x:c r="C287" s="46"/>
      <x:c r="D287" s="46"/>
      <x:c r="E287" s="46"/>
      <x:c r="F287" s="46"/>
      <x:c r="G287" s="46"/>
      <x:c r="H287" s="46"/>
      <x:c r="I287" s="46"/>
      <x:c r="J287" s="46"/>
      <x:c r="K287" s="46"/>
      <x:c r="L287" s="46"/>
      <x:c r="M287" s="46"/>
      <x:c r="N287" s="46"/>
    </x:row>
    <x:row r="288">
      <x:c r="A288" s="46"/>
      <x:c r="B288" s="46"/>
      <x:c r="C288" s="46"/>
      <x:c r="D288" s="46"/>
      <x:c r="E288" s="46"/>
      <x:c r="F288" s="46"/>
      <x:c r="G288" s="46"/>
      <x:c r="H288" s="46"/>
      <x:c r="I288" s="46"/>
      <x:c r="J288" s="46"/>
      <x:c r="K288" s="46"/>
      <x:c r="L288" s="46"/>
      <x:c r="M288" s="46"/>
      <x:c r="N288" s="46"/>
    </x:row>
    <x:row r="289">
      <x:c r="A289" s="46"/>
      <x:c r="B289" s="46"/>
      <x:c r="C289" s="46"/>
      <x:c r="D289" s="46"/>
      <x:c r="E289" s="46"/>
      <x:c r="F289" s="46"/>
      <x:c r="G289" s="46"/>
      <x:c r="H289" s="46"/>
      <x:c r="I289" s="46"/>
      <x:c r="J289" s="46"/>
      <x:c r="K289" s="46"/>
      <x:c r="L289" s="46"/>
      <x:c r="M289" s="46"/>
      <x:c r="N289" s="46"/>
    </x:row>
    <x:row r="290">
      <x:c r="A290" s="46"/>
      <x:c r="B290" s="46"/>
      <x:c r="C290" s="46"/>
      <x:c r="D290" s="46"/>
      <x:c r="E290" s="46"/>
      <x:c r="F290" s="46"/>
      <x:c r="G290" s="46"/>
      <x:c r="H290" s="46"/>
      <x:c r="I290" s="46"/>
      <x:c r="J290" s="46"/>
      <x:c r="K290" s="46"/>
      <x:c r="L290" s="46"/>
      <x:c r="M290" s="46"/>
      <x:c r="N290" s="46"/>
    </x:row>
    <x:row r="291">
      <x:c r="A291" s="46"/>
      <x:c r="B291" s="46"/>
      <x:c r="C291" s="46"/>
      <x:c r="D291" s="46"/>
      <x:c r="E291" s="46"/>
      <x:c r="F291" s="46"/>
      <x:c r="G291" s="46"/>
      <x:c r="H291" s="46"/>
      <x:c r="I291" s="46"/>
      <x:c r="J291" s="46"/>
      <x:c r="K291" s="46"/>
      <x:c r="L291" s="46"/>
      <x:c r="M291" s="46"/>
      <x:c r="N291" s="46"/>
    </x:row>
    <x:row r="292">
      <x:c r="A292" s="46"/>
      <x:c r="B292" s="46"/>
      <x:c r="C292" s="46"/>
      <x:c r="D292" s="46"/>
      <x:c r="E292" s="46"/>
      <x:c r="F292" s="46"/>
      <x:c r="G292" s="46"/>
      <x:c r="H292" s="46"/>
      <x:c r="I292" s="46"/>
      <x:c r="J292" s="46"/>
      <x:c r="K292" s="46"/>
      <x:c r="L292" s="46"/>
      <x:c r="M292" s="46"/>
      <x:c r="N292" s="46"/>
    </x:row>
    <x:row r="293">
      <x:c r="A293" s="46"/>
      <x:c r="B293" s="46"/>
      <x:c r="C293" s="46"/>
      <x:c r="D293" s="46"/>
      <x:c r="E293" s="46"/>
      <x:c r="F293" s="46"/>
      <x:c r="G293" s="46"/>
      <x:c r="H293" s="46"/>
      <x:c r="I293" s="46"/>
      <x:c r="J293" s="46"/>
      <x:c r="K293" s="46"/>
      <x:c r="L293" s="46"/>
      <x:c r="M293" s="46"/>
      <x:c r="N293" s="46"/>
    </x:row>
    <x:row r="294">
      <x:c r="A294" s="46"/>
      <x:c r="B294" s="46"/>
      <x:c r="C294" s="46"/>
      <x:c r="D294" s="46"/>
      <x:c r="E294" s="46"/>
      <x:c r="F294" s="46"/>
      <x:c r="G294" s="46"/>
      <x:c r="H294" s="46"/>
      <x:c r="I294" s="46"/>
      <x:c r="J294" s="46"/>
      <x:c r="K294" s="46"/>
      <x:c r="L294" s="46"/>
      <x:c r="M294" s="46"/>
      <x:c r="N294" s="46"/>
    </x:row>
    <x:row r="295">
      <x:c r="A295" s="46"/>
      <x:c r="B295" s="46"/>
      <x:c r="C295" s="46"/>
      <x:c r="D295" s="46"/>
      <x:c r="E295" s="46"/>
      <x:c r="F295" s="46"/>
      <x:c r="G295" s="46"/>
      <x:c r="H295" s="46"/>
      <x:c r="I295" s="46"/>
      <x:c r="J295" s="46"/>
      <x:c r="K295" s="46"/>
      <x:c r="L295" s="46"/>
      <x:c r="M295" s="46"/>
      <x:c r="N295" s="46"/>
    </x:row>
    <x:row r="296">
      <x:c r="A296" s="46"/>
      <x:c r="B296" s="46"/>
      <x:c r="C296" s="46"/>
      <x:c r="D296" s="46"/>
      <x:c r="E296" s="46"/>
      <x:c r="F296" s="46"/>
      <x:c r="G296" s="46"/>
      <x:c r="H296" s="46"/>
      <x:c r="I296" s="46"/>
      <x:c r="J296" s="46"/>
      <x:c r="K296" s="46"/>
      <x:c r="L296" s="46"/>
      <x:c r="M296" s="46"/>
      <x:c r="N296" s="46"/>
    </x:row>
    <x:row r="297">
      <x:c r="A297" s="46"/>
      <x:c r="B297" s="46"/>
      <x:c r="C297" s="46"/>
      <x:c r="D297" s="46"/>
      <x:c r="E297" s="46"/>
      <x:c r="F297" s="46"/>
      <x:c r="G297" s="46"/>
      <x:c r="H297" s="46"/>
      <x:c r="I297" s="46"/>
      <x:c r="J297" s="46"/>
      <x:c r="K297" s="46"/>
      <x:c r="L297" s="46"/>
      <x:c r="M297" s="46"/>
      <x:c r="N297" s="46"/>
    </x:row>
    <x:row r="298">
      <x:c r="A298" s="46"/>
      <x:c r="B298" s="46"/>
      <x:c r="C298" s="46"/>
      <x:c r="D298" s="46"/>
      <x:c r="E298" s="46"/>
      <x:c r="F298" s="46"/>
      <x:c r="G298" s="46"/>
      <x:c r="H298" s="46"/>
      <x:c r="I298" s="46"/>
      <x:c r="J298" s="46"/>
      <x:c r="K298" s="46"/>
      <x:c r="L298" s="46"/>
      <x:c r="M298" s="46"/>
      <x:c r="N298" s="46"/>
    </x:row>
    <x:row r="299">
      <x:c r="A299" s="46"/>
      <x:c r="B299" s="46"/>
      <x:c r="C299" s="46"/>
      <x:c r="D299" s="46"/>
      <x:c r="E299" s="46"/>
      <x:c r="F299" s="46"/>
      <x:c r="G299" s="46"/>
      <x:c r="H299" s="46"/>
      <x:c r="I299" s="46"/>
      <x:c r="J299" s="46"/>
      <x:c r="K299" s="46"/>
      <x:c r="L299" s="46"/>
      <x:c r="M299" s="46"/>
      <x:c r="N299" s="46"/>
    </x:row>
    <x:row r="300">
      <x:c r="A300" s="46"/>
      <x:c r="B300" s="46"/>
      <x:c r="C300" s="46"/>
      <x:c r="D300" s="46"/>
      <x:c r="E300" s="46"/>
      <x:c r="F300" s="46"/>
      <x:c r="G300" s="46"/>
      <x:c r="H300" s="46"/>
      <x:c r="I300" s="46"/>
      <x:c r="J300" s="46"/>
      <x:c r="K300" s="46"/>
      <x:c r="L300" s="46"/>
      <x:c r="M300" s="46"/>
      <x:c r="N300" s="46"/>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6" hidden="0" customWidth="1"/>
    <x:col min="5" max="5" width="34" hidden="0" customWidth="1"/>
    <x:col min="6" max="6" width="36" hidden="0" customWidth="1"/>
    <x:col min="7" max="7" width="16" hidden="0" customWidth="1"/>
    <x:col min="8" max="8" width="24" hidden="0" customWidth="1"/>
    <x:col min="9" max="9" width="26" hidden="0" customWidth="1"/>
    <x:col min="10" max="10" width="18" hidden="0" customWidth="1"/>
    <x:col min="11" max="11" width="30" hidden="0" customWidth="1"/>
    <x:col min="12" max="12" width="58" hidden="0" customWidth="1"/>
    <x:col min="13" max="13" width="23" hidden="0" customWidth="1"/>
    <x:col min="14" max="14" width="50" hidden="0" customWidth="1"/>
    <x:col min="15" max="15" width="25" hidden="0" customWidth="1"/>
    <x:col min="16" max="16" width="28" hidden="0" customWidth="1"/>
    <x:col min="17" max="17" width="50" hidden="0" customWidth="1"/>
  </x:cols>
  <x:sheetData>
    <x:row r="1" ht="34" customHeight="1">
      <x:c r="A1" s="61" t="str">
        <x:v>profile_record_id</x:v>
      </x:c>
      <x:c r="B1" s="61" t="str">
        <x:v>protein</x:v>
      </x:c>
      <x:c r="C1" s="61" t="str">
        <x:v>family_id</x:v>
      </x:c>
      <x:c r="D1" s="61" t="str">
        <x:v>preparation_state</x:v>
      </x:c>
      <x:c r="E1" s="61" t="str">
        <x:v>cut_or_part</x:v>
      </x:c>
      <x:c r="F1" s="61" t="str">
        <x:v>compound_name</x:v>
      </x:c>
      <x:c r="G1" s="61" t="str">
        <x:v>cas</x:v>
      </x:c>
      <x:c r="H1" s="61" t="str">
        <x:v>compound_group</x:v>
      </x:c>
      <x:c r="I1" s="61" t="str">
        <x:v>evidence_mode</x:v>
      </x:c>
      <x:c r="J1" s="61" t="str">
        <x:v>direct_source_state</x:v>
      </x:c>
      <x:c r="K1" s="61" t="str">
        <x:v>importance_class</x:v>
      </x:c>
      <x:c r="L1" s="61" t="str">
        <x:v>importance_detail</x:v>
      </x:c>
      <x:c r="M1" s="61" t="str">
        <x:v>source_id</x:v>
      </x:c>
      <x:c r="N1" s="61" t="str">
        <x:v>source_url</x:v>
      </x:c>
      <x:c r="O1" s="61" t="str">
        <x:v>source_context_confounded</x:v>
      </x:c>
      <x:c r="P1" s="61" t="str">
        <x:v>promotion_status</x:v>
      </x:c>
      <x:c r="Q1" s="61" t="str">
        <x:v>notes</x:v>
      </x:c>
    </x:row>
    <x:row r="2">
      <x:c r="A2" s="46" t="str">
        <x:v>TP-001</x:v>
      </x:c>
      <x:c r="B2" s="46" t="str">
        <x:v>turkey</x:v>
      </x:c>
      <x:c r="C2" s="46" t="str">
        <x:v>family:poultry</x:v>
      </x:c>
      <x:c r="D2" s="46" t="str">
        <x:v>raw</x:v>
      </x:c>
      <x:c r="E2" s="46" t="str">
        <x:v>fresh minced turkey control</x:v>
      </x:c>
      <x:c r="F2" s="46" t="str">
        <x:v>hexanal</x:v>
      </x:c>
      <x:c r="G2" s="46" t="str">
        <x:v>66-25-1</x:v>
      </x:c>
      <x:c r="H2" s="46" t="str">
        <x:v>Carbonyls, aldehydes</x:v>
      </x:c>
      <x:c r="I2" s="46" t="str">
        <x:v>measured_with_source_OAV_inference</x:v>
      </x:c>
      <x:c r="J2" s="46" t="str">
        <x:v>raw</x:v>
      </x:c>
      <x:c r="K2" s="46" t="str">
        <x:v>source_OAV_assumed_active</x:v>
      </x:c>
      <x:c r="L2" s="46" t="str">
        <x:v>Measured in fresh turkey control; source authors state that, based on measured concentration and published odor thresholds, this compound can be assumed odor-active in raw fresh minced turkey.</x:v>
      </x:c>
      <x:c r="M2" s="46" t="str">
        <x:v>SRC-TURKEY-RAW-001</x:v>
      </x:c>
      <x:c r="N2" s="46" t="str">
        <x:v>https://pmc.ncbi.nlm.nih.gov/articles/PMC11314540/</x:v>
      </x:c>
      <x:c r="O2" s="46" t="str">
        <x:v>minor_context_storage_study</x:v>
      </x:c>
      <x:c r="P2" s="46" t="str">
        <x:v>eligible_for_turkey_pilot</x:v>
      </x:c>
      <x:c r="Q2" s="46" t="str">
        <x:v>Odor-active status is a source-level OAV inference; not validated by GC-O or omission testing.</x:v>
      </x:c>
    </x:row>
    <x:row r="3">
      <x:c r="A3" s="46" t="str">
        <x:v>TP-002</x:v>
      </x:c>
      <x:c r="B3" s="46" t="str">
        <x:v>turkey</x:v>
      </x:c>
      <x:c r="C3" s="46" t="str">
        <x:v>family:poultry</x:v>
      </x:c>
      <x:c r="D3" s="46" t="str">
        <x:v>raw</x:v>
      </x:c>
      <x:c r="E3" s="46" t="str">
        <x:v>fresh minced turkey control</x:v>
      </x:c>
      <x:c r="F3" s="46" t="str">
        <x:v>heptanal</x:v>
      </x:c>
      <x:c r="G3" s="46" t="str">
        <x:v>111-71-7</x:v>
      </x:c>
      <x:c r="H3" s="46" t="str">
        <x:v>Carbonyls, aldehydes</x:v>
      </x:c>
      <x:c r="I3" s="46" t="str">
        <x:v>measured_with_source_OAV_inference</x:v>
      </x:c>
      <x:c r="J3" s="46" t="str">
        <x:v>raw</x:v>
      </x:c>
      <x:c r="K3" s="46" t="str">
        <x:v>source_OAV_assumed_active</x:v>
      </x:c>
      <x:c r="L3" s="46" t="str">
        <x:v>Measured in fresh turkey control; source authors state that, based on measured concentration and published odor thresholds, this compound can be assumed odor-active in raw fresh minced turkey.</x:v>
      </x:c>
      <x:c r="M3" s="46" t="str">
        <x:v>SRC-TURKEY-RAW-001</x:v>
      </x:c>
      <x:c r="N3" s="46" t="str">
        <x:v>https://pmc.ncbi.nlm.nih.gov/articles/PMC11314540/</x:v>
      </x:c>
      <x:c r="O3" s="46" t="str">
        <x:v>minor_context_storage_study</x:v>
      </x:c>
      <x:c r="P3" s="46" t="str">
        <x:v>eligible_for_turkey_pilot</x:v>
      </x:c>
      <x:c r="Q3" s="46" t="str">
        <x:v>Odor-active status is a source-level OAV inference; not validated by GC-O or omission testing.</x:v>
      </x:c>
    </x:row>
    <x:row r="4">
      <x:c r="A4" s="46" t="str">
        <x:v>TP-003</x:v>
      </x:c>
      <x:c r="B4" s="46" t="str">
        <x:v>turkey</x:v>
      </x:c>
      <x:c r="C4" s="46" t="str">
        <x:v>family:poultry</x:v>
      </x:c>
      <x:c r="D4" s="46" t="str">
        <x:v>raw</x:v>
      </x:c>
      <x:c r="E4" s="46" t="str">
        <x:v>fresh minced turkey control</x:v>
      </x:c>
      <x:c r="F4" s="46" t="str">
        <x:v>dimethyl trisulfide</x:v>
      </x:c>
      <x:c r="G4" s="46" t="str">
        <x:v>3658-80-8</x:v>
      </x:c>
      <x:c r="H4" s="46" t="str">
        <x:v>Sulfur compounds</x:v>
      </x:c>
      <x:c r="I4" s="46" t="str">
        <x:v>measured_with_source_OAV_inference</x:v>
      </x:c>
      <x:c r="J4" s="46" t="str">
        <x:v>raw</x:v>
      </x:c>
      <x:c r="K4" s="46" t="str">
        <x:v>source_OAV_assumed_active</x:v>
      </x:c>
      <x:c r="L4" s="46" t="str">
        <x:v>Measured in fresh turkey control; source authors state that, based on measured concentration and published odor thresholds, this compound can be assumed odor-active in raw fresh minced turkey.</x:v>
      </x:c>
      <x:c r="M4" s="46" t="str">
        <x:v>SRC-TURKEY-RAW-001</x:v>
      </x:c>
      <x:c r="N4" s="46" t="str">
        <x:v>https://pmc.ncbi.nlm.nih.gov/articles/PMC11314540/</x:v>
      </x:c>
      <x:c r="O4" s="46" t="str">
        <x:v>minor_context_storage_study</x:v>
      </x:c>
      <x:c r="P4" s="46" t="str">
        <x:v>eligible_for_turkey_pilot</x:v>
      </x:c>
      <x:c r="Q4" s="46" t="str">
        <x:v>Odor-active status is a source-level OAV inference; not validated by GC-O or omission testing.</x:v>
      </x:c>
    </x:row>
    <x:row r="5">
      <x:c r="A5" s="46" t="str">
        <x:v>TP-004</x:v>
      </x:c>
      <x:c r="B5" s="46" t="str">
        <x:v>turkey</x:v>
      </x:c>
      <x:c r="C5" s="46" t="str">
        <x:v>family:poultry</x:v>
      </x:c>
      <x:c r="D5" s="46" t="str">
        <x:v>raw</x:v>
      </x:c>
      <x:c r="E5" s="46" t="str">
        <x:v>fresh minced turkey control</x:v>
      </x:c>
      <x:c r="F5" s="46" t="str">
        <x:v>1-octen-3-one</x:v>
      </x:c>
      <x:c r="G5" s="46" t="str">
        <x:v>4312-99-6</x:v>
      </x:c>
      <x:c r="H5" s="46" t="str">
        <x:v>Carbonyls, ketones</x:v>
      </x:c>
      <x:c r="I5" s="46" t="str">
        <x:v>measured_with_source_OAV_inference</x:v>
      </x:c>
      <x:c r="J5" s="46" t="str">
        <x:v>raw</x:v>
      </x:c>
      <x:c r="K5" s="46" t="str">
        <x:v>source_OAV_assumed_active</x:v>
      </x:c>
      <x:c r="L5" s="46" t="str">
        <x:v>Measured in fresh turkey control; source authors state that, based on measured concentration and published odor thresholds, this compound can be assumed odor-active in raw fresh minced turkey.</x:v>
      </x:c>
      <x:c r="M5" s="46" t="str">
        <x:v>SRC-TURKEY-RAW-001</x:v>
      </x:c>
      <x:c r="N5" s="46" t="str">
        <x:v>https://pmc.ncbi.nlm.nih.gov/articles/PMC11314540/</x:v>
      </x:c>
      <x:c r="O5" s="46" t="str">
        <x:v>minor_context_storage_study</x:v>
      </x:c>
      <x:c r="P5" s="46" t="str">
        <x:v>eligible_for_turkey_pilot</x:v>
      </x:c>
      <x:c r="Q5" s="46" t="str">
        <x:v>Odor-active status is a source-level OAV inference; not validated by GC-O or omission testing.</x:v>
      </x:c>
    </x:row>
    <x:row r="6">
      <x:c r="A6" s="46" t="str">
        <x:v>TP-005</x:v>
      </x:c>
      <x:c r="B6" s="46" t="str">
        <x:v>turkey</x:v>
      </x:c>
      <x:c r="C6" s="46" t="str">
        <x:v>family:poultry</x:v>
      </x:c>
      <x:c r="D6" s="46" t="str">
        <x:v>raw</x:v>
      </x:c>
      <x:c r="E6" s="46" t="str">
        <x:v>fresh minced turkey control</x:v>
      </x:c>
      <x:c r="F6" s="46" t="str">
        <x:v>2-pentylfuran</x:v>
      </x:c>
      <x:c r="G6" s="46" t="str">
        <x:v>3777-69-3</x:v>
      </x:c>
      <x:c r="H6" s="46" t="str">
        <x:v>Furans</x:v>
      </x:c>
      <x:c r="I6" s="46" t="str">
        <x:v>measured_with_source_OAV_inference</x:v>
      </x:c>
      <x:c r="J6" s="46" t="str">
        <x:v>raw</x:v>
      </x:c>
      <x:c r="K6" s="46" t="str">
        <x:v>source_OAV_assumed_active</x:v>
      </x:c>
      <x:c r="L6" s="46" t="str">
        <x:v>Measured in fresh turkey control; source authors state that, based on measured concentration and published odor thresholds, this compound can be assumed odor-active in raw fresh minced turkey.</x:v>
      </x:c>
      <x:c r="M6" s="46" t="str">
        <x:v>SRC-TURKEY-RAW-001</x:v>
      </x:c>
      <x:c r="N6" s="46" t="str">
        <x:v>https://pmc.ncbi.nlm.nih.gov/articles/PMC11314540/</x:v>
      </x:c>
      <x:c r="O6" s="46" t="str">
        <x:v>minor_context_storage_study</x:v>
      </x:c>
      <x:c r="P6" s="46" t="str">
        <x:v>eligible_for_turkey_pilot</x:v>
      </x:c>
      <x:c r="Q6" s="46" t="str">
        <x:v>Odor-active status is a source-level OAV inference; not validated by GC-O or omission testing.</x:v>
      </x:c>
    </x:row>
    <x:row r="7">
      <x:c r="A7" s="46" t="str">
        <x:v>TP-006</x:v>
      </x:c>
      <x:c r="B7" s="46" t="str">
        <x:v>turkey</x:v>
      </x:c>
      <x:c r="C7" s="46" t="str">
        <x:v>family:poultry</x:v>
      </x:c>
      <x:c r="D7" s="46" t="str">
        <x:v>raw</x:v>
      </x:c>
      <x:c r="E7" s="46" t="str">
        <x:v>fresh minced turkey control</x:v>
      </x:c>
      <x:c r="F7" s="46" t="str">
        <x:v>octanal</x:v>
      </x:c>
      <x:c r="G7" s="46" t="str">
        <x:v>124-13-0</x:v>
      </x:c>
      <x:c r="H7" s="46" t="str">
        <x:v>Carbonyls, aldehydes</x:v>
      </x:c>
      <x:c r="I7" s="46" t="str">
        <x:v>measured_with_source_OAV_inference</x:v>
      </x:c>
      <x:c r="J7" s="46" t="str">
        <x:v>raw</x:v>
      </x:c>
      <x:c r="K7" s="46" t="str">
        <x:v>source_OAV_assumed_active</x:v>
      </x:c>
      <x:c r="L7" s="46" t="str">
        <x:v>Measured in fresh turkey control; source authors state that, based on measured concentration and published odor thresholds, this compound can be assumed odor-active in raw fresh minced turkey.</x:v>
      </x:c>
      <x:c r="M7" s="46" t="str">
        <x:v>SRC-TURKEY-RAW-001</x:v>
      </x:c>
      <x:c r="N7" s="46" t="str">
        <x:v>https://pmc.ncbi.nlm.nih.gov/articles/PMC11314540/</x:v>
      </x:c>
      <x:c r="O7" s="46" t="str">
        <x:v>minor_context_storage_study</x:v>
      </x:c>
      <x:c r="P7" s="46" t="str">
        <x:v>eligible_for_turkey_pilot</x:v>
      </x:c>
      <x:c r="Q7" s="46" t="str">
        <x:v>Odor-active status is a source-level OAV inference; not validated by GC-O or omission testing.</x:v>
      </x:c>
    </x:row>
    <x:row r="8">
      <x:c r="A8" s="46" t="str">
        <x:v>TP-007</x:v>
      </x:c>
      <x:c r="B8" s="46" t="str">
        <x:v>turkey</x:v>
      </x:c>
      <x:c r="C8" s="46" t="str">
        <x:v>family:poultry</x:v>
      </x:c>
      <x:c r="D8" s="46" t="str">
        <x:v>raw</x:v>
      </x:c>
      <x:c r="E8" s="46" t="str">
        <x:v>fresh minced turkey control</x:v>
      </x:c>
      <x:c r="F8" s="46" t="str">
        <x:v>(E)-2-octenal</x:v>
      </x:c>
      <x:c r="G8" s="46" t="str">
        <x:v>2548-87-0</x:v>
      </x:c>
      <x:c r="H8" s="46" t="str">
        <x:v>Carbonyls, aldehydes</x:v>
      </x:c>
      <x:c r="I8" s="46" t="str">
        <x:v>measured_with_source_OAV_inference</x:v>
      </x:c>
      <x:c r="J8" s="46" t="str">
        <x:v>raw</x:v>
      </x:c>
      <x:c r="K8" s="46" t="str">
        <x:v>source_OAV_assumed_active</x:v>
      </x:c>
      <x:c r="L8" s="46" t="str">
        <x:v>Measured in fresh turkey control; source authors state that, based on measured concentration and published odor thresholds, this compound can be assumed odor-active in raw fresh minced turkey.</x:v>
      </x:c>
      <x:c r="M8" s="46" t="str">
        <x:v>SRC-TURKEY-RAW-001</x:v>
      </x:c>
      <x:c r="N8" s="46" t="str">
        <x:v>https://pmc.ncbi.nlm.nih.gov/articles/PMC11314540/</x:v>
      </x:c>
      <x:c r="O8" s="46" t="str">
        <x:v>minor_context_storage_study</x:v>
      </x:c>
      <x:c r="P8" s="46" t="str">
        <x:v>eligible_for_turkey_pilot</x:v>
      </x:c>
      <x:c r="Q8" s="46" t="str">
        <x:v>Odor-active status is a source-level OAV inference; not validated by GC-O or omission testing.</x:v>
      </x:c>
    </x:row>
    <x:row r="9">
      <x:c r="A9" s="46" t="str">
        <x:v>TP-008</x:v>
      </x:c>
      <x:c r="B9" s="46" t="str">
        <x:v>turkey</x:v>
      </x:c>
      <x:c r="C9" s="46" t="str">
        <x:v>family:poultry</x:v>
      </x:c>
      <x:c r="D9" s="46" t="str">
        <x:v>raw</x:v>
      </x:c>
      <x:c r="E9" s="46" t="str">
        <x:v>fresh minced turkey control</x:v>
      </x:c>
      <x:c r="F9" s="46" t="str">
        <x:v>nonanal</x:v>
      </x:c>
      <x:c r="G9" s="46" t="str">
        <x:v>124-19-6</x:v>
      </x:c>
      <x:c r="H9" s="46" t="str">
        <x:v>Carbonyls, aldehydes</x:v>
      </x:c>
      <x:c r="I9" s="46" t="str">
        <x:v>measured_with_source_OAV_inference</x:v>
      </x:c>
      <x:c r="J9" s="46" t="str">
        <x:v>raw</x:v>
      </x:c>
      <x:c r="K9" s="46" t="str">
        <x:v>source_OAV_assumed_active</x:v>
      </x:c>
      <x:c r="L9" s="46" t="str">
        <x:v>Measured in fresh turkey control; source authors state that, based on measured concentration and published odor thresholds, this compound can be assumed odor-active in raw fresh minced turkey.</x:v>
      </x:c>
      <x:c r="M9" s="46" t="str">
        <x:v>SRC-TURKEY-RAW-001</x:v>
      </x:c>
      <x:c r="N9" s="46" t="str">
        <x:v>https://pmc.ncbi.nlm.nih.gov/articles/PMC11314540/</x:v>
      </x:c>
      <x:c r="O9" s="46" t="str">
        <x:v>minor_context_storage_study</x:v>
      </x:c>
      <x:c r="P9" s="46" t="str">
        <x:v>eligible_for_turkey_pilot</x:v>
      </x:c>
      <x:c r="Q9" s="46" t="str">
        <x:v>Odor-active status is a source-level OAV inference; not validated by GC-O or omission testing.</x:v>
      </x:c>
    </x:row>
    <x:row r="10">
      <x:c r="A10" s="46" t="str">
        <x:v>TP-009</x:v>
      </x:c>
      <x:c r="B10" s="46" t="str">
        <x:v>turkey</x:v>
      </x:c>
      <x:c r="C10" s="46" t="str">
        <x:v>family:poultry</x:v>
      </x:c>
      <x:c r="D10" s="46" t="str">
        <x:v>raw</x:v>
      </x:c>
      <x:c r="E10" s="46" t="str">
        <x:v>fresh minced turkey control</x:v>
      </x:c>
      <x:c r="F10" s="46" t="str">
        <x:v>decanal</x:v>
      </x:c>
      <x:c r="G10" s="46" t="str">
        <x:v>112-31-2</x:v>
      </x:c>
      <x:c r="H10" s="46" t="str">
        <x:v>Carbonyls, aldehydes</x:v>
      </x:c>
      <x:c r="I10" s="46" t="str">
        <x:v>measured_with_source_OAV_inference</x:v>
      </x:c>
      <x:c r="J10" s="46" t="str">
        <x:v>raw</x:v>
      </x:c>
      <x:c r="K10" s="46" t="str">
        <x:v>source_OAV_assumed_active</x:v>
      </x:c>
      <x:c r="L10" s="46" t="str">
        <x:v>Measured in fresh turkey control; source authors state that, based on measured concentration and published odor thresholds, this compound can be assumed odor-active in raw fresh minced turkey.</x:v>
      </x:c>
      <x:c r="M10" s="46" t="str">
        <x:v>SRC-TURKEY-RAW-001</x:v>
      </x:c>
      <x:c r="N10" s="46" t="str">
        <x:v>https://pmc.ncbi.nlm.nih.gov/articles/PMC11314540/</x:v>
      </x:c>
      <x:c r="O10" s="46" t="str">
        <x:v>minor_context_storage_study</x:v>
      </x:c>
      <x:c r="P10" s="46" t="str">
        <x:v>eligible_for_turkey_pilot</x:v>
      </x:c>
      <x:c r="Q10" s="46" t="str">
        <x:v>Odor-active status is a source-level OAV inference; not validated by GC-O or omission testing.</x:v>
      </x:c>
    </x:row>
    <x:row r="11">
      <x:c r="A11" s="46" t="str">
        <x:v>TP-010</x:v>
      </x:c>
      <x:c r="B11" s="46" t="str">
        <x:v>turkey</x:v>
      </x:c>
      <x:c r="C11" s="46" t="str">
        <x:v>family:poultry</x:v>
      </x:c>
      <x:c r="D11" s="46" t="str">
        <x:v>cooked</x:v>
      </x:c>
      <x:c r="E11" s="46" t="str">
        <x:v>freshly cooked turkey breast muscle</x:v>
      </x:c>
      <x:c r="F11" s="46" t="str">
        <x:v>1-octen-3-one</x:v>
      </x:c>
      <x:c r="G11" s="46" t="str">
        <x:v>4312-99-6</x:v>
      </x:c>
      <x:c r="H11" s="46" t="str">
        <x:v>Carbonyls, ketones</x:v>
      </x:c>
      <x:c r="I11" s="46" t="str">
        <x:v>measured</x:v>
      </x:c>
      <x:c r="J11" s="46" t="str">
        <x:v>cooked</x:v>
      </x:c>
      <x:c r="K11" s="46" t="str">
        <x:v>potent_GC-O_AEDA</x:v>
      </x:c>
      <x:c r="L11" s="46" t="str">
        <x:v>One of the most potent odor contributors to freshly cooked and oxidized turkey breast.</x:v>
      </x:c>
      <x:c r="M11" s="46" t="str">
        <x:v>SRC-TURKEY-COOK-001</x:v>
      </x:c>
      <x:c r="N11" s="46" t="str">
        <x:v>https://onlinelibrary.wiley.com/doi/10.1002/ffj.1087</x:v>
      </x:c>
      <x:c r="O11" s="46" t="str">
        <x:v>no</x:v>
      </x:c>
      <x:c r="P11" s="46" t="str">
        <x:v>eligible_for_turkey_pilot</x:v>
      </x:c>
      <x:c r="Q11" s="46" t="str">
        <x:v>Freshly cooked state only. Do not silently relabel as roasted.</x:v>
      </x:c>
    </x:row>
    <x:row r="12">
      <x:c r="A12" s="46" t="str">
        <x:v>TP-011</x:v>
      </x:c>
      <x:c r="B12" s="46" t="str">
        <x:v>turkey</x:v>
      </x:c>
      <x:c r="C12" s="46" t="str">
        <x:v>family:poultry</x:v>
      </x:c>
      <x:c r="D12" s="46" t="str">
        <x:v>cooked</x:v>
      </x:c>
      <x:c r="E12" s="46" t="str">
        <x:v>freshly cooked turkey breast muscle</x:v>
      </x:c>
      <x:c r="F12" s="46" t="str">
        <x:v>(E,E)-2,4-decadienal</x:v>
      </x:c>
      <x:c r="G12" s="46" t="str">
        <x:v>25152-84-5</x:v>
      </x:c>
      <x:c r="H12" s="46" t="str">
        <x:v>Carbonyls, aldehydes</x:v>
      </x:c>
      <x:c r="I12" s="46" t="str">
        <x:v>measured</x:v>
      </x:c>
      <x:c r="J12" s="46" t="str">
        <x:v>cooked</x:v>
      </x:c>
      <x:c r="K12" s="46" t="str">
        <x:v>potent_GC-O_AEDA</x:v>
      </x:c>
      <x:c r="L12" s="46" t="str">
        <x:v>One of the most potent odor contributors to freshly cooked and oxidized turkey breast.</x:v>
      </x:c>
      <x:c r="M12" s="46" t="str">
        <x:v>SRC-TURKEY-COOK-001</x:v>
      </x:c>
      <x:c r="N12" s="46" t="str">
        <x:v>https://onlinelibrary.wiley.com/doi/10.1002/ffj.1087</x:v>
      </x:c>
      <x:c r="O12" s="46" t="str">
        <x:v>no</x:v>
      </x:c>
      <x:c r="P12" s="46" t="str">
        <x:v>eligible_for_turkey_pilot</x:v>
      </x:c>
      <x:c r="Q12" s="46" t="str">
        <x:v>Freshly cooked state only. Do not silently relabel as roasted.</x:v>
      </x:c>
    </x:row>
    <x:row r="13">
      <x:c r="A13" s="46" t="str">
        <x:v>TP-012</x:v>
      </x:c>
      <x:c r="B13" s="46" t="str">
        <x:v>turkey</x:v>
      </x:c>
      <x:c r="C13" s="46" t="str">
        <x:v>family:poultry</x:v>
      </x:c>
      <x:c r="D13" s="46" t="str">
        <x:v>cooked</x:v>
      </x:c>
      <x:c r="E13" s="46" t="str">
        <x:v>freshly cooked turkey breast muscle</x:v>
      </x:c>
      <x:c r="F13" s="46" t="str">
        <x:v>(E,Z)-2,6-nonadienal</x:v>
      </x:c>
      <x:c r="G13" s="46" t="str">
        <x:v>557-48-2</x:v>
      </x:c>
      <x:c r="H13" s="46" t="str">
        <x:v>Carbonyls, aldehydes</x:v>
      </x:c>
      <x:c r="I13" s="46" t="str">
        <x:v>measured</x:v>
      </x:c>
      <x:c r="J13" s="46" t="str">
        <x:v>cooked</x:v>
      </x:c>
      <x:c r="K13" s="46" t="str">
        <x:v>potent_GC-O_AEDA</x:v>
      </x:c>
      <x:c r="L13" s="46" t="str">
        <x:v>One of the most potent odor contributors to freshly cooked and oxidized turkey breast.</x:v>
      </x:c>
      <x:c r="M13" s="46" t="str">
        <x:v>SRC-TURKEY-COOK-001</x:v>
      </x:c>
      <x:c r="N13" s="46" t="str">
        <x:v>https://onlinelibrary.wiley.com/doi/10.1002/ffj.1087</x:v>
      </x:c>
      <x:c r="O13" s="46" t="str">
        <x:v>no</x:v>
      </x:c>
      <x:c r="P13" s="46" t="str">
        <x:v>eligible_for_turkey_pilot</x:v>
      </x:c>
      <x:c r="Q13" s="46" t="str">
        <x:v>Freshly cooked state only. Do not silently relabel as roasted.</x:v>
      </x:c>
    </x:row>
    <x:row r="14">
      <x:c r="A14" s="46" t="str">
        <x:v>TP-013</x:v>
      </x:c>
      <x:c r="B14" s="46" t="str">
        <x:v>turkey</x:v>
      </x:c>
      <x:c r="C14" s="46" t="str">
        <x:v>family:poultry</x:v>
      </x:c>
      <x:c r="D14" s="46" t="str">
        <x:v>cooked</x:v>
      </x:c>
      <x:c r="E14" s="46" t="str">
        <x:v>freshly cooked turkey breast muscle</x:v>
      </x:c>
      <x:c r="F14" s="46" t="str">
        <x:v>2-pentylthiophene</x:v>
      </x:c>
      <x:c r="G14" s="46" t="str">
        <x:v>4861-58-9</x:v>
      </x:c>
      <x:c r="H14" s="46" t="str">
        <x:v>Sulfur compounds</x:v>
      </x:c>
      <x:c r="I14" s="46" t="str">
        <x:v>measured</x:v>
      </x:c>
      <x:c r="J14" s="46" t="str">
        <x:v>cooked</x:v>
      </x:c>
      <x:c r="K14" s="46" t="str">
        <x:v>moderate_GC-O_contributor</x:v>
      </x:c>
      <x:c r="L14" s="46" t="str">
        <x:v>Moderately potent sulfur-containing contributor to freshly cooked turkey; concentration fell after oxidation/storage.</x:v>
      </x:c>
      <x:c r="M14" s="46" t="str">
        <x:v>SRC-TURKEY-COOK-001</x:v>
      </x:c>
      <x:c r="N14" s="46" t="str">
        <x:v>https://onlinelibrary.wiley.com/doi/10.1002/ffj.1087</x:v>
      </x:c>
      <x:c r="O14" s="46" t="str">
        <x:v>no</x:v>
      </x:c>
      <x:c r="P14" s="46" t="str">
        <x:v>eligible_for_turkey_pilot</x:v>
      </x:c>
      <x:c r="Q14" s="46" t="str">
        <x:v>Freshly cooked state only. Do not silently relabel as roasted.</x:v>
      </x:c>
    </x:row>
    <x:row r="15">
      <x:c r="A15" s="46"/>
      <x:c r="B15" s="46"/>
      <x:c r="C15" s="46"/>
      <x:c r="D15" s="46"/>
      <x:c r="E15" s="46"/>
      <x:c r="F15" s="46"/>
      <x:c r="G15" s="46"/>
      <x:c r="H15" s="46"/>
      <x:c r="I15" s="46"/>
      <x:c r="J15" s="46"/>
      <x:c r="K15" s="46"/>
      <x:c r="L15" s="46"/>
      <x:c r="M15" s="46"/>
      <x:c r="N15" s="46"/>
      <x:c r="O15" s="46"/>
      <x:c r="P15" s="46"/>
      <x:c r="Q15" s="46"/>
    </x:row>
    <x:row r="16">
      <x:c r="A16" s="46"/>
      <x:c r="B16" s="46"/>
      <x:c r="C16" s="46"/>
      <x:c r="D16" s="46"/>
      <x:c r="E16" s="46"/>
      <x:c r="F16" s="46"/>
      <x:c r="G16" s="46"/>
      <x:c r="H16" s="46"/>
      <x:c r="I16" s="46"/>
      <x:c r="J16" s="46"/>
      <x:c r="K16" s="46"/>
      <x:c r="L16" s="46"/>
      <x:c r="M16" s="46"/>
      <x:c r="N16" s="46"/>
      <x:c r="O16" s="46"/>
      <x:c r="P16" s="46"/>
      <x:c r="Q16" s="46"/>
    </x:row>
    <x:row r="17">
      <x:c r="A17" s="46"/>
      <x:c r="B17" s="46"/>
      <x:c r="C17" s="46"/>
      <x:c r="D17" s="46"/>
      <x:c r="E17" s="46"/>
      <x:c r="F17" s="46"/>
      <x:c r="G17" s="46"/>
      <x:c r="H17" s="46"/>
      <x:c r="I17" s="46"/>
      <x:c r="J17" s="46"/>
      <x:c r="K17" s="46"/>
      <x:c r="L17" s="46"/>
      <x:c r="M17" s="46"/>
      <x:c r="N17" s="46"/>
      <x:c r="O17" s="46"/>
      <x:c r="P17" s="46"/>
      <x:c r="Q17" s="46"/>
    </x:row>
    <x:row r="18">
      <x:c r="A18" s="46"/>
      <x:c r="B18" s="46"/>
      <x:c r="C18" s="46"/>
      <x:c r="D18" s="46"/>
      <x:c r="E18" s="46"/>
      <x:c r="F18" s="46"/>
      <x:c r="G18" s="46"/>
      <x:c r="H18" s="46"/>
      <x:c r="I18" s="46"/>
      <x:c r="J18" s="46"/>
      <x:c r="K18" s="46"/>
      <x:c r="L18" s="46"/>
      <x:c r="M18" s="46"/>
      <x:c r="N18" s="46"/>
      <x:c r="O18" s="46"/>
      <x:c r="P18" s="46"/>
      <x:c r="Q18" s="46"/>
    </x:row>
    <x:row r="19">
      <x:c r="A19" s="46"/>
      <x:c r="B19" s="46"/>
      <x:c r="C19" s="46"/>
      <x:c r="D19" s="46"/>
      <x:c r="E19" s="46"/>
      <x:c r="F19" s="46"/>
      <x:c r="G19" s="46"/>
      <x:c r="H19" s="46"/>
      <x:c r="I19" s="46"/>
      <x:c r="J19" s="46"/>
      <x:c r="K19" s="46"/>
      <x:c r="L19" s="46"/>
      <x:c r="M19" s="46"/>
      <x:c r="N19" s="46"/>
      <x:c r="O19" s="46"/>
      <x:c r="P19" s="46"/>
      <x:c r="Q19" s="46"/>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4">
    <x:cfRule type="expression" dxfId="11" priority="1">
      <x:formula>LEFT(I2,8)="measured"</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30" hidden="0" customWidth="1"/>
    <x:col min="3" max="3" width="20" hidden="0" customWidth="1"/>
    <x:col min="4" max="4" width="28" hidden="0" customWidth="1"/>
    <x:col min="5" max="5" width="30" hidden="0" customWidth="1"/>
    <x:col min="6" max="6" width="52" hidden="0" customWidth="1"/>
    <x:col min="7" max="7" width="52" hidden="0" customWidth="1"/>
    <x:col min="8" max="8" width="58" hidden="0" customWidth="1"/>
    <x:col min="9" max="9" width="55" hidden="0" customWidth="1"/>
    <x:col min="10" max="10" width="32" hidden="0" customWidth="1"/>
  </x:cols>
  <x:sheetData>
    <x:row r="1" ht="34" customHeight="1">
      <x:c r="A1" s="61" t="str">
        <x:v>queue_state</x:v>
      </x:c>
      <x:c r="B1" s="61" t="str">
        <x:v>direct_source_id</x:v>
      </x:c>
      <x:c r="C1" s="61" t="str">
        <x:v>direct_source_verified</x:v>
      </x:c>
      <x:c r="D1" s="61" t="str">
        <x:v>compound_resolved_in_workbook</x:v>
      </x:c>
      <x:c r="E1" s="61" t="str">
        <x:v>profile_strength</x:v>
      </x:c>
      <x:c r="F1" s="61" t="str">
        <x:v>what_is_supported</x:v>
      </x:c>
      <x:c r="G1" s="61" t="str">
        <x:v>what_is_not_supported</x:v>
      </x:c>
      <x:c r="H1" s="61" t="str">
        <x:v>founder_inference_opportunity</x:v>
      </x:c>
      <x:c r="I1" s="61" t="str">
        <x:v>recommended_action</x:v>
      </x:c>
      <x:c r="J1" s="61" t="str">
        <x:v>status</x:v>
      </x:c>
    </x:row>
    <x:row r="2">
      <x:c r="A2" s="46" t="str">
        <x:v>raw</x:v>
      </x:c>
      <x:c r="B2" s="46" t="str">
        <x:v>SRC-TURKEY-RAW-001</x:v>
      </x:c>
      <x:c r="C2" s="46" t="str">
        <x:v>yes</x:v>
      </x:c>
      <x:c r="D2" s="46" t="str">
        <x:v>yes</x:v>
      </x:c>
      <x:c r="E2" s="46" t="str">
        <x:v>strong_conservative</x:v>
      </x:c>
      <x:c r="F2" s="46" t="str">
        <x:v>Nine measured compounds the source considers odor-active based on concentration vs published odor thresholds.</x:v>
      </x:c>
      <x:c r="G2" s="46" t="str">
        <x:v>Fresh minced turkey is not identical to intact breast/thigh; source did not use GC-O or omission testing.</x:v>
      </x:c>
      <x:c r="H2" s="46" t="str">
        <x:v>Raw turkey can test whether four recurring aldehydes now justify a v1 raw-poultry family core.</x:v>
      </x:c>
      <x:c r="I2" s="46" t="str">
        <x:v>Use as raw turkey seed and route family-core decision to Founder Verification Queue.</x:v>
      </x:c>
      <x:c r="J2" s="46" t="str">
        <x:v>verified_seed</x:v>
      </x:c>
    </x:row>
    <x:row r="3">
      <x:c r="A3" s="46" t="str">
        <x:v>roasted</x:v>
      </x:c>
      <x:c r="B3" s="46" t="str">
        <x:v>SRC-TURKEY-SPECIES-001 / SRC-TURKEY-ROAST-001</x:v>
      </x:c>
      <x:c r="C3" s="46" t="str">
        <x:v>partial_context</x:v>
      </x:c>
      <x:c r="D3" s="46" t="str">
        <x:v>no_intrinsic_profile</x:v>
      </x:c>
      <x:c r="E3" s="46" t="str">
        <x:v>pattern_evidence_only</x:v>
      </x:c>
      <x:c r="F3" s="46" t="str">
        <x:v>Cooked/grilled turkey has a distinct species volatilome vs chicken; processed oven-roasted turkey sources confirm volatile shifts.</x:v>
      </x:c>
      <x:c r="G3" s="46" t="str">
        <x:v>No clean compound-resolved intrinsic roasted-turkey key-aroma profile found in this pass; processed roast is formulation-confounded.</x:v>
      </x:c>
      <x:c r="H3" s="46" t="str">
        <x:v>Consider whether turkey roast should temporarily inherit a cooked-turkey core plus a general high-heat poultry transformation overlay.</x:v>
      </x:c>
      <x:c r="I3" s="46" t="str">
        <x:v>Founder review required before any equivalence/inheritance rule is created.</x:v>
      </x:c>
      <x:c r="J3" s="46" t="str">
        <x:v>founder_review_pending</x:v>
      </x:c>
    </x:row>
    <x:row r="4">
      <x:c r="A4" s="46" t="str">
        <x:v>smoked</x:v>
      </x:c>
      <x:c r="B4" s="46"/>
      <x:c r="C4" s="46" t="str">
        <x:v>no</x:v>
      </x:c>
      <x:c r="D4" s="46" t="str">
        <x:v>no</x:v>
      </x:c>
      <x:c r="E4" s="46" t="str">
        <x:v>source_gap</x:v>
      </x:c>
      <x:c r="F4" s="46" t="str">
        <x:v>No qualifying compound-resolved smoked-turkey source found in this pass.</x:v>
      </x:c>
      <x:c r="G4" s="46" t="str">
        <x:v>Cannot infer turkey-specific smoked compounds from duck alone.</x:v>
      </x:c>
      <x:c r="H4" s="46" t="str">
        <x:v>Potential architecture: native turkey core + smoke-technique overlay, but this requires founder approval and preferably one direct turkey source.</x:v>
      </x:c>
      <x:c r="I4" s="46" t="str">
        <x:v>Keep empty; continue targeted literature search.</x:v>
      </x:c>
      <x:c r="J4" s="46" t="str">
        <x:v>source_gap</x:v>
      </x:c>
    </x:row>
    <x:row r="5">
      <x:c r="A5" s="46" t="str">
        <x:v>cooked</x:v>
      </x:c>
      <x:c r="B5" s="46" t="str">
        <x:v>SRC-TURKEY-COOK-001</x:v>
      </x:c>
      <x:c r="C5" s="46" t="str">
        <x:v>yes</x:v>
      </x:c>
      <x:c r="D5" s="46" t="str">
        <x:v>yes</x:v>
      </x:c>
      <x:c r="E5" s="46" t="str">
        <x:v>strong_direct</x:v>
      </x:c>
      <x:c r="F5" s="46" t="str">
        <x:v>Three potent unsaturated carbonyls plus one moderate sulfur contributor characterized by GC-MS/GC-O/AEDA.</x:v>
      </x:c>
      <x:c r="G5" s="46" t="str">
        <x:v>Not a roast-specific state.</x:v>
      </x:c>
      <x:c r="H5" s="46" t="str">
        <x:v>Useful for testing turkey's apparent oxidation-driven cooked aroma trend vs chicken.</x:v>
      </x:c>
      <x:c r="I5" s="46" t="str">
        <x:v>Retain as direct cooked state and use only as evidence behind founder-reviewed pattern hypotheses.</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2" priority="1">
      <x:formula>ISNUMBER(SEARCH("pending",J2))</x:formula>
    </x:cfRule>
    <x:cfRule type="expression" dxfId="13" priority="2">
      <x:formula>J2="source_gap"</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5" hidden="0" customWidth="1"/>
    <x:col min="2" max="2" width="28" hidden="0" customWidth="1"/>
    <x:col min="3" max="3" width="24" hidden="0" customWidth="1"/>
    <x:col min="4" max="4" width="60" hidden="0" customWidth="1"/>
    <x:col min="5" max="5" width="25" hidden="0" customWidth="1"/>
    <x:col min="6" max="6" width="24" hidden="0" customWidth="1"/>
    <x:col min="7" max="7" width="55" hidden="0" customWidth="1"/>
    <x:col min="8" max="8" width="50" hidden="0" customWidth="1"/>
  </x:cols>
  <x:sheetData>
    <x:row r="1" ht="34" customHeight="1">
      <x:c r="A1" s="61" t="str">
        <x:v>signature_id</x:v>
      </x:c>
      <x:c r="B1" s="61" t="str">
        <x:v>comparison</x:v>
      </x:c>
      <x:c r="C1" s="61" t="str">
        <x:v>observation_type</x:v>
      </x:c>
      <x:c r="D1" s="61" t="str">
        <x:v>observation</x:v>
      </x:c>
      <x:c r="E1" s="61" t="str">
        <x:v>source_id</x:v>
      </x:c>
      <x:c r="F1" s="61" t="str">
        <x:v>evidence_strength</x:v>
      </x:c>
      <x:c r="G1" s="61" t="str">
        <x:v>interpretation_boundary</x:v>
      </x:c>
      <x:c r="H1" s="61" t="str">
        <x:v>founder_use</x:v>
      </x:c>
    </x:row>
    <x:row r="2">
      <x:c r="A2" s="46" t="str">
        <x:v>TS-001</x:v>
      </x:c>
      <x:c r="B2" s="46" t="str">
        <x:v>turkey vs chicken, cooked patties</x:v>
      </x:c>
      <x:c r="C2" s="46" t="str">
        <x:v>quantitative</x:v>
      </x:c>
      <x:c r="D2" s="46" t="str">
        <x:v>Total VOC concentration in turkey was about double chicken in the direct cross-species study.</x:v>
      </x:c>
      <x:c r="E2" s="46" t="str">
        <x:v>SRC-TURKEY-SPECIES-001</x:v>
      </x:c>
      <x:c r="F2" s="46" t="str">
        <x:v>direct_measured</x:v>
      </x:c>
      <x:c r="G2" s="46" t="str">
        <x:v>PTR-ToF-MS total concentration result; does not by itself define sensory intensity.</x:v>
      </x:c>
      <x:c r="H2" s="46" t="str">
        <x:v>Supports hypothesis that turkey may be driven by a smaller number of higher-abundance major volatiles.</x:v>
      </x:c>
    </x:row>
    <x:row r="3">
      <x:c r="A3" s="46" t="str">
        <x:v>TS-002</x:v>
      </x:c>
      <x:c r="B3" s="46" t="str">
        <x:v>turkey vs chicken, cooked patties</x:v>
      </x:c>
      <x:c r="C3" s="46" t="str">
        <x:v>distribution</x:v>
      </x:c>
      <x:c r="D3" s="46" t="str">
        <x:v>107 of 129 VOC mass peaks differed significantly in proportion; 74 were proportionally higher in chicken and 33 in turkey.</x:v>
      </x:c>
      <x:c r="E3" s="46" t="str">
        <x:v>SRC-TURKEY-SPECIES-001</x:v>
      </x:c>
      <x:c r="F3" s="46" t="str">
        <x:v>direct_measured</x:v>
      </x:c>
      <x:c r="G3" s="46" t="str">
        <x:v>Peak-level proportions are not identical to independently confirmed compound identities.</x:v>
      </x:c>
      <x:c r="H3" s="46" t="str">
        <x:v>Supports hypothesis of broader minor-VOC distribution in chicken vs fewer major turkey VOCs.</x:v>
      </x:c>
    </x:row>
    <x:row r="4">
      <x:c r="A4" s="46" t="str">
        <x:v>TS-003</x:v>
      </x:c>
      <x:c r="B4" s="46" t="str">
        <x:v>turkey vs chicken, cooked patties</x:v>
      </x:c>
      <x:c r="C4" s="46" t="str">
        <x:v>tentative_compound_signature</x:v>
      </x:c>
      <x:c r="D4" s="46" t="str">
        <x:v>Turkey showed greater proportions for peaks tentatively assigned to methanethiol, butanal, and m/z 101.097 consistent with hexanal/hexanone isomers.</x:v>
      </x:c>
      <x:c r="E4" s="46" t="str">
        <x:v>SRC-TURKEY-SPECIES-001</x:v>
      </x:c>
      <x:c r="F4" s="46" t="str">
        <x:v>direct_peak_tentative_identity</x:v>
      </x:c>
      <x:c r="G4" s="46" t="str">
        <x:v>Do not canonicalize the ambiguous m/z 101.097 peak as hexanal without a resolving method.</x:v>
      </x:c>
      <x:c r="H4" s="46" t="str">
        <x:v>Supports sulfur + lipid-oxidation axis hypothesis for cooked turkey.</x:v>
      </x:c>
    </x:row>
    <x:row r="5">
      <x:c r="A5" s="46" t="str">
        <x:v>TS-004</x:v>
      </x:c>
      <x:c r="B5" s="46" t="str">
        <x:v>fresh cooked turkey</x:v>
      </x:c>
      <x:c r="C5" s="46" t="str">
        <x:v>odor_mechanism</x:v>
      </x:c>
      <x:c r="D5" s="46" t="str">
        <x:v>1-octen-3-one, (E,E)-2,4-decadienal and (E,Z)-2,6-nonadienal were the most potent odor contributors; 2-pentylthiophene contributed moderately.</x:v>
      </x:c>
      <x:c r="E5" s="46" t="str">
        <x:v>SRC-TURKEY-COOK-001</x:v>
      </x:c>
      <x:c r="F5" s="46" t="str">
        <x:v>direct_measured_GC-O</x:v>
      </x:c>
      <x:c r="G5" s="46" t="str">
        <x:v>Freshly cooked breast; oxidation/storage materially changes concentrations.</x:v>
      </x:c>
      <x:c r="H5" s="46" t="str">
        <x:v>Supports oxidation-sensitive unsaturated-carbonyl character hypothesis.</x:v>
      </x:c>
    </x:row>
    <x:row r="6">
      <x:c r="A6" s="46"/>
      <x:c r="B6" s="46"/>
      <x:c r="C6" s="46"/>
      <x:c r="D6" s="46"/>
      <x:c r="E6" s="46"/>
      <x:c r="F6" s="46"/>
      <x:c r="G6" s="46"/>
      <x:c r="H6" s="46"/>
    </x:row>
    <x:row r="7">
      <x:c r="A7" s="46"/>
      <x:c r="B7" s="46"/>
      <x:c r="C7" s="46"/>
      <x:c r="D7" s="46"/>
      <x:c r="E7" s="46"/>
      <x:c r="F7" s="46"/>
      <x:c r="G7" s="46"/>
      <x:c r="H7" s="46"/>
    </x:row>
    <x:row r="8">
      <x:c r="A8" s="46"/>
      <x:c r="B8" s="46"/>
      <x:c r="C8" s="46"/>
      <x:c r="D8" s="46"/>
      <x:c r="E8" s="46"/>
      <x:c r="F8" s="46"/>
      <x:c r="G8" s="46"/>
      <x:c r="H8" s="46"/>
    </x:row>
    <x:row r="9">
      <x:c r="A9" s="46"/>
      <x:c r="B9" s="46"/>
      <x:c r="C9" s="46"/>
      <x:c r="D9" s="46"/>
      <x:c r="E9" s="46"/>
      <x:c r="F9" s="46"/>
      <x:c r="G9" s="46"/>
      <x:c r="H9" s="46"/>
    </x:row>
    <x:row r="10">
      <x:c r="A10" s="46"/>
      <x:c r="B10" s="46"/>
      <x:c r="C10" s="46"/>
      <x:c r="D10" s="46"/>
      <x:c r="E10" s="46"/>
      <x:c r="F10" s="46"/>
      <x:c r="G10" s="46"/>
      <x:c r="H10" s="46"/>
    </x:row>
    <x:row r="11">
      <x:c r="A11" s="46"/>
      <x:c r="B11" s="46"/>
      <x:c r="C11" s="46"/>
      <x:c r="D11" s="46"/>
      <x:c r="E11" s="46"/>
      <x:c r="F11" s="46"/>
      <x:c r="G11" s="46"/>
      <x:c r="H11" s="46"/>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26" hidden="0" customWidth="1"/>
    <x:col min="3" max="3" width="62" hidden="0" customWidth="1"/>
    <x:col min="4" max="4" width="46" hidden="0" customWidth="1"/>
    <x:col min="5" max="5" width="30" hidden="0" customWidth="1"/>
    <x:col min="6" max="6" width="55" hidden="0" customWidth="1"/>
    <x:col min="7" max="7" width="55" hidden="0" customWidth="1"/>
    <x:col min="8" max="8" width="58" hidden="0" customWidth="1"/>
    <x:col min="9" max="9" width="18" hidden="0" customWidth="1"/>
    <x:col min="10" max="10" width="30" hidden="0" customWidth="1"/>
    <x:col min="11" max="11" width="50" hidden="0" customWidth="1"/>
  </x:cols>
  <x:sheetData>
    <x:row r="1" ht="34" customHeight="1">
      <x:c r="A1" s="61" t="str">
        <x:v>verification_id</x:v>
      </x:c>
      <x:c r="B1" s="61" t="str">
        <x:v>pattern_domain</x:v>
      </x:c>
      <x:c r="C1" s="61" t="str">
        <x:v>proposed_pattern_or_inference</x:v>
      </x:c>
      <x:c r="D1" s="61" t="str">
        <x:v>evidence_refs</x:v>
      </x:c>
      <x:c r="E1" s="61" t="str">
        <x:v>support_level</x:v>
      </x:c>
      <x:c r="F1" s="61" t="str">
        <x:v>why_it_matters</x:v>
      </x:c>
      <x:c r="G1" s="61" t="str">
        <x:v>risk_if_wrong</x:v>
      </x:c>
      <x:c r="H1" s="61" t="str">
        <x:v>recommended_founder_decision</x:v>
      </x:c>
      <x:c r="I1" s="61" t="str">
        <x:v>founder_status</x:v>
      </x:c>
      <x:c r="J1" s="61" t="str">
        <x:v>approved_scope_if_any</x:v>
      </x:c>
      <x:c r="K1" s="61" t="str">
        <x:v>notes</x:v>
      </x:c>
    </x:row>
    <x:row r="2">
      <x:c r="A2" s="46" t="str">
        <x:v>FV-POULTRY-001</x:v>
      </x:c>
      <x:c r="B2" s="46" t="str">
        <x:v>raw poultry family</x:v>
      </x:c>
      <x:c r="C2" s="46" t="str">
        <x:v>Hexanal, heptanal, octanal and nonanal form a defensible v1 raw-poultry core because they recur in independently measured raw duck, chicken and turkey profiles.</x:v>
      </x:c>
      <x:c r="D2" s="46" t="str">
        <x:v>SRC-DUCK-RAW-001; SRC-CHICK-RAW-001; SRC-TURKEY-RAW-001</x:v>
      </x:c>
      <x:c r="E2" s="46" t="str">
        <x:v>strong_cross_member_pattern</x:v>
      </x:c>
      <x:c r="F2" s="46" t="str">
        <x:v>Would create the first scientifically grounded family-base inheritance rule instead of duplicating the same raw aldehyde backbone across members.</x:v>
      </x:c>
      <x:c r="G2" s="46" t="str">
        <x:v>Premature family inheritance could overstate universality across goose/game birds or conceal part/breed effects.</x:v>
      </x:c>
      <x:c r="H2" s="46" t="str">
        <x:v>Founder approve now for domesticated poultry v1, or require goose before promotion.</x:v>
      </x:c>
      <x:c r="I2" s="117" t="str">
        <x:v>approved</x:v>
      </x:c>
      <x:c r="J2" s="46" t="str">
        <x:v>Approved for v1 domesticated-poultry raw core: hexanal, heptanal, octanal, nonanal. Goose remains partial supporting evidence, not required for v1.</x:v>
      </x:c>
      <x:c r="K2" s="46" t="str">
        <x:v>Founder approval recorded in v7. Original evidence boundary and risk notes remain controlling.</x:v>
      </x:c>
    </x:row>
    <x:row r="3">
      <x:c r="A3" s="46" t="str">
        <x:v>FV-POULTRY-002</x:v>
      </x:c>
      <x:c r="B3" s="46" t="str">
        <x:v>cooked turkey characteristic</x:v>
      </x:c>
      <x:c r="C3" s="46" t="str">
        <x:v>Cooked turkey aroma appears more oxidation-driven than chicken: unsaturated carbonyls dominate the direct GC-O turkey profile, and turkey shows roughly double total VOC concentration in a controlled turkey-vs-chicken comparison.</x:v>
      </x:c>
      <x:c r="D3" s="46" t="str">
        <x:v>SRC-TURKEY-COOK-001; SRC-TURKEY-SPECIES-001</x:v>
      </x:c>
      <x:c r="E3" s="46" t="str">
        <x:v>moderate_to_strong_inference</x:v>
      </x:c>
      <x:c r="F3" s="46" t="str">
        <x:v>Could support chef-facing reasoning that turkey's cooked flavor is especially sensitive to lipid oxidation, holding, and reheating.</x:v>
      </x:c>
      <x:c r="G3" s="46" t="str">
        <x:v>Total VOC concentration is not equivalent to sensory intensity, and storage oxidation could be confused with desirable fresh-cooked character.</x:v>
      </x:c>
      <x:c r="H3" s="46" t="str">
        <x:v>Founder approve as an interpretation principle only, not a compound-presence rule.</x:v>
      </x:c>
      <x:c r="I3" s="117" t="str">
        <x:v>approved</x:v>
      </x:c>
      <x:c r="J3" s="46" t="str">
        <x:v>Approved as interpretation principle only: cooked turkey is especially oxidation-sensitive; distinguish desirable fresh-cooked character from warmed-over/off-flavor oxidation.</x:v>
      </x:c>
      <x:c r="K3" s="46" t="str">
        <x:v>Founder approval recorded in v7. Original evidence boundary and risk notes remain controlling.</x:v>
      </x:c>
    </x:row>
    <x:row r="4">
      <x:c r="A4" s="46" t="str">
        <x:v>FV-POULTRY-003</x:v>
      </x:c>
      <x:c r="B4" s="46" t="str">
        <x:v>high-heat poultry transformation</x:v>
      </x:c>
      <x:c r="C4" s="46" t="str">
        <x:v>Across poultry, high heat appears to preserve a lipid-derived aldehyde backbone while adding sulfur, pyrazine/heterocycle, and other thermal-reaction compounds; the exact species-specific mix varies.</x:v>
      </x:c>
      <x:c r="D4" s="46" t="str">
        <x:v>SRC-DUCK-ROAST-001; SRC-CHICK-ROAST-001; SRC-TURKEY-COOK-001; SRC-TURKEY-SPECIES-001</x:v>
      </x:c>
      <x:c r="E4" s="46" t="str">
        <x:v>moderate_pattern_inference</x:v>
      </x:c>
      <x:c r="F4" s="46" t="str">
        <x:v>This could become a reusable technique transformation rule: raw poultry core + thermal overlay rather than an entirely separate disconnected profile.</x:v>
      </x:c>
      <x:c r="G4" s="46" t="str">
        <x:v>Turkey evidence is not roast-specific; chicken roasted source is recipe/spice-confounded; overgeneralization could flatten species differences.</x:v>
      </x:c>
      <x:c r="H4" s="46" t="str">
        <x:v>Founder approve as architecture/interpretation principle only, with no automatic compound inheritance yet.</x:v>
      </x:c>
      <x:c r="I4" s="76" t="str">
        <x:v>approved</x:v>
      </x:c>
      <x:c r="J4" s="46" t="str">
        <x:v>Approved architecture principle: raw/native poultry core + species-sensitive thermal overlay. No automatic universal compound inheritance from the overlay.</x:v>
      </x:c>
      <x:c r="K4" s="46" t="str">
        <x:v>Founder approval recorded in v7. Original evidence boundary and risk notes remain controlling.</x:v>
      </x:c>
    </x:row>
    <x:row r="5">
      <x:c r="A5" s="46" t="str">
        <x:v>FV-POULTRY-004</x:v>
      </x:c>
      <x:c r="B5" s="46" t="str">
        <x:v>turkey vs chicken distribution</x:v>
      </x:c>
      <x:c r="C5" s="46" t="str">
        <x:v>Turkey may be characterized by fewer higher-abundance major volatiles, while chicken carries a broader distribution of minor VOCs: turkey had about 2× total VOC concentration, yet more individual peaks were proportionally higher in chicken.</x:v>
      </x:c>
      <x:c r="D5" s="46" t="str">
        <x:v>SRC-TURKEY-SPECIES-001</x:v>
      </x:c>
      <x:c r="E5" s="46" t="str">
        <x:v>moderate_inference_from_direct_statistics</x:v>
      </x:c>
      <x:c r="F5" s="46" t="str">
        <x:v>Could explain why two poultry species share many compounds yet still smell materially different.</x:v>
      </x:c>
      <x:c r="G5" s="46" t="str">
        <x:v>PTR-ToF-MS peak proportions and tentative identities do not directly establish sensory dominance.</x:v>
      </x:c>
      <x:c r="H5" s="46" t="str">
        <x:v>Founder approve only as internal explanatory hypothesis pending sensory corroboration.</x:v>
      </x:c>
      <x:c r="I5" s="76" t="str">
        <x:v>approved</x:v>
      </x:c>
      <x:c r="J5" s="46" t="str">
        <x:v>Approved as internal explanatory hypothesis only; not chef-facing until stronger sensory corroboration.</x:v>
      </x:c>
      <x:c r="K5" s="46" t="str">
        <x:v>Founder approval recorded in v7. Original evidence boundary and risk notes remain controlling.</x:v>
      </x:c>
    </x:row>
    <x:row r="6">
      <x:c r="A6" s="46" t="str">
        <x:v>FV-POULTRY-005</x:v>
      </x:c>
      <x:c r="B6" s="46" t="str">
        <x:v>roasted turkey provisional model</x:v>
      </x:c>
      <x:c r="C6" s="46" t="str">
        <x:v>Until a clean roasted-turkey key-aroma study is found, roasted turkey could provisionally use the verified cooked-turkey core plus a generic founder-approved high-heat poultry transformation overlay, rather than inheriting chicken or duck roast profiles wholesale.</x:v>
      </x:c>
      <x:c r="D6" s="46" t="str">
        <x:v>SRC-TURKEY-COOK-001; SRC-TURKEY-SPECIES-001; FV-POULTRY-003</x:v>
      </x:c>
      <x:c r="E6" s="46" t="str">
        <x:v>architecture_inference</x:v>
      </x:c>
      <x:c r="F6" s="46" t="str">
        <x:v>Would fill a high-value product state without pretending turkey is chemically identical to chicken/duck.</x:v>
      </x:c>
      <x:c r="G6" s="46" t="str">
        <x:v>Could still miss turkey-specific high-heat odorants and may bake an unverified equivalence into production.</x:v>
      </x:c>
      <x:c r="H6" s="46" t="str">
        <x:v>Founder approve/reject temporary equivalence architecture; keep compound rows unpopulated until approved.</x:v>
      </x:c>
      <x:c r="I6" s="76" t="str">
        <x:v>approved</x:v>
      </x:c>
      <x:c r="J6" s="46" t="str">
        <x:v>Approved provisional architecture: roasted turkey may use verified cooked-turkey core + approved high-heat poultry transformation model; inherited rows must remain labeled interpretation/equivalence.</x:v>
      </x:c>
      <x:c r="K6" s="46" t="str">
        <x:v>Founder approval recorded in v7. Original evidence boundary and risk notes remain controlling.</x:v>
      </x:c>
    </x:row>
    <x:row r="7">
      <x:c r="A7" s="46" t="str">
        <x:v>FV-POULTRY-006</x:v>
      </x:c>
      <x:c r="B7" s="46" t="str">
        <x:v>smoke technique overlay</x:v>
      </x:c>
      <x:c r="C7" s="46" t="str">
        <x:v>Smoked poultry may be best modeled as native species core + smoke-derived technique overlay rather than a separate species-specific compound universe.</x:v>
      </x:c>
      <x:c r="D7" s="46" t="str">
        <x:v>SRC-DUCK-SMOKE-001; turkey smoked-source gap</x:v>
      </x:c>
      <x:c r="E7" s="46" t="str">
        <x:v>weak_to_moderate_architecture_inference</x:v>
      </x:c>
      <x:c r="F7" s="46" t="str">
        <x:v>Could prevent duplicating guaiacol/phenol smoke chemistry across every protein once direct evidence exists.</x:v>
      </x:c>
      <x:c r="G7" s="46" t="str">
        <x:v>Currently rests on smoked duck plus general mechanism logic, not direct turkey evidence.</x:v>
      </x:c>
      <x:c r="H7" s="46" t="str">
        <x:v>Founder hold pending at least one direct compound-resolved smoked-turkey study.</x:v>
      </x:c>
      <x:c r="I7" s="76" t="str">
        <x:v>approved</x:v>
      </x:c>
      <x:c r="J7" s="46" t="str">
        <x:v>Approved HOLD: smoke-overlay architecture is conceptually accepted, but no turkey-specific smoke compound inheritance until a direct compound-resolved turkey source is found.</x:v>
      </x:c>
      <x:c r="K7" s="46" t="str">
        <x:v>Founder approval recorded in v7. Original evidence boundary and risk notes remain controlling.</x:v>
      </x:c>
    </x:row>
    <x:row r="8">
      <x:c r="A8" s="46" t="str">
        <x:v>FV-POULTRY-007</x:v>
      </x:c>
      <x:c r="B8" s="46" t="str">
        <x:v>legacy turkey-specific claims</x:v>
      </x:c>
      <x:c r="C8" s="46" t="str">
        <x:v>The legacy claims 'ethylbenzene in turkey, not chicken' and '3-methylbenzaldehyde in turkey, not chicken' should not be promoted. Current primary-source pass did not verify either claim; a secondary VCF-derived source only supports mixed tolualdehydes in turkey.</x:v>
      </x:c>
      <x:c r="D8" s="46" t="str">
        <x:v>Legacy LC-0070/LC-0071; RIFM/VCF secondary reference for mixed tolualdehydes</x:v>
      </x:c>
      <x:c r="E8" s="46" t="str">
        <x:v>strong_negative_evidence_for_promotion</x:v>
      </x:c>
      <x:c r="F8" s="46" t="str">
        <x:v>Prevents legacy pairings from contaminating member-specific deltas.</x:v>
      </x:c>
      <x:c r="G8" s="46" t="str">
        <x:v>Discarding a true but poorly sourced distinction is possible.</x:v>
      </x:c>
      <x:c r="H8" s="46" t="str">
        <x:v>Founder approve continued quarantine unless a primary turkey/chicken comparative source is found.</x:v>
      </x:c>
      <x:c r="I8" s="76" t="str">
        <x:v>approved</x:v>
      </x:c>
      <x:c r="J8" s="46" t="str">
        <x:v>Approved quarantine: legacy ethylbenzene and 3-methylbenzaldehyde turkey-specific claims remain excluded unless primary comparative evidence is found.</x:v>
      </x:c>
      <x:c r="K8" s="46" t="str">
        <x:v>Founder approval recorded in v7. Original evidence boundary and risk notes remain controlling.</x:v>
      </x:c>
    </x:row>
    <x:row r="9">
      <x:c r="A9" s="46" t="str">
        <x:v>FV-BIRD-001</x:v>
      </x:c>
      <x:c r="B9" s="46" t="str">
        <x:v>avian data model</x:v>
      </x:c>
      <x:c r="C9" s="46" t="str">
        <x:v>For cooked/roasted birds, species identity should be represented primarily by abundance/importance deltas over a large shared volatile base, not by binary compound presence alone.</x:v>
      </x:c>
      <x:c r="D9" s="46" t="str">
        <x:v>SRC-WATERFOWL-COMP-001; SRC-LANDFOWL-COMP-001; SRC-TURKEY-SPECIES-001</x:v>
      </x:c>
      <x:c r="E9" s="46" t="str">
        <x:v>strong_cross_species_architecture_signal</x:v>
      </x:c>
      <x:c r="F9" s="46" t="str">
        <x:v>Both direct waterfowl and landfowl comparisons found substantial shared chemistry and no single character-impact compound explaining species aroma; turkey/chicken also differ strongly in relative peak distribution.</x:v>
      </x:c>
      <x:c r="G9" s="46" t="str">
        <x:v>If wrong, a shared-base model could blur genuinely species-specific low-abundance odorants.</x:v>
      </x:c>
      <x:c r="H9" s="46" t="str">
        <x:v>Founder approve adding abundance/relative-importance as a first-class requirement before broad bird-family inheritance.</x:v>
      </x:c>
      <x:c r="I9" s="76" t="str">
        <x:v>approved</x:v>
      </x:c>
      <x:c r="J9" s="46" t="str">
        <x:v>Approved schema requirement: abundance / relative importance / sensory importance become first-class fields for broad avian modeling.</x:v>
      </x:c>
      <x:c r="K9" s="46" t="str">
        <x:v>Founder approval recorded in v7. Original evidence boundary and risk notes remain controlling.</x:v>
      </x:c>
    </x:row>
    <x:row r="10">
      <x:c r="A10" s="46" t="str">
        <x:v>FV-BIRD-002</x:v>
      </x:c>
      <x:c r="B10" s="46" t="str">
        <x:v>roasted landfowl cluster</x:v>
      </x:c>
      <x:c r="C10" s="46" t="str">
        <x:v>Quail, pheasant, partridge and chicken should be researched as a roasted-landfowl cluster: begin with the 38 directly observed shared volatiles, then model species deltas rather than building four unrelated profiles.</x:v>
      </x:c>
      <x:c r="D10" s="46" t="str">
        <x:v>SRC-LANDFOWL-COMP-001</x:v>
      </x:c>
      <x:c r="E10" s="46" t="str">
        <x:v>strong_direct_cluster_evidence</x:v>
      </x:c>
      <x:c r="F10" s="46" t="str">
        <x:v>Cuts duplicate research while preserving the study's finding that species character comes from composition rather than a single unique marker.</x:v>
      </x:c>
      <x:c r="G10" s="46" t="str">
        <x:v>The actual 38-compound table still needs extraction and validation before any shared compound rows are created.</x:v>
      </x:c>
      <x:c r="H10" s="46" t="str">
        <x:v>Founder approve cluster-based research workflow; do not yet approve compound inheritance.</x:v>
      </x:c>
      <x:c r="I10" s="76" t="str">
        <x:v>approved</x:v>
      </x:c>
      <x:c r="J10" s="46" t="str">
        <x:v>Approved roasted-landfowl cluster research model. Shared-base reference is allowed; family/member compound inheritance still requires governed promotion.</x:v>
      </x:c>
      <x:c r="K10" s="46" t="str">
        <x:v>Founder approval recorded in v7. Original evidence boundary and risk notes remain controlling.</x:v>
      </x:c>
    </x:row>
    <x:row r="11">
      <x:c r="A11" s="46" t="str">
        <x:v>FV-BIRD-003</x:v>
      </x:c>
      <x:c r="B11" s="46" t="str">
        <x:v>roasted waterfowl cluster</x:v>
      </x:c>
      <x:c r="C11" s="46" t="str">
        <x:v>Duck, mallard and goose should use a common roasted-waterfowl research base with member abundance/importance deltas; goose should retain its stronger intensity and its additional ketone/pyrazine differences.</x:v>
      </x:c>
      <x:c r="D11" s="46" t="str">
        <x:v>SRC-WATERFOWL-COMP-001; SRC-GOOSE-ROAST-001; SRC-DUCK-ROAST-001</x:v>
      </x:c>
      <x:c r="E11" s="46" t="str">
        <x:v>strong_direct_cluster_evidence</x:v>
      </x:c>
      <x:c r="F11" s="46" t="str">
        <x:v>Direct cross-species GC-MS/GC-O evidence shows broad similarity, no single species-defining compound, and substantially higher goose concentrations.</x:v>
      </x:c>
      <x:c r="G11" s="46" t="str">
        <x:v>Copying a shared base without abundance fields could erase the exact differences the study says matter.</x:v>
      </x:c>
      <x:c r="H11" s="46" t="str">
        <x:v>Founder approve cluster research model contingent on quantitative/importance fields.</x:v>
      </x:c>
      <x:c r="I11" s="76" t="str">
        <x:v>approved</x:v>
      </x:c>
      <x:c r="J11" s="46" t="str">
        <x:v>Approved roasted-waterfowl cluster model contingent on preserving abundance/importance deltas; goose must not be flattened into duck.</x:v>
      </x:c>
      <x:c r="K11" s="46" t="str">
        <x:v>Founder approval recorded in v7. Original evidence boundary and risk notes remain controlling.</x:v>
      </x:c>
    </x:row>
    <x:row r="12">
      <x:c r="A12" s="46" t="str">
        <x:v>FV-BIRD-004</x:v>
      </x:c>
      <x:c r="B12" s="46" t="str">
        <x:v>native core + technique overlay</x:v>
      </x:c>
      <x:c r="C12" s="46" t="str">
        <x:v>Across birds, model endogenous meat-derived aroma separately from technique/ingredient-derived aroma: native lipid-oxidation/meaty core + thermal Maillard/sulfur overlay + introduced aromatics.</x:v>
      </x:c>
      <x:c r="D12" s="46" t="str">
        <x:v>SRC-SQUAB-BRAISE-001; SRC-PIGEON-ROAST-001; SRC-GOOSE-COOK-001; SRC-DUCK-ROAST-001</x:v>
      </x:c>
      <x:c r="E12" s="46" t="str">
        <x:v>strong_architecture_inference</x:v>
      </x:c>
      <x:c r="F12" s="46" t="str">
        <x:v>Braised squab source analysis directly separates raw-squab-derived meaty/fatty odorants from condiment/spice/process-derived roasty and aromatic notes.</x:v>
      </x:c>
      <x:c r="G12" s="46" t="str">
        <x:v>A universal overlay could be too coarse if technique chemistry interacts strongly with species fat composition.</x:v>
      </x:c>
      <x:c r="H12" s="46" t="str">
        <x:v>Founder approve as an architecture principle, with species-sensitive transformation intensity rather than fixed additive lists.</x:v>
      </x:c>
      <x:c r="I12" s="76" t="str">
        <x:v>approved</x:v>
      </x:c>
      <x:c r="J12" s="46" t="str">
        <x:v>Approved architecture principle: endogenous/native bird core + species-sensitive technique overlay + separately modeled introduced aromatics.</x:v>
      </x:c>
      <x:c r="K12" s="46" t="str">
        <x:v>Founder approval recorded in v7. Original evidence boundary and risk notes remain controlling.</x:v>
      </x:c>
    </x:row>
    <x:row r="13">
      <x:c r="A13" s="46" t="str">
        <x:v>FV-BIRD-005</x:v>
      </x:c>
      <x:c r="B13" s="46" t="str">
        <x:v>game-bird taxonomy</x:v>
      </x:c>
      <x:c r="C13" s="46" t="str">
        <x:v>The current poultry vs game_bird taxonomy may be useful culinarily but too rigid chemically. Consider a broader avian base with culinary subclasses (waterfowl, landfowl/game bird, pigeon) layered on top.</x:v>
      </x:c>
      <x:c r="D13" s="46" t="str">
        <x:v>SRC-LANDFOWL-COMP-001; SRC-WATERFOWL-COMP-001; SRC-PIGEON-ROAST-001</x:v>
      </x:c>
      <x:c r="E13" s="46" t="str">
        <x:v>moderate_architecture_inference</x:v>
      </x:c>
      <x:c r="F13" s="46" t="str">
        <x:v>Quail/pheasant/partridge overlap heavily with chicken, while pigeon shows the same lipid/Maillard aroma channels. Chemical inheritance may cross the culinary family boundary.</x:v>
      </x:c>
      <x:c r="G13" s="46" t="str">
        <x:v>A broad avian family could overgeneralize raw profiles across very different muscles, diets, and fat composition.</x:v>
      </x:c>
      <x:c r="H13" s="46" t="str">
        <x:v>Founder review taxonomy separately from culinary labeling; possible chemistry_parent=avian while display_family remains poultry/game_bird.</x:v>
      </x:c>
      <x:c r="I13" s="76" t="str">
        <x:v>approved</x:v>
      </x:c>
      <x:c r="J13" s="46" t="str">
        <x:v>Approved taxonomy architecture: chemistry_parent may be avian while culinary display_family remains poultry / game_bird / waterfowl / pigeon as appropriate.</x:v>
      </x:c>
      <x:c r="K13" s="46" t="str">
        <x:v>Founder approval recorded in v7. Original evidence boundary and risk notes remain controlling.</x:v>
      </x:c>
    </x:row>
    <x:row r="14">
      <x:c r="A14" s="46" t="str">
        <x:v>FV-BIRD-006</x:v>
      </x:c>
      <x:c r="B14" s="46" t="str">
        <x:v>goose confit equivalence</x:v>
      </x:c>
      <x:c r="C14" s="46" t="str">
        <x:v>Goose confit may provisionally inherit the verified cooked-goose core, with confit aromatics and cooking fat modeled as a separate technique/ingredient overlay.</x:v>
      </x:c>
      <x:c r="D14" s="46" t="str">
        <x:v>SRC-GOOSE-COOK-001; FV-BIRD-004; EQ-DUCK-002</x:v>
      </x:c>
      <x:c r="E14" s="46" t="str">
        <x:v>moderate_founder_equivalence_candidate</x:v>
      </x:c>
      <x:c r="F14" s="46" t="str">
        <x:v>The same conceptual logic already approved for duck is now supported by a direct goose cooking-method study.</x:v>
      </x:c>
      <x:c r="G14" s="46" t="str">
        <x:v>No direct confit-goose analytical study has been verified; goose's fat/oxidation profile may shift some relative weights.</x:v>
      </x:c>
      <x:c r="H14" s="46" t="str">
        <x:v>Founder approve/reject equivalence; if approved, inherit presence only and preserve species-specific weighting uncertainty.</x:v>
      </x:c>
      <x:c r="I14" s="76" t="str">
        <x:v>approved</x:v>
      </x:c>
      <x:c r="J14" s="46" t="str">
        <x:v>Approved goose confit equivalence: inherit verified cooked-goose presence/core only; keep weighting uncertainty and introduced aromatics/fat-medium separate.</x:v>
      </x:c>
      <x:c r="K14" s="46" t="str">
        <x:v>Founder approval recorded in v7. Original evidence boundary and risk notes remain controlling.</x:v>
      </x:c>
    </x:row>
    <x:row r="15">
      <x:c r="A15" s="46" t="str">
        <x:v>FV-BIRD-007</x:v>
      </x:c>
      <x:c r="B15" s="46" t="str">
        <x:v>raw poultry core after goose</x:v>
      </x:c>
      <x:c r="C15" s="46" t="str">
        <x:v>Goose provides partial—not complete—support for the proposed raw-poultry aldehyde core. Hexanal is clearly supported and raw grassy/fatty 1-hexanol emerges, but current accessible goose evidence does not independently verify the full hexanal/heptanal/octanal/nonanal quartet.</x:v>
      </x:c>
      <x:c r="D15" s="46" t="str">
        <x:v>SRC-GOOSE-RAW-001; SRC-GOOSE-COOK-001; FV-POULTRY-001</x:v>
      </x:c>
      <x:c r="E15" s="46" t="str">
        <x:v>partial_confirmation</x:v>
      </x:c>
      <x:c r="F15" s="46" t="str">
        <x:v>Prevents overclaiming that goose has already validated the full raw-poultry family rule.</x:v>
      </x:c>
      <x:c r="G15" s="46" t="str">
        <x:v>Ignoring this limitation would turn an inference into a false four-species verification claim.</x:v>
      </x:c>
      <x:c r="H15" s="46" t="str">
        <x:v>Founder keep FV-POULTRY-001 pending unless three-species coverage is accepted as sufficient; goose is not a fourth full confirmation yet.</x:v>
      </x:c>
      <x:c r="I15" s="76" t="str">
        <x:v>approved</x:v>
      </x:c>
      <x:c r="J15" s="46" t="str">
        <x:v>Approved caution: goose is partial raw-core support, not a fourth complete confirmation; three-species duck/chicken/turkey evidence is sufficient for the approved v1 core under FV-POULTRY-001.</x:v>
      </x:c>
      <x:c r="K15" s="46" t="str">
        <x:v>Founder approval recorded in v7. Original evidence boundary and risk notes remain controlling.</x:v>
      </x:c>
    </x:row>
    <x:row r="16">
      <x:c r="A16" s="46" t="str">
        <x:v>FV-BIRD-008</x:v>
      </x:c>
      <x:c r="B16" s="46" t="str">
        <x:v>landfowl shared-base extraction</x:v>
      </x:c>
      <x:c r="C16" s="46" t="str">
        <x:v>The 38 Table-17 compounds present in roasted chicken, pheasant, partridge and quail are approved as the landfowl cluster reference base.</x:v>
      </x:c>
      <x:c r="D16" s="46" t="str">
        <x:v>SRC-LANDFOWL-THESIS-001; SRC-LANDFOWL-COMP-001</x:v>
      </x:c>
      <x:c r="E16" s="46" t="str">
        <x:v>direct_primary_table_extraction</x:v>
      </x:c>
      <x:c r="F16" s="46" t="str">
        <x:v>Turns the previously abstract 38-compound cluster into a usable research asset.</x:v>
      </x:c>
      <x:c r="G16" s="46" t="str">
        <x:v>Treating the list as equal-weight or automatic family inheritance would erase the study's quantitative conclusion.</x:v>
      </x:c>
      <x:c r="H16" s="46" t="str">
        <x:v>Approve cluster reference base; require abundance/importance deltas for production scoring.</x:v>
      </x:c>
      <x:c r="I16" s="76" t="str">
        <x:v>approved</x:v>
      </x:c>
      <x:c r="J16" s="46" t="str">
        <x:v>Approved cluster reference base only; not automatic family inheritance.</x:v>
      </x:c>
      <x:c r="K16" s="46" t="str">
        <x:v>38 rows extracted in Roasted Landfowl Shared Base.</x:v>
      </x:c>
    </x:row>
    <x:row r="17">
      <x:c r="A17" s="46" t="str">
        <x:v>FV-BIRD-009</x:v>
      </x:c>
      <x:c r="B17" s="46" t="str">
        <x:v>pheasant weighting trend</x:v>
      </x:c>
      <x:c r="C17" s="46" t="str">
        <x:v>Pheasant should be modeled as a strongly weighted roast-profile delta over the landfowl shared base because many quantified volatile means are substantially higher than chicken/partridge/quail.</x:v>
      </x:c>
      <x:c r="D17" s="46" t="str">
        <x:v>SRC-LANDFOWL-THESIS-001 Table 18</x:v>
      </x:c>
      <x:c r="E17" s="46" t="str">
        <x:v>direct_quantitative_pattern_with_high_variance</x:v>
      </x:c>
      <x:c r="F17" s="46" t="str">
        <x:v>Captures a meaningful species distinction without inventing a unique chemical signature.</x:v>
      </x:c>
      <x:c r="G17" s="46" t="str">
        <x:v>Large pheasant SDs make fixed multipliers unreliable.</x:v>
      </x:c>
      <x:c r="H17" s="46" t="str">
        <x:v>Approve as internal weighting trend, not fixed numeric multiplier.</x:v>
      </x:c>
      <x:c r="I17" s="76" t="str">
        <x:v>approved</x:v>
      </x:c>
      <x:c r="J17" s="46" t="str">
        <x:v>Founder approval preserved historically, but operational use is superseded by the v8 source-transcription correction. No pheasant weighting trend is active until corrected Table-18 numbers are verified.</x:v>
      </x:c>
      <x:c r="K17" s="46" t="str">
        <x:v>Evidence correction takes precedence over the previously approved numeric interpretation.</x:v>
      </x:c>
    </x:row>
    <x:row r="18">
      <x:c r="A18" s="46" t="str">
        <x:v>FV-BIRD-010</x:v>
      </x:c>
      <x:c r="B18" s="46" t="str">
        <x:v>wild-landfowl heterocycle/furan trend</x:v>
      </x:c>
      <x:c r="C18" s="46" t="str">
        <x:v>In the studied roasted landfowl, wild birds show a stronger heterocycle/furan delta than chicken; notably 2-pentylfuran is present in pheasant/partridge/quail and absent in chicken, while pyrazine/pyridine detections are concentrated in wild birds.</x:v>
      </x:c>
      <x:c r="D18" s="46" t="str">
        <x:v>SRC-LANDFOWL-THESIS-001 Table 17 and compound-class discussion</x:v>
      </x:c>
      <x:c r="E18" s="46" t="str">
        <x:v>direct_source_specific_pattern</x:v>
      </x:c>
      <x:c r="F18" s="46" t="str">
        <x:v>Provides a targeted direction for quail/pheasant/partridge differentiation and future game-bird research.</x:v>
      </x:c>
      <x:c r="G18" s="46" t="str">
        <x:v>Could be overgeneralized beyond these species or analytical conditions.</x:v>
      </x:c>
      <x:c r="H18" s="46" t="str">
        <x:v>Approve as source-bounded research trend only.</x:v>
      </x:c>
      <x:c r="I18" s="76" t="str">
        <x:v>approved</x:v>
      </x:c>
      <x:c r="J18" s="46" t="str">
        <x:v>Approved for source-bounded research prioritization; not universal game-bird inheritance.</x:v>
      </x:c>
      <x:c r="K18" s="46" t="str">
        <x:v>Do not expose as a universal chef-facing claim.</x:v>
      </x:c>
    </x:row>
    <x:row r="19">
      <x:c r="A19" s="46" t="str">
        <x:v>FV-BEEF-001</x:v>
      </x:c>
      <x:c r="B19" s="46" t="str">
        <x:v>beef high-heat transformation</x:v>
      </x:c>
      <x:c r="C19" s="46" t="str">
        <x:v>Use a native/raw beef core plus a high-heat transformation overlay for roasted/seared/grilled beef, but do not yet grant automatic roasted→seared/grilled compound equivalence.</x:v>
      </x:c>
      <x:c r="D19" s="46" t="str">
        <x:v>SRC-BEEF-ROAST-001; SRC-BEEF-LIPIDOMICS-001; SRC-BEEF-GRILL-TEMP-001; SRC-BEEF-GRILL-GCO-001; SRC-BEEF-SEAR-001; SRC-BEEF-PANFRY-BREED-001</x:v>
      </x:c>
      <x:c r="E19" s="46" t="str">
        <x:v>strong_cross_technique</x:v>
      </x:c>
      <x:c r="F19" s="46" t="str">
        <x:v>Would prevent three nearly duplicate high-heat profiles while preserving preparation as a state transformer.</x:v>
      </x:c>
      <x:c r="G19" s="46" t="str">
        <x:v>Technique, doneness, surface geometry and smoke/char can still create material abundance or member deltas.</x:v>
      </x:c>
      <x:c r="H19" s="46" t="str">
        <x:v>Approve a shared high-heat transformation architecture for roast/sear/grill; preserve technique-specific deltas and never relabel inherited rows as measured.</x:v>
      </x:c>
      <x:c r="I19" s="117" t="str">
        <x:v>pending</x:v>
      </x:c>
      <x:c r="J19" s="46"/>
      <x:c r="K19" s="46" t="str">
        <x:v>v12 deliberately does not inherit roasted rows into seared or grilled.</x:v>
      </x:c>
    </x:row>
    <x:row r="20">
      <x:c r="A20" s="46" t="str">
        <x:v>FV-BEEF-002</x:v>
      </x:c>
      <x:c r="B20" s="46" t="str">
        <x:v>beef cut / fat model</x:v>
      </x:c>
      <x:c r="C20" s="46" t="str">
        <x:v>Represent beef cuts primarily as a lean/native muscle core plus fat/marbling-dependent abundance and sensory-importance deltas rather than separate compound universes for many retail cuts.</x:v>
      </x:c>
      <x:c r="D20" s="46" t="str">
        <x:v>SRC-BEEF-RAW-MARBLING-001; SRC-BEEF-FAT-001; SRC-BEEF-GRILL-MARBLING-001; SRC-BEEF-GRILL-GRADE-001; SRC-BEEF-PANFRY-BREED-001; SRC-BEEF-DIET-001</x:v>
      </x:c>
      <x:c r="E20" s="46" t="str">
        <x:v>strong_for_weighting_moderate_for_universal_cut_inheritance</x:v>
      </x:c>
      <x:c r="F20" s="46" t="str">
        <x:v>Would materially reduce cut-level research burden while preserving the demonstrated role of IMF and fat in generation/release.</x:v>
      </x:c>
      <x:c r="G20" s="46" t="str">
        <x:v>Different muscles, breeds and fat depots can still create real deltas; a fixed multiplier is not defensible.</x:v>
      </x:c>
      <x:c r="H20" s="46" t="str">
        <x:v>Approve lean/native core + fat/IMF weighting as the default beef cut architecture; allow evidence-backed member/cut deltas; prohibit fixed universal multipliers.</x:v>
      </x:c>
      <x:c r="I20" s="117" t="str">
        <x:v>pending</x:v>
      </x:c>
      <x:c r="J20" s="46"/>
      <x:c r="K20" s="46" t="str">
        <x:v>No fixed abundance multipliers are proposed in v12.</x:v>
      </x:c>
    </x:row>
    <x:row r="21">
      <x:c r="A21" s="46" t="str">
        <x:v>FV-FINFISH-001</x:v>
      </x:c>
      <x:c r="B21" s="46" t="str">
        <x:v>fin-fish family architecture</x:v>
      </x:c>
      <x:c r="C21" s="46" t="str">
        <x:v>Model fin fish as one shared compound-identity/mechanism family in which lipid/fat level and muscle type primarily alter abundance and sensory weighting, while species and preparation retain explicit deltas. Do not use a fixed universal fat multiplier and do not assume perfect compound equality.</x:v>
      </x:c>
      <x:c r="D21" s="46" t="str">
        <x:v>SRC-FISH-SALMON-COOK-001; SRC-FISH-COD-SALMON-RAW-IDQA-001; SRC-FISH-SEABASS-STEAM-001; SRC-FISH-SEABASS-SALMON-MAP-001; SRC-FISH-SEABASS-LIPID-001; SRC-FISH-MACKEREL-HEAT-001; SRC-FISH-COD-SALMON-GCO-001; SRC-FISH-COD-BAKED-001</x:v>
      </x:c>
      <x:c r="E21" s="46" t="str">
        <x:v>strong_cross_member_cross_method_with_member_completeness</x:v>
      </x:c>
      <x:c r="F21" s="46" t="str">
        <x:v>Lean/fatty fish can share one chemical family without sacrificing lipid-driven abundance differences or species/preparation deltas; cod is now fully represented at member level.</x:v>
      </x:c>
      <x:c r="G21" s="46" t="str">
        <x:v>Over-simplification would erase real member/state deltas; a fixed multiplier or universal compound-membership claim would be unsupported.</x:v>
      </x:c>
      <x:c r="H21" s="46" t="str">
        <x:v>Approve one fin-fish family core/mechanism with lipid/fat abundance and sensory-importance weighting plus species/muscle/preparation deltas. Keep direct measured rows and inherited/runtime rules provenance-distinct.</x:v>
      </x:c>
      <x:c r="I21" s="46" t="str">
        <x:v>ready_for_founder_approval_after_cod_and_salmon_QA</x:v>
      </x:c>
      <x:c r="J21" s="46"/>
      <x:c r="K21" s="46" t="str">
        <x:v>User-requested prerequisites are now satisfied: cod broad raw + cooked ingestion completed; salmon anchor independently corroborated with LRI/standard-based source. Baked cod's sugar/salt/MSG overlay remains explicit.</x:v>
      </x:c>
    </x:row>
    <x:row r="22">
      <x:c r="A22" s="46" t="str">
        <x:v>FV-DAIRY-001</x:v>
      </x:c>
      <x:c r="B22" s="46" t="str">
        <x:v>crème fraîche / fermented cream mapping</x:v>
      </x:c>
      <x:c r="C22" s="46" t="str">
        <x:v>Represent crème fraîche at runtime as a fermented-cream product inheriting the governed fermented-cream milk-fat carrier mechanism, with product-specific fat/acidity/culture weighting; never relabel generic fermented-cream evidence as directly measured crème fraîche.</x:v>
      </x:c>
      <x:c r="D22" s="46" t="str">
        <x:v>SRC-CREAM-FERMENT-001; SRC-CREAM-FERMENT-SENS-001; PAT-DAIRY-004</x:v>
      </x:c>
      <x:c r="E22" s="46" t="str">
        <x:v>moderate_architecture_strong_fermented_cream_mechanism</x:v>
      </x:c>
      <x:c r="F22" s="46" t="str">
        <x:v>Creates a useful crème fraîche carrier product now without inventing a separate compound universe or waiting for a rare product-specific volatile table.</x:v>
      </x:c>
      <x:c r="G22" s="46" t="str">
        <x:v>A generic fermented-cream study can overstate equivalence if starter cultures, fat level or acidity differ materially from a given crème fraîche.</x:v>
      </x:c>
      <x:c r="H22" s="46" t="str">
        <x:v>Approve runtime inheritance from fermented-cream mechanism with explicit product weighting and provenance boundary.</x:v>
      </x:c>
      <x:c r="I22" s="46" t="str">
        <x:v>ready_for_founder_approval</x:v>
      </x:c>
      <x:c r="J22" s="46"/>
      <x:c r="K22" s="46" t="str">
        <x:v>Direct measured source rows stay assigned to fermented cream. Crème fraîche rows would be inherited/runtime rows, not measured.</x:v>
      </x:c>
    </x:row>
    <x:row r="23">
      <x:c r="A23" s="46"/>
      <x:c r="B23" s="46"/>
      <x:c r="C23" s="46"/>
      <x:c r="D23" s="46"/>
      <x:c r="E23" s="46"/>
      <x:c r="F23" s="46"/>
      <x:c r="G23" s="46"/>
      <x:c r="H23" s="46"/>
      <x:c r="I23" s="46"/>
      <x:c r="J23" s="46"/>
      <x:c r="K23" s="46"/>
    </x:row>
    <x:row r="24">
      <x:c r="A24" s="46"/>
      <x:c r="B24" s="46"/>
      <x:c r="C24" s="46"/>
      <x:c r="D24" s="46"/>
      <x:c r="E24" s="46"/>
      <x:c r="F24" s="46"/>
      <x:c r="G24" s="46"/>
      <x:c r="H24" s="46"/>
      <x:c r="I24" s="46"/>
      <x:c r="J24" s="46"/>
      <x:c r="K24" s="46"/>
    </x:row>
    <x:row r="25">
      <x:c r="A25" s="46"/>
      <x:c r="B25" s="46"/>
      <x:c r="C25" s="46"/>
      <x:c r="D25" s="46"/>
      <x:c r="E25" s="46"/>
      <x:c r="F25" s="46"/>
      <x:c r="G25" s="46"/>
      <x:c r="H25" s="46"/>
      <x:c r="I25" s="46"/>
      <x:c r="J25" s="46"/>
      <x:c r="K25" s="46"/>
    </x:row>
    <x:row r="26">
      <x:c r="A26" s="46"/>
      <x:c r="B26" s="46"/>
      <x:c r="C26" s="46"/>
      <x:c r="D26" s="46"/>
      <x:c r="E26" s="46"/>
      <x:c r="F26" s="46"/>
      <x:c r="G26" s="46"/>
      <x:c r="H26" s="46"/>
      <x:c r="I26" s="46"/>
      <x:c r="J26" s="46"/>
      <x:c r="K26" s="46"/>
    </x:row>
    <x:row r="27">
      <x:c r="A27" s="46"/>
      <x:c r="B27" s="46"/>
      <x:c r="C27" s="46"/>
      <x:c r="D27" s="46"/>
      <x:c r="E27" s="46"/>
      <x:c r="F27" s="46"/>
      <x:c r="G27" s="46"/>
      <x:c r="H27" s="46"/>
      <x:c r="I27" s="46"/>
      <x:c r="J27" s="46"/>
      <x:c r="K27" s="46"/>
    </x:row>
    <x:row r="28">
      <x:c r="A28" s="46"/>
      <x:c r="B28" s="46"/>
      <x:c r="C28" s="46"/>
      <x:c r="D28" s="46"/>
      <x:c r="E28" s="46"/>
      <x:c r="F28" s="46"/>
      <x:c r="G28" s="46"/>
      <x:c r="H28" s="46"/>
      <x:c r="I28" s="46"/>
      <x:c r="J28" s="46"/>
      <x:c r="K28" s="46"/>
    </x:row>
    <x:row r="29">
      <x:c r="A29" s="46"/>
      <x:c r="B29" s="46"/>
      <x:c r="C29" s="46"/>
      <x:c r="D29" s="46"/>
      <x:c r="E29" s="46"/>
      <x:c r="F29" s="46"/>
      <x:c r="G29" s="46"/>
      <x:c r="H29" s="46"/>
      <x:c r="I29" s="46"/>
      <x:c r="J29" s="46"/>
      <x:c r="K29" s="46"/>
    </x:row>
    <x:row r="30">
      <x:c r="A30" s="46"/>
      <x:c r="B30" s="46"/>
      <x:c r="C30" s="46"/>
      <x:c r="D30" s="46"/>
      <x:c r="E30" s="46"/>
      <x:c r="F30" s="46"/>
      <x:c r="G30" s="46"/>
      <x:c r="H30" s="46"/>
      <x:c r="I30" s="46"/>
      <x:c r="J30" s="46"/>
      <x:c r="K30" s="46"/>
    </x:row>
    <x:row r="31">
      <x:c r="A31" s="46"/>
      <x:c r="B31" s="46"/>
      <x:c r="C31" s="46"/>
      <x:c r="D31" s="46"/>
      <x:c r="E31" s="46"/>
      <x:c r="F31" s="46"/>
      <x:c r="G31" s="46"/>
      <x:c r="H31" s="46"/>
      <x:c r="I31" s="46"/>
      <x:c r="J31" s="46"/>
      <x:c r="K31" s="46"/>
    </x:row>
    <x:row r="32">
      <x:c r="A32" s="46"/>
      <x:c r="B32" s="46"/>
      <x:c r="C32" s="46"/>
      <x:c r="D32" s="46"/>
      <x:c r="E32" s="46"/>
      <x:c r="F32" s="46"/>
      <x:c r="G32" s="46"/>
      <x:c r="H32" s="46"/>
      <x:c r="I32" s="46"/>
      <x:c r="J32" s="46"/>
      <x:c r="K32" s="46"/>
    </x:row>
    <x:row r="33">
      <x:c r="A33" s="46"/>
      <x:c r="B33" s="46"/>
      <x:c r="C33" s="46"/>
      <x:c r="D33" s="46"/>
      <x:c r="E33" s="46"/>
      <x:c r="F33" s="46"/>
      <x:c r="G33" s="46"/>
      <x:c r="H33" s="46"/>
      <x:c r="I33" s="46"/>
      <x:c r="J33" s="46"/>
      <x:c r="K33" s="46"/>
    </x:row>
    <x:row r="34">
      <x:c r="A34" s="46"/>
      <x:c r="B34" s="46"/>
      <x:c r="C34" s="46"/>
      <x:c r="D34" s="46"/>
      <x:c r="E34" s="46"/>
      <x:c r="F34" s="46"/>
      <x:c r="G34" s="46"/>
      <x:c r="H34" s="46"/>
      <x:c r="I34" s="46"/>
      <x:c r="J34" s="46"/>
      <x:c r="K34" s="46"/>
    </x:row>
    <x:row r="35">
      <x:c r="A35" s="46"/>
      <x:c r="B35" s="46"/>
      <x:c r="C35" s="46"/>
      <x:c r="D35" s="46"/>
      <x:c r="E35" s="46"/>
      <x:c r="F35" s="46"/>
      <x:c r="G35" s="46"/>
      <x:c r="H35" s="46"/>
      <x:c r="I35" s="46"/>
      <x:c r="J35" s="46"/>
      <x:c r="K35" s="46"/>
    </x:row>
    <x:row r="36">
      <x:c r="A36" s="46"/>
      <x:c r="B36" s="46"/>
      <x:c r="C36" s="46"/>
      <x:c r="D36" s="46"/>
      <x:c r="E36" s="46"/>
      <x:c r="F36" s="46"/>
      <x:c r="G36" s="46"/>
      <x:c r="H36" s="46"/>
      <x:c r="I36" s="46"/>
      <x:c r="J36" s="46"/>
      <x:c r="K36" s="46"/>
    </x:row>
    <x:row r="37">
      <x:c r="A37" s="46"/>
      <x:c r="B37" s="46"/>
      <x:c r="C37" s="46"/>
      <x:c r="D37" s="46"/>
      <x:c r="E37" s="46"/>
      <x:c r="F37" s="46"/>
      <x:c r="G37" s="46"/>
      <x:c r="H37" s="46"/>
      <x:c r="I37" s="46"/>
      <x:c r="J37" s="46"/>
      <x:c r="K37" s="46"/>
    </x:row>
    <x:row r="38">
      <x:c r="A38" s="46"/>
      <x:c r="B38" s="46"/>
      <x:c r="C38" s="46"/>
      <x:c r="D38" s="46"/>
      <x:c r="E38" s="46"/>
      <x:c r="F38" s="46"/>
      <x:c r="G38" s="46"/>
      <x:c r="H38" s="46"/>
      <x:c r="I38" s="46"/>
      <x:c r="J38" s="46"/>
      <x:c r="K38" s="46"/>
    </x:row>
    <x:row r="39">
      <x:c r="A39" s="46"/>
      <x:c r="B39" s="46"/>
      <x:c r="C39" s="46"/>
      <x:c r="D39" s="46"/>
      <x:c r="E39" s="46"/>
      <x:c r="F39" s="46"/>
      <x:c r="G39" s="46"/>
      <x:c r="H39" s="46"/>
      <x:c r="I39" s="46"/>
      <x:c r="J39" s="46"/>
      <x:c r="K39" s="46"/>
    </x:row>
    <x:row r="40">
      <x:c r="A40" s="46"/>
      <x:c r="B40" s="46"/>
      <x:c r="C40" s="46"/>
      <x:c r="D40" s="46"/>
      <x:c r="E40" s="46"/>
      <x:c r="F40" s="46"/>
      <x:c r="G40" s="46"/>
      <x:c r="H40" s="46"/>
      <x:c r="I40" s="46"/>
      <x:c r="J40" s="46"/>
      <x:c r="K40" s="46"/>
    </x:row>
    <x:row r="41">
      <x:c r="A41" s="46"/>
      <x:c r="B41" s="46"/>
      <x:c r="C41" s="46"/>
      <x:c r="D41" s="46"/>
      <x:c r="E41" s="46"/>
      <x:c r="F41" s="46"/>
      <x:c r="G41" s="46"/>
      <x:c r="H41" s="46"/>
      <x:c r="I41" s="46"/>
      <x:c r="J41" s="46"/>
      <x:c r="K41" s="46"/>
    </x:row>
    <x:row r="42">
      <x:c r="A42" s="46"/>
      <x:c r="B42" s="46"/>
      <x:c r="C42" s="46"/>
      <x:c r="D42" s="46"/>
      <x:c r="E42" s="46"/>
      <x:c r="F42" s="46"/>
      <x:c r="G42" s="46"/>
      <x:c r="H42" s="46"/>
      <x:c r="I42" s="46"/>
      <x:c r="J42" s="46"/>
      <x:c r="K42" s="46"/>
    </x:row>
    <x:row r="43">
      <x:c r="A43" s="46"/>
      <x:c r="B43" s="46"/>
      <x:c r="C43" s="46"/>
      <x:c r="D43" s="46"/>
      <x:c r="E43" s="46"/>
      <x:c r="F43" s="46"/>
      <x:c r="G43" s="46"/>
      <x:c r="H43" s="46"/>
      <x:c r="I43" s="46"/>
      <x:c r="J43" s="46"/>
      <x:c r="K43" s="46"/>
    </x:row>
    <x:row r="44">
      <x:c r="A44" s="46"/>
      <x:c r="B44" s="46"/>
      <x:c r="C44" s="46"/>
      <x:c r="D44" s="46"/>
      <x:c r="E44" s="46"/>
      <x:c r="F44" s="46"/>
      <x:c r="G44" s="46"/>
      <x:c r="H44" s="46"/>
      <x:c r="I44" s="46"/>
      <x:c r="J44" s="46"/>
      <x:c r="K44" s="46"/>
    </x:row>
    <x:row r="45">
      <x:c r="A45" s="46"/>
      <x:c r="B45" s="46"/>
      <x:c r="C45" s="46"/>
      <x:c r="D45" s="46"/>
      <x:c r="E45" s="46"/>
      <x:c r="F45" s="46"/>
      <x:c r="G45" s="46"/>
      <x:c r="H45" s="46"/>
      <x:c r="I45" s="46"/>
      <x:c r="J45" s="46"/>
      <x:c r="K45" s="46"/>
    </x:row>
    <x:row r="46">
      <x:c r="A46" s="46"/>
      <x:c r="B46" s="46"/>
      <x:c r="C46" s="46"/>
      <x:c r="D46" s="46"/>
      <x:c r="E46" s="46"/>
      <x:c r="F46" s="46"/>
      <x:c r="G46" s="46"/>
      <x:c r="H46" s="46"/>
      <x:c r="I46" s="46"/>
      <x:c r="J46" s="46"/>
      <x:c r="K46" s="46"/>
    </x:row>
    <x:row r="47">
      <x:c r="A47" s="46"/>
      <x:c r="B47" s="46"/>
      <x:c r="C47" s="46"/>
      <x:c r="D47" s="46"/>
      <x:c r="E47" s="46"/>
      <x:c r="F47" s="46"/>
      <x:c r="G47" s="46"/>
      <x:c r="H47" s="46"/>
      <x:c r="I47" s="46"/>
      <x:c r="J47" s="46"/>
      <x:c r="K47" s="46"/>
    </x:row>
    <x:row r="48">
      <x:c r="A48" s="46"/>
      <x:c r="B48" s="46"/>
      <x:c r="C48" s="46"/>
      <x:c r="D48" s="46"/>
      <x:c r="E48" s="46"/>
      <x:c r="F48" s="46"/>
      <x:c r="G48" s="46"/>
      <x:c r="H48" s="46"/>
      <x:c r="I48" s="46"/>
      <x:c r="J48" s="46"/>
      <x:c r="K48" s="46"/>
    </x:row>
    <x:row r="49">
      <x:c r="A49" s="46"/>
      <x:c r="B49" s="46"/>
      <x:c r="C49" s="46"/>
      <x:c r="D49" s="46"/>
      <x:c r="E49" s="46"/>
      <x:c r="F49" s="46"/>
      <x:c r="G49" s="46"/>
      <x:c r="H49" s="46"/>
      <x:c r="I49" s="46"/>
      <x:c r="J49" s="46"/>
      <x:c r="K49" s="46"/>
    </x:row>
    <x:row r="50">
      <x:c r="A50" s="46"/>
      <x:c r="B50" s="46"/>
      <x:c r="C50" s="46"/>
      <x:c r="D50" s="46"/>
      <x:c r="E50" s="46"/>
      <x:c r="F50" s="46"/>
      <x:c r="G50" s="46"/>
      <x:c r="H50" s="46"/>
      <x:c r="I50" s="46"/>
      <x:c r="J50" s="46"/>
      <x:c r="K50" s="46"/>
    </x:row>
    <x:row r="51">
      <x:c r="A51" s="46"/>
      <x:c r="B51" s="46"/>
      <x:c r="C51" s="46"/>
      <x:c r="D51" s="46"/>
      <x:c r="E51" s="46"/>
      <x:c r="F51" s="46"/>
      <x:c r="G51" s="46"/>
      <x:c r="H51" s="46"/>
      <x:c r="I51" s="46"/>
      <x:c r="J51" s="46"/>
      <x:c r="K51" s="46"/>
    </x:row>
    <x:row r="52">
      <x:c r="A52" s="46"/>
      <x:c r="B52" s="46"/>
      <x:c r="C52" s="46"/>
      <x:c r="D52" s="46"/>
      <x:c r="E52" s="46"/>
      <x:c r="F52" s="46"/>
      <x:c r="G52" s="46"/>
      <x:c r="H52" s="46"/>
      <x:c r="I52" s="46"/>
      <x:c r="J52" s="46"/>
      <x:c r="K52" s="46"/>
    </x:row>
    <x:row r="53">
      <x:c r="A53" s="46"/>
      <x:c r="B53" s="46"/>
      <x:c r="C53" s="46"/>
      <x:c r="D53" s="46"/>
      <x:c r="E53" s="46"/>
      <x:c r="F53" s="46"/>
      <x:c r="G53" s="46"/>
      <x:c r="H53" s="46"/>
      <x:c r="I53" s="46"/>
      <x:c r="J53" s="46"/>
      <x:c r="K53" s="46"/>
    </x:row>
    <x:row r="54">
      <x:c r="A54" s="46"/>
      <x:c r="B54" s="46"/>
      <x:c r="C54" s="46"/>
      <x:c r="D54" s="46"/>
      <x:c r="E54" s="46"/>
      <x:c r="F54" s="46"/>
      <x:c r="G54" s="46"/>
      <x:c r="H54" s="46"/>
      <x:c r="I54" s="46"/>
      <x:c r="J54" s="46"/>
      <x:c r="K54" s="46"/>
    </x:row>
    <x:row r="55">
      <x:c r="A55" s="46"/>
      <x:c r="B55" s="46"/>
      <x:c r="C55" s="46"/>
      <x:c r="D55" s="46"/>
      <x:c r="E55" s="46"/>
      <x:c r="F55" s="46"/>
      <x:c r="G55" s="46"/>
      <x:c r="H55" s="46"/>
      <x:c r="I55" s="46"/>
      <x:c r="J55" s="46"/>
      <x:c r="K55" s="46"/>
    </x:row>
    <x:row r="56">
      <x:c r="A56" s="46"/>
      <x:c r="B56" s="46"/>
      <x:c r="C56" s="46"/>
      <x:c r="D56" s="46"/>
      <x:c r="E56" s="46"/>
      <x:c r="F56" s="46"/>
      <x:c r="G56" s="46"/>
      <x:c r="H56" s="46"/>
      <x:c r="I56" s="46"/>
      <x:c r="J56" s="46"/>
      <x:c r="K56" s="46"/>
    </x:row>
    <x:row r="57">
      <x:c r="A57" s="46"/>
      <x:c r="B57" s="46"/>
      <x:c r="C57" s="46"/>
      <x:c r="D57" s="46"/>
      <x:c r="E57" s="46"/>
      <x:c r="F57" s="46"/>
      <x:c r="G57" s="46"/>
      <x:c r="H57" s="46"/>
      <x:c r="I57" s="46"/>
      <x:c r="J57" s="46"/>
      <x:c r="K57" s="46"/>
    </x:row>
    <x:row r="58">
      <x:c r="A58" s="46"/>
      <x:c r="B58" s="46"/>
      <x:c r="C58" s="46"/>
      <x:c r="D58" s="46"/>
      <x:c r="E58" s="46"/>
      <x:c r="F58" s="46"/>
      <x:c r="G58" s="46"/>
      <x:c r="H58" s="46"/>
      <x:c r="I58" s="46"/>
      <x:c r="J58" s="46"/>
      <x:c r="K58" s="46"/>
    </x:row>
    <x:row r="59">
      <x:c r="A59" s="46"/>
      <x:c r="B59" s="46"/>
      <x:c r="C59" s="46"/>
      <x:c r="D59" s="46"/>
      <x:c r="E59" s="46"/>
      <x:c r="F59" s="46"/>
      <x:c r="G59" s="46"/>
      <x:c r="H59" s="46"/>
      <x:c r="I59" s="46"/>
      <x:c r="J59" s="46"/>
      <x:c r="K59" s="46"/>
    </x:row>
    <x:row r="60">
      <x:c r="A60" s="46"/>
      <x:c r="B60" s="46"/>
      <x:c r="C60" s="46"/>
      <x:c r="D60" s="46"/>
      <x:c r="E60" s="46"/>
      <x:c r="F60" s="46"/>
      <x:c r="G60" s="46"/>
      <x:c r="H60" s="46"/>
      <x:c r="I60" s="46"/>
      <x:c r="J60" s="46"/>
      <x:c r="K60" s="46"/>
    </x:row>
    <x:row r="61">
      <x:c r="A61" s="46"/>
      <x:c r="B61" s="46"/>
      <x:c r="C61" s="46"/>
      <x:c r="D61" s="46"/>
      <x:c r="E61" s="46"/>
      <x:c r="F61" s="46"/>
      <x:c r="G61" s="46"/>
      <x:c r="H61" s="46"/>
      <x:c r="I61" s="46"/>
      <x:c r="J61" s="46"/>
      <x:c r="K61" s="46"/>
    </x:row>
    <x:row r="62">
      <x:c r="A62" s="46"/>
      <x:c r="B62" s="46"/>
      <x:c r="C62" s="46"/>
      <x:c r="D62" s="46"/>
      <x:c r="E62" s="46"/>
      <x:c r="F62" s="46"/>
      <x:c r="G62" s="46"/>
      <x:c r="H62" s="46"/>
      <x:c r="I62" s="46"/>
      <x:c r="J62" s="46"/>
      <x:c r="K62" s="46"/>
    </x:row>
    <x:row r="63">
      <x:c r="A63" s="46"/>
      <x:c r="B63" s="46"/>
      <x:c r="C63" s="46"/>
      <x:c r="D63" s="46"/>
      <x:c r="E63" s="46"/>
      <x:c r="F63" s="46"/>
      <x:c r="G63" s="46"/>
      <x:c r="H63" s="46"/>
      <x:c r="I63" s="46"/>
      <x:c r="J63" s="46"/>
      <x:c r="K63" s="46"/>
    </x:row>
    <x:row r="64">
      <x:c r="A64" s="46"/>
      <x:c r="B64" s="46"/>
      <x:c r="C64" s="46"/>
      <x:c r="D64" s="46"/>
      <x:c r="E64" s="46"/>
      <x:c r="F64" s="46"/>
      <x:c r="G64" s="46"/>
      <x:c r="H64" s="46"/>
      <x:c r="I64" s="46"/>
      <x:c r="J64" s="46"/>
      <x:c r="K64" s="46"/>
    </x:row>
    <x:row r="65">
      <x:c r="A65" s="46"/>
      <x:c r="B65" s="46"/>
      <x:c r="C65" s="46"/>
      <x:c r="D65" s="46"/>
      <x:c r="E65" s="46"/>
      <x:c r="F65" s="46"/>
      <x:c r="G65" s="46"/>
      <x:c r="H65" s="46"/>
      <x:c r="I65" s="46"/>
      <x:c r="J65" s="46"/>
      <x:c r="K65" s="46"/>
    </x:row>
    <x:row r="66">
      <x:c r="A66" s="46"/>
      <x:c r="B66" s="46"/>
      <x:c r="C66" s="46"/>
      <x:c r="D66" s="46"/>
      <x:c r="E66" s="46"/>
      <x:c r="F66" s="46"/>
      <x:c r="G66" s="46"/>
      <x:c r="H66" s="46"/>
      <x:c r="I66" s="46"/>
      <x:c r="J66" s="46"/>
      <x:c r="K66" s="46"/>
    </x:row>
    <x:row r="67">
      <x:c r="A67" s="46"/>
      <x:c r="B67" s="46"/>
      <x:c r="C67" s="46"/>
      <x:c r="D67" s="46"/>
      <x:c r="E67" s="46"/>
      <x:c r="F67" s="46"/>
      <x:c r="G67" s="46"/>
      <x:c r="H67" s="46"/>
      <x:c r="I67" s="46"/>
      <x:c r="J67" s="46"/>
      <x:c r="K67" s="46"/>
    </x:row>
    <x:row r="68">
      <x:c r="A68" s="46"/>
      <x:c r="B68" s="46"/>
      <x:c r="C68" s="46"/>
      <x:c r="D68" s="46"/>
      <x:c r="E68" s="46"/>
      <x:c r="F68" s="46"/>
      <x:c r="G68" s="46"/>
      <x:c r="H68" s="46"/>
      <x:c r="I68" s="46"/>
      <x:c r="J68" s="46"/>
      <x:c r="K68" s="46"/>
    </x:row>
    <x:row r="69">
      <x:c r="A69" s="46"/>
      <x:c r="B69" s="46"/>
      <x:c r="C69" s="46"/>
      <x:c r="D69" s="46"/>
      <x:c r="E69" s="46"/>
      <x:c r="F69" s="46"/>
      <x:c r="G69" s="46"/>
      <x:c r="H69" s="46"/>
      <x:c r="I69" s="46"/>
      <x:c r="J69" s="46"/>
      <x:c r="K69" s="46"/>
    </x:row>
    <x:row r="70">
      <x:c r="A70" s="46"/>
      <x:c r="B70" s="46"/>
      <x:c r="C70" s="46"/>
      <x:c r="D70" s="46"/>
      <x:c r="E70" s="46"/>
      <x:c r="F70" s="46"/>
      <x:c r="G70" s="46"/>
      <x:c r="H70" s="46"/>
      <x:c r="I70" s="46"/>
      <x:c r="J70" s="46"/>
      <x:c r="K70" s="46"/>
    </x:row>
    <x:row r="71">
      <x:c r="A71" s="46"/>
      <x:c r="B71" s="46"/>
      <x:c r="C71" s="46"/>
      <x:c r="D71" s="46"/>
      <x:c r="E71" s="46"/>
      <x:c r="F71" s="46"/>
      <x:c r="G71" s="46"/>
      <x:c r="H71" s="46"/>
      <x:c r="I71" s="46"/>
      <x:c r="J71" s="46"/>
      <x:c r="K71" s="46"/>
    </x:row>
    <x:row r="72">
      <x:c r="A72" s="46"/>
      <x:c r="B72" s="46"/>
      <x:c r="C72" s="46"/>
      <x:c r="D72" s="46"/>
      <x:c r="E72" s="46"/>
      <x:c r="F72" s="46"/>
      <x:c r="G72" s="46"/>
      <x:c r="H72" s="46"/>
      <x:c r="I72" s="46"/>
      <x:c r="J72" s="46"/>
      <x:c r="K72" s="46"/>
    </x:row>
    <x:row r="73">
      <x:c r="A73" s="46"/>
      <x:c r="B73" s="46"/>
      <x:c r="C73" s="46"/>
      <x:c r="D73" s="46"/>
      <x:c r="E73" s="46"/>
      <x:c r="F73" s="46"/>
      <x:c r="G73" s="46"/>
      <x:c r="H73" s="46"/>
      <x:c r="I73" s="46"/>
      <x:c r="J73" s="46"/>
      <x:c r="K73" s="46"/>
    </x:row>
    <x:row r="74">
      <x:c r="A74" s="46"/>
      <x:c r="B74" s="46"/>
      <x:c r="C74" s="46"/>
      <x:c r="D74" s="46"/>
      <x:c r="E74" s="46"/>
      <x:c r="F74" s="46"/>
      <x:c r="G74" s="46"/>
      <x:c r="H74" s="46"/>
      <x:c r="I74" s="46"/>
      <x:c r="J74" s="46"/>
      <x:c r="K74" s="46"/>
    </x:row>
    <x:row r="75">
      <x:c r="A75" s="46"/>
      <x:c r="B75" s="46"/>
      <x:c r="C75" s="46"/>
      <x:c r="D75" s="46"/>
      <x:c r="E75" s="46"/>
      <x:c r="F75" s="46"/>
      <x:c r="G75" s="46"/>
      <x:c r="H75" s="46"/>
      <x:c r="I75" s="46"/>
      <x:c r="J75" s="46"/>
      <x:c r="K75" s="46"/>
    </x:row>
    <x:row r="76">
      <x:c r="A76" s="46"/>
      <x:c r="B76" s="46"/>
      <x:c r="C76" s="46"/>
      <x:c r="D76" s="46"/>
      <x:c r="E76" s="46"/>
      <x:c r="F76" s="46"/>
      <x:c r="G76" s="46"/>
      <x:c r="H76" s="46"/>
      <x:c r="I76" s="46"/>
      <x:c r="J76" s="46"/>
      <x:c r="K76" s="46"/>
    </x:row>
    <x:row r="77">
      <x:c r="A77" s="46"/>
      <x:c r="B77" s="46"/>
      <x:c r="C77" s="46"/>
      <x:c r="D77" s="46"/>
      <x:c r="E77" s="46"/>
      <x:c r="F77" s="46"/>
      <x:c r="G77" s="46"/>
      <x:c r="H77" s="46"/>
      <x:c r="I77" s="46"/>
      <x:c r="J77" s="46"/>
      <x:c r="K77" s="46"/>
    </x:row>
    <x:row r="78">
      <x:c r="A78" s="46"/>
      <x:c r="B78" s="46"/>
      <x:c r="C78" s="46"/>
      <x:c r="D78" s="46"/>
      <x:c r="E78" s="46"/>
      <x:c r="F78" s="46"/>
      <x:c r="G78" s="46"/>
      <x:c r="H78" s="46"/>
      <x:c r="I78" s="46"/>
      <x:c r="J78" s="46"/>
      <x:c r="K78" s="46"/>
    </x:row>
    <x:row r="79">
      <x:c r="A79" s="46"/>
      <x:c r="B79" s="46"/>
      <x:c r="C79" s="46"/>
      <x:c r="D79" s="46"/>
      <x:c r="E79" s="46"/>
      <x:c r="F79" s="46"/>
      <x:c r="G79" s="46"/>
      <x:c r="H79" s="46"/>
      <x:c r="I79" s="46"/>
      <x:c r="J79" s="46"/>
      <x:c r="K79" s="46"/>
    </x:row>
    <x:row r="80">
      <x:c r="A80" s="46"/>
      <x:c r="B80" s="46"/>
      <x:c r="C80" s="46"/>
      <x:c r="D80" s="46"/>
      <x:c r="E80" s="46"/>
      <x:c r="F80" s="46"/>
      <x:c r="G80" s="46"/>
      <x:c r="H80" s="46"/>
      <x:c r="I80" s="46"/>
      <x:c r="J80" s="46"/>
      <x:c r="K80" s="46"/>
    </x:row>
    <x:row r="81">
      <x:c r="A81" s="46"/>
      <x:c r="B81" s="46"/>
      <x:c r="C81" s="46"/>
      <x:c r="D81" s="46"/>
      <x:c r="E81" s="46"/>
      <x:c r="F81" s="46"/>
      <x:c r="G81" s="46"/>
      <x:c r="H81" s="46"/>
      <x:c r="I81" s="46"/>
      <x:c r="J81" s="46"/>
      <x:c r="K81" s="46"/>
    </x:row>
    <x:row r="82">
      <x:c r="A82" s="46"/>
      <x:c r="B82" s="46"/>
      <x:c r="C82" s="46"/>
      <x:c r="D82" s="46"/>
      <x:c r="E82" s="46"/>
      <x:c r="F82" s="46"/>
      <x:c r="G82" s="46"/>
      <x:c r="H82" s="46"/>
      <x:c r="I82" s="46"/>
      <x:c r="J82" s="46"/>
      <x:c r="K82" s="46"/>
    </x:row>
    <x:row r="83">
      <x:c r="A83" s="46"/>
      <x:c r="B83" s="46"/>
      <x:c r="C83" s="46"/>
      <x:c r="D83" s="46"/>
      <x:c r="E83" s="46"/>
      <x:c r="F83" s="46"/>
      <x:c r="G83" s="46"/>
      <x:c r="H83" s="46"/>
      <x:c r="I83" s="46"/>
      <x:c r="J83" s="46"/>
      <x:c r="K83" s="46"/>
    </x:row>
    <x:row r="84">
      <x:c r="A84" s="46"/>
      <x:c r="B84" s="46"/>
      <x:c r="C84" s="46"/>
      <x:c r="D84" s="46"/>
      <x:c r="E84" s="46"/>
      <x:c r="F84" s="46"/>
      <x:c r="G84" s="46"/>
      <x:c r="H84" s="46"/>
      <x:c r="I84" s="46"/>
      <x:c r="J84" s="46"/>
      <x:c r="K84" s="46"/>
    </x:row>
    <x:row r="85">
      <x:c r="A85" s="46"/>
      <x:c r="B85" s="46"/>
      <x:c r="C85" s="46"/>
      <x:c r="D85" s="46"/>
      <x:c r="E85" s="46"/>
      <x:c r="F85" s="46"/>
      <x:c r="G85" s="46"/>
      <x:c r="H85" s="46"/>
      <x:c r="I85" s="46"/>
      <x:c r="J85" s="46"/>
      <x:c r="K85" s="46"/>
    </x:row>
    <x:row r="86">
      <x:c r="A86" s="46"/>
      <x:c r="B86" s="46"/>
      <x:c r="C86" s="46"/>
      <x:c r="D86" s="46"/>
      <x:c r="E86" s="46"/>
      <x:c r="F86" s="46"/>
      <x:c r="G86" s="46"/>
      <x:c r="H86" s="46"/>
      <x:c r="I86" s="46"/>
      <x:c r="J86" s="46"/>
      <x:c r="K86" s="46"/>
    </x:row>
    <x:row r="87">
      <x:c r="A87" s="46"/>
      <x:c r="B87" s="46"/>
      <x:c r="C87" s="46"/>
      <x:c r="D87" s="46"/>
      <x:c r="E87" s="46"/>
      <x:c r="F87" s="46"/>
      <x:c r="G87" s="46"/>
      <x:c r="H87" s="46"/>
      <x:c r="I87" s="46"/>
      <x:c r="J87" s="46"/>
      <x:c r="K87" s="46"/>
    </x:row>
    <x:row r="88">
      <x:c r="A88" s="46"/>
      <x:c r="B88" s="46"/>
      <x:c r="C88" s="46"/>
      <x:c r="D88" s="46"/>
      <x:c r="E88" s="46"/>
      <x:c r="F88" s="46"/>
      <x:c r="G88" s="46"/>
      <x:c r="H88" s="46"/>
      <x:c r="I88" s="46"/>
      <x:c r="J88" s="46"/>
      <x:c r="K88" s="46"/>
    </x:row>
    <x:row r="89">
      <x:c r="A89" s="46"/>
      <x:c r="B89" s="46"/>
      <x:c r="C89" s="46"/>
      <x:c r="D89" s="46"/>
      <x:c r="E89" s="46"/>
      <x:c r="F89" s="46"/>
      <x:c r="G89" s="46"/>
      <x:c r="H89" s="46"/>
      <x:c r="I89" s="46"/>
      <x:c r="J89" s="46"/>
      <x:c r="K89" s="46"/>
    </x:row>
    <x:row r="90">
      <x:c r="A90" s="46"/>
      <x:c r="B90" s="46"/>
      <x:c r="C90" s="46"/>
      <x:c r="D90" s="46"/>
      <x:c r="E90" s="46"/>
      <x:c r="F90" s="46"/>
      <x:c r="G90" s="46"/>
      <x:c r="H90" s="46"/>
      <x:c r="I90" s="46"/>
      <x:c r="J90" s="46"/>
      <x:c r="K90" s="46"/>
    </x:row>
    <x:row r="91">
      <x:c r="A91" s="46"/>
      <x:c r="B91" s="46"/>
      <x:c r="C91" s="46"/>
      <x:c r="D91" s="46"/>
      <x:c r="E91" s="46"/>
      <x:c r="F91" s="46"/>
      <x:c r="G91" s="46"/>
      <x:c r="H91" s="46"/>
      <x:c r="I91" s="46"/>
      <x:c r="J91" s="46"/>
      <x:c r="K91" s="46"/>
    </x:row>
    <x:row r="92">
      <x:c r="A92" s="46"/>
      <x:c r="B92" s="46"/>
      <x:c r="C92" s="46"/>
      <x:c r="D92" s="46"/>
      <x:c r="E92" s="46"/>
      <x:c r="F92" s="46"/>
      <x:c r="G92" s="46"/>
      <x:c r="H92" s="46"/>
      <x:c r="I92" s="46"/>
      <x:c r="J92" s="46"/>
      <x:c r="K92" s="46"/>
    </x:row>
    <x:row r="93">
      <x:c r="A93" s="46"/>
      <x:c r="B93" s="46"/>
      <x:c r="C93" s="46"/>
      <x:c r="D93" s="46"/>
      <x:c r="E93" s="46"/>
      <x:c r="F93" s="46"/>
      <x:c r="G93" s="46"/>
      <x:c r="H93" s="46"/>
      <x:c r="I93" s="46"/>
      <x:c r="J93" s="46"/>
      <x:c r="K93" s="46"/>
    </x:row>
    <x:row r="94">
      <x:c r="A94" s="46"/>
      <x:c r="B94" s="46"/>
      <x:c r="C94" s="46"/>
      <x:c r="D94" s="46"/>
      <x:c r="E94" s="46"/>
      <x:c r="F94" s="46"/>
      <x:c r="G94" s="46"/>
      <x:c r="H94" s="46"/>
      <x:c r="I94" s="46"/>
      <x:c r="J94" s="46"/>
      <x:c r="K94" s="46"/>
    </x:row>
    <x:row r="95">
      <x:c r="A95" s="46"/>
      <x:c r="B95" s="46"/>
      <x:c r="C95" s="46"/>
      <x:c r="D95" s="46"/>
      <x:c r="E95" s="46"/>
      <x:c r="F95" s="46"/>
      <x:c r="G95" s="46"/>
      <x:c r="H95" s="46"/>
      <x:c r="I95" s="46"/>
      <x:c r="J95" s="46"/>
      <x:c r="K95" s="46"/>
    </x:row>
    <x:row r="96">
      <x:c r="A96" s="46"/>
      <x:c r="B96" s="46"/>
      <x:c r="C96" s="46"/>
      <x:c r="D96" s="46"/>
      <x:c r="E96" s="46"/>
      <x:c r="F96" s="46"/>
      <x:c r="G96" s="46"/>
      <x:c r="H96" s="46"/>
      <x:c r="I96" s="46"/>
      <x:c r="J96" s="46"/>
      <x:c r="K96" s="46"/>
    </x:row>
    <x:row r="97">
      <x:c r="A97" s="46"/>
      <x:c r="B97" s="46"/>
      <x:c r="C97" s="46"/>
      <x:c r="D97" s="46"/>
      <x:c r="E97" s="46"/>
      <x:c r="F97" s="46"/>
      <x:c r="G97" s="46"/>
      <x:c r="H97" s="46"/>
      <x:c r="I97" s="46"/>
      <x:c r="J97" s="46"/>
      <x:c r="K97" s="46"/>
    </x:row>
    <x:row r="98">
      <x:c r="A98" s="46"/>
      <x:c r="B98" s="46"/>
      <x:c r="C98" s="46"/>
      <x:c r="D98" s="46"/>
      <x:c r="E98" s="46"/>
      <x:c r="F98" s="46"/>
      <x:c r="G98" s="46"/>
      <x:c r="H98" s="46"/>
      <x:c r="I98" s="46"/>
      <x:c r="J98" s="46"/>
      <x:c r="K98" s="46"/>
    </x:row>
    <x:row r="99">
      <x:c r="A99" s="46"/>
      <x:c r="B99" s="46"/>
      <x:c r="C99" s="46"/>
      <x:c r="D99" s="46"/>
      <x:c r="E99" s="46"/>
      <x:c r="F99" s="46"/>
      <x:c r="G99" s="46"/>
      <x:c r="H99" s="46"/>
      <x:c r="I99" s="46"/>
      <x:c r="J99" s="46"/>
      <x:c r="K99" s="46"/>
    </x:row>
    <x:row r="100">
      <x:c r="A100" s="46"/>
      <x:c r="B100" s="46"/>
      <x:c r="C100" s="46"/>
      <x:c r="D100" s="46"/>
      <x:c r="E100" s="46"/>
      <x:c r="F100" s="46"/>
      <x:c r="G100" s="46"/>
      <x:c r="H100" s="46"/>
      <x:c r="I100" s="46"/>
      <x:c r="J100" s="46"/>
      <x:c r="K100" s="46"/>
    </x:row>
    <x:row r="101">
      <x:c r="A101" s="46"/>
      <x:c r="B101" s="46"/>
      <x:c r="C101" s="46"/>
      <x:c r="D101" s="46"/>
      <x:c r="E101" s="46"/>
      <x:c r="F101" s="46"/>
      <x:c r="G101" s="46"/>
      <x:c r="H101" s="46"/>
      <x:c r="I101" s="46"/>
      <x:c r="J101" s="46"/>
      <x:c r="K101" s="46"/>
    </x:row>
    <x:row r="102">
      <x:c r="A102" s="46"/>
      <x:c r="B102" s="46"/>
      <x:c r="C102" s="46"/>
      <x:c r="D102" s="46"/>
      <x:c r="E102" s="46"/>
      <x:c r="F102" s="46"/>
      <x:c r="G102" s="46"/>
      <x:c r="H102" s="46"/>
      <x:c r="I102" s="46"/>
      <x:c r="J102" s="46"/>
      <x:c r="K102" s="46"/>
    </x:row>
    <x:row r="103">
      <x:c r="A103" s="46"/>
      <x:c r="B103" s="46"/>
      <x:c r="C103" s="46"/>
      <x:c r="D103" s="46"/>
      <x:c r="E103" s="46"/>
      <x:c r="F103" s="46"/>
      <x:c r="G103" s="46"/>
      <x:c r="H103" s="46"/>
      <x:c r="I103" s="46"/>
      <x:c r="J103" s="46"/>
      <x:c r="K103" s="46"/>
    </x:row>
    <x:row r="104">
      <x:c r="A104" s="46"/>
      <x:c r="B104" s="46"/>
      <x:c r="C104" s="46"/>
      <x:c r="D104" s="46"/>
      <x:c r="E104" s="46"/>
      <x:c r="F104" s="46"/>
      <x:c r="G104" s="46"/>
      <x:c r="H104" s="46"/>
      <x:c r="I104" s="46"/>
      <x:c r="J104" s="46"/>
      <x:c r="K104" s="46"/>
    </x:row>
    <x:row r="105">
      <x:c r="A105" s="46"/>
      <x:c r="B105" s="46"/>
      <x:c r="C105" s="46"/>
      <x:c r="D105" s="46"/>
      <x:c r="E105" s="46"/>
      <x:c r="F105" s="46"/>
      <x:c r="G105" s="46"/>
      <x:c r="H105" s="46"/>
      <x:c r="I105" s="46"/>
      <x:c r="J105" s="46"/>
      <x:c r="K105" s="46"/>
    </x:row>
    <x:row r="106">
      <x:c r="A106" s="46"/>
      <x:c r="B106" s="46"/>
      <x:c r="C106" s="46"/>
      <x:c r="D106" s="46"/>
      <x:c r="E106" s="46"/>
      <x:c r="F106" s="46"/>
      <x:c r="G106" s="46"/>
      <x:c r="H106" s="46"/>
      <x:c r="I106" s="46"/>
      <x:c r="J106" s="46"/>
      <x:c r="K106" s="46"/>
    </x:row>
    <x:row r="107">
      <x:c r="A107" s="46"/>
      <x:c r="B107" s="46"/>
      <x:c r="C107" s="46"/>
      <x:c r="D107" s="46"/>
      <x:c r="E107" s="46"/>
      <x:c r="F107" s="46"/>
      <x:c r="G107" s="46"/>
      <x:c r="H107" s="46"/>
      <x:c r="I107" s="46"/>
      <x:c r="J107" s="46"/>
      <x:c r="K107" s="46"/>
    </x:row>
    <x:row r="108">
      <x:c r="A108" s="46"/>
      <x:c r="B108" s="46"/>
      <x:c r="C108" s="46"/>
      <x:c r="D108" s="46"/>
      <x:c r="E108" s="46"/>
      <x:c r="F108" s="46"/>
      <x:c r="G108" s="46"/>
      <x:c r="H108" s="46"/>
      <x:c r="I108" s="46"/>
      <x:c r="J108" s="46"/>
      <x:c r="K108" s="46"/>
    </x:row>
    <x:row r="109">
      <x:c r="A109" s="46"/>
      <x:c r="B109" s="46"/>
      <x:c r="C109" s="46"/>
      <x:c r="D109" s="46"/>
      <x:c r="E109" s="46"/>
      <x:c r="F109" s="46"/>
      <x:c r="G109" s="46"/>
      <x:c r="H109" s="46"/>
      <x:c r="I109" s="46"/>
      <x:c r="J109" s="46"/>
      <x:c r="K109" s="46"/>
    </x:row>
    <x:row r="110">
      <x:c r="A110" s="46"/>
      <x:c r="B110" s="46"/>
      <x:c r="C110" s="46"/>
      <x:c r="D110" s="46"/>
      <x:c r="E110" s="46"/>
      <x:c r="F110" s="46"/>
      <x:c r="G110" s="46"/>
      <x:c r="H110" s="46"/>
      <x:c r="I110" s="46"/>
      <x:c r="J110" s="46"/>
      <x:c r="K110" s="46"/>
    </x:row>
    <x:row r="111">
      <x:c r="A111" s="46"/>
      <x:c r="B111" s="46"/>
      <x:c r="C111" s="46"/>
      <x:c r="D111" s="46"/>
      <x:c r="E111" s="46"/>
      <x:c r="F111" s="46"/>
      <x:c r="G111" s="46"/>
      <x:c r="H111" s="46"/>
      <x:c r="I111" s="46"/>
      <x:c r="J111" s="46"/>
      <x:c r="K111" s="46"/>
    </x:row>
    <x:row r="112">
      <x:c r="A112" s="46"/>
      <x:c r="B112" s="46"/>
      <x:c r="C112" s="46"/>
      <x:c r="D112" s="46"/>
      <x:c r="E112" s="46"/>
      <x:c r="F112" s="46"/>
      <x:c r="G112" s="46"/>
      <x:c r="H112" s="46"/>
      <x:c r="I112" s="46"/>
      <x:c r="J112" s="46"/>
      <x:c r="K112" s="46"/>
    </x:row>
    <x:row r="113">
      <x:c r="A113" s="46"/>
      <x:c r="B113" s="46"/>
      <x:c r="C113" s="46"/>
      <x:c r="D113" s="46"/>
      <x:c r="E113" s="46"/>
      <x:c r="F113" s="46"/>
      <x:c r="G113" s="46"/>
      <x:c r="H113" s="46"/>
      <x:c r="I113" s="46"/>
      <x:c r="J113" s="46"/>
      <x:c r="K113" s="46"/>
    </x:row>
    <x:row r="114">
      <x:c r="A114" s="46"/>
      <x:c r="B114" s="46"/>
      <x:c r="C114" s="46"/>
      <x:c r="D114" s="46"/>
      <x:c r="E114" s="46"/>
      <x:c r="F114" s="46"/>
      <x:c r="G114" s="46"/>
      <x:c r="H114" s="46"/>
      <x:c r="I114" s="46"/>
      <x:c r="J114" s="46"/>
      <x:c r="K114" s="46"/>
    </x:row>
    <x:row r="115">
      <x:c r="A115" s="46"/>
      <x:c r="B115" s="46"/>
      <x:c r="C115" s="46"/>
      <x:c r="D115" s="46"/>
      <x:c r="E115" s="46"/>
      <x:c r="F115" s="46"/>
      <x:c r="G115" s="46"/>
      <x:c r="H115" s="46"/>
      <x:c r="I115" s="46"/>
      <x:c r="J115" s="46"/>
      <x:c r="K115" s="46"/>
    </x:row>
    <x:row r="116">
      <x:c r="A116" s="46"/>
      <x:c r="B116" s="46"/>
      <x:c r="C116" s="46"/>
      <x:c r="D116" s="46"/>
      <x:c r="E116" s="46"/>
      <x:c r="F116" s="46"/>
      <x:c r="G116" s="46"/>
      <x:c r="H116" s="46"/>
      <x:c r="I116" s="46"/>
      <x:c r="J116" s="46"/>
      <x:c r="K116" s="46"/>
    </x:row>
    <x:row r="117">
      <x:c r="A117" s="46"/>
      <x:c r="B117" s="46"/>
      <x:c r="C117" s="46"/>
      <x:c r="D117" s="46"/>
      <x:c r="E117" s="46"/>
      <x:c r="F117" s="46"/>
      <x:c r="G117" s="46"/>
      <x:c r="H117" s="46"/>
      <x:c r="I117" s="46"/>
      <x:c r="J117" s="46"/>
      <x:c r="K117" s="46"/>
    </x:row>
    <x:row r="118">
      <x:c r="A118" s="46"/>
      <x:c r="B118" s="46"/>
      <x:c r="C118" s="46"/>
      <x:c r="D118" s="46"/>
      <x:c r="E118" s="46"/>
      <x:c r="F118" s="46"/>
      <x:c r="G118" s="46"/>
      <x:c r="H118" s="46"/>
      <x:c r="I118" s="46"/>
      <x:c r="J118" s="46"/>
      <x:c r="K118" s="46"/>
    </x:row>
    <x:row r="119">
      <x:c r="A119" s="46"/>
      <x:c r="B119" s="46"/>
      <x:c r="C119" s="46"/>
      <x:c r="D119" s="46"/>
      <x:c r="E119" s="46"/>
      <x:c r="F119" s="46"/>
      <x:c r="G119" s="46"/>
      <x:c r="H119" s="46"/>
      <x:c r="I119" s="46"/>
      <x:c r="J119" s="46"/>
      <x:c r="K119" s="46"/>
    </x:row>
    <x:row r="120">
      <x:c r="A120" s="46"/>
      <x:c r="B120" s="46"/>
      <x:c r="C120" s="46"/>
      <x:c r="D120" s="46"/>
      <x:c r="E120" s="46"/>
      <x:c r="F120" s="46"/>
      <x:c r="G120" s="46"/>
      <x:c r="H120" s="46"/>
      <x:c r="I120" s="46"/>
      <x:c r="J120" s="46"/>
      <x:c r="K120" s="46"/>
    </x:row>
    <x:row r="121">
      <x:c r="A121" s="46"/>
      <x:c r="B121" s="46"/>
      <x:c r="C121" s="46"/>
      <x:c r="D121" s="46"/>
      <x:c r="E121" s="46"/>
      <x:c r="F121" s="46"/>
      <x:c r="G121" s="46"/>
      <x:c r="H121" s="46"/>
      <x:c r="I121" s="46"/>
      <x:c r="J121" s="46"/>
      <x:c r="K121" s="46"/>
    </x:row>
    <x:row r="122">
      <x:c r="A122" s="46"/>
      <x:c r="B122" s="46"/>
      <x:c r="C122" s="46"/>
      <x:c r="D122" s="46"/>
      <x:c r="E122" s="46"/>
      <x:c r="F122" s="46"/>
      <x:c r="G122" s="46"/>
      <x:c r="H122" s="46"/>
      <x:c r="I122" s="46"/>
      <x:c r="J122" s="46"/>
      <x:c r="K122" s="46"/>
    </x:row>
    <x:row r="123">
      <x:c r="A123" s="46"/>
      <x:c r="B123" s="46"/>
      <x:c r="C123" s="46"/>
      <x:c r="D123" s="46"/>
      <x:c r="E123" s="46"/>
      <x:c r="F123" s="46"/>
      <x:c r="G123" s="46"/>
      <x:c r="H123" s="46"/>
      <x:c r="I123" s="46"/>
      <x:c r="J123" s="46"/>
      <x:c r="K123" s="46"/>
    </x:row>
    <x:row r="124">
      <x:c r="A124" s="46"/>
      <x:c r="B124" s="46"/>
      <x:c r="C124" s="46"/>
      <x:c r="D124" s="46"/>
      <x:c r="E124" s="46"/>
      <x:c r="F124" s="46"/>
      <x:c r="G124" s="46"/>
      <x:c r="H124" s="46"/>
      <x:c r="I124" s="46"/>
      <x:c r="J124" s="46"/>
      <x:c r="K124" s="46"/>
    </x:row>
    <x:row r="125">
      <x:c r="A125" s="46"/>
      <x:c r="B125" s="46"/>
      <x:c r="C125" s="46"/>
      <x:c r="D125" s="46"/>
      <x:c r="E125" s="46"/>
      <x:c r="F125" s="46"/>
      <x:c r="G125" s="46"/>
      <x:c r="H125" s="46"/>
      <x:c r="I125" s="46"/>
      <x:c r="J125" s="46"/>
      <x:c r="K125" s="46"/>
    </x:row>
    <x:row r="126">
      <x:c r="A126" s="46"/>
      <x:c r="B126" s="46"/>
      <x:c r="C126" s="46"/>
      <x:c r="D126" s="46"/>
      <x:c r="E126" s="46"/>
      <x:c r="F126" s="46"/>
      <x:c r="G126" s="46"/>
      <x:c r="H126" s="46"/>
      <x:c r="I126" s="46"/>
      <x:c r="J126" s="46"/>
      <x:c r="K126" s="46"/>
    </x:row>
    <x:row r="127">
      <x:c r="A127" s="46"/>
      <x:c r="B127" s="46"/>
      <x:c r="C127" s="46"/>
      <x:c r="D127" s="46"/>
      <x:c r="E127" s="46"/>
      <x:c r="F127" s="46"/>
      <x:c r="G127" s="46"/>
      <x:c r="H127" s="46"/>
      <x:c r="I127" s="46"/>
      <x:c r="J127" s="46"/>
      <x:c r="K127" s="46"/>
    </x:row>
    <x:row r="128">
      <x:c r="A128" s="46"/>
      <x:c r="B128" s="46"/>
      <x:c r="C128" s="46"/>
      <x:c r="D128" s="46"/>
      <x:c r="E128" s="46"/>
      <x:c r="F128" s="46"/>
      <x:c r="G128" s="46"/>
      <x:c r="H128" s="46"/>
      <x:c r="I128" s="46"/>
      <x:c r="J128" s="46"/>
      <x:c r="K128" s="46"/>
    </x:row>
    <x:row r="129">
      <x:c r="A129" s="46"/>
      <x:c r="B129" s="46"/>
      <x:c r="C129" s="46"/>
      <x:c r="D129" s="46"/>
      <x:c r="E129" s="46"/>
      <x:c r="F129" s="46"/>
      <x:c r="G129" s="46"/>
      <x:c r="H129" s="46"/>
      <x:c r="I129" s="46"/>
      <x:c r="J129" s="46"/>
      <x:c r="K129" s="46"/>
    </x:row>
    <x:row r="130">
      <x:c r="A130" s="46"/>
      <x:c r="B130" s="46"/>
      <x:c r="C130" s="46"/>
      <x:c r="D130" s="46"/>
      <x:c r="E130" s="46"/>
      <x:c r="F130" s="46"/>
      <x:c r="G130" s="46"/>
      <x:c r="H130" s="46"/>
      <x:c r="I130" s="46"/>
      <x:c r="J130" s="46"/>
      <x:c r="K130" s="46"/>
    </x:row>
    <x:row r="131">
      <x:c r="A131" s="46"/>
      <x:c r="B131" s="46"/>
      <x:c r="C131" s="46"/>
      <x:c r="D131" s="46"/>
      <x:c r="E131" s="46"/>
      <x:c r="F131" s="46"/>
      <x:c r="G131" s="46"/>
      <x:c r="H131" s="46"/>
      <x:c r="I131" s="46"/>
      <x:c r="J131" s="46"/>
      <x:c r="K131" s="46"/>
    </x:row>
    <x:row r="132">
      <x:c r="A132" s="46"/>
      <x:c r="B132" s="46"/>
      <x:c r="C132" s="46"/>
      <x:c r="D132" s="46"/>
      <x:c r="E132" s="46"/>
      <x:c r="F132" s="46"/>
      <x:c r="G132" s="46"/>
      <x:c r="H132" s="46"/>
      <x:c r="I132" s="46"/>
      <x:c r="J132" s="46"/>
      <x:c r="K132" s="46"/>
    </x:row>
    <x:row r="133">
      <x:c r="A133" s="46"/>
      <x:c r="B133" s="46"/>
      <x:c r="C133" s="46"/>
      <x:c r="D133" s="46"/>
      <x:c r="E133" s="46"/>
      <x:c r="F133" s="46"/>
      <x:c r="G133" s="46"/>
      <x:c r="H133" s="46"/>
      <x:c r="I133" s="46"/>
      <x:c r="J133" s="46"/>
      <x:c r="K133" s="46"/>
    </x:row>
    <x:row r="134">
      <x:c r="A134" s="46"/>
      <x:c r="B134" s="46"/>
      <x:c r="C134" s="46"/>
      <x:c r="D134" s="46"/>
      <x:c r="E134" s="46"/>
      <x:c r="F134" s="46"/>
      <x:c r="G134" s="46"/>
      <x:c r="H134" s="46"/>
      <x:c r="I134" s="46"/>
      <x:c r="J134" s="46"/>
      <x:c r="K134" s="46"/>
    </x:row>
    <x:row r="135">
      <x:c r="A135" s="46"/>
      <x:c r="B135" s="46"/>
      <x:c r="C135" s="46"/>
      <x:c r="D135" s="46"/>
      <x:c r="E135" s="46"/>
      <x:c r="F135" s="46"/>
      <x:c r="G135" s="46"/>
      <x:c r="H135" s="46"/>
      <x:c r="I135" s="46"/>
      <x:c r="J135" s="46"/>
      <x:c r="K135" s="46"/>
    </x:row>
    <x:row r="136">
      <x:c r="A136" s="46"/>
      <x:c r="B136" s="46"/>
      <x:c r="C136" s="46"/>
      <x:c r="D136" s="46"/>
      <x:c r="E136" s="46"/>
      <x:c r="F136" s="46"/>
      <x:c r="G136" s="46"/>
      <x:c r="H136" s="46"/>
      <x:c r="I136" s="46"/>
      <x:c r="J136" s="46"/>
      <x:c r="K136" s="46"/>
    </x:row>
    <x:row r="137">
      <x:c r="A137" s="46"/>
      <x:c r="B137" s="46"/>
      <x:c r="C137" s="46"/>
      <x:c r="D137" s="46"/>
      <x:c r="E137" s="46"/>
      <x:c r="F137" s="46"/>
      <x:c r="G137" s="46"/>
      <x:c r="H137" s="46"/>
      <x:c r="I137" s="46"/>
      <x:c r="J137" s="46"/>
      <x:c r="K137" s="46"/>
    </x:row>
    <x:row r="138">
      <x:c r="A138" s="46"/>
      <x:c r="B138" s="46"/>
      <x:c r="C138" s="46"/>
      <x:c r="D138" s="46"/>
      <x:c r="E138" s="46"/>
      <x:c r="F138" s="46"/>
      <x:c r="G138" s="46"/>
      <x:c r="H138" s="46"/>
      <x:c r="I138" s="46"/>
      <x:c r="J138" s="46"/>
      <x:c r="K138" s="46"/>
    </x:row>
    <x:row r="139">
      <x:c r="A139" s="46"/>
      <x:c r="B139" s="46"/>
      <x:c r="C139" s="46"/>
      <x:c r="D139" s="46"/>
      <x:c r="E139" s="46"/>
      <x:c r="F139" s="46"/>
      <x:c r="G139" s="46"/>
      <x:c r="H139" s="46"/>
      <x:c r="I139" s="46"/>
      <x:c r="J139" s="46"/>
      <x:c r="K139" s="46"/>
    </x:row>
    <x:row r="140">
      <x:c r="A140" s="46"/>
      <x:c r="B140" s="46"/>
      <x:c r="C140" s="46"/>
      <x:c r="D140" s="46"/>
      <x:c r="E140" s="46"/>
      <x:c r="F140" s="46"/>
      <x:c r="G140" s="46"/>
      <x:c r="H140" s="46"/>
      <x:c r="I140" s="46"/>
      <x:c r="J140" s="46"/>
      <x:c r="K140" s="46"/>
    </x:row>
    <x:row r="141">
      <x:c r="A141" s="46"/>
      <x:c r="B141" s="46"/>
      <x:c r="C141" s="46"/>
      <x:c r="D141" s="46"/>
      <x:c r="E141" s="46"/>
      <x:c r="F141" s="46"/>
      <x:c r="G141" s="46"/>
      <x:c r="H141" s="46"/>
      <x:c r="I141" s="46"/>
      <x:c r="J141" s="46"/>
      <x:c r="K141" s="46"/>
    </x:row>
    <x:row r="142">
      <x:c r="A142" s="46"/>
      <x:c r="B142" s="46"/>
      <x:c r="C142" s="46"/>
      <x:c r="D142" s="46"/>
      <x:c r="E142" s="46"/>
      <x:c r="F142" s="46"/>
      <x:c r="G142" s="46"/>
      <x:c r="H142" s="46"/>
      <x:c r="I142" s="46"/>
      <x:c r="J142" s="46"/>
      <x:c r="K142" s="46"/>
    </x:row>
    <x:row r="143">
      <x:c r="A143" s="46"/>
      <x:c r="B143" s="46"/>
      <x:c r="C143" s="46"/>
      <x:c r="D143" s="46"/>
      <x:c r="E143" s="46"/>
      <x:c r="F143" s="46"/>
      <x:c r="G143" s="46"/>
      <x:c r="H143" s="46"/>
      <x:c r="I143" s="46"/>
      <x:c r="J143" s="46"/>
      <x:c r="K143" s="46"/>
    </x:row>
    <x:row r="144">
      <x:c r="A144" s="46"/>
      <x:c r="B144" s="46"/>
      <x:c r="C144" s="46"/>
      <x:c r="D144" s="46"/>
      <x:c r="E144" s="46"/>
      <x:c r="F144" s="46"/>
      <x:c r="G144" s="46"/>
      <x:c r="H144" s="46"/>
      <x:c r="I144" s="46"/>
      <x:c r="J144" s="46"/>
      <x:c r="K144" s="46"/>
    </x:row>
    <x:row r="145">
      <x:c r="A145" s="46"/>
      <x:c r="B145" s="46"/>
      <x:c r="C145" s="46"/>
      <x:c r="D145" s="46"/>
      <x:c r="E145" s="46"/>
      <x:c r="F145" s="46"/>
      <x:c r="G145" s="46"/>
      <x:c r="H145" s="46"/>
      <x:c r="I145" s="46"/>
      <x:c r="J145" s="46"/>
      <x:c r="K145" s="46"/>
    </x:row>
    <x:row r="146">
      <x:c r="A146" s="46"/>
      <x:c r="B146" s="46"/>
      <x:c r="C146" s="46"/>
      <x:c r="D146" s="46"/>
      <x:c r="E146" s="46"/>
      <x:c r="F146" s="46"/>
      <x:c r="G146" s="46"/>
      <x:c r="H146" s="46"/>
      <x:c r="I146" s="46"/>
      <x:c r="J146" s="46"/>
      <x:c r="K146" s="46"/>
    </x:row>
    <x:row r="147">
      <x:c r="A147" s="46"/>
      <x:c r="B147" s="46"/>
      <x:c r="C147" s="46"/>
      <x:c r="D147" s="46"/>
      <x:c r="E147" s="46"/>
      <x:c r="F147" s="46"/>
      <x:c r="G147" s="46"/>
      <x:c r="H147" s="46"/>
      <x:c r="I147" s="46"/>
      <x:c r="J147" s="46"/>
      <x:c r="K147" s="46"/>
    </x:row>
    <x:row r="148">
      <x:c r="A148" s="46"/>
      <x:c r="B148" s="46"/>
      <x:c r="C148" s="46"/>
      <x:c r="D148" s="46"/>
      <x:c r="E148" s="46"/>
      <x:c r="F148" s="46"/>
      <x:c r="G148" s="46"/>
      <x:c r="H148" s="46"/>
      <x:c r="I148" s="46"/>
      <x:c r="J148" s="46"/>
      <x:c r="K148" s="46"/>
    </x:row>
    <x:row r="149">
      <x:c r="A149" s="46"/>
      <x:c r="B149" s="46"/>
      <x:c r="C149" s="46"/>
      <x:c r="D149" s="46"/>
      <x:c r="E149" s="46"/>
      <x:c r="F149" s="46"/>
      <x:c r="G149" s="46"/>
      <x:c r="H149" s="46"/>
      <x:c r="I149" s="46"/>
      <x:c r="J149" s="46"/>
      <x:c r="K149" s="46"/>
    </x:row>
    <x:row r="150">
      <x:c r="A150" s="46"/>
      <x:c r="B150" s="46"/>
      <x:c r="C150" s="46"/>
      <x:c r="D150" s="46"/>
      <x:c r="E150" s="46"/>
      <x:c r="F150" s="46"/>
      <x:c r="G150" s="46"/>
      <x:c r="H150" s="46"/>
      <x:c r="I150" s="46"/>
      <x:c r="J150" s="46"/>
      <x:c r="K150" s="46"/>
    </x:row>
    <x:row r="151">
      <x:c r="A151" s="46"/>
      <x:c r="B151" s="46"/>
      <x:c r="C151" s="46"/>
      <x:c r="D151" s="46"/>
      <x:c r="E151" s="46"/>
      <x:c r="F151" s="46"/>
      <x:c r="G151" s="46"/>
      <x:c r="H151" s="46"/>
      <x:c r="I151" s="46"/>
      <x:c r="J151" s="46"/>
      <x:c r="K151" s="46"/>
    </x:row>
    <x:row r="152">
      <x:c r="A152" s="46"/>
      <x:c r="B152" s="46"/>
      <x:c r="C152" s="46"/>
      <x:c r="D152" s="46"/>
      <x:c r="E152" s="46"/>
      <x:c r="F152" s="46"/>
      <x:c r="G152" s="46"/>
      <x:c r="H152" s="46"/>
      <x:c r="I152" s="46"/>
      <x:c r="J152" s="46"/>
      <x:c r="K152" s="46"/>
    </x:row>
    <x:row r="153">
      <x:c r="A153" s="46"/>
      <x:c r="B153" s="46"/>
      <x:c r="C153" s="46"/>
      <x:c r="D153" s="46"/>
      <x:c r="E153" s="46"/>
      <x:c r="F153" s="46"/>
      <x:c r="G153" s="46"/>
      <x:c r="H153" s="46"/>
      <x:c r="I153" s="46"/>
      <x:c r="J153" s="46"/>
      <x:c r="K153" s="46"/>
    </x:row>
    <x:row r="154">
      <x:c r="A154" s="46"/>
      <x:c r="B154" s="46"/>
      <x:c r="C154" s="46"/>
      <x:c r="D154" s="46"/>
      <x:c r="E154" s="46"/>
      <x:c r="F154" s="46"/>
      <x:c r="G154" s="46"/>
      <x:c r="H154" s="46"/>
      <x:c r="I154" s="46"/>
      <x:c r="J154" s="46"/>
      <x:c r="K154" s="46"/>
    </x:row>
    <x:row r="155">
      <x:c r="A155" s="46"/>
      <x:c r="B155" s="46"/>
      <x:c r="C155" s="46"/>
      <x:c r="D155" s="46"/>
      <x:c r="E155" s="46"/>
      <x:c r="F155" s="46"/>
      <x:c r="G155" s="46"/>
      <x:c r="H155" s="46"/>
      <x:c r="I155" s="46"/>
      <x:c r="J155" s="46"/>
      <x:c r="K155" s="46"/>
    </x:row>
    <x:row r="156">
      <x:c r="A156" s="46"/>
      <x:c r="B156" s="46"/>
      <x:c r="C156" s="46"/>
      <x:c r="D156" s="46"/>
      <x:c r="E156" s="46"/>
      <x:c r="F156" s="46"/>
      <x:c r="G156" s="46"/>
      <x:c r="H156" s="46"/>
      <x:c r="I156" s="46"/>
      <x:c r="J156" s="46"/>
      <x:c r="K156" s="46"/>
    </x:row>
    <x:row r="157">
      <x:c r="A157" s="46"/>
      <x:c r="B157" s="46"/>
      <x:c r="C157" s="46"/>
      <x:c r="D157" s="46"/>
      <x:c r="E157" s="46"/>
      <x:c r="F157" s="46"/>
      <x:c r="G157" s="46"/>
      <x:c r="H157" s="46"/>
      <x:c r="I157" s="46"/>
      <x:c r="J157" s="46"/>
      <x:c r="K157" s="46"/>
    </x:row>
    <x:row r="158">
      <x:c r="A158" s="46"/>
      <x:c r="B158" s="46"/>
      <x:c r="C158" s="46"/>
      <x:c r="D158" s="46"/>
      <x:c r="E158" s="46"/>
      <x:c r="F158" s="46"/>
      <x:c r="G158" s="46"/>
      <x:c r="H158" s="46"/>
      <x:c r="I158" s="46"/>
      <x:c r="J158" s="46"/>
      <x:c r="K158" s="46"/>
    </x:row>
    <x:row r="159">
      <x:c r="A159" s="46"/>
      <x:c r="B159" s="46"/>
      <x:c r="C159" s="46"/>
      <x:c r="D159" s="46"/>
      <x:c r="E159" s="46"/>
      <x:c r="F159" s="46"/>
      <x:c r="G159" s="46"/>
      <x:c r="H159" s="46"/>
      <x:c r="I159" s="46"/>
      <x:c r="J159" s="46"/>
      <x:c r="K159" s="46"/>
    </x:row>
    <x:row r="160">
      <x:c r="A160" s="46"/>
      <x:c r="B160" s="46"/>
      <x:c r="C160" s="46"/>
      <x:c r="D160" s="46"/>
      <x:c r="E160" s="46"/>
      <x:c r="F160" s="46"/>
      <x:c r="G160" s="46"/>
      <x:c r="H160" s="46"/>
      <x:c r="I160" s="46"/>
      <x:c r="J160" s="46"/>
      <x:c r="K160" s="46"/>
    </x:row>
    <x:row r="161">
      <x:c r="A161" s="46"/>
      <x:c r="B161" s="46"/>
      <x:c r="C161" s="46"/>
      <x:c r="D161" s="46"/>
      <x:c r="E161" s="46"/>
      <x:c r="F161" s="46"/>
      <x:c r="G161" s="46"/>
      <x:c r="H161" s="46"/>
      <x:c r="I161" s="46"/>
      <x:c r="J161" s="46"/>
      <x:c r="K161" s="46"/>
    </x:row>
    <x:row r="162">
      <x:c r="A162" s="46"/>
      <x:c r="B162" s="46"/>
      <x:c r="C162" s="46"/>
      <x:c r="D162" s="46"/>
      <x:c r="E162" s="46"/>
      <x:c r="F162" s="46"/>
      <x:c r="G162" s="46"/>
      <x:c r="H162" s="46"/>
      <x:c r="I162" s="46"/>
      <x:c r="J162" s="46"/>
      <x:c r="K162" s="46"/>
    </x:row>
    <x:row r="163">
      <x:c r="A163" s="46"/>
      <x:c r="B163" s="46"/>
      <x:c r="C163" s="46"/>
      <x:c r="D163" s="46"/>
      <x:c r="E163" s="46"/>
      <x:c r="F163" s="46"/>
      <x:c r="G163" s="46"/>
      <x:c r="H163" s="46"/>
      <x:c r="I163" s="46"/>
      <x:c r="J163" s="46"/>
      <x:c r="K163" s="46"/>
    </x:row>
    <x:row r="164">
      <x:c r="A164" s="46"/>
      <x:c r="B164" s="46"/>
      <x:c r="C164" s="46"/>
      <x:c r="D164" s="46"/>
      <x:c r="E164" s="46"/>
      <x:c r="F164" s="46"/>
      <x:c r="G164" s="46"/>
      <x:c r="H164" s="46"/>
      <x:c r="I164" s="46"/>
      <x:c r="J164" s="46"/>
      <x:c r="K164" s="46"/>
    </x:row>
    <x:row r="165">
      <x:c r="A165" s="46"/>
      <x:c r="B165" s="46"/>
      <x:c r="C165" s="46"/>
      <x:c r="D165" s="46"/>
      <x:c r="E165" s="46"/>
      <x:c r="F165" s="46"/>
      <x:c r="G165" s="46"/>
      <x:c r="H165" s="46"/>
      <x:c r="I165" s="46"/>
      <x:c r="J165" s="46"/>
      <x:c r="K165" s="46"/>
    </x:row>
    <x:row r="166">
      <x:c r="A166" s="46"/>
      <x:c r="B166" s="46"/>
      <x:c r="C166" s="46"/>
      <x:c r="D166" s="46"/>
      <x:c r="E166" s="46"/>
      <x:c r="F166" s="46"/>
      <x:c r="G166" s="46"/>
      <x:c r="H166" s="46"/>
      <x:c r="I166" s="46"/>
      <x:c r="J166" s="46"/>
      <x:c r="K166" s="46"/>
    </x:row>
    <x:row r="167">
      <x:c r="A167" s="46"/>
      <x:c r="B167" s="46"/>
      <x:c r="C167" s="46"/>
      <x:c r="D167" s="46"/>
      <x:c r="E167" s="46"/>
      <x:c r="F167" s="46"/>
      <x:c r="G167" s="46"/>
      <x:c r="H167" s="46"/>
      <x:c r="I167" s="46"/>
      <x:c r="J167" s="46"/>
      <x:c r="K167" s="46"/>
    </x:row>
    <x:row r="168">
      <x:c r="A168" s="46"/>
      <x:c r="B168" s="46"/>
      <x:c r="C168" s="46"/>
      <x:c r="D168" s="46"/>
      <x:c r="E168" s="46"/>
      <x:c r="F168" s="46"/>
      <x:c r="G168" s="46"/>
      <x:c r="H168" s="46"/>
      <x:c r="I168" s="46"/>
      <x:c r="J168" s="46"/>
      <x:c r="K168" s="46"/>
    </x:row>
    <x:row r="169">
      <x:c r="A169" s="46"/>
      <x:c r="B169" s="46"/>
      <x:c r="C169" s="46"/>
      <x:c r="D169" s="46"/>
      <x:c r="E169" s="46"/>
      <x:c r="F169" s="46"/>
      <x:c r="G169" s="46"/>
      <x:c r="H169" s="46"/>
      <x:c r="I169" s="46"/>
      <x:c r="J169" s="46"/>
      <x:c r="K169" s="46"/>
    </x:row>
    <x:row r="170">
      <x:c r="A170" s="46"/>
      <x:c r="B170" s="46"/>
      <x:c r="C170" s="46"/>
      <x:c r="D170" s="46"/>
      <x:c r="E170" s="46"/>
      <x:c r="F170" s="46"/>
      <x:c r="G170" s="46"/>
      <x:c r="H170" s="46"/>
      <x:c r="I170" s="46"/>
      <x:c r="J170" s="46"/>
      <x:c r="K170" s="46"/>
    </x:row>
    <x:row r="171">
      <x:c r="A171" s="46"/>
      <x:c r="B171" s="46"/>
      <x:c r="C171" s="46"/>
      <x:c r="D171" s="46"/>
      <x:c r="E171" s="46"/>
      <x:c r="F171" s="46"/>
      <x:c r="G171" s="46"/>
      <x:c r="H171" s="46"/>
      <x:c r="I171" s="46"/>
      <x:c r="J171" s="46"/>
      <x:c r="K171" s="46"/>
    </x:row>
    <x:row r="172">
      <x:c r="A172" s="46"/>
      <x:c r="B172" s="46"/>
      <x:c r="C172" s="46"/>
      <x:c r="D172" s="46"/>
      <x:c r="E172" s="46"/>
      <x:c r="F172" s="46"/>
      <x:c r="G172" s="46"/>
      <x:c r="H172" s="46"/>
      <x:c r="I172" s="46"/>
      <x:c r="J172" s="46"/>
      <x:c r="K172" s="46"/>
    </x:row>
    <x:row r="173">
      <x:c r="A173" s="46"/>
      <x:c r="B173" s="46"/>
      <x:c r="C173" s="46"/>
      <x:c r="D173" s="46"/>
      <x:c r="E173" s="46"/>
      <x:c r="F173" s="46"/>
      <x:c r="G173" s="46"/>
      <x:c r="H173" s="46"/>
      <x:c r="I173" s="46"/>
      <x:c r="J173" s="46"/>
      <x:c r="K173" s="46"/>
    </x:row>
    <x:row r="174">
      <x:c r="A174" s="46"/>
      <x:c r="B174" s="46"/>
      <x:c r="C174" s="46"/>
      <x:c r="D174" s="46"/>
      <x:c r="E174" s="46"/>
      <x:c r="F174" s="46"/>
      <x:c r="G174" s="46"/>
      <x:c r="H174" s="46"/>
      <x:c r="I174" s="46"/>
      <x:c r="J174" s="46"/>
      <x:c r="K174" s="46"/>
    </x:row>
    <x:row r="175">
      <x:c r="A175" s="46"/>
      <x:c r="B175" s="46"/>
      <x:c r="C175" s="46"/>
      <x:c r="D175" s="46"/>
      <x:c r="E175" s="46"/>
      <x:c r="F175" s="46"/>
      <x:c r="G175" s="46"/>
      <x:c r="H175" s="46"/>
      <x:c r="I175" s="46"/>
      <x:c r="J175" s="46"/>
      <x:c r="K175" s="46"/>
    </x:row>
    <x:row r="176">
      <x:c r="A176" s="46"/>
      <x:c r="B176" s="46"/>
      <x:c r="C176" s="46"/>
      <x:c r="D176" s="46"/>
      <x:c r="E176" s="46"/>
      <x:c r="F176" s="46"/>
      <x:c r="G176" s="46"/>
      <x:c r="H176" s="46"/>
      <x:c r="I176" s="46"/>
      <x:c r="J176" s="46"/>
      <x:c r="K176" s="46"/>
    </x:row>
    <x:row r="177">
      <x:c r="A177" s="46"/>
      <x:c r="B177" s="46"/>
      <x:c r="C177" s="46"/>
      <x:c r="D177" s="46"/>
      <x:c r="E177" s="46"/>
      <x:c r="F177" s="46"/>
      <x:c r="G177" s="46"/>
      <x:c r="H177" s="46"/>
      <x:c r="I177" s="46"/>
      <x:c r="J177" s="46"/>
      <x:c r="K177" s="46"/>
    </x:row>
    <x:row r="178">
      <x:c r="A178" s="46"/>
      <x:c r="B178" s="46"/>
      <x:c r="C178" s="46"/>
      <x:c r="D178" s="46"/>
      <x:c r="E178" s="46"/>
      <x:c r="F178" s="46"/>
      <x:c r="G178" s="46"/>
      <x:c r="H178" s="46"/>
      <x:c r="I178" s="46"/>
      <x:c r="J178" s="46"/>
      <x:c r="K178" s="46"/>
    </x:row>
    <x:row r="179">
      <x:c r="A179" s="46"/>
      <x:c r="B179" s="46"/>
      <x:c r="C179" s="46"/>
      <x:c r="D179" s="46"/>
      <x:c r="E179" s="46"/>
      <x:c r="F179" s="46"/>
      <x:c r="G179" s="46"/>
      <x:c r="H179" s="46"/>
      <x:c r="I179" s="46"/>
      <x:c r="J179" s="46"/>
      <x:c r="K179" s="46"/>
    </x:row>
    <x:row r="180">
      <x:c r="A180" s="46"/>
      <x:c r="B180" s="46"/>
      <x:c r="C180" s="46"/>
      <x:c r="D180" s="46"/>
      <x:c r="E180" s="46"/>
      <x:c r="F180" s="46"/>
      <x:c r="G180" s="46"/>
      <x:c r="H180" s="46"/>
      <x:c r="I180" s="46"/>
      <x:c r="J180" s="46"/>
      <x:c r="K180" s="46"/>
    </x:row>
    <x:row r="181">
      <x:c r="A181" s="46"/>
      <x:c r="B181" s="46"/>
      <x:c r="C181" s="46"/>
      <x:c r="D181" s="46"/>
      <x:c r="E181" s="46"/>
      <x:c r="F181" s="46"/>
      <x:c r="G181" s="46"/>
      <x:c r="H181" s="46"/>
      <x:c r="I181" s="46"/>
      <x:c r="J181" s="46"/>
      <x:c r="K181" s="46"/>
    </x:row>
    <x:row r="182">
      <x:c r="A182" s="46"/>
      <x:c r="B182" s="46"/>
      <x:c r="C182" s="46"/>
      <x:c r="D182" s="46"/>
      <x:c r="E182" s="46"/>
      <x:c r="F182" s="46"/>
      <x:c r="G182" s="46"/>
      <x:c r="H182" s="46"/>
      <x:c r="I182" s="46"/>
      <x:c r="J182" s="46"/>
      <x:c r="K182" s="46"/>
    </x:row>
    <x:row r="183">
      <x:c r="A183" s="46"/>
      <x:c r="B183" s="46"/>
      <x:c r="C183" s="46"/>
      <x:c r="D183" s="46"/>
      <x:c r="E183" s="46"/>
      <x:c r="F183" s="46"/>
      <x:c r="G183" s="46"/>
      <x:c r="H183" s="46"/>
      <x:c r="I183" s="46"/>
      <x:c r="J183" s="46"/>
      <x:c r="K183" s="46"/>
    </x:row>
    <x:row r="184">
      <x:c r="A184" s="46"/>
      <x:c r="B184" s="46"/>
      <x:c r="C184" s="46"/>
      <x:c r="D184" s="46"/>
      <x:c r="E184" s="46"/>
      <x:c r="F184" s="46"/>
      <x:c r="G184" s="46"/>
      <x:c r="H184" s="46"/>
      <x:c r="I184" s="46"/>
      <x:c r="J184" s="46"/>
      <x:c r="K184" s="46"/>
    </x:row>
    <x:row r="185">
      <x:c r="A185" s="46"/>
      <x:c r="B185" s="46"/>
      <x:c r="C185" s="46"/>
      <x:c r="D185" s="46"/>
      <x:c r="E185" s="46"/>
      <x:c r="F185" s="46"/>
      <x:c r="G185" s="46"/>
      <x:c r="H185" s="46"/>
      <x:c r="I185" s="46"/>
      <x:c r="J185" s="46"/>
      <x:c r="K185" s="46"/>
    </x:row>
    <x:row r="186">
      <x:c r="A186" s="46"/>
      <x:c r="B186" s="46"/>
      <x:c r="C186" s="46"/>
      <x:c r="D186" s="46"/>
      <x:c r="E186" s="46"/>
      <x:c r="F186" s="46"/>
      <x:c r="G186" s="46"/>
      <x:c r="H186" s="46"/>
      <x:c r="I186" s="46"/>
      <x:c r="J186" s="46"/>
      <x:c r="K186" s="46"/>
    </x:row>
    <x:row r="187">
      <x:c r="A187" s="46"/>
      <x:c r="B187" s="46"/>
      <x:c r="C187" s="46"/>
      <x:c r="D187" s="46"/>
      <x:c r="E187" s="46"/>
      <x:c r="F187" s="46"/>
      <x:c r="G187" s="46"/>
      <x:c r="H187" s="46"/>
      <x:c r="I187" s="46"/>
      <x:c r="J187" s="46"/>
      <x:c r="K187" s="46"/>
    </x:row>
    <x:row r="188">
      <x:c r="A188" s="46"/>
      <x:c r="B188" s="46"/>
      <x:c r="C188" s="46"/>
      <x:c r="D188" s="46"/>
      <x:c r="E188" s="46"/>
      <x:c r="F188" s="46"/>
      <x:c r="G188" s="46"/>
      <x:c r="H188" s="46"/>
      <x:c r="I188" s="46"/>
      <x:c r="J188" s="46"/>
      <x:c r="K188" s="46"/>
    </x:row>
    <x:row r="189">
      <x:c r="A189" s="46"/>
      <x:c r="B189" s="46"/>
      <x:c r="C189" s="46"/>
      <x:c r="D189" s="46"/>
      <x:c r="E189" s="46"/>
      <x:c r="F189" s="46"/>
      <x:c r="G189" s="46"/>
      <x:c r="H189" s="46"/>
      <x:c r="I189" s="46"/>
      <x:c r="J189" s="46"/>
      <x:c r="K189" s="46"/>
    </x:row>
    <x:row r="190">
      <x:c r="A190" s="46"/>
      <x:c r="B190" s="46"/>
      <x:c r="C190" s="46"/>
      <x:c r="D190" s="46"/>
      <x:c r="E190" s="46"/>
      <x:c r="F190" s="46"/>
      <x:c r="G190" s="46"/>
      <x:c r="H190" s="46"/>
      <x:c r="I190" s="46"/>
      <x:c r="J190" s="46"/>
      <x:c r="K190" s="46"/>
    </x:row>
    <x:row r="191">
      <x:c r="A191" s="46"/>
      <x:c r="B191" s="46"/>
      <x:c r="C191" s="46"/>
      <x:c r="D191" s="46"/>
      <x:c r="E191" s="46"/>
      <x:c r="F191" s="46"/>
      <x:c r="G191" s="46"/>
      <x:c r="H191" s="46"/>
      <x:c r="I191" s="46"/>
      <x:c r="J191" s="46"/>
      <x:c r="K191" s="46"/>
    </x:row>
    <x:row r="192">
      <x:c r="A192" s="46"/>
      <x:c r="B192" s="46"/>
      <x:c r="C192" s="46"/>
      <x:c r="D192" s="46"/>
      <x:c r="E192" s="46"/>
      <x:c r="F192" s="46"/>
      <x:c r="G192" s="46"/>
      <x:c r="H192" s="46"/>
      <x:c r="I192" s="46"/>
      <x:c r="J192" s="46"/>
      <x:c r="K192" s="46"/>
    </x:row>
    <x:row r="193">
      <x:c r="A193" s="46"/>
      <x:c r="B193" s="46"/>
      <x:c r="C193" s="46"/>
      <x:c r="D193" s="46"/>
      <x:c r="E193" s="46"/>
      <x:c r="F193" s="46"/>
      <x:c r="G193" s="46"/>
      <x:c r="H193" s="46"/>
      <x:c r="I193" s="46"/>
      <x:c r="J193" s="46"/>
      <x:c r="K193" s="46"/>
    </x:row>
    <x:row r="194">
      <x:c r="A194" s="46"/>
      <x:c r="B194" s="46"/>
      <x:c r="C194" s="46"/>
      <x:c r="D194" s="46"/>
      <x:c r="E194" s="46"/>
      <x:c r="F194" s="46"/>
      <x:c r="G194" s="46"/>
      <x:c r="H194" s="46"/>
      <x:c r="I194" s="46"/>
      <x:c r="J194" s="46"/>
      <x:c r="K194" s="46"/>
    </x:row>
    <x:row r="195">
      <x:c r="A195" s="46"/>
      <x:c r="B195" s="46"/>
      <x:c r="C195" s="46"/>
      <x:c r="D195" s="46"/>
      <x:c r="E195" s="46"/>
      <x:c r="F195" s="46"/>
      <x:c r="G195" s="46"/>
      <x:c r="H195" s="46"/>
      <x:c r="I195" s="46"/>
      <x:c r="J195" s="46"/>
      <x:c r="K195" s="46"/>
    </x:row>
    <x:row r="196">
      <x:c r="A196" s="46"/>
      <x:c r="B196" s="46"/>
      <x:c r="C196" s="46"/>
      <x:c r="D196" s="46"/>
      <x:c r="E196" s="46"/>
      <x:c r="F196" s="46"/>
      <x:c r="G196" s="46"/>
      <x:c r="H196" s="46"/>
      <x:c r="I196" s="46"/>
      <x:c r="J196" s="46"/>
      <x:c r="K196" s="46"/>
    </x:row>
    <x:row r="197">
      <x:c r="A197" s="46"/>
      <x:c r="B197" s="46"/>
      <x:c r="C197" s="46"/>
      <x:c r="D197" s="46"/>
      <x:c r="E197" s="46"/>
      <x:c r="F197" s="46"/>
      <x:c r="G197" s="46"/>
      <x:c r="H197" s="46"/>
      <x:c r="I197" s="46"/>
      <x:c r="J197" s="46"/>
      <x:c r="K197" s="46"/>
    </x:row>
    <x:row r="198">
      <x:c r="A198" s="46"/>
      <x:c r="B198" s="46"/>
      <x:c r="C198" s="46"/>
      <x:c r="D198" s="46"/>
      <x:c r="E198" s="46"/>
      <x:c r="F198" s="46"/>
      <x:c r="G198" s="46"/>
      <x:c r="H198" s="46"/>
      <x:c r="I198" s="46"/>
      <x:c r="J198" s="46"/>
      <x:c r="K198" s="46"/>
    </x:row>
    <x:row r="199">
      <x:c r="A199" s="46"/>
      <x:c r="B199" s="46"/>
      <x:c r="C199" s="46"/>
      <x:c r="D199" s="46"/>
      <x:c r="E199" s="46"/>
      <x:c r="F199" s="46"/>
      <x:c r="G199" s="46"/>
      <x:c r="H199" s="46"/>
      <x:c r="I199" s="46"/>
      <x:c r="J199" s="46"/>
      <x:c r="K199" s="46"/>
    </x:row>
    <x:row r="200">
      <x:c r="A200" s="46"/>
      <x:c r="B200" s="46"/>
      <x:c r="C200" s="46"/>
      <x:c r="D200" s="46"/>
      <x:c r="E200" s="46"/>
      <x:c r="F200" s="46"/>
      <x:c r="G200" s="46"/>
      <x:c r="H200" s="46"/>
      <x:c r="I200" s="46"/>
      <x:c r="J200" s="46"/>
      <x:c r="K200" s="46"/>
    </x:row>
    <x:row r="201">
      <x:c r="A201" s="46"/>
      <x:c r="B201" s="46"/>
      <x:c r="C201" s="46"/>
      <x:c r="D201" s="46"/>
      <x:c r="E201" s="46"/>
      <x:c r="F201" s="46"/>
      <x:c r="G201" s="46"/>
      <x:c r="H201" s="46"/>
      <x:c r="I201" s="46"/>
      <x:c r="J201" s="46"/>
      <x:c r="K201" s="46"/>
    </x:row>
    <x:row r="202">
      <x:c r="A202" s="46"/>
      <x:c r="B202" s="46"/>
      <x:c r="C202" s="46"/>
      <x:c r="D202" s="46"/>
      <x:c r="E202" s="46"/>
      <x:c r="F202" s="46"/>
      <x:c r="G202" s="46"/>
      <x:c r="H202" s="46"/>
      <x:c r="I202" s="46"/>
      <x:c r="J202" s="46"/>
      <x:c r="K202" s="46"/>
    </x:row>
    <x:row r="203">
      <x:c r="A203" s="46"/>
      <x:c r="B203" s="46"/>
      <x:c r="C203" s="46"/>
      <x:c r="D203" s="46"/>
      <x:c r="E203" s="46"/>
      <x:c r="F203" s="46"/>
      <x:c r="G203" s="46"/>
      <x:c r="H203" s="46"/>
      <x:c r="I203" s="46"/>
      <x:c r="J203" s="46"/>
      <x:c r="K203" s="46"/>
    </x:row>
    <x:row r="204">
      <x:c r="A204" s="46"/>
      <x:c r="B204" s="46"/>
      <x:c r="C204" s="46"/>
      <x:c r="D204" s="46"/>
      <x:c r="E204" s="46"/>
      <x:c r="F204" s="46"/>
      <x:c r="G204" s="46"/>
      <x:c r="H204" s="46"/>
      <x:c r="I204" s="46"/>
      <x:c r="J204" s="46"/>
      <x:c r="K204" s="46"/>
    </x:row>
    <x:row r="205">
      <x:c r="A205" s="46"/>
      <x:c r="B205" s="46"/>
      <x:c r="C205" s="46"/>
      <x:c r="D205" s="46"/>
      <x:c r="E205" s="46"/>
      <x:c r="F205" s="46"/>
      <x:c r="G205" s="46"/>
      <x:c r="H205" s="46"/>
      <x:c r="I205" s="46"/>
      <x:c r="J205" s="46"/>
      <x:c r="K205" s="46"/>
    </x:row>
    <x:row r="206">
      <x:c r="A206" s="46"/>
      <x:c r="B206" s="46"/>
      <x:c r="C206" s="46"/>
      <x:c r="D206" s="46"/>
      <x:c r="E206" s="46"/>
      <x:c r="F206" s="46"/>
      <x:c r="G206" s="46"/>
      <x:c r="H206" s="46"/>
      <x:c r="I206" s="46"/>
      <x:c r="J206" s="46"/>
      <x:c r="K206" s="46"/>
    </x:row>
    <x:row r="207">
      <x:c r="A207" s="46"/>
      <x:c r="B207" s="46"/>
      <x:c r="C207" s="46"/>
      <x:c r="D207" s="46"/>
      <x:c r="E207" s="46"/>
      <x:c r="F207" s="46"/>
      <x:c r="G207" s="46"/>
      <x:c r="H207" s="46"/>
      <x:c r="I207" s="46"/>
      <x:c r="J207" s="46"/>
      <x:c r="K207" s="46"/>
    </x:row>
    <x:row r="208">
      <x:c r="A208" s="46"/>
      <x:c r="B208" s="46"/>
      <x:c r="C208" s="46"/>
      <x:c r="D208" s="46"/>
      <x:c r="E208" s="46"/>
      <x:c r="F208" s="46"/>
      <x:c r="G208" s="46"/>
      <x:c r="H208" s="46"/>
      <x:c r="I208" s="46"/>
      <x:c r="J208" s="46"/>
      <x:c r="K208" s="46"/>
    </x:row>
    <x:row r="209">
      <x:c r="A209" s="46"/>
      <x:c r="B209" s="46"/>
      <x:c r="C209" s="46"/>
      <x:c r="D209" s="46"/>
      <x:c r="E209" s="46"/>
      <x:c r="F209" s="46"/>
      <x:c r="G209" s="46"/>
      <x:c r="H209" s="46"/>
      <x:c r="I209" s="46"/>
      <x:c r="J209" s="46"/>
      <x:c r="K209" s="46"/>
    </x:row>
    <x:row r="210">
      <x:c r="A210" s="46"/>
      <x:c r="B210" s="46"/>
      <x:c r="C210" s="46"/>
      <x:c r="D210" s="46"/>
      <x:c r="E210" s="46"/>
      <x:c r="F210" s="46"/>
      <x:c r="G210" s="46"/>
      <x:c r="H210" s="46"/>
      <x:c r="I210" s="46"/>
      <x:c r="J210" s="46"/>
      <x:c r="K210" s="46"/>
    </x:row>
    <x:row r="211">
      <x:c r="A211" s="46"/>
      <x:c r="B211" s="46"/>
      <x:c r="C211" s="46"/>
      <x:c r="D211" s="46"/>
      <x:c r="E211" s="46"/>
      <x:c r="F211" s="46"/>
      <x:c r="G211" s="46"/>
      <x:c r="H211" s="46"/>
      <x:c r="I211" s="46"/>
      <x:c r="J211" s="46"/>
      <x:c r="K211" s="46"/>
    </x:row>
    <x:row r="212">
      <x:c r="A212" s="46"/>
      <x:c r="B212" s="46"/>
      <x:c r="C212" s="46"/>
      <x:c r="D212" s="46"/>
      <x:c r="E212" s="46"/>
      <x:c r="F212" s="46"/>
      <x:c r="G212" s="46"/>
      <x:c r="H212" s="46"/>
      <x:c r="I212" s="46"/>
      <x:c r="J212" s="46"/>
      <x:c r="K212" s="46"/>
    </x:row>
    <x:row r="213">
      <x:c r="A213" s="46"/>
      <x:c r="B213" s="46"/>
      <x:c r="C213" s="46"/>
      <x:c r="D213" s="46"/>
      <x:c r="E213" s="46"/>
      <x:c r="F213" s="46"/>
      <x:c r="G213" s="46"/>
      <x:c r="H213" s="46"/>
      <x:c r="I213" s="46"/>
      <x:c r="J213" s="46"/>
      <x:c r="K213" s="46"/>
    </x:row>
    <x:row r="214">
      <x:c r="A214" s="46"/>
      <x:c r="B214" s="46"/>
      <x:c r="C214" s="46"/>
      <x:c r="D214" s="46"/>
      <x:c r="E214" s="46"/>
      <x:c r="F214" s="46"/>
      <x:c r="G214" s="46"/>
      <x:c r="H214" s="46"/>
      <x:c r="I214" s="46"/>
      <x:c r="J214" s="46"/>
      <x:c r="K214" s="46"/>
    </x:row>
    <x:row r="215">
      <x:c r="A215" s="46"/>
      <x:c r="B215" s="46"/>
      <x:c r="C215" s="46"/>
      <x:c r="D215" s="46"/>
      <x:c r="E215" s="46"/>
      <x:c r="F215" s="46"/>
      <x:c r="G215" s="46"/>
      <x:c r="H215" s="46"/>
      <x:c r="I215" s="46"/>
      <x:c r="J215" s="46"/>
      <x:c r="K215" s="46"/>
    </x:row>
    <x:row r="216">
      <x:c r="A216" s="46"/>
      <x:c r="B216" s="46"/>
      <x:c r="C216" s="46"/>
      <x:c r="D216" s="46"/>
      <x:c r="E216" s="46"/>
      <x:c r="F216" s="46"/>
      <x:c r="G216" s="46"/>
      <x:c r="H216" s="46"/>
      <x:c r="I216" s="46"/>
      <x:c r="J216" s="46"/>
      <x:c r="K216" s="46"/>
    </x:row>
    <x:row r="217">
      <x:c r="A217" s="46"/>
      <x:c r="B217" s="46"/>
      <x:c r="C217" s="46"/>
      <x:c r="D217" s="46"/>
      <x:c r="E217" s="46"/>
      <x:c r="F217" s="46"/>
      <x:c r="G217" s="46"/>
      <x:c r="H217" s="46"/>
      <x:c r="I217" s="46"/>
      <x:c r="J217" s="46"/>
      <x:c r="K217" s="46"/>
    </x:row>
    <x:row r="218">
      <x:c r="A218" s="46"/>
      <x:c r="B218" s="46"/>
      <x:c r="C218" s="46"/>
      <x:c r="D218" s="46"/>
      <x:c r="E218" s="46"/>
      <x:c r="F218" s="46"/>
      <x:c r="G218" s="46"/>
      <x:c r="H218" s="46"/>
      <x:c r="I218" s="46"/>
      <x:c r="J218" s="46"/>
      <x:c r="K218" s="46"/>
    </x:row>
    <x:row r="219">
      <x:c r="A219" s="46"/>
      <x:c r="B219" s="46"/>
      <x:c r="C219" s="46"/>
      <x:c r="D219" s="46"/>
      <x:c r="E219" s="46"/>
      <x:c r="F219" s="46"/>
      <x:c r="G219" s="46"/>
      <x:c r="H219" s="46"/>
      <x:c r="I219" s="46"/>
      <x:c r="J219" s="46"/>
      <x:c r="K219" s="46"/>
    </x:row>
    <x:row r="220">
      <x:c r="A220" s="46"/>
      <x:c r="B220" s="46"/>
      <x:c r="C220" s="46"/>
      <x:c r="D220" s="46"/>
      <x:c r="E220" s="46"/>
      <x:c r="F220" s="46"/>
      <x:c r="G220" s="46"/>
      <x:c r="H220" s="46"/>
      <x:c r="I220" s="46"/>
      <x:c r="J220" s="46"/>
      <x:c r="K220" s="46"/>
    </x:row>
    <x:row r="221">
      <x:c r="A221" s="46"/>
      <x:c r="B221" s="46"/>
      <x:c r="C221" s="46"/>
      <x:c r="D221" s="46"/>
      <x:c r="E221" s="46"/>
      <x:c r="F221" s="46"/>
      <x:c r="G221" s="46"/>
      <x:c r="H221" s="46"/>
      <x:c r="I221" s="46"/>
      <x:c r="J221" s="46"/>
      <x:c r="K221" s="46"/>
    </x:row>
    <x:row r="222">
      <x:c r="A222" s="46"/>
      <x:c r="B222" s="46"/>
      <x:c r="C222" s="46"/>
      <x:c r="D222" s="46"/>
      <x:c r="E222" s="46"/>
      <x:c r="F222" s="46"/>
      <x:c r="G222" s="46"/>
      <x:c r="H222" s="46"/>
      <x:c r="I222" s="46"/>
      <x:c r="J222" s="46"/>
      <x:c r="K222" s="46"/>
    </x:row>
    <x:row r="223">
      <x:c r="A223" s="46"/>
      <x:c r="B223" s="46"/>
      <x:c r="C223" s="46"/>
      <x:c r="D223" s="46"/>
      <x:c r="E223" s="46"/>
      <x:c r="F223" s="46"/>
      <x:c r="G223" s="46"/>
      <x:c r="H223" s="46"/>
      <x:c r="I223" s="46"/>
      <x:c r="J223" s="46"/>
      <x:c r="K223" s="46"/>
    </x:row>
    <x:row r="224">
      <x:c r="A224" s="46"/>
      <x:c r="B224" s="46"/>
      <x:c r="C224" s="46"/>
      <x:c r="D224" s="46"/>
      <x:c r="E224" s="46"/>
      <x:c r="F224" s="46"/>
      <x:c r="G224" s="46"/>
      <x:c r="H224" s="46"/>
      <x:c r="I224" s="46"/>
      <x:c r="J224" s="46"/>
      <x:c r="K224" s="46"/>
    </x:row>
    <x:row r="225">
      <x:c r="A225" s="46"/>
      <x:c r="B225" s="46"/>
      <x:c r="C225" s="46"/>
      <x:c r="D225" s="46"/>
      <x:c r="E225" s="46"/>
      <x:c r="F225" s="46"/>
      <x:c r="G225" s="46"/>
      <x:c r="H225" s="46"/>
      <x:c r="I225" s="46"/>
      <x:c r="J225" s="46"/>
      <x:c r="K225" s="46"/>
    </x:row>
    <x:row r="226">
      <x:c r="A226" s="46"/>
      <x:c r="B226" s="46"/>
      <x:c r="C226" s="46"/>
      <x:c r="D226" s="46"/>
      <x:c r="E226" s="46"/>
      <x:c r="F226" s="46"/>
      <x:c r="G226" s="46"/>
      <x:c r="H226" s="46"/>
      <x:c r="I226" s="46"/>
      <x:c r="J226" s="46"/>
      <x:c r="K226" s="46"/>
    </x:row>
    <x:row r="227">
      <x:c r="A227" s="46"/>
      <x:c r="B227" s="46"/>
      <x:c r="C227" s="46"/>
      <x:c r="D227" s="46"/>
      <x:c r="E227" s="46"/>
      <x:c r="F227" s="46"/>
      <x:c r="G227" s="46"/>
      <x:c r="H227" s="46"/>
      <x:c r="I227" s="46"/>
      <x:c r="J227" s="46"/>
      <x:c r="K227" s="46"/>
    </x:row>
    <x:row r="228">
      <x:c r="A228" s="46"/>
      <x:c r="B228" s="46"/>
      <x:c r="C228" s="46"/>
      <x:c r="D228" s="46"/>
      <x:c r="E228" s="46"/>
      <x:c r="F228" s="46"/>
      <x:c r="G228" s="46"/>
      <x:c r="H228" s="46"/>
      <x:c r="I228" s="46"/>
      <x:c r="J228" s="46"/>
      <x:c r="K228" s="46"/>
    </x:row>
    <x:row r="229">
      <x:c r="A229" s="46"/>
      <x:c r="B229" s="46"/>
      <x:c r="C229" s="46"/>
      <x:c r="D229" s="46"/>
      <x:c r="E229" s="46"/>
      <x:c r="F229" s="46"/>
      <x:c r="G229" s="46"/>
      <x:c r="H229" s="46"/>
      <x:c r="I229" s="46"/>
      <x:c r="J229" s="46"/>
      <x:c r="K229" s="46"/>
    </x:row>
    <x:row r="230">
      <x:c r="A230" s="46"/>
      <x:c r="B230" s="46"/>
      <x:c r="C230" s="46"/>
      <x:c r="D230" s="46"/>
      <x:c r="E230" s="46"/>
      <x:c r="F230" s="46"/>
      <x:c r="G230" s="46"/>
      <x:c r="H230" s="46"/>
      <x:c r="I230" s="46"/>
      <x:c r="J230" s="46"/>
      <x:c r="K230" s="46"/>
    </x:row>
    <x:row r="231">
      <x:c r="A231" s="46"/>
      <x:c r="B231" s="46"/>
      <x:c r="C231" s="46"/>
      <x:c r="D231" s="46"/>
      <x:c r="E231" s="46"/>
      <x:c r="F231" s="46"/>
      <x:c r="G231" s="46"/>
      <x:c r="H231" s="46"/>
      <x:c r="I231" s="46"/>
      <x:c r="J231" s="46"/>
      <x:c r="K231" s="46"/>
    </x:row>
    <x:row r="232">
      <x:c r="A232" s="46"/>
      <x:c r="B232" s="46"/>
      <x:c r="C232" s="46"/>
      <x:c r="D232" s="46"/>
      <x:c r="E232" s="46"/>
      <x:c r="F232" s="46"/>
      <x:c r="G232" s="46"/>
      <x:c r="H232" s="46"/>
      <x:c r="I232" s="46"/>
      <x:c r="J232" s="46"/>
      <x:c r="K232" s="46"/>
    </x:row>
    <x:row r="233">
      <x:c r="A233" s="46"/>
      <x:c r="B233" s="46"/>
      <x:c r="C233" s="46"/>
      <x:c r="D233" s="46"/>
      <x:c r="E233" s="46"/>
      <x:c r="F233" s="46"/>
      <x:c r="G233" s="46"/>
      <x:c r="H233" s="46"/>
      <x:c r="I233" s="46"/>
      <x:c r="J233" s="46"/>
      <x:c r="K233" s="46"/>
    </x:row>
    <x:row r="234">
      <x:c r="A234" s="46"/>
      <x:c r="B234" s="46"/>
      <x:c r="C234" s="46"/>
      <x:c r="D234" s="46"/>
      <x:c r="E234" s="46"/>
      <x:c r="F234" s="46"/>
      <x:c r="G234" s="46"/>
      <x:c r="H234" s="46"/>
      <x:c r="I234" s="46"/>
      <x:c r="J234" s="46"/>
      <x:c r="K234" s="46"/>
    </x:row>
    <x:row r="235">
      <x:c r="A235" s="46"/>
      <x:c r="B235" s="46"/>
      <x:c r="C235" s="46"/>
      <x:c r="D235" s="46"/>
      <x:c r="E235" s="46"/>
      <x:c r="F235" s="46"/>
      <x:c r="G235" s="46"/>
      <x:c r="H235" s="46"/>
      <x:c r="I235" s="46"/>
      <x:c r="J235" s="46"/>
      <x:c r="K235" s="46"/>
    </x:row>
    <x:row r="236">
      <x:c r="A236" s="46"/>
      <x:c r="B236" s="46"/>
      <x:c r="C236" s="46"/>
      <x:c r="D236" s="46"/>
      <x:c r="E236" s="46"/>
      <x:c r="F236" s="46"/>
      <x:c r="G236" s="46"/>
      <x:c r="H236" s="46"/>
      <x:c r="I236" s="46"/>
      <x:c r="J236" s="46"/>
      <x:c r="K236" s="46"/>
    </x:row>
    <x:row r="237">
      <x:c r="A237" s="46"/>
      <x:c r="B237" s="46"/>
      <x:c r="C237" s="46"/>
      <x:c r="D237" s="46"/>
      <x:c r="E237" s="46"/>
      <x:c r="F237" s="46"/>
      <x:c r="G237" s="46"/>
      <x:c r="H237" s="46"/>
      <x:c r="I237" s="46"/>
      <x:c r="J237" s="46"/>
      <x:c r="K237" s="46"/>
    </x:row>
    <x:row r="238">
      <x:c r="A238" s="46"/>
      <x:c r="B238" s="46"/>
      <x:c r="C238" s="46"/>
      <x:c r="D238" s="46"/>
      <x:c r="E238" s="46"/>
      <x:c r="F238" s="46"/>
      <x:c r="G238" s="46"/>
      <x:c r="H238" s="46"/>
      <x:c r="I238" s="46"/>
      <x:c r="J238" s="46"/>
      <x:c r="K238" s="46"/>
    </x:row>
    <x:row r="239">
      <x:c r="A239" s="46"/>
      <x:c r="B239" s="46"/>
      <x:c r="C239" s="46"/>
      <x:c r="D239" s="46"/>
      <x:c r="E239" s="46"/>
      <x:c r="F239" s="46"/>
      <x:c r="G239" s="46"/>
      <x:c r="H239" s="46"/>
      <x:c r="I239" s="46"/>
      <x:c r="J239" s="46"/>
      <x:c r="K239" s="46"/>
    </x:row>
    <x:row r="240">
      <x:c r="A240" s="46"/>
      <x:c r="B240" s="46"/>
      <x:c r="C240" s="46"/>
      <x:c r="D240" s="46"/>
      <x:c r="E240" s="46"/>
      <x:c r="F240" s="46"/>
      <x:c r="G240" s="46"/>
      <x:c r="H240" s="46"/>
      <x:c r="I240" s="46"/>
      <x:c r="J240" s="46"/>
      <x:c r="K240" s="46"/>
    </x:row>
    <x:row r="241">
      <x:c r="A241" s="46"/>
      <x:c r="B241" s="46"/>
      <x:c r="C241" s="46"/>
      <x:c r="D241" s="46"/>
      <x:c r="E241" s="46"/>
      <x:c r="F241" s="46"/>
      <x:c r="G241" s="46"/>
      <x:c r="H241" s="46"/>
      <x:c r="I241" s="46"/>
      <x:c r="J241" s="46"/>
      <x:c r="K241" s="46"/>
    </x:row>
    <x:row r="242">
      <x:c r="A242" s="46"/>
      <x:c r="B242" s="46"/>
      <x:c r="C242" s="46"/>
      <x:c r="D242" s="46"/>
      <x:c r="E242" s="46"/>
      <x:c r="F242" s="46"/>
      <x:c r="G242" s="46"/>
      <x:c r="H242" s="46"/>
      <x:c r="I242" s="46"/>
      <x:c r="J242" s="46"/>
      <x:c r="K242" s="46"/>
    </x:row>
    <x:row r="243">
      <x:c r="A243" s="46"/>
      <x:c r="B243" s="46"/>
      <x:c r="C243" s="46"/>
      <x:c r="D243" s="46"/>
      <x:c r="E243" s="46"/>
      <x:c r="F243" s="46"/>
      <x:c r="G243" s="46"/>
      <x:c r="H243" s="46"/>
      <x:c r="I243" s="46"/>
      <x:c r="J243" s="46"/>
      <x:c r="K243" s="46"/>
    </x:row>
    <x:row r="244">
      <x:c r="A244" s="46"/>
      <x:c r="B244" s="46"/>
      <x:c r="C244" s="46"/>
      <x:c r="D244" s="46"/>
      <x:c r="E244" s="46"/>
      <x:c r="F244" s="46"/>
      <x:c r="G244" s="46"/>
      <x:c r="H244" s="46"/>
      <x:c r="I244" s="46"/>
      <x:c r="J244" s="46"/>
      <x:c r="K244" s="46"/>
    </x:row>
    <x:row r="245">
      <x:c r="A245" s="46"/>
      <x:c r="B245" s="46"/>
      <x:c r="C245" s="46"/>
      <x:c r="D245" s="46"/>
      <x:c r="E245" s="46"/>
      <x:c r="F245" s="46"/>
      <x:c r="G245" s="46"/>
      <x:c r="H245" s="46"/>
      <x:c r="I245" s="46"/>
      <x:c r="J245" s="46"/>
      <x:c r="K245" s="46"/>
    </x:row>
    <x:row r="246">
      <x:c r="A246" s="46"/>
      <x:c r="B246" s="46"/>
      <x:c r="C246" s="46"/>
      <x:c r="D246" s="46"/>
      <x:c r="E246" s="46"/>
      <x:c r="F246" s="46"/>
      <x:c r="G246" s="46"/>
      <x:c r="H246" s="46"/>
      <x:c r="I246" s="46"/>
      <x:c r="J246" s="46"/>
      <x:c r="K246" s="46"/>
    </x:row>
    <x:row r="247">
      <x:c r="A247" s="46"/>
      <x:c r="B247" s="46"/>
      <x:c r="C247" s="46"/>
      <x:c r="D247" s="46"/>
      <x:c r="E247" s="46"/>
      <x:c r="F247" s="46"/>
      <x:c r="G247" s="46"/>
      <x:c r="H247" s="46"/>
      <x:c r="I247" s="46"/>
      <x:c r="J247" s="46"/>
      <x:c r="K247" s="46"/>
    </x:row>
    <x:row r="248">
      <x:c r="A248" s="46"/>
      <x:c r="B248" s="46"/>
      <x:c r="C248" s="46"/>
      <x:c r="D248" s="46"/>
      <x:c r="E248" s="46"/>
      <x:c r="F248" s="46"/>
      <x:c r="G248" s="46"/>
      <x:c r="H248" s="46"/>
      <x:c r="I248" s="46"/>
      <x:c r="J248" s="46"/>
      <x:c r="K248" s="46"/>
    </x:row>
    <x:row r="249">
      <x:c r="A249" s="46"/>
      <x:c r="B249" s="46"/>
      <x:c r="C249" s="46"/>
      <x:c r="D249" s="46"/>
      <x:c r="E249" s="46"/>
      <x:c r="F249" s="46"/>
      <x:c r="G249" s="46"/>
      <x:c r="H249" s="46"/>
      <x:c r="I249" s="46"/>
      <x:c r="J249" s="46"/>
      <x:c r="K249" s="46"/>
    </x:row>
    <x:row r="250">
      <x:c r="A250" s="46"/>
      <x:c r="B250" s="46"/>
      <x:c r="C250" s="46"/>
      <x:c r="D250" s="46"/>
      <x:c r="E250" s="46"/>
      <x:c r="F250" s="46"/>
      <x:c r="G250" s="46"/>
      <x:c r="H250" s="46"/>
      <x:c r="I250" s="46"/>
      <x:c r="J250" s="46"/>
      <x:c r="K250" s="46"/>
    </x:row>
    <x:row r="251">
      <x:c r="A251" s="46"/>
      <x:c r="B251" s="46"/>
      <x:c r="C251" s="46"/>
      <x:c r="D251" s="46"/>
      <x:c r="E251" s="46"/>
      <x:c r="F251" s="46"/>
      <x:c r="G251" s="46"/>
      <x:c r="H251" s="46"/>
      <x:c r="I251" s="46"/>
      <x:c r="J251" s="46"/>
      <x:c r="K251" s="46"/>
    </x:row>
    <x:row r="252">
      <x:c r="A252" s="46"/>
      <x:c r="B252" s="46"/>
      <x:c r="C252" s="46"/>
      <x:c r="D252" s="46"/>
      <x:c r="E252" s="46"/>
      <x:c r="F252" s="46"/>
      <x:c r="G252" s="46"/>
      <x:c r="H252" s="46"/>
      <x:c r="I252" s="46"/>
      <x:c r="J252" s="46"/>
      <x:c r="K252" s="46"/>
    </x:row>
    <x:row r="253">
      <x:c r="A253" s="46"/>
      <x:c r="B253" s="46"/>
      <x:c r="C253" s="46"/>
      <x:c r="D253" s="46"/>
      <x:c r="E253" s="46"/>
      <x:c r="F253" s="46"/>
      <x:c r="G253" s="46"/>
      <x:c r="H253" s="46"/>
      <x:c r="I253" s="46"/>
      <x:c r="J253" s="46"/>
      <x:c r="K253" s="46"/>
    </x:row>
    <x:row r="254">
      <x:c r="A254" s="46"/>
      <x:c r="B254" s="46"/>
      <x:c r="C254" s="46"/>
      <x:c r="D254" s="46"/>
      <x:c r="E254" s="46"/>
      <x:c r="F254" s="46"/>
      <x:c r="G254" s="46"/>
      <x:c r="H254" s="46"/>
      <x:c r="I254" s="46"/>
      <x:c r="J254" s="46"/>
      <x:c r="K254" s="46"/>
    </x:row>
    <x:row r="255">
      <x:c r="A255" s="46"/>
      <x:c r="B255" s="46"/>
      <x:c r="C255" s="46"/>
      <x:c r="D255" s="46"/>
      <x:c r="E255" s="46"/>
      <x:c r="F255" s="46"/>
      <x:c r="G255" s="46"/>
      <x:c r="H255" s="46"/>
      <x:c r="I255" s="46"/>
      <x:c r="J255" s="46"/>
      <x:c r="K255" s="46"/>
    </x:row>
    <x:row r="256">
      <x:c r="A256" s="46"/>
      <x:c r="B256" s="46"/>
      <x:c r="C256" s="46"/>
      <x:c r="D256" s="46"/>
      <x:c r="E256" s="46"/>
      <x:c r="F256" s="46"/>
      <x:c r="G256" s="46"/>
      <x:c r="H256" s="46"/>
      <x:c r="I256" s="46"/>
      <x:c r="J256" s="46"/>
      <x:c r="K256" s="46"/>
    </x:row>
    <x:row r="257">
      <x:c r="A257" s="46"/>
      <x:c r="B257" s="46"/>
      <x:c r="C257" s="46"/>
      <x:c r="D257" s="46"/>
      <x:c r="E257" s="46"/>
      <x:c r="F257" s="46"/>
      <x:c r="G257" s="46"/>
      <x:c r="H257" s="46"/>
      <x:c r="I257" s="46"/>
      <x:c r="J257" s="46"/>
      <x:c r="K257" s="46"/>
    </x:row>
    <x:row r="258">
      <x:c r="A258" s="46"/>
      <x:c r="B258" s="46"/>
      <x:c r="C258" s="46"/>
      <x:c r="D258" s="46"/>
      <x:c r="E258" s="46"/>
      <x:c r="F258" s="46"/>
      <x:c r="G258" s="46"/>
      <x:c r="H258" s="46"/>
      <x:c r="I258" s="46"/>
      <x:c r="J258" s="46"/>
      <x:c r="K258" s="46"/>
    </x:row>
    <x:row r="259">
      <x:c r="A259" s="46"/>
      <x:c r="B259" s="46"/>
      <x:c r="C259" s="46"/>
      <x:c r="D259" s="46"/>
      <x:c r="E259" s="46"/>
      <x:c r="F259" s="46"/>
      <x:c r="G259" s="46"/>
      <x:c r="H259" s="46"/>
      <x:c r="I259" s="46"/>
      <x:c r="J259" s="46"/>
      <x:c r="K259" s="46"/>
    </x:row>
    <x:row r="260">
      <x:c r="A260" s="46"/>
      <x:c r="B260" s="46"/>
      <x:c r="C260" s="46"/>
      <x:c r="D260" s="46"/>
      <x:c r="E260" s="46"/>
      <x:c r="F260" s="46"/>
      <x:c r="G260" s="46"/>
      <x:c r="H260" s="46"/>
      <x:c r="I260" s="46"/>
      <x:c r="J260" s="46"/>
      <x:c r="K260" s="46"/>
    </x:row>
    <x:row r="261">
      <x:c r="A261" s="46"/>
      <x:c r="B261" s="46"/>
      <x:c r="C261" s="46"/>
      <x:c r="D261" s="46"/>
      <x:c r="E261" s="46"/>
      <x:c r="F261" s="46"/>
      <x:c r="G261" s="46"/>
      <x:c r="H261" s="46"/>
      <x:c r="I261" s="46"/>
      <x:c r="J261" s="46"/>
      <x:c r="K261" s="46"/>
    </x:row>
    <x:row r="262">
      <x:c r="A262" s="46"/>
      <x:c r="B262" s="46"/>
      <x:c r="C262" s="46"/>
      <x:c r="D262" s="46"/>
      <x:c r="E262" s="46"/>
      <x:c r="F262" s="46"/>
      <x:c r="G262" s="46"/>
      <x:c r="H262" s="46"/>
      <x:c r="I262" s="46"/>
      <x:c r="J262" s="46"/>
      <x:c r="K262" s="46"/>
    </x:row>
    <x:row r="263">
      <x:c r="A263" s="46"/>
      <x:c r="B263" s="46"/>
      <x:c r="C263" s="46"/>
      <x:c r="D263" s="46"/>
      <x:c r="E263" s="46"/>
      <x:c r="F263" s="46"/>
      <x:c r="G263" s="46"/>
      <x:c r="H263" s="46"/>
      <x:c r="I263" s="46"/>
      <x:c r="J263" s="46"/>
      <x:c r="K263" s="46"/>
    </x:row>
    <x:row r="264">
      <x:c r="A264" s="46"/>
      <x:c r="B264" s="46"/>
      <x:c r="C264" s="46"/>
      <x:c r="D264" s="46"/>
      <x:c r="E264" s="46"/>
      <x:c r="F264" s="46"/>
      <x:c r="G264" s="46"/>
      <x:c r="H264" s="46"/>
      <x:c r="I264" s="46"/>
      <x:c r="J264" s="46"/>
      <x:c r="K264" s="46"/>
    </x:row>
    <x:row r="265">
      <x:c r="A265" s="46"/>
      <x:c r="B265" s="46"/>
      <x:c r="C265" s="46"/>
      <x:c r="D265" s="46"/>
      <x:c r="E265" s="46"/>
      <x:c r="F265" s="46"/>
      <x:c r="G265" s="46"/>
      <x:c r="H265" s="46"/>
      <x:c r="I265" s="46"/>
      <x:c r="J265" s="46"/>
      <x:c r="K265" s="46"/>
    </x:row>
    <x:row r="266">
      <x:c r="A266" s="46"/>
      <x:c r="B266" s="46"/>
      <x:c r="C266" s="46"/>
      <x:c r="D266" s="46"/>
      <x:c r="E266" s="46"/>
      <x:c r="F266" s="46"/>
      <x:c r="G266" s="46"/>
      <x:c r="H266" s="46"/>
      <x:c r="I266" s="46"/>
      <x:c r="J266" s="46"/>
      <x:c r="K266" s="46"/>
    </x:row>
    <x:row r="267">
      <x:c r="A267" s="46"/>
      <x:c r="B267" s="46"/>
      <x:c r="C267" s="46"/>
      <x:c r="D267" s="46"/>
      <x:c r="E267" s="46"/>
      <x:c r="F267" s="46"/>
      <x:c r="G267" s="46"/>
      <x:c r="H267" s="46"/>
      <x:c r="I267" s="46"/>
      <x:c r="J267" s="46"/>
      <x:c r="K267" s="46"/>
    </x:row>
    <x:row r="268">
      <x:c r="A268" s="46"/>
      <x:c r="B268" s="46"/>
      <x:c r="C268" s="46"/>
      <x:c r="D268" s="46"/>
      <x:c r="E268" s="46"/>
      <x:c r="F268" s="46"/>
      <x:c r="G268" s="46"/>
      <x:c r="H268" s="46"/>
      <x:c r="I268" s="46"/>
      <x:c r="J268" s="46"/>
      <x:c r="K268" s="46"/>
    </x:row>
    <x:row r="269">
      <x:c r="A269" s="46"/>
      <x:c r="B269" s="46"/>
      <x:c r="C269" s="46"/>
      <x:c r="D269" s="46"/>
      <x:c r="E269" s="46"/>
      <x:c r="F269" s="46"/>
      <x:c r="G269" s="46"/>
      <x:c r="H269" s="46"/>
      <x:c r="I269" s="46"/>
      <x:c r="J269" s="46"/>
      <x:c r="K269" s="46"/>
    </x:row>
    <x:row r="270">
      <x:c r="A270" s="46"/>
      <x:c r="B270" s="46"/>
      <x:c r="C270" s="46"/>
      <x:c r="D270" s="46"/>
      <x:c r="E270" s="46"/>
      <x:c r="F270" s="46"/>
      <x:c r="G270" s="46"/>
      <x:c r="H270" s="46"/>
      <x:c r="I270" s="46"/>
      <x:c r="J270" s="46"/>
      <x:c r="K270" s="46"/>
    </x:row>
    <x:row r="271">
      <x:c r="A271" s="46"/>
      <x:c r="B271" s="46"/>
      <x:c r="C271" s="46"/>
      <x:c r="D271" s="46"/>
      <x:c r="E271" s="46"/>
      <x:c r="F271" s="46"/>
      <x:c r="G271" s="46"/>
      <x:c r="H271" s="46"/>
      <x:c r="I271" s="46"/>
      <x:c r="J271" s="46"/>
      <x:c r="K271" s="46"/>
    </x:row>
    <x:row r="272">
      <x:c r="A272" s="46"/>
      <x:c r="B272" s="46"/>
      <x:c r="C272" s="46"/>
      <x:c r="D272" s="46"/>
      <x:c r="E272" s="46"/>
      <x:c r="F272" s="46"/>
      <x:c r="G272" s="46"/>
      <x:c r="H272" s="46"/>
      <x:c r="I272" s="46"/>
      <x:c r="J272" s="46"/>
      <x:c r="K272" s="46"/>
    </x:row>
    <x:row r="273">
      <x:c r="A273" s="46"/>
      <x:c r="B273" s="46"/>
      <x:c r="C273" s="46"/>
      <x:c r="D273" s="46"/>
      <x:c r="E273" s="46"/>
      <x:c r="F273" s="46"/>
      <x:c r="G273" s="46"/>
      <x:c r="H273" s="46"/>
      <x:c r="I273" s="46"/>
      <x:c r="J273" s="46"/>
      <x:c r="K273" s="46"/>
    </x:row>
    <x:row r="274">
      <x:c r="A274" s="46"/>
      <x:c r="B274" s="46"/>
      <x:c r="C274" s="46"/>
      <x:c r="D274" s="46"/>
      <x:c r="E274" s="46"/>
      <x:c r="F274" s="46"/>
      <x:c r="G274" s="46"/>
      <x:c r="H274" s="46"/>
      <x:c r="I274" s="46"/>
      <x:c r="J274" s="46"/>
      <x:c r="K274" s="46"/>
    </x:row>
    <x:row r="275">
      <x:c r="A275" s="46"/>
      <x:c r="B275" s="46"/>
      <x:c r="C275" s="46"/>
      <x:c r="D275" s="46"/>
      <x:c r="E275" s="46"/>
      <x:c r="F275" s="46"/>
      <x:c r="G275" s="46"/>
      <x:c r="H275" s="46"/>
      <x:c r="I275" s="46"/>
      <x:c r="J275" s="46"/>
      <x:c r="K275" s="46"/>
    </x:row>
    <x:row r="276">
      <x:c r="A276" s="46"/>
      <x:c r="B276" s="46"/>
      <x:c r="C276" s="46"/>
      <x:c r="D276" s="46"/>
      <x:c r="E276" s="46"/>
      <x:c r="F276" s="46"/>
      <x:c r="G276" s="46"/>
      <x:c r="H276" s="46"/>
      <x:c r="I276" s="46"/>
      <x:c r="J276" s="46"/>
      <x:c r="K276" s="46"/>
    </x:row>
    <x:row r="277">
      <x:c r="A277" s="46"/>
      <x:c r="B277" s="46"/>
      <x:c r="C277" s="46"/>
      <x:c r="D277" s="46"/>
      <x:c r="E277" s="46"/>
      <x:c r="F277" s="46"/>
      <x:c r="G277" s="46"/>
      <x:c r="H277" s="46"/>
      <x:c r="I277" s="46"/>
      <x:c r="J277" s="46"/>
      <x:c r="K277" s="46"/>
    </x:row>
    <x:row r="278">
      <x:c r="A278" s="46"/>
      <x:c r="B278" s="46"/>
      <x:c r="C278" s="46"/>
      <x:c r="D278" s="46"/>
      <x:c r="E278" s="46"/>
      <x:c r="F278" s="46"/>
      <x:c r="G278" s="46"/>
      <x:c r="H278" s="46"/>
      <x:c r="I278" s="46"/>
      <x:c r="J278" s="46"/>
      <x:c r="K278" s="46"/>
    </x:row>
    <x:row r="279">
      <x:c r="A279" s="46"/>
      <x:c r="B279" s="46"/>
      <x:c r="C279" s="46"/>
      <x:c r="D279" s="46"/>
      <x:c r="E279" s="46"/>
      <x:c r="F279" s="46"/>
      <x:c r="G279" s="46"/>
      <x:c r="H279" s="46"/>
      <x:c r="I279" s="46"/>
      <x:c r="J279" s="46"/>
      <x:c r="K279" s="46"/>
    </x:row>
    <x:row r="280">
      <x:c r="A280" s="46"/>
      <x:c r="B280" s="46"/>
      <x:c r="C280" s="46"/>
      <x:c r="D280" s="46"/>
      <x:c r="E280" s="46"/>
      <x:c r="F280" s="46"/>
      <x:c r="G280" s="46"/>
      <x:c r="H280" s="46"/>
      <x:c r="I280" s="46"/>
      <x:c r="J280" s="46"/>
      <x:c r="K280" s="46"/>
    </x:row>
    <x:row r="281">
      <x:c r="A281" s="46"/>
      <x:c r="B281" s="46"/>
      <x:c r="C281" s="46"/>
      <x:c r="D281" s="46"/>
      <x:c r="E281" s="46"/>
      <x:c r="F281" s="46"/>
      <x:c r="G281" s="46"/>
      <x:c r="H281" s="46"/>
      <x:c r="I281" s="46"/>
      <x:c r="J281" s="46"/>
      <x:c r="K281" s="46"/>
    </x:row>
    <x:row r="282">
      <x:c r="A282" s="46"/>
      <x:c r="B282" s="46"/>
      <x:c r="C282" s="46"/>
      <x:c r="D282" s="46"/>
      <x:c r="E282" s="46"/>
      <x:c r="F282" s="46"/>
      <x:c r="G282" s="46"/>
      <x:c r="H282" s="46"/>
      <x:c r="I282" s="46"/>
      <x:c r="J282" s="46"/>
      <x:c r="K282" s="46"/>
    </x:row>
    <x:row r="283">
      <x:c r="A283" s="46"/>
      <x:c r="B283" s="46"/>
      <x:c r="C283" s="46"/>
      <x:c r="D283" s="46"/>
      <x:c r="E283" s="46"/>
      <x:c r="F283" s="46"/>
      <x:c r="G283" s="46"/>
      <x:c r="H283" s="46"/>
      <x:c r="I283" s="46"/>
      <x:c r="J283" s="46"/>
      <x:c r="K283" s="46"/>
    </x:row>
    <x:row r="284">
      <x:c r="A284" s="46"/>
      <x:c r="B284" s="46"/>
      <x:c r="C284" s="46"/>
      <x:c r="D284" s="46"/>
      <x:c r="E284" s="46"/>
      <x:c r="F284" s="46"/>
      <x:c r="G284" s="46"/>
      <x:c r="H284" s="46"/>
      <x:c r="I284" s="46"/>
      <x:c r="J284" s="46"/>
      <x:c r="K284" s="46"/>
    </x:row>
    <x:row r="285">
      <x:c r="A285" s="46"/>
      <x:c r="B285" s="46"/>
      <x:c r="C285" s="46"/>
      <x:c r="D285" s="46"/>
      <x:c r="E285" s="46"/>
      <x:c r="F285" s="46"/>
      <x:c r="G285" s="46"/>
      <x:c r="H285" s="46"/>
      <x:c r="I285" s="46"/>
      <x:c r="J285" s="46"/>
      <x:c r="K285" s="46"/>
    </x:row>
    <x:row r="286">
      <x:c r="A286" s="46"/>
      <x:c r="B286" s="46"/>
      <x:c r="C286" s="46"/>
      <x:c r="D286" s="46"/>
      <x:c r="E286" s="46"/>
      <x:c r="F286" s="46"/>
      <x:c r="G286" s="46"/>
      <x:c r="H286" s="46"/>
      <x:c r="I286" s="46"/>
      <x:c r="J286" s="46"/>
      <x:c r="K286" s="46"/>
    </x:row>
    <x:row r="287">
      <x:c r="A287" s="46"/>
      <x:c r="B287" s="46"/>
      <x:c r="C287" s="46"/>
      <x:c r="D287" s="46"/>
      <x:c r="E287" s="46"/>
      <x:c r="F287" s="46"/>
      <x:c r="G287" s="46"/>
      <x:c r="H287" s="46"/>
      <x:c r="I287" s="46"/>
      <x:c r="J287" s="46"/>
      <x:c r="K287" s="46"/>
    </x:row>
    <x:row r="288">
      <x:c r="A288" s="46"/>
      <x:c r="B288" s="46"/>
      <x:c r="C288" s="46"/>
      <x:c r="D288" s="46"/>
      <x:c r="E288" s="46"/>
      <x:c r="F288" s="46"/>
      <x:c r="G288" s="46"/>
      <x:c r="H288" s="46"/>
      <x:c r="I288" s="46"/>
      <x:c r="J288" s="46"/>
      <x:c r="K288" s="46"/>
    </x:row>
    <x:row r="289">
      <x:c r="A289" s="46"/>
      <x:c r="B289" s="46"/>
      <x:c r="C289" s="46"/>
      <x:c r="D289" s="46"/>
      <x:c r="E289" s="46"/>
      <x:c r="F289" s="46"/>
      <x:c r="G289" s="46"/>
      <x:c r="H289" s="46"/>
      <x:c r="I289" s="46"/>
      <x:c r="J289" s="46"/>
      <x:c r="K289" s="46"/>
    </x:row>
    <x:row r="290">
      <x:c r="A290" s="46"/>
      <x:c r="B290" s="46"/>
      <x:c r="C290" s="46"/>
      <x:c r="D290" s="46"/>
      <x:c r="E290" s="46"/>
      <x:c r="F290" s="46"/>
      <x:c r="G290" s="46"/>
      <x:c r="H290" s="46"/>
      <x:c r="I290" s="46"/>
      <x:c r="J290" s="46"/>
      <x:c r="K290" s="46"/>
    </x:row>
    <x:row r="291">
      <x:c r="A291" s="46"/>
      <x:c r="B291" s="46"/>
      <x:c r="C291" s="46"/>
      <x:c r="D291" s="46"/>
      <x:c r="E291" s="46"/>
      <x:c r="F291" s="46"/>
      <x:c r="G291" s="46"/>
      <x:c r="H291" s="46"/>
      <x:c r="I291" s="46"/>
      <x:c r="J291" s="46"/>
      <x:c r="K291" s="46"/>
    </x:row>
    <x:row r="292">
      <x:c r="A292" s="46"/>
      <x:c r="B292" s="46"/>
      <x:c r="C292" s="46"/>
      <x:c r="D292" s="46"/>
      <x:c r="E292" s="46"/>
      <x:c r="F292" s="46"/>
      <x:c r="G292" s="46"/>
      <x:c r="H292" s="46"/>
      <x:c r="I292" s="46"/>
      <x:c r="J292" s="46"/>
      <x:c r="K292" s="46"/>
    </x:row>
    <x:row r="293">
      <x:c r="A293" s="46"/>
      <x:c r="B293" s="46"/>
      <x:c r="C293" s="46"/>
      <x:c r="D293" s="46"/>
      <x:c r="E293" s="46"/>
      <x:c r="F293" s="46"/>
      <x:c r="G293" s="46"/>
      <x:c r="H293" s="46"/>
      <x:c r="I293" s="46"/>
      <x:c r="J293" s="46"/>
      <x:c r="K293" s="46"/>
    </x:row>
    <x:row r="294">
      <x:c r="A294" s="46"/>
      <x:c r="B294" s="46"/>
      <x:c r="C294" s="46"/>
      <x:c r="D294" s="46"/>
      <x:c r="E294" s="46"/>
      <x:c r="F294" s="46"/>
      <x:c r="G294" s="46"/>
      <x:c r="H294" s="46"/>
      <x:c r="I294" s="46"/>
      <x:c r="J294" s="46"/>
      <x:c r="K294" s="46"/>
    </x:row>
    <x:row r="295">
      <x:c r="A295" s="46"/>
      <x:c r="B295" s="46"/>
      <x:c r="C295" s="46"/>
      <x:c r="D295" s="46"/>
      <x:c r="E295" s="46"/>
      <x:c r="F295" s="46"/>
      <x:c r="G295" s="46"/>
      <x:c r="H295" s="46"/>
      <x:c r="I295" s="46"/>
      <x:c r="J295" s="46"/>
      <x:c r="K295" s="46"/>
    </x:row>
    <x:row r="296">
      <x:c r="A296" s="46"/>
      <x:c r="B296" s="46"/>
      <x:c r="C296" s="46"/>
      <x:c r="D296" s="46"/>
      <x:c r="E296" s="46"/>
      <x:c r="F296" s="46"/>
      <x:c r="G296" s="46"/>
      <x:c r="H296" s="46"/>
      <x:c r="I296" s="46"/>
      <x:c r="J296" s="46"/>
      <x:c r="K296" s="46"/>
    </x:row>
    <x:row r="297">
      <x:c r="A297" s="46"/>
      <x:c r="B297" s="46"/>
      <x:c r="C297" s="46"/>
      <x:c r="D297" s="46"/>
      <x:c r="E297" s="46"/>
      <x:c r="F297" s="46"/>
      <x:c r="G297" s="46"/>
      <x:c r="H297" s="46"/>
      <x:c r="I297" s="46"/>
      <x:c r="J297" s="46"/>
      <x:c r="K297" s="46"/>
    </x:row>
    <x:row r="298">
      <x:c r="A298" s="46"/>
      <x:c r="B298" s="46"/>
      <x:c r="C298" s="46"/>
      <x:c r="D298" s="46"/>
      <x:c r="E298" s="46"/>
      <x:c r="F298" s="46"/>
      <x:c r="G298" s="46"/>
      <x:c r="H298" s="46"/>
      <x:c r="I298" s="46"/>
      <x:c r="J298" s="46"/>
      <x:c r="K298" s="46"/>
    </x:row>
    <x:row r="299">
      <x:c r="A299" s="46"/>
      <x:c r="B299" s="46"/>
      <x:c r="C299" s="46"/>
      <x:c r="D299" s="46"/>
      <x:c r="E299" s="46"/>
      <x:c r="F299" s="46"/>
      <x:c r="G299" s="46"/>
      <x:c r="H299" s="46"/>
      <x:c r="I299" s="46"/>
      <x:c r="J299" s="46"/>
      <x:c r="K299" s="46"/>
    </x:row>
    <x:row r="300">
      <x:c r="A300" s="46"/>
      <x:c r="B300" s="46"/>
      <x:c r="C300" s="46"/>
      <x:c r="D300" s="46"/>
      <x:c r="E300" s="46"/>
      <x:c r="F300" s="46"/>
      <x:c r="G300" s="46"/>
      <x:c r="H300" s="46"/>
      <x:c r="I300" s="46"/>
      <x:c r="J300" s="46"/>
      <x:c r="K300" s="46"/>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7" hidden="0" customWidth="1"/>
    <x:col min="2" max="2" width="38" hidden="0" customWidth="1"/>
    <x:col min="3" max="3" width="16" hidden="0" customWidth="1"/>
    <x:col min="4" max="4" width="24" hidden="0" customWidth="1"/>
    <x:col min="5" max="5" width="28" hidden="0" customWidth="1"/>
    <x:col min="6" max="6" width="52" hidden="0" customWidth="1"/>
    <x:col min="7" max="7" width="22" hidden="0" customWidth="1"/>
    <x:col min="8" max="8" width="22" hidden="0" customWidth="1"/>
    <x:col min="9" max="9" width="22" hidden="0" customWidth="1"/>
    <x:col min="10" max="10" width="18" hidden="0" customWidth="1"/>
    <x:col min="11" max="11" width="22" hidden="0" customWidth="1"/>
    <x:col min="12" max="12" width="28" hidden="0" customWidth="1"/>
    <x:col min="13" max="13" width="55" hidden="0" customWidth="1"/>
  </x:cols>
  <x:sheetData>
    <x:row r="1" ht="34" customHeight="1">
      <x:c r="A1" s="67" t="str">
        <x:v>compound_id</x:v>
      </x:c>
      <x:c r="B1" s="67" t="str">
        <x:v>canonical_name</x:v>
      </x:c>
      <x:c r="C1" s="67" t="str">
        <x:v>cas</x:v>
      </x:c>
      <x:c r="D1" s="67" t="str">
        <x:v>compound_group</x:v>
      </x:c>
      <x:c r="E1" s="67" t="str">
        <x:v>identity_source_type</x:v>
      </x:c>
      <x:c r="F1" s="67" t="str">
        <x:v>identity_source_url</x:v>
      </x:c>
      <x:c r="G1" s="67" t="str">
        <x:v>identity_status</x:v>
      </x:c>
      <x:c r="H1" s="67" t="str">
        <x:v>raw_state</x:v>
      </x:c>
      <x:c r="I1" s="67" t="str">
        <x:v>cooked_state</x:v>
      </x:c>
      <x:c r="J1" s="67" t="str">
        <x:v>roasted_state</x:v>
      </x:c>
      <x:c r="K1" s="67" t="str">
        <x:v>confit_candidate</x:v>
      </x:c>
      <x:c r="L1" s="67" t="str">
        <x:v>promotion_status</x:v>
      </x:c>
      <x:c r="M1" s="67" t="str">
        <x:v>registry_notes</x:v>
      </x:c>
    </x:row>
    <x:row r="2">
      <x:c r="A2" s="46" t="str">
        <x:v>GOOSE-CMP-001</x:v>
      </x:c>
      <x:c r="B2" s="46" t="str">
        <x:v>1-hexanol</x:v>
      </x:c>
      <x:c r="C2" s="46" t="str">
        <x:v>111-27-3</x:v>
      </x:c>
      <x:c r="D2" s="46" t="str">
        <x:v>Alcohols</x:v>
      </x:c>
      <x:c r="E2" s="46" t="str">
        <x:v>institutional chemical registry</x:v>
      </x:c>
      <x:c r="F2" s="46" t="str">
        <x:v>https://pubchem.ncbi.nlm.nih.gov/compound/1-Hexanol</x:v>
      </x:c>
      <x:c r="G2" s="46" t="str">
        <x:v>verified</x:v>
      </x:c>
      <x:c r="H2" s="46" t="str">
        <x:v>key</x:v>
      </x:c>
      <x:c r="I2" s="46" t="str"/>
      <x:c r="J2" s="46" t="str"/>
      <x:c r="K2" s="46" t="str"/>
      <x:c r="L2" s="46" t="str">
        <x:v>eligible_for_goose_pilot</x:v>
      </x:c>
      <x:c r="M2" s="46" t="str"/>
    </x:row>
    <x:row r="3">
      <x:c r="A3" s="46" t="str">
        <x:v>GOOSE-CMP-002</x:v>
      </x:c>
      <x:c r="B3" s="46" t="str">
        <x:v>hexanal</x:v>
      </x:c>
      <x:c r="C3" s="46" t="str">
        <x:v>66-25-1</x:v>
      </x:c>
      <x:c r="D3" s="46" t="str">
        <x:v>Carbonyls, aldehydes</x:v>
      </x:c>
      <x:c r="E3" s="46" t="str">
        <x:v>institutional chemical registry</x:v>
      </x:c>
      <x:c r="F3" s="46" t="str">
        <x:v>https://pubchem.ncbi.nlm.nih.gov/compound/Hexanal</x:v>
      </x:c>
      <x:c r="G3" s="46" t="str">
        <x:v>verified</x:v>
      </x:c>
      <x:c r="H3" s="46" t="str">
        <x:v>present/key-across-samples</x:v>
      </x:c>
      <x:c r="I3" s="46" t="str">
        <x:v>elevated</x:v>
      </x:c>
      <x:c r="J3" s="46" t="str"/>
      <x:c r="K3" s="46" t="str">
        <x:v>candidate_from_cooked</x:v>
      </x:c>
      <x:c r="L3" s="46" t="str">
        <x:v>eligible_for_goose_pilot</x:v>
      </x:c>
      <x:c r="M3" s="46" t="str"/>
    </x:row>
    <x:row r="4">
      <x:c r="A4" s="46" t="str">
        <x:v>GOOSE-CMP-003</x:v>
      </x:c>
      <x:c r="B4" s="46" t="str">
        <x:v>heptanal</x:v>
      </x:c>
      <x:c r="C4" s="46" t="str">
        <x:v>111-71-7</x:v>
      </x:c>
      <x:c r="D4" s="46" t="str">
        <x:v>Carbonyls, aldehydes</x:v>
      </x:c>
      <x:c r="E4" s="46" t="str">
        <x:v>institutional chemical registry</x:v>
      </x:c>
      <x:c r="F4" s="46" t="str">
        <x:v>https://pubchem.ncbi.nlm.nih.gov/compound/Heptanal</x:v>
      </x:c>
      <x:c r="G4" s="46" t="str">
        <x:v>verified</x:v>
      </x:c>
      <x:c r="H4" s="46" t="str"/>
      <x:c r="I4" s="46" t="str">
        <x:v>elevated</x:v>
      </x:c>
      <x:c r="J4" s="46" t="str"/>
      <x:c r="K4" s="46" t="str">
        <x:v>candidate_from_cooked</x:v>
      </x:c>
      <x:c r="L4" s="46" t="str">
        <x:v>eligible_for_goose_pilot</x:v>
      </x:c>
      <x:c r="M4" s="46" t="str"/>
    </x:row>
    <x:row r="5">
      <x:c r="A5" s="46" t="str">
        <x:v>GOOSE-CMP-004</x:v>
      </x:c>
      <x:c r="B5" s="46" t="str">
        <x:v>pentanal</x:v>
      </x:c>
      <x:c r="C5" s="46" t="str">
        <x:v>110-62-3</x:v>
      </x:c>
      <x:c r="D5" s="46" t="str">
        <x:v>Carbonyls, aldehydes</x:v>
      </x:c>
      <x:c r="E5" s="46" t="str">
        <x:v>institutional chemical registry</x:v>
      </x:c>
      <x:c r="F5" s="46" t="str">
        <x:v>https://pubchem.ncbi.nlm.nih.gov/compound/Pentanal</x:v>
      </x:c>
      <x:c r="G5" s="46" t="str">
        <x:v>verified</x:v>
      </x:c>
      <x:c r="H5" s="46" t="str"/>
      <x:c r="I5" s="46" t="str">
        <x:v>elevated</x:v>
      </x:c>
      <x:c r="J5" s="46" t="str"/>
      <x:c r="K5" s="46" t="str">
        <x:v>candidate_from_cooked</x:v>
      </x:c>
      <x:c r="L5" s="46" t="str">
        <x:v>eligible_for_goose_pilot</x:v>
      </x:c>
      <x:c r="M5" s="46" t="str"/>
    </x:row>
    <x:row r="6">
      <x:c r="A6" s="46" t="str">
        <x:v>GOOSE-CMP-005</x:v>
      </x:c>
      <x:c r="B6" s="46" t="str">
        <x:v>propyl butanoate</x:v>
      </x:c>
      <x:c r="C6" s="46" t="str">
        <x:v>105-66-8</x:v>
      </x:c>
      <x:c r="D6" s="46" t="str">
        <x:v>Esters</x:v>
      </x:c>
      <x:c r="E6" s="46" t="str">
        <x:v>institutional chemical registry</x:v>
      </x:c>
      <x:c r="F6" s="46" t="str">
        <x:v>https://pubchem.ncbi.nlm.nih.gov/compound/Propyl-butyrate</x:v>
      </x:c>
      <x:c r="G6" s="46" t="str">
        <x:v>verified</x:v>
      </x:c>
      <x:c r="H6" s="46" t="str"/>
      <x:c r="I6" s="46" t="str">
        <x:v>elevated</x:v>
      </x:c>
      <x:c r="J6" s="46" t="str"/>
      <x:c r="K6" s="46" t="str">
        <x:v>candidate_from_cooked</x:v>
      </x:c>
      <x:c r="L6" s="46" t="str">
        <x:v>eligible_for_goose_pilot</x:v>
      </x:c>
      <x:c r="M6" s="46" t="str"/>
    </x:row>
    <x:row r="7">
      <x:c r="A7" s="46" t="str">
        <x:v>GOOSE-CMP-006</x:v>
      </x:c>
      <x:c r="B7" s="46" t="str">
        <x:v>ethyl heptanoate</x:v>
      </x:c>
      <x:c r="C7" s="46" t="str">
        <x:v>106-30-9</x:v>
      </x:c>
      <x:c r="D7" s="46" t="str">
        <x:v>Esters</x:v>
      </x:c>
      <x:c r="E7" s="46" t="str">
        <x:v>institutional chemical registry</x:v>
      </x:c>
      <x:c r="F7" s="46" t="str">
        <x:v>https://pubchem.ncbi.nlm.nih.gov/compound/Ethyl-Heptanoate</x:v>
      </x:c>
      <x:c r="G7" s="46" t="str">
        <x:v>verified</x:v>
      </x:c>
      <x:c r="H7" s="46" t="str"/>
      <x:c r="I7" s="46" t="str">
        <x:v>SV_discriminant</x:v>
      </x:c>
      <x:c r="J7" s="46" t="str"/>
      <x:c r="K7" s="46" t="str">
        <x:v>not_core</x:v>
      </x:c>
      <x:c r="L7" s="46" t="str">
        <x:v>eligible_for_goose_pilot</x:v>
      </x:c>
      <x:c r="M7" s="46" t="str"/>
    </x:row>
    <x:row r="8">
      <x:c r="A8" s="46" t="str">
        <x:v>GOOSE-CMP-007</x:v>
      </x:c>
      <x:c r="B8" s="46" t="str">
        <x:v>4-methylthiazole</x:v>
      </x:c>
      <x:c r="C8" s="46" t="str">
        <x:v>693-95-8</x:v>
      </x:c>
      <x:c r="D8" s="46" t="str">
        <x:v>Sulfur compounds</x:v>
      </x:c>
      <x:c r="E8" s="46" t="str">
        <x:v>institutional chemical registry</x:v>
      </x:c>
      <x:c r="F8" s="46" t="str">
        <x:v>https://pubchem.ncbi.nlm.nih.gov/compound/4-Methylthiazole</x:v>
      </x:c>
      <x:c r="G8" s="46" t="str">
        <x:v>verified</x:v>
      </x:c>
      <x:c r="H8" s="46" t="str"/>
      <x:c r="I8" s="46" t="str">
        <x:v>non_SV_discriminant</x:v>
      </x:c>
      <x:c r="J8" s="46" t="str"/>
      <x:c r="K8" s="46" t="str">
        <x:v>candidate_from_cooked</x:v>
      </x:c>
      <x:c r="L8" s="46" t="str">
        <x:v>eligible_for_goose_pilot</x:v>
      </x:c>
      <x:c r="M8" s="46" t="str"/>
    </x:row>
    <x:row r="9">
      <x:c r="A9" s="46" t="str">
        <x:v>GOOSE-CMP-008</x:v>
      </x:c>
      <x:c r="B9" s="46" t="str">
        <x:v>2-furanmethanethiol (2-furfurylthiol)</x:v>
      </x:c>
      <x:c r="C9" s="46" t="str">
        <x:v>98-02-2</x:v>
      </x:c>
      <x:c r="D9" s="46" t="str">
        <x:v>Sulfur compounds</x:v>
      </x:c>
      <x:c r="E9" s="46" t="str">
        <x:v>institutional chemical registry</x:v>
      </x:c>
      <x:c r="F9" s="46" t="str">
        <x:v>https://pubchem.ncbi.nlm.nih.gov/compound/2-Furanmethanethiol</x:v>
      </x:c>
      <x:c r="G9" s="46" t="str">
        <x:v>verified</x:v>
      </x:c>
      <x:c r="H9" s="46" t="str"/>
      <x:c r="I9" s="46" t="str"/>
      <x:c r="J9" s="46" t="str">
        <x:v>key</x:v>
      </x:c>
      <x:c r="K9" s="46" t="str"/>
      <x:c r="L9" s="46" t="str">
        <x:v>eligible_for_goose_pilot</x:v>
      </x:c>
      <x:c r="M9" s="46" t="str"/>
    </x:row>
    <x:row r="10">
      <x:c r="A10" s="46" t="str">
        <x:v>GOOSE-CMP-009</x:v>
      </x:c>
      <x:c r="B10" s="46" t="str">
        <x:v>2-acetyl-2-thiazoline</x:v>
      </x:c>
      <x:c r="C10" s="46" t="str">
        <x:v>29926-41-8</x:v>
      </x:c>
      <x:c r="D10" s="46" t="str">
        <x:v>Sulfur compounds</x:v>
      </x:c>
      <x:c r="E10" s="46" t="str">
        <x:v>institutional chemical registry</x:v>
      </x:c>
      <x:c r="F10" s="46" t="str">
        <x:v>https://pubchem.ncbi.nlm.nih.gov/compound/2-Acetyl-2-thiazoline</x:v>
      </x:c>
      <x:c r="G10" s="46" t="str">
        <x:v>verified</x:v>
      </x:c>
      <x:c r="H10" s="46" t="str"/>
      <x:c r="I10" s="46" t="str"/>
      <x:c r="J10" s="46" t="str">
        <x:v>key</x:v>
      </x:c>
      <x:c r="K10" s="46" t="str"/>
      <x:c r="L10" s="46" t="str">
        <x:v>eligible_for_goose_pilot</x:v>
      </x:c>
      <x:c r="M10" s="46" t="str"/>
    </x:row>
    <x:row r="11">
      <x:c r="A11" s="46" t="str">
        <x:v>GOOSE-CMP-010</x:v>
      </x:c>
      <x:c r="B11" s="46" t="str">
        <x:v>1-octen-3-one</x:v>
      </x:c>
      <x:c r="C11" s="46" t="str">
        <x:v>4312-99-6</x:v>
      </x:c>
      <x:c r="D11" s="46" t="str">
        <x:v>Carbonyls, ketones</x:v>
      </x:c>
      <x:c r="E11" s="46" t="str">
        <x:v>institutional chemical registry</x:v>
      </x:c>
      <x:c r="F11" s="46" t="str">
        <x:v>https://pubchem.ncbi.nlm.nih.gov/compound/1-octen-3-one</x:v>
      </x:c>
      <x:c r="G11" s="46" t="str">
        <x:v>verified</x:v>
      </x:c>
      <x:c r="H11" s="46" t="str"/>
      <x:c r="I11" s="46" t="str"/>
      <x:c r="J11" s="46" t="str">
        <x:v>key</x:v>
      </x:c>
      <x:c r="K11" s="46" t="str"/>
      <x:c r="L11" s="46" t="str">
        <x:v>eligible_for_goose_pilot</x:v>
      </x:c>
      <x:c r="M11" s="46" t="str"/>
    </x:row>
    <x:row r="12">
      <x:c r="A12" s="46" t="str">
        <x:v>GOOSE-CMP-011</x:v>
      </x:c>
      <x:c r="B12" s="46" t="str">
        <x:v>2-phenylethanethiol</x:v>
      </x:c>
      <x:c r="C12" s="46" t="str">
        <x:v>4410-99-5</x:v>
      </x:c>
      <x:c r="D12" s="46" t="str">
        <x:v>Sulfur compounds</x:v>
      </x:c>
      <x:c r="E12" s="46" t="str">
        <x:v>institutional chemical registry</x:v>
      </x:c>
      <x:c r="F12" s="46" t="str">
        <x:v>https://pubchem.ncbi.nlm.nih.gov/compound/2-Phenylethanethiol</x:v>
      </x:c>
      <x:c r="G12" s="46" t="str">
        <x:v>verified</x:v>
      </x:c>
      <x:c r="H12" s="46" t="str"/>
      <x:c r="I12" s="46" t="str"/>
      <x:c r="J12" s="46" t="str">
        <x:v>key</x:v>
      </x:c>
      <x:c r="K12" s="46" t="str"/>
      <x:c r="L12" s="46" t="str">
        <x:v>eligible_for_goose_pilot</x:v>
      </x:c>
      <x:c r="M12" s="46" t="str"/>
    </x:row>
    <x:row r="13">
      <x:c r="A13" s="46" t="str">
        <x:v>GOOSE-CMP-012</x:v>
      </x:c>
      <x:c r="B13" s="46" t="str">
        <x:v>sotolon</x:v>
      </x:c>
      <x:c r="C13" s="46" t="str">
        <x:v>28664-35-9</x:v>
      </x:c>
      <x:c r="D13" s="46" t="str">
        <x:v>Lactones</x:v>
      </x:c>
      <x:c r="E13" s="46" t="str">
        <x:v>institutional chemical registry</x:v>
      </x:c>
      <x:c r="F13" s="46" t="str">
        <x:v>https://pubchem.ncbi.nlm.nih.gov/compound/Sotolone</x:v>
      </x:c>
      <x:c r="G13" s="46" t="str">
        <x:v>verified</x:v>
      </x:c>
      <x:c r="H13" s="46" t="str"/>
      <x:c r="I13" s="46" t="str"/>
      <x:c r="J13" s="46" t="str">
        <x:v>key</x:v>
      </x:c>
      <x:c r="K13" s="46" t="str"/>
      <x:c r="L13" s="46" t="str">
        <x:v>eligible_for_goose_pilot</x:v>
      </x:c>
      <x:c r="M13" s="46" t="str"/>
    </x:row>
    <x:row r="14">
      <x:c r="A14" s="46" t="str">
        <x:v>GOOSE-CMP-013</x:v>
      </x:c>
      <x:c r="B14" s="46" t="str">
        <x:v>furaneol</x:v>
      </x:c>
      <x:c r="C14" s="46" t="str">
        <x:v>3658-77-3</x:v>
      </x:c>
      <x:c r="D14" s="46" t="str">
        <x:v>Furans</x:v>
      </x:c>
      <x:c r="E14" s="46" t="str">
        <x:v>institutional chemical registry</x:v>
      </x:c>
      <x:c r="F14" s="46" t="str">
        <x:v>https://pubchem.ncbi.nlm.nih.gov/compound/Furaneol</x:v>
      </x:c>
      <x:c r="G14" s="46" t="str">
        <x:v>verified</x:v>
      </x:c>
      <x:c r="H14" s="46" t="str"/>
      <x:c r="I14" s="46" t="str"/>
      <x:c r="J14" s="46" t="str">
        <x:v>key</x:v>
      </x:c>
      <x:c r="K14" s="46" t="str"/>
      <x:c r="L14" s="46" t="str">
        <x:v>eligible_for_goose_pilot</x:v>
      </x:c>
      <x:c r="M14" s="46" t="str"/>
    </x:row>
    <x:row r="15">
      <x:c r="A15" s="46" t="str">
        <x:v>GOOSE-CMP-014</x:v>
      </x:c>
      <x:c r="B15" s="46" t="str">
        <x:v>(E,E)-2,4-decadienal</x:v>
      </x:c>
      <x:c r="C15" s="46" t="str">
        <x:v>25152-84-5</x:v>
      </x:c>
      <x:c r="D15" s="46" t="str">
        <x:v>Carbonyls, aldehydes</x:v>
      </x:c>
      <x:c r="E15" s="46" t="str">
        <x:v>institutional chemical registry</x:v>
      </x:c>
      <x:c r="F15" s="46" t="str">
        <x:v>https://pubchem.ncbi.nlm.nih.gov/compound/2_4-Decadienal</x:v>
      </x:c>
      <x:c r="G15" s="46" t="str">
        <x:v>verified</x:v>
      </x:c>
      <x:c r="H15" s="46" t="str"/>
      <x:c r="I15" s="46" t="str"/>
      <x:c r="J15" s="46" t="str">
        <x:v>key</x:v>
      </x:c>
      <x:c r="K15" s="46" t="str"/>
      <x:c r="L15" s="46" t="str">
        <x:v>eligible_for_goose_pilot</x:v>
      </x:c>
      <x:c r="M15" s="46" t="str"/>
    </x:row>
    <x:row r="16">
      <x:c r="A16" s="46" t="str">
        <x:v>GOOSE-CMP-015</x:v>
      </x:c>
      <x:c r="B16" s="46" t="str">
        <x:v>2-acetyl-1-pyrroline</x:v>
      </x:c>
      <x:c r="C16" s="46" t="str">
        <x:v>85213-22-5</x:v>
      </x:c>
      <x:c r="D16" s="46" t="str">
        <x:v>Bases</x:v>
      </x:c>
      <x:c r="E16" s="46" t="str">
        <x:v>institutional chemical registry</x:v>
      </x:c>
      <x:c r="F16" s="46" t="str">
        <x:v>https://pubchem.ncbi.nlm.nih.gov/compound/2-Acetyl-1-pyrroline</x:v>
      </x:c>
      <x:c r="G16" s="46" t="str">
        <x:v>verified</x:v>
      </x:c>
      <x:c r="H16" s="46" t="str"/>
      <x:c r="I16" s="46" t="str"/>
      <x:c r="J16" s="46" t="str">
        <x:v>key</x:v>
      </x:c>
      <x:c r="K16" s="46" t="str"/>
      <x:c r="L16" s="46" t="str">
        <x:v>eligible_for_goose_pilot</x:v>
      </x:c>
      <x:c r="M16" s="46" t="str"/>
    </x:row>
    <x:row r="17">
      <x:c r="A17" s="46" t="str">
        <x:v>GOOSE-CMP-016</x:v>
      </x:c>
      <x:c r="B17" s="46" t="str">
        <x:v>methional</x:v>
      </x:c>
      <x:c r="C17" s="46" t="str">
        <x:v>3268-49-3</x:v>
      </x:c>
      <x:c r="D17" s="46" t="str">
        <x:v>Sulfur compounds</x:v>
      </x:c>
      <x:c r="E17" s="46" t="str">
        <x:v>institutional chemical registry</x:v>
      </x:c>
      <x:c r="F17" s="46" t="str">
        <x:v>https://pubchem.ncbi.nlm.nih.gov/compound/Methional</x:v>
      </x:c>
      <x:c r="G17" s="46" t="str">
        <x:v>verified</x:v>
      </x:c>
      <x:c r="H17" s="46" t="str"/>
      <x:c r="I17" s="46" t="str"/>
      <x:c r="J17" s="46" t="str">
        <x:v>key</x:v>
      </x:c>
      <x:c r="K17" s="46" t="str"/>
      <x:c r="L17" s="46" t="str">
        <x:v>eligible_for_goose_pilot</x:v>
      </x:c>
      <x:c r="M17" s="46" t="str"/>
    </x:row>
    <x:row r="18">
      <x:c r="A18" s="46" t="str">
        <x:v>GOOSE-CMP-017</x:v>
      </x:c>
      <x:c r="B18" s="46" t="str">
        <x:v>carbon disulfide</x:v>
      </x:c>
      <x:c r="C18" s="46" t="str">
        <x:v>75-15-0</x:v>
      </x:c>
      <x:c r="D18" s="46" t="str">
        <x:v>Sulfur compounds</x:v>
      </x:c>
      <x:c r="E18" s="46" t="str">
        <x:v>institutional chemical registry</x:v>
      </x:c>
      <x:c r="F18" s="46" t="str">
        <x:v>https://pubchem.ncbi.nlm.nih.gov/compound/Carbon-Disulfide</x:v>
      </x:c>
      <x:c r="G18" s="46" t="str">
        <x:v>verified</x:v>
      </x:c>
      <x:c r="H18" s="46" t="str">
        <x:v>measured_predominant</x:v>
      </x:c>
      <x:c r="I18" s="46" t="str"/>
      <x:c r="J18" s="46" t="str"/>
      <x:c r="K18" s="46" t="str"/>
      <x:c r="L18" s="46" t="str">
        <x:v>hold_context_caution</x:v>
      </x:c>
      <x:c r="M18" s="46" t="str">
        <x:v>Measured as predominant in 2007 raw goose samples, but the study and later literature caution that carbon disulfide may reflect agricultural/fungicide-related origin rather than endogenous desirable meat aroma.</x:v>
      </x:c>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17" hidden="0" customWidth="1"/>
    <x:col min="5" max="5" width="36" hidden="0" customWidth="1"/>
    <x:col min="6" max="6" width="38" hidden="0" customWidth="1"/>
    <x:col min="7" max="7" width="16" hidden="0" customWidth="1"/>
    <x:col min="8" max="8" width="24" hidden="0" customWidth="1"/>
    <x:col min="9" max="9" width="24" hidden="0" customWidth="1"/>
    <x:col min="10" max="10" width="18" hidden="0" customWidth="1"/>
    <x:col min="11" max="11" width="30" hidden="0" customWidth="1"/>
    <x:col min="12" max="12" width="60" hidden="0" customWidth="1"/>
    <x:col min="13" max="13" width="25" hidden="0" customWidth="1"/>
    <x:col min="14" max="14" width="52" hidden="0" customWidth="1"/>
    <x:col min="15" max="15" width="28" hidden="0" customWidth="1"/>
    <x:col min="16" max="16" width="30" hidden="0" customWidth="1"/>
    <x:col min="17" max="17" width="52" hidden="0" customWidth="1"/>
  </x:cols>
  <x:sheetData>
    <x:row r="1" ht="34" customHeight="1">
      <x:c r="A1" s="67" t="str">
        <x:v>profile_record_id</x:v>
      </x:c>
      <x:c r="B1" s="67" t="str">
        <x:v>protein</x:v>
      </x:c>
      <x:c r="C1" s="67" t="str">
        <x:v>family_id</x:v>
      </x:c>
      <x:c r="D1" s="67" t="str">
        <x:v>preparation_state</x:v>
      </x:c>
      <x:c r="E1" s="67" t="str">
        <x:v>cut_or_part</x:v>
      </x:c>
      <x:c r="F1" s="67" t="str">
        <x:v>compound_name</x:v>
      </x:c>
      <x:c r="G1" s="67" t="str">
        <x:v>cas</x:v>
      </x:c>
      <x:c r="H1" s="67" t="str">
        <x:v>compound_group</x:v>
      </x:c>
      <x:c r="I1" s="67" t="str">
        <x:v>evidence_mode</x:v>
      </x:c>
      <x:c r="J1" s="67" t="str">
        <x:v>direct_source_state</x:v>
      </x:c>
      <x:c r="K1" s="67" t="str">
        <x:v>importance_class</x:v>
      </x:c>
      <x:c r="L1" s="67" t="str">
        <x:v>importance_detail</x:v>
      </x:c>
      <x:c r="M1" s="67" t="str">
        <x:v>source_id</x:v>
      </x:c>
      <x:c r="N1" s="67" t="str">
        <x:v>source_url</x:v>
      </x:c>
      <x:c r="O1" s="67" t="str">
        <x:v>source_context_confounded</x:v>
      </x:c>
      <x:c r="P1" s="67" t="str">
        <x:v>promotion_status</x:v>
      </x:c>
      <x:c r="Q1" s="67" t="str">
        <x:v>notes</x:v>
      </x:c>
    </x:row>
    <x:row r="2">
      <x:c r="A2" s="46" t="str">
        <x:v>GP-001</x:v>
      </x:c>
      <x:c r="B2" s="46" t="str">
        <x:v>goose</x:v>
      </x:c>
      <x:c r="C2" s="46" t="str">
        <x:v>family:poultry</x:v>
      </x:c>
      <x:c r="D2" s="46" t="str">
        <x:v>raw</x:v>
      </x:c>
      <x:c r="E2" s="46" t="str">
        <x:v>raw Sichuan white goose control</x:v>
      </x:c>
      <x:c r="F2" s="46" t="str">
        <x:v>1-hexanol</x:v>
      </x:c>
      <x:c r="G2" s="46" t="str">
        <x:v>111-27-3</x:v>
      </x:c>
      <x:c r="H2" s="46" t="str">
        <x:v>Alcohols</x:v>
      </x:c>
      <x:c r="I2" s="46" t="str">
        <x:v>measured</x:v>
      </x:c>
      <x:c r="J2" s="46" t="str">
        <x:v>raw</x:v>
      </x:c>
      <x:c r="K2" s="46" t="str">
        <x:v>raw_key_odorant</x:v>
      </x:c>
      <x:c r="L2" s="46" t="str">
        <x:v>Identified as a key odorant in the raw control with fatty/grassy notes; both ROAV and relative content decreased after cooking.</x:v>
      </x:c>
      <x:c r="M2" s="46" t="str">
        <x:v>SRC-GOOSE-COOK-001</x:v>
      </x:c>
      <x:c r="N2" s="46" t="str">
        <x:v>https://www.tandfonline.com/doi/full/10.1080/19476337.2025.2599598</x:v>
      </x:c>
      <x:c r="O2" s="46" t="str">
        <x:v>no</x:v>
      </x:c>
      <x:c r="P2" s="46" t="str">
        <x:v>eligible_for_goose_pilot</x:v>
      </x:c>
      <x:c r="Q2" s="46" t="str">
        <x:v>Raw goose profile remains intentionally thin; no full raw key-aroma set is claimed.</x:v>
      </x:c>
    </x:row>
    <x:row r="3">
      <x:c r="A3" s="46" t="str">
        <x:v>GP-002</x:v>
      </x:c>
      <x:c r="B3" s="46" t="str">
        <x:v>goose</x:v>
      </x:c>
      <x:c r="C3" s="46" t="str">
        <x:v>family:poultry</x:v>
      </x:c>
      <x:c r="D3" s="46" t="str">
        <x:v>raw</x:v>
      </x:c>
      <x:c r="E3" s="46" t="str">
        <x:v>raw Sichuan white goose control</x:v>
      </x:c>
      <x:c r="F3" s="46" t="str">
        <x:v>hexanal</x:v>
      </x:c>
      <x:c r="G3" s="46" t="str">
        <x:v>66-25-1</x:v>
      </x:c>
      <x:c r="H3" s="46" t="str">
        <x:v>Carbonyls, aldehydes</x:v>
      </x:c>
      <x:c r="I3" s="46" t="str">
        <x:v>measured</x:v>
      </x:c>
      <x:c r="J3" s="46" t="str">
        <x:v>raw</x:v>
      </x:c>
      <x:c r="K3" s="46" t="str">
        <x:v>high_ROAV_across_samples</x:v>
      </x:c>
      <x:c r="L3" s="46" t="str">
        <x:v>1-hexanal-D had the highest ROAV across all study samples; cooked treatments showed higher concentration than the raw control.</x:v>
      </x:c>
      <x:c r="M3" s="46" t="str">
        <x:v>SRC-GOOSE-COOK-001</x:v>
      </x:c>
      <x:c r="N3" s="46" t="str">
        <x:v>https://www.tandfonline.com/doi/full/10.1080/19476337.2025.2599598</x:v>
      </x:c>
      <x:c r="O3" s="46" t="str">
        <x:v>no</x:v>
      </x:c>
      <x:c r="P3" s="46" t="str">
        <x:v>eligible_for_goose_pilot</x:v>
      </x:c>
      <x:c r="Q3" s="46" t="str">
        <x:v>Supports raw presence and odor relevance, but the study's strongest discrimination was among cooking methods.</x:v>
      </x:c>
    </x:row>
    <x:row r="4">
      <x:c r="A4" s="46" t="str">
        <x:v>GP-003</x:v>
      </x:c>
      <x:c r="B4" s="46" t="str">
        <x:v>goose</x:v>
      </x:c>
      <x:c r="C4" s="46" t="str">
        <x:v>family:poultry</x:v>
      </x:c>
      <x:c r="D4" s="46" t="str">
        <x:v>raw</x:v>
      </x:c>
      <x:c r="E4" s="46" t="str">
        <x:v>four raw goose samples</x:v>
      </x:c>
      <x:c r="F4" s="46" t="str">
        <x:v>carbon disulfide</x:v>
      </x:c>
      <x:c r="G4" s="46" t="str">
        <x:v>75-15-0</x:v>
      </x:c>
      <x:c r="H4" s="46" t="str">
        <x:v>Sulfur compounds</x:v>
      </x:c>
      <x:c r="I4" s="46" t="str">
        <x:v>measured_context_caution</x:v>
      </x:c>
      <x:c r="J4" s="46" t="str">
        <x:v>raw</x:v>
      </x:c>
      <x:c r="K4" s="46" t="str">
        <x:v>predominant_raw_volatile</x:v>
      </x:c>
      <x:c r="L4" s="46" t="str">
        <x:v>Carbon disulfide was reported as a predominant volatile in the raw goose samples.</x:v>
      </x:c>
      <x:c r="M4" s="46" t="str">
        <x:v>SRC-GOOSE-RAW-001</x:v>
      </x:c>
      <x:c r="N4" s="46" t="str">
        <x:v>https://www.sciencedirect.com/science/article/abs/pii/S0889157506001499</x:v>
      </x:c>
      <x:c r="O4" s="46" t="str">
        <x:v>possible_agricultural_or_contaminant_origin</x:v>
      </x:c>
      <x:c r="P4" s="46" t="str">
        <x:v>hold_context_caution</x:v>
      </x:c>
      <x:c r="Q4" s="46" t="str">
        <x:v>Do not use as a positive flavor signature without founder/scientific review.</x:v>
      </x:c>
    </x:row>
    <x:row r="5">
      <x:c r="A5" s="46" t="str">
        <x:v>GP-004</x:v>
      </x:c>
      <x:c r="B5" s="46" t="str">
        <x:v>goose</x:v>
      </x:c>
      <x:c r="C5" s="46" t="str">
        <x:v>family:poultry</x:v>
      </x:c>
      <x:c r="D5" s="46" t="str">
        <x:v>cooked</x:v>
      </x:c>
      <x:c r="E5" s="46" t="str">
        <x:v>boiled / microwave / steam-assisted baked / sous-vide goose</x:v>
      </x:c>
      <x:c r="F5" s="46" t="str">
        <x:v>hexanal</x:v>
      </x:c>
      <x:c r="G5" s="46" t="str">
        <x:v>66-25-1</x:v>
      </x:c>
      <x:c r="H5" s="46" t="str">
        <x:v>Carbonyls, aldehydes</x:v>
      </x:c>
      <x:c r="I5" s="46" t="str">
        <x:v>measured</x:v>
      </x:c>
      <x:c r="J5" s="46" t="str">
        <x:v>cooked_methods</x:v>
      </x:c>
      <x:c r="K5" s="46" t="str">
        <x:v>elevated_after_cooking</x:v>
      </x:c>
      <x:c r="L5" s="46" t="str">
        <x:v>These four compounds were reported at higher concentrations in cooked groups than in the raw control; hexanal and pentanal are tied to fatty-acid oxidation.</x:v>
      </x:c>
      <x:c r="M5" s="46" t="str">
        <x:v>SRC-GOOSE-COOK-001</x:v>
      </x:c>
      <x:c r="N5" s="46" t="str">
        <x:v>https://www.tandfonline.com/doi/full/10.1080/19476337.2025.2599598</x:v>
      </x:c>
      <x:c r="O5" s="46" t="str">
        <x:v>no</x:v>
      </x:c>
      <x:c r="P5" s="46" t="str">
        <x:v>eligible_cooked_goose_core_candidate</x:v>
      </x:c>
      <x:c r="Q5" s="46" t="str"/>
    </x:row>
    <x:row r="6">
      <x:c r="A6" s="46" t="str">
        <x:v>GP-005</x:v>
      </x:c>
      <x:c r="B6" s="46" t="str">
        <x:v>goose</x:v>
      </x:c>
      <x:c r="C6" s="46" t="str">
        <x:v>family:poultry</x:v>
      </x:c>
      <x:c r="D6" s="46" t="str">
        <x:v>cooked</x:v>
      </x:c>
      <x:c r="E6" s="46" t="str">
        <x:v>boiled / microwave / steam-assisted baked / sous-vide goose</x:v>
      </x:c>
      <x:c r="F6" s="46" t="str">
        <x:v>pentanal</x:v>
      </x:c>
      <x:c r="G6" s="46" t="str">
        <x:v>110-62-3</x:v>
      </x:c>
      <x:c r="H6" s="46" t="str">
        <x:v>Carbonyls, aldehydes</x:v>
      </x:c>
      <x:c r="I6" s="46" t="str">
        <x:v>measured</x:v>
      </x:c>
      <x:c r="J6" s="46" t="str">
        <x:v>cooked_methods</x:v>
      </x:c>
      <x:c r="K6" s="46" t="str">
        <x:v>elevated_after_cooking</x:v>
      </x:c>
      <x:c r="L6" s="46" t="str">
        <x:v>These four compounds were reported at higher concentrations in cooked groups than in the raw control; hexanal and pentanal are tied to fatty-acid oxidation.</x:v>
      </x:c>
      <x:c r="M6" s="46" t="str">
        <x:v>SRC-GOOSE-COOK-001</x:v>
      </x:c>
      <x:c r="N6" s="46" t="str">
        <x:v>https://www.tandfonline.com/doi/full/10.1080/19476337.2025.2599598</x:v>
      </x:c>
      <x:c r="O6" s="46" t="str">
        <x:v>no</x:v>
      </x:c>
      <x:c r="P6" s="46" t="str">
        <x:v>eligible_cooked_goose_core_candidate</x:v>
      </x:c>
      <x:c r="Q6" s="46" t="str"/>
    </x:row>
    <x:row r="7">
      <x:c r="A7" s="46" t="str">
        <x:v>GP-006</x:v>
      </x:c>
      <x:c r="B7" s="46" t="str">
        <x:v>goose</x:v>
      </x:c>
      <x:c r="C7" s="46" t="str">
        <x:v>family:poultry</x:v>
      </x:c>
      <x:c r="D7" s="46" t="str">
        <x:v>cooked</x:v>
      </x:c>
      <x:c r="E7" s="46" t="str">
        <x:v>boiled / microwave / steam-assisted baked / sous-vide goose</x:v>
      </x:c>
      <x:c r="F7" s="46" t="str">
        <x:v>heptanal</x:v>
      </x:c>
      <x:c r="G7" s="46" t="str">
        <x:v>111-71-7</x:v>
      </x:c>
      <x:c r="H7" s="46" t="str">
        <x:v>Carbonyls, aldehydes</x:v>
      </x:c>
      <x:c r="I7" s="46" t="str">
        <x:v>measured</x:v>
      </x:c>
      <x:c r="J7" s="46" t="str">
        <x:v>cooked_methods</x:v>
      </x:c>
      <x:c r="K7" s="46" t="str">
        <x:v>elevated_after_cooking</x:v>
      </x:c>
      <x:c r="L7" s="46" t="str">
        <x:v>These four compounds were reported at higher concentrations in cooked groups than in the raw control; hexanal and pentanal are tied to fatty-acid oxidation.</x:v>
      </x:c>
      <x:c r="M7" s="46" t="str">
        <x:v>SRC-GOOSE-COOK-001</x:v>
      </x:c>
      <x:c r="N7" s="46" t="str">
        <x:v>https://www.tandfonline.com/doi/full/10.1080/19476337.2025.2599598</x:v>
      </x:c>
      <x:c r="O7" s="46" t="str">
        <x:v>no</x:v>
      </x:c>
      <x:c r="P7" s="46" t="str">
        <x:v>eligible_cooked_goose_core_candidate</x:v>
      </x:c>
      <x:c r="Q7" s="46" t="str"/>
    </x:row>
    <x:row r="8">
      <x:c r="A8" s="46" t="str">
        <x:v>GP-007</x:v>
      </x:c>
      <x:c r="B8" s="46" t="str">
        <x:v>goose</x:v>
      </x:c>
      <x:c r="C8" s="46" t="str">
        <x:v>family:poultry</x:v>
      </x:c>
      <x:c r="D8" s="46" t="str">
        <x:v>cooked</x:v>
      </x:c>
      <x:c r="E8" s="46" t="str">
        <x:v>boiled / microwave / steam-assisted baked / sous-vide goose</x:v>
      </x:c>
      <x:c r="F8" s="46" t="str">
        <x:v>propyl butanoate</x:v>
      </x:c>
      <x:c r="G8" s="46" t="str">
        <x:v>105-66-8</x:v>
      </x:c>
      <x:c r="H8" s="46" t="str">
        <x:v>Esters</x:v>
      </x:c>
      <x:c r="I8" s="46" t="str">
        <x:v>measured</x:v>
      </x:c>
      <x:c r="J8" s="46" t="str">
        <x:v>cooked_methods</x:v>
      </x:c>
      <x:c r="K8" s="46" t="str">
        <x:v>elevated_after_cooking</x:v>
      </x:c>
      <x:c r="L8" s="46" t="str">
        <x:v>These four compounds were reported at higher concentrations in cooked groups than in the raw control; hexanal and pentanal are tied to fatty-acid oxidation.</x:v>
      </x:c>
      <x:c r="M8" s="46" t="str">
        <x:v>SRC-GOOSE-COOK-001</x:v>
      </x:c>
      <x:c r="N8" s="46" t="str">
        <x:v>https://www.tandfonline.com/doi/full/10.1080/19476337.2025.2599598</x:v>
      </x:c>
      <x:c r="O8" s="46" t="str">
        <x:v>no</x:v>
      </x:c>
      <x:c r="P8" s="46" t="str">
        <x:v>eligible_cooked_goose_core_candidate</x:v>
      </x:c>
      <x:c r="Q8" s="46" t="str"/>
    </x:row>
    <x:row r="9">
      <x:c r="A9" s="46" t="str">
        <x:v>GP-008</x:v>
      </x:c>
      <x:c r="B9" s="46" t="str">
        <x:v>goose</x:v>
      </x:c>
      <x:c r="C9" s="46" t="str">
        <x:v>family:poultry</x:v>
      </x:c>
      <x:c r="D9" s="46" t="str">
        <x:v>cooked</x:v>
      </x:c>
      <x:c r="E9" s="46" t="str">
        <x:v>non-sous-vide cooked goose methods</x:v>
      </x:c>
      <x:c r="F9" s="46" t="str">
        <x:v>4-methylthiazole</x:v>
      </x:c>
      <x:c r="G9" s="46" t="str">
        <x:v>693-95-8</x:v>
      </x:c>
      <x:c r="H9" s="46" t="str">
        <x:v>Sulfur compounds</x:v>
      </x:c>
      <x:c r="I9" s="46" t="str">
        <x:v>measured</x:v>
      </x:c>
      <x:c r="J9" s="46" t="str">
        <x:v>cooked_methods</x:v>
      </x:c>
      <x:c r="K9" s="46" t="str">
        <x:v>non_SV_discriminant</x:v>
      </x:c>
      <x:c r="L9" s="46" t="str">
        <x:v>4-methylthiazole had the highest ROAV among key odorants and was associated more strongly with the non-sous-vide cooked methods.</x:v>
      </x:c>
      <x:c r="M9" s="46" t="str">
        <x:v>SRC-GOOSE-COOK-001</x:v>
      </x:c>
      <x:c r="N9" s="46" t="str">
        <x:v>https://www.tandfonline.com/doi/full/10.1080/19476337.2025.2599598</x:v>
      </x:c>
      <x:c r="O9" s="46" t="str">
        <x:v>no</x:v>
      </x:c>
      <x:c r="P9" s="46" t="str">
        <x:v>eligible_cooked_goose_core_candidate</x:v>
      </x:c>
      <x:c r="Q9" s="46" t="str"/>
    </x:row>
    <x:row r="10">
      <x:c r="A10" s="46" t="str">
        <x:v>GP-009</x:v>
      </x:c>
      <x:c r="B10" s="46" t="str">
        <x:v>goose</x:v>
      </x:c>
      <x:c r="C10" s="46" t="str">
        <x:v>family:poultry</x:v>
      </x:c>
      <x:c r="D10" s="46" t="str">
        <x:v>sous-vide</x:v>
      </x:c>
      <x:c r="E10" s="46" t="str">
        <x:v>sous-vide goose</x:v>
      </x:c>
      <x:c r="F10" s="46" t="str">
        <x:v>ethyl heptanoate</x:v>
      </x:c>
      <x:c r="G10" s="46" t="str">
        <x:v>106-30-9</x:v>
      </x:c>
      <x:c r="H10" s="46" t="str">
        <x:v>Esters</x:v>
      </x:c>
      <x:c r="I10" s="46" t="str">
        <x:v>measured</x:v>
      </x:c>
      <x:c r="J10" s="46" t="str">
        <x:v>sous_vide</x:v>
      </x:c>
      <x:c r="K10" s="46" t="str">
        <x:v>SV_discriminant</x:v>
      </x:c>
      <x:c r="L10" s="46" t="str">
        <x:v>Ethyl heptanoate was identified as a key discriminant marker for sous-vide goose.</x:v>
      </x:c>
      <x:c r="M10" s="46" t="str">
        <x:v>SRC-GOOSE-COOK-001</x:v>
      </x:c>
      <x:c r="N10" s="46" t="str">
        <x:v>https://www.tandfonline.com/doi/full/10.1080/19476337.2025.2599598</x:v>
      </x:c>
      <x:c r="O10" s="46" t="str">
        <x:v>no</x:v>
      </x:c>
      <x:c r="P10" s="46" t="str">
        <x:v>state_specific_only</x:v>
      </x:c>
      <x:c r="Q10" s="46" t="str"/>
    </x:row>
    <x:row r="11">
      <x:c r="A11" s="46" t="str">
        <x:v>GP-010</x:v>
      </x:c>
      <x:c r="B11" s="46" t="str">
        <x:v>goose</x:v>
      </x:c>
      <x:c r="C11" s="46" t="str">
        <x:v>family:poultry</x:v>
      </x:c>
      <x:c r="D11" s="46" t="str">
        <x:v>roasted</x:v>
      </x:c>
      <x:c r="E11" s="46" t="str">
        <x:v>roasted White Kołuda goose leg</x:v>
      </x:c>
      <x:c r="F11" s="46" t="str">
        <x:v>2-furanmethanethiol (2-furfurylthiol)</x:v>
      </x:c>
      <x:c r="G11" s="46" t="str">
        <x:v>98-02-2</x:v>
      </x:c>
      <x:c r="H11" s="46" t="str">
        <x:v>Sulfur compounds</x:v>
      </x:c>
      <x:c r="I11" s="46" t="str">
        <x:v>measured</x:v>
      </x:c>
      <x:c r="J11" s="46" t="str">
        <x:v>roasted</x:v>
      </x:c>
      <x:c r="K11" s="46" t="str">
        <x:v>key_recombination_omission</x:v>
      </x:c>
      <x:c r="L11" s="46" t="str">
        <x:v>One of nine key aroma compounds defined by GC-O/AEDA, OAV, quantitation, recombination-omission, and sensory evaluation.</x:v>
      </x:c>
      <x:c r="M11" s="46" t="str">
        <x:v>SRC-GOOSE-ROAST-001</x:v>
      </x:c>
      <x:c r="N11" s="46" t="str">
        <x:v>https://pubmed.ncbi.nlm.nih.gov/34019403/</x:v>
      </x:c>
      <x:c r="O11" s="46" t="str">
        <x:v>no</x:v>
      </x:c>
      <x:c r="P11" s="46" t="str">
        <x:v>eligible_for_goose_pilot</x:v>
      </x:c>
      <x:c r="Q11" s="46" t="str">
        <x:v>2-furfurylthiol, 2-acetyl-1-pyrroline, and 1-octen-3-one had OAVs &gt;1024.</x:v>
      </x:c>
    </x:row>
    <x:row r="12">
      <x:c r="A12" s="46" t="str">
        <x:v>GP-011</x:v>
      </x:c>
      <x:c r="B12" s="46" t="str">
        <x:v>goose</x:v>
      </x:c>
      <x:c r="C12" s="46" t="str">
        <x:v>family:poultry</x:v>
      </x:c>
      <x:c r="D12" s="46" t="str">
        <x:v>roasted</x:v>
      </x:c>
      <x:c r="E12" s="46" t="str">
        <x:v>roasted White Kołuda goose leg</x:v>
      </x:c>
      <x:c r="F12" s="46" t="str">
        <x:v>2-acetyl-2-thiazoline</x:v>
      </x:c>
      <x:c r="G12" s="46" t="str">
        <x:v>29926-41-8</x:v>
      </x:c>
      <x:c r="H12" s="46" t="str">
        <x:v>Sulfur compounds</x:v>
      </x:c>
      <x:c r="I12" s="46" t="str">
        <x:v>measured</x:v>
      </x:c>
      <x:c r="J12" s="46" t="str">
        <x:v>roasted</x:v>
      </x:c>
      <x:c r="K12" s="46" t="str">
        <x:v>key_recombination_omission</x:v>
      </x:c>
      <x:c r="L12" s="46" t="str">
        <x:v>One of nine key aroma compounds defined by GC-O/AEDA, OAV, quantitation, recombination-omission, and sensory evaluation.</x:v>
      </x:c>
      <x:c r="M12" s="46" t="str">
        <x:v>SRC-GOOSE-ROAST-001</x:v>
      </x:c>
      <x:c r="N12" s="46" t="str">
        <x:v>https://pubmed.ncbi.nlm.nih.gov/34019403/</x:v>
      </x:c>
      <x:c r="O12" s="46" t="str">
        <x:v>no</x:v>
      </x:c>
      <x:c r="P12" s="46" t="str">
        <x:v>eligible_for_goose_pilot</x:v>
      </x:c>
      <x:c r="Q12" s="46" t="str">
        <x:v>2-furfurylthiol, 2-acetyl-1-pyrroline, and 1-octen-3-one had OAVs &gt;1024.</x:v>
      </x:c>
    </x:row>
    <x:row r="13">
      <x:c r="A13" s="46" t="str">
        <x:v>GP-012</x:v>
      </x:c>
      <x:c r="B13" s="46" t="str">
        <x:v>goose</x:v>
      </x:c>
      <x:c r="C13" s="46" t="str">
        <x:v>family:poultry</x:v>
      </x:c>
      <x:c r="D13" s="46" t="str">
        <x:v>roasted</x:v>
      </x:c>
      <x:c r="E13" s="46" t="str">
        <x:v>roasted White Kołuda goose leg</x:v>
      </x:c>
      <x:c r="F13" s="46" t="str">
        <x:v>1-octen-3-one</x:v>
      </x:c>
      <x:c r="G13" s="46" t="str">
        <x:v>4312-99-6</x:v>
      </x:c>
      <x:c r="H13" s="46" t="str">
        <x:v>Carbonyls, ketones</x:v>
      </x:c>
      <x:c r="I13" s="46" t="str">
        <x:v>measured</x:v>
      </x:c>
      <x:c r="J13" s="46" t="str">
        <x:v>roasted</x:v>
      </x:c>
      <x:c r="K13" s="46" t="str">
        <x:v>key_recombination_omission</x:v>
      </x:c>
      <x:c r="L13" s="46" t="str">
        <x:v>One of nine key aroma compounds defined by GC-O/AEDA, OAV, quantitation, recombination-omission, and sensory evaluation.</x:v>
      </x:c>
      <x:c r="M13" s="46" t="str">
        <x:v>SRC-GOOSE-ROAST-001</x:v>
      </x:c>
      <x:c r="N13" s="46" t="str">
        <x:v>https://pubmed.ncbi.nlm.nih.gov/34019403/</x:v>
      </x:c>
      <x:c r="O13" s="46" t="str">
        <x:v>no</x:v>
      </x:c>
      <x:c r="P13" s="46" t="str">
        <x:v>eligible_for_goose_pilot</x:v>
      </x:c>
      <x:c r="Q13" s="46" t="str">
        <x:v>2-furfurylthiol, 2-acetyl-1-pyrroline, and 1-octen-3-one had OAVs &gt;1024.</x:v>
      </x:c>
    </x:row>
    <x:row r="14">
      <x:c r="A14" s="46" t="str">
        <x:v>GP-013</x:v>
      </x:c>
      <x:c r="B14" s="46" t="str">
        <x:v>goose</x:v>
      </x:c>
      <x:c r="C14" s="46" t="str">
        <x:v>family:poultry</x:v>
      </x:c>
      <x:c r="D14" s="46" t="str">
        <x:v>roasted</x:v>
      </x:c>
      <x:c r="E14" s="46" t="str">
        <x:v>roasted White Kołuda goose leg</x:v>
      </x:c>
      <x:c r="F14" s="46" t="str">
        <x:v>2-phenylethanethiol</x:v>
      </x:c>
      <x:c r="G14" s="46" t="str">
        <x:v>4410-99-5</x:v>
      </x:c>
      <x:c r="H14" s="46" t="str">
        <x:v>Sulfur compounds</x:v>
      </x:c>
      <x:c r="I14" s="46" t="str">
        <x:v>measured</x:v>
      </x:c>
      <x:c r="J14" s="46" t="str">
        <x:v>roasted</x:v>
      </x:c>
      <x:c r="K14" s="46" t="str">
        <x:v>key_recombination_omission</x:v>
      </x:c>
      <x:c r="L14" s="46" t="str">
        <x:v>One of nine key aroma compounds defined by GC-O/AEDA, OAV, quantitation, recombination-omission, and sensory evaluation.</x:v>
      </x:c>
      <x:c r="M14" s="46" t="str">
        <x:v>SRC-GOOSE-ROAST-001</x:v>
      </x:c>
      <x:c r="N14" s="46" t="str">
        <x:v>https://pubmed.ncbi.nlm.nih.gov/34019403/</x:v>
      </x:c>
      <x:c r="O14" s="46" t="str">
        <x:v>no</x:v>
      </x:c>
      <x:c r="P14" s="46" t="str">
        <x:v>eligible_for_goose_pilot</x:v>
      </x:c>
      <x:c r="Q14" s="46" t="str">
        <x:v>2-furfurylthiol, 2-acetyl-1-pyrroline, and 1-octen-3-one had OAVs &gt;1024.</x:v>
      </x:c>
    </x:row>
    <x:row r="15">
      <x:c r="A15" s="46" t="str">
        <x:v>GP-014</x:v>
      </x:c>
      <x:c r="B15" s="46" t="str">
        <x:v>goose</x:v>
      </x:c>
      <x:c r="C15" s="46" t="str">
        <x:v>family:poultry</x:v>
      </x:c>
      <x:c r="D15" s="46" t="str">
        <x:v>roasted</x:v>
      </x:c>
      <x:c r="E15" s="46" t="str">
        <x:v>roasted White Kołuda goose leg</x:v>
      </x:c>
      <x:c r="F15" s="46" t="str">
        <x:v>sotolon</x:v>
      </x:c>
      <x:c r="G15" s="46" t="str">
        <x:v>28664-35-9</x:v>
      </x:c>
      <x:c r="H15" s="46" t="str">
        <x:v>Lactones</x:v>
      </x:c>
      <x:c r="I15" s="46" t="str">
        <x:v>measured</x:v>
      </x:c>
      <x:c r="J15" s="46" t="str">
        <x:v>roasted</x:v>
      </x:c>
      <x:c r="K15" s="46" t="str">
        <x:v>key_recombination_omission</x:v>
      </x:c>
      <x:c r="L15" s="46" t="str">
        <x:v>One of nine key aroma compounds defined by GC-O/AEDA, OAV, quantitation, recombination-omission, and sensory evaluation.</x:v>
      </x:c>
      <x:c r="M15" s="46" t="str">
        <x:v>SRC-GOOSE-ROAST-001</x:v>
      </x:c>
      <x:c r="N15" s="46" t="str">
        <x:v>https://pubmed.ncbi.nlm.nih.gov/34019403/</x:v>
      </x:c>
      <x:c r="O15" s="46" t="str">
        <x:v>no</x:v>
      </x:c>
      <x:c r="P15" s="46" t="str">
        <x:v>eligible_for_goose_pilot</x:v>
      </x:c>
      <x:c r="Q15" s="46" t="str">
        <x:v>2-furfurylthiol, 2-acetyl-1-pyrroline, and 1-octen-3-one had OAVs &gt;1024.</x:v>
      </x:c>
    </x:row>
    <x:row r="16">
      <x:c r="A16" s="46" t="str">
        <x:v>GP-015</x:v>
      </x:c>
      <x:c r="B16" s="46" t="str">
        <x:v>goose</x:v>
      </x:c>
      <x:c r="C16" s="46" t="str">
        <x:v>family:poultry</x:v>
      </x:c>
      <x:c r="D16" s="46" t="str">
        <x:v>roasted</x:v>
      </x:c>
      <x:c r="E16" s="46" t="str">
        <x:v>roasted White Kołuda goose leg</x:v>
      </x:c>
      <x:c r="F16" s="46" t="str">
        <x:v>furaneol</x:v>
      </x:c>
      <x:c r="G16" s="46" t="str">
        <x:v>3658-77-3</x:v>
      </x:c>
      <x:c r="H16" s="46" t="str">
        <x:v>Furans</x:v>
      </x:c>
      <x:c r="I16" s="46" t="str">
        <x:v>measured</x:v>
      </x:c>
      <x:c r="J16" s="46" t="str">
        <x:v>roasted</x:v>
      </x:c>
      <x:c r="K16" s="46" t="str">
        <x:v>key_recombination_omission</x:v>
      </x:c>
      <x:c r="L16" s="46" t="str">
        <x:v>One of nine key aroma compounds defined by GC-O/AEDA, OAV, quantitation, recombination-omission, and sensory evaluation.</x:v>
      </x:c>
      <x:c r="M16" s="46" t="str">
        <x:v>SRC-GOOSE-ROAST-001</x:v>
      </x:c>
      <x:c r="N16" s="46" t="str">
        <x:v>https://pubmed.ncbi.nlm.nih.gov/34019403/</x:v>
      </x:c>
      <x:c r="O16" s="46" t="str">
        <x:v>no</x:v>
      </x:c>
      <x:c r="P16" s="46" t="str">
        <x:v>eligible_for_goose_pilot</x:v>
      </x:c>
      <x:c r="Q16" s="46" t="str">
        <x:v>2-furfurylthiol, 2-acetyl-1-pyrroline, and 1-octen-3-one had OAVs &gt;1024.</x:v>
      </x:c>
    </x:row>
    <x:row r="17">
      <x:c r="A17" s="46" t="str">
        <x:v>GP-016</x:v>
      </x:c>
      <x:c r="B17" s="46" t="str">
        <x:v>goose</x:v>
      </x:c>
      <x:c r="C17" s="46" t="str">
        <x:v>family:poultry</x:v>
      </x:c>
      <x:c r="D17" s="46" t="str">
        <x:v>roasted</x:v>
      </x:c>
      <x:c r="E17" s="46" t="str">
        <x:v>roasted White Kołuda goose leg</x:v>
      </x:c>
      <x:c r="F17" s="46" t="str">
        <x:v>(E,E)-2,4-decadienal</x:v>
      </x:c>
      <x:c r="G17" s="46" t="str">
        <x:v>25152-84-5</x:v>
      </x:c>
      <x:c r="H17" s="46" t="str">
        <x:v>Carbonyls, aldehydes</x:v>
      </x:c>
      <x:c r="I17" s="46" t="str">
        <x:v>measured</x:v>
      </x:c>
      <x:c r="J17" s="46" t="str">
        <x:v>roasted</x:v>
      </x:c>
      <x:c r="K17" s="46" t="str">
        <x:v>key_recombination_omission</x:v>
      </x:c>
      <x:c r="L17" s="46" t="str">
        <x:v>One of nine key aroma compounds defined by GC-O/AEDA, OAV, quantitation, recombination-omission, and sensory evaluation.</x:v>
      </x:c>
      <x:c r="M17" s="46" t="str">
        <x:v>SRC-GOOSE-ROAST-001</x:v>
      </x:c>
      <x:c r="N17" s="46" t="str">
        <x:v>https://pubmed.ncbi.nlm.nih.gov/34019403/</x:v>
      </x:c>
      <x:c r="O17" s="46" t="str">
        <x:v>no</x:v>
      </x:c>
      <x:c r="P17" s="46" t="str">
        <x:v>eligible_for_goose_pilot</x:v>
      </x:c>
      <x:c r="Q17" s="46" t="str">
        <x:v>2-furfurylthiol, 2-acetyl-1-pyrroline, and 1-octen-3-one had OAVs &gt;1024.</x:v>
      </x:c>
    </x:row>
    <x:row r="18">
      <x:c r="A18" s="46" t="str">
        <x:v>GP-017</x:v>
      </x:c>
      <x:c r="B18" s="46" t="str">
        <x:v>goose</x:v>
      </x:c>
      <x:c r="C18" s="46" t="str">
        <x:v>family:poultry</x:v>
      </x:c>
      <x:c r="D18" s="46" t="str">
        <x:v>roasted</x:v>
      </x:c>
      <x:c r="E18" s="46" t="str">
        <x:v>roasted White Kołuda goose leg</x:v>
      </x:c>
      <x:c r="F18" s="46" t="str">
        <x:v>2-acetyl-1-pyrroline</x:v>
      </x:c>
      <x:c r="G18" s="46" t="str">
        <x:v>85213-22-5</x:v>
      </x:c>
      <x:c r="H18" s="46" t="str">
        <x:v>Bases</x:v>
      </x:c>
      <x:c r="I18" s="46" t="str">
        <x:v>measured</x:v>
      </x:c>
      <x:c r="J18" s="46" t="str">
        <x:v>roasted</x:v>
      </x:c>
      <x:c r="K18" s="46" t="str">
        <x:v>key_recombination_omission</x:v>
      </x:c>
      <x:c r="L18" s="46" t="str">
        <x:v>One of nine key aroma compounds defined by GC-O/AEDA, OAV, quantitation, recombination-omission, and sensory evaluation.</x:v>
      </x:c>
      <x:c r="M18" s="46" t="str">
        <x:v>SRC-GOOSE-ROAST-001</x:v>
      </x:c>
      <x:c r="N18" s="46" t="str">
        <x:v>https://pubmed.ncbi.nlm.nih.gov/34019403/</x:v>
      </x:c>
      <x:c r="O18" s="46" t="str">
        <x:v>no</x:v>
      </x:c>
      <x:c r="P18" s="46" t="str">
        <x:v>eligible_for_goose_pilot</x:v>
      </x:c>
      <x:c r="Q18" s="46" t="str">
        <x:v>2-furfurylthiol, 2-acetyl-1-pyrroline, and 1-octen-3-one had OAVs &gt;1024.</x:v>
      </x:c>
    </x:row>
    <x:row r="19">
      <x:c r="A19" s="46" t="str">
        <x:v>GP-018</x:v>
      </x:c>
      <x:c r="B19" s="46" t="str">
        <x:v>goose</x:v>
      </x:c>
      <x:c r="C19" s="46" t="str">
        <x:v>family:poultry</x:v>
      </x:c>
      <x:c r="D19" s="46" t="str">
        <x:v>roasted</x:v>
      </x:c>
      <x:c r="E19" s="46" t="str">
        <x:v>roasted White Kołuda goose leg</x:v>
      </x:c>
      <x:c r="F19" s="46" t="str">
        <x:v>methional</x:v>
      </x:c>
      <x:c r="G19" s="46" t="str">
        <x:v>3268-49-3</x:v>
      </x:c>
      <x:c r="H19" s="46" t="str">
        <x:v>Sulfur compounds</x:v>
      </x:c>
      <x:c r="I19" s="46" t="str">
        <x:v>measured</x:v>
      </x:c>
      <x:c r="J19" s="46" t="str">
        <x:v>roasted</x:v>
      </x:c>
      <x:c r="K19" s="46" t="str">
        <x:v>key_recombination_omission</x:v>
      </x:c>
      <x:c r="L19" s="46" t="str">
        <x:v>One of nine key aroma compounds defined by GC-O/AEDA, OAV, quantitation, recombination-omission, and sensory evaluation.</x:v>
      </x:c>
      <x:c r="M19" s="46" t="str">
        <x:v>SRC-GOOSE-ROAST-001</x:v>
      </x:c>
      <x:c r="N19" s="46" t="str">
        <x:v>https://pubmed.ncbi.nlm.nih.gov/34019403/</x:v>
      </x:c>
      <x:c r="O19" s="46" t="str">
        <x:v>no</x:v>
      </x:c>
      <x:c r="P19" s="46" t="str">
        <x:v>eligible_for_goose_pilot</x:v>
      </x:c>
      <x:c r="Q19" s="46" t="str">
        <x:v>2-furfurylthiol, 2-acetyl-1-pyrroline, and 1-octen-3-one had OAVs &gt;1024.</x:v>
      </x:c>
    </x:row>
    <x:row r="20">
      <x:c r="A20" s="46"/>
      <x:c r="B20" s="46"/>
      <x:c r="C20" s="46"/>
      <x:c r="D20" s="46"/>
      <x:c r="E20" s="46"/>
      <x:c r="F20" s="46"/>
      <x:c r="G20" s="46"/>
      <x:c r="H20" s="46"/>
      <x:c r="I20" s="46"/>
      <x:c r="J20" s="46"/>
      <x:c r="K20" s="46"/>
      <x:c r="L20" s="46"/>
      <x:c r="M20" s="46"/>
      <x:c r="N20" s="46"/>
      <x:c r="O20" s="46"/>
      <x:c r="P20" s="46"/>
      <x:c r="Q20" s="46"/>
    </x:row>
    <x:row r="21">
      <x:c r="A21" s="46"/>
      <x:c r="B21" s="46"/>
      <x:c r="C21" s="46"/>
      <x:c r="D21" s="46"/>
      <x:c r="E21" s="46"/>
      <x:c r="F21" s="46"/>
      <x:c r="G21" s="46"/>
      <x:c r="H21" s="46"/>
      <x:c r="I21" s="46"/>
      <x:c r="J21" s="46"/>
      <x:c r="K21" s="46"/>
      <x:c r="L21" s="46"/>
      <x:c r="M21" s="46"/>
      <x:c r="N21" s="46"/>
      <x:c r="O21" s="46"/>
      <x:c r="P21" s="46"/>
      <x:c r="Q21" s="46"/>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sheetData>
  <x:conditionalFormatting sqref="I2:I19">
    <x:cfRule type="expression" dxfId="14" priority="1">
      <x:formula>LEFT(I2,8)="measured"</x:formula>
    </x:cfRule>
  </x:conditionalFormatting>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32" hidden="0" customWidth="1"/>
    <x:col min="3" max="3" width="20" hidden="0" customWidth="1"/>
    <x:col min="4" max="4" width="28" hidden="0" customWidth="1"/>
    <x:col min="5" max="5" width="28" hidden="0" customWidth="1"/>
    <x:col min="6" max="6" width="58" hidden="0" customWidth="1"/>
    <x:col min="7" max="7" width="58" hidden="0" customWidth="1"/>
    <x:col min="8" max="8" width="62" hidden="0" customWidth="1"/>
    <x:col min="9" max="9" width="58" hidden="0" customWidth="1"/>
    <x:col min="10" max="10" width="32" hidden="0" customWidth="1"/>
  </x:cols>
  <x:sheetData>
    <x:row r="1" ht="34" customHeight="1">
      <x:c r="A1" s="67" t="str">
        <x:v>queue_state</x:v>
      </x:c>
      <x:c r="B1" s="67" t="str">
        <x:v>direct_source_id</x:v>
      </x:c>
      <x:c r="C1" s="67" t="str">
        <x:v>direct_source_verified</x:v>
      </x:c>
      <x:c r="D1" s="67" t="str">
        <x:v>compound_resolved_in_workbook</x:v>
      </x:c>
      <x:c r="E1" s="67" t="str">
        <x:v>profile_strength</x:v>
      </x:c>
      <x:c r="F1" s="67" t="str">
        <x:v>what_is_supported</x:v>
      </x:c>
      <x:c r="G1" s="67" t="str">
        <x:v>what_is_not_supported</x:v>
      </x:c>
      <x:c r="H1" s="67" t="str">
        <x:v>founder_inference_opportunity</x:v>
      </x:c>
      <x:c r="I1" s="67" t="str">
        <x:v>recommended_action</x:v>
      </x:c>
      <x:c r="J1" s="67" t="str">
        <x:v>status</x:v>
      </x:c>
    </x:row>
    <x:row r="2">
      <x:c r="A2" s="46" t="str">
        <x:v>raw</x:v>
      </x:c>
      <x:c r="B2" s="46" t="str">
        <x:v>SRC-GOOSE-RAW-001; SRC-GOOSE-COOK-001</x:v>
      </x:c>
      <x:c r="C2" s="46" t="str">
        <x:v>yes</x:v>
      </x:c>
      <x:c r="D2" s="46" t="str">
        <x:v>thin</x:v>
      </x:c>
      <x:c r="E2" s="46" t="str">
        <x:v>thin_direct</x:v>
      </x:c>
      <x:c r="F2" s="46" t="str">
        <x:v>1-hexanol is a raw key odorant; hexanal is odor-relevant in raw and rises with cooking; carbon disulfide was measured but is context-cautioned.</x:v>
      </x:c>
      <x:c r="G2" s="46" t="str">
        <x:v>The complete six-compound raw 2007 list is not available from the accessible primary text; raw goose does not yet verify the full duck/chicken/turkey aldehyde quartet.</x:v>
      </x:c>
      <x:c r="H2" s="46" t="str">
        <x:v>Do not force goose into the raw poultry-core rule yet; treat it as partial support.</x:v>
      </x:c>
      <x:c r="I2" s="46" t="str">
        <x:v>Keep raw profile thin until a compound-resolved raw table is recovered.</x:v>
      </x:c>
      <x:c r="J2" s="46" t="str">
        <x:v>verified_thin</x:v>
      </x:c>
    </x:row>
    <x:row r="3">
      <x:c r="A3" s="46" t="str">
        <x:v>roasted</x:v>
      </x:c>
      <x:c r="B3" s="46" t="str">
        <x:v>SRC-GOOSE-ROAST-001; SRC-WATERFOWL-COMP-001</x:v>
      </x:c>
      <x:c r="C3" s="46" t="str">
        <x:v>yes</x:v>
      </x:c>
      <x:c r="D3" s="46" t="str">
        <x:v>yes</x:v>
      </x:c>
      <x:c r="E3" s="46" t="str">
        <x:v>very_strong</x:v>
      </x:c>
      <x:c r="F3" s="46" t="str">
        <x:v>Nine recombination/omission-validated key odorants plus direct duck/mallard/goose comparative evidence.</x:v>
      </x:c>
      <x:c r="G3" s="46" t="str">
        <x:v>Waterfowl comparison identifies quantitative and some presence/absence differences but no single goose character-impact compound.</x:v>
      </x:c>
      <x:c r="H3" s="46" t="str">
        <x:v>Use goose to test whether roasted bird identity is best represented by shared base + abundance/importance deltas.</x:v>
      </x:c>
      <x:c r="I3" s="46" t="str">
        <x:v>Route architecture decision to Founder Verification Queue.</x:v>
      </x:c>
      <x:c r="J3" s="46" t="str">
        <x:v>verified_strong</x:v>
      </x:c>
    </x:row>
    <x:row r="4">
      <x:c r="A4" s="46" t="str">
        <x:v>confit</x:v>
      </x:c>
      <x:c r="B4" s="46" t="str">
        <x:v>SRC-GOOSE-COOK-001</x:v>
      </x:c>
      <x:c r="C4" s="46" t="str">
        <x:v>indirect_state</x:v>
      </x:c>
      <x:c r="D4" s="46" t="str">
        <x:v>no</x:v>
      </x:c>
      <x:c r="E4" s="46" t="str">
        <x:v>founder_inference_only</x:v>
      </x:c>
      <x:c r="F4" s="46" t="str">
        <x:v>A cooked goose core is now directly characterized across several thermal methods.</x:v>
      </x:c>
      <x:c r="G4" s="46" t="str">
        <x:v>No direct confit-goose analytical study has been verified here.</x:v>
      </x:c>
      <x:c r="H4" s="46" t="str">
        <x:v>As with duck, goose confit could inherit the cooked-goose core while aromatics/fat-medium are modeled as technique inputs.</x:v>
      </x:c>
      <x:c r="I4" s="46" t="str">
        <x:v>Founder approval required before an equivalence rule or inherited compound rows are created.</x:v>
      </x:c>
      <x:c r="J4" s="46" t="str">
        <x:v>founder_review_pending</x:v>
      </x:c>
    </x:row>
    <x:row r="5">
      <x:c r="A5" s="46" t="str">
        <x:v>cooked</x:v>
      </x:c>
      <x:c r="B5" s="46" t="str">
        <x:v>SRC-GOOSE-COOK-001</x:v>
      </x:c>
      <x:c r="C5" s="46" t="str">
        <x:v>yes</x:v>
      </x:c>
      <x:c r="D5" s="46" t="str">
        <x:v>yes</x:v>
      </x:c>
      <x:c r="E5" s="46" t="str">
        <x:v>moderate_strong</x:v>
      </x:c>
      <x:c r="F5" s="46" t="str">
        <x:v>Cooking raises aldehydes and selected ester/heterocycle markers; different thermal methods create distinguishable volatile fingerprints.</x:v>
      </x:c>
      <x:c r="G5" s="46" t="str">
        <x:v>GC-IMS/ROAV evidence is not equivalent to a full GC-O recombination study.</x:v>
      </x:c>
      <x:c r="H5" s="46" t="str">
        <x:v>Useful source for a goose thermal-transformation overlay and for confit-equivalence review.</x:v>
      </x:c>
      <x:c r="I5" s="46" t="str">
        <x:v>Retain as direct cooked state.</x:v>
      </x:c>
      <x:c r="J5" s="46" t="str">
        <x:v>verified_supplemental</x:v>
      </x:c>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conditionalFormatting sqref="J2:J5">
    <x:cfRule type="expression" dxfId="15" priority="1">
      <x:formula>ISNUMBER(SEARCH("pending",J2))</x:formula>
    </x:cfRule>
  </x:conditionalFormatting>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20" hidden="0" customWidth="1"/>
    <x:col min="3" max="3" width="34" hidden="0" customWidth="1"/>
    <x:col min="4" max="4" width="16" hidden="0" customWidth="1"/>
    <x:col min="5" max="5" width="70" hidden="0" customWidth="1"/>
    <x:col min="6" max="6" width="26" hidden="0" customWidth="1"/>
    <x:col min="7" max="7" width="30" hidden="0" customWidth="1"/>
    <x:col min="8" max="8" width="58" hidden="0" customWidth="1"/>
    <x:col min="9" max="9" width="58" hidden="0" customWidth="1"/>
    <x:col min="10" max="10" width="54" hidden="0" customWidth="1"/>
  </x:cols>
  <x:sheetData>
    <x:row r="1" ht="34" customHeight="1">
      <x:c r="A1" s="67" t="str">
        <x:v>pattern_evidence_id</x:v>
      </x:c>
      <x:c r="B1" s="67" t="str">
        <x:v>bird_group</x:v>
      </x:c>
      <x:c r="C1" s="67" t="str">
        <x:v>species_or_comparison</x:v>
      </x:c>
      <x:c r="D1" s="67" t="str">
        <x:v>state</x:v>
      </x:c>
      <x:c r="E1" s="67" t="str">
        <x:v>direct_observation</x:v>
      </x:c>
      <x:c r="F1" s="67" t="str">
        <x:v>source_id</x:v>
      </x:c>
      <x:c r="G1" s="67" t="str">
        <x:v>evidence_strength</x:v>
      </x:c>
      <x:c r="H1" s="67" t="str">
        <x:v>what_it_supports</x:v>
      </x:c>
      <x:c r="I1" s="67" t="str">
        <x:v>what_it_does_not_support</x:v>
      </x:c>
      <x:c r="J1" s="67" t="str">
        <x:v>founder_relevance</x:v>
      </x:c>
    </x:row>
    <x:row r="2">
      <x:c r="A2" s="46" t="str">
        <x:v>BPE-001</x:v>
      </x:c>
      <x:c r="B2" s="46" t="str">
        <x:v>waterfowl</x:v>
      </x:c>
      <x:c r="C2" s="46" t="str">
        <x:v>domestic duck vs mallard</x:v>
      </x:c>
      <x:c r="D2" s="46" t="str">
        <x:v>roasted</x:v>
      </x:c>
      <x:c r="E2" s="46" t="str">
        <x:v>Chemical differences were detected, but GC-O found no sensory distinction between domestic duck and mallard.</x:v>
      </x:c>
      <x:c r="F2" s="46" t="str">
        <x:v>SRC-WATERFOWL-COMP-001</x:v>
      </x:c>
      <x:c r="G2" s="46" t="str">
        <x:v>direct_cross_species_GC-MS_GC-O</x:v>
      </x:c>
      <x:c r="H2" s="46" t="str">
        <x:v>Closely related birds can differ chemically without requiring separate sensory 'signature compounds'.</x:v>
      </x:c>
      <x:c r="I2" s="46" t="str">
        <x:v>Does not establish identical profiles or justify copying all compounds between species.</x:v>
      </x:c>
      <x:c r="J2" s="46" t="str">
        <x:v>Supports shared roasted-waterfowl base with quantitative/member deltas.</x:v>
      </x:c>
    </x:row>
    <x:row r="3">
      <x:c r="A3" s="46" t="str">
        <x:v>BPE-002</x:v>
      </x:c>
      <x:c r="B3" s="46" t="str">
        <x:v>waterfowl</x:v>
      </x:c>
      <x:c r="C3" s="46" t="str">
        <x:v>goose vs domestic duck</x:v>
      </x:c>
      <x:c r="D3" s="46" t="str">
        <x:v>roasted</x:v>
      </x:c>
      <x:c r="E3" s="46" t="str">
        <x:v>Goose had 11 volatiles not detected in duck, but no specific compound accounted for goose's characteristic aroma; nearly all aroma components were about 2× duck, and six were about 3×.</x:v>
      </x:c>
      <x:c r="F3" s="46" t="str">
        <x:v>SRC-WATERFOWL-COMP-001</x:v>
      </x:c>
      <x:c r="G3" s="46" t="str">
        <x:v>direct_cross_species_GC-MS_GC-O</x:v>
      </x:c>
      <x:c r="H3" s="46" t="str">
        <x:v>Species distinction may be driven more by abundance/composition than binary presence; goose can be more intense without a single unique marker.</x:v>
      </x:c>
      <x:c r="I3" s="46" t="str">
        <x:v>Does not mean the 11 goose-only compounds are irrelevant.</x:v>
      </x:c>
      <x:c r="J3" s="46" t="str">
        <x:v>Strong argument for retaining relative abundance / sensory importance in canonical profiles.</x:v>
      </x:c>
    </x:row>
    <x:row r="4">
      <x:c r="A4" s="46" t="str">
        <x:v>BPE-003</x:v>
      </x:c>
      <x:c r="B4" s="46" t="str">
        <x:v>landfowl</x:v>
      </x:c>
      <x:c r="C4" s="46" t="str">
        <x:v>pheasant + partridge + quail + chicken</x:v>
      </x:c>
      <x:c r="D4" s="46" t="str">
        <x:v>roasted</x:v>
      </x:c>
      <x:c r="E4" s="46" t="str">
        <x:v>38 volatile aroma compounds were shared by all four roasted species. Unique compounds existed (pheasant 13, partridge 6, quail 2, chicken 2), yet no character-impact compound explained any species' typical roast aroma.</x:v>
      </x:c>
      <x:c r="F4" s="46" t="str">
        <x:v>SRC-LANDFOWL-COMP-001</x:v>
      </x:c>
      <x:c r="G4" s="46" t="str">
        <x:v>direct_cross_species_GC-MS_GC-O</x:v>
      </x:c>
      <x:c r="H4" s="46" t="str">
        <x:v>Roasted landfowl share a large common chemical base; species aroma appears to arise from composition/proportion of shared compounds.</x:v>
      </x:c>
      <x:c r="I4" s="46" t="str">
        <x:v>Does not justify treating game birds and chicken as identical or promoting the 38 compounds without extracting the primary table.</x:v>
      </x:c>
      <x:c r="J4" s="46" t="str">
        <x:v>Direct support for user's expected quail/pheasant similarity pattern.</x:v>
      </x:c>
    </x:row>
    <x:row r="5">
      <x:c r="A5" s="46" t="str">
        <x:v>BPE-004</x:v>
      </x:c>
      <x:c r="B5" s="46" t="str">
        <x:v>pigeon / squab</x:v>
      </x:c>
      <x:c r="C5" s="46" t="str">
        <x:v>roasted pigeon</x:v>
      </x:c>
      <x:c r="D5" s="46" t="str">
        <x:v>roasted</x:v>
      </x:c>
      <x:c r="E5" s="46" t="str">
        <x:v>18 key aroma compounds were identified; pyrazines, sulfur compounds, aldehydes, and alcohols shaped roasty, meaty, fatty, grassy, and sweet notes as roasting progressed.</x:v>
      </x:c>
      <x:c r="F5" s="46" t="str">
        <x:v>SRC-PIGEON-ROAST-001</x:v>
      </x:c>
      <x:c r="G5" s="46" t="str">
        <x:v>direct_GC-O_OAV_lipidomics</x:v>
      </x:c>
      <x:c r="H5" s="46" t="str">
        <x:v>Pigeon follows the same broad thermal channels seen in other birds: lipid oxidation plus Maillard/heterocycle development.</x:v>
      </x:c>
      <x:c r="I5" s="46" t="str">
        <x:v>Does not establish the exact same compound set as quail/pheasant/chicken.</x:v>
      </x:c>
      <x:c r="J5" s="46" t="str">
        <x:v>Supports placing squab/pigeon in the same avian transformation architecture even if its culinary taxonomy remains 'game bird'.</x:v>
      </x:c>
    </x:row>
    <x:row r="6">
      <x:c r="A6" s="46" t="str">
        <x:v>BPE-005</x:v>
      </x:c>
      <x:c r="B6" s="46" t="str">
        <x:v>pigeon / squab</x:v>
      </x:c>
      <x:c r="C6" s="46" t="str">
        <x:v>braised squab from multiple sources</x:v>
      </x:c>
      <x:c r="D6" s="46" t="str">
        <x:v>braised</x:v>
      </x:c>
      <x:c r="E6" s="46" t="str">
        <x:v>20 shared key aroma compounds were found across sources. Meaty/fatty compounds methional, 1-octen-3-ol, hexanal, phenylacetaldehyde, and 2-pentylfuran mainly originated from raw squab, while roasty/caramel/spice compounds were supplied or generated by process inputs.</x:v>
      </x:c>
      <x:c r="F6" s="46" t="str">
        <x:v>SRC-SQUAB-BRAISE-001</x:v>
      </x:c>
      <x:c r="G6" s="46" t="str">
        <x:v>direct_molecular_sensory_source_analysis</x:v>
      </x:c>
      <x:c r="H6" s="46" t="str">
        <x:v>Strong direct support for native bird core + technique/ingredient overlay rather than treating every finished dish as a separate species profile.</x:v>
      </x:c>
      <x:c r="I6" s="46" t="str">
        <x:v>Does not show raw squab is identical to other raw birds.</x:v>
      </x:c>
      <x:c r="J6" s="46" t="str">
        <x:v>Important architecture evidence for separating endogenous meat chemistry from introduced aromatics.</x:v>
      </x:c>
    </x:row>
    <x:row r="7">
      <x:c r="A7" s="46" t="str">
        <x:v>BPE-006</x:v>
      </x:c>
      <x:c r="B7" s="46" t="str">
        <x:v>all birds</x:v>
      </x:c>
      <x:c r="C7" s="46" t="str">
        <x:v>duck/chicken/turkey/goose + landfowl + pigeon evidence</x:v>
      </x:c>
      <x:c r="D7" s="46" t="str">
        <x:v>mixed</x:v>
      </x:c>
      <x:c r="E7" s="46" t="str">
        <x:v>Across independent studies, aldehydes/lipid-oxidation compounds repeatedly form the native/fatty backbone, while sulfur compounds, pyrazines and other heterocycles expand with thermal processing.</x:v>
      </x:c>
      <x:c r="F7" s="46" t="str">
        <x:v>SRC-DUCK-ROAST-001; SRC-CHICK-ROAST-001; SRC-TURKEY-COOK-001; SRC-GOOSE-ROAST-001; SRC-LANDFOWL-COMP-001; SRC-PIGEON-ROAST-001</x:v>
      </x:c>
      <x:c r="G7" s="46" t="str">
        <x:v>cross-study_pattern_inference</x:v>
      </x:c>
      <x:c r="H7" s="46" t="str">
        <x:v>A general avian state model may be more faithful than dozens of isolated species×form compound lists.</x:v>
      </x:c>
      <x:c r="I7" s="46" t="str">
        <x:v>Cross-study analytical methods and sample preparations differ; this is an inference, not a measured universal.</x:v>
      </x:c>
      <x:c r="J7" s="46" t="str">
        <x:v>Route to founder verification only.</x:v>
      </x:c>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2" hidden="0" customWidth="1"/>
    <x:col min="2" max="2" width="28" hidden="0" customWidth="1"/>
    <x:col min="3" max="3" width="34" hidden="0" customWidth="1"/>
    <x:col min="4" max="4" width="16" hidden="0" customWidth="1"/>
    <x:col min="5" max="5" width="24" hidden="0" customWidth="1"/>
    <x:col min="6" max="6" width="18" hidden="0" customWidth="1"/>
    <x:col min="7" max="7" width="30" hidden="0" customWidth="1"/>
    <x:col min="8" max="8" width="12" hidden="0" customWidth="1"/>
    <x:col min="9" max="9" width="12" hidden="0" customWidth="1"/>
    <x:col min="10" max="10" width="12" hidden="0" customWidth="1"/>
    <x:col min="11" max="11" width="12" hidden="0" customWidth="1"/>
    <x:col min="12" max="12" width="32" hidden="0" customWidth="1"/>
    <x:col min="13" max="13" width="27" hidden="0" customWidth="1"/>
    <x:col min="14" max="14" width="24" hidden="0" customWidth="1"/>
    <x:col min="15" max="15" width="48" hidden="0" customWidth="1"/>
    <x:col min="16" max="16" width="48" hidden="0" customWidth="1"/>
    <x:col min="17" max="17" width="34" hidden="0" customWidth="1"/>
    <x:col min="18" max="18" width="60" hidden="0" customWidth="1"/>
  </x:cols>
  <x:sheetData>
    <x:row r="1" ht="36" customHeight="1">
      <x:c r="A1" s="73" t="str">
        <x:v>cluster_record_id</x:v>
      </x:c>
      <x:c r="B1" s="73" t="str">
        <x:v>source_name_table17</x:v>
      </x:c>
      <x:c r="C1" s="73" t="str">
        <x:v>canonical_name</x:v>
      </x:c>
      <x:c r="D1" s="73" t="str">
        <x:v>cas</x:v>
      </x:c>
      <x:c r="E1" s="73" t="str">
        <x:v>compound_group</x:v>
      </x:c>
      <x:c r="F1" s="73" t="str">
        <x:v>retention_index_source</x:v>
      </x:c>
      <x:c r="G1" s="73" t="str">
        <x:v>aroma_description_source</x:v>
      </x:c>
      <x:c r="H1" s="73" t="str">
        <x:v>chicken</x:v>
      </x:c>
      <x:c r="I1" s="73" t="str">
        <x:v>pheasant</x:v>
      </x:c>
      <x:c r="J1" s="73" t="str">
        <x:v>partridge</x:v>
      </x:c>
      <x:c r="K1" s="73" t="str">
        <x:v>quail</x:v>
      </x:c>
      <x:c r="L1" s="73" t="str">
        <x:v>relationship</x:v>
      </x:c>
      <x:c r="M1" s="73" t="str">
        <x:v>source_id</x:v>
      </x:c>
      <x:c r="N1" s="73" t="str">
        <x:v>article_source_id</x:v>
      </x:c>
      <x:c r="O1" s="73" t="str">
        <x:v>source_url</x:v>
      </x:c>
      <x:c r="P1" s="73" t="str">
        <x:v>identity_source_url</x:v>
      </x:c>
      <x:c r="Q1" s="73" t="str">
        <x:v>promotion_status</x:v>
      </x:c>
      <x:c r="R1" s="73" t="str">
        <x:v>source_discrepancy_note</x:v>
      </x:c>
    </x:row>
    <x:row r="2">
      <x:c r="A2" s="46" t="str">
        <x:v>LANDFOWL-SHARED-001</x:v>
      </x:c>
      <x:c r="B2" s="46" t="str">
        <x:v>2-(E)-Butenal</x:v>
      </x:c>
      <x:c r="C2" s="46" t="str">
        <x:v>(E)-2-butenal</x:v>
      </x:c>
      <x:c r="D2" s="46" t="str">
        <x:v>123-73-9</x:v>
      </x:c>
      <x:c r="E2" s="46" t="str">
        <x:v>Carbonyls, aldehydes</x:v>
      </x:c>
      <x:c r="F2" s="46" t="n">
        <x:v>651</x:v>
      </x:c>
      <x:c r="G2" s="46" t="str">
        <x:v>Vanille, süß</x:v>
      </x:c>
      <x:c r="H2" s="46" t="str">
        <x:v>present</x:v>
      </x:c>
      <x:c r="I2" s="46" t="str">
        <x:v>present</x:v>
      </x:c>
      <x:c r="J2" s="46" t="str">
        <x:v>present</x:v>
      </x:c>
      <x:c r="K2" s="46" t="str">
        <x:v>present</x:v>
      </x:c>
      <x:c r="L2" s="46" t="str">
        <x:v>direct_shared_occurrence_table17</x:v>
      </x:c>
      <x:c r="M2" s="46" t="str">
        <x:v>SRC-LANDFOWL-THESIS-001</x:v>
      </x:c>
      <x:c r="N2" s="46" t="str">
        <x:v>SRC-LANDFOWL-COMP-001</x:v>
      </x:c>
      <x:c r="O2" s="46" t="str">
        <x:v>https://d-nb.info/1009589644/34</x:v>
      </x:c>
      <x:c r="P2" s="46" t="str">
        <x:v>https://webbook.nist.gov/cgi/cbook.cgi?ID=C123739</x:v>
      </x:c>
      <x:c r="Q2" s="77" t="str">
        <x:v>approved_cluster_reference_not_automatic_family_inheritance</x:v>
      </x:c>
      <x:c r="R2" s="46" t="str">
        <x:v>2010 dissertation prose says 37 shared, but Table 17 contains 38 all-four rows; 2013 journal article reports 38. Table 17 + article count govern this extraction.</x:v>
      </x:c>
    </x:row>
    <x:row r="3">
      <x:c r="A3" s="46" t="str">
        <x:v>LANDFOWL-SHARED-002</x:v>
      </x:c>
      <x:c r="B3" s="46" t="str">
        <x:v>3-Methylbutanal</x:v>
      </x:c>
      <x:c r="C3" s="46" t="str">
        <x:v>3-methylbutanal</x:v>
      </x:c>
      <x:c r="D3" s="46" t="str">
        <x:v>590-86-3</x:v>
      </x:c>
      <x:c r="E3" s="46" t="str">
        <x:v>Carbonyls, aldehydes</x:v>
      </x:c>
      <x:c r="F3" s="46" t="n">
        <x:v>653</x:v>
      </x:c>
      <x:c r="G3" s="46" t="str">
        <x:v>Schokolade, Buttermmandel</x:v>
      </x:c>
      <x:c r="H3" s="46" t="str">
        <x:v>present</x:v>
      </x:c>
      <x:c r="I3" s="46" t="str">
        <x:v>present</x:v>
      </x:c>
      <x:c r="J3" s="46" t="str">
        <x:v>present</x:v>
      </x:c>
      <x:c r="K3" s="46" t="str">
        <x:v>present</x:v>
      </x:c>
      <x:c r="L3" s="46" t="str">
        <x:v>direct_shared_occurrence_table17</x:v>
      </x:c>
      <x:c r="M3" s="46" t="str">
        <x:v>SRC-LANDFOWL-THESIS-001</x:v>
      </x:c>
      <x:c r="N3" s="46" t="str">
        <x:v>SRC-LANDFOWL-COMP-001</x:v>
      </x:c>
      <x:c r="O3" s="46" t="str">
        <x:v>https://d-nb.info/1009589644/34</x:v>
      </x:c>
      <x:c r="P3" s="46" t="str">
        <x:v>https://webbook.nist.gov/cgi/cbook.cgi?ID=C590863</x:v>
      </x:c>
      <x:c r="Q3" s="77" t="str">
        <x:v>approved_cluster_reference_not_automatic_family_inheritance</x:v>
      </x:c>
      <x:c r="R3" s="46" t="str">
        <x:v>2010 dissertation prose says 37 shared, but Table 17 contains 38 all-four rows; 2013 journal article reports 38. Table 17 + article count govern this extraction.</x:v>
      </x:c>
    </x:row>
    <x:row r="4">
      <x:c r="A4" s="46" t="str">
        <x:v>LANDFOWL-SHARED-003</x:v>
      </x:c>
      <x:c r="B4" s="46" t="str">
        <x:v>2-Methylbutanal</x:v>
      </x:c>
      <x:c r="C4" s="46" t="str">
        <x:v>2-methylbutanal</x:v>
      </x:c>
      <x:c r="D4" s="46" t="str">
        <x:v>96-17-3</x:v>
      </x:c>
      <x:c r="E4" s="46" t="str">
        <x:v>Carbonyls, aldehydes</x:v>
      </x:c>
      <x:c r="F4" s="46" t="n">
        <x:v>661</x:v>
      </x:c>
      <x:c r="G4" s="46" t="str">
        <x:v>Vanille, muffig</x:v>
      </x:c>
      <x:c r="H4" s="46" t="str">
        <x:v>present</x:v>
      </x:c>
      <x:c r="I4" s="46" t="str">
        <x:v>present</x:v>
      </x:c>
      <x:c r="J4" s="46" t="str">
        <x:v>present</x:v>
      </x:c>
      <x:c r="K4" s="46" t="str">
        <x:v>present</x:v>
      </x:c>
      <x:c r="L4" s="46" t="str">
        <x:v>direct_shared_occurrence_table17</x:v>
      </x:c>
      <x:c r="M4" s="46" t="str">
        <x:v>SRC-LANDFOWL-THESIS-001</x:v>
      </x:c>
      <x:c r="N4" s="46" t="str">
        <x:v>SRC-LANDFOWL-COMP-001</x:v>
      </x:c>
      <x:c r="O4" s="46" t="str">
        <x:v>https://d-nb.info/1009589644/34</x:v>
      </x:c>
      <x:c r="P4" s="46" t="str">
        <x:v>https://webbook.nist.gov/cgi/cbook.cgi?ID=C96173</x:v>
      </x:c>
      <x:c r="Q4" s="77" t="str">
        <x:v>approved_cluster_reference_not_automatic_family_inheritance</x:v>
      </x:c>
      <x:c r="R4" s="46" t="str">
        <x:v>2010 dissertation prose says 37 shared, but Table 17 contains 38 all-four rows; 2013 journal article reports 38. Table 17 + article count govern this extraction.</x:v>
      </x:c>
    </x:row>
    <x:row r="5">
      <x:c r="A5" s="46" t="str">
        <x:v>LANDFOWL-SHARED-004</x:v>
      </x:c>
      <x:c r="B5" s="46" t="str">
        <x:v>Pentanal</x:v>
      </x:c>
      <x:c r="C5" s="46" t="str">
        <x:v>pentanal</x:v>
      </x:c>
      <x:c r="D5" s="46" t="str">
        <x:v>110-62-3</x:v>
      </x:c>
      <x:c r="E5" s="46" t="str">
        <x:v>Carbonyls, aldehydes</x:v>
      </x:c>
      <x:c r="F5" s="46" t="n">
        <x:v>698</x:v>
      </x:c>
      <x:c r="G5" s="46" t="str">
        <x:v>Gras, grün</x:v>
      </x:c>
      <x:c r="H5" s="46" t="str">
        <x:v>present</x:v>
      </x:c>
      <x:c r="I5" s="46" t="str">
        <x:v>present</x:v>
      </x:c>
      <x:c r="J5" s="46" t="str">
        <x:v>present</x:v>
      </x:c>
      <x:c r="K5" s="46" t="str">
        <x:v>present</x:v>
      </x:c>
      <x:c r="L5" s="46" t="str">
        <x:v>direct_shared_occurrence_table17</x:v>
      </x:c>
      <x:c r="M5" s="46" t="str">
        <x:v>SRC-LANDFOWL-THESIS-001</x:v>
      </x:c>
      <x:c r="N5" s="46" t="str">
        <x:v>SRC-LANDFOWL-COMP-001</x:v>
      </x:c>
      <x:c r="O5" s="46" t="str">
        <x:v>https://d-nb.info/1009589644/34</x:v>
      </x:c>
      <x:c r="P5" s="46" t="str">
        <x:v>https://webbook.nist.gov/cgi/cbook.cgi?ID=C110623</x:v>
      </x:c>
      <x:c r="Q5" s="77" t="str">
        <x:v>approved_cluster_reference_not_automatic_family_inheritance</x:v>
      </x:c>
      <x:c r="R5" s="46" t="str">
        <x:v>2010 dissertation prose says 37 shared, but Table 17 contains 38 all-four rows; 2013 journal article reports 38. Table 17 + article count govern this extraction.</x:v>
      </x:c>
    </x:row>
    <x:row r="6">
      <x:c r="A6" s="46" t="str">
        <x:v>LANDFOWL-SHARED-005</x:v>
      </x:c>
      <x:c r="B6" s="46" t="str">
        <x:v>2-(E)-Pentenal</x:v>
      </x:c>
      <x:c r="C6" s="46" t="str">
        <x:v>(E)-2-pentenal</x:v>
      </x:c>
      <x:c r="D6" s="46" t="str">
        <x:v>1576-87-0</x:v>
      </x:c>
      <x:c r="E6" s="46" t="str">
        <x:v>Carbonyls, aldehydes</x:v>
      </x:c>
      <x:c r="F6" s="46" t="n">
        <x:v>759</x:v>
      </x:c>
      <x:c r="G6" s="46" t="str">
        <x:v>n.d.</x:v>
      </x:c>
      <x:c r="H6" s="46" t="str">
        <x:v>present</x:v>
      </x:c>
      <x:c r="I6" s="46" t="str">
        <x:v>present</x:v>
      </x:c>
      <x:c r="J6" s="46" t="str">
        <x:v>present</x:v>
      </x:c>
      <x:c r="K6" s="46" t="str">
        <x:v>present</x:v>
      </x:c>
      <x:c r="L6" s="46" t="str">
        <x:v>direct_shared_occurrence_table17</x:v>
      </x:c>
      <x:c r="M6" s="46" t="str">
        <x:v>SRC-LANDFOWL-THESIS-001</x:v>
      </x:c>
      <x:c r="N6" s="46" t="str">
        <x:v>SRC-LANDFOWL-COMP-001</x:v>
      </x:c>
      <x:c r="O6" s="46" t="str">
        <x:v>https://d-nb.info/1009589644/34</x:v>
      </x:c>
      <x:c r="P6" s="46" t="str">
        <x:v>https://webbook.nist.gov/cgi/cbook.cgi?ID=C1576870</x:v>
      </x:c>
      <x:c r="Q6" s="77" t="str">
        <x:v>approved_cluster_reference_not_automatic_family_inheritance</x:v>
      </x:c>
      <x:c r="R6" s="46" t="str">
        <x:v>2010 dissertation prose says 37 shared, but Table 17 contains 38 all-four rows; 2013 journal article reports 38. Table 17 + article count govern this extraction.</x:v>
      </x:c>
    </x:row>
    <x:row r="7">
      <x:c r="A7" s="46" t="str">
        <x:v>LANDFOWL-SHARED-006</x:v>
      </x:c>
      <x:c r="B7" s="46" t="str">
        <x:v>1-Pentanol</x:v>
      </x:c>
      <x:c r="C7" s="46" t="str">
        <x:v>1-pentanol</x:v>
      </x:c>
      <x:c r="D7" s="46" t="str">
        <x:v>71-41-0</x:v>
      </x:c>
      <x:c r="E7" s="46" t="str">
        <x:v>Alcohols</x:v>
      </x:c>
      <x:c r="F7" s="46" t="n">
        <x:v>767</x:v>
      </x:c>
      <x:c r="G7" s="46" t="str">
        <x:v>Gummi, phenolisch</x:v>
      </x:c>
      <x:c r="H7" s="46" t="str">
        <x:v>present</x:v>
      </x:c>
      <x:c r="I7" s="46" t="str">
        <x:v>present</x:v>
      </x:c>
      <x:c r="J7" s="46" t="str">
        <x:v>present</x:v>
      </x:c>
      <x:c r="K7" s="46" t="str">
        <x:v>present</x:v>
      </x:c>
      <x:c r="L7" s="46" t="str">
        <x:v>direct_shared_occurrence_table17</x:v>
      </x:c>
      <x:c r="M7" s="46" t="str">
        <x:v>SRC-LANDFOWL-THESIS-001</x:v>
      </x:c>
      <x:c r="N7" s="46" t="str">
        <x:v>SRC-LANDFOWL-COMP-001</x:v>
      </x:c>
      <x:c r="O7" s="46" t="str">
        <x:v>https://d-nb.info/1009589644/34</x:v>
      </x:c>
      <x:c r="P7" s="46" t="str">
        <x:v>https://webbook.nist.gov/cgi/cbook.cgi?ID=C71410</x:v>
      </x:c>
      <x:c r="Q7" s="77" t="str">
        <x:v>approved_cluster_reference_not_automatic_family_inheritance</x:v>
      </x:c>
      <x:c r="R7" s="46" t="str">
        <x:v>2010 dissertation prose says 37 shared, but Table 17 contains 38 all-four rows; 2013 journal article reports 38. Table 17 + article count govern this extraction.</x:v>
      </x:c>
    </x:row>
    <x:row r="8">
      <x:c r="A8" s="46" t="str">
        <x:v>LANDFOWL-SHARED-007</x:v>
      </x:c>
      <x:c r="B8" s="46" t="str">
        <x:v>Hexanal</x:v>
      </x:c>
      <x:c r="C8" s="46" t="str">
        <x:v>hexanal</x:v>
      </x:c>
      <x:c r="D8" s="46" t="str">
        <x:v>66-25-1</x:v>
      </x:c>
      <x:c r="E8" s="46" t="str">
        <x:v>Carbonyls, aldehydes</x:v>
      </x:c>
      <x:c r="F8" s="46" t="n">
        <x:v>801</x:v>
      </x:c>
      <x:c r="G8" s="46" t="str">
        <x:v>Kartoffel, blumig</x:v>
      </x:c>
      <x:c r="H8" s="46" t="str">
        <x:v>present</x:v>
      </x:c>
      <x:c r="I8" s="46" t="str">
        <x:v>present</x:v>
      </x:c>
      <x:c r="J8" s="46" t="str">
        <x:v>present</x:v>
      </x:c>
      <x:c r="K8" s="46" t="str">
        <x:v>present</x:v>
      </x:c>
      <x:c r="L8" s="46" t="str">
        <x:v>direct_shared_occurrence_table17</x:v>
      </x:c>
      <x:c r="M8" s="46" t="str">
        <x:v>SRC-LANDFOWL-THESIS-001</x:v>
      </x:c>
      <x:c r="N8" s="46" t="str">
        <x:v>SRC-LANDFOWL-COMP-001</x:v>
      </x:c>
      <x:c r="O8" s="46" t="str">
        <x:v>https://d-nb.info/1009589644/34</x:v>
      </x:c>
      <x:c r="P8" s="46" t="str">
        <x:v>https://webbook.nist.gov/cgi/cbook.cgi?ID=C66251</x:v>
      </x:c>
      <x:c r="Q8" s="77" t="str">
        <x:v>approved_cluster_reference_not_automatic_family_inheritance</x:v>
      </x:c>
      <x:c r="R8" s="46" t="str">
        <x:v>2010 dissertation prose says 37 shared, but Table 17 contains 38 all-four rows; 2013 journal article reports 38. Table 17 + article count govern this extraction.</x:v>
      </x:c>
    </x:row>
    <x:row r="9">
      <x:c r="A9" s="46" t="str">
        <x:v>LANDFOWL-SHARED-008</x:v>
      </x:c>
      <x:c r="B9" s="46" t="str">
        <x:v>2-(E)-Hexenal</x:v>
      </x:c>
      <x:c r="C9" s="46" t="str">
        <x:v>(E)-2-hexenal</x:v>
      </x:c>
      <x:c r="D9" s="46" t="str">
        <x:v>6728-26-3</x:v>
      </x:c>
      <x:c r="E9" s="46" t="str">
        <x:v>Carbonyls, aldehydes</x:v>
      </x:c>
      <x:c r="F9" s="46" t="n">
        <x:v>849</x:v>
      </x:c>
      <x:c r="G9" s="46" t="str">
        <x:v>stechend, Marzipan</x:v>
      </x:c>
      <x:c r="H9" s="46" t="str">
        <x:v>present</x:v>
      </x:c>
      <x:c r="I9" s="46" t="str">
        <x:v>present</x:v>
      </x:c>
      <x:c r="J9" s="46" t="str">
        <x:v>present</x:v>
      </x:c>
      <x:c r="K9" s="46" t="str">
        <x:v>present</x:v>
      </x:c>
      <x:c r="L9" s="46" t="str">
        <x:v>direct_shared_occurrence_table17</x:v>
      </x:c>
      <x:c r="M9" s="46" t="str">
        <x:v>SRC-LANDFOWL-THESIS-001</x:v>
      </x:c>
      <x:c r="N9" s="46" t="str">
        <x:v>SRC-LANDFOWL-COMP-001</x:v>
      </x:c>
      <x:c r="O9" s="46" t="str">
        <x:v>https://d-nb.info/1009589644/34</x:v>
      </x:c>
      <x:c r="P9" s="46" t="str">
        <x:v>https://webbook.nist.gov/cgi/cbook.cgi?ID=C6728263</x:v>
      </x:c>
      <x:c r="Q9" s="77" t="str">
        <x:v>approved_cluster_reference_not_automatic_family_inheritance</x:v>
      </x:c>
      <x:c r="R9" s="46" t="str">
        <x:v>2010 dissertation prose says 37 shared, but Table 17 contains 38 all-four rows; 2013 journal article reports 38. Table 17 + article count govern this extraction.</x:v>
      </x:c>
    </x:row>
    <x:row r="10">
      <x:c r="A10" s="46" t="str">
        <x:v>LANDFOWL-SHARED-009</x:v>
      </x:c>
      <x:c r="B10" s="46" t="str">
        <x:v>1-Hexanol</x:v>
      </x:c>
      <x:c r="C10" s="46" t="str">
        <x:v>1-hexanol</x:v>
      </x:c>
      <x:c r="D10" s="46" t="str">
        <x:v>111-27-3</x:v>
      </x:c>
      <x:c r="E10" s="46" t="str">
        <x:v>Alcohols</x:v>
      </x:c>
      <x:c r="F10" s="46" t="n">
        <x:v>870</x:v>
      </x:c>
      <x:c r="G10" s="46" t="str">
        <x:v>Käse</x:v>
      </x:c>
      <x:c r="H10" s="46" t="str">
        <x:v>present</x:v>
      </x:c>
      <x:c r="I10" s="46" t="str">
        <x:v>present</x:v>
      </x:c>
      <x:c r="J10" s="46" t="str">
        <x:v>present</x:v>
      </x:c>
      <x:c r="K10" s="46" t="str">
        <x:v>present</x:v>
      </x:c>
      <x:c r="L10" s="46" t="str">
        <x:v>direct_shared_occurrence_table17</x:v>
      </x:c>
      <x:c r="M10" s="46" t="str">
        <x:v>SRC-LANDFOWL-THESIS-001</x:v>
      </x:c>
      <x:c r="N10" s="46" t="str">
        <x:v>SRC-LANDFOWL-COMP-001</x:v>
      </x:c>
      <x:c r="O10" s="46" t="str">
        <x:v>https://d-nb.info/1009589644/34</x:v>
      </x:c>
      <x:c r="P10" s="46" t="str">
        <x:v>https://webbook.nist.gov/cgi/cbook.cgi?ID=C111273</x:v>
      </x:c>
      <x:c r="Q10" s="77" t="str">
        <x:v>approved_cluster_reference_not_automatic_family_inheritance</x:v>
      </x:c>
      <x:c r="R10" s="46" t="str">
        <x:v>2010 dissertation prose says 37 shared, but Table 17 contains 38 all-four rows; 2013 journal article reports 38. Table 17 + article count govern this extraction.</x:v>
      </x:c>
    </x:row>
    <x:row r="11">
      <x:c r="A11" s="46" t="str">
        <x:v>LANDFOWL-SHARED-010</x:v>
      </x:c>
      <x:c r="B11" s="46" t="str">
        <x:v>2-Heptanon</x:v>
      </x:c>
      <x:c r="C11" s="46" t="str">
        <x:v>2-heptanone</x:v>
      </x:c>
      <x:c r="D11" s="46" t="str">
        <x:v>110-43-0</x:v>
      </x:c>
      <x:c r="E11" s="46" t="str">
        <x:v>Carbonyls, ketones</x:v>
      </x:c>
      <x:c r="F11" s="46" t="n">
        <x:v>890</x:v>
      </x:c>
      <x:c r="G11" s="46" t="str">
        <x:v>Rhabarber, muffig</x:v>
      </x:c>
      <x:c r="H11" s="46" t="str">
        <x:v>present</x:v>
      </x:c>
      <x:c r="I11" s="46" t="str">
        <x:v>present</x:v>
      </x:c>
      <x:c r="J11" s="46" t="str">
        <x:v>present</x:v>
      </x:c>
      <x:c r="K11" s="46" t="str">
        <x:v>present</x:v>
      </x:c>
      <x:c r="L11" s="46" t="str">
        <x:v>direct_shared_occurrence_table17</x:v>
      </x:c>
      <x:c r="M11" s="46" t="str">
        <x:v>SRC-LANDFOWL-THESIS-001</x:v>
      </x:c>
      <x:c r="N11" s="46" t="str">
        <x:v>SRC-LANDFOWL-COMP-001</x:v>
      </x:c>
      <x:c r="O11" s="46" t="str">
        <x:v>https://d-nb.info/1009589644/34</x:v>
      </x:c>
      <x:c r="P11" s="46" t="str">
        <x:v>https://webbook.nist.gov/cgi/cbook.cgi?ID=C110430</x:v>
      </x:c>
      <x:c r="Q11" s="77" t="str">
        <x:v>approved_cluster_reference_not_automatic_family_inheritance</x:v>
      </x:c>
      <x:c r="R11" s="46" t="str">
        <x:v>2010 dissertation prose says 37 shared, but Table 17 contains 38 all-four rows; 2013 journal article reports 38. Table 17 + article count govern this extraction.</x:v>
      </x:c>
    </x:row>
    <x:row r="12">
      <x:c r="A12" s="46" t="str">
        <x:v>LANDFOWL-SHARED-011</x:v>
      </x:c>
      <x:c r="B12" s="46" t="str">
        <x:v>Heptanal</x:v>
      </x:c>
      <x:c r="C12" s="46" t="str">
        <x:v>heptanal</x:v>
      </x:c>
      <x:c r="D12" s="46" t="str">
        <x:v>111-71-7</x:v>
      </x:c>
      <x:c r="E12" s="46" t="str">
        <x:v>Carbonyls, aldehydes</x:v>
      </x:c>
      <x:c r="F12" s="46" t="n">
        <x:v>901</x:v>
      </x:c>
      <x:c r="G12" s="46" t="str">
        <x:v>Fruchtig, Kartoffel</x:v>
      </x:c>
      <x:c r="H12" s="46" t="str">
        <x:v>present</x:v>
      </x:c>
      <x:c r="I12" s="46" t="str">
        <x:v>present</x:v>
      </x:c>
      <x:c r="J12" s="46" t="str">
        <x:v>present</x:v>
      </x:c>
      <x:c r="K12" s="46" t="str">
        <x:v>present</x:v>
      </x:c>
      <x:c r="L12" s="46" t="str">
        <x:v>direct_shared_occurrence_table17</x:v>
      </x:c>
      <x:c r="M12" s="46" t="str">
        <x:v>SRC-LANDFOWL-THESIS-001</x:v>
      </x:c>
      <x:c r="N12" s="46" t="str">
        <x:v>SRC-LANDFOWL-COMP-001</x:v>
      </x:c>
      <x:c r="O12" s="46" t="str">
        <x:v>https://d-nb.info/1009589644/34</x:v>
      </x:c>
      <x:c r="P12" s="46" t="str">
        <x:v>https://webbook.nist.gov/cgi/cbook.cgi?ID=C111717</x:v>
      </x:c>
      <x:c r="Q12" s="77" t="str">
        <x:v>approved_cluster_reference_not_automatic_family_inheritance</x:v>
      </x:c>
      <x:c r="R12" s="46" t="str">
        <x:v>2010 dissertation prose says 37 shared, but Table 17 contains 38 all-four rows; 2013 journal article reports 38. Table 17 + article count govern this extraction.</x:v>
      </x:c>
    </x:row>
    <x:row r="13">
      <x:c r="A13" s="46" t="str">
        <x:v>LANDFOWL-SHARED-012</x:v>
      </x:c>
      <x:c r="B13" s="46" t="str">
        <x:v>2-(E)-Heptenal</x:v>
      </x:c>
      <x:c r="C13" s="46" t="str">
        <x:v>(E)-2-heptenal</x:v>
      </x:c>
      <x:c r="D13" s="46" t="str">
        <x:v>18829-55-5</x:v>
      </x:c>
      <x:c r="E13" s="46" t="str">
        <x:v>Carbonyls, aldehydes</x:v>
      </x:c>
      <x:c r="F13" s="46" t="n">
        <x:v>966</x:v>
      </x:c>
      <x:c r="G13" s="46" t="str">
        <x:v>Mandel, Zimt</x:v>
      </x:c>
      <x:c r="H13" s="46" t="str">
        <x:v>present</x:v>
      </x:c>
      <x:c r="I13" s="46" t="str">
        <x:v>present</x:v>
      </x:c>
      <x:c r="J13" s="46" t="str">
        <x:v>present</x:v>
      </x:c>
      <x:c r="K13" s="46" t="str">
        <x:v>present</x:v>
      </x:c>
      <x:c r="L13" s="46" t="str">
        <x:v>direct_shared_occurrence_table17</x:v>
      </x:c>
      <x:c r="M13" s="46" t="str">
        <x:v>SRC-LANDFOWL-THESIS-001</x:v>
      </x:c>
      <x:c r="N13" s="46" t="str">
        <x:v>SRC-LANDFOWL-COMP-001</x:v>
      </x:c>
      <x:c r="O13" s="46" t="str">
        <x:v>https://d-nb.info/1009589644/34</x:v>
      </x:c>
      <x:c r="P13" s="46" t="str">
        <x:v>https://webbook.nist.gov/cgi/cbook.cgi?ID=C18829555</x:v>
      </x:c>
      <x:c r="Q13" s="77" t="str">
        <x:v>approved_cluster_reference_not_automatic_family_inheritance</x:v>
      </x:c>
      <x:c r="R13" s="46" t="str">
        <x:v>2010 dissertation prose says 37 shared, but Table 17 contains 38 all-four rows; 2013 journal article reports 38. Table 17 + article count govern this extraction.</x:v>
      </x:c>
    </x:row>
    <x:row r="14">
      <x:c r="A14" s="46" t="str">
        <x:v>LANDFOWL-SHARED-013</x:v>
      </x:c>
      <x:c r="B14" s="46" t="str">
        <x:v>Benzaldehyd</x:v>
      </x:c>
      <x:c r="C14" s="46" t="str">
        <x:v>benzaldehyde</x:v>
      </x:c>
      <x:c r="D14" s="46" t="str">
        <x:v>100-52-7</x:v>
      </x:c>
      <x:c r="E14" s="46" t="str">
        <x:v>Carbonyls, aldehydes</x:v>
      </x:c>
      <x:c r="F14" s="46" t="n">
        <x:v>968</x:v>
      </x:c>
      <x:c r="G14" s="46" t="str">
        <x:v>n.d.</x:v>
      </x:c>
      <x:c r="H14" s="46" t="str">
        <x:v>present</x:v>
      </x:c>
      <x:c r="I14" s="46" t="str">
        <x:v>present</x:v>
      </x:c>
      <x:c r="J14" s="46" t="str">
        <x:v>present</x:v>
      </x:c>
      <x:c r="K14" s="46" t="str">
        <x:v>present</x:v>
      </x:c>
      <x:c r="L14" s="46" t="str">
        <x:v>direct_shared_occurrence_table17</x:v>
      </x:c>
      <x:c r="M14" s="46" t="str">
        <x:v>SRC-LANDFOWL-THESIS-001</x:v>
      </x:c>
      <x:c r="N14" s="46" t="str">
        <x:v>SRC-LANDFOWL-COMP-001</x:v>
      </x:c>
      <x:c r="O14" s="46" t="str">
        <x:v>https://d-nb.info/1009589644/34</x:v>
      </x:c>
      <x:c r="P14" s="46" t="str">
        <x:v>https://webbook.nist.gov/cgi/cbook.cgi?ID=C100527</x:v>
      </x:c>
      <x:c r="Q14" s="77" t="str">
        <x:v>approved_cluster_reference_not_automatic_family_inheritance</x:v>
      </x:c>
      <x:c r="R14" s="46" t="str">
        <x:v>2010 dissertation prose says 37 shared, but Table 17 contains 38 all-four rows; 2013 journal article reports 38. Table 17 + article count govern this extraction.</x:v>
      </x:c>
    </x:row>
    <x:row r="15">
      <x:c r="A15" s="46" t="str">
        <x:v>LANDFOWL-SHARED-014</x:v>
      </x:c>
      <x:c r="B15" s="46" t="str">
        <x:v>1-Heptanol</x:v>
      </x:c>
      <x:c r="C15" s="46" t="str">
        <x:v>1-heptanol</x:v>
      </x:c>
      <x:c r="D15" s="46" t="str">
        <x:v>111-70-6</x:v>
      </x:c>
      <x:c r="E15" s="46" t="str">
        <x:v>Alcohols</x:v>
      </x:c>
      <x:c r="F15" s="46" t="n">
        <x:v>974</x:v>
      </x:c>
      <x:c r="G15" s="46" t="str">
        <x:v>n.d.</x:v>
      </x:c>
      <x:c r="H15" s="46" t="str">
        <x:v>present</x:v>
      </x:c>
      <x:c r="I15" s="46" t="str">
        <x:v>present</x:v>
      </x:c>
      <x:c r="J15" s="46" t="str">
        <x:v>present</x:v>
      </x:c>
      <x:c r="K15" s="46" t="str">
        <x:v>present</x:v>
      </x:c>
      <x:c r="L15" s="46" t="str">
        <x:v>direct_shared_occurrence_table17</x:v>
      </x:c>
      <x:c r="M15" s="46" t="str">
        <x:v>SRC-LANDFOWL-THESIS-001</x:v>
      </x:c>
      <x:c r="N15" s="46" t="str">
        <x:v>SRC-LANDFOWL-COMP-001</x:v>
      </x:c>
      <x:c r="O15" s="46" t="str">
        <x:v>https://d-nb.info/1009589644/34</x:v>
      </x:c>
      <x:c r="P15" s="46" t="str">
        <x:v>https://webbook.nist.gov/cgi/cbook.cgi?ID=C111706</x:v>
      </x:c>
      <x:c r="Q15" s="77" t="str">
        <x:v>approved_cluster_reference_not_automatic_family_inheritance</x:v>
      </x:c>
      <x:c r="R15" s="46" t="str">
        <x:v>2010 dissertation prose says 37 shared, but Table 17 contains 38 all-four rows; 2013 journal article reports 38. Table 17 + article count govern this extraction.</x:v>
      </x:c>
    </x:row>
    <x:row r="16">
      <x:c r="A16" s="46" t="str">
        <x:v>LANDFOWL-SHARED-015</x:v>
      </x:c>
      <x:c r="B16" s="46" t="str">
        <x:v>1-Octen-3-ol</x:v>
      </x:c>
      <x:c r="C16" s="46" t="str">
        <x:v>1-octen-3-ol</x:v>
      </x:c>
      <x:c r="D16" s="46" t="str">
        <x:v>3391-86-4</x:v>
      </x:c>
      <x:c r="E16" s="46" t="str">
        <x:v>Alcohols</x:v>
      </x:c>
      <x:c r="F16" s="46" t="n">
        <x:v>982</x:v>
      </x:c>
      <x:c r="G16" s="46" t="str">
        <x:v>Champignon</x:v>
      </x:c>
      <x:c r="H16" s="46" t="str">
        <x:v>present</x:v>
      </x:c>
      <x:c r="I16" s="46" t="str">
        <x:v>present</x:v>
      </x:c>
      <x:c r="J16" s="46" t="str">
        <x:v>present</x:v>
      </x:c>
      <x:c r="K16" s="46" t="str">
        <x:v>present</x:v>
      </x:c>
      <x:c r="L16" s="46" t="str">
        <x:v>direct_shared_occurrence_table17</x:v>
      </x:c>
      <x:c r="M16" s="46" t="str">
        <x:v>SRC-LANDFOWL-THESIS-001</x:v>
      </x:c>
      <x:c r="N16" s="46" t="str">
        <x:v>SRC-LANDFOWL-COMP-001</x:v>
      </x:c>
      <x:c r="O16" s="46" t="str">
        <x:v>https://d-nb.info/1009589644/34</x:v>
      </x:c>
      <x:c r="P16" s="46" t="str">
        <x:v>https://webbook.nist.gov/cgi/cbook.cgi?ID=C3391864</x:v>
      </x:c>
      <x:c r="Q16" s="77" t="str">
        <x:v>approved_cluster_reference_not_automatic_family_inheritance</x:v>
      </x:c>
      <x:c r="R16" s="46" t="str">
        <x:v>2010 dissertation prose says 37 shared, but Table 17 contains 38 all-four rows; 2013 journal article reports 38. Table 17 + article count govern this extraction.</x:v>
      </x:c>
    </x:row>
    <x:row r="17">
      <x:c r="A17" s="46" t="str">
        <x:v>LANDFOWL-SHARED-016</x:v>
      </x:c>
      <x:c r="B17" s="46" t="str">
        <x:v>3-Nonen-2-on</x:v>
      </x:c>
      <x:c r="C17" s="46" t="str">
        <x:v>3-nonen-2-one</x:v>
      </x:c>
      <x:c r="D17" s="46" t="str">
        <x:v>14309-57-0</x:v>
      </x:c>
      <x:c r="E17" s="46" t="str">
        <x:v>Carbonyls, ketones</x:v>
      </x:c>
      <x:c r="F17" s="46" t="n">
        <x:v>987</x:v>
      </x:c>
      <x:c r="G17" s="46" t="str">
        <x:v>n.d.</x:v>
      </x:c>
      <x:c r="H17" s="46" t="str">
        <x:v>present</x:v>
      </x:c>
      <x:c r="I17" s="46" t="str">
        <x:v>present</x:v>
      </x:c>
      <x:c r="J17" s="46" t="str">
        <x:v>present</x:v>
      </x:c>
      <x:c r="K17" s="46" t="str">
        <x:v>present</x:v>
      </x:c>
      <x:c r="L17" s="46" t="str">
        <x:v>direct_shared_occurrence_table17</x:v>
      </x:c>
      <x:c r="M17" s="46" t="str">
        <x:v>SRC-LANDFOWL-THESIS-001</x:v>
      </x:c>
      <x:c r="N17" s="46" t="str">
        <x:v>SRC-LANDFOWL-COMP-001</x:v>
      </x:c>
      <x:c r="O17" s="46" t="str">
        <x:v>https://d-nb.info/1009589644/34</x:v>
      </x:c>
      <x:c r="P17" s="46" t="str">
        <x:v>https://webbook.nist.gov/cgi/cbook.cgi?ID=C14309570</x:v>
      </x:c>
      <x:c r="Q17" s="77" t="str">
        <x:v>approved_cluster_reference_not_automatic_family_inheritance</x:v>
      </x:c>
      <x:c r="R17" s="46" t="str">
        <x:v>2010 dissertation prose says 37 shared, but Table 17 contains 38 all-four rows; 2013 journal article reports 38. Table 17 + article count govern this extraction.</x:v>
      </x:c>
    </x:row>
    <x:row r="18">
      <x:c r="A18" s="46" t="str">
        <x:v>LANDFOWL-SHARED-017</x:v>
      </x:c>
      <x:c r="B18" s="46" t="str">
        <x:v>2,4-(E,E)-Heptadienal</x:v>
      </x:c>
      <x:c r="C18" s="46" t="str">
        <x:v>(E,E)-2,4-heptadienal</x:v>
      </x:c>
      <x:c r="D18" s="46" t="str">
        <x:v>4313-03-5</x:v>
      </x:c>
      <x:c r="E18" s="46" t="str">
        <x:v>Carbonyls, aldehydes</x:v>
      </x:c>
      <x:c r="F18" s="46" t="n">
        <x:v>996</x:v>
      </x:c>
      <x:c r="G18" s="46" t="str">
        <x:v>n.d.</x:v>
      </x:c>
      <x:c r="H18" s="46" t="str">
        <x:v>present</x:v>
      </x:c>
      <x:c r="I18" s="46" t="str">
        <x:v>present</x:v>
      </x:c>
      <x:c r="J18" s="46" t="str">
        <x:v>present</x:v>
      </x:c>
      <x:c r="K18" s="46" t="str">
        <x:v>present</x:v>
      </x:c>
      <x:c r="L18" s="46" t="str">
        <x:v>direct_shared_occurrence_table17</x:v>
      </x:c>
      <x:c r="M18" s="46" t="str">
        <x:v>SRC-LANDFOWL-THESIS-001</x:v>
      </x:c>
      <x:c r="N18" s="46" t="str">
        <x:v>SRC-LANDFOWL-COMP-001</x:v>
      </x:c>
      <x:c r="O18" s="46" t="str">
        <x:v>https://d-nb.info/1009589644/34</x:v>
      </x:c>
      <x:c r="P18" s="46" t="str">
        <x:v>https://webbook.nist.gov/cgi/cbook.cgi?ID=C4313035</x:v>
      </x:c>
      <x:c r="Q18" s="77" t="str">
        <x:v>approved_cluster_reference_not_automatic_family_inheritance</x:v>
      </x:c>
      <x:c r="R18" s="46" t="str">
        <x:v>2010 dissertation prose says 37 shared, but Table 17 contains 38 all-four rows; 2013 journal article reports 38. Table 17 + article count govern this extraction.</x:v>
      </x:c>
    </x:row>
    <x:row r="19">
      <x:c r="A19" s="46" t="str">
        <x:v>LANDFOWL-SHARED-018</x:v>
      </x:c>
      <x:c r="B19" s="46" t="str">
        <x:v>Octanal</x:v>
      </x:c>
      <x:c r="C19" s="46" t="str">
        <x:v>octanal</x:v>
      </x:c>
      <x:c r="D19" s="46" t="str">
        <x:v>124-13-0</x:v>
      </x:c>
      <x:c r="E19" s="46" t="str">
        <x:v>Carbonyls, aldehydes</x:v>
      </x:c>
      <x:c r="F19" s="46" t="n">
        <x:v>1002</x:v>
      </x:c>
      <x:c r="G19" s="46" t="str">
        <x:v>Blumig, stechend</x:v>
      </x:c>
      <x:c r="H19" s="46" t="str">
        <x:v>present</x:v>
      </x:c>
      <x:c r="I19" s="46" t="str">
        <x:v>present</x:v>
      </x:c>
      <x:c r="J19" s="46" t="str">
        <x:v>present</x:v>
      </x:c>
      <x:c r="K19" s="46" t="str">
        <x:v>present</x:v>
      </x:c>
      <x:c r="L19" s="46" t="str">
        <x:v>direct_shared_occurrence_table17</x:v>
      </x:c>
      <x:c r="M19" s="46" t="str">
        <x:v>SRC-LANDFOWL-THESIS-001</x:v>
      </x:c>
      <x:c r="N19" s="46" t="str">
        <x:v>SRC-LANDFOWL-COMP-001</x:v>
      </x:c>
      <x:c r="O19" s="46" t="str">
        <x:v>https://d-nb.info/1009589644/34</x:v>
      </x:c>
      <x:c r="P19" s="46" t="str">
        <x:v>https://webbook.nist.gov/cgi/cbook.cgi?ID=C124130</x:v>
      </x:c>
      <x:c r="Q19" s="77" t="str">
        <x:v>approved_cluster_reference_not_automatic_family_inheritance</x:v>
      </x:c>
      <x:c r="R19" s="46" t="str">
        <x:v>2010 dissertation prose says 37 shared, but Table 17 contains 38 all-four rows; 2013 journal article reports 38. Table 17 + article count govern this extraction.</x:v>
      </x:c>
    </x:row>
    <x:row r="20">
      <x:c r="A20" s="46" t="str">
        <x:v>LANDFOWL-SHARED-019</x:v>
      </x:c>
      <x:c r="B20" s="46" t="str">
        <x:v>2,4-(E,Z)-Heptadienal</x:v>
      </x:c>
      <x:c r="C20" s="46" t="str">
        <x:v>(E,Z)-2,4-heptadienal</x:v>
      </x:c>
      <x:c r="D20" s="46" t="str">
        <x:v>4313-02-4</x:v>
      </x:c>
      <x:c r="E20" s="46" t="str">
        <x:v>Carbonyls, aldehydes</x:v>
      </x:c>
      <x:c r="F20" s="46" t="n">
        <x:v>1011</x:v>
      </x:c>
      <x:c r="G20" s="46" t="str">
        <x:v>geröstet, Zimt</x:v>
      </x:c>
      <x:c r="H20" s="46" t="str">
        <x:v>present</x:v>
      </x:c>
      <x:c r="I20" s="46" t="str">
        <x:v>present</x:v>
      </x:c>
      <x:c r="J20" s="46" t="str">
        <x:v>present</x:v>
      </x:c>
      <x:c r="K20" s="46" t="str">
        <x:v>present</x:v>
      </x:c>
      <x:c r="L20" s="46" t="str">
        <x:v>direct_shared_occurrence_table17</x:v>
      </x:c>
      <x:c r="M20" s="46" t="str">
        <x:v>SRC-LANDFOWL-THESIS-001</x:v>
      </x:c>
      <x:c r="N20" s="46" t="str">
        <x:v>SRC-LANDFOWL-COMP-001</x:v>
      </x:c>
      <x:c r="O20" s="46" t="str">
        <x:v>https://d-nb.info/1009589644/34</x:v>
      </x:c>
      <x:c r="P20" s="46" t="str">
        <x:v>https://webbook.nist.gov/cgi/cbook.cgi?ID=C4313024</x:v>
      </x:c>
      <x:c r="Q20" s="77" t="str">
        <x:v>approved_cluster_reference_not_automatic_family_inheritance</x:v>
      </x:c>
      <x:c r="R20" s="46" t="str">
        <x:v>2010 dissertation prose says 37 shared, but Table 17 contains 38 all-four rows; 2013 journal article reports 38. Table 17 + article count govern this extraction.</x:v>
      </x:c>
    </x:row>
    <x:row r="21">
      <x:c r="A21" s="46" t="str">
        <x:v>LANDFOWL-SHARED-020</x:v>
      </x:c>
      <x:c r="B21" s="46" t="str">
        <x:v>2-(E)-Octenal</x:v>
      </x:c>
      <x:c r="C21" s="46" t="str">
        <x:v>(E)-2-octenal</x:v>
      </x:c>
      <x:c r="D21" s="46" t="str">
        <x:v>2548-87-0</x:v>
      </x:c>
      <x:c r="E21" s="46" t="str">
        <x:v>Carbonyls, aldehydes</x:v>
      </x:c>
      <x:c r="F21" s="46" t="n">
        <x:v>1050</x:v>
      </x:c>
      <x:c r="G21" s="46" t="str">
        <x:v>Feuchte Erde</x:v>
      </x:c>
      <x:c r="H21" s="46" t="str">
        <x:v>present</x:v>
      </x:c>
      <x:c r="I21" s="46" t="str">
        <x:v>present</x:v>
      </x:c>
      <x:c r="J21" s="46" t="str">
        <x:v>present</x:v>
      </x:c>
      <x:c r="K21" s="46" t="str">
        <x:v>present</x:v>
      </x:c>
      <x:c r="L21" s="46" t="str">
        <x:v>direct_shared_occurrence_table17</x:v>
      </x:c>
      <x:c r="M21" s="46" t="str">
        <x:v>SRC-LANDFOWL-THESIS-001</x:v>
      </x:c>
      <x:c r="N21" s="46" t="str">
        <x:v>SRC-LANDFOWL-COMP-001</x:v>
      </x:c>
      <x:c r="O21" s="46" t="str">
        <x:v>https://d-nb.info/1009589644/34</x:v>
      </x:c>
      <x:c r="P21" s="46" t="str">
        <x:v>https://webbook.nist.gov/cgi/cbook.cgi?ID=C2548870</x:v>
      </x:c>
      <x:c r="Q21" s="77" t="str">
        <x:v>approved_cluster_reference_not_automatic_family_inheritance</x:v>
      </x:c>
      <x:c r="R21" s="46" t="str">
        <x:v>2010 dissertation prose says 37 shared, but Table 17 contains 38 all-four rows; 2013 journal article reports 38. Table 17 + article count govern this extraction.</x:v>
      </x:c>
    </x:row>
    <x:row r="22">
      <x:c r="A22" s="46" t="str">
        <x:v>LANDFOWL-SHARED-021</x:v>
      </x:c>
      <x:c r="B22" s="46" t="str">
        <x:v>1-Octanol</x:v>
      </x:c>
      <x:c r="C22" s="46" t="str">
        <x:v>1-octanol</x:v>
      </x:c>
      <x:c r="D22" s="46" t="str">
        <x:v>111-87-5</x:v>
      </x:c>
      <x:c r="E22" s="46" t="str">
        <x:v>Alcohols</x:v>
      </x:c>
      <x:c r="F22" s="46" t="n">
        <x:v>1073</x:v>
      </x:c>
      <x:c r="G22" s="46" t="str">
        <x:v>Butter, fettig</x:v>
      </x:c>
      <x:c r="H22" s="46" t="str">
        <x:v>present</x:v>
      </x:c>
      <x:c r="I22" s="46" t="str">
        <x:v>present</x:v>
      </x:c>
      <x:c r="J22" s="46" t="str">
        <x:v>present</x:v>
      </x:c>
      <x:c r="K22" s="46" t="str">
        <x:v>present</x:v>
      </x:c>
      <x:c r="L22" s="46" t="str">
        <x:v>direct_shared_occurrence_table17</x:v>
      </x:c>
      <x:c r="M22" s="46" t="str">
        <x:v>SRC-LANDFOWL-THESIS-001</x:v>
      </x:c>
      <x:c r="N22" s="46" t="str">
        <x:v>SRC-LANDFOWL-COMP-001</x:v>
      </x:c>
      <x:c r="O22" s="46" t="str">
        <x:v>https://d-nb.info/1009589644/34</x:v>
      </x:c>
      <x:c r="P22" s="46" t="str">
        <x:v>https://webbook.nist.gov/cgi/cbook.cgi?ID=C111875</x:v>
      </x:c>
      <x:c r="Q22" s="77" t="str">
        <x:v>approved_cluster_reference_not_automatic_family_inheritance</x:v>
      </x:c>
      <x:c r="R22" s="46" t="str">
        <x:v>2010 dissertation prose says 37 shared, but Table 17 contains 38 all-four rows; 2013 journal article reports 38. Table 17 + article count govern this extraction.</x:v>
      </x:c>
    </x:row>
    <x:row r="23">
      <x:c r="A23" s="46" t="str">
        <x:v>LANDFOWL-SHARED-022</x:v>
      </x:c>
      <x:c r="B23" s="46" t="str">
        <x:v>Undecan</x:v>
      </x:c>
      <x:c r="C23" s="46" t="str">
        <x:v>undecane</x:v>
      </x:c>
      <x:c r="D23" s="46" t="str">
        <x:v>1120-21-4</x:v>
      </x:c>
      <x:c r="E23" s="46" t="str">
        <x:v>Hydrocarbons</x:v>
      </x:c>
      <x:c r="F23" s="46" t="n">
        <x:v>1098</x:v>
      </x:c>
      <x:c r="G23" s="46" t="str">
        <x:v>n.d.</x:v>
      </x:c>
      <x:c r="H23" s="46" t="str">
        <x:v>present</x:v>
      </x:c>
      <x:c r="I23" s="46" t="str">
        <x:v>present</x:v>
      </x:c>
      <x:c r="J23" s="46" t="str">
        <x:v>present</x:v>
      </x:c>
      <x:c r="K23" s="46" t="str">
        <x:v>present</x:v>
      </x:c>
      <x:c r="L23" s="46" t="str">
        <x:v>direct_shared_occurrence_table17</x:v>
      </x:c>
      <x:c r="M23" s="46" t="str">
        <x:v>SRC-LANDFOWL-THESIS-001</x:v>
      </x:c>
      <x:c r="N23" s="46" t="str">
        <x:v>SRC-LANDFOWL-COMP-001</x:v>
      </x:c>
      <x:c r="O23" s="46" t="str">
        <x:v>https://d-nb.info/1009589644/34</x:v>
      </x:c>
      <x:c r="P23" s="46" t="str">
        <x:v>https://webbook.nist.gov/cgi/cbook.cgi?ID=C1120214</x:v>
      </x:c>
      <x:c r="Q23" s="77" t="str">
        <x:v>approved_cluster_reference_not_automatic_family_inheritance</x:v>
      </x:c>
      <x:c r="R23" s="46" t="str">
        <x:v>2010 dissertation prose says 37 shared, but Table 17 contains 38 all-four rows; 2013 journal article reports 38. Table 17 + article count govern this extraction.</x:v>
      </x:c>
    </x:row>
    <x:row r="24">
      <x:c r="A24" s="46" t="str">
        <x:v>LANDFOWL-SHARED-023</x:v>
      </x:c>
      <x:c r="B24" s="46" t="str">
        <x:v>Nonanal</x:v>
      </x:c>
      <x:c r="C24" s="46" t="str">
        <x:v>nonanal</x:v>
      </x:c>
      <x:c r="D24" s="46" t="str">
        <x:v>124-19-6</x:v>
      </x:c>
      <x:c r="E24" s="46" t="str">
        <x:v>Carbonyls, aldehydes</x:v>
      </x:c>
      <x:c r="F24" s="46" t="n">
        <x:v>1105</x:v>
      </x:c>
      <x:c r="G24" s="46" t="str">
        <x:v>Kohle, Rauch</x:v>
      </x:c>
      <x:c r="H24" s="46" t="str">
        <x:v>present</x:v>
      </x:c>
      <x:c r="I24" s="46" t="str">
        <x:v>present</x:v>
      </x:c>
      <x:c r="J24" s="46" t="str">
        <x:v>present</x:v>
      </x:c>
      <x:c r="K24" s="46" t="str">
        <x:v>present</x:v>
      </x:c>
      <x:c r="L24" s="46" t="str">
        <x:v>direct_shared_occurrence_table17</x:v>
      </x:c>
      <x:c r="M24" s="46" t="str">
        <x:v>SRC-LANDFOWL-THESIS-001</x:v>
      </x:c>
      <x:c r="N24" s="46" t="str">
        <x:v>SRC-LANDFOWL-COMP-001</x:v>
      </x:c>
      <x:c r="O24" s="46" t="str">
        <x:v>https://d-nb.info/1009589644/34</x:v>
      </x:c>
      <x:c r="P24" s="46" t="str">
        <x:v>https://webbook.nist.gov/cgi/cbook.cgi?ID=C124196</x:v>
      </x:c>
      <x:c r="Q24" s="77" t="str">
        <x:v>approved_cluster_reference_not_automatic_family_inheritance</x:v>
      </x:c>
      <x:c r="R24" s="46" t="str">
        <x:v>2010 dissertation prose says 37 shared, but Table 17 contains 38 all-four rows; 2013 journal article reports 38. Table 17 + article count govern this extraction.</x:v>
      </x:c>
    </x:row>
    <x:row r="25">
      <x:c r="A25" s="46" t="str">
        <x:v>LANDFOWL-SHARED-024</x:v>
      </x:c>
      <x:c r="B25" s="46" t="str">
        <x:v>2-(E)-Nonenal</x:v>
      </x:c>
      <x:c r="C25" s="46" t="str">
        <x:v>(E)-2-nonenal</x:v>
      </x:c>
      <x:c r="D25" s="46" t="str">
        <x:v>18829-56-6</x:v>
      </x:c>
      <x:c r="E25" s="46" t="str">
        <x:v>Carbonyls, aldehydes</x:v>
      </x:c>
      <x:c r="F25" s="46" t="n">
        <x:v>1162</x:v>
      </x:c>
      <x:c r="G25" s="46" t="str">
        <x:v>Lindenblüten</x:v>
      </x:c>
      <x:c r="H25" s="46" t="str">
        <x:v>present</x:v>
      </x:c>
      <x:c r="I25" s="46" t="str">
        <x:v>present</x:v>
      </x:c>
      <x:c r="J25" s="46" t="str">
        <x:v>present</x:v>
      </x:c>
      <x:c r="K25" s="46" t="str">
        <x:v>present</x:v>
      </x:c>
      <x:c r="L25" s="46" t="str">
        <x:v>direct_shared_occurrence_table17</x:v>
      </x:c>
      <x:c r="M25" s="46" t="str">
        <x:v>SRC-LANDFOWL-THESIS-001</x:v>
      </x:c>
      <x:c r="N25" s="46" t="str">
        <x:v>SRC-LANDFOWL-COMP-001</x:v>
      </x:c>
      <x:c r="O25" s="46" t="str">
        <x:v>https://d-nb.info/1009589644/34</x:v>
      </x:c>
      <x:c r="P25" s="46" t="str">
        <x:v>https://webbook.nist.gov/cgi/cbook.cgi?ID=C18829566</x:v>
      </x:c>
      <x:c r="Q25" s="77" t="str">
        <x:v>approved_cluster_reference_not_automatic_family_inheritance</x:v>
      </x:c>
      <x:c r="R25" s="46" t="str">
        <x:v>2010 dissertation prose says 37 shared, but Table 17 contains 38 all-four rows; 2013 journal article reports 38. Table 17 + article count govern this extraction.</x:v>
      </x:c>
    </x:row>
    <x:row r="26">
      <x:c r="A26" s="46" t="str">
        <x:v>LANDFOWL-SHARED-025</x:v>
      </x:c>
      <x:c r="B26" s="46" t="str">
        <x:v>1-Nonanol</x:v>
      </x:c>
      <x:c r="C26" s="46" t="str">
        <x:v>1-nonanol</x:v>
      </x:c>
      <x:c r="D26" s="46" t="str">
        <x:v>143-08-8</x:v>
      </x:c>
      <x:c r="E26" s="46" t="str">
        <x:v>Alcohols</x:v>
      </x:c>
      <x:c r="F26" s="46" t="n">
        <x:v>1172</x:v>
      </x:c>
      <x:c r="G26" s="46" t="str">
        <x:v>n.d.</x:v>
      </x:c>
      <x:c r="H26" s="46" t="str">
        <x:v>present</x:v>
      </x:c>
      <x:c r="I26" s="46" t="str">
        <x:v>present</x:v>
      </x:c>
      <x:c r="J26" s="46" t="str">
        <x:v>present</x:v>
      </x:c>
      <x:c r="K26" s="46" t="str">
        <x:v>present</x:v>
      </x:c>
      <x:c r="L26" s="46" t="str">
        <x:v>direct_shared_occurrence_table17</x:v>
      </x:c>
      <x:c r="M26" s="46" t="str">
        <x:v>SRC-LANDFOWL-THESIS-001</x:v>
      </x:c>
      <x:c r="N26" s="46" t="str">
        <x:v>SRC-LANDFOWL-COMP-001</x:v>
      </x:c>
      <x:c r="O26" s="46" t="str">
        <x:v>https://d-nb.info/1009589644/34</x:v>
      </x:c>
      <x:c r="P26" s="46" t="str">
        <x:v>https://webbook.nist.gov/cgi/cbook.cgi?ID=C143088</x:v>
      </x:c>
      <x:c r="Q26" s="77" t="str">
        <x:v>approved_cluster_reference_not_automatic_family_inheritance</x:v>
      </x:c>
      <x:c r="R26" s="46" t="str">
        <x:v>2010 dissertation prose says 37 shared, but Table 17 contains 38 all-four rows; 2013 journal article reports 38. Table 17 + article count govern this extraction.</x:v>
      </x:c>
    </x:row>
    <x:row r="27">
      <x:c r="A27" s="46" t="str">
        <x:v>LANDFOWL-SHARED-026</x:v>
      </x:c>
      <x:c r="B27" s="46" t="str">
        <x:v>Dodecan</x:v>
      </x:c>
      <x:c r="C27" s="46" t="str">
        <x:v>dodecane</x:v>
      </x:c>
      <x:c r="D27" s="46" t="str">
        <x:v>112-40-3</x:v>
      </x:c>
      <x:c r="E27" s="46" t="str">
        <x:v>Hydrocarbons</x:v>
      </x:c>
      <x:c r="F27" s="46" t="n">
        <x:v>1200</x:v>
      </x:c>
      <x:c r="G27" s="46" t="str">
        <x:v>n.d.</x:v>
      </x:c>
      <x:c r="H27" s="46" t="str">
        <x:v>present</x:v>
      </x:c>
      <x:c r="I27" s="46" t="str">
        <x:v>present</x:v>
      </x:c>
      <x:c r="J27" s="46" t="str">
        <x:v>present</x:v>
      </x:c>
      <x:c r="K27" s="46" t="str">
        <x:v>present</x:v>
      </x:c>
      <x:c r="L27" s="46" t="str">
        <x:v>direct_shared_occurrence_table17</x:v>
      </x:c>
      <x:c r="M27" s="46" t="str">
        <x:v>SRC-LANDFOWL-THESIS-001</x:v>
      </x:c>
      <x:c r="N27" s="46" t="str">
        <x:v>SRC-LANDFOWL-COMP-001</x:v>
      </x:c>
      <x:c r="O27" s="46" t="str">
        <x:v>https://d-nb.info/1009589644/34</x:v>
      </x:c>
      <x:c r="P27" s="46" t="str">
        <x:v>https://webbook.nist.gov/cgi/cbook.cgi?ID=C112403</x:v>
      </x:c>
      <x:c r="Q27" s="77" t="str">
        <x:v>approved_cluster_reference_not_automatic_family_inheritance</x:v>
      </x:c>
      <x:c r="R27" s="46" t="str">
        <x:v>2010 dissertation prose says 37 shared, but Table 17 contains 38 all-four rows; 2013 journal article reports 38. Table 17 + article count govern this extraction.</x:v>
      </x:c>
    </x:row>
    <x:row r="28">
      <x:c r="A28" s="46" t="str">
        <x:v>LANDFOWL-SHARED-027</x:v>
      </x:c>
      <x:c r="B28" s="46" t="str">
        <x:v>Decanal</x:v>
      </x:c>
      <x:c r="C28" s="46" t="str">
        <x:v>decanal</x:v>
      </x:c>
      <x:c r="D28" s="46" t="str">
        <x:v>112-31-2</x:v>
      </x:c>
      <x:c r="E28" s="46" t="str">
        <x:v>Carbonyls, aldehydes</x:v>
      </x:c>
      <x:c r="F28" s="46" t="n">
        <x:v>1206</x:v>
      </x:c>
      <x:c r="G28" s="46" t="str">
        <x:v>Rübe</x:v>
      </x:c>
      <x:c r="H28" s="46" t="str">
        <x:v>present</x:v>
      </x:c>
      <x:c r="I28" s="46" t="str">
        <x:v>present</x:v>
      </x:c>
      <x:c r="J28" s="46" t="str">
        <x:v>present</x:v>
      </x:c>
      <x:c r="K28" s="46" t="str">
        <x:v>present</x:v>
      </x:c>
      <x:c r="L28" s="46" t="str">
        <x:v>direct_shared_occurrence_table17</x:v>
      </x:c>
      <x:c r="M28" s="46" t="str">
        <x:v>SRC-LANDFOWL-THESIS-001</x:v>
      </x:c>
      <x:c r="N28" s="46" t="str">
        <x:v>SRC-LANDFOWL-COMP-001</x:v>
      </x:c>
      <x:c r="O28" s="46" t="str">
        <x:v>https://d-nb.info/1009589644/34</x:v>
      </x:c>
      <x:c r="P28" s="46" t="str">
        <x:v>https://webbook.nist.gov/cgi/cbook.cgi?ID=C112312</x:v>
      </x:c>
      <x:c r="Q28" s="77" t="str">
        <x:v>approved_cluster_reference_not_automatic_family_inheritance</x:v>
      </x:c>
      <x:c r="R28" s="46" t="str">
        <x:v>2010 dissertation prose says 37 shared, but Table 17 contains 38 all-four rows; 2013 journal article reports 38. Table 17 + article count govern this extraction.</x:v>
      </x:c>
    </x:row>
    <x:row r="29">
      <x:c r="A29" s="46" t="str">
        <x:v>LANDFOWL-SHARED-028</x:v>
      </x:c>
      <x:c r="B29" s="46" t="str">
        <x:v>2,4-(E,E)-Nonadienal</x:v>
      </x:c>
      <x:c r="C29" s="46" t="str">
        <x:v>(E,E)-2,4-nonadienal</x:v>
      </x:c>
      <x:c r="D29" s="46" t="str">
        <x:v>5910-87-2</x:v>
      </x:c>
      <x:c r="E29" s="46" t="str">
        <x:v>Carbonyls, aldehydes</x:v>
      </x:c>
      <x:c r="F29" s="46" t="n">
        <x:v>1217</x:v>
      </x:c>
      <x:c r="G29" s="46" t="str">
        <x:v>n.d.</x:v>
      </x:c>
      <x:c r="H29" s="46" t="str">
        <x:v>present</x:v>
      </x:c>
      <x:c r="I29" s="46" t="str">
        <x:v>present</x:v>
      </x:c>
      <x:c r="J29" s="46" t="str">
        <x:v>present</x:v>
      </x:c>
      <x:c r="K29" s="46" t="str">
        <x:v>present</x:v>
      </x:c>
      <x:c r="L29" s="46" t="str">
        <x:v>direct_shared_occurrence_table17</x:v>
      </x:c>
      <x:c r="M29" s="46" t="str">
        <x:v>SRC-LANDFOWL-THESIS-001</x:v>
      </x:c>
      <x:c r="N29" s="46" t="str">
        <x:v>SRC-LANDFOWL-COMP-001</x:v>
      </x:c>
      <x:c r="O29" s="46" t="str">
        <x:v>https://d-nb.info/1009589644/34</x:v>
      </x:c>
      <x:c r="P29" s="46" t="str">
        <x:v>https://webbook.nist.gov/cgi/cbook.cgi?ID=C5910872</x:v>
      </x:c>
      <x:c r="Q29" s="77" t="str">
        <x:v>approved_cluster_reference_not_automatic_family_inheritance</x:v>
      </x:c>
      <x:c r="R29" s="46" t="str">
        <x:v>2010 dissertation prose says 37 shared, but Table 17 contains 38 all-four rows; 2013 journal article reports 38. Table 17 + article count govern this extraction.</x:v>
      </x:c>
    </x:row>
    <x:row r="30">
      <x:c r="A30" s="46" t="str">
        <x:v>LANDFOWL-SHARED-029</x:v>
      </x:c>
      <x:c r="B30" s="46" t="str">
        <x:v>2-(E)-Decenal</x:v>
      </x:c>
      <x:c r="C30" s="46" t="str">
        <x:v>(E)-2-decenal</x:v>
      </x:c>
      <x:c r="D30" s="46" t="str">
        <x:v>3913-81-3</x:v>
      </x:c>
      <x:c r="E30" s="46" t="str">
        <x:v>Carbonyls, aldehydes</x:v>
      </x:c>
      <x:c r="F30" s="46" t="n">
        <x:v>1269</x:v>
      </x:c>
      <x:c r="G30" s="46" t="str">
        <x:v>Fleisch, fettig</x:v>
      </x:c>
      <x:c r="H30" s="46" t="str">
        <x:v>present</x:v>
      </x:c>
      <x:c r="I30" s="46" t="str">
        <x:v>present</x:v>
      </x:c>
      <x:c r="J30" s="46" t="str">
        <x:v>present</x:v>
      </x:c>
      <x:c r="K30" s="46" t="str">
        <x:v>present</x:v>
      </x:c>
      <x:c r="L30" s="46" t="str">
        <x:v>direct_shared_occurrence_table17</x:v>
      </x:c>
      <x:c r="M30" s="46" t="str">
        <x:v>SRC-LANDFOWL-THESIS-001</x:v>
      </x:c>
      <x:c r="N30" s="46" t="str">
        <x:v>SRC-LANDFOWL-COMP-001</x:v>
      </x:c>
      <x:c r="O30" s="46" t="str">
        <x:v>https://d-nb.info/1009589644/34</x:v>
      </x:c>
      <x:c r="P30" s="46" t="str">
        <x:v>https://webbook.nist.gov/cgi/cbook.cgi?ID=C3913813</x:v>
      </x:c>
      <x:c r="Q30" s="77" t="str">
        <x:v>approved_cluster_reference_not_automatic_family_inheritance</x:v>
      </x:c>
      <x:c r="R30" s="46" t="str">
        <x:v>2010 dissertation prose says 37 shared, but Table 17 contains 38 all-four rows; 2013 journal article reports 38. Table 17 + article count govern this extraction.</x:v>
      </x:c>
    </x:row>
    <x:row r="31">
      <x:c r="A31" s="46" t="str">
        <x:v>LANDFOWL-SHARED-030</x:v>
      </x:c>
      <x:c r="B31" s="46" t="str">
        <x:v>2,4-(E,E)-Decadienal</x:v>
      </x:c>
      <x:c r="C31" s="46" t="str">
        <x:v>(E,E)-2,4-decadienal</x:v>
      </x:c>
      <x:c r="D31" s="46" t="str">
        <x:v>25152-84-5</x:v>
      </x:c>
      <x:c r="E31" s="46" t="str">
        <x:v>Carbonyls, aldehydes</x:v>
      </x:c>
      <x:c r="F31" s="46" t="n">
        <x:v>1307</x:v>
      </x:c>
      <x:c r="G31" s="46" t="str">
        <x:v>geröstet, Zwiebel</x:v>
      </x:c>
      <x:c r="H31" s="46" t="str">
        <x:v>present</x:v>
      </x:c>
      <x:c r="I31" s="46" t="str">
        <x:v>present</x:v>
      </x:c>
      <x:c r="J31" s="46" t="str">
        <x:v>present</x:v>
      </x:c>
      <x:c r="K31" s="46" t="str">
        <x:v>present</x:v>
      </x:c>
      <x:c r="L31" s="46" t="str">
        <x:v>direct_shared_occurrence_table17</x:v>
      </x:c>
      <x:c r="M31" s="46" t="str">
        <x:v>SRC-LANDFOWL-THESIS-001</x:v>
      </x:c>
      <x:c r="N31" s="46" t="str">
        <x:v>SRC-LANDFOWL-COMP-001</x:v>
      </x:c>
      <x:c r="O31" s="46" t="str">
        <x:v>https://d-nb.info/1009589644/34</x:v>
      </x:c>
      <x:c r="P31" s="46" t="str">
        <x:v>https://webbook.nist.gov/cgi/cbook.cgi?ID=C25152845</x:v>
      </x:c>
      <x:c r="Q31" s="77" t="str">
        <x:v>approved_cluster_reference_not_automatic_family_inheritance</x:v>
      </x:c>
      <x:c r="R31" s="46" t="str">
        <x:v>2010 dissertation prose says 37 shared, but Table 17 contains 38 all-four rows; 2013 journal article reports 38. Table 17 + article count govern this extraction.</x:v>
      </x:c>
    </x:row>
    <x:row r="32">
      <x:c r="A32" s="46" t="str">
        <x:v>LANDFOWL-SHARED-031</x:v>
      </x:c>
      <x:c r="B32" s="46" t="str">
        <x:v>Undecanal</x:v>
      </x:c>
      <x:c r="C32" s="46" t="str">
        <x:v>undecanal</x:v>
      </x:c>
      <x:c r="D32" s="46" t="str">
        <x:v>112-44-7</x:v>
      </x:c>
      <x:c r="E32" s="46" t="str">
        <x:v>Carbonyls, aldehydes</x:v>
      </x:c>
      <x:c r="F32" s="46" t="n">
        <x:v>1308</x:v>
      </x:c>
      <x:c r="G32" s="46" t="str">
        <x:v>n.d.</x:v>
      </x:c>
      <x:c r="H32" s="46" t="str">
        <x:v>present</x:v>
      </x:c>
      <x:c r="I32" s="46" t="str">
        <x:v>present</x:v>
      </x:c>
      <x:c r="J32" s="46" t="str">
        <x:v>present</x:v>
      </x:c>
      <x:c r="K32" s="46" t="str">
        <x:v>present</x:v>
      </x:c>
      <x:c r="L32" s="46" t="str">
        <x:v>direct_shared_occurrence_table17</x:v>
      </x:c>
      <x:c r="M32" s="46" t="str">
        <x:v>SRC-LANDFOWL-THESIS-001</x:v>
      </x:c>
      <x:c r="N32" s="46" t="str">
        <x:v>SRC-LANDFOWL-COMP-001</x:v>
      </x:c>
      <x:c r="O32" s="46" t="str">
        <x:v>https://d-nb.info/1009589644/34</x:v>
      </x:c>
      <x:c r="P32" s="46" t="str">
        <x:v>https://webbook.nist.gov/cgi/cbook.cgi?ID=C112447</x:v>
      </x:c>
      <x:c r="Q32" s="77" t="str">
        <x:v>approved_cluster_reference_not_automatic_family_inheritance</x:v>
      </x:c>
      <x:c r="R32" s="46" t="str">
        <x:v>2010 dissertation prose says 37 shared, but Table 17 contains 38 all-four rows; 2013 journal article reports 38. Table 17 + article count govern this extraction.</x:v>
      </x:c>
    </x:row>
    <x:row r="33">
      <x:c r="A33" s="46" t="str">
        <x:v>LANDFOWL-SHARED-032</x:v>
      </x:c>
      <x:c r="B33" s="46" t="str">
        <x:v>2,4-(E,Z)-Decadienal</x:v>
      </x:c>
      <x:c r="C33" s="46" t="str">
        <x:v>(E,Z)-2,4-decadienal</x:v>
      </x:c>
      <x:c r="D33" s="46" t="str">
        <x:v>25152-83-4</x:v>
      </x:c>
      <x:c r="E33" s="46" t="str">
        <x:v>Carbonyls, aldehydes</x:v>
      </x:c>
      <x:c r="F33" s="46" t="n">
        <x:v>1333</x:v>
      </x:c>
      <x:c r="G33" s="46" t="str">
        <x:v>nussig, Kekse</x:v>
      </x:c>
      <x:c r="H33" s="46" t="str">
        <x:v>present</x:v>
      </x:c>
      <x:c r="I33" s="46" t="str">
        <x:v>present</x:v>
      </x:c>
      <x:c r="J33" s="46" t="str">
        <x:v>present</x:v>
      </x:c>
      <x:c r="K33" s="46" t="str">
        <x:v>present</x:v>
      </x:c>
      <x:c r="L33" s="46" t="str">
        <x:v>direct_shared_occurrence_table17</x:v>
      </x:c>
      <x:c r="M33" s="46" t="str">
        <x:v>SRC-LANDFOWL-THESIS-001</x:v>
      </x:c>
      <x:c r="N33" s="46" t="str">
        <x:v>SRC-LANDFOWL-COMP-001</x:v>
      </x:c>
      <x:c r="O33" s="46" t="str">
        <x:v>https://d-nb.info/1009589644/34</x:v>
      </x:c>
      <x:c r="P33" s="46" t="str">
        <x:v>https://webbook.nist.gov/cgi/cbook.cgi?ID=C25152834</x:v>
      </x:c>
      <x:c r="Q33" s="77" t="str">
        <x:v>approved_cluster_reference_not_automatic_family_inheritance</x:v>
      </x:c>
      <x:c r="R33" s="46" t="str">
        <x:v>2010 dissertation prose says 37 shared, but Table 17 contains 38 all-four rows; 2013 journal article reports 38. Table 17 + article count govern this extraction.</x:v>
      </x:c>
    </x:row>
    <x:row r="34">
      <x:c r="A34" s="46" t="str">
        <x:v>LANDFOWL-SHARED-033</x:v>
      </x:c>
      <x:c r="B34" s="46" t="str">
        <x:v>2-(E)-Undecenal</x:v>
      </x:c>
      <x:c r="C34" s="46" t="str">
        <x:v>(E)-2-undecenal</x:v>
      </x:c>
      <x:c r="D34" s="46" t="str">
        <x:v>53448-07-0</x:v>
      </x:c>
      <x:c r="E34" s="46" t="str">
        <x:v>Carbonyls, aldehydes</x:v>
      </x:c>
      <x:c r="F34" s="46" t="n">
        <x:v>1367</x:v>
      </x:c>
      <x:c r="G34" s="46" t="str">
        <x:v>Fettig, Kekse</x:v>
      </x:c>
      <x:c r="H34" s="46" t="str">
        <x:v>present</x:v>
      </x:c>
      <x:c r="I34" s="46" t="str">
        <x:v>present</x:v>
      </x:c>
      <x:c r="J34" s="46" t="str">
        <x:v>present</x:v>
      </x:c>
      <x:c r="K34" s="46" t="str">
        <x:v>present</x:v>
      </x:c>
      <x:c r="L34" s="46" t="str">
        <x:v>direct_shared_occurrence_table17</x:v>
      </x:c>
      <x:c r="M34" s="46" t="str">
        <x:v>SRC-LANDFOWL-THESIS-001</x:v>
      </x:c>
      <x:c r="N34" s="46" t="str">
        <x:v>SRC-LANDFOWL-COMP-001</x:v>
      </x:c>
      <x:c r="O34" s="46" t="str">
        <x:v>https://d-nb.info/1009589644/34</x:v>
      </x:c>
      <x:c r="P34" s="46" t="str">
        <x:v>https://webbook.nist.gov/cgi/cbook.cgi?ID=C53448070</x:v>
      </x:c>
      <x:c r="Q34" s="77" t="str">
        <x:v>approved_cluster_reference_not_automatic_family_inheritance</x:v>
      </x:c>
      <x:c r="R34" s="46" t="str">
        <x:v>2010 dissertation prose says 37 shared, but Table 17 contains 38 all-four rows; 2013 journal article reports 38. Table 17 + article count govern this extraction.</x:v>
      </x:c>
    </x:row>
    <x:row r="35">
      <x:c r="A35" s="46" t="str">
        <x:v>LANDFOWL-SHARED-034</x:v>
      </x:c>
      <x:c r="B35" s="46" t="str">
        <x:v>Tetradecan</x:v>
      </x:c>
      <x:c r="C35" s="46" t="str">
        <x:v>tetradecane</x:v>
      </x:c>
      <x:c r="D35" s="46" t="str">
        <x:v>629-59-4</x:v>
      </x:c>
      <x:c r="E35" s="46" t="str">
        <x:v>Hydrocarbons</x:v>
      </x:c>
      <x:c r="F35" s="46" t="n">
        <x:v>1400</x:v>
      </x:c>
      <x:c r="G35" s="46" t="str">
        <x:v>n.d.</x:v>
      </x:c>
      <x:c r="H35" s="46" t="str">
        <x:v>present</x:v>
      </x:c>
      <x:c r="I35" s="46" t="str">
        <x:v>present</x:v>
      </x:c>
      <x:c r="J35" s="46" t="str">
        <x:v>present</x:v>
      </x:c>
      <x:c r="K35" s="46" t="str">
        <x:v>present</x:v>
      </x:c>
      <x:c r="L35" s="46" t="str">
        <x:v>direct_shared_occurrence_table17</x:v>
      </x:c>
      <x:c r="M35" s="46" t="str">
        <x:v>SRC-LANDFOWL-THESIS-001</x:v>
      </x:c>
      <x:c r="N35" s="46" t="str">
        <x:v>SRC-LANDFOWL-COMP-001</x:v>
      </x:c>
      <x:c r="O35" s="46" t="str">
        <x:v>https://d-nb.info/1009589644/34</x:v>
      </x:c>
      <x:c r="P35" s="46" t="str">
        <x:v>https://webbook.nist.gov/cgi/cbook.cgi?ID=C629594</x:v>
      </x:c>
      <x:c r="Q35" s="77" t="str">
        <x:v>approved_cluster_reference_not_automatic_family_inheritance</x:v>
      </x:c>
      <x:c r="R35" s="46" t="str">
        <x:v>2010 dissertation prose says 37 shared, but Table 17 contains 38 all-four rows; 2013 journal article reports 38. Table 17 + article count govern this extraction.</x:v>
      </x:c>
    </x:row>
    <x:row r="36">
      <x:c r="A36" s="46" t="str">
        <x:v>LANDFOWL-SHARED-035</x:v>
      </x:c>
      <x:c r="B36" s="46" t="str">
        <x:v>3-Pyridincarboxamid</x:v>
      </x:c>
      <x:c r="C36" s="46" t="str">
        <x:v>nicotinamide (pyridine-3-carboxamide)</x:v>
      </x:c>
      <x:c r="D36" s="46" t="str">
        <x:v>98-92-0</x:v>
      </x:c>
      <x:c r="E36" s="46" t="str">
        <x:v>Nitriles and amides</x:v>
      </x:c>
      <x:c r="F36" s="46" t="n">
        <x:v>1407</x:v>
      </x:c>
      <x:c r="G36" s="46" t="str">
        <x:v>n.d.</x:v>
      </x:c>
      <x:c r="H36" s="46" t="str">
        <x:v>present</x:v>
      </x:c>
      <x:c r="I36" s="46" t="str">
        <x:v>present</x:v>
      </x:c>
      <x:c r="J36" s="46" t="str">
        <x:v>present</x:v>
      </x:c>
      <x:c r="K36" s="46" t="str">
        <x:v>present</x:v>
      </x:c>
      <x:c r="L36" s="46" t="str">
        <x:v>direct_shared_occurrence_table17</x:v>
      </x:c>
      <x:c r="M36" s="46" t="str">
        <x:v>SRC-LANDFOWL-THESIS-001</x:v>
      </x:c>
      <x:c r="N36" s="46" t="str">
        <x:v>SRC-LANDFOWL-COMP-001</x:v>
      </x:c>
      <x:c r="O36" s="46" t="str">
        <x:v>https://d-nb.info/1009589644/34</x:v>
      </x:c>
      <x:c r="P36" s="46" t="str">
        <x:v>https://webbook.nist.gov/cgi/cbook.cgi?ID=C98920</x:v>
      </x:c>
      <x:c r="Q36" s="77" t="str">
        <x:v>approved_cluster_reference_not_automatic_family_inheritance</x:v>
      </x:c>
      <x:c r="R36" s="46" t="str">
        <x:v>2010 dissertation prose says 37 shared, but Table 17 contains 38 all-four rows; 2013 journal article reports 38. Table 17 + article count govern this extraction.</x:v>
      </x:c>
    </x:row>
    <x:row r="37">
      <x:c r="A37" s="46" t="str">
        <x:v>LANDFOWL-SHARED-036</x:v>
      </x:c>
      <x:c r="B37" s="46" t="str">
        <x:v>Dodecanal</x:v>
      </x:c>
      <x:c r="C37" s="46" t="str">
        <x:v>dodecanal</x:v>
      </x:c>
      <x:c r="D37" s="46" t="str">
        <x:v>112-54-9</x:v>
      </x:c>
      <x:c r="E37" s="46" t="str">
        <x:v>Carbonyls, aldehydes</x:v>
      </x:c>
      <x:c r="F37" s="46" t="n">
        <x:v>1410</x:v>
      </x:c>
      <x:c r="G37" s="46" t="str">
        <x:v>n.d.</x:v>
      </x:c>
      <x:c r="H37" s="46" t="str">
        <x:v>present</x:v>
      </x:c>
      <x:c r="I37" s="46" t="str">
        <x:v>present</x:v>
      </x:c>
      <x:c r="J37" s="46" t="str">
        <x:v>present</x:v>
      </x:c>
      <x:c r="K37" s="46" t="str">
        <x:v>present</x:v>
      </x:c>
      <x:c r="L37" s="46" t="str">
        <x:v>direct_shared_occurrence_table17</x:v>
      </x:c>
      <x:c r="M37" s="46" t="str">
        <x:v>SRC-LANDFOWL-THESIS-001</x:v>
      </x:c>
      <x:c r="N37" s="46" t="str">
        <x:v>SRC-LANDFOWL-COMP-001</x:v>
      </x:c>
      <x:c r="O37" s="46" t="str">
        <x:v>https://d-nb.info/1009589644/34</x:v>
      </x:c>
      <x:c r="P37" s="46" t="str">
        <x:v>https://webbook.nist.gov/cgi/cbook.cgi?ID=C112549</x:v>
      </x:c>
      <x:c r="Q37" s="77" t="str">
        <x:v>approved_cluster_reference_not_automatic_family_inheritance</x:v>
      </x:c>
      <x:c r="R37" s="46" t="str">
        <x:v>2010 dissertation prose says 37 shared, but Table 17 contains 38 all-four rows; 2013 journal article reports 38. Table 17 + article count govern this extraction.</x:v>
      </x:c>
    </x:row>
    <x:row r="38">
      <x:c r="A38" s="46" t="str">
        <x:v>LANDFOWL-SHARED-037</x:v>
      </x:c>
      <x:c r="B38" s="46" t="str">
        <x:v>Pentadecan</x:v>
      </x:c>
      <x:c r="C38" s="46" t="str">
        <x:v>pentadecane</x:v>
      </x:c>
      <x:c r="D38" s="46" t="str">
        <x:v>629-62-9</x:v>
      </x:c>
      <x:c r="E38" s="46" t="str">
        <x:v>Hydrocarbons</x:v>
      </x:c>
      <x:c r="F38" s="46" t="n">
        <x:v>1500</x:v>
      </x:c>
      <x:c r="G38" s="46" t="str">
        <x:v>n.d.</x:v>
      </x:c>
      <x:c r="H38" s="46" t="str">
        <x:v>present</x:v>
      </x:c>
      <x:c r="I38" s="46" t="str">
        <x:v>present</x:v>
      </x:c>
      <x:c r="J38" s="46" t="str">
        <x:v>present</x:v>
      </x:c>
      <x:c r="K38" s="46" t="str">
        <x:v>present</x:v>
      </x:c>
      <x:c r="L38" s="46" t="str">
        <x:v>direct_shared_occurrence_table17</x:v>
      </x:c>
      <x:c r="M38" s="46" t="str">
        <x:v>SRC-LANDFOWL-THESIS-001</x:v>
      </x:c>
      <x:c r="N38" s="46" t="str">
        <x:v>SRC-LANDFOWL-COMP-001</x:v>
      </x:c>
      <x:c r="O38" s="46" t="str">
        <x:v>https://d-nb.info/1009589644/34</x:v>
      </x:c>
      <x:c r="P38" s="46" t="str">
        <x:v>https://webbook.nist.gov/cgi/cbook.cgi?ID=C629629</x:v>
      </x:c>
      <x:c r="Q38" s="77" t="str">
        <x:v>approved_cluster_reference_not_automatic_family_inheritance</x:v>
      </x:c>
      <x:c r="R38" s="46" t="str">
        <x:v>2010 dissertation prose says 37 shared, but Table 17 contains 38 all-four rows; 2013 journal article reports 38. Table 17 + article count govern this extraction.</x:v>
      </x:c>
    </x:row>
    <x:row r="39">
      <x:c r="A39" s="46" t="str">
        <x:v>LANDFOWL-SHARED-038</x:v>
      </x:c>
      <x:c r="B39" s="46" t="str">
        <x:v>2-Pentadecanon</x:v>
      </x:c>
      <x:c r="C39" s="46" t="str">
        <x:v>2-pentadecanone</x:v>
      </x:c>
      <x:c r="D39" s="46" t="str">
        <x:v>2345-28-0</x:v>
      </x:c>
      <x:c r="E39" s="46" t="str">
        <x:v>Carbonyls, ketones</x:v>
      </x:c>
      <x:c r="F39" s="46" t="n">
        <x:v>1700</x:v>
      </x:c>
      <x:c r="G39" s="46" t="str">
        <x:v>n.d.</x:v>
      </x:c>
      <x:c r="H39" s="46" t="str">
        <x:v>present</x:v>
      </x:c>
      <x:c r="I39" s="46" t="str">
        <x:v>present</x:v>
      </x:c>
      <x:c r="J39" s="46" t="str">
        <x:v>present</x:v>
      </x:c>
      <x:c r="K39" s="46" t="str">
        <x:v>present</x:v>
      </x:c>
      <x:c r="L39" s="46" t="str">
        <x:v>direct_shared_occurrence_table17</x:v>
      </x:c>
      <x:c r="M39" s="46" t="str">
        <x:v>SRC-LANDFOWL-THESIS-001</x:v>
      </x:c>
      <x:c r="N39" s="46" t="str">
        <x:v>SRC-LANDFOWL-COMP-001</x:v>
      </x:c>
      <x:c r="O39" s="46" t="str">
        <x:v>https://d-nb.info/1009589644/34</x:v>
      </x:c>
      <x:c r="P39" s="46" t="str">
        <x:v>https://webbook.nist.gov/cgi/cbook.cgi?ID=C2345280</x:v>
      </x:c>
      <x:c r="Q39" s="77" t="str">
        <x:v>approved_cluster_reference_not_automatic_family_inheritance</x:v>
      </x:c>
      <x:c r="R39" s="46" t="str">
        <x:v>2010 dissertation prose says 37 shared, but Table 17 contains 38 all-four rows; 2013 journal article reports 38. Table 17 + article count govern this extraction.</x:v>
      </x:c>
    </x:row>
    <x:row r="40">
      <x:c r="A40" s="46"/>
      <x:c r="B40" s="46"/>
      <x:c r="C40" s="46"/>
      <x:c r="D40" s="46"/>
      <x:c r="E40" s="46"/>
      <x:c r="F40" s="46"/>
      <x:c r="G40" s="46"/>
      <x:c r="H40" s="46"/>
      <x:c r="I40" s="46"/>
      <x:c r="J40" s="46"/>
      <x:c r="K40" s="46"/>
      <x:c r="L40" s="46"/>
      <x:c r="M40" s="46"/>
      <x:c r="N40" s="46"/>
      <x:c r="O40" s="46"/>
      <x:c r="P40" s="46"/>
      <x:c r="Q40" s="46"/>
      <x:c r="R40" s="46"/>
    </x:row>
    <x:row r="41">
      <x:c r="A41" s="46"/>
      <x:c r="B41" s="46"/>
      <x:c r="C41" s="46"/>
      <x:c r="D41" s="46"/>
      <x:c r="E41" s="46"/>
      <x:c r="F41" s="46"/>
      <x:c r="G41" s="46"/>
      <x:c r="H41" s="46"/>
      <x:c r="I41" s="46"/>
      <x:c r="J41" s="46"/>
      <x:c r="K41" s="46"/>
      <x:c r="L41" s="46"/>
      <x:c r="M41" s="46"/>
      <x:c r="N41" s="46"/>
      <x:c r="O41" s="46"/>
      <x:c r="P41" s="46"/>
      <x:c r="Q41" s="46"/>
      <x:c r="R41" s="46"/>
    </x:row>
    <x:row r="42">
      <x:c r="A42" s="46"/>
      <x:c r="B42" s="46"/>
      <x:c r="C42" s="46"/>
      <x:c r="D42" s="46"/>
      <x:c r="E42" s="46"/>
      <x:c r="F42" s="46"/>
      <x:c r="G42" s="46"/>
      <x:c r="H42" s="46"/>
      <x:c r="I42" s="46"/>
      <x:c r="J42" s="46"/>
      <x:c r="K42" s="46"/>
      <x:c r="L42" s="46"/>
      <x:c r="M42" s="46"/>
      <x:c r="N42" s="46"/>
      <x:c r="O42" s="46"/>
      <x:c r="P42" s="46"/>
      <x:c r="Q42" s="46"/>
      <x:c r="R42" s="46"/>
    </x:row>
    <x:row r="43">
      <x:c r="A43" s="46"/>
      <x:c r="B43" s="46"/>
      <x:c r="C43" s="46"/>
      <x:c r="D43" s="46"/>
      <x:c r="E43" s="46"/>
      <x:c r="F43" s="46"/>
      <x:c r="G43" s="46"/>
      <x:c r="H43" s="46"/>
      <x:c r="I43" s="46"/>
      <x:c r="J43" s="46"/>
      <x:c r="K43" s="46"/>
      <x:c r="L43" s="46"/>
      <x:c r="M43" s="46"/>
      <x:c r="N43" s="46"/>
      <x:c r="O43" s="46"/>
      <x:c r="P43" s="46"/>
      <x:c r="Q43" s="46"/>
      <x:c r="R43" s="46"/>
    </x:row>
    <x:row r="44">
      <x:c r="A44" s="46"/>
      <x:c r="B44" s="46"/>
      <x:c r="C44" s="46"/>
      <x:c r="D44" s="46"/>
      <x:c r="E44" s="46"/>
      <x:c r="F44" s="46"/>
      <x:c r="G44" s="46"/>
      <x:c r="H44" s="46"/>
      <x:c r="I44" s="46"/>
      <x:c r="J44" s="46"/>
      <x:c r="K44" s="46"/>
      <x:c r="L44" s="46"/>
      <x:c r="M44" s="46"/>
      <x:c r="N44" s="46"/>
      <x:c r="O44" s="46"/>
      <x:c r="P44" s="46"/>
      <x:c r="Q44" s="46"/>
      <x:c r="R44" s="46"/>
    </x:row>
    <x:row r="45">
      <x:c r="A45" s="46"/>
      <x:c r="B45" s="46"/>
      <x:c r="C45" s="46"/>
      <x:c r="D45" s="46"/>
      <x:c r="E45" s="46"/>
      <x:c r="F45" s="46"/>
      <x:c r="G45" s="46"/>
      <x:c r="H45" s="46"/>
      <x:c r="I45" s="46"/>
      <x:c r="J45" s="46"/>
      <x:c r="K45" s="46"/>
      <x:c r="L45" s="46"/>
      <x:c r="M45" s="46"/>
      <x:c r="N45" s="46"/>
      <x:c r="O45" s="46"/>
      <x:c r="P45" s="46"/>
      <x:c r="Q45" s="46"/>
      <x:c r="R45" s="46"/>
    </x:row>
    <x:row r="46">
      <x:c r="A46" s="46"/>
      <x:c r="B46" s="46"/>
      <x:c r="C46" s="46"/>
      <x:c r="D46" s="46"/>
      <x:c r="E46" s="46"/>
      <x:c r="F46" s="46"/>
      <x:c r="G46" s="46"/>
      <x:c r="H46" s="46"/>
      <x:c r="I46" s="46"/>
      <x:c r="J46" s="46"/>
      <x:c r="K46" s="46"/>
      <x:c r="L46" s="46"/>
      <x:c r="M46" s="46"/>
      <x:c r="N46" s="46"/>
      <x:c r="O46" s="46"/>
      <x:c r="P46" s="46"/>
      <x:c r="Q46" s="46"/>
      <x:c r="R46" s="46"/>
    </x:row>
    <x:row r="47">
      <x:c r="A47" s="46"/>
      <x:c r="B47" s="46"/>
      <x:c r="C47" s="46"/>
      <x:c r="D47" s="46"/>
      <x:c r="E47" s="46"/>
      <x:c r="F47" s="46"/>
      <x:c r="G47" s="46"/>
      <x:c r="H47" s="46"/>
      <x:c r="I47" s="46"/>
      <x:c r="J47" s="46"/>
      <x:c r="K47" s="46"/>
      <x:c r="L47" s="46"/>
      <x:c r="M47" s="46"/>
      <x:c r="N47" s="46"/>
      <x:c r="O47" s="46"/>
      <x:c r="P47" s="46"/>
      <x:c r="Q47" s="46"/>
      <x:c r="R47" s="46"/>
    </x:row>
    <x:row r="48">
      <x:c r="A48" s="46"/>
      <x:c r="B48" s="46"/>
      <x:c r="C48" s="46"/>
      <x:c r="D48" s="46"/>
      <x:c r="E48" s="46"/>
      <x:c r="F48" s="46"/>
      <x:c r="G48" s="46"/>
      <x:c r="H48" s="46"/>
      <x:c r="I48" s="46"/>
      <x:c r="J48" s="46"/>
      <x:c r="K48" s="46"/>
      <x:c r="L48" s="46"/>
      <x:c r="M48" s="46"/>
      <x:c r="N48" s="46"/>
      <x:c r="O48" s="46"/>
      <x:c r="P48" s="46"/>
      <x:c r="Q48" s="46"/>
      <x:c r="R48" s="46"/>
    </x:row>
    <x:row r="49">
      <x:c r="A49" s="46"/>
      <x:c r="B49" s="46"/>
      <x:c r="C49" s="46"/>
      <x:c r="D49" s="46"/>
      <x:c r="E49" s="46"/>
      <x:c r="F49" s="46"/>
      <x:c r="G49" s="46"/>
      <x:c r="H49" s="46"/>
      <x:c r="I49" s="46"/>
      <x:c r="J49" s="46"/>
      <x:c r="K49" s="46"/>
      <x:c r="L49" s="46"/>
      <x:c r="M49" s="46"/>
      <x:c r="N49" s="46"/>
      <x:c r="O49" s="46"/>
      <x:c r="P49" s="46"/>
      <x:c r="Q49" s="46"/>
      <x:c r="R49" s="46"/>
    </x:row>
    <x:row r="50">
      <x:c r="A50" s="46"/>
      <x:c r="B50" s="46"/>
      <x:c r="C50" s="46"/>
      <x:c r="D50" s="46"/>
      <x:c r="E50" s="46"/>
      <x:c r="F50" s="46"/>
      <x:c r="G50" s="46"/>
      <x:c r="H50" s="46"/>
      <x:c r="I50" s="46"/>
      <x:c r="J50" s="46"/>
      <x:c r="K50" s="46"/>
      <x:c r="L50" s="46"/>
      <x:c r="M50" s="46"/>
      <x:c r="N50" s="46"/>
      <x:c r="O50" s="46"/>
      <x:c r="P50" s="46"/>
      <x:c r="Q50" s="46"/>
      <x:c r="R50" s="46"/>
    </x:row>
    <x:row r="51">
      <x:c r="A51" s="46"/>
      <x:c r="B51" s="46"/>
      <x:c r="C51" s="46"/>
      <x:c r="D51" s="46"/>
      <x:c r="E51" s="46"/>
      <x:c r="F51" s="46"/>
      <x:c r="G51" s="46"/>
      <x:c r="H51" s="46"/>
      <x:c r="I51" s="46"/>
      <x:c r="J51" s="46"/>
      <x:c r="K51" s="46"/>
      <x:c r="L51" s="46"/>
      <x:c r="M51" s="46"/>
      <x:c r="N51" s="46"/>
      <x:c r="O51" s="46"/>
      <x:c r="P51" s="46"/>
      <x:c r="Q51" s="46"/>
      <x:c r="R51" s="46"/>
    </x:row>
    <x:row r="52">
      <x:c r="A52" s="46"/>
      <x:c r="B52" s="46"/>
      <x:c r="C52" s="46"/>
      <x:c r="D52" s="46"/>
      <x:c r="E52" s="46"/>
      <x:c r="F52" s="46"/>
      <x:c r="G52" s="46"/>
      <x:c r="H52" s="46"/>
      <x:c r="I52" s="46"/>
      <x:c r="J52" s="46"/>
      <x:c r="K52" s="46"/>
      <x:c r="L52" s="46"/>
      <x:c r="M52" s="46"/>
      <x:c r="N52" s="46"/>
      <x:c r="O52" s="46"/>
      <x:c r="P52" s="46"/>
      <x:c r="Q52" s="46"/>
      <x:c r="R52" s="46"/>
    </x:row>
    <x:row r="53">
      <x:c r="A53" s="46"/>
      <x:c r="B53" s="46"/>
      <x:c r="C53" s="46"/>
      <x:c r="D53" s="46"/>
      <x:c r="E53" s="46"/>
      <x:c r="F53" s="46"/>
      <x:c r="G53" s="46"/>
      <x:c r="H53" s="46"/>
      <x:c r="I53" s="46"/>
      <x:c r="J53" s="46"/>
      <x:c r="K53" s="46"/>
      <x:c r="L53" s="46"/>
      <x:c r="M53" s="46"/>
      <x:c r="N53" s="46"/>
      <x:c r="O53" s="46"/>
      <x:c r="P53" s="46"/>
      <x:c r="Q53" s="46"/>
      <x:c r="R53" s="46"/>
    </x:row>
    <x:row r="54">
      <x:c r="A54" s="46"/>
      <x:c r="B54" s="46"/>
      <x:c r="C54" s="46"/>
      <x:c r="D54" s="46"/>
      <x:c r="E54" s="46"/>
      <x:c r="F54" s="46"/>
      <x:c r="G54" s="46"/>
      <x:c r="H54" s="46"/>
      <x:c r="I54" s="46"/>
      <x:c r="J54" s="46"/>
      <x:c r="K54" s="46"/>
      <x:c r="L54" s="46"/>
      <x:c r="M54" s="46"/>
      <x:c r="N54" s="46"/>
      <x:c r="O54" s="46"/>
      <x:c r="P54" s="46"/>
      <x:c r="Q54" s="46"/>
      <x:c r="R54" s="46"/>
    </x:row>
    <x:row r="55">
      <x:c r="A55" s="46"/>
      <x:c r="B55" s="46"/>
      <x:c r="C55" s="46"/>
      <x:c r="D55" s="46"/>
      <x:c r="E55" s="46"/>
      <x:c r="F55" s="46"/>
      <x:c r="G55" s="46"/>
      <x:c r="H55" s="46"/>
      <x:c r="I55" s="46"/>
      <x:c r="J55" s="46"/>
      <x:c r="K55" s="46"/>
      <x:c r="L55" s="46"/>
      <x:c r="M55" s="46"/>
      <x:c r="N55" s="46"/>
      <x:c r="O55" s="46"/>
      <x:c r="P55" s="46"/>
      <x:c r="Q55" s="46"/>
      <x:c r="R55" s="46"/>
    </x:row>
    <x:row r="56">
      <x:c r="A56" s="46"/>
      <x:c r="B56" s="46"/>
      <x:c r="C56" s="46"/>
      <x:c r="D56" s="46"/>
      <x:c r="E56" s="46"/>
      <x:c r="F56" s="46"/>
      <x:c r="G56" s="46"/>
      <x:c r="H56" s="46"/>
      <x:c r="I56" s="46"/>
      <x:c r="J56" s="46"/>
      <x:c r="K56" s="46"/>
      <x:c r="L56" s="46"/>
      <x:c r="M56" s="46"/>
      <x:c r="N56" s="46"/>
      <x:c r="O56" s="46"/>
      <x:c r="P56" s="46"/>
      <x:c r="Q56" s="46"/>
      <x:c r="R56" s="46"/>
    </x:row>
    <x:row r="57">
      <x:c r="A57" s="46"/>
      <x:c r="B57" s="46"/>
      <x:c r="C57" s="46"/>
      <x:c r="D57" s="46"/>
      <x:c r="E57" s="46"/>
      <x:c r="F57" s="46"/>
      <x:c r="G57" s="46"/>
      <x:c r="H57" s="46"/>
      <x:c r="I57" s="46"/>
      <x:c r="J57" s="46"/>
      <x:c r="K57" s="46"/>
      <x:c r="L57" s="46"/>
      <x:c r="M57" s="46"/>
      <x:c r="N57" s="46"/>
      <x:c r="O57" s="46"/>
      <x:c r="P57" s="46"/>
      <x:c r="Q57" s="46"/>
      <x:c r="R57" s="46"/>
    </x:row>
    <x:row r="58">
      <x:c r="A58" s="46"/>
      <x:c r="B58" s="46"/>
      <x:c r="C58" s="46"/>
      <x:c r="D58" s="46"/>
      <x:c r="E58" s="46"/>
      <x:c r="F58" s="46"/>
      <x:c r="G58" s="46"/>
      <x:c r="H58" s="46"/>
      <x:c r="I58" s="46"/>
      <x:c r="J58" s="46"/>
      <x:c r="K58" s="46"/>
      <x:c r="L58" s="46"/>
      <x:c r="M58" s="46"/>
      <x:c r="N58" s="46"/>
      <x:c r="O58" s="46"/>
      <x:c r="P58" s="46"/>
      <x:c r="Q58" s="46"/>
      <x:c r="R58" s="46"/>
    </x:row>
    <x:row r="59">
      <x:c r="A59" s="46"/>
      <x:c r="B59" s="46"/>
      <x:c r="C59" s="46"/>
      <x:c r="D59" s="46"/>
      <x:c r="E59" s="46"/>
      <x:c r="F59" s="46"/>
      <x:c r="G59" s="46"/>
      <x:c r="H59" s="46"/>
      <x:c r="I59" s="46"/>
      <x:c r="J59" s="46"/>
      <x:c r="K59" s="46"/>
      <x:c r="L59" s="46"/>
      <x:c r="M59" s="46"/>
      <x:c r="N59" s="46"/>
      <x:c r="O59" s="46"/>
      <x:c r="P59" s="46"/>
      <x:c r="Q59" s="46"/>
      <x:c r="R59" s="46"/>
    </x:row>
    <x:row r="60">
      <x:c r="A60" s="46"/>
      <x:c r="B60" s="46"/>
      <x:c r="C60" s="46"/>
      <x:c r="D60" s="46"/>
      <x:c r="E60" s="46"/>
      <x:c r="F60" s="46"/>
      <x:c r="G60" s="46"/>
      <x:c r="H60" s="46"/>
      <x:c r="I60" s="46"/>
      <x:c r="J60" s="46"/>
      <x:c r="K60" s="46"/>
      <x:c r="L60" s="46"/>
      <x:c r="M60" s="46"/>
      <x:c r="N60" s="46"/>
      <x:c r="O60" s="46"/>
      <x:c r="P60" s="46"/>
      <x:c r="Q60" s="46"/>
      <x:c r="R60" s="46"/>
    </x:row>
    <x:row r="61">
      <x:c r="A61" s="46"/>
      <x:c r="B61" s="46"/>
      <x:c r="C61" s="46"/>
      <x:c r="D61" s="46"/>
      <x:c r="E61" s="46"/>
      <x:c r="F61" s="46"/>
      <x:c r="G61" s="46"/>
      <x:c r="H61" s="46"/>
      <x:c r="I61" s="46"/>
      <x:c r="J61" s="46"/>
      <x:c r="K61" s="46"/>
      <x:c r="L61" s="46"/>
      <x:c r="M61" s="46"/>
      <x:c r="N61" s="46"/>
      <x:c r="O61" s="46"/>
      <x:c r="P61" s="46"/>
      <x:c r="Q61" s="46"/>
      <x:c r="R61" s="46"/>
    </x:row>
    <x:row r="62">
      <x:c r="A62" s="46"/>
      <x:c r="B62" s="46"/>
      <x:c r="C62" s="46"/>
      <x:c r="D62" s="46"/>
      <x:c r="E62" s="46"/>
      <x:c r="F62" s="46"/>
      <x:c r="G62" s="46"/>
      <x:c r="H62" s="46"/>
      <x:c r="I62" s="46"/>
      <x:c r="J62" s="46"/>
      <x:c r="K62" s="46"/>
      <x:c r="L62" s="46"/>
      <x:c r="M62" s="46"/>
      <x:c r="N62" s="46"/>
      <x:c r="O62" s="46"/>
      <x:c r="P62" s="46"/>
      <x:c r="Q62" s="46"/>
      <x:c r="R62" s="46"/>
    </x:row>
    <x:row r="63">
      <x:c r="A63" s="46"/>
      <x:c r="B63" s="46"/>
      <x:c r="C63" s="46"/>
      <x:c r="D63" s="46"/>
      <x:c r="E63" s="46"/>
      <x:c r="F63" s="46"/>
      <x:c r="G63" s="46"/>
      <x:c r="H63" s="46"/>
      <x:c r="I63" s="46"/>
      <x:c r="J63" s="46"/>
      <x:c r="K63" s="46"/>
      <x:c r="L63" s="46"/>
      <x:c r="M63" s="46"/>
      <x:c r="N63" s="46"/>
      <x:c r="O63" s="46"/>
      <x:c r="P63" s="46"/>
      <x:c r="Q63" s="46"/>
      <x:c r="R63" s="46"/>
    </x:row>
    <x:row r="64">
      <x:c r="A64" s="46"/>
      <x:c r="B64" s="46"/>
      <x:c r="C64" s="46"/>
      <x:c r="D64" s="46"/>
      <x:c r="E64" s="46"/>
      <x:c r="F64" s="46"/>
      <x:c r="G64" s="46"/>
      <x:c r="H64" s="46"/>
      <x:c r="I64" s="46"/>
      <x:c r="J64" s="46"/>
      <x:c r="K64" s="46"/>
      <x:c r="L64" s="46"/>
      <x:c r="M64" s="46"/>
      <x:c r="N64" s="46"/>
      <x:c r="O64" s="46"/>
      <x:c r="P64" s="46"/>
      <x:c r="Q64" s="46"/>
      <x:c r="R64" s="46"/>
    </x:row>
    <x:row r="65">
      <x:c r="A65" s="46"/>
      <x:c r="B65" s="46"/>
      <x:c r="C65" s="46"/>
      <x:c r="D65" s="46"/>
      <x:c r="E65" s="46"/>
      <x:c r="F65" s="46"/>
      <x:c r="G65" s="46"/>
      <x:c r="H65" s="46"/>
      <x:c r="I65" s="46"/>
      <x:c r="J65" s="46"/>
      <x:c r="K65" s="46"/>
      <x:c r="L65" s="46"/>
      <x:c r="M65" s="46"/>
      <x:c r="N65" s="46"/>
      <x:c r="O65" s="46"/>
      <x:c r="P65" s="46"/>
      <x:c r="Q65" s="46"/>
      <x:c r="R65" s="46"/>
    </x:row>
    <x:row r="66">
      <x:c r="A66" s="46"/>
      <x:c r="B66" s="46"/>
      <x:c r="C66" s="46"/>
      <x:c r="D66" s="46"/>
      <x:c r="E66" s="46"/>
      <x:c r="F66" s="46"/>
      <x:c r="G66" s="46"/>
      <x:c r="H66" s="46"/>
      <x:c r="I66" s="46"/>
      <x:c r="J66" s="46"/>
      <x:c r="K66" s="46"/>
      <x:c r="L66" s="46"/>
      <x:c r="M66" s="46"/>
      <x:c r="N66" s="46"/>
      <x:c r="O66" s="46"/>
      <x:c r="P66" s="46"/>
      <x:c r="Q66" s="46"/>
      <x:c r="R66" s="46"/>
    </x:row>
    <x:row r="67">
      <x:c r="A67" s="46"/>
      <x:c r="B67" s="46"/>
      <x:c r="C67" s="46"/>
      <x:c r="D67" s="46"/>
      <x:c r="E67" s="46"/>
      <x:c r="F67" s="46"/>
      <x:c r="G67" s="46"/>
      <x:c r="H67" s="46"/>
      <x:c r="I67" s="46"/>
      <x:c r="J67" s="46"/>
      <x:c r="K67" s="46"/>
      <x:c r="L67" s="46"/>
      <x:c r="M67" s="46"/>
      <x:c r="N67" s="46"/>
      <x:c r="O67" s="46"/>
      <x:c r="P67" s="46"/>
      <x:c r="Q67" s="46"/>
      <x:c r="R67" s="46"/>
    </x:row>
    <x:row r="68">
      <x:c r="A68" s="46"/>
      <x:c r="B68" s="46"/>
      <x:c r="C68" s="46"/>
      <x:c r="D68" s="46"/>
      <x:c r="E68" s="46"/>
      <x:c r="F68" s="46"/>
      <x:c r="G68" s="46"/>
      <x:c r="H68" s="46"/>
      <x:c r="I68" s="46"/>
      <x:c r="J68" s="46"/>
      <x:c r="K68" s="46"/>
      <x:c r="L68" s="46"/>
      <x:c r="M68" s="46"/>
      <x:c r="N68" s="46"/>
      <x:c r="O68" s="46"/>
      <x:c r="P68" s="46"/>
      <x:c r="Q68" s="46"/>
      <x:c r="R68" s="46"/>
    </x:row>
    <x:row r="69">
      <x:c r="A69" s="46"/>
      <x:c r="B69" s="46"/>
      <x:c r="C69" s="46"/>
      <x:c r="D69" s="46"/>
      <x:c r="E69" s="46"/>
      <x:c r="F69" s="46"/>
      <x:c r="G69" s="46"/>
      <x:c r="H69" s="46"/>
      <x:c r="I69" s="46"/>
      <x:c r="J69" s="46"/>
      <x:c r="K69" s="46"/>
      <x:c r="L69" s="46"/>
      <x:c r="M69" s="46"/>
      <x:c r="N69" s="46"/>
      <x:c r="O69" s="46"/>
      <x:c r="P69" s="46"/>
      <x:c r="Q69" s="46"/>
      <x:c r="R69" s="46"/>
    </x:row>
    <x:row r="70">
      <x:c r="A70" s="46"/>
      <x:c r="B70" s="46"/>
      <x:c r="C70" s="46"/>
      <x:c r="D70" s="46"/>
      <x:c r="E70" s="46"/>
      <x:c r="F70" s="46"/>
      <x:c r="G70" s="46"/>
      <x:c r="H70" s="46"/>
      <x:c r="I70" s="46"/>
      <x:c r="J70" s="46"/>
      <x:c r="K70" s="46"/>
      <x:c r="L70" s="46"/>
      <x:c r="M70" s="46"/>
      <x:c r="N70" s="46"/>
      <x:c r="O70" s="46"/>
      <x:c r="P70" s="46"/>
      <x:c r="Q70" s="46"/>
      <x:c r="R70" s="46"/>
    </x:row>
    <x:row r="71">
      <x:c r="A71" s="46"/>
      <x:c r="B71" s="46"/>
      <x:c r="C71" s="46"/>
      <x:c r="D71" s="46"/>
      <x:c r="E71" s="46"/>
      <x:c r="F71" s="46"/>
      <x:c r="G71" s="46"/>
      <x:c r="H71" s="46"/>
      <x:c r="I71" s="46"/>
      <x:c r="J71" s="46"/>
      <x:c r="K71" s="46"/>
      <x:c r="L71" s="46"/>
      <x:c r="M71" s="46"/>
      <x:c r="N71" s="46"/>
      <x:c r="O71" s="46"/>
      <x:c r="P71" s="46"/>
      <x:c r="Q71" s="46"/>
      <x:c r="R71" s="46"/>
    </x:row>
    <x:row r="72">
      <x:c r="A72" s="46"/>
      <x:c r="B72" s="46"/>
      <x:c r="C72" s="46"/>
      <x:c r="D72" s="46"/>
      <x:c r="E72" s="46"/>
      <x:c r="F72" s="46"/>
      <x:c r="G72" s="46"/>
      <x:c r="H72" s="46"/>
      <x:c r="I72" s="46"/>
      <x:c r="J72" s="46"/>
      <x:c r="K72" s="46"/>
      <x:c r="L72" s="46"/>
      <x:c r="M72" s="46"/>
      <x:c r="N72" s="46"/>
      <x:c r="O72" s="46"/>
      <x:c r="P72" s="46"/>
      <x:c r="Q72" s="46"/>
      <x:c r="R72" s="46"/>
    </x:row>
    <x:row r="73">
      <x:c r="A73" s="46"/>
      <x:c r="B73" s="46"/>
      <x:c r="C73" s="46"/>
      <x:c r="D73" s="46"/>
      <x:c r="E73" s="46"/>
      <x:c r="F73" s="46"/>
      <x:c r="G73" s="46"/>
      <x:c r="H73" s="46"/>
      <x:c r="I73" s="46"/>
      <x:c r="J73" s="46"/>
      <x:c r="K73" s="46"/>
      <x:c r="L73" s="46"/>
      <x:c r="M73" s="46"/>
      <x:c r="N73" s="46"/>
      <x:c r="O73" s="46"/>
      <x:c r="P73" s="46"/>
      <x:c r="Q73" s="46"/>
      <x:c r="R73" s="46"/>
    </x:row>
    <x:row r="74">
      <x:c r="A74" s="46"/>
      <x:c r="B74" s="46"/>
      <x:c r="C74" s="46"/>
      <x:c r="D74" s="46"/>
      <x:c r="E74" s="46"/>
      <x:c r="F74" s="46"/>
      <x:c r="G74" s="46"/>
      <x:c r="H74" s="46"/>
      <x:c r="I74" s="46"/>
      <x:c r="J74" s="46"/>
      <x:c r="K74" s="46"/>
      <x:c r="L74" s="46"/>
      <x:c r="M74" s="46"/>
      <x:c r="N74" s="46"/>
      <x:c r="O74" s="46"/>
      <x:c r="P74" s="46"/>
      <x:c r="Q74" s="46"/>
      <x:c r="R74" s="46"/>
    </x:row>
    <x:row r="75">
      <x:c r="A75" s="46"/>
      <x:c r="B75" s="46"/>
      <x:c r="C75" s="46"/>
      <x:c r="D75" s="46"/>
      <x:c r="E75" s="46"/>
      <x:c r="F75" s="46"/>
      <x:c r="G75" s="46"/>
      <x:c r="H75" s="46"/>
      <x:c r="I75" s="46"/>
      <x:c r="J75" s="46"/>
      <x:c r="K75" s="46"/>
      <x:c r="L75" s="46"/>
      <x:c r="M75" s="46"/>
      <x:c r="N75" s="46"/>
      <x:c r="O75" s="46"/>
      <x:c r="P75" s="46"/>
      <x:c r="Q75" s="46"/>
      <x:c r="R75" s="46"/>
    </x:row>
    <x:row r="76">
      <x:c r="A76" s="46"/>
      <x:c r="B76" s="46"/>
      <x:c r="C76" s="46"/>
      <x:c r="D76" s="46"/>
      <x:c r="E76" s="46"/>
      <x:c r="F76" s="46"/>
      <x:c r="G76" s="46"/>
      <x:c r="H76" s="46"/>
      <x:c r="I76" s="46"/>
      <x:c r="J76" s="46"/>
      <x:c r="K76" s="46"/>
      <x:c r="L76" s="46"/>
      <x:c r="M76" s="46"/>
      <x:c r="N76" s="46"/>
      <x:c r="O76" s="46"/>
      <x:c r="P76" s="46"/>
      <x:c r="Q76" s="46"/>
      <x:c r="R76" s="46"/>
    </x:row>
    <x:row r="77">
      <x:c r="A77" s="46"/>
      <x:c r="B77" s="46"/>
      <x:c r="C77" s="46"/>
      <x:c r="D77" s="46"/>
      <x:c r="E77" s="46"/>
      <x:c r="F77" s="46"/>
      <x:c r="G77" s="46"/>
      <x:c r="H77" s="46"/>
      <x:c r="I77" s="46"/>
      <x:c r="J77" s="46"/>
      <x:c r="K77" s="46"/>
      <x:c r="L77" s="46"/>
      <x:c r="M77" s="46"/>
      <x:c r="N77" s="46"/>
      <x:c r="O77" s="46"/>
      <x:c r="P77" s="46"/>
      <x:c r="Q77" s="46"/>
      <x:c r="R77" s="46"/>
    </x:row>
    <x:row r="78">
      <x:c r="A78" s="46"/>
      <x:c r="B78" s="46"/>
      <x:c r="C78" s="46"/>
      <x:c r="D78" s="46"/>
      <x:c r="E78" s="46"/>
      <x:c r="F78" s="46"/>
      <x:c r="G78" s="46"/>
      <x:c r="H78" s="46"/>
      <x:c r="I78" s="46"/>
      <x:c r="J78" s="46"/>
      <x:c r="K78" s="46"/>
      <x:c r="L78" s="46"/>
      <x:c r="M78" s="46"/>
      <x:c r="N78" s="46"/>
      <x:c r="O78" s="46"/>
      <x:c r="P78" s="46"/>
      <x:c r="Q78" s="46"/>
      <x:c r="R78" s="46"/>
    </x:row>
    <x:row r="79">
      <x:c r="A79" s="46"/>
      <x:c r="B79" s="46"/>
      <x:c r="C79" s="46"/>
      <x:c r="D79" s="46"/>
      <x:c r="E79" s="46"/>
      <x:c r="F79" s="46"/>
      <x:c r="G79" s="46"/>
      <x:c r="H79" s="46"/>
      <x:c r="I79" s="46"/>
      <x:c r="J79" s="46"/>
      <x:c r="K79" s="46"/>
      <x:c r="L79" s="46"/>
      <x:c r="M79" s="46"/>
      <x:c r="N79" s="46"/>
      <x:c r="O79" s="46"/>
      <x:c r="P79" s="46"/>
      <x:c r="Q79" s="46"/>
      <x:c r="R79" s="46"/>
    </x:row>
    <x:row r="80">
      <x:c r="A80" s="46"/>
      <x:c r="B80" s="46"/>
      <x:c r="C80" s="46"/>
      <x:c r="D80" s="46"/>
      <x:c r="E80" s="46"/>
      <x:c r="F80" s="46"/>
      <x:c r="G80" s="46"/>
      <x:c r="H80" s="46"/>
      <x:c r="I80" s="46"/>
      <x:c r="J80" s="46"/>
      <x:c r="K80" s="46"/>
      <x:c r="L80" s="46"/>
      <x:c r="M80" s="46"/>
      <x:c r="N80" s="46"/>
      <x:c r="O80" s="46"/>
      <x:c r="P80" s="46"/>
      <x:c r="Q80" s="46"/>
      <x:c r="R80" s="46"/>
    </x:row>
    <x:row r="81">
      <x:c r="A81" s="46"/>
      <x:c r="B81" s="46"/>
      <x:c r="C81" s="46"/>
      <x:c r="D81" s="46"/>
      <x:c r="E81" s="46"/>
      <x:c r="F81" s="46"/>
      <x:c r="G81" s="46"/>
      <x:c r="H81" s="46"/>
      <x:c r="I81" s="46"/>
      <x:c r="J81" s="46"/>
      <x:c r="K81" s="46"/>
      <x:c r="L81" s="46"/>
      <x:c r="M81" s="46"/>
      <x:c r="N81" s="46"/>
      <x:c r="O81" s="46"/>
      <x:c r="P81" s="46"/>
      <x:c r="Q81" s="46"/>
      <x:c r="R81" s="46"/>
    </x:row>
    <x:row r="82">
      <x:c r="A82" s="46"/>
      <x:c r="B82" s="46"/>
      <x:c r="C82" s="46"/>
      <x:c r="D82" s="46"/>
      <x:c r="E82" s="46"/>
      <x:c r="F82" s="46"/>
      <x:c r="G82" s="46"/>
      <x:c r="H82" s="46"/>
      <x:c r="I82" s="46"/>
      <x:c r="J82" s="46"/>
      <x:c r="K82" s="46"/>
      <x:c r="L82" s="46"/>
      <x:c r="M82" s="46"/>
      <x:c r="N82" s="46"/>
      <x:c r="O82" s="46"/>
      <x:c r="P82" s="46"/>
      <x:c r="Q82" s="46"/>
      <x:c r="R82" s="46"/>
    </x:row>
    <x:row r="83">
      <x:c r="A83" s="46"/>
      <x:c r="B83" s="46"/>
      <x:c r="C83" s="46"/>
      <x:c r="D83" s="46"/>
      <x:c r="E83" s="46"/>
      <x:c r="F83" s="46"/>
      <x:c r="G83" s="46"/>
      <x:c r="H83" s="46"/>
      <x:c r="I83" s="46"/>
      <x:c r="J83" s="46"/>
      <x:c r="K83" s="46"/>
      <x:c r="L83" s="46"/>
      <x:c r="M83" s="46"/>
      <x:c r="N83" s="46"/>
      <x:c r="O83" s="46"/>
      <x:c r="P83" s="46"/>
      <x:c r="Q83" s="46"/>
      <x:c r="R83" s="46"/>
    </x:row>
    <x:row r="84">
      <x:c r="A84" s="46"/>
      <x:c r="B84" s="46"/>
      <x:c r="C84" s="46"/>
      <x:c r="D84" s="46"/>
      <x:c r="E84" s="46"/>
      <x:c r="F84" s="46"/>
      <x:c r="G84" s="46"/>
      <x:c r="H84" s="46"/>
      <x:c r="I84" s="46"/>
      <x:c r="J84" s="46"/>
      <x:c r="K84" s="46"/>
      <x:c r="L84" s="46"/>
      <x:c r="M84" s="46"/>
      <x:c r="N84" s="46"/>
      <x:c r="O84" s="46"/>
      <x:c r="P84" s="46"/>
      <x:c r="Q84" s="46"/>
      <x:c r="R84" s="46"/>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34" hidden="0" customWidth="1"/>
    <x:col min="5" max="5" width="38" hidden="0" customWidth="1"/>
    <x:col min="6" max="6" width="18" hidden="0" customWidth="1"/>
    <x:col min="7" max="7" width="24" hidden="0" customWidth="1"/>
    <x:col min="8" max="8" width="38" hidden="0" customWidth="1"/>
    <x:col min="9" max="9" width="28" hidden="0" customWidth="1"/>
    <x:col min="10" max="10" width="48" hidden="0" customWidth="1"/>
    <x:col min="11" max="11" width="32" hidden="0" customWidth="1"/>
    <x:col min="12" max="12" width="36" hidden="0" customWidth="1"/>
    <x:col min="13" max="13" width="62" hidden="0" customWidth="1"/>
  </x:cols>
  <x:sheetData>
    <x:row r="1" ht="36" customHeight="1">
      <x:c r="A1" s="73" t="str">
        <x:v>delta_record_id</x:v>
      </x:c>
      <x:c r="B1" s="73" t="str">
        <x:v>species</x:v>
      </x:c>
      <x:c r="C1" s="73" t="str">
        <x:v>state</x:v>
      </x:c>
      <x:c r="D1" s="73" t="str">
        <x:v>source_name_table17</x:v>
      </x:c>
      <x:c r="E1" s="73" t="str">
        <x:v>canonical_name</x:v>
      </x:c>
      <x:c r="F1" s="73" t="str">
        <x:v>retention_index_source</x:v>
      </x:c>
      <x:c r="G1" s="73" t="str">
        <x:v>compound_group</x:v>
      </x:c>
      <x:c r="H1" s="73" t="str">
        <x:v>occurrence_pattern</x:v>
      </x:c>
      <x:c r="I1" s="73" t="str">
        <x:v>source_id</x:v>
      </x:c>
      <x:c r="J1" s="73" t="str">
        <x:v>source_url</x:v>
      </x:c>
      <x:c r="K1" s="73" t="str">
        <x:v>identity_status</x:v>
      </x:c>
      <x:c r="L1" s="73" t="str">
        <x:v>promotion_status</x:v>
      </x:c>
      <x:c r="M1" s="73" t="str">
        <x:v>interpretation_boundary</x:v>
      </x:c>
    </x:row>
    <x:row r="2">
      <x:c r="A2" s="46" t="str">
        <x:v>LANDFOWL-DELTA-001</x:v>
      </x:c>
      <x:c r="B2" s="46" t="str">
        <x:v>chicken</x:v>
      </x:c>
      <x:c r="C2" s="46" t="str">
        <x:v>roasted</x:v>
      </x:c>
      <x:c r="D2" s="46" t="str">
        <x:v>Essigsäure</x:v>
      </x:c>
      <x:c r="E2" s="46" t="str">
        <x:v>acetic acid</x:v>
      </x:c>
      <x:c r="F2" s="46" t="n">
        <x:v>749</x:v>
      </x:c>
      <x:c r="G2" s="46" t="str">
        <x:v>Acids</x:v>
      </x:c>
      <x:c r="H2" s="46" t="str">
        <x:v>detected_only_in_chicken_within_four-species_table17</x:v>
      </x:c>
      <x:c r="I2" s="46" t="str">
        <x:v>SRC-LANDFOWL-THESIS-001</x:v>
      </x:c>
      <x:c r="J2" s="46" t="str">
        <x:v>https://d-nb.info/1009589644/34</x:v>
      </x:c>
      <x:c r="K2" s="46" t="str">
        <x:v>source_identity_preserved_registry_resolution_next</x:v>
      </x:c>
      <x:c r="L2" s="46" t="str">
        <x:v>member_delta_candidate_not_character_impact_claim</x:v>
      </x:c>
      <x:c r="M2" s="46" t="str">
        <x:v>The dissertation/article found no single character-impact compound explaining species-specific roast aroma. Unique detection is not equivalent to sensory signature.</x:v>
      </x:c>
    </x:row>
    <x:row r="3">
      <x:c r="A3" s="46" t="str">
        <x:v>LANDFOWL-DELTA-002</x:v>
      </x:c>
      <x:c r="B3" s="46" t="str">
        <x:v>chicken</x:v>
      </x:c>
      <x:c r="C3" s="46" t="str">
        <x:v>roasted</x:v>
      </x:c>
      <x:c r="D3" s="46" t="str">
        <x:v>Nonan</x:v>
      </x:c>
      <x:c r="E3" s="46" t="str">
        <x:v>nonane</x:v>
      </x:c>
      <x:c r="F3" s="46" t="n">
        <x:v>900</x:v>
      </x:c>
      <x:c r="G3" s="46" t="str">
        <x:v>Hydrocarbons</x:v>
      </x:c>
      <x:c r="H3" s="46" t="str">
        <x:v>detected_only_in_chicken_within_four-species_table17</x:v>
      </x:c>
      <x:c r="I3" s="46" t="str">
        <x:v>SRC-LANDFOWL-THESIS-001</x:v>
      </x:c>
      <x:c r="J3" s="46" t="str">
        <x:v>https://d-nb.info/1009589644/34</x:v>
      </x:c>
      <x:c r="K3" s="46" t="str">
        <x:v>source_identity_preserved_registry_resolution_next</x:v>
      </x:c>
      <x:c r="L3" s="46" t="str">
        <x:v>member_delta_candidate_not_character_impact_claim</x:v>
      </x:c>
      <x:c r="M3" s="46" t="str">
        <x:v>The dissertation/article found no single character-impact compound explaining species-specific roast aroma. Unique detection is not equivalent to sensory signature.</x:v>
      </x:c>
    </x:row>
    <x:row r="4">
      <x:c r="A4" s="46" t="str">
        <x:v>LANDFOWL-DELTA-003</x:v>
      </x:c>
      <x:c r="B4" s="46" t="str">
        <x:v>pheasant</x:v>
      </x:c>
      <x:c r="C4" s="46" t="str">
        <x:v>roasted</x:v>
      </x:c>
      <x:c r="D4" s="46" t="str">
        <x:v>2-Methylpropanal</x:v>
      </x:c>
      <x:c r="E4" s="46" t="str">
        <x:v>2-methylpropanal</x:v>
      </x:c>
      <x:c r="F4" s="46" t="n">
        <x:v>550</x:v>
      </x:c>
      <x:c r="G4" s="46" t="str">
        <x:v>Carbonyls, aldehydes</x:v>
      </x:c>
      <x:c r="H4" s="46" t="str">
        <x:v>detected_only_in_pheasant_within_four-species_table17</x:v>
      </x:c>
      <x:c r="I4" s="46" t="str">
        <x:v>SRC-LANDFOWL-THESIS-001</x:v>
      </x:c>
      <x:c r="J4" s="46" t="str">
        <x:v>https://d-nb.info/1009589644/34</x:v>
      </x:c>
      <x:c r="K4" s="46" t="str">
        <x:v>source_identity_preserved_registry_resolution_next</x:v>
      </x:c>
      <x:c r="L4" s="46" t="str">
        <x:v>member_delta_candidate_not_character_impact_claim</x:v>
      </x:c>
      <x:c r="M4" s="46" t="str">
        <x:v>The dissertation/article found no single character-impact compound explaining species-specific roast aroma. Unique detection is not equivalent to sensory signature.</x:v>
      </x:c>
    </x:row>
    <x:row r="5">
      <x:c r="A5" s="46" t="str">
        <x:v>LANDFOWL-DELTA-004</x:v>
      </x:c>
      <x:c r="B5" s="46" t="str">
        <x:v>pheasant</x:v>
      </x:c>
      <x:c r="C5" s="46" t="str">
        <x:v>roasted</x:v>
      </x:c>
      <x:c r="D5" s="46" t="str">
        <x:v>3-Methyl-2-butanon</x:v>
      </x:c>
      <x:c r="E5" s="46" t="str">
        <x:v>3-methyl-2-butanone</x:v>
      </x:c>
      <x:c r="F5" s="46" t="n">
        <x:v>672</x:v>
      </x:c>
      <x:c r="G5" s="46" t="str">
        <x:v>Carbonyls, ketones</x:v>
      </x:c>
      <x:c r="H5" s="46" t="str">
        <x:v>detected_only_in_pheasant_within_four-species_table17</x:v>
      </x:c>
      <x:c r="I5" s="46" t="str">
        <x:v>SRC-LANDFOWL-THESIS-001</x:v>
      </x:c>
      <x:c r="J5" s="46" t="str">
        <x:v>https://d-nb.info/1009589644/34</x:v>
      </x:c>
      <x:c r="K5" s="46" t="str">
        <x:v>source_identity_preserved_registry_resolution_next</x:v>
      </x:c>
      <x:c r="L5" s="46" t="str">
        <x:v>member_delta_candidate_not_character_impact_claim</x:v>
      </x:c>
      <x:c r="M5" s="46" t="str">
        <x:v>The dissertation/article found no single character-impact compound explaining species-specific roast aroma. Unique detection is not equivalent to sensory signature.</x:v>
      </x:c>
    </x:row>
    <x:row r="6">
      <x:c r="A6" s="46" t="str">
        <x:v>LANDFOWL-DELTA-005</x:v>
      </x:c>
      <x:c r="B6" s="46" t="str">
        <x:v>pheasant</x:v>
      </x:c>
      <x:c r="C6" s="46" t="str">
        <x:v>roasted</x:v>
      </x:c>
      <x:c r="D6" s="46" t="str">
        <x:v>1-Hepten</x:v>
      </x:c>
      <x:c r="E6" s="46" t="str">
        <x:v>1-heptene</x:v>
      </x:c>
      <x:c r="F6" s="46" t="n">
        <x:v>684</x:v>
      </x:c>
      <x:c r="G6" s="46" t="str">
        <x:v>Hydrocarbons</x:v>
      </x:c>
      <x:c r="H6" s="46" t="str">
        <x:v>detected_only_in_pheasant_within_four-species_table17</x:v>
      </x:c>
      <x:c r="I6" s="46" t="str">
        <x:v>SRC-LANDFOWL-THESIS-001</x:v>
      </x:c>
      <x:c r="J6" s="46" t="str">
        <x:v>https://d-nb.info/1009589644/34</x:v>
      </x:c>
      <x:c r="K6" s="46" t="str">
        <x:v>source_identity_preserved_registry_resolution_next</x:v>
      </x:c>
      <x:c r="L6" s="46" t="str">
        <x:v>member_delta_candidate_not_character_impact_claim</x:v>
      </x:c>
      <x:c r="M6" s="46" t="str">
        <x:v>The dissertation/article found no single character-impact compound explaining species-specific roast aroma. Unique detection is not equivalent to sensory signature.</x:v>
      </x:c>
    </x:row>
    <x:row r="7">
      <x:c r="A7" s="46" t="str">
        <x:v>LANDFOWL-DELTA-006</x:v>
      </x:c>
      <x:c r="B7" s="46" t="str">
        <x:v>pheasant</x:v>
      </x:c>
      <x:c r="C7" s="46" t="str">
        <x:v>roasted</x:v>
      </x:c>
      <x:c r="D7" s="46" t="str">
        <x:v>2-Hexanon</x:v>
      </x:c>
      <x:c r="E7" s="46" t="str">
        <x:v>2-hexanone</x:v>
      </x:c>
      <x:c r="F7" s="46" t="n">
        <x:v>789</x:v>
      </x:c>
      <x:c r="G7" s="46" t="str">
        <x:v>Carbonyls, ketones</x:v>
      </x:c>
      <x:c r="H7" s="46" t="str">
        <x:v>detected_only_in_pheasant_within_four-species_table17</x:v>
      </x:c>
      <x:c r="I7" s="46" t="str">
        <x:v>SRC-LANDFOWL-THESIS-001</x:v>
      </x:c>
      <x:c r="J7" s="46" t="str">
        <x:v>https://d-nb.info/1009589644/34</x:v>
      </x:c>
      <x:c r="K7" s="46" t="str">
        <x:v>source_identity_preserved_registry_resolution_next</x:v>
      </x:c>
      <x:c r="L7" s="46" t="str">
        <x:v>member_delta_candidate_not_character_impact_claim</x:v>
      </x:c>
      <x:c r="M7" s="46" t="str">
        <x:v>The dissertation/article found no single character-impact compound explaining species-specific roast aroma. Unique detection is not equivalent to sensory signature.</x:v>
      </x:c>
    </x:row>
    <x:row r="8">
      <x:c r="A8" s="46" t="str">
        <x:v>LANDFOWL-DELTA-007</x:v>
      </x:c>
      <x:c r="B8" s="46" t="str">
        <x:v>pheasant</x:v>
      </x:c>
      <x:c r="C8" s="46" t="str">
        <x:v>roasted</x:v>
      </x:c>
      <x:c r="D8" s="46" t="str">
        <x:v>1-Octen</x:v>
      </x:c>
      <x:c r="E8" s="46" t="str">
        <x:v>1-octene</x:v>
      </x:c>
      <x:c r="F8" s="46" t="n">
        <x:v>792</x:v>
      </x:c>
      <x:c r="G8" s="46" t="str">
        <x:v>Hydrocarbons</x:v>
      </x:c>
      <x:c r="H8" s="46" t="str">
        <x:v>detected_only_in_pheasant_within_four-species_table17</x:v>
      </x:c>
      <x:c r="I8" s="46" t="str">
        <x:v>SRC-LANDFOWL-THESIS-001</x:v>
      </x:c>
      <x:c r="J8" s="46" t="str">
        <x:v>https://d-nb.info/1009589644/34</x:v>
      </x:c>
      <x:c r="K8" s="46" t="str">
        <x:v>source_identity_preserved_registry_resolution_next</x:v>
      </x:c>
      <x:c r="L8" s="46" t="str">
        <x:v>member_delta_candidate_not_character_impact_claim</x:v>
      </x:c>
      <x:c r="M8" s="46" t="str">
        <x:v>The dissertation/article found no single character-impact compound explaining species-specific roast aroma. Unique detection is not equivalent to sensory signature.</x:v>
      </x:c>
    </x:row>
    <x:row r="9">
      <x:c r="A9" s="46" t="str">
        <x:v>LANDFOWL-DELTA-008</x:v>
      </x:c>
      <x:c r="B9" s="46" t="str">
        <x:v>pheasant</x:v>
      </x:c>
      <x:c r="C9" s="46" t="str">
        <x:v>roasted</x:v>
      </x:c>
      <x:c r="D9" s="46" t="str">
        <x:v>3-Methyl-1-hexanol</x:v>
      </x:c>
      <x:c r="E9" s="46" t="str">
        <x:v>3-methyl-1-hexanol</x:v>
      </x:c>
      <x:c r="F9" s="46" t="n">
        <x:v>793</x:v>
      </x:c>
      <x:c r="G9" s="46" t="str">
        <x:v>Alcohols</x:v>
      </x:c>
      <x:c r="H9" s="46" t="str">
        <x:v>detected_only_in_pheasant_within_four-species_table17</x:v>
      </x:c>
      <x:c r="I9" s="46" t="str">
        <x:v>SRC-LANDFOWL-THESIS-001</x:v>
      </x:c>
      <x:c r="J9" s="46" t="str">
        <x:v>https://d-nb.info/1009589644/34</x:v>
      </x:c>
      <x:c r="K9" s="46" t="str">
        <x:v>source_identity_preserved_registry_resolution_next</x:v>
      </x:c>
      <x:c r="L9" s="46" t="str">
        <x:v>member_delta_candidate_not_character_impact_claim</x:v>
      </x:c>
      <x:c r="M9" s="46" t="str">
        <x:v>The dissertation/article found no single character-impact compound explaining species-specific roast aroma. Unique detection is not equivalent to sensory signature.</x:v>
      </x:c>
    </x:row>
    <x:row r="10">
      <x:c r="A10" s="46" t="str">
        <x:v>LANDFOWL-DELTA-009</x:v>
      </x:c>
      <x:c r="B10" s="46" t="str">
        <x:v>pheasant</x:v>
      </x:c>
      <x:c r="C10" s="46" t="str">
        <x:v>roasted</x:v>
      </x:c>
      <x:c r="D10" s="46" t="str">
        <x:v>3-Heptanon</x:v>
      </x:c>
      <x:c r="E10" s="46" t="str">
        <x:v>3-heptanone</x:v>
      </x:c>
      <x:c r="F10" s="46" t="n">
        <x:v>886</x:v>
      </x:c>
      <x:c r="G10" s="46" t="str">
        <x:v>Carbonyls, ketones</x:v>
      </x:c>
      <x:c r="H10" s="46" t="str">
        <x:v>detected_only_in_pheasant_within_four-species_table17</x:v>
      </x:c>
      <x:c r="I10" s="46" t="str">
        <x:v>SRC-LANDFOWL-THESIS-001</x:v>
      </x:c>
      <x:c r="J10" s="46" t="str">
        <x:v>https://d-nb.info/1009589644/34</x:v>
      </x:c>
      <x:c r="K10" s="46" t="str">
        <x:v>source_identity_preserved_registry_resolution_next</x:v>
      </x:c>
      <x:c r="L10" s="46" t="str">
        <x:v>member_delta_candidate_not_character_impact_claim</x:v>
      </x:c>
      <x:c r="M10" s="46" t="str">
        <x:v>The dissertation/article found no single character-impact compound explaining species-specific roast aroma. Unique detection is not equivalent to sensory signature.</x:v>
      </x:c>
    </x:row>
    <x:row r="11">
      <x:c r="A11" s="46" t="str">
        <x:v>LANDFOWL-DELTA-010</x:v>
      </x:c>
      <x:c r="B11" s="46" t="str">
        <x:v>pheasant</x:v>
      </x:c>
      <x:c r="C11" s="46" t="str">
        <x:v>roasted</x:v>
      </x:c>
      <x:c r="D11" s="46" t="str">
        <x:v>Pentansäure</x:v>
      </x:c>
      <x:c r="E11" s="46" t="str">
        <x:v>pentanoic acid</x:v>
      </x:c>
      <x:c r="F11" s="46" t="n">
        <x:v>897</x:v>
      </x:c>
      <x:c r="G11" s="46" t="str">
        <x:v>Acids</x:v>
      </x:c>
      <x:c r="H11" s="46" t="str">
        <x:v>detected_only_in_pheasant_within_four-species_table17</x:v>
      </x:c>
      <x:c r="I11" s="46" t="str">
        <x:v>SRC-LANDFOWL-THESIS-001</x:v>
      </x:c>
      <x:c r="J11" s="46" t="str">
        <x:v>https://d-nb.info/1009589644/34</x:v>
      </x:c>
      <x:c r="K11" s="46" t="str">
        <x:v>source_identity_preserved_registry_resolution_next</x:v>
      </x:c>
      <x:c r="L11" s="46" t="str">
        <x:v>member_delta_candidate_not_character_impact_claim</x:v>
      </x:c>
      <x:c r="M11" s="46" t="str">
        <x:v>The dissertation/article found no single character-impact compound explaining species-specific roast aroma. Unique detection is not equivalent to sensory signature.</x:v>
      </x:c>
    </x:row>
    <x:row r="12">
      <x:c r="A12" s="46" t="str">
        <x:v>LANDFOWL-DELTA-011</x:v>
      </x:c>
      <x:c r="B12" s="46" t="str">
        <x:v>pheasant</x:v>
      </x:c>
      <x:c r="C12" s="46" t="str">
        <x:v>roasted</x:v>
      </x:c>
      <x:c r="D12" s="46" t="str">
        <x:v>3-Octanon</x:v>
      </x:c>
      <x:c r="E12" s="46" t="str">
        <x:v>3-octanone</x:v>
      </x:c>
      <x:c r="F12" s="46" t="n">
        <x:v>988</x:v>
      </x:c>
      <x:c r="G12" s="46" t="str">
        <x:v>Carbonyls, ketones</x:v>
      </x:c>
      <x:c r="H12" s="46" t="str">
        <x:v>detected_only_in_pheasant_within_four-species_table17</x:v>
      </x:c>
      <x:c r="I12" s="46" t="str">
        <x:v>SRC-LANDFOWL-THESIS-001</x:v>
      </x:c>
      <x:c r="J12" s="46" t="str">
        <x:v>https://d-nb.info/1009589644/34</x:v>
      </x:c>
      <x:c r="K12" s="46" t="str">
        <x:v>source_identity_preserved_registry_resolution_next</x:v>
      </x:c>
      <x:c r="L12" s="46" t="str">
        <x:v>member_delta_candidate_not_character_impact_claim</x:v>
      </x:c>
      <x:c r="M12" s="46" t="str">
        <x:v>The dissertation/article found no single character-impact compound explaining species-specific roast aroma. Unique detection is not equivalent to sensory signature.</x:v>
      </x:c>
    </x:row>
    <x:row r="13">
      <x:c r="A13" s="46" t="str">
        <x:v>LANDFOWL-DELTA-012</x:v>
      </x:c>
      <x:c r="B13" s="46" t="str">
        <x:v>pheasant</x:v>
      </x:c>
      <x:c r="C13" s="46" t="str">
        <x:v>roasted</x:v>
      </x:c>
      <x:c r="D13" s="46" t="str">
        <x:v>2-Octanon</x:v>
      </x:c>
      <x:c r="E13" s="46" t="str">
        <x:v>2-octanone</x:v>
      </x:c>
      <x:c r="F13" s="46" t="n">
        <x:v>991</x:v>
      </x:c>
      <x:c r="G13" s="46" t="str">
        <x:v>Carbonyls, ketones</x:v>
      </x:c>
      <x:c r="H13" s="46" t="str">
        <x:v>detected_only_in_pheasant_within_four-species_table17</x:v>
      </x:c>
      <x:c r="I13" s="46" t="str">
        <x:v>SRC-LANDFOWL-THESIS-001</x:v>
      </x:c>
      <x:c r="J13" s="46" t="str">
        <x:v>https://d-nb.info/1009589644/34</x:v>
      </x:c>
      <x:c r="K13" s="46" t="str">
        <x:v>source_identity_preserved_registry_resolution_next</x:v>
      </x:c>
      <x:c r="L13" s="46" t="str">
        <x:v>member_delta_candidate_not_character_impact_claim</x:v>
      </x:c>
      <x:c r="M13" s="46" t="str">
        <x:v>The dissertation/article found no single character-impact compound explaining species-specific roast aroma. Unique detection is not equivalent to sensory signature.</x:v>
      </x:c>
    </x:row>
    <x:row r="14">
      <x:c r="A14" s="46" t="str">
        <x:v>LANDFOWL-DELTA-013</x:v>
      </x:c>
      <x:c r="B14" s="46" t="str">
        <x:v>pheasant</x:v>
      </x:c>
      <x:c r="C14" s="46" t="str">
        <x:v>roasted</x:v>
      </x:c>
      <x:c r="D14" s="46" t="str">
        <x:v>Heptansäure</x:v>
      </x:c>
      <x:c r="E14" s="46" t="str">
        <x:v>heptanoic acid</x:v>
      </x:c>
      <x:c r="F14" s="46" t="n">
        <x:v>1085</x:v>
      </x:c>
      <x:c r="G14" s="46" t="str">
        <x:v>Acids</x:v>
      </x:c>
      <x:c r="H14" s="46" t="str">
        <x:v>detected_only_in_pheasant_within_four-species_table17</x:v>
      </x:c>
      <x:c r="I14" s="46" t="str">
        <x:v>SRC-LANDFOWL-THESIS-001</x:v>
      </x:c>
      <x:c r="J14" s="46" t="str">
        <x:v>https://d-nb.info/1009589644/34</x:v>
      </x:c>
      <x:c r="K14" s="46" t="str">
        <x:v>source_identity_preserved_registry_resolution_next</x:v>
      </x:c>
      <x:c r="L14" s="46" t="str">
        <x:v>member_delta_candidate_not_character_impact_claim</x:v>
      </x:c>
      <x:c r="M14" s="46" t="str">
        <x:v>The dissertation/article found no single character-impact compound explaining species-specific roast aroma. Unique detection is not equivalent to sensory signature.</x:v>
      </x:c>
    </x:row>
    <x:row r="15">
      <x:c r="A15" s="46" t="str">
        <x:v>LANDFOWL-DELTA-014</x:v>
      </x:c>
      <x:c r="B15" s="46" t="str">
        <x:v>pheasant</x:v>
      </x:c>
      <x:c r="C15" s="46" t="str">
        <x:v>roasted</x:v>
      </x:c>
      <x:c r="D15" s="46" t="str">
        <x:v>3,5-Dimethyl-4-ethylidencyclohexen</x:v>
      </x:c>
      <x:c r="E15" s="46" t="str">
        <x:v>3,5-dimethyl-4-ethylidenecyclohexene</x:v>
      </x:c>
      <x:c r="F15" s="46" t="n">
        <x:v>1220</x:v>
      </x:c>
      <x:c r="G15" s="46" t="str">
        <x:v>Hydrocarbons</x:v>
      </x:c>
      <x:c r="H15" s="46" t="str">
        <x:v>detected_only_in_pheasant_within_four-species_table17</x:v>
      </x:c>
      <x:c r="I15" s="46" t="str">
        <x:v>SRC-LANDFOWL-THESIS-001</x:v>
      </x:c>
      <x:c r="J15" s="46" t="str">
        <x:v>https://d-nb.info/1009589644/34</x:v>
      </x:c>
      <x:c r="K15" s="46" t="str">
        <x:v>source_identity_preserved_registry_resolution_next</x:v>
      </x:c>
      <x:c r="L15" s="46" t="str">
        <x:v>member_delta_candidate_not_character_impact_claim</x:v>
      </x:c>
      <x:c r="M15" s="46" t="str">
        <x:v>The dissertation/article found no single character-impact compound explaining species-specific roast aroma. Unique detection is not equivalent to sensory signature.</x:v>
      </x:c>
    </x:row>
    <x:row r="16">
      <x:c r="A16" s="46" t="str">
        <x:v>LANDFOWL-DELTA-015</x:v>
      </x:c>
      <x:c r="B16" s="46" t="str">
        <x:v>pheasant</x:v>
      </x:c>
      <x:c r="C16" s="46" t="str">
        <x:v>roasted</x:v>
      </x:c>
      <x:c r="D16" s="46" t="str">
        <x:v>Tridecan</x:v>
      </x:c>
      <x:c r="E16" s="46" t="str">
        <x:v>tridecane</x:v>
      </x:c>
      <x:c r="F16" s="46" t="n">
        <x:v>1300</x:v>
      </x:c>
      <x:c r="G16" s="46" t="str">
        <x:v>Hydrocarbons</x:v>
      </x:c>
      <x:c r="H16" s="46" t="str">
        <x:v>detected_only_in_pheasant_within_four-species_table17</x:v>
      </x:c>
      <x:c r="I16" s="46" t="str">
        <x:v>SRC-LANDFOWL-THESIS-001</x:v>
      </x:c>
      <x:c r="J16" s="46" t="str">
        <x:v>https://d-nb.info/1009589644/34</x:v>
      </x:c>
      <x:c r="K16" s="46" t="str">
        <x:v>source_identity_preserved_registry_resolution_next</x:v>
      </x:c>
      <x:c r="L16" s="46" t="str">
        <x:v>member_delta_candidate_not_character_impact_claim</x:v>
      </x:c>
      <x:c r="M16" s="46" t="str">
        <x:v>The dissertation/article found no single character-impact compound explaining species-specific roast aroma. Unique detection is not equivalent to sensory signature.</x:v>
      </x:c>
    </x:row>
    <x:row r="17">
      <x:c r="A17" s="46" t="str">
        <x:v>LANDFOWL-DELTA-016</x:v>
      </x:c>
      <x:c r="B17" s="46" t="str">
        <x:v>partridge</x:v>
      </x:c>
      <x:c r="C17" s="46" t="str">
        <x:v>roasted</x:v>
      </x:c>
      <x:c r="D17" s="46" t="str">
        <x:v>1(H)-Pyrrol</x:v>
      </x:c>
      <x:c r="E17" s="46" t="str">
        <x:v>1H-pyrrole</x:v>
      </x:c>
      <x:c r="F17" s="46" t="n">
        <x:v>758</x:v>
      </x:c>
      <x:c r="G17" s="46" t="str">
        <x:v>Bases</x:v>
      </x:c>
      <x:c r="H17" s="46" t="str">
        <x:v>detected_only_in_partridge_within_four-species_table17</x:v>
      </x:c>
      <x:c r="I17" s="46" t="str">
        <x:v>SRC-LANDFOWL-THESIS-001</x:v>
      </x:c>
      <x:c r="J17" s="46" t="str">
        <x:v>https://d-nb.info/1009589644/34</x:v>
      </x:c>
      <x:c r="K17" s="46" t="str">
        <x:v>source_identity_preserved_registry_resolution_next</x:v>
      </x:c>
      <x:c r="L17" s="46" t="str">
        <x:v>member_delta_candidate_not_character_impact_claim</x:v>
      </x:c>
      <x:c r="M17" s="46" t="str">
        <x:v>The dissertation/article found no single character-impact compound explaining species-specific roast aroma. Unique detection is not equivalent to sensory signature.</x:v>
      </x:c>
    </x:row>
    <x:row r="18">
      <x:c r="A18" s="46" t="str">
        <x:v>LANDFOWL-DELTA-017</x:v>
      </x:c>
      <x:c r="B18" s="46" t="str">
        <x:v>partridge</x:v>
      </x:c>
      <x:c r="C18" s="46" t="str">
        <x:v>roasted</x:v>
      </x:c>
      <x:c r="D18" s="46" t="str">
        <x:v>2-Methylpyrazin</x:v>
      </x:c>
      <x:c r="E18" s="46" t="str">
        <x:v>2-methylpyrazine</x:v>
      </x:c>
      <x:c r="F18" s="46" t="n">
        <x:v>822</x:v>
      </x:c>
      <x:c r="G18" s="46" t="str">
        <x:v>Bases</x:v>
      </x:c>
      <x:c r="H18" s="46" t="str">
        <x:v>detected_only_in_partridge_within_four-species_table17</x:v>
      </x:c>
      <x:c r="I18" s="46" t="str">
        <x:v>SRC-LANDFOWL-THESIS-001</x:v>
      </x:c>
      <x:c r="J18" s="46" t="str">
        <x:v>https://d-nb.info/1009589644/34</x:v>
      </x:c>
      <x:c r="K18" s="46" t="str">
        <x:v>source_identity_preserved_registry_resolution_next</x:v>
      </x:c>
      <x:c r="L18" s="46" t="str">
        <x:v>member_delta_candidate_not_character_impact_claim</x:v>
      </x:c>
      <x:c r="M18" s="46" t="str">
        <x:v>The dissertation/article found no single character-impact compound explaining species-specific roast aroma. Unique detection is not equivalent to sensory signature.</x:v>
      </x:c>
    </x:row>
    <x:row r="19">
      <x:c r="A19" s="46" t="str">
        <x:v>LANDFOWL-DELTA-018</x:v>
      </x:c>
      <x:c r="B19" s="46" t="str">
        <x:v>partridge</x:v>
      </x:c>
      <x:c r="C19" s="46" t="str">
        <x:v>roasted</x:v>
      </x:c>
      <x:c r="D19" s="46" t="str">
        <x:v>Trimethylpyrazin</x:v>
      </x:c>
      <x:c r="E19" s="46" t="str">
        <x:v>trimethylpyrazine</x:v>
      </x:c>
      <x:c r="F19" s="46" t="n">
        <x:v>1012</x:v>
      </x:c>
      <x:c r="G19" s="46" t="str">
        <x:v>Bases</x:v>
      </x:c>
      <x:c r="H19" s="46" t="str">
        <x:v>detected_only_in_partridge_within_four-species_table17</x:v>
      </x:c>
      <x:c r="I19" s="46" t="str">
        <x:v>SRC-LANDFOWL-THESIS-001</x:v>
      </x:c>
      <x:c r="J19" s="46" t="str">
        <x:v>https://d-nb.info/1009589644/34</x:v>
      </x:c>
      <x:c r="K19" s="46" t="str">
        <x:v>source_identity_preserved_registry_resolution_next</x:v>
      </x:c>
      <x:c r="L19" s="46" t="str">
        <x:v>member_delta_candidate_not_character_impact_claim</x:v>
      </x:c>
      <x:c r="M19" s="46" t="str">
        <x:v>The dissertation/article found no single character-impact compound explaining species-specific roast aroma. Unique detection is not equivalent to sensory signature.</x:v>
      </x:c>
    </x:row>
    <x:row r="20">
      <x:c r="A20" s="46" t="str">
        <x:v>LANDFOWL-DELTA-019</x:v>
      </x:c>
      <x:c r="B20" s="46" t="str">
        <x:v>partridge</x:v>
      </x:c>
      <x:c r="C20" s="46" t="str">
        <x:v>roasted</x:v>
      </x:c>
      <x:c r="D20" s="46" t="str">
        <x:v>Decansäure</x:v>
      </x:c>
      <x:c r="E20" s="46" t="str">
        <x:v>decanoic acid</x:v>
      </x:c>
      <x:c r="F20" s="46" t="n">
        <x:v>1409</x:v>
      </x:c>
      <x:c r="G20" s="46" t="str">
        <x:v>Acids</x:v>
      </x:c>
      <x:c r="H20" s="46" t="str">
        <x:v>detected_only_in_partridge_within_four-species_table17</x:v>
      </x:c>
      <x:c r="I20" s="46" t="str">
        <x:v>SRC-LANDFOWL-THESIS-001</x:v>
      </x:c>
      <x:c r="J20" s="46" t="str">
        <x:v>https://d-nb.info/1009589644/34</x:v>
      </x:c>
      <x:c r="K20" s="46" t="str">
        <x:v>source_identity_preserved_registry_resolution_next</x:v>
      </x:c>
      <x:c r="L20" s="46" t="str">
        <x:v>member_delta_candidate_not_character_impact_claim</x:v>
      </x:c>
      <x:c r="M20" s="46" t="str">
        <x:v>The dissertation/article found no single character-impact compound explaining species-specific roast aroma. Unique detection is not equivalent to sensory signature.</x:v>
      </x:c>
    </x:row>
    <x:row r="21">
      <x:c r="A21" s="46" t="str">
        <x:v>LANDFOWL-DELTA-020</x:v>
      </x:c>
      <x:c r="B21" s="46" t="str">
        <x:v>partridge</x:v>
      </x:c>
      <x:c r="C21" s="46" t="str">
        <x:v>roasted</x:v>
      </x:c>
      <x:c r="D21" s="46" t="str">
        <x:v>2-(E)-Dodecenal</x:v>
      </x:c>
      <x:c r="E21" s="46" t="str">
        <x:v>(E)-2-dodecenal</x:v>
      </x:c>
      <x:c r="F21" s="46" t="n">
        <x:v>1470</x:v>
      </x:c>
      <x:c r="G21" s="46" t="str">
        <x:v>Carbonyls, aldehydes</x:v>
      </x:c>
      <x:c r="H21" s="46" t="str">
        <x:v>detected_only_in_partridge_within_four-species_table17</x:v>
      </x:c>
      <x:c r="I21" s="46" t="str">
        <x:v>SRC-LANDFOWL-THESIS-001</x:v>
      </x:c>
      <x:c r="J21" s="46" t="str">
        <x:v>https://d-nb.info/1009589644/34</x:v>
      </x:c>
      <x:c r="K21" s="46" t="str">
        <x:v>source_identity_preserved_registry_resolution_next</x:v>
      </x:c>
      <x:c r="L21" s="46" t="str">
        <x:v>member_delta_candidate_not_character_impact_claim</x:v>
      </x:c>
      <x:c r="M21" s="46" t="str">
        <x:v>The dissertation/article found no single character-impact compound explaining species-specific roast aroma. Unique detection is not equivalent to sensory signature.</x:v>
      </x:c>
    </x:row>
    <x:row r="22">
      <x:c r="A22" s="46" t="str">
        <x:v>LANDFOWL-DELTA-021</x:v>
      </x:c>
      <x:c r="B22" s="46" t="str">
        <x:v>partridge</x:v>
      </x:c>
      <x:c r="C22" s="46" t="str">
        <x:v>roasted</x:v>
      </x:c>
      <x:c r="D22" s="46" t="str">
        <x:v>Tetradecanal</x:v>
      </x:c>
      <x:c r="E22" s="46" t="str">
        <x:v>tetradecanal</x:v>
      </x:c>
      <x:c r="F22" s="46" t="n">
        <x:v>1602</x:v>
      </x:c>
      <x:c r="G22" s="46" t="str">
        <x:v>Carbonyls, aldehydes</x:v>
      </x:c>
      <x:c r="H22" s="46" t="str">
        <x:v>detected_only_in_partridge_within_four-species_table17</x:v>
      </x:c>
      <x:c r="I22" s="46" t="str">
        <x:v>SRC-LANDFOWL-THESIS-001</x:v>
      </x:c>
      <x:c r="J22" s="46" t="str">
        <x:v>https://d-nb.info/1009589644/34</x:v>
      </x:c>
      <x:c r="K22" s="46" t="str">
        <x:v>source_identity_preserved_registry_resolution_next</x:v>
      </x:c>
      <x:c r="L22" s="46" t="str">
        <x:v>member_delta_candidate_not_character_impact_claim</x:v>
      </x:c>
      <x:c r="M22" s="46" t="str">
        <x:v>The dissertation/article found no single character-impact compound explaining species-specific roast aroma. Unique detection is not equivalent to sensory signature.</x:v>
      </x:c>
    </x:row>
    <x:row r="23">
      <x:c r="A23" s="46" t="str">
        <x:v>LANDFOWL-DELTA-022</x:v>
      </x:c>
      <x:c r="B23" s="46" t="str">
        <x:v>quail</x:v>
      </x:c>
      <x:c r="C23" s="46" t="str">
        <x:v>roasted</x:v>
      </x:c>
      <x:c r="D23" s="46" t="str">
        <x:v>2-Octen</x:v>
      </x:c>
      <x:c r="E23" s="46" t="str">
        <x:v>2-octene</x:v>
      </x:c>
      <x:c r="F23" s="46" t="n">
        <x:v>816</x:v>
      </x:c>
      <x:c r="G23" s="46" t="str">
        <x:v>Hydrocarbons</x:v>
      </x:c>
      <x:c r="H23" s="46" t="str">
        <x:v>detected_only_in_quail_within_four-species_table17</x:v>
      </x:c>
      <x:c r="I23" s="46" t="str">
        <x:v>SRC-LANDFOWL-THESIS-001</x:v>
      </x:c>
      <x:c r="J23" s="46" t="str">
        <x:v>https://d-nb.info/1009589644/34</x:v>
      </x:c>
      <x:c r="K23" s="46" t="str">
        <x:v>source_identity_preserved_registry_resolution_next</x:v>
      </x:c>
      <x:c r="L23" s="46" t="str">
        <x:v>member_delta_candidate_not_character_impact_claim</x:v>
      </x:c>
      <x:c r="M23" s="46" t="str">
        <x:v>The dissertation/article found no single character-impact compound explaining species-specific roast aroma. Unique detection is not equivalent to sensory signature.</x:v>
      </x:c>
    </x:row>
    <x:row r="24">
      <x:c r="A24" s="46" t="str">
        <x:v>LANDFOWL-DELTA-023</x:v>
      </x:c>
      <x:c r="B24" s="46" t="str">
        <x:v>quail</x:v>
      </x:c>
      <x:c r="C24" s="46" t="str">
        <x:v>roasted</x:v>
      </x:c>
      <x:c r="D24" s="46" t="str">
        <x:v>2-Furancarboxaldehyd</x:v>
      </x:c>
      <x:c r="E24" s="46" t="str">
        <x:v>furfural (2-furancarboxaldehyde)</x:v>
      </x:c>
      <x:c r="F24" s="46" t="n">
        <x:v>831</x:v>
      </x:c>
      <x:c r="G24" s="46" t="str">
        <x:v>Furans</x:v>
      </x:c>
      <x:c r="H24" s="46" t="str">
        <x:v>detected_only_in_quail_within_four-species_table17</x:v>
      </x:c>
      <x:c r="I24" s="46" t="str">
        <x:v>SRC-LANDFOWL-THESIS-001</x:v>
      </x:c>
      <x:c r="J24" s="46" t="str">
        <x:v>https://d-nb.info/1009589644/34</x:v>
      </x:c>
      <x:c r="K24" s="46" t="str">
        <x:v>source_identity_preserved_registry_resolution_next</x:v>
      </x:c>
      <x:c r="L24" s="46" t="str">
        <x:v>member_delta_candidate_not_character_impact_claim</x:v>
      </x:c>
      <x:c r="M24" s="46" t="str">
        <x:v>The dissertation/article found no single character-impact compound explaining species-specific roast aroma. Unique detection is not equivalent to sensory signature.</x:v>
      </x:c>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18" hidden="0" customWidth="1"/>
    <x:col min="5" max="5" width="14" hidden="0" customWidth="1"/>
    <x:col min="6" max="6" width="19" hidden="0" customWidth="1"/>
    <x:col min="7" max="7" width="14" hidden="0" customWidth="1"/>
    <x:col min="8" max="8" width="25" hidden="0" customWidth="1"/>
    <x:col min="9" max="9" width="20" hidden="0" customWidth="1"/>
    <x:col min="10" max="10" width="20" hidden="0" customWidth="1"/>
    <x:col min="11" max="11" width="14" hidden="0" customWidth="1"/>
    <x:col min="12" max="12" width="25" hidden="0" customWidth="1"/>
    <x:col min="13" max="13" width="20" hidden="0" customWidth="1"/>
    <x:col min="14" max="14" width="18" hidden="0" customWidth="1"/>
    <x:col min="15" max="15" width="14" hidden="0" customWidth="1"/>
    <x:col min="16" max="16" width="20" hidden="0" customWidth="1"/>
    <x:col min="17" max="17" width="26" hidden="0" customWidth="1"/>
    <x:col min="18" max="18" width="48" hidden="0" customWidth="1"/>
    <x:col min="19" max="19" width="55" hidden="0" customWidth="1"/>
    <x:col min="20" max="20" width="65" hidden="0" customWidth="1"/>
    <x:col min="21" max="21" width="34" hidden="0" customWidth="1"/>
    <x:col min="22" max="22" width="20" hidden="0" customWidth="1"/>
    <x:col min="23" max="23" width="65" hidden="0" customWidth="1"/>
  </x:cols>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t="str">
        <x:v>numeric_validation_status</x:v>
      </x:c>
      <x:c r="V1" s="81" t="str">
        <x:v>numeric_use_allowed</x:v>
      </x:c>
      <x:c r="W1" s="81" t="str">
        <x:v>correction_note</x:v>
      </x:c>
    </x:row>
    <x:row r="2">
      <x:c r="A2" s="46" t="str">
        <x:v>LANDFOWL-Q-001</x:v>
      </x:c>
      <x:c r="B2" s="46" t="str">
        <x:v>3-Methylbutanal</x:v>
      </x:c>
      <x:c r="C2" s="46" t="n">
        <x:v>653</x:v>
      </x:c>
      <x:c r="D2" s="74"/>
      <x:c r="E2" s="74"/>
      <x:c r="F2" s="74"/>
      <x:c r="G2" s="74"/>
      <x:c r="H2" s="46"/>
      <x:c r="I2" s="75"/>
      <x:c r="J2" s="74"/>
      <x:c r="K2" s="74"/>
      <x:c r="L2" s="46"/>
      <x:c r="M2" s="75"/>
      <x:c r="N2" s="74"/>
      <x:c r="O2" s="74"/>
      <x:c r="P2" s="75"/>
      <x:c r="Q2" s="46" t="str">
        <x:v>SRC-LANDFOWL-THESIS-001</x:v>
      </x:c>
      <x:c r="R2" s="46" t="str">
        <x:v>https://d-nb.info/1009589644/34</x:v>
      </x:c>
      <x:c r="S2" s="46" t="str">
        <x:v>Chicken, pheasant, partridge n=4; quail n=2. Dissertation states no statistical test for quail because of low sample size.</x:v>
      </x:c>
      <x:c r="T2" s="46" t="str">
        <x:v>Row-level numeric values withheld pending corrected transcription. The peer-reviewed article's direct qualitative conclusion remains usable: roasted chicken had the highest total concentration in the quantitative comparison.</x:v>
      </x:c>
      <x:c r="U2" s="83" t="str">
        <x:v>quarantined_decimal_retranscription_required</x:v>
      </x:c>
      <x:c r="V2" s="83" t="str">
        <x:v>no</x:v>
      </x:c>
      <x:c r="W2" s="83" t="str">
        <x:v>v7 values moved to Landfowl Quant Raw Archive v7. Do not restore them without checking decimal commas against the primary Table 18.</x:v>
      </x:c>
    </x:row>
    <x:row r="3">
      <x:c r="A3" s="46" t="str">
        <x:v>LANDFOWL-Q-002</x:v>
      </x:c>
      <x:c r="B3" s="46" t="str">
        <x:v>2-Methylbutanal</x:v>
      </x:c>
      <x:c r="C3" s="46" t="n">
        <x:v>661</x:v>
      </x:c>
      <x:c r="D3" s="74"/>
      <x:c r="E3" s="74"/>
      <x:c r="F3" s="74"/>
      <x:c r="G3" s="74"/>
      <x:c r="H3" s="46"/>
      <x:c r="I3" s="75"/>
      <x:c r="J3" s="74"/>
      <x:c r="K3" s="74"/>
      <x:c r="L3" s="46"/>
      <x:c r="M3" s="75"/>
      <x:c r="N3" s="74"/>
      <x:c r="O3" s="74"/>
      <x:c r="P3" s="75"/>
      <x:c r="Q3" s="46" t="str">
        <x:v>SRC-LANDFOWL-THESIS-001</x:v>
      </x:c>
      <x:c r="R3" s="46" t="str">
        <x:v>https://d-nb.info/1009589644/34</x:v>
      </x:c>
      <x:c r="S3" s="46" t="str">
        <x:v>Chicken, pheasant, partridge n=4; quail n=2. Dissertation states no statistical test for quail because of low sample size.</x:v>
      </x:c>
      <x:c r="T3" s="46" t="str">
        <x:v>Row-level numeric values withheld pending corrected transcription. The peer-reviewed article's direct qualitative conclusion remains usable: roasted chicken had the highest total concentration in the quantitative comparison.</x:v>
      </x:c>
      <x:c r="U3" s="83" t="str">
        <x:v>quarantined_decimal_retranscription_required</x:v>
      </x:c>
      <x:c r="V3" s="83" t="str">
        <x:v>no</x:v>
      </x:c>
      <x:c r="W3" s="83" t="str">
        <x:v>v7 values moved to Landfowl Quant Raw Archive v7. Do not restore them without checking decimal commas against the primary Table 18.</x:v>
      </x:c>
    </x:row>
    <x:row r="4">
      <x:c r="A4" s="46" t="str">
        <x:v>LANDFOWL-Q-003</x:v>
      </x:c>
      <x:c r="B4" s="46" t="str">
        <x:v>Pentanal</x:v>
      </x:c>
      <x:c r="C4" s="46" t="n">
        <x:v>498</x:v>
      </x:c>
      <x:c r="D4" s="74"/>
      <x:c r="E4" s="74"/>
      <x:c r="F4" s="74"/>
      <x:c r="G4" s="74"/>
      <x:c r="H4" s="46"/>
      <x:c r="I4" s="75"/>
      <x:c r="J4" s="74"/>
      <x:c r="K4" s="74"/>
      <x:c r="L4" s="46"/>
      <x:c r="M4" s="75"/>
      <x:c r="N4" s="74"/>
      <x:c r="O4" s="74"/>
      <x:c r="P4" s="75"/>
      <x:c r="Q4" s="46" t="str">
        <x:v>SRC-LANDFOWL-THESIS-001</x:v>
      </x:c>
      <x:c r="R4" s="46" t="str">
        <x:v>https://d-nb.info/1009589644/34</x:v>
      </x:c>
      <x:c r="S4" s="46" t="str">
        <x:v>Chicken, pheasant, partridge n=4; quail n=2. Dissertation states no statistical test for quail because of low sample size.</x:v>
      </x:c>
      <x:c r="T4" s="46" t="str">
        <x:v>Row-level numeric values withheld pending corrected transcription. The peer-reviewed article's direct qualitative conclusion remains usable: roasted chicken had the highest total concentration in the quantitative comparison.</x:v>
      </x:c>
      <x:c r="U4" s="83" t="str">
        <x:v>quarantined_decimal_retranscription_required</x:v>
      </x:c>
      <x:c r="V4" s="83" t="str">
        <x:v>no</x:v>
      </x:c>
      <x:c r="W4" s="83" t="str">
        <x:v>v7 values moved to Landfowl Quant Raw Archive v7. Do not restore them without checking decimal commas against the primary Table 18.</x:v>
      </x:c>
    </x:row>
    <x:row r="5">
      <x:c r="A5" s="46" t="str">
        <x:v>LANDFOWL-Q-004</x:v>
      </x:c>
      <x:c r="B5" s="46" t="str">
        <x:v>1-Pentanol</x:v>
      </x:c>
      <x:c r="C5" s="46" t="n">
        <x:v>767</x:v>
      </x:c>
      <x:c r="D5" s="74"/>
      <x:c r="E5" s="74"/>
      <x:c r="F5" s="74"/>
      <x:c r="G5" s="74"/>
      <x:c r="H5" s="46"/>
      <x:c r="I5" s="75"/>
      <x:c r="J5" s="74"/>
      <x:c r="K5" s="74"/>
      <x:c r="L5" s="46"/>
      <x:c r="M5" s="75"/>
      <x:c r="N5" s="74"/>
      <x:c r="O5" s="74"/>
      <x:c r="P5" s="75"/>
      <x:c r="Q5" s="46" t="str">
        <x:v>SRC-LANDFOWL-THESIS-001</x:v>
      </x:c>
      <x:c r="R5" s="46" t="str">
        <x:v>https://d-nb.info/1009589644/34</x:v>
      </x:c>
      <x:c r="S5" s="46" t="str">
        <x:v>Chicken, pheasant, partridge n=4; quail n=2. Dissertation states no statistical test for quail because of low sample size.</x:v>
      </x:c>
      <x:c r="T5" s="46" t="str">
        <x:v>Row-level numeric values withheld pending corrected transcription. The peer-reviewed article's direct qualitative conclusion remains usable: roasted chicken had the highest total concentration in the quantitative comparison.</x:v>
      </x:c>
      <x:c r="U5" s="83" t="str">
        <x:v>quarantined_decimal_retranscription_required</x:v>
      </x:c>
      <x:c r="V5" s="83" t="str">
        <x:v>no</x:v>
      </x:c>
      <x:c r="W5" s="83" t="str">
        <x:v>v7 values moved to Landfowl Quant Raw Archive v7. Do not restore them without checking decimal commas against the primary Table 18.</x:v>
      </x:c>
    </x:row>
    <x:row r="6">
      <x:c r="A6" s="46" t="str">
        <x:v>LANDFOWL-Q-005</x:v>
      </x:c>
      <x:c r="B6" s="46" t="str">
        <x:v>Hexanal</x:v>
      </x:c>
      <x:c r="C6" s="46" t="n">
        <x:v>804</x:v>
      </x:c>
      <x:c r="D6" s="74"/>
      <x:c r="E6" s="74"/>
      <x:c r="F6" s="74"/>
      <x:c r="G6" s="74"/>
      <x:c r="H6" s="46"/>
      <x:c r="I6" s="75"/>
      <x:c r="J6" s="74"/>
      <x:c r="K6" s="74"/>
      <x:c r="L6" s="46"/>
      <x:c r="M6" s="75"/>
      <x:c r="N6" s="74"/>
      <x:c r="O6" s="74"/>
      <x:c r="P6" s="75"/>
      <x:c r="Q6" s="46" t="str">
        <x:v>SRC-LANDFOWL-THESIS-001</x:v>
      </x:c>
      <x:c r="R6" s="46" t="str">
        <x:v>https://d-nb.info/1009589644/34</x:v>
      </x:c>
      <x:c r="S6" s="46" t="str">
        <x:v>Chicken, pheasant, partridge n=4; quail n=2. Dissertation states no statistical test for quail because of low sample size.</x:v>
      </x:c>
      <x:c r="T6" s="46" t="str">
        <x:v>Row-level numeric values withheld pending corrected transcription. The peer-reviewed article's direct qualitative conclusion remains usable: roasted chicken had the highest total concentration in the quantitative comparison.</x:v>
      </x:c>
      <x:c r="U6" s="83" t="str">
        <x:v>quarantined_decimal_retranscription_required</x:v>
      </x:c>
      <x:c r="V6" s="83" t="str">
        <x:v>no</x:v>
      </x:c>
      <x:c r="W6" s="83" t="str">
        <x:v>v7 values moved to Landfowl Quant Raw Archive v7. Do not restore them without checking decimal commas against the primary Table 18.</x:v>
      </x:c>
    </x:row>
    <x:row r="7">
      <x:c r="A7" s="46" t="str">
        <x:v>LANDFOWL-Q-006</x:v>
      </x:c>
      <x:c r="B7" s="46" t="str">
        <x:v>2-(E)-Hexenal</x:v>
      </x:c>
      <x:c r="C7" s="46" t="n">
        <x:v>855</x:v>
      </x:c>
      <x:c r="D7" s="74"/>
      <x:c r="E7" s="74"/>
      <x:c r="F7" s="74"/>
      <x:c r="G7" s="74"/>
      <x:c r="H7" s="46"/>
      <x:c r="I7" s="75"/>
      <x:c r="J7" s="74"/>
      <x:c r="K7" s="74"/>
      <x:c r="L7" s="46"/>
      <x:c r="M7" s="75"/>
      <x:c r="N7" s="74"/>
      <x:c r="O7" s="74"/>
      <x:c r="P7" s="75"/>
      <x:c r="Q7" s="46" t="str">
        <x:v>SRC-LANDFOWL-THESIS-001</x:v>
      </x:c>
      <x:c r="R7" s="46" t="str">
        <x:v>https://d-nb.info/1009589644/34</x:v>
      </x:c>
      <x:c r="S7" s="46" t="str">
        <x:v>Chicken, pheasant, partridge n=4; quail n=2. Dissertation states no statistical test for quail because of low sample size.</x:v>
      </x:c>
      <x:c r="T7" s="46" t="str">
        <x:v>Row-level numeric values withheld pending corrected transcription. The peer-reviewed article's direct qualitative conclusion remains usable: roasted chicken had the highest total concentration in the quantitative comparison.</x:v>
      </x:c>
      <x:c r="U7" s="83" t="str">
        <x:v>quarantined_decimal_retranscription_required</x:v>
      </x:c>
      <x:c r="V7" s="83" t="str">
        <x:v>no</x:v>
      </x:c>
      <x:c r="W7" s="83" t="str">
        <x:v>v7 values moved to Landfowl Quant Raw Archive v7. Do not restore them without checking decimal commas against the primary Table 18.</x:v>
      </x:c>
    </x:row>
    <x:row r="8">
      <x:c r="A8" s="46" t="str">
        <x:v>LANDFOWL-Q-007</x:v>
      </x:c>
      <x:c r="B8" s="46" t="str">
        <x:v>1-Hexanol</x:v>
      </x:c>
      <x:c r="C8" s="46" t="n">
        <x:v>874</x:v>
      </x:c>
      <x:c r="D8" s="74"/>
      <x:c r="E8" s="74"/>
      <x:c r="F8" s="74"/>
      <x:c r="G8" s="74"/>
      <x:c r="H8" s="46"/>
      <x:c r="I8" s="75"/>
      <x:c r="J8" s="74"/>
      <x:c r="K8" s="74"/>
      <x:c r="L8" s="46"/>
      <x:c r="M8" s="75"/>
      <x:c r="N8" s="74"/>
      <x:c r="O8" s="74"/>
      <x:c r="P8" s="75"/>
      <x:c r="Q8" s="46" t="str">
        <x:v>SRC-LANDFOWL-THESIS-001</x:v>
      </x:c>
      <x:c r="R8" s="46" t="str">
        <x:v>https://d-nb.info/1009589644/34</x:v>
      </x:c>
      <x:c r="S8" s="46" t="str">
        <x:v>Chicken, pheasant, partridge n=4; quail n=2. Dissertation states no statistical test for quail because of low sample size.</x:v>
      </x:c>
      <x:c r="T8" s="46" t="str">
        <x:v>Row-level numeric values withheld pending corrected transcription. The peer-reviewed article's direct qualitative conclusion remains usable: roasted chicken had the highest total concentration in the quantitative comparison.</x:v>
      </x:c>
      <x:c r="U8" s="83" t="str">
        <x:v>quarantined_decimal_retranscription_required</x:v>
      </x:c>
      <x:c r="V8" s="83" t="str">
        <x:v>no</x:v>
      </x:c>
      <x:c r="W8" s="83" t="str">
        <x:v>v7 values moved to Landfowl Quant Raw Archive v7. Do not restore them without checking decimal commas against the primary Table 18.</x:v>
      </x:c>
    </x:row>
    <x:row r="9">
      <x:c r="A9" s="46" t="str">
        <x:v>LANDFOWL-Q-008</x:v>
      </x:c>
      <x:c r="B9" s="46" t="str">
        <x:v>Heptanal</x:v>
      </x:c>
      <x:c r="C9" s="46" t="n">
        <x:v>905</x:v>
      </x:c>
      <x:c r="D9" s="74"/>
      <x:c r="E9" s="74"/>
      <x:c r="F9" s="74"/>
      <x:c r="G9" s="74"/>
      <x:c r="H9" s="46"/>
      <x:c r="I9" s="75"/>
      <x:c r="J9" s="74"/>
      <x:c r="K9" s="74"/>
      <x:c r="L9" s="46"/>
      <x:c r="M9" s="75"/>
      <x:c r="N9" s="74"/>
      <x:c r="O9" s="74"/>
      <x:c r="P9" s="75"/>
      <x:c r="Q9" s="46" t="str">
        <x:v>SRC-LANDFOWL-THESIS-001</x:v>
      </x:c>
      <x:c r="R9" s="46" t="str">
        <x:v>https://d-nb.info/1009589644/34</x:v>
      </x:c>
      <x:c r="S9" s="46" t="str">
        <x:v>Chicken, pheasant, partridge n=4; quail n=2. Dissertation states no statistical test for quail because of low sample size.</x:v>
      </x:c>
      <x:c r="T9" s="46" t="str">
        <x:v>Row-level numeric values withheld pending corrected transcription. The peer-reviewed article's direct qualitative conclusion remains usable: roasted chicken had the highest total concentration in the quantitative comparison.</x:v>
      </x:c>
      <x:c r="U9" s="83" t="str">
        <x:v>quarantined_decimal_retranscription_required</x:v>
      </x:c>
      <x:c r="V9" s="83" t="str">
        <x:v>no</x:v>
      </x:c>
      <x:c r="W9" s="83" t="str">
        <x:v>v7 values moved to Landfowl Quant Raw Archive v7. Do not restore them without checking decimal commas against the primary Table 18.</x:v>
      </x:c>
    </x:row>
    <x:row r="10">
      <x:c r="A10" s="46" t="str">
        <x:v>LANDFOWL-Q-009</x:v>
      </x:c>
      <x:c r="B10" s="46" t="str">
        <x:v>2-(E)-Heptenal</x:v>
      </x:c>
      <x:c r="C10" s="46" t="n">
        <x:v>948</x:v>
      </x:c>
      <x:c r="D10" s="74"/>
      <x:c r="E10" s="74"/>
      <x:c r="F10" s="74"/>
      <x:c r="G10" s="74"/>
      <x:c r="H10" s="46"/>
      <x:c r="I10" s="75"/>
      <x:c r="J10" s="74"/>
      <x:c r="K10" s="74"/>
      <x:c r="L10" s="46"/>
      <x:c r="M10" s="75"/>
      <x:c r="N10" s="74"/>
      <x:c r="O10" s="74"/>
      <x:c r="P10" s="75"/>
      <x:c r="Q10" s="46" t="str">
        <x:v>SRC-LANDFOWL-THESIS-001</x:v>
      </x:c>
      <x:c r="R10" s="46" t="str">
        <x:v>https://d-nb.info/1009589644/34</x:v>
      </x:c>
      <x:c r="S10" s="46" t="str">
        <x:v>Chicken, pheasant, partridge n=4; quail n=2. Dissertation states no statistical test for quail because of low sample size.</x:v>
      </x:c>
      <x:c r="T10" s="46" t="str">
        <x:v>Row-level numeric values withheld pending corrected transcription. The peer-reviewed article's direct qualitative conclusion remains usable: roasted chicken had the highest total concentration in the quantitative comparison.</x:v>
      </x:c>
      <x:c r="U10" s="83" t="str">
        <x:v>quarantined_decimal_retranscription_required</x:v>
      </x:c>
      <x:c r="V10" s="83" t="str">
        <x:v>no</x:v>
      </x:c>
      <x:c r="W10" s="83" t="str">
        <x:v>v7 values moved to Landfowl Quant Raw Archive v7. Do not restore them without checking decimal commas against the primary Table 18.</x:v>
      </x:c>
    </x:row>
    <x:row r="11">
      <x:c r="A11" s="46" t="str">
        <x:v>LANDFOWL-Q-010</x:v>
      </x:c>
      <x:c r="B11" s="46" t="str">
        <x:v>Benzaldehyd</x:v>
      </x:c>
      <x:c r="C11" s="46" t="n">
        <x:v>968</x:v>
      </x:c>
      <x:c r="D11" s="74"/>
      <x:c r="E11" s="74"/>
      <x:c r="F11" s="74"/>
      <x:c r="G11" s="74"/>
      <x:c r="H11" s="46"/>
      <x:c r="I11" s="75"/>
      <x:c r="J11" s="74"/>
      <x:c r="K11" s="74"/>
      <x:c r="L11" s="46"/>
      <x:c r="M11" s="75"/>
      <x:c r="N11" s="74"/>
      <x:c r="O11" s="74"/>
      <x:c r="P11" s="75"/>
      <x:c r="Q11" s="46" t="str">
        <x:v>SRC-LANDFOWL-THESIS-001</x:v>
      </x:c>
      <x:c r="R11" s="46" t="str">
        <x:v>https://d-nb.info/1009589644/34</x:v>
      </x:c>
      <x:c r="S11" s="46" t="str">
        <x:v>Chicken, pheasant, partridge n=4; quail n=2. Dissertation states no statistical test for quail because of low sample size.</x:v>
      </x:c>
      <x:c r="T11" s="46" t="str">
        <x:v>Row-level numeric values withheld pending corrected transcription. The peer-reviewed article's direct qualitative conclusion remains usable: roasted chicken had the highest total concentration in the quantitative comparison.</x:v>
      </x:c>
      <x:c r="U11" s="83" t="str">
        <x:v>quarantined_decimal_retranscription_required</x:v>
      </x:c>
      <x:c r="V11" s="83" t="str">
        <x:v>no</x:v>
      </x:c>
      <x:c r="W11" s="83" t="str">
        <x:v>v7 values moved to Landfowl Quant Raw Archive v7. Do not restore them without checking decimal commas against the primary Table 18.</x:v>
      </x:c>
    </x:row>
    <x:row r="12">
      <x:c r="A12" s="46" t="str">
        <x:v>LANDFOWL-Q-011</x:v>
      </x:c>
      <x:c r="B12" s="46" t="str">
        <x:v>1-Heptanol</x:v>
      </x:c>
      <x:c r="C12" s="46" t="n">
        <x:v>978</x:v>
      </x:c>
      <x:c r="D12" s="74"/>
      <x:c r="E12" s="74"/>
      <x:c r="F12" s="74"/>
      <x:c r="G12" s="74"/>
      <x:c r="H12" s="46"/>
      <x:c r="I12" s="75"/>
      <x:c r="J12" s="74"/>
      <x:c r="K12" s="74"/>
      <x:c r="L12" s="46"/>
      <x:c r="M12" s="75"/>
      <x:c r="N12" s="74"/>
      <x:c r="O12" s="74"/>
      <x:c r="P12" s="75"/>
      <x:c r="Q12" s="46" t="str">
        <x:v>SRC-LANDFOWL-THESIS-001</x:v>
      </x:c>
      <x:c r="R12" s="46" t="str">
        <x:v>https://d-nb.info/1009589644/34</x:v>
      </x:c>
      <x:c r="S12" s="46" t="str">
        <x:v>Chicken, pheasant, partridge n=4; quail n=2. Dissertation states no statistical test for quail because of low sample size.</x:v>
      </x:c>
      <x:c r="T12" s="46" t="str">
        <x:v>Row-level numeric values withheld pending corrected transcription. The peer-reviewed article's direct qualitative conclusion remains usable: roasted chicken had the highest total concentration in the quantitative comparison.</x:v>
      </x:c>
      <x:c r="U12" s="83" t="str">
        <x:v>quarantined_decimal_retranscription_required</x:v>
      </x:c>
      <x:c r="V12" s="83" t="str">
        <x:v>no</x:v>
      </x:c>
      <x:c r="W12" s="83" t="str">
        <x:v>v7 values moved to Landfowl Quant Raw Archive v7. Do not restore them without checking decimal commas against the primary Table 18.</x:v>
      </x:c>
    </x:row>
    <x:row r="13">
      <x:c r="A13" s="46" t="str">
        <x:v>LANDFOWL-Q-012</x:v>
      </x:c>
      <x:c r="B13" s="46" t="str">
        <x:v>1-Octen-3-ol</x:v>
      </x:c>
      <x:c r="C13" s="46" t="n">
        <x:v>987</x:v>
      </x:c>
      <x:c r="D13" s="74"/>
      <x:c r="E13" s="74"/>
      <x:c r="F13" s="74"/>
      <x:c r="G13" s="74"/>
      <x:c r="H13" s="46"/>
      <x:c r="I13" s="75"/>
      <x:c r="J13" s="74"/>
      <x:c r="K13" s="74"/>
      <x:c r="L13" s="46"/>
      <x:c r="M13" s="75"/>
      <x:c r="N13" s="74"/>
      <x:c r="O13" s="74"/>
      <x:c r="P13" s="75"/>
      <x:c r="Q13" s="46" t="str">
        <x:v>SRC-LANDFOWL-THESIS-001</x:v>
      </x:c>
      <x:c r="R13" s="46" t="str">
        <x:v>https://d-nb.info/1009589644/34</x:v>
      </x:c>
      <x:c r="S13" s="46" t="str">
        <x:v>Chicken, pheasant, partridge n=4; quail n=2. Dissertation states no statistical test for quail because of low sample size.</x:v>
      </x:c>
      <x:c r="T13" s="46" t="str">
        <x:v>Row-level numeric values withheld pending corrected transcription. The peer-reviewed article's direct qualitative conclusion remains usable: roasted chicken had the highest total concentration in the quantitative comparison.</x:v>
      </x:c>
      <x:c r="U13" s="83" t="str">
        <x:v>quarantined_decimal_retranscription_required</x:v>
      </x:c>
      <x:c r="V13" s="83" t="str">
        <x:v>no</x:v>
      </x:c>
      <x:c r="W13" s="83" t="str">
        <x:v>v7 values moved to Landfowl Quant Raw Archive v7. Do not restore them without checking decimal commas against the primary Table 18.</x:v>
      </x:c>
    </x:row>
    <x:row r="14">
      <x:c r="A14" s="46" t="str">
        <x:v>LANDFOWL-Q-013</x:v>
      </x:c>
      <x:c r="B14" s="46" t="str">
        <x:v>2-Pentylfuran</x:v>
      </x:c>
      <x:c r="C14" s="46" t="n">
        <x:v>995</x:v>
      </x:c>
      <x:c r="D14" s="74"/>
      <x:c r="E14" s="74"/>
      <x:c r="F14" s="74"/>
      <x:c r="G14" s="74"/>
      <x:c r="H14" s="46"/>
      <x:c r="I14" s="75"/>
      <x:c r="J14" s="74"/>
      <x:c r="K14" s="74"/>
      <x:c r="L14" s="46"/>
      <x:c r="M14" s="75"/>
      <x:c r="N14" s="74"/>
      <x:c r="O14" s="74"/>
      <x:c r="P14" s="75"/>
      <x:c r="Q14" s="46" t="str">
        <x:v>SRC-LANDFOWL-THESIS-001</x:v>
      </x:c>
      <x:c r="R14" s="46" t="str">
        <x:v>https://d-nb.info/1009589644/34</x:v>
      </x:c>
      <x:c r="S14" s="46" t="str">
        <x:v>Chicken, pheasant, partridge n=4; quail n=2. Dissertation states no statistical test for quail because of low sample size.</x:v>
      </x:c>
      <x:c r="T14" s="46" t="str">
        <x:v>Row-level numeric values withheld pending corrected transcription. The peer-reviewed article's direct qualitative conclusion remains usable: roasted chicken had the highest total concentration in the quantitative comparison.</x:v>
      </x:c>
      <x:c r="U14" s="83" t="str">
        <x:v>quarantined_decimal_retranscription_required</x:v>
      </x:c>
      <x:c r="V14" s="83" t="str">
        <x:v>no</x:v>
      </x:c>
      <x:c r="W14" s="83" t="str">
        <x:v>v7 values moved to Landfowl Quant Raw Archive v7. Do not restore them without checking decimal commas against the primary Table 18.</x:v>
      </x:c>
    </x:row>
    <x:row r="15">
      <x:c r="A15" s="46" t="str">
        <x:v>LANDFOWL-Q-014</x:v>
      </x:c>
      <x:c r="B15" s="46" t="str">
        <x:v>Octanal</x:v>
      </x:c>
      <x:c r="C15" s="46" t="n">
        <x:v>1008</x:v>
      </x:c>
      <x:c r="D15" s="74"/>
      <x:c r="E15" s="74"/>
      <x:c r="F15" s="74"/>
      <x:c r="G15" s="74"/>
      <x:c r="H15" s="46"/>
      <x:c r="I15" s="75"/>
      <x:c r="J15" s="74"/>
      <x:c r="K15" s="74"/>
      <x:c r="L15" s="46"/>
      <x:c r="M15" s="75"/>
      <x:c r="N15" s="74"/>
      <x:c r="O15" s="74"/>
      <x:c r="P15" s="75"/>
      <x:c r="Q15" s="46" t="str">
        <x:v>SRC-LANDFOWL-THESIS-001</x:v>
      </x:c>
      <x:c r="R15" s="46" t="str">
        <x:v>https://d-nb.info/1009589644/34</x:v>
      </x:c>
      <x:c r="S15" s="46" t="str">
        <x:v>Chicken, pheasant, partridge n=4; quail n=2. Dissertation states no statistical test for quail because of low sample size.</x:v>
      </x:c>
      <x:c r="T15" s="46" t="str">
        <x:v>Row-level numeric values withheld pending corrected transcription. The peer-reviewed article's direct qualitative conclusion remains usable: roasted chicken had the highest total concentration in the quantitative comparison.</x:v>
      </x:c>
      <x:c r="U15" s="83" t="str">
        <x:v>quarantined_decimal_retranscription_required</x:v>
      </x:c>
      <x:c r="V15" s="83" t="str">
        <x:v>no</x:v>
      </x:c>
      <x:c r="W15" s="83" t="str">
        <x:v>v7 values moved to Landfowl Quant Raw Archive v7. Do not restore them without checking decimal commas against the primary Table 18.</x:v>
      </x:c>
    </x:row>
    <x:row r="16">
      <x:c r="A16" s="46" t="str">
        <x:v>LANDFOWL-Q-015</x:v>
      </x:c>
      <x:c r="B16" s="46" t="str">
        <x:v>2,4-(E,E)-Heptadienal</x:v>
      </x:c>
      <x:c r="C16" s="46" t="n">
        <x:v>1017</x:v>
      </x:c>
      <x:c r="D16" s="74"/>
      <x:c r="E16" s="74"/>
      <x:c r="F16" s="74"/>
      <x:c r="G16" s="74"/>
      <x:c r="H16" s="46"/>
      <x:c r="I16" s="75"/>
      <x:c r="J16" s="74"/>
      <x:c r="K16" s="74"/>
      <x:c r="L16" s="46"/>
      <x:c r="M16" s="75"/>
      <x:c r="N16" s="74"/>
      <x:c r="O16" s="74"/>
      <x:c r="P16" s="75"/>
      <x:c r="Q16" s="46" t="str">
        <x:v>SRC-LANDFOWL-THESIS-001</x:v>
      </x:c>
      <x:c r="R16" s="46" t="str">
        <x:v>https://d-nb.info/1009589644/34</x:v>
      </x:c>
      <x:c r="S16" s="46" t="str">
        <x:v>Chicken, pheasant, partridge n=4; quail n=2. Dissertation states no statistical test for quail because of low sample size.</x:v>
      </x:c>
      <x:c r="T16" s="46" t="str">
        <x:v>Row-level numeric values withheld pending corrected transcription. The peer-reviewed article's direct qualitative conclusion remains usable: roasted chicken had the highest total concentration in the quantitative comparison.</x:v>
      </x:c>
      <x:c r="U16" s="83" t="str">
        <x:v>quarantined_decimal_retranscription_required</x:v>
      </x:c>
      <x:c r="V16" s="83" t="str">
        <x:v>no</x:v>
      </x:c>
      <x:c r="W16" s="83" t="str">
        <x:v>v7 values moved to Landfowl Quant Raw Archive v7. Do not restore them without checking decimal commas against the primary Table 18.</x:v>
      </x:c>
    </x:row>
    <x:row r="17">
      <x:c r="A17" s="46" t="str">
        <x:v>LANDFOWL-Q-016</x:v>
      </x:c>
      <x:c r="B17" s="46" t="str">
        <x:v>2-Ethyl-1-hexanol</x:v>
      </x:c>
      <x:c r="C17" s="46" t="n">
        <x:v>1031</x:v>
      </x:c>
      <x:c r="D17" s="74"/>
      <x:c r="E17" s="74"/>
      <x:c r="F17" s="74"/>
      <x:c r="G17" s="74"/>
      <x:c r="H17" s="46"/>
      <x:c r="I17" s="75"/>
      <x:c r="J17" s="74"/>
      <x:c r="K17" s="74"/>
      <x:c r="L17" s="46"/>
      <x:c r="M17" s="75"/>
      <x:c r="N17" s="74"/>
      <x:c r="O17" s="74"/>
      <x:c r="P17" s="75"/>
      <x:c r="Q17" s="46" t="str">
        <x:v>SRC-LANDFOWL-THESIS-001</x:v>
      </x:c>
      <x:c r="R17" s="46" t="str">
        <x:v>https://d-nb.info/1009589644/34</x:v>
      </x:c>
      <x:c r="S17" s="46" t="str">
        <x:v>Chicken, pheasant, partridge n=4; quail n=2. Dissertation states no statistical test for quail because of low sample size.</x:v>
      </x:c>
      <x:c r="T17" s="46" t="str">
        <x:v>Row-level numeric values withheld pending corrected transcription. The peer-reviewed article's direct qualitative conclusion remains usable: roasted chicken had the highest total concentration in the quantitative comparison.</x:v>
      </x:c>
      <x:c r="U17" s="83" t="str">
        <x:v>quarantined_decimal_retranscription_required</x:v>
      </x:c>
      <x:c r="V17" s="83" t="str">
        <x:v>no</x:v>
      </x:c>
      <x:c r="W17" s="83" t="str">
        <x:v>v7 values moved to Landfowl Quant Raw Archive v7. Do not restore them without checking decimal commas against the primary Table 18.</x:v>
      </x:c>
    </x:row>
    <x:row r="18">
      <x:c r="A18" s="46" t="str">
        <x:v>LANDFOWL-Q-017</x:v>
      </x:c>
      <x:c r="B18" s="46" t="str">
        <x:v>2-(E)-Octenal</x:v>
      </x:c>
      <x:c r="C18" s="46" t="n">
        <x:v>1065</x:v>
      </x:c>
      <x:c r="D18" s="74"/>
      <x:c r="E18" s="74"/>
      <x:c r="F18" s="74"/>
      <x:c r="G18" s="74"/>
      <x:c r="H18" s="46"/>
      <x:c r="I18" s="75"/>
      <x:c r="J18" s="74"/>
      <x:c r="K18" s="74"/>
      <x:c r="L18" s="46"/>
      <x:c r="M18" s="75"/>
      <x:c r="N18" s="74"/>
      <x:c r="O18" s="74"/>
      <x:c r="P18" s="75"/>
      <x:c r="Q18" s="46" t="str">
        <x:v>SRC-LANDFOWL-THESIS-001</x:v>
      </x:c>
      <x:c r="R18" s="46" t="str">
        <x:v>https://d-nb.info/1009589644/34</x:v>
      </x:c>
      <x:c r="S18" s="46" t="str">
        <x:v>Chicken, pheasant, partridge n=4; quail n=2. Dissertation states no statistical test for quail because of low sample size.</x:v>
      </x:c>
      <x:c r="T18" s="46" t="str">
        <x:v>Row-level numeric values withheld pending corrected transcription. The peer-reviewed article's direct qualitative conclusion remains usable: roasted chicken had the highest total concentration in the quantitative comparison.</x:v>
      </x:c>
      <x:c r="U18" s="83" t="str">
        <x:v>quarantined_decimal_retranscription_required</x:v>
      </x:c>
      <x:c r="V18" s="83" t="str">
        <x:v>no</x:v>
      </x:c>
      <x:c r="W18" s="83" t="str">
        <x:v>v7 values moved to Landfowl Quant Raw Archive v7. Do not restore them without checking decimal commas against the primary Table 18.</x:v>
      </x:c>
    </x:row>
    <x:row r="19">
      <x:c r="A19" s="46" t="str">
        <x:v>LANDFOWL-Q-018</x:v>
      </x:c>
      <x:c r="B19" s="46" t="str">
        <x:v>1-Octanol</x:v>
      </x:c>
      <x:c r="C19" s="46" t="n">
        <x:v>1079</x:v>
      </x:c>
      <x:c r="D19" s="74"/>
      <x:c r="E19" s="74"/>
      <x:c r="F19" s="74"/>
      <x:c r="G19" s="74"/>
      <x:c r="H19" s="46"/>
      <x:c r="I19" s="75"/>
      <x:c r="J19" s="74"/>
      <x:c r="K19" s="74"/>
      <x:c r="L19" s="46"/>
      <x:c r="M19" s="75"/>
      <x:c r="N19" s="74"/>
      <x:c r="O19" s="74"/>
      <x:c r="P19" s="75"/>
      <x:c r="Q19" s="46" t="str">
        <x:v>SRC-LANDFOWL-THESIS-001</x:v>
      </x:c>
      <x:c r="R19" s="46" t="str">
        <x:v>https://d-nb.info/1009589644/34</x:v>
      </x:c>
      <x:c r="S19" s="46" t="str">
        <x:v>Chicken, pheasant, partridge n=4; quail n=2. Dissertation states no statistical test for quail because of low sample size.</x:v>
      </x:c>
      <x:c r="T19" s="46" t="str">
        <x:v>Row-level numeric values withheld pending corrected transcription. The peer-reviewed article's direct qualitative conclusion remains usable: roasted chicken had the highest total concentration in the quantitative comparison.</x:v>
      </x:c>
      <x:c r="U19" s="83" t="str">
        <x:v>quarantined_decimal_retranscription_required</x:v>
      </x:c>
      <x:c r="V19" s="83" t="str">
        <x:v>no</x:v>
      </x:c>
      <x:c r="W19" s="83" t="str">
        <x:v>v7 values moved to Landfowl Quant Raw Archive v7. Do not restore them without checking decimal commas against the primary Table 18.</x:v>
      </x:c>
    </x:row>
    <x:row r="20">
      <x:c r="A20" s="46" t="str">
        <x:v>LANDFOWL-Q-019</x:v>
      </x:c>
      <x:c r="B20" s="46" t="str">
        <x:v>2-Nonanon</x:v>
      </x:c>
      <x:c r="C20" s="46" t="n">
        <x:v>1095</x:v>
      </x:c>
      <x:c r="D20" s="74"/>
      <x:c r="E20" s="74"/>
      <x:c r="F20" s="74"/>
      <x:c r="G20" s="74"/>
      <x:c r="H20" s="46"/>
      <x:c r="I20" s="75"/>
      <x:c r="J20" s="74"/>
      <x:c r="K20" s="74"/>
      <x:c r="L20" s="46"/>
      <x:c r="M20" s="75"/>
      <x:c r="N20" s="74"/>
      <x:c r="O20" s="74"/>
      <x:c r="P20" s="75"/>
      <x:c r="Q20" s="46" t="str">
        <x:v>SRC-LANDFOWL-THESIS-001</x:v>
      </x:c>
      <x:c r="R20" s="46" t="str">
        <x:v>https://d-nb.info/1009589644/34</x:v>
      </x:c>
      <x:c r="S20" s="46" t="str">
        <x:v>Chicken, pheasant, partridge n=4; quail n=2. Dissertation states no statistical test for quail because of low sample size.</x:v>
      </x:c>
      <x:c r="T20" s="46" t="str">
        <x:v>Row-level numeric values withheld pending corrected transcription. The peer-reviewed article's direct qualitative conclusion remains usable: roasted chicken had the highest total concentration in the quantitative comparison.</x:v>
      </x:c>
      <x:c r="U20" s="83" t="str">
        <x:v>quarantined_decimal_retranscription_required</x:v>
      </x:c>
      <x:c r="V20" s="83" t="str">
        <x:v>no</x:v>
      </x:c>
      <x:c r="W20" s="83" t="str">
        <x:v>v7 values moved to Landfowl Quant Raw Archive v7. Do not restore them without checking decimal commas against the primary Table 18.</x:v>
      </x:c>
    </x:row>
    <x:row r="21">
      <x:c r="A21" s="46" t="str">
        <x:v>LANDFOWL-Q-020</x:v>
      </x:c>
      <x:c r="B21" s="46" t="str">
        <x:v>Undecan</x:v>
      </x:c>
      <x:c r="C21" s="46" t="n">
        <x:v>1100</x:v>
      </x:c>
      <x:c r="D21" s="74"/>
      <x:c r="E21" s="74"/>
      <x:c r="F21" s="74"/>
      <x:c r="G21" s="74"/>
      <x:c r="H21" s="46"/>
      <x:c r="I21" s="75"/>
      <x:c r="J21" s="74"/>
      <x:c r="K21" s="74"/>
      <x:c r="L21" s="46"/>
      <x:c r="M21" s="75"/>
      <x:c r="N21" s="74"/>
      <x:c r="O21" s="74"/>
      <x:c r="P21" s="75"/>
      <x:c r="Q21" s="46" t="str">
        <x:v>SRC-LANDFOWL-THESIS-001</x:v>
      </x:c>
      <x:c r="R21" s="46" t="str">
        <x:v>https://d-nb.info/1009589644/34</x:v>
      </x:c>
      <x:c r="S21" s="46" t="str">
        <x:v>Chicken, pheasant, partridge n=4; quail n=2. Dissertation states no statistical test for quail because of low sample size.</x:v>
      </x:c>
      <x:c r="T21" s="46" t="str">
        <x:v>Row-level numeric values withheld pending corrected transcription. The peer-reviewed article's direct qualitative conclusion remains usable: roasted chicken had the highest total concentration in the quantitative comparison.</x:v>
      </x:c>
      <x:c r="U21" s="83" t="str">
        <x:v>quarantined_decimal_retranscription_required</x:v>
      </x:c>
      <x:c r="V21" s="83" t="str">
        <x:v>no</x:v>
      </x:c>
      <x:c r="W21" s="83" t="str">
        <x:v>v7 values moved to Landfowl Quant Raw Archive v7. Do not restore them without checking decimal commas against the primary Table 18.</x:v>
      </x:c>
    </x:row>
    <x:row r="22">
      <x:c r="A22" s="46" t="str">
        <x:v>LANDFOWL-Q-021</x:v>
      </x:c>
      <x:c r="B22" s="46" t="str">
        <x:v>Nonanal</x:v>
      </x:c>
      <x:c r="C22" s="46" t="n">
        <x:v>1113</x:v>
      </x:c>
      <x:c r="D22" s="74"/>
      <x:c r="E22" s="74"/>
      <x:c r="F22" s="74"/>
      <x:c r="G22" s="74"/>
      <x:c r="H22" s="46"/>
      <x:c r="I22" s="75"/>
      <x:c r="J22" s="74"/>
      <x:c r="K22" s="74"/>
      <x:c r="L22" s="46"/>
      <x:c r="M22" s="75"/>
      <x:c r="N22" s="74"/>
      <x:c r="O22" s="74"/>
      <x:c r="P22" s="75"/>
      <x:c r="Q22" s="46" t="str">
        <x:v>SRC-LANDFOWL-THESIS-001</x:v>
      </x:c>
      <x:c r="R22" s="46" t="str">
        <x:v>https://d-nb.info/1009589644/34</x:v>
      </x:c>
      <x:c r="S22" s="46" t="str">
        <x:v>Chicken, pheasant, partridge n=4; quail n=2. Dissertation states no statistical test for quail because of low sample size.</x:v>
      </x:c>
      <x:c r="T22" s="46" t="str">
        <x:v>Row-level numeric values withheld pending corrected transcription. The peer-reviewed article's direct qualitative conclusion remains usable: roasted chicken had the highest total concentration in the quantitative comparison.</x:v>
      </x:c>
      <x:c r="U22" s="83" t="str">
        <x:v>quarantined_decimal_retranscription_required</x:v>
      </x:c>
      <x:c r="V22" s="83" t="str">
        <x:v>no</x:v>
      </x:c>
      <x:c r="W22" s="83" t="str">
        <x:v>v7 values moved to Landfowl Quant Raw Archive v7. Do not restore them without checking decimal commas against the primary Table 18.</x:v>
      </x:c>
    </x:row>
    <x:row r="23">
      <x:c r="A23" s="46" t="str">
        <x:v>LANDFOWL-Q-022</x:v>
      </x:c>
      <x:c r="B23" s="46" t="str">
        <x:v>2-(E)-Nonenal</x:v>
      </x:c>
      <x:c r="C23" s="46" t="n">
        <x:v>1166</x:v>
      </x:c>
      <x:c r="D23" s="74"/>
      <x:c r="E23" s="74"/>
      <x:c r="F23" s="74"/>
      <x:c r="G23" s="74"/>
      <x:c r="H23" s="46"/>
      <x:c r="I23" s="75"/>
      <x:c r="J23" s="74"/>
      <x:c r="K23" s="74"/>
      <x:c r="L23" s="46"/>
      <x:c r="M23" s="75"/>
      <x:c r="N23" s="74"/>
      <x:c r="O23" s="74"/>
      <x:c r="P23" s="75"/>
      <x:c r="Q23" s="46" t="str">
        <x:v>SRC-LANDFOWL-THESIS-001</x:v>
      </x:c>
      <x:c r="R23" s="46" t="str">
        <x:v>https://d-nb.info/1009589644/34</x:v>
      </x:c>
      <x:c r="S23" s="46" t="str">
        <x:v>Chicken, pheasant, partridge n=4; quail n=2. Dissertation states no statistical test for quail because of low sample size.</x:v>
      </x:c>
      <x:c r="T23" s="46" t="str">
        <x:v>Row-level numeric values withheld pending corrected transcription. The peer-reviewed article's direct qualitative conclusion remains usable: roasted chicken had the highest total concentration in the quantitative comparison.</x:v>
      </x:c>
      <x:c r="U23" s="83" t="str">
        <x:v>quarantined_decimal_retranscription_required</x:v>
      </x:c>
      <x:c r="V23" s="83" t="str">
        <x:v>no</x:v>
      </x:c>
      <x:c r="W23" s="83" t="str">
        <x:v>v7 values moved to Landfowl Quant Raw Archive v7. Do not restore them without checking decimal commas against the primary Table 18.</x:v>
      </x:c>
    </x:row>
    <x:row r="24">
      <x:c r="A24" s="46" t="str">
        <x:v>LANDFOWL-Q-023</x:v>
      </x:c>
      <x:c r="B24" s="46" t="str">
        <x:v>2-Decanon</x:v>
      </x:c>
      <x:c r="C24" s="46" t="n">
        <x:v>1196</x:v>
      </x:c>
      <x:c r="D24" s="74"/>
      <x:c r="E24" s="74"/>
      <x:c r="F24" s="74"/>
      <x:c r="G24" s="74"/>
      <x:c r="H24" s="46"/>
      <x:c r="I24" s="75"/>
      <x:c r="J24" s="74"/>
      <x:c r="K24" s="74"/>
      <x:c r="L24" s="46"/>
      <x:c r="M24" s="75"/>
      <x:c r="N24" s="74"/>
      <x:c r="O24" s="74"/>
      <x:c r="P24" s="75"/>
      <x:c r="Q24" s="46" t="str">
        <x:v>SRC-LANDFOWL-THESIS-001</x:v>
      </x:c>
      <x:c r="R24" s="46" t="str">
        <x:v>https://d-nb.info/1009589644/34</x:v>
      </x:c>
      <x:c r="S24" s="46" t="str">
        <x:v>Chicken, pheasant, partridge n=4; quail n=2. Dissertation states no statistical test for quail because of low sample size.</x:v>
      </x:c>
      <x:c r="T24" s="46" t="str">
        <x:v>Row-level numeric values withheld pending corrected transcription. The peer-reviewed article's direct qualitative conclusion remains usable: roasted chicken had the highest total concentration in the quantitative comparison.</x:v>
      </x:c>
      <x:c r="U24" s="83" t="str">
        <x:v>quarantined_decimal_retranscription_required</x:v>
      </x:c>
      <x:c r="V24" s="83" t="str">
        <x:v>no</x:v>
      </x:c>
      <x:c r="W24" s="83" t="str">
        <x:v>v7 values moved to Landfowl Quant Raw Archive v7. Do not restore them without checking decimal commas against the primary Table 18.</x:v>
      </x:c>
    </x:row>
    <x:row r="25">
      <x:c r="A25" s="46" t="str">
        <x:v>LANDFOWL-Q-024</x:v>
      </x:c>
      <x:c r="B25" s="46" t="str">
        <x:v>Dodecan</x:v>
      </x:c>
      <x:c r="C25" s="46" t="n">
        <x:v>1200</x:v>
      </x:c>
      <x:c r="D25" s="74"/>
      <x:c r="E25" s="74"/>
      <x:c r="F25" s="74"/>
      <x:c r="G25" s="74"/>
      <x:c r="H25" s="46"/>
      <x:c r="I25" s="75"/>
      <x:c r="J25" s="74"/>
      <x:c r="K25" s="74"/>
      <x:c r="L25" s="46"/>
      <x:c r="M25" s="75"/>
      <x:c r="N25" s="74"/>
      <x:c r="O25" s="74"/>
      <x:c r="P25" s="75"/>
      <x:c r="Q25" s="46" t="str">
        <x:v>SRC-LANDFOWL-THESIS-001</x:v>
      </x:c>
      <x:c r="R25" s="46" t="str">
        <x:v>https://d-nb.info/1009589644/34</x:v>
      </x:c>
      <x:c r="S25" s="46" t="str">
        <x:v>Chicken, pheasant, partridge n=4; quail n=2. Dissertation states no statistical test for quail because of low sample size.</x:v>
      </x:c>
      <x:c r="T25" s="46" t="str">
        <x:v>Row-level numeric values withheld pending corrected transcription. The peer-reviewed article's direct qualitative conclusion remains usable: roasted chicken had the highest total concentration in the quantitative comparison.</x:v>
      </x:c>
      <x:c r="U25" s="83" t="str">
        <x:v>quarantined_decimal_retranscription_required</x:v>
      </x:c>
      <x:c r="V25" s="83" t="str">
        <x:v>no</x:v>
      </x:c>
      <x:c r="W25" s="83" t="str">
        <x:v>v7 values moved to Landfowl Quant Raw Archive v7. Do not restore them without checking decimal commas against the primary Table 18.</x:v>
      </x:c>
    </x:row>
    <x:row r="26">
      <x:c r="A26" s="46" t="str">
        <x:v>LANDFOWL-Q-025</x:v>
      </x:c>
      <x:c r="B26" s="46" t="str">
        <x:v>Decanal</x:v>
      </x:c>
      <x:c r="C26" s="46" t="n">
        <x:v>1210</x:v>
      </x:c>
      <x:c r="D26" s="74"/>
      <x:c r="E26" s="74"/>
      <x:c r="F26" s="74"/>
      <x:c r="G26" s="74"/>
      <x:c r="H26" s="46"/>
      <x:c r="I26" s="75"/>
      <x:c r="J26" s="74"/>
      <x:c r="K26" s="74"/>
      <x:c r="L26" s="46"/>
      <x:c r="M26" s="75"/>
      <x:c r="N26" s="74"/>
      <x:c r="O26" s="74"/>
      <x:c r="P26" s="75"/>
      <x:c r="Q26" s="46" t="str">
        <x:v>SRC-LANDFOWL-THESIS-001</x:v>
      </x:c>
      <x:c r="R26" s="46" t="str">
        <x:v>https://d-nb.info/1009589644/34</x:v>
      </x:c>
      <x:c r="S26" s="46" t="str">
        <x:v>Chicken, pheasant, partridge n=4; quail n=2. Dissertation states no statistical test for quail because of low sample size.</x:v>
      </x:c>
      <x:c r="T26" s="46" t="str">
        <x:v>Row-level numeric values withheld pending corrected transcription. The peer-reviewed article's direct qualitative conclusion remains usable: roasted chicken had the highest total concentration in the quantitative comparison.</x:v>
      </x:c>
      <x:c r="U26" s="83" t="str">
        <x:v>quarantined_decimal_retranscription_required</x:v>
      </x:c>
      <x:c r="V26" s="83" t="str">
        <x:v>no</x:v>
      </x:c>
      <x:c r="W26" s="83" t="str">
        <x:v>v7 values moved to Landfowl Quant Raw Archive v7. Do not restore them without checking decimal commas against the primary Table 18.</x:v>
      </x:c>
    </x:row>
    <x:row r="27">
      <x:c r="A27" s="46" t="str">
        <x:v>LANDFOWL-Q-026</x:v>
      </x:c>
      <x:c r="B27" s="46" t="str">
        <x:v>2,4-(E,E)-Nonadienal</x:v>
      </x:c>
      <x:c r="C27" s="46" t="n">
        <x:v>1221</x:v>
      </x:c>
      <x:c r="D27" s="74"/>
      <x:c r="E27" s="74"/>
      <x:c r="F27" s="74"/>
      <x:c r="G27" s="74"/>
      <x:c r="H27" s="46"/>
      <x:c r="I27" s="75"/>
      <x:c r="J27" s="74"/>
      <x:c r="K27" s="74"/>
      <x:c r="L27" s="46"/>
      <x:c r="M27" s="75"/>
      <x:c r="N27" s="74"/>
      <x:c r="O27" s="74"/>
      <x:c r="P27" s="75"/>
      <x:c r="Q27" s="46" t="str">
        <x:v>SRC-LANDFOWL-THESIS-001</x:v>
      </x:c>
      <x:c r="R27" s="46" t="str">
        <x:v>https://d-nb.info/1009589644/34</x:v>
      </x:c>
      <x:c r="S27" s="46" t="str">
        <x:v>Chicken, pheasant, partridge n=4; quail n=2. Dissertation states no statistical test for quail because of low sample size.</x:v>
      </x:c>
      <x:c r="T27" s="46" t="str">
        <x:v>Row-level numeric values withheld pending corrected transcription. The peer-reviewed article's direct qualitative conclusion remains usable: roasted chicken had the highest total concentration in the quantitative comparison.</x:v>
      </x:c>
      <x:c r="U27" s="83" t="str">
        <x:v>quarantined_decimal_retranscription_required</x:v>
      </x:c>
      <x:c r="V27" s="83" t="str">
        <x:v>no</x:v>
      </x:c>
      <x:c r="W27" s="83" t="str">
        <x:v>v7 values moved to Landfowl Quant Raw Archive v7. Do not restore them without checking decimal commas against the primary Table 18.</x:v>
      </x:c>
    </x:row>
    <x:row r="28">
      <x:c r="A28" s="46" t="str">
        <x:v>LANDFOWL-Q-027</x:v>
      </x:c>
      <x:c r="B28" s="46" t="str">
        <x:v>2-(E)-Decenal</x:v>
      </x:c>
      <x:c r="C28" s="46" t="n">
        <x:v>1270</x:v>
      </x:c>
      <x:c r="D28" s="74"/>
      <x:c r="E28" s="74"/>
      <x:c r="F28" s="74"/>
      <x:c r="G28" s="74"/>
      <x:c r="H28" s="46"/>
      <x:c r="I28" s="75"/>
      <x:c r="J28" s="74"/>
      <x:c r="K28" s="74"/>
      <x:c r="L28" s="46"/>
      <x:c r="M28" s="75"/>
      <x:c r="N28" s="74"/>
      <x:c r="O28" s="74"/>
      <x:c r="P28" s="75"/>
      <x:c r="Q28" s="46" t="str">
        <x:v>SRC-LANDFOWL-THESIS-001</x:v>
      </x:c>
      <x:c r="R28" s="46" t="str">
        <x:v>https://d-nb.info/1009589644/34</x:v>
      </x:c>
      <x:c r="S28" s="46" t="str">
        <x:v>Chicken, pheasant, partridge n=4; quail n=2. Dissertation states no statistical test for quail because of low sample size.</x:v>
      </x:c>
      <x:c r="T28" s="46" t="str">
        <x:v>Row-level numeric values withheld pending corrected transcription. The peer-reviewed article's direct qualitative conclusion remains usable: roasted chicken had the highest total concentration in the quantitative comparison.</x:v>
      </x:c>
      <x:c r="U28" s="83" t="str">
        <x:v>quarantined_decimal_retranscription_required</x:v>
      </x:c>
      <x:c r="V28" s="83" t="str">
        <x:v>no</x:v>
      </x:c>
      <x:c r="W28" s="83" t="str">
        <x:v>v7 values moved to Landfowl Quant Raw Archive v7. Do not restore them without checking decimal commas against the primary Table 18.</x:v>
      </x:c>
    </x:row>
    <x:row r="29">
      <x:c r="A29" s="46" t="str">
        <x:v>LANDFOWL-Q-028</x:v>
      </x:c>
      <x:c r="B29" s="46" t="str">
        <x:v>2,4-(E,E)-Decadienal</x:v>
      </x:c>
      <x:c r="C29" s="46" t="n">
        <x:v>1301</x:v>
      </x:c>
      <x:c r="D29" s="74"/>
      <x:c r="E29" s="74"/>
      <x:c r="F29" s="74"/>
      <x:c r="G29" s="74"/>
      <x:c r="H29" s="46"/>
      <x:c r="I29" s="75"/>
      <x:c r="J29" s="74"/>
      <x:c r="K29" s="74"/>
      <x:c r="L29" s="46"/>
      <x:c r="M29" s="75"/>
      <x:c r="N29" s="74"/>
      <x:c r="O29" s="74"/>
      <x:c r="P29" s="75"/>
      <x:c r="Q29" s="46" t="str">
        <x:v>SRC-LANDFOWL-THESIS-001</x:v>
      </x:c>
      <x:c r="R29" s="46" t="str">
        <x:v>https://d-nb.info/1009589644/34</x:v>
      </x:c>
      <x:c r="S29" s="46" t="str">
        <x:v>Chicken, pheasant, partridge n=4; quail n=2. Dissertation states no statistical test for quail because of low sample size.</x:v>
      </x:c>
      <x:c r="T29" s="46" t="str">
        <x:v>Row-level numeric values withheld pending corrected transcription. The peer-reviewed article's direct qualitative conclusion remains usable: roasted chicken had the highest total concentration in the quantitative comparison.</x:v>
      </x:c>
      <x:c r="U29" s="83" t="str">
        <x:v>quarantined_decimal_retranscription_required</x:v>
      </x:c>
      <x:c r="V29" s="83" t="str">
        <x:v>no</x:v>
      </x:c>
      <x:c r="W29" s="83" t="str">
        <x:v>v7 values moved to Landfowl Quant Raw Archive v7. Do not restore them without checking decimal commas against the primary Table 18.</x:v>
      </x:c>
    </x:row>
    <x:row r="30">
      <x:c r="A30" s="46" t="str">
        <x:v>LANDFOWL-Q-029</x:v>
      </x:c>
      <x:c r="B30" s="46" t="str">
        <x:v>2,4-(E,Z)-Decadienal</x:v>
      </x:c>
      <x:c r="C30" s="46" t="n">
        <x:v>1327</x:v>
      </x:c>
      <x:c r="D30" s="74"/>
      <x:c r="E30" s="74"/>
      <x:c r="F30" s="74"/>
      <x:c r="G30" s="74"/>
      <x:c r="H30" s="46"/>
      <x:c r="I30" s="75"/>
      <x:c r="J30" s="74"/>
      <x:c r="K30" s="74"/>
      <x:c r="L30" s="46"/>
      <x:c r="M30" s="75"/>
      <x:c r="N30" s="74"/>
      <x:c r="O30" s="74"/>
      <x:c r="P30" s="75"/>
      <x:c r="Q30" s="46" t="str">
        <x:v>SRC-LANDFOWL-THESIS-001</x:v>
      </x:c>
      <x:c r="R30" s="46" t="str">
        <x:v>https://d-nb.info/1009589644/34</x:v>
      </x:c>
      <x:c r="S30" s="46" t="str">
        <x:v>Chicken, pheasant, partridge n=4; quail n=2. Dissertation states no statistical test for quail because of low sample size.</x:v>
      </x:c>
      <x:c r="T30" s="46" t="str">
        <x:v>Row-level numeric values withheld pending corrected transcription. The peer-reviewed article's direct qualitative conclusion remains usable: roasted chicken had the highest total concentration in the quantitative comparison.</x:v>
      </x:c>
      <x:c r="U30" s="83" t="str">
        <x:v>quarantined_decimal_retranscription_required</x:v>
      </x:c>
      <x:c r="V30" s="83" t="str">
        <x:v>no</x:v>
      </x:c>
      <x:c r="W30" s="83" t="str">
        <x:v>v7 values moved to Landfowl Quant Raw Archive v7. Do not restore them without checking decimal commas against the primary Table 18.</x:v>
      </x:c>
    </x:row>
    <x:row r="31">
      <x:c r="A31" s="46" t="str">
        <x:v>LANDFOWL-Q-030</x:v>
      </x:c>
      <x:c r="B31" s="46" t="str">
        <x:v>2-(E)-Undecenal</x:v>
      </x:c>
      <x:c r="C31" s="46" t="n">
        <x:v>1372</x:v>
      </x:c>
      <x:c r="D31" s="74"/>
      <x:c r="E31" s="74"/>
      <x:c r="F31" s="74"/>
      <x:c r="G31" s="74"/>
      <x:c r="H31" s="46"/>
      <x:c r="I31" s="75"/>
      <x:c r="J31" s="74"/>
      <x:c r="K31" s="74"/>
      <x:c r="L31" s="46"/>
      <x:c r="M31" s="75"/>
      <x:c r="N31" s="74"/>
      <x:c r="O31" s="74"/>
      <x:c r="P31" s="75"/>
      <x:c r="Q31" s="46" t="str">
        <x:v>SRC-LANDFOWL-THESIS-001</x:v>
      </x:c>
      <x:c r="R31" s="46" t="str">
        <x:v>https://d-nb.info/1009589644/34</x:v>
      </x:c>
      <x:c r="S31" s="46" t="str">
        <x:v>Chicken, pheasant, partridge n=4; quail n=2. Dissertation states no statistical test for quail because of low sample size.</x:v>
      </x:c>
      <x:c r="T31" s="46" t="str">
        <x:v>Row-level numeric values withheld pending corrected transcription. The peer-reviewed article's direct qualitative conclusion remains usable: roasted chicken had the highest total concentration in the quantitative comparison.</x:v>
      </x:c>
      <x:c r="U31" s="83" t="str">
        <x:v>quarantined_decimal_retranscription_required</x:v>
      </x:c>
      <x:c r="V31" s="83" t="str">
        <x:v>no</x:v>
      </x:c>
      <x:c r="W31" s="83" t="str">
        <x:v>v7 values moved to Landfowl Quant Raw Archive v7. Do not restore them without checking decimal commas against the primary Table 18.</x:v>
      </x:c>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14" hidden="0" customWidth="1"/>
    <x:col min="3" max="3" width="28" hidden="0" customWidth="1"/>
    <x:col min="4" max="4" width="64" hidden="0" customWidth="1"/>
    <x:col min="5" max="5" width="58" hidden="0" customWidth="1"/>
    <x:col min="6" max="6" width="58" hidden="0" customWidth="1"/>
    <x:col min="7" max="7" width="58" hidden="0" customWidth="1"/>
    <x:col min="8" max="8" width="48" hidden="0" customWidth="1"/>
  </x:cols>
  <x:sheetData>
    <x:row r="1" ht="36" customHeight="1">
      <x:c r="A1" s="73" t="str">
        <x:v>pattern_id</x:v>
      </x:c>
      <x:c r="B1" s="73" t="str">
        <x:v>status</x:v>
      </x:c>
      <x:c r="C1" s="73" t="str">
        <x:v>domain</x:v>
      </x:c>
      <x:c r="D1" s="73" t="str">
        <x:v>approved_pattern</x:v>
      </x:c>
      <x:c r="E1" s="73" t="str">
        <x:v>direct_evidence</x:v>
      </x:c>
      <x:c r="F1" s="73" t="str">
        <x:v>operational_use</x:v>
      </x:c>
      <x:c r="G1" s="73" t="str">
        <x:v>boundary</x:v>
      </x:c>
      <x:c r="H1" s="73" t="str">
        <x:v>source_refs</x:v>
      </x:c>
    </x:row>
    <x:row r="2">
      <x:c r="A2" s="46" t="str">
        <x:v>AP-AVIAN-001</x:v>
      </x:c>
      <x:c r="B2" s="76" t="str">
        <x:v>approved</x:v>
      </x:c>
      <x:c r="C2" s="46" t="str">
        <x:v>roasted landfowl shared base</x:v>
      </x:c>
      <x:c r="D2" s="46" t="str">
        <x:v>Roasted chicken, pheasant, partridge and quail share a large common volatile base: 38 Table-17 compounds occur in all four species.</x:v>
      </x:c>
      <x:c r="E2" s="46" t="str">
        <x:v>Direct Table 17 occurrence matrix; journal article also reports 38 shared compounds.</x:v>
      </x:c>
      <x:c r="F2" s="46" t="str">
        <x:v>Use the 38-compound set as a cluster research/reference base, then overlay member-specific quantitative/importance deltas.</x:v>
      </x:c>
      <x:c r="G2" s="46" t="str">
        <x:v>Shared occurrence does not mean equal abundance or equal sensory importance; not automatic family inheritance.</x:v>
      </x:c>
      <x:c r="H2" s="46" t="str">
        <x:v>SRC-LANDFOWL-THESIS-001; SRC-LANDFOWL-COMP-001</x:v>
      </x:c>
    </x:row>
    <x:row r="3">
      <x:c r="A3" s="46" t="str">
        <x:v>AP-AVIAN-002</x:v>
      </x:c>
      <x:c r="B3" s="76" t="str">
        <x:v>approved</x:v>
      </x:c>
      <x:c r="C3" s="46" t="str">
        <x:v>species differentiation</x:v>
      </x:c>
      <x:c r="D3" s="46" t="str">
        <x:v>For roasted landfowl, characteristic species aroma is driven primarily by composition and relative amounts of largely shared compounds rather than a single species-defining character-impact molecule.</x:v>
      </x:c>
      <x:c r="E3" s="46" t="str">
        <x:v>Direct GC-MS/GC-O comparative conclusion plus Table 18 quantitative differences.</x:v>
      </x:c>
      <x:c r="F3" s="46" t="str">
        <x:v>Prioritize abundance, OAV/odor importance and source-specific weighting over binary presence/absence.</x:v>
      </x:c>
      <x:c r="G3" s="46" t="str">
        <x:v>Unique detections remain useful member deltas and should not be discarded.</x:v>
      </x:c>
      <x:c r="H3" s="46" t="str">
        <x:v>SRC-LANDFOWL-THESIS-001; SRC-LANDFOWL-COMP-001</x:v>
      </x:c>
    </x:row>
    <x:row r="4">
      <x:c r="A4" s="46" t="str">
        <x:v>AP-AVIAN-003</x:v>
      </x:c>
      <x:c r="B4" s="83" t="str">
        <x:v>retracted_source_transcription_error</x:v>
      </x:c>
      <x:c r="C4" s="83" t="str">
        <x:v>pheasant trend — corrected</x:v>
      </x:c>
      <x:c r="D4" s="83" t="str">
        <x:v>The v7 'pheasant abundance-heavy' conclusion is withdrawn because Table-18 decimal commas were lost in transcription. No row-level pheasant/chicken magnitude rule is currently active.</x:v>
      </x:c>
      <x:c r="E4" s="83" t="str">
        <x:v>Source-validation correction plus the journal article's direct statement that quantitative GC/MS of the most intense peaks showed the highest total concentration in roasted chicken.</x:v>
      </x:c>
      <x:c r="F4" s="83" t="str">
        <x:v>Do not apply pheasant abundance multipliers. Preserve species differentiation through occurrence/composition until Table 18 is re-transcribed correctly.</x:v>
      </x:c>
      <x:c r="G4" s="83" t="str">
        <x:v>Founder approval of the original hypothesis does not override corrected source evidence.</x:v>
      </x:c>
      <x:c r="H4" s="83" t="str">
        <x:v>SRC-LANDFOWL-THESIS-001; SRC-LANDFOWL-COMP-001</x:v>
      </x:c>
    </x:row>
    <x:row r="5">
      <x:c r="A5" s="46" t="str">
        <x:v>AP-AVIAN-004</x:v>
      </x:c>
      <x:c r="B5" s="76" t="str">
        <x:v>approved</x:v>
      </x:c>
      <x:c r="C5" s="46" t="str">
        <x:v>wild landfowl thermal chemistry</x:v>
      </x:c>
      <x:c r="D5" s="46" t="str">
        <x:v>Wild landfowl show greater participation of selected furans, pyrazines/pyridines and other heterocycles than the domestic chicken in this roasted comparison; 2-pentylfuran was detected in all three wild birds and absent from chicken.</x:v>
      </x:c>
      <x:c r="E5" s="46" t="str">
        <x:v>Table 17 and the dissertation's compound-class discussion.</x:v>
      </x:c>
      <x:c r="F5" s="46" t="str">
        <x:v>Use as a research trend when looking for 'game-bird' roast deltas.</x:v>
      </x:c>
      <x:c r="G5" s="46" t="str">
        <x:v>This is source-specific to pheasant/partridge/quail vs the studied chicken and is not a universal game-bird rule.</x:v>
      </x:c>
      <x:c r="H5" s="46" t="str">
        <x:v>SRC-LANDFOWL-THESIS-001</x:v>
      </x:c>
    </x:row>
    <x:row r="6">
      <x:c r="A6" s="46" t="str">
        <x:v>AP-AVIAN-005</x:v>
      </x:c>
      <x:c r="B6" s="76" t="str">
        <x:v>approved</x:v>
      </x:c>
      <x:c r="C6" s="46" t="str">
        <x:v>avian chemistry taxonomy</x:v>
      </x:c>
      <x:c r="D6" s="46" t="str">
        <x:v>Use chemistry_parent=avian with culinary subclasses layered beneath it where useful; preserve waterfowl, landfowl/game-bird and pigeon/squab as distinct culinary/display groups.</x:v>
      </x:c>
      <x:c r="E6" s="46" t="str">
        <x:v>Approved FV-BIRD-005 supported by direct landfowl, waterfowl and pigeon evidence.</x:v>
      </x:c>
      <x:c r="F6" s="46" t="str">
        <x:v>Allows shared chemical inheritance/research structures to cross culinary labels without changing user-facing taxonomy.</x:v>
      </x:c>
      <x:c r="G6" s="46" t="str">
        <x:v>Raw-state universality remains weaker than roasted-state evidence.</x:v>
      </x:c>
      <x:c r="H6" s="46" t="str">
        <x:v>FV-BIRD-005; SRC-LANDFOWL-COMP-001; SRC-WATERFOWL-COMP-001; SRC-PIGEON-ROAST-001</x:v>
      </x:c>
    </x:row>
    <x:row r="7">
      <x:c r="A7" s="86" t="str">
        <x:v>AP-AVIAN-006</x:v>
      </x:c>
      <x:c r="B7" s="86" t="str">
        <x:v>approved</x:v>
      </x:c>
      <x:c r="C7" s="86" t="str">
        <x:v>quantitative landfowl correction</x:v>
      </x:c>
      <x:c r="D7" s="86" t="str">
        <x:v>The peer-reviewed landfowl comparison reports that quantitative GC/MS of the most intense aroma peaks produced the highest total concentration in roasted chicken; species character still arises from composition, not a single character-impact compound.</x:v>
      </x:c>
      <x:c r="E7" s="86" t="str">
        <x:v>Direct journal article summary; row-level Table-18 values remain quarantined until decimal-preserving retranscription.</x:v>
      </x:c>
      <x:c r="F7" s="86" t="str">
        <x:v>Use article-level conclusion only. Do not infer per-compound weighting magnitudes from v7.</x:v>
      </x:c>
      <x:c r="G7" s="86" t="str">
        <x:v>Total concentration is not identical to sensory dominance, and individual compound ratios remain unavailable until correction.</x:v>
      </x:c>
      <x:c r="H7" s="86" t="str">
        <x:v>SRC-LANDFOWL-COMP-001</x:v>
      </x:c>
    </x:row>
    <x:row r="8">
      <x:c r="A8" s="95" t="str">
        <x:v>AP-AVIAN-007</x:v>
      </x:c>
      <x:c r="B8" s="95" t="str">
        <x:v>approved</x:v>
      </x:c>
      <x:c r="C8" s="95" t="str">
        <x:v>pigeon/squab native-core validation</x:v>
      </x:c>
      <x:c r="D8" s="95" t="str">
        <x:v>For pigeon/squab, finished-dish aroma should explicitly separate native meat-derived meaty/fatty compounds from process/condiment/spice-derived compounds.</x:v>
      </x:c>
      <x:c r="E8" s="95" t="str">
        <x:v>2026 braised-squab molecular sensory study attributes methional, 1-octen-3-ol, hexanal, phenylacetaldehyde and 2-pentylfuran mainly to raw squab, while named roasty/caramel/spice compounds arise from recipe/process inputs.</x:v>
      </x:c>
      <x:c r="F8" s="95" t="str">
        <x:v>Use compound origin_role in runtime scoring/explanation; prevent introduced spice compounds from becoming species-core inheritance.</x:v>
      </x:c>
      <x:c r="G8" s="95" t="str">
        <x:v>Source attribution comes from braised-dish omission/source models, not a direct raw profile.</x:v>
      </x:c>
      <x:c r="H8" s="95" t="str">
        <x:v>SRC-SQUAB-BRAISE-001; AP-AVIAN-005</x:v>
      </x:c>
    </x:row>
    <x:row r="9">
      <x:c r="A9" s="95" t="str">
        <x:v>AP-AVIAN-008</x:v>
      </x:c>
      <x:c r="B9" s="95" t="str">
        <x:v>approved</x:v>
      </x:c>
      <x:c r="C9" s="95" t="str">
        <x:v>pigeon technique sensitivity</x:v>
      </x:c>
      <x:c r="D9" s="95" t="str">
        <x:v>Pigeon processing states should remain distinct even when compound tables are incomplete: boiling, roasting and frying produce measurably separable odor-response profiles.</x:v>
      </x:c>
      <x:c r="E9" s="95" t="str">
        <x:v>Direct 2026 Shiqi pigeon processing comparison; roasted and fried treatments show stronger/more complex odor responses than boiled treatment.</x:v>
      </x:c>
      <x:c r="F9" s="95" t="str">
        <x:v>Permit state differentiation in product/form architecture without inventing compound rows.</x:v>
      </x:c>
      <x:c r="G9" s="95" t="str">
        <x:v>Electronic-nose/state-level evidence does not establish individual volatile identities.</x:v>
      </x:c>
      <x:c r="H9" s="95" t="str">
        <x:v>SRC-PIGEON-PROCESS-001</x:v>
      </x:c>
    </x:row>
    <x:row r="10">
      <x:c r="A10" s="102" t="str">
        <x:v>AP-AVIAN-009</x:v>
      </x:c>
      <x:c r="B10" s="102" t="str">
        <x:v>approved</x:v>
      </x:c>
      <x:c r="C10" s="102" t="str">
        <x:v>detection vs sensory importance</x:v>
      </x:c>
      <x:c r="D10" s="102" t="str">
        <x:v>Modern roasted-quail evidence shows that a full detected-VOC inventory should not be scored as though every compound matters equally: 51 volatiles were detected at 40 min, but only 19 had OAV &gt; 1.</x:v>
      </x:c>
      <x:c r="E10" s="102" t="str">
        <x:v>Direct 2024 quail SAFE-GC-O-MS/OAV study.</x:v>
      </x:c>
      <x:c r="F10" s="102" t="str">
        <x:v>Maintain separate detected_presence and sensory_importance/key_odorant fields; scoring should privilege validated sensory importance when available.</x:v>
      </x:c>
      <x:c r="G10" s="102" t="str">
        <x:v>The 19 identities are not populated until the primary table is directly recoverable.</x:v>
      </x:c>
      <x:c r="H10" s="102" t="str">
        <x:v>SRC-QUAIL-ROAST-002</x:v>
      </x:c>
    </x:row>
    <x:row r="11">
      <x:c r="A11" s="102" t="str">
        <x:v>AP-AVIAN-010</x:v>
      </x:c>
      <x:c r="B11" s="102" t="str">
        <x:v>approved</x:v>
      </x:c>
      <x:c r="C11" s="102" t="str">
        <x:v>roast-state transformation</x:v>
      </x:c>
      <x:c r="D11" s="102" t="str">
        <x:v>Quail volatile diversity changes materially through roasting: 31 VOCs at 0 min, 40 at 10/20 min, 46 at 30 min, and 51 at 40 min.</x:v>
      </x:c>
      <x:c r="E11" s="102" t="str">
        <x:v>Direct 2024 quail time-course study.</x:v>
      </x:c>
      <x:c r="F11" s="102" t="str">
        <x:v>Model preparation as a state transformation over a native avian profile rather than a static species list.</x:v>
      </x:c>
      <x:c r="G11" s="102" t="str">
        <x:v>VOC count alone does not measure flavor quality or intensity.</x:v>
      </x:c>
      <x:c r="H11" s="102" t="str">
        <x:v>SRC-QUAIL-ROAST-002</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row r="201">
      <x:c r="A201" s="46"/>
      <x:c r="B201" s="46"/>
      <x:c r="C201" s="46"/>
      <x:c r="D201" s="46"/>
      <x:c r="E201" s="46"/>
      <x:c r="F201" s="46"/>
      <x:c r="G201" s="46"/>
      <x:c r="H201" s="46"/>
    </x:row>
    <x:row r="202">
      <x:c r="A202" s="46"/>
      <x:c r="B202" s="46"/>
      <x:c r="C202" s="46"/>
      <x:c r="D202" s="46"/>
      <x:c r="E202" s="46"/>
      <x:c r="F202" s="46"/>
      <x:c r="G202" s="46"/>
      <x:c r="H202" s="46"/>
    </x:row>
    <x:row r="203">
      <x:c r="A203" s="46"/>
      <x:c r="B203" s="46"/>
      <x:c r="C203" s="46"/>
      <x:c r="D203" s="46"/>
      <x:c r="E203" s="46"/>
      <x:c r="F203" s="46"/>
      <x:c r="G203" s="46"/>
      <x:c r="H203" s="46"/>
    </x:row>
    <x:row r="204">
      <x:c r="A204" s="46"/>
      <x:c r="B204" s="46"/>
      <x:c r="C204" s="46"/>
      <x:c r="D204" s="46"/>
      <x:c r="E204" s="46"/>
      <x:c r="F204" s="46"/>
      <x:c r="G204" s="46"/>
      <x:c r="H204" s="46"/>
    </x:row>
    <x:row r="205">
      <x:c r="A205" s="46"/>
      <x:c r="B205" s="46"/>
      <x:c r="C205" s="46"/>
      <x:c r="D205" s="46"/>
      <x:c r="E205" s="46"/>
      <x:c r="F205" s="46"/>
      <x:c r="G205" s="46"/>
      <x:c r="H205" s="46"/>
    </x:row>
    <x:row r="206">
      <x:c r="A206" s="46"/>
      <x:c r="B206" s="46"/>
      <x:c r="C206" s="46"/>
      <x:c r="D206" s="46"/>
      <x:c r="E206" s="46"/>
      <x:c r="F206" s="46"/>
      <x:c r="G206" s="46"/>
      <x:c r="H206" s="46"/>
    </x:row>
    <x:row r="207">
      <x:c r="A207" s="46"/>
      <x:c r="B207" s="46"/>
      <x:c r="C207" s="46"/>
      <x:c r="D207" s="46"/>
      <x:c r="E207" s="46"/>
      <x:c r="F207" s="46"/>
      <x:c r="G207" s="46"/>
      <x:c r="H207" s="46"/>
    </x:row>
    <x:row r="208">
      <x:c r="A208" s="46"/>
      <x:c r="B208" s="46"/>
      <x:c r="C208" s="46"/>
      <x:c r="D208" s="46"/>
      <x:c r="E208" s="46"/>
      <x:c r="F208" s="46"/>
      <x:c r="G208" s="46"/>
      <x:c r="H208" s="46"/>
    </x:row>
    <x:row r="209">
      <x:c r="A209" s="46"/>
      <x:c r="B209" s="46"/>
      <x:c r="C209" s="46"/>
      <x:c r="D209" s="46"/>
      <x:c r="E209" s="46"/>
      <x:c r="F209" s="46"/>
      <x:c r="G209" s="46"/>
      <x:c r="H209" s="46"/>
    </x:row>
    <x:row r="210">
      <x:c r="A210" s="46"/>
      <x:c r="B210" s="46"/>
      <x:c r="C210" s="46"/>
      <x:c r="D210" s="46"/>
      <x:c r="E210" s="46"/>
      <x:c r="F210" s="46"/>
      <x:c r="G210" s="46"/>
      <x:c r="H210" s="46"/>
    </x:row>
    <x:row r="211">
      <x:c r="A211" s="46"/>
      <x:c r="B211" s="46"/>
      <x:c r="C211" s="46"/>
      <x:c r="D211" s="46"/>
      <x:c r="E211" s="46"/>
      <x:c r="F211" s="46"/>
      <x:c r="G211" s="46"/>
      <x:c r="H211" s="46"/>
    </x:row>
    <x:row r="212">
      <x:c r="A212" s="46"/>
      <x:c r="B212" s="46"/>
      <x:c r="C212" s="46"/>
      <x:c r="D212" s="46"/>
      <x:c r="E212" s="46"/>
      <x:c r="F212" s="46"/>
      <x:c r="G212" s="46"/>
      <x:c r="H212" s="46"/>
    </x:row>
    <x:row r="213">
      <x:c r="A213" s="46"/>
      <x:c r="B213" s="46"/>
      <x:c r="C213" s="46"/>
      <x:c r="D213" s="46"/>
      <x:c r="E213" s="46"/>
      <x:c r="F213" s="46"/>
      <x:c r="G213" s="46"/>
      <x:c r="H213" s="46"/>
    </x:row>
    <x:row r="214">
      <x:c r="A214" s="46"/>
      <x:c r="B214" s="46"/>
      <x:c r="C214" s="46"/>
      <x:c r="D214" s="46"/>
      <x:c r="E214" s="46"/>
      <x:c r="F214" s="46"/>
      <x:c r="G214" s="46"/>
      <x:c r="H214" s="46"/>
    </x:row>
    <x:row r="215">
      <x:c r="A215" s="46"/>
      <x:c r="B215" s="46"/>
      <x:c r="C215" s="46"/>
      <x:c r="D215" s="46"/>
      <x:c r="E215" s="46"/>
      <x:c r="F215" s="46"/>
      <x:c r="G215" s="46"/>
      <x:c r="H215" s="46"/>
    </x:row>
    <x:row r="216">
      <x:c r="A216" s="46"/>
      <x:c r="B216" s="46"/>
      <x:c r="C216" s="46"/>
      <x:c r="D216" s="46"/>
      <x:c r="E216" s="46"/>
      <x:c r="F216" s="46"/>
      <x:c r="G216" s="46"/>
      <x:c r="H216" s="46"/>
    </x:row>
    <x:row r="217">
      <x:c r="A217" s="46"/>
      <x:c r="B217" s="46"/>
      <x:c r="C217" s="46"/>
      <x:c r="D217" s="46"/>
      <x:c r="E217" s="46"/>
      <x:c r="F217" s="46"/>
      <x:c r="G217" s="46"/>
      <x:c r="H217" s="46"/>
    </x:row>
    <x:row r="218">
      <x:c r="A218" s="46"/>
      <x:c r="B218" s="46"/>
      <x:c r="C218" s="46"/>
      <x:c r="D218" s="46"/>
      <x:c r="E218" s="46"/>
      <x:c r="F218" s="46"/>
      <x:c r="G218" s="46"/>
      <x:c r="H218" s="46"/>
    </x:row>
    <x:row r="219">
      <x:c r="A219" s="46"/>
      <x:c r="B219" s="46"/>
      <x:c r="C219" s="46"/>
      <x:c r="D219" s="46"/>
      <x:c r="E219" s="46"/>
      <x:c r="F219" s="46"/>
      <x:c r="G219" s="46"/>
      <x:c r="H219" s="46"/>
    </x:row>
    <x:row r="220">
      <x:c r="A220" s="46"/>
      <x:c r="B220" s="46"/>
      <x:c r="C220" s="46"/>
      <x:c r="D220" s="46"/>
      <x:c r="E220" s="46"/>
      <x:c r="F220" s="46"/>
      <x:c r="G220" s="46"/>
      <x:c r="H220" s="46"/>
    </x:row>
    <x:row r="221">
      <x:c r="A221" s="46"/>
      <x:c r="B221" s="46"/>
      <x:c r="C221" s="46"/>
      <x:c r="D221" s="46"/>
      <x:c r="E221" s="46"/>
      <x:c r="F221" s="46"/>
      <x:c r="G221" s="46"/>
      <x:c r="H221" s="46"/>
    </x:row>
    <x:row r="222">
      <x:c r="A222" s="46"/>
      <x:c r="B222" s="46"/>
      <x:c r="C222" s="46"/>
      <x:c r="D222" s="46"/>
      <x:c r="E222" s="46"/>
      <x:c r="F222" s="46"/>
      <x:c r="G222" s="46"/>
      <x:c r="H222" s="46"/>
    </x:row>
    <x:row r="223">
      <x:c r="A223" s="46"/>
      <x:c r="B223" s="46"/>
      <x:c r="C223" s="46"/>
      <x:c r="D223" s="46"/>
      <x:c r="E223" s="46"/>
      <x:c r="F223" s="46"/>
      <x:c r="G223" s="46"/>
      <x:c r="H223" s="46"/>
    </x:row>
    <x:row r="224">
      <x:c r="A224" s="46"/>
      <x:c r="B224" s="46"/>
      <x:c r="C224" s="46"/>
      <x:c r="D224" s="46"/>
      <x:c r="E224" s="46"/>
      <x:c r="F224" s="46"/>
      <x:c r="G224" s="46"/>
      <x:c r="H224" s="46"/>
    </x:row>
    <x:row r="225">
      <x:c r="A225" s="46"/>
      <x:c r="B225" s="46"/>
      <x:c r="C225" s="46"/>
      <x:c r="D225" s="46"/>
      <x:c r="E225" s="46"/>
      <x:c r="F225" s="46"/>
      <x:c r="G225" s="46"/>
      <x:c r="H225" s="46"/>
    </x:row>
    <x:row r="226">
      <x:c r="A226" s="46"/>
      <x:c r="B226" s="46"/>
      <x:c r="C226" s="46"/>
      <x:c r="D226" s="46"/>
      <x:c r="E226" s="46"/>
      <x:c r="F226" s="46"/>
      <x:c r="G226" s="46"/>
      <x:c r="H226" s="46"/>
    </x:row>
    <x:row r="227">
      <x:c r="A227" s="46"/>
      <x:c r="B227" s="46"/>
      <x:c r="C227" s="46"/>
      <x:c r="D227" s="46"/>
      <x:c r="E227" s="46"/>
      <x:c r="F227" s="46"/>
      <x:c r="G227" s="46"/>
      <x:c r="H227" s="46"/>
    </x:row>
    <x:row r="228">
      <x:c r="A228" s="46"/>
      <x:c r="B228" s="46"/>
      <x:c r="C228" s="46"/>
      <x:c r="D228" s="46"/>
      <x:c r="E228" s="46"/>
      <x:c r="F228" s="46"/>
      <x:c r="G228" s="46"/>
      <x:c r="H228" s="46"/>
    </x:row>
    <x:row r="229">
      <x:c r="A229" s="46"/>
      <x:c r="B229" s="46"/>
      <x:c r="C229" s="46"/>
      <x:c r="D229" s="46"/>
      <x:c r="E229" s="46"/>
      <x:c r="F229" s="46"/>
      <x:c r="G229" s="46"/>
      <x:c r="H229" s="46"/>
    </x:row>
    <x:row r="230">
      <x:c r="A230" s="46"/>
      <x:c r="B230" s="46"/>
      <x:c r="C230" s="46"/>
      <x:c r="D230" s="46"/>
      <x:c r="E230" s="46"/>
      <x:c r="F230" s="46"/>
      <x:c r="G230" s="46"/>
      <x:c r="H230" s="46"/>
    </x:row>
    <x:row r="231">
      <x:c r="A231" s="46"/>
      <x:c r="B231" s="46"/>
      <x:c r="C231" s="46"/>
      <x:c r="D231" s="46"/>
      <x:c r="E231" s="46"/>
      <x:c r="F231" s="46"/>
      <x:c r="G231" s="46"/>
      <x:c r="H231" s="46"/>
    </x:row>
    <x:row r="232">
      <x:c r="A232" s="46"/>
      <x:c r="B232" s="46"/>
      <x:c r="C232" s="46"/>
      <x:c r="D232" s="46"/>
      <x:c r="E232" s="46"/>
      <x:c r="F232" s="46"/>
      <x:c r="G232" s="46"/>
      <x:c r="H232" s="46"/>
    </x:row>
    <x:row r="233">
      <x:c r="A233" s="46"/>
      <x:c r="B233" s="46"/>
      <x:c r="C233" s="46"/>
      <x:c r="D233" s="46"/>
      <x:c r="E233" s="46"/>
      <x:c r="F233" s="46"/>
      <x:c r="G233" s="46"/>
      <x:c r="H233" s="46"/>
    </x:row>
    <x:row r="234">
      <x:c r="A234" s="46"/>
      <x:c r="B234" s="46"/>
      <x:c r="C234" s="46"/>
      <x:c r="D234" s="46"/>
      <x:c r="E234" s="46"/>
      <x:c r="F234" s="46"/>
      <x:c r="G234" s="46"/>
      <x:c r="H234" s="46"/>
    </x:row>
    <x:row r="235">
      <x:c r="A235" s="46"/>
      <x:c r="B235" s="46"/>
      <x:c r="C235" s="46"/>
      <x:c r="D235" s="46"/>
      <x:c r="E235" s="46"/>
      <x:c r="F235" s="46"/>
      <x:c r="G235" s="46"/>
      <x:c r="H235" s="46"/>
    </x:row>
    <x:row r="236">
      <x:c r="A236" s="46"/>
      <x:c r="B236" s="46"/>
      <x:c r="C236" s="46"/>
      <x:c r="D236" s="46"/>
      <x:c r="E236" s="46"/>
      <x:c r="F236" s="46"/>
      <x:c r="G236" s="46"/>
      <x:c r="H236" s="46"/>
    </x:row>
    <x:row r="237">
      <x:c r="A237" s="46"/>
      <x:c r="B237" s="46"/>
      <x:c r="C237" s="46"/>
      <x:c r="D237" s="46"/>
      <x:c r="E237" s="46"/>
      <x:c r="F237" s="46"/>
      <x:c r="G237" s="46"/>
      <x:c r="H237" s="46"/>
    </x:row>
    <x:row r="238">
      <x:c r="A238" s="46"/>
      <x:c r="B238" s="46"/>
      <x:c r="C238" s="46"/>
      <x:c r="D238" s="46"/>
      <x:c r="E238" s="46"/>
      <x:c r="F238" s="46"/>
      <x:c r="G238" s="46"/>
      <x:c r="H238" s="46"/>
    </x:row>
    <x:row r="239">
      <x:c r="A239" s="46"/>
      <x:c r="B239" s="46"/>
      <x:c r="C239" s="46"/>
      <x:c r="D239" s="46"/>
      <x:c r="E239" s="46"/>
      <x:c r="F239" s="46"/>
      <x:c r="G239" s="46"/>
      <x:c r="H239" s="46"/>
    </x:row>
    <x:row r="240">
      <x:c r="A240" s="46"/>
      <x:c r="B240" s="46"/>
      <x:c r="C240" s="46"/>
      <x:c r="D240" s="46"/>
      <x:c r="E240" s="46"/>
      <x:c r="F240" s="46"/>
      <x:c r="G240" s="46"/>
      <x:c r="H240" s="46"/>
    </x:row>
    <x:row r="241">
      <x:c r="A241" s="46"/>
      <x:c r="B241" s="46"/>
      <x:c r="C241" s="46"/>
      <x:c r="D241" s="46"/>
      <x:c r="E241" s="46"/>
      <x:c r="F241" s="46"/>
      <x:c r="G241" s="46"/>
      <x:c r="H241" s="46"/>
    </x:row>
    <x:row r="242">
      <x:c r="A242" s="46"/>
      <x:c r="B242" s="46"/>
      <x:c r="C242" s="46"/>
      <x:c r="D242" s="46"/>
      <x:c r="E242" s="46"/>
      <x:c r="F242" s="46"/>
      <x:c r="G242" s="46"/>
      <x:c r="H242" s="46"/>
    </x:row>
    <x:row r="243">
      <x:c r="A243" s="46"/>
      <x:c r="B243" s="46"/>
      <x:c r="C243" s="46"/>
      <x:c r="D243" s="46"/>
      <x:c r="E243" s="46"/>
      <x:c r="F243" s="46"/>
      <x:c r="G243" s="46"/>
      <x:c r="H243" s="46"/>
    </x:row>
    <x:row r="244">
      <x:c r="A244" s="46"/>
      <x:c r="B244" s="46"/>
      <x:c r="C244" s="46"/>
      <x:c r="D244" s="46"/>
      <x:c r="E244" s="46"/>
      <x:c r="F244" s="46"/>
      <x:c r="G244" s="46"/>
      <x:c r="H244" s="46"/>
    </x:row>
    <x:row r="245">
      <x:c r="A245" s="46"/>
      <x:c r="B245" s="46"/>
      <x:c r="C245" s="46"/>
      <x:c r="D245" s="46"/>
      <x:c r="E245" s="46"/>
      <x:c r="F245" s="46"/>
      <x:c r="G245" s="46"/>
      <x:c r="H245" s="46"/>
    </x:row>
    <x:row r="246">
      <x:c r="A246" s="46"/>
      <x:c r="B246" s="46"/>
      <x:c r="C246" s="46"/>
      <x:c r="D246" s="46"/>
      <x:c r="E246" s="46"/>
      <x:c r="F246" s="46"/>
      <x:c r="G246" s="46"/>
      <x:c r="H246" s="46"/>
    </x:row>
    <x:row r="247">
      <x:c r="A247" s="46"/>
      <x:c r="B247" s="46"/>
      <x:c r="C247" s="46"/>
      <x:c r="D247" s="46"/>
      <x:c r="E247" s="46"/>
      <x:c r="F247" s="46"/>
      <x:c r="G247" s="46"/>
      <x:c r="H247" s="46"/>
    </x:row>
    <x:row r="248">
      <x:c r="A248" s="46"/>
      <x:c r="B248" s="46"/>
      <x:c r="C248" s="46"/>
      <x:c r="D248" s="46"/>
      <x:c r="E248" s="46"/>
      <x:c r="F248" s="46"/>
      <x:c r="G248" s="46"/>
      <x:c r="H248" s="46"/>
    </x:row>
    <x:row r="249">
      <x:c r="A249" s="46"/>
      <x:c r="B249" s="46"/>
      <x:c r="C249" s="46"/>
      <x:c r="D249" s="46"/>
      <x:c r="E249" s="46"/>
      <x:c r="F249" s="46"/>
      <x:c r="G249" s="46"/>
      <x:c r="H249" s="46"/>
    </x:row>
    <x:row r="250">
      <x:c r="A250" s="46"/>
      <x:c r="B250" s="46"/>
      <x:c r="C250" s="46"/>
      <x:c r="D250" s="46"/>
      <x:c r="E250" s="46"/>
      <x:c r="F250" s="46"/>
      <x:c r="G250" s="46"/>
      <x:c r="H250" s="46"/>
    </x:row>
    <x:row r="251">
      <x:c r="A251" s="46"/>
      <x:c r="B251" s="46"/>
      <x:c r="C251" s="46"/>
      <x:c r="D251" s="46"/>
      <x:c r="E251" s="46"/>
      <x:c r="F251" s="46"/>
      <x:c r="G251" s="46"/>
      <x:c r="H251" s="46"/>
    </x:row>
    <x:row r="252">
      <x:c r="A252" s="46"/>
      <x:c r="B252" s="46"/>
      <x:c r="C252" s="46"/>
      <x:c r="D252" s="46"/>
      <x:c r="E252" s="46"/>
      <x:c r="F252" s="46"/>
      <x:c r="G252" s="46"/>
      <x:c r="H252" s="46"/>
    </x:row>
    <x:row r="253">
      <x:c r="A253" s="46"/>
      <x:c r="B253" s="46"/>
      <x:c r="C253" s="46"/>
      <x:c r="D253" s="46"/>
      <x:c r="E253" s="46"/>
      <x:c r="F253" s="46"/>
      <x:c r="G253" s="46"/>
      <x:c r="H253" s="46"/>
    </x:row>
    <x:row r="254">
      <x:c r="A254" s="46"/>
      <x:c r="B254" s="46"/>
      <x:c r="C254" s="46"/>
      <x:c r="D254" s="46"/>
      <x:c r="E254" s="46"/>
      <x:c r="F254" s="46"/>
      <x:c r="G254" s="46"/>
      <x:c r="H254" s="46"/>
    </x:row>
    <x:row r="255">
      <x:c r="A255" s="46"/>
      <x:c r="B255" s="46"/>
      <x:c r="C255" s="46"/>
      <x:c r="D255" s="46"/>
      <x:c r="E255" s="46"/>
      <x:c r="F255" s="46"/>
      <x:c r="G255" s="46"/>
      <x:c r="H255" s="46"/>
    </x:row>
    <x:row r="256">
      <x:c r="A256" s="46"/>
      <x:c r="B256" s="46"/>
      <x:c r="C256" s="46"/>
      <x:c r="D256" s="46"/>
      <x:c r="E256" s="46"/>
      <x:c r="F256" s="46"/>
      <x:c r="G256" s="46"/>
      <x:c r="H256" s="46"/>
    </x:row>
    <x:row r="257">
      <x:c r="A257" s="46"/>
      <x:c r="B257" s="46"/>
      <x:c r="C257" s="46"/>
      <x:c r="D257" s="46"/>
      <x:c r="E257" s="46"/>
      <x:c r="F257" s="46"/>
      <x:c r="G257" s="46"/>
      <x:c r="H257" s="46"/>
    </x:row>
    <x:row r="258">
      <x:c r="A258" s="46"/>
      <x:c r="B258" s="46"/>
      <x:c r="C258" s="46"/>
      <x:c r="D258" s="46"/>
      <x:c r="E258" s="46"/>
      <x:c r="F258" s="46"/>
      <x:c r="G258" s="46"/>
      <x:c r="H258" s="46"/>
    </x:row>
    <x:row r="259">
      <x:c r="A259" s="46"/>
      <x:c r="B259" s="46"/>
      <x:c r="C259" s="46"/>
      <x:c r="D259" s="46"/>
      <x:c r="E259" s="46"/>
      <x:c r="F259" s="46"/>
      <x:c r="G259" s="46"/>
      <x:c r="H259" s="46"/>
    </x:row>
    <x:row r="260">
      <x:c r="A260" s="46"/>
      <x:c r="B260" s="46"/>
      <x:c r="C260" s="46"/>
      <x:c r="D260" s="46"/>
      <x:c r="E260" s="46"/>
      <x:c r="F260" s="46"/>
      <x:c r="G260" s="46"/>
      <x:c r="H260" s="46"/>
    </x:row>
    <x:row r="261">
      <x:c r="A261" s="46"/>
      <x:c r="B261" s="46"/>
      <x:c r="C261" s="46"/>
      <x:c r="D261" s="46"/>
      <x:c r="E261" s="46"/>
      <x:c r="F261" s="46"/>
      <x:c r="G261" s="46"/>
      <x:c r="H261" s="46"/>
    </x:row>
    <x:row r="262">
      <x:c r="A262" s="46"/>
      <x:c r="B262" s="46"/>
      <x:c r="C262" s="46"/>
      <x:c r="D262" s="46"/>
      <x:c r="E262" s="46"/>
      <x:c r="F262" s="46"/>
      <x:c r="G262" s="46"/>
      <x:c r="H262" s="46"/>
    </x:row>
    <x:row r="263">
      <x:c r="A263" s="46"/>
      <x:c r="B263" s="46"/>
      <x:c r="C263" s="46"/>
      <x:c r="D263" s="46"/>
      <x:c r="E263" s="46"/>
      <x:c r="F263" s="46"/>
      <x:c r="G263" s="46"/>
      <x:c r="H263" s="46"/>
    </x:row>
    <x:row r="264">
      <x:c r="A264" s="46"/>
      <x:c r="B264" s="46"/>
      <x:c r="C264" s="46"/>
      <x:c r="D264" s="46"/>
      <x:c r="E264" s="46"/>
      <x:c r="F264" s="46"/>
      <x:c r="G264" s="46"/>
      <x:c r="H264" s="46"/>
    </x:row>
    <x:row r="265">
      <x:c r="A265" s="46"/>
      <x:c r="B265" s="46"/>
      <x:c r="C265" s="46"/>
      <x:c r="D265" s="46"/>
      <x:c r="E265" s="46"/>
      <x:c r="F265" s="46"/>
      <x:c r="G265" s="46"/>
      <x:c r="H265" s="46"/>
    </x:row>
    <x:row r="266">
      <x:c r="A266" s="46"/>
      <x:c r="B266" s="46"/>
      <x:c r="C266" s="46"/>
      <x:c r="D266" s="46"/>
      <x:c r="E266" s="46"/>
      <x:c r="F266" s="46"/>
      <x:c r="G266" s="46"/>
      <x:c r="H266" s="46"/>
    </x:row>
    <x:row r="267">
      <x:c r="A267" s="46"/>
      <x:c r="B267" s="46"/>
      <x:c r="C267" s="46"/>
      <x:c r="D267" s="46"/>
      <x:c r="E267" s="46"/>
      <x:c r="F267" s="46"/>
      <x:c r="G267" s="46"/>
      <x:c r="H267" s="46"/>
    </x:row>
    <x:row r="268">
      <x:c r="A268" s="46"/>
      <x:c r="B268" s="46"/>
      <x:c r="C268" s="46"/>
      <x:c r="D268" s="46"/>
      <x:c r="E268" s="46"/>
      <x:c r="F268" s="46"/>
      <x:c r="G268" s="46"/>
      <x:c r="H268" s="46"/>
    </x:row>
    <x:row r="269">
      <x:c r="A269" s="46"/>
      <x:c r="B269" s="46"/>
      <x:c r="C269" s="46"/>
      <x:c r="D269" s="46"/>
      <x:c r="E269" s="46"/>
      <x:c r="F269" s="46"/>
      <x:c r="G269" s="46"/>
      <x:c r="H269" s="46"/>
    </x:row>
    <x:row r="270">
      <x:c r="A270" s="46"/>
      <x:c r="B270" s="46"/>
      <x:c r="C270" s="46"/>
      <x:c r="D270" s="46"/>
      <x:c r="E270" s="46"/>
      <x:c r="F270" s="46"/>
      <x:c r="G270" s="46"/>
      <x:c r="H270" s="46"/>
    </x:row>
    <x:row r="271">
      <x:c r="A271" s="46"/>
      <x:c r="B271" s="46"/>
      <x:c r="C271" s="46"/>
      <x:c r="D271" s="46"/>
      <x:c r="E271" s="46"/>
      <x:c r="F271" s="46"/>
      <x:c r="G271" s="46"/>
      <x:c r="H271" s="46"/>
    </x:row>
    <x:row r="272">
      <x:c r="A272" s="46"/>
      <x:c r="B272" s="46"/>
      <x:c r="C272" s="46"/>
      <x:c r="D272" s="46"/>
      <x:c r="E272" s="46"/>
      <x:c r="F272" s="46"/>
      <x:c r="G272" s="46"/>
      <x:c r="H272" s="46"/>
    </x:row>
    <x:row r="273">
      <x:c r="A273" s="46"/>
      <x:c r="B273" s="46"/>
      <x:c r="C273" s="46"/>
      <x:c r="D273" s="46"/>
      <x:c r="E273" s="46"/>
      <x:c r="F273" s="46"/>
      <x:c r="G273" s="46"/>
      <x:c r="H273" s="46"/>
    </x:row>
    <x:row r="274">
      <x:c r="A274" s="46"/>
      <x:c r="B274" s="46"/>
      <x:c r="C274" s="46"/>
      <x:c r="D274" s="46"/>
      <x:c r="E274" s="46"/>
      <x:c r="F274" s="46"/>
      <x:c r="G274" s="46"/>
      <x:c r="H274" s="46"/>
    </x:row>
    <x:row r="275">
      <x:c r="A275" s="46"/>
      <x:c r="B275" s="46"/>
      <x:c r="C275" s="46"/>
      <x:c r="D275" s="46"/>
      <x:c r="E275" s="46"/>
      <x:c r="F275" s="46"/>
      <x:c r="G275" s="46"/>
      <x:c r="H275" s="46"/>
    </x:row>
    <x:row r="276">
      <x:c r="A276" s="46"/>
      <x:c r="B276" s="46"/>
      <x:c r="C276" s="46"/>
      <x:c r="D276" s="46"/>
      <x:c r="E276" s="46"/>
      <x:c r="F276" s="46"/>
      <x:c r="G276" s="46"/>
      <x:c r="H276" s="46"/>
    </x:row>
    <x:row r="277">
      <x:c r="A277" s="46"/>
      <x:c r="B277" s="46"/>
      <x:c r="C277" s="46"/>
      <x:c r="D277" s="46"/>
      <x:c r="E277" s="46"/>
      <x:c r="F277" s="46"/>
      <x:c r="G277" s="46"/>
      <x:c r="H277" s="46"/>
    </x:row>
    <x:row r="278">
      <x:c r="A278" s="46"/>
      <x:c r="B278" s="46"/>
      <x:c r="C278" s="46"/>
      <x:c r="D278" s="46"/>
      <x:c r="E278" s="46"/>
      <x:c r="F278" s="46"/>
      <x:c r="G278" s="46"/>
      <x:c r="H278" s="46"/>
    </x:row>
    <x:row r="279">
      <x:c r="A279" s="46"/>
      <x:c r="B279" s="46"/>
      <x:c r="C279" s="46"/>
      <x:c r="D279" s="46"/>
      <x:c r="E279" s="46"/>
      <x:c r="F279" s="46"/>
      <x:c r="G279" s="46"/>
      <x:c r="H279" s="46"/>
    </x:row>
    <x:row r="280">
      <x:c r="A280" s="46"/>
      <x:c r="B280" s="46"/>
      <x:c r="C280" s="46"/>
      <x:c r="D280" s="46"/>
      <x:c r="E280" s="46"/>
      <x:c r="F280" s="46"/>
      <x:c r="G280" s="46"/>
      <x:c r="H280" s="46"/>
    </x:row>
    <x:row r="281">
      <x:c r="A281" s="46"/>
      <x:c r="B281" s="46"/>
      <x:c r="C281" s="46"/>
      <x:c r="D281" s="46"/>
      <x:c r="E281" s="46"/>
      <x:c r="F281" s="46"/>
      <x:c r="G281" s="46"/>
      <x:c r="H281" s="46"/>
    </x:row>
    <x:row r="282">
      <x:c r="A282" s="46"/>
      <x:c r="B282" s="46"/>
      <x:c r="C282" s="46"/>
      <x:c r="D282" s="46"/>
      <x:c r="E282" s="46"/>
      <x:c r="F282" s="46"/>
      <x:c r="G282" s="46"/>
      <x:c r="H282" s="46"/>
    </x:row>
    <x:row r="283">
      <x:c r="A283" s="46"/>
      <x:c r="B283" s="46"/>
      <x:c r="C283" s="46"/>
      <x:c r="D283" s="46"/>
      <x:c r="E283" s="46"/>
      <x:c r="F283" s="46"/>
      <x:c r="G283" s="46"/>
      <x:c r="H283" s="46"/>
    </x:row>
    <x:row r="284">
      <x:c r="A284" s="46"/>
      <x:c r="B284" s="46"/>
      <x:c r="C284" s="46"/>
      <x:c r="D284" s="46"/>
      <x:c r="E284" s="46"/>
      <x:c r="F284" s="46"/>
      <x:c r="G284" s="46"/>
      <x:c r="H284" s="46"/>
    </x:row>
    <x:row r="285">
      <x:c r="A285" s="46"/>
      <x:c r="B285" s="46"/>
      <x:c r="C285" s="46"/>
      <x:c r="D285" s="46"/>
      <x:c r="E285" s="46"/>
      <x:c r="F285" s="46"/>
      <x:c r="G285" s="46"/>
      <x:c r="H285" s="46"/>
    </x:row>
    <x:row r="286">
      <x:c r="A286" s="46"/>
      <x:c r="B286" s="46"/>
      <x:c r="C286" s="46"/>
      <x:c r="D286" s="46"/>
      <x:c r="E286" s="46"/>
      <x:c r="F286" s="46"/>
      <x:c r="G286" s="46"/>
      <x:c r="H286" s="46"/>
    </x:row>
    <x:row r="287">
      <x:c r="A287" s="46"/>
      <x:c r="B287" s="46"/>
      <x:c r="C287" s="46"/>
      <x:c r="D287" s="46"/>
      <x:c r="E287" s="46"/>
      <x:c r="F287" s="46"/>
      <x:c r="G287" s="46"/>
      <x:c r="H287" s="46"/>
    </x:row>
    <x:row r="288">
      <x:c r="A288" s="46"/>
      <x:c r="B288" s="46"/>
      <x:c r="C288" s="46"/>
      <x:c r="D288" s="46"/>
      <x:c r="E288" s="46"/>
      <x:c r="F288" s="46"/>
      <x:c r="G288" s="46"/>
      <x:c r="H288" s="46"/>
    </x:row>
    <x:row r="289">
      <x:c r="A289" s="46"/>
      <x:c r="B289" s="46"/>
      <x:c r="C289" s="46"/>
      <x:c r="D289" s="46"/>
      <x:c r="E289" s="46"/>
      <x:c r="F289" s="46"/>
      <x:c r="G289" s="46"/>
      <x:c r="H289" s="46"/>
    </x:row>
    <x:row r="290">
      <x:c r="A290" s="46"/>
      <x:c r="B290" s="46"/>
      <x:c r="C290" s="46"/>
      <x:c r="D290" s="46"/>
      <x:c r="E290" s="46"/>
      <x:c r="F290" s="46"/>
      <x:c r="G290" s="46"/>
      <x:c r="H290" s="46"/>
    </x:row>
    <x:row r="291">
      <x:c r="A291" s="46"/>
      <x:c r="B291" s="46"/>
      <x:c r="C291" s="46"/>
      <x:c r="D291" s="46"/>
      <x:c r="E291" s="46"/>
      <x:c r="F291" s="46"/>
      <x:c r="G291" s="46"/>
      <x:c r="H291" s="46"/>
    </x:row>
    <x:row r="292">
      <x:c r="A292" s="46"/>
      <x:c r="B292" s="46"/>
      <x:c r="C292" s="46"/>
      <x:c r="D292" s="46"/>
      <x:c r="E292" s="46"/>
      <x:c r="F292" s="46"/>
      <x:c r="G292" s="46"/>
      <x:c r="H292" s="46"/>
    </x:row>
    <x:row r="293">
      <x:c r="A293" s="46"/>
      <x:c r="B293" s="46"/>
      <x:c r="C293" s="46"/>
      <x:c r="D293" s="46"/>
      <x:c r="E293" s="46"/>
      <x:c r="F293" s="46"/>
      <x:c r="G293" s="46"/>
      <x:c r="H293" s="46"/>
    </x:row>
    <x:row r="294">
      <x:c r="A294" s="46"/>
      <x:c r="B294" s="46"/>
      <x:c r="C294" s="46"/>
      <x:c r="D294" s="46"/>
      <x:c r="E294" s="46"/>
      <x:c r="F294" s="46"/>
      <x:c r="G294" s="46"/>
      <x:c r="H294" s="46"/>
    </x:row>
    <x:row r="295">
      <x:c r="A295" s="46"/>
      <x:c r="B295" s="46"/>
      <x:c r="C295" s="46"/>
      <x:c r="D295" s="46"/>
      <x:c r="E295" s="46"/>
      <x:c r="F295" s="46"/>
      <x:c r="G295" s="46"/>
      <x:c r="H295" s="46"/>
    </x:row>
    <x:row r="296">
      <x:c r="A296" s="46"/>
      <x:c r="B296" s="46"/>
      <x:c r="C296" s="46"/>
      <x:c r="D296" s="46"/>
      <x:c r="E296" s="46"/>
      <x:c r="F296" s="46"/>
      <x:c r="G296" s="46"/>
      <x:c r="H296" s="46"/>
    </x:row>
    <x:row r="297">
      <x:c r="A297" s="46"/>
      <x:c r="B297" s="46"/>
      <x:c r="C297" s="46"/>
      <x:c r="D297" s="46"/>
      <x:c r="E297" s="46"/>
      <x:c r="F297" s="46"/>
      <x:c r="G297" s="46"/>
      <x:c r="H297" s="46"/>
    </x:row>
    <x:row r="298">
      <x:c r="A298" s="46"/>
      <x:c r="B298" s="46"/>
      <x:c r="C298" s="46"/>
      <x:c r="D298" s="46"/>
      <x:c r="E298" s="46"/>
      <x:c r="F298" s="46"/>
      <x:c r="G298" s="46"/>
      <x:c r="H298" s="46"/>
    </x:row>
    <x:row r="299">
      <x:c r="A299" s="46"/>
      <x:c r="B299" s="46"/>
      <x:c r="C299" s="46"/>
      <x:c r="D299" s="46"/>
      <x:c r="E299" s="46"/>
      <x:c r="F299" s="46"/>
      <x:c r="G299" s="46"/>
      <x:c r="H299" s="46"/>
    </x:row>
    <x:row r="300">
      <x:c r="A300" s="46"/>
      <x:c r="B300" s="46"/>
      <x:c r="C300" s="46"/>
      <x:c r="D300" s="46"/>
      <x:c r="E300" s="46"/>
      <x:c r="F300" s="46"/>
      <x:c r="G300" s="46"/>
      <x:c r="H300" s="46"/>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0" hidden="0" customWidth="1"/>
    <x:col min="3" max="3" width="34" hidden="0" customWidth="1"/>
    <x:col min="4" max="4" width="16" hidden="0" customWidth="1"/>
    <x:col min="5" max="5" width="24" hidden="0" customWidth="1"/>
    <x:col min="6" max="6" width="18" hidden="0" customWidth="1"/>
    <x:col min="7" max="7" width="28" hidden="0" customWidth="1"/>
    <x:col min="8" max="8" width="12" hidden="0" customWidth="1"/>
    <x:col min="9" max="9" width="12" hidden="0" customWidth="1"/>
    <x:col min="10" max="10" width="12" hidden="0" customWidth="1"/>
    <x:col min="11" max="11" width="12" hidden="0" customWidth="1"/>
    <x:col min="12" max="12" width="28" hidden="0" customWidth="1"/>
    <x:col min="13" max="13" width="27" hidden="0" customWidth="1"/>
    <x:col min="14" max="14" width="25" hidden="0" customWidth="1"/>
    <x:col min="15" max="15" width="50" hidden="0" customWidth="1"/>
    <x:col min="16" max="16" width="42" hidden="0" customWidth="1"/>
    <x:col min="17" max="17" width="24" hidden="0" customWidth="1"/>
    <x:col min="18" max="18" width="62" hidden="0" customWidth="1"/>
  </x:cols>
  <x:sheetData>
    <x:row r="1" ht="36" customHeight="1">
      <x:c r="A1" s="81" t="str">
        <x:v>table17_record_id</x:v>
      </x:c>
      <x:c r="B1" s="81" t="str">
        <x:v>source_name</x:v>
      </x:c>
      <x:c r="C1" s="81" t="str">
        <x:v>canonical_name</x:v>
      </x:c>
      <x:c r="D1" s="81" t="str">
        <x:v>cas</x:v>
      </x:c>
      <x:c r="E1" s="81" t="str">
        <x:v>compound_group</x:v>
      </x:c>
      <x:c r="F1" s="81" t="str">
        <x:v>retention_index_source</x:v>
      </x:c>
      <x:c r="G1" s="81" t="str">
        <x:v>aroma_description_source</x:v>
      </x:c>
      <x:c r="H1" s="81" t="str">
        <x:v>chicken</x:v>
      </x:c>
      <x:c r="I1" s="81" t="str">
        <x:v>pheasant</x:v>
      </x:c>
      <x:c r="J1" s="81" t="str">
        <x:v>partridge</x:v>
      </x:c>
      <x:c r="K1" s="81" t="str">
        <x:v>quail</x:v>
      </x:c>
      <x:c r="L1" s="81" t="str">
        <x:v>occurrence_class</x:v>
      </x:c>
      <x:c r="M1" s="81" t="str">
        <x:v>resolution_status</x:v>
      </x:c>
      <x:c r="N1" s="81" t="str">
        <x:v>source_id</x:v>
      </x:c>
      <x:c r="O1" s="81" t="str">
        <x:v>article_source_id</x:v>
      </x:c>
      <x:c r="P1" s="81" t="str">
        <x:v>source_url</x:v>
      </x:c>
      <x:c r="Q1" s="81" t="str">
        <x:v>source_location</x:v>
      </x:c>
      <x:c r="R1" s="81" t="str">
        <x:v>evidence_note</x:v>
      </x:c>
    </x:row>
    <x:row r="2">
      <x:c r="A2" s="46" t="str">
        <x:v>T17-001</x:v>
      </x:c>
      <x:c r="B2" s="46" t="str">
        <x:v>2-(E)-Butenal</x:v>
      </x:c>
      <x:c r="C2" s="46" t="str">
        <x:v>(E)-2-butenal</x:v>
      </x:c>
      <x:c r="D2" s="46" t="str">
        <x:v>123-73-9</x:v>
      </x:c>
      <x:c r="E2" s="46" t="str">
        <x:v>Carbonyls, aldehydes</x:v>
      </x:c>
      <x:c r="F2" s="46" t="n">
        <x:v>651</x:v>
      </x:c>
      <x:c r="G2" s="46" t="str">
        <x:v>Vanille, süß</x:v>
      </x:c>
      <x:c r="H2" s="46" t="str">
        <x:v>yes</x:v>
      </x:c>
      <x:c r="I2" s="46" t="str">
        <x:v>yes</x:v>
      </x:c>
      <x:c r="J2" s="46" t="str">
        <x:v>yes</x:v>
      </x:c>
      <x:c r="K2" s="46" t="str">
        <x:v>yes</x:v>
      </x:c>
      <x:c r="L2" s="46" t="str">
        <x:v>shared_all_four</x:v>
      </x:c>
      <x:c r="M2" s="46" t="str">
        <x:v>resolved</x:v>
      </x:c>
      <x:c r="N2" s="46" t="str">
        <x:v>SRC-LANDFOWL-THESIS-001</x:v>
      </x:c>
      <x:c r="O2" s="46" t="str">
        <x:v>SRC-LANDFOWL-COMP-001</x:v>
      </x:c>
      <x:c r="P2" s="46" t="str">
        <x:v>https://elib.tiho-hannover.de/servlets/MCRFileNodeServlet/etd_derivate_00001197/baruths_ws10.pdf</x:v>
      </x:c>
      <x:c r="Q2" s="46" t="str">
        <x:v>Table 17 / pages 80-83</x:v>
      </x:c>
      <x:c r="R2" s="46" t="str">
        <x:v>Direct occurrence matrix. Shared occurrence does not imply equal abundance or sensory importance.</x:v>
      </x:c>
    </x:row>
    <x:row r="3">
      <x:c r="A3" s="46" t="str">
        <x:v>T17-002</x:v>
      </x:c>
      <x:c r="B3" s="46" t="str">
        <x:v>3-Methylbutanal</x:v>
      </x:c>
      <x:c r="C3" s="46" t="str">
        <x:v>3-methylbutanal</x:v>
      </x:c>
      <x:c r="D3" s="46" t="str">
        <x:v>590-86-3</x:v>
      </x:c>
      <x:c r="E3" s="46" t="str">
        <x:v>Carbonyls, aldehydes</x:v>
      </x:c>
      <x:c r="F3" s="46" t="n">
        <x:v>653</x:v>
      </x:c>
      <x:c r="G3" s="46" t="str">
        <x:v>Schokolade, Buttermmandel</x:v>
      </x:c>
      <x:c r="H3" s="46" t="str">
        <x:v>yes</x:v>
      </x:c>
      <x:c r="I3" s="46" t="str">
        <x:v>yes</x:v>
      </x:c>
      <x:c r="J3" s="46" t="str">
        <x:v>yes</x:v>
      </x:c>
      <x:c r="K3" s="46" t="str">
        <x:v>yes</x:v>
      </x:c>
      <x:c r="L3" s="46" t="str">
        <x:v>shared_all_four</x:v>
      </x:c>
      <x:c r="M3" s="46" t="str">
        <x:v>resolved</x:v>
      </x:c>
      <x:c r="N3" s="46" t="str">
        <x:v>SRC-LANDFOWL-THESIS-001</x:v>
      </x:c>
      <x:c r="O3" s="46" t="str">
        <x:v>SRC-LANDFOWL-COMP-001</x:v>
      </x:c>
      <x:c r="P3" s="46" t="str">
        <x:v>https://elib.tiho-hannover.de/servlets/MCRFileNodeServlet/etd_derivate_00001197/baruths_ws10.pdf</x:v>
      </x:c>
      <x:c r="Q3" s="46" t="str">
        <x:v>Table 17 / pages 80-83</x:v>
      </x:c>
      <x:c r="R3" s="46" t="str">
        <x:v>Direct occurrence matrix. Shared occurrence does not imply equal abundance or sensory importance.</x:v>
      </x:c>
    </x:row>
    <x:row r="4">
      <x:c r="A4" s="46" t="str">
        <x:v>T17-003</x:v>
      </x:c>
      <x:c r="B4" s="46" t="str">
        <x:v>2-Methylbutanal</x:v>
      </x:c>
      <x:c r="C4" s="46" t="str">
        <x:v>2-methylbutanal</x:v>
      </x:c>
      <x:c r="D4" s="46" t="str">
        <x:v>96-17-3</x:v>
      </x:c>
      <x:c r="E4" s="46" t="str">
        <x:v>Carbonyls, aldehydes</x:v>
      </x:c>
      <x:c r="F4" s="46" t="n">
        <x:v>661</x:v>
      </x:c>
      <x:c r="G4" s="46" t="str">
        <x:v>Vanille, muffig</x:v>
      </x:c>
      <x:c r="H4" s="46" t="str">
        <x:v>yes</x:v>
      </x:c>
      <x:c r="I4" s="46" t="str">
        <x:v>yes</x:v>
      </x:c>
      <x:c r="J4" s="46" t="str">
        <x:v>yes</x:v>
      </x:c>
      <x:c r="K4" s="46" t="str">
        <x:v>yes</x:v>
      </x:c>
      <x:c r="L4" s="46" t="str">
        <x:v>shared_all_four</x:v>
      </x:c>
      <x:c r="M4" s="46" t="str">
        <x:v>resolved</x:v>
      </x:c>
      <x:c r="N4" s="46" t="str">
        <x:v>SRC-LANDFOWL-THESIS-001</x:v>
      </x:c>
      <x:c r="O4" s="46" t="str">
        <x:v>SRC-LANDFOWL-COMP-001</x:v>
      </x:c>
      <x:c r="P4" s="46" t="str">
        <x:v>https://elib.tiho-hannover.de/servlets/MCRFileNodeServlet/etd_derivate_00001197/baruths_ws10.pdf</x:v>
      </x:c>
      <x:c r="Q4" s="46" t="str">
        <x:v>Table 17 / pages 80-83</x:v>
      </x:c>
      <x:c r="R4" s="46" t="str">
        <x:v>Direct occurrence matrix. Shared occurrence does not imply equal abundance or sensory importance.</x:v>
      </x:c>
    </x:row>
    <x:row r="5">
      <x:c r="A5" s="46" t="str">
        <x:v>T17-004</x:v>
      </x:c>
      <x:c r="B5" s="46" t="str">
        <x:v>Pentanal</x:v>
      </x:c>
      <x:c r="C5" s="46" t="str">
        <x:v>pentanal</x:v>
      </x:c>
      <x:c r="D5" s="46" t="str">
        <x:v>110-62-3</x:v>
      </x:c>
      <x:c r="E5" s="46" t="str">
        <x:v>Carbonyls, aldehydes</x:v>
      </x:c>
      <x:c r="F5" s="46" t="n">
        <x:v>698</x:v>
      </x:c>
      <x:c r="G5" s="46" t="str">
        <x:v>Gras, grün</x:v>
      </x:c>
      <x:c r="H5" s="46" t="str">
        <x:v>yes</x:v>
      </x:c>
      <x:c r="I5" s="46" t="str">
        <x:v>yes</x:v>
      </x:c>
      <x:c r="J5" s="46" t="str">
        <x:v>yes</x:v>
      </x:c>
      <x:c r="K5" s="46" t="str">
        <x:v>yes</x:v>
      </x:c>
      <x:c r="L5" s="46" t="str">
        <x:v>shared_all_four</x:v>
      </x:c>
      <x:c r="M5" s="46" t="str">
        <x:v>resolved</x:v>
      </x:c>
      <x:c r="N5" s="46" t="str">
        <x:v>SRC-LANDFOWL-THESIS-001</x:v>
      </x:c>
      <x:c r="O5" s="46" t="str">
        <x:v>SRC-LANDFOWL-COMP-001</x:v>
      </x:c>
      <x:c r="P5" s="46" t="str">
        <x:v>https://elib.tiho-hannover.de/servlets/MCRFileNodeServlet/etd_derivate_00001197/baruths_ws10.pdf</x:v>
      </x:c>
      <x:c r="Q5" s="46" t="str">
        <x:v>Table 17 / pages 80-83</x:v>
      </x:c>
      <x:c r="R5" s="46" t="str">
        <x:v>Direct occurrence matrix. Shared occurrence does not imply equal abundance or sensory importance.</x:v>
      </x:c>
    </x:row>
    <x:row r="6">
      <x:c r="A6" s="46" t="str">
        <x:v>T17-005</x:v>
      </x:c>
      <x:c r="B6" s="46" t="str">
        <x:v>2-(E)-Pentenal</x:v>
      </x:c>
      <x:c r="C6" s="46" t="str">
        <x:v>(E)-2-pentenal</x:v>
      </x:c>
      <x:c r="D6" s="46" t="str">
        <x:v>1576-87-0</x:v>
      </x:c>
      <x:c r="E6" s="46" t="str">
        <x:v>Carbonyls, aldehydes</x:v>
      </x:c>
      <x:c r="F6" s="46" t="n">
        <x:v>759</x:v>
      </x:c>
      <x:c r="G6" s="46" t="str">
        <x:v>n.d.</x:v>
      </x:c>
      <x:c r="H6" s="46" t="str">
        <x:v>yes</x:v>
      </x:c>
      <x:c r="I6" s="46" t="str">
        <x:v>yes</x:v>
      </x:c>
      <x:c r="J6" s="46" t="str">
        <x:v>yes</x:v>
      </x:c>
      <x:c r="K6" s="46" t="str">
        <x:v>yes</x:v>
      </x:c>
      <x:c r="L6" s="46" t="str">
        <x:v>shared_all_four</x:v>
      </x:c>
      <x:c r="M6" s="46" t="str">
        <x:v>resolved</x:v>
      </x:c>
      <x:c r="N6" s="46" t="str">
        <x:v>SRC-LANDFOWL-THESIS-001</x:v>
      </x:c>
      <x:c r="O6" s="46" t="str">
        <x:v>SRC-LANDFOWL-COMP-001</x:v>
      </x:c>
      <x:c r="P6" s="46" t="str">
        <x:v>https://elib.tiho-hannover.de/servlets/MCRFileNodeServlet/etd_derivate_00001197/baruths_ws10.pdf</x:v>
      </x:c>
      <x:c r="Q6" s="46" t="str">
        <x:v>Table 17 / pages 80-83</x:v>
      </x:c>
      <x:c r="R6" s="46" t="str">
        <x:v>Direct occurrence matrix. Shared occurrence does not imply equal abundance or sensory importance.</x:v>
      </x:c>
    </x:row>
    <x:row r="7">
      <x:c r="A7" s="46" t="str">
        <x:v>T17-006</x:v>
      </x:c>
      <x:c r="B7" s="46" t="str">
        <x:v>1-Pentanol</x:v>
      </x:c>
      <x:c r="C7" s="46" t="str">
        <x:v>1-pentanol</x:v>
      </x:c>
      <x:c r="D7" s="46" t="str">
        <x:v>71-41-0</x:v>
      </x:c>
      <x:c r="E7" s="46" t="str">
        <x:v>Alcohols</x:v>
      </x:c>
      <x:c r="F7" s="46" t="n">
        <x:v>767</x:v>
      </x:c>
      <x:c r="G7" s="46" t="str">
        <x:v>Gummi, phenolisch</x:v>
      </x:c>
      <x:c r="H7" s="46" t="str">
        <x:v>yes</x:v>
      </x:c>
      <x:c r="I7" s="46" t="str">
        <x:v>yes</x:v>
      </x:c>
      <x:c r="J7" s="46" t="str">
        <x:v>yes</x:v>
      </x:c>
      <x:c r="K7" s="46" t="str">
        <x:v>yes</x:v>
      </x:c>
      <x:c r="L7" s="46" t="str">
        <x:v>shared_all_four</x:v>
      </x:c>
      <x:c r="M7" s="46" t="str">
        <x:v>resolved</x:v>
      </x:c>
      <x:c r="N7" s="46" t="str">
        <x:v>SRC-LANDFOWL-THESIS-001</x:v>
      </x:c>
      <x:c r="O7" s="46" t="str">
        <x:v>SRC-LANDFOWL-COMP-001</x:v>
      </x:c>
      <x:c r="P7" s="46" t="str">
        <x:v>https://elib.tiho-hannover.de/servlets/MCRFileNodeServlet/etd_derivate_00001197/baruths_ws10.pdf</x:v>
      </x:c>
      <x:c r="Q7" s="46" t="str">
        <x:v>Table 17 / pages 80-83</x:v>
      </x:c>
      <x:c r="R7" s="46" t="str">
        <x:v>Direct occurrence matrix. Shared occurrence does not imply equal abundance or sensory importance.</x:v>
      </x:c>
    </x:row>
    <x:row r="8">
      <x:c r="A8" s="46" t="str">
        <x:v>T17-007</x:v>
      </x:c>
      <x:c r="B8" s="46" t="str">
        <x:v>Hexanal</x:v>
      </x:c>
      <x:c r="C8" s="46" t="str">
        <x:v>hexanal</x:v>
      </x:c>
      <x:c r="D8" s="46" t="str">
        <x:v>66-25-1</x:v>
      </x:c>
      <x:c r="E8" s="46" t="str">
        <x:v>Carbonyls, aldehydes</x:v>
      </x:c>
      <x:c r="F8" s="46" t="n">
        <x:v>801</x:v>
      </x:c>
      <x:c r="G8" s="46" t="str">
        <x:v>Kartoffel, blumig</x:v>
      </x:c>
      <x:c r="H8" s="46" t="str">
        <x:v>yes</x:v>
      </x:c>
      <x:c r="I8" s="46" t="str">
        <x:v>yes</x:v>
      </x:c>
      <x:c r="J8" s="46" t="str">
        <x:v>yes</x:v>
      </x:c>
      <x:c r="K8" s="46" t="str">
        <x:v>yes</x:v>
      </x:c>
      <x:c r="L8" s="46" t="str">
        <x:v>shared_all_four</x:v>
      </x:c>
      <x:c r="M8" s="46" t="str">
        <x:v>resolved</x:v>
      </x:c>
      <x:c r="N8" s="46" t="str">
        <x:v>SRC-LANDFOWL-THESIS-001</x:v>
      </x:c>
      <x:c r="O8" s="46" t="str">
        <x:v>SRC-LANDFOWL-COMP-001</x:v>
      </x:c>
      <x:c r="P8" s="46" t="str">
        <x:v>https://elib.tiho-hannover.de/servlets/MCRFileNodeServlet/etd_derivate_00001197/baruths_ws10.pdf</x:v>
      </x:c>
      <x:c r="Q8" s="46" t="str">
        <x:v>Table 17 / pages 80-83</x:v>
      </x:c>
      <x:c r="R8" s="46" t="str">
        <x:v>Direct occurrence matrix. Shared occurrence does not imply equal abundance or sensory importance.</x:v>
      </x:c>
    </x:row>
    <x:row r="9">
      <x:c r="A9" s="46" t="str">
        <x:v>T17-008</x:v>
      </x:c>
      <x:c r="B9" s="46" t="str">
        <x:v>2-(E)-Hexenal</x:v>
      </x:c>
      <x:c r="C9" s="46" t="str">
        <x:v>(E)-2-hexenal</x:v>
      </x:c>
      <x:c r="D9" s="46" t="str">
        <x:v>6728-26-3</x:v>
      </x:c>
      <x:c r="E9" s="46" t="str">
        <x:v>Carbonyls, aldehydes</x:v>
      </x:c>
      <x:c r="F9" s="46" t="n">
        <x:v>849</x:v>
      </x:c>
      <x:c r="G9" s="46" t="str">
        <x:v>stechend, Marzipan</x:v>
      </x:c>
      <x:c r="H9" s="46" t="str">
        <x:v>yes</x:v>
      </x:c>
      <x:c r="I9" s="46" t="str">
        <x:v>yes</x:v>
      </x:c>
      <x:c r="J9" s="46" t="str">
        <x:v>yes</x:v>
      </x:c>
      <x:c r="K9" s="46" t="str">
        <x:v>yes</x:v>
      </x:c>
      <x:c r="L9" s="46" t="str">
        <x:v>shared_all_four</x:v>
      </x:c>
      <x:c r="M9" s="46" t="str">
        <x:v>resolved</x:v>
      </x:c>
      <x:c r="N9" s="46" t="str">
        <x:v>SRC-LANDFOWL-THESIS-001</x:v>
      </x:c>
      <x:c r="O9" s="46" t="str">
        <x:v>SRC-LANDFOWL-COMP-001</x:v>
      </x:c>
      <x:c r="P9" s="46" t="str">
        <x:v>https://elib.tiho-hannover.de/servlets/MCRFileNodeServlet/etd_derivate_00001197/baruths_ws10.pdf</x:v>
      </x:c>
      <x:c r="Q9" s="46" t="str">
        <x:v>Table 17 / pages 80-83</x:v>
      </x:c>
      <x:c r="R9" s="46" t="str">
        <x:v>Direct occurrence matrix. Shared occurrence does not imply equal abundance or sensory importance.</x:v>
      </x:c>
    </x:row>
    <x:row r="10">
      <x:c r="A10" s="46" t="str">
        <x:v>T17-009</x:v>
      </x:c>
      <x:c r="B10" s="46" t="str">
        <x:v>1-Hexanol</x:v>
      </x:c>
      <x:c r="C10" s="46" t="str">
        <x:v>1-hexanol</x:v>
      </x:c>
      <x:c r="D10" s="46" t="str">
        <x:v>111-27-3</x:v>
      </x:c>
      <x:c r="E10" s="46" t="str">
        <x:v>Alcohols</x:v>
      </x:c>
      <x:c r="F10" s="46" t="n">
        <x:v>870</x:v>
      </x:c>
      <x:c r="G10" s="46" t="str">
        <x:v>Käse</x:v>
      </x:c>
      <x:c r="H10" s="46" t="str">
        <x:v>yes</x:v>
      </x:c>
      <x:c r="I10" s="46" t="str">
        <x:v>yes</x:v>
      </x:c>
      <x:c r="J10" s="46" t="str">
        <x:v>yes</x:v>
      </x:c>
      <x:c r="K10" s="46" t="str">
        <x:v>yes</x:v>
      </x:c>
      <x:c r="L10" s="46" t="str">
        <x:v>shared_all_four</x:v>
      </x:c>
      <x:c r="M10" s="46" t="str">
        <x:v>resolved</x:v>
      </x:c>
      <x:c r="N10" s="46" t="str">
        <x:v>SRC-LANDFOWL-THESIS-001</x:v>
      </x:c>
      <x:c r="O10" s="46" t="str">
        <x:v>SRC-LANDFOWL-COMP-001</x:v>
      </x:c>
      <x:c r="P10" s="46" t="str">
        <x:v>https://elib.tiho-hannover.de/servlets/MCRFileNodeServlet/etd_derivate_00001197/baruths_ws10.pdf</x:v>
      </x:c>
      <x:c r="Q10" s="46" t="str">
        <x:v>Table 17 / pages 80-83</x:v>
      </x:c>
      <x:c r="R10" s="46" t="str">
        <x:v>Direct occurrence matrix. Shared occurrence does not imply equal abundance or sensory importance.</x:v>
      </x:c>
    </x:row>
    <x:row r="11">
      <x:c r="A11" s="46" t="str">
        <x:v>T17-010</x:v>
      </x:c>
      <x:c r="B11" s="46" t="str">
        <x:v>2-Heptanon</x:v>
      </x:c>
      <x:c r="C11" s="46" t="str">
        <x:v>2-heptanone</x:v>
      </x:c>
      <x:c r="D11" s="46" t="str">
        <x:v>110-43-0</x:v>
      </x:c>
      <x:c r="E11" s="46" t="str">
        <x:v>Carbonyls, ketones</x:v>
      </x:c>
      <x:c r="F11" s="46" t="n">
        <x:v>890</x:v>
      </x:c>
      <x:c r="G11" s="46" t="str">
        <x:v>Rhabarber, muffig</x:v>
      </x:c>
      <x:c r="H11" s="46" t="str">
        <x:v>yes</x:v>
      </x:c>
      <x:c r="I11" s="46" t="str">
        <x:v>yes</x:v>
      </x:c>
      <x:c r="J11" s="46" t="str">
        <x:v>yes</x:v>
      </x:c>
      <x:c r="K11" s="46" t="str">
        <x:v>yes</x:v>
      </x:c>
      <x:c r="L11" s="46" t="str">
        <x:v>shared_all_four</x:v>
      </x:c>
      <x:c r="M11" s="46" t="str">
        <x:v>resolved</x:v>
      </x:c>
      <x:c r="N11" s="46" t="str">
        <x:v>SRC-LANDFOWL-THESIS-001</x:v>
      </x:c>
      <x:c r="O11" s="46" t="str">
        <x:v>SRC-LANDFOWL-COMP-001</x:v>
      </x:c>
      <x:c r="P11" s="46" t="str">
        <x:v>https://elib.tiho-hannover.de/servlets/MCRFileNodeServlet/etd_derivate_00001197/baruths_ws10.pdf</x:v>
      </x:c>
      <x:c r="Q11" s="46" t="str">
        <x:v>Table 17 / pages 80-83</x:v>
      </x:c>
      <x:c r="R11" s="46" t="str">
        <x:v>Direct occurrence matrix. Shared occurrence does not imply equal abundance or sensory importance.</x:v>
      </x:c>
    </x:row>
    <x:row r="12">
      <x:c r="A12" s="46" t="str">
        <x:v>T17-011</x:v>
      </x:c>
      <x:c r="B12" s="46" t="str">
        <x:v>Heptanal</x:v>
      </x:c>
      <x:c r="C12" s="46" t="str">
        <x:v>heptanal</x:v>
      </x:c>
      <x:c r="D12" s="46" t="str">
        <x:v>111-71-7</x:v>
      </x:c>
      <x:c r="E12" s="46" t="str">
        <x:v>Carbonyls, aldehydes</x:v>
      </x:c>
      <x:c r="F12" s="46" t="n">
        <x:v>901</x:v>
      </x:c>
      <x:c r="G12" s="46" t="str">
        <x:v>Fruchtig, Kartoffel</x:v>
      </x:c>
      <x:c r="H12" s="46" t="str">
        <x:v>yes</x:v>
      </x:c>
      <x:c r="I12" s="46" t="str">
        <x:v>yes</x:v>
      </x:c>
      <x:c r="J12" s="46" t="str">
        <x:v>yes</x:v>
      </x:c>
      <x:c r="K12" s="46" t="str">
        <x:v>yes</x:v>
      </x:c>
      <x:c r="L12" s="46" t="str">
        <x:v>shared_all_four</x:v>
      </x:c>
      <x:c r="M12" s="46" t="str">
        <x:v>resolved</x:v>
      </x:c>
      <x:c r="N12" s="46" t="str">
        <x:v>SRC-LANDFOWL-THESIS-001</x:v>
      </x:c>
      <x:c r="O12" s="46" t="str">
        <x:v>SRC-LANDFOWL-COMP-001</x:v>
      </x:c>
      <x:c r="P12" s="46" t="str">
        <x:v>https://elib.tiho-hannover.de/servlets/MCRFileNodeServlet/etd_derivate_00001197/baruths_ws10.pdf</x:v>
      </x:c>
      <x:c r="Q12" s="46" t="str">
        <x:v>Table 17 / pages 80-83</x:v>
      </x:c>
      <x:c r="R12" s="46" t="str">
        <x:v>Direct occurrence matrix. Shared occurrence does not imply equal abundance or sensory importance.</x:v>
      </x:c>
    </x:row>
    <x:row r="13">
      <x:c r="A13" s="46" t="str">
        <x:v>T17-012</x:v>
      </x:c>
      <x:c r="B13" s="46" t="str">
        <x:v>2-(E)-Heptenal</x:v>
      </x:c>
      <x:c r="C13" s="46" t="str">
        <x:v>(E)-2-heptenal</x:v>
      </x:c>
      <x:c r="D13" s="46" t="str">
        <x:v>18829-55-5</x:v>
      </x:c>
      <x:c r="E13" s="46" t="str">
        <x:v>Carbonyls, aldehydes</x:v>
      </x:c>
      <x:c r="F13" s="46" t="n">
        <x:v>966</x:v>
      </x:c>
      <x:c r="G13" s="46" t="str">
        <x:v>Mandel, Zimt</x:v>
      </x:c>
      <x:c r="H13" s="46" t="str">
        <x:v>yes</x:v>
      </x:c>
      <x:c r="I13" s="46" t="str">
        <x:v>yes</x:v>
      </x:c>
      <x:c r="J13" s="46" t="str">
        <x:v>yes</x:v>
      </x:c>
      <x:c r="K13" s="46" t="str">
        <x:v>yes</x:v>
      </x:c>
      <x:c r="L13" s="46" t="str">
        <x:v>shared_all_four</x:v>
      </x:c>
      <x:c r="M13" s="46" t="str">
        <x:v>resolved</x:v>
      </x:c>
      <x:c r="N13" s="46" t="str">
        <x:v>SRC-LANDFOWL-THESIS-001</x:v>
      </x:c>
      <x:c r="O13" s="46" t="str">
        <x:v>SRC-LANDFOWL-COMP-001</x:v>
      </x:c>
      <x:c r="P13" s="46" t="str">
        <x:v>https://elib.tiho-hannover.de/servlets/MCRFileNodeServlet/etd_derivate_00001197/baruths_ws10.pdf</x:v>
      </x:c>
      <x:c r="Q13" s="46" t="str">
        <x:v>Table 17 / pages 80-83</x:v>
      </x:c>
      <x:c r="R13" s="46" t="str">
        <x:v>Direct occurrence matrix. Shared occurrence does not imply equal abundance or sensory importance.</x:v>
      </x:c>
    </x:row>
    <x:row r="14">
      <x:c r="A14" s="46" t="str">
        <x:v>T17-013</x:v>
      </x:c>
      <x:c r="B14" s="46" t="str">
        <x:v>Benzaldehyd</x:v>
      </x:c>
      <x:c r="C14" s="46" t="str">
        <x:v>benzaldehyde</x:v>
      </x:c>
      <x:c r="D14" s="46" t="str">
        <x:v>100-52-7</x:v>
      </x:c>
      <x:c r="E14" s="46" t="str">
        <x:v>Carbonyls, aldehydes</x:v>
      </x:c>
      <x:c r="F14" s="46" t="n">
        <x:v>968</x:v>
      </x:c>
      <x:c r="G14" s="46" t="str">
        <x:v>n.d.</x:v>
      </x:c>
      <x:c r="H14" s="46" t="str">
        <x:v>yes</x:v>
      </x:c>
      <x:c r="I14" s="46" t="str">
        <x:v>yes</x:v>
      </x:c>
      <x:c r="J14" s="46" t="str">
        <x:v>yes</x:v>
      </x:c>
      <x:c r="K14" s="46" t="str">
        <x:v>yes</x:v>
      </x:c>
      <x:c r="L14" s="46" t="str">
        <x:v>shared_all_four</x:v>
      </x:c>
      <x:c r="M14" s="46" t="str">
        <x:v>resolved</x:v>
      </x:c>
      <x:c r="N14" s="46" t="str">
        <x:v>SRC-LANDFOWL-THESIS-001</x:v>
      </x:c>
      <x:c r="O14" s="46" t="str">
        <x:v>SRC-LANDFOWL-COMP-001</x:v>
      </x:c>
      <x:c r="P14" s="46" t="str">
        <x:v>https://elib.tiho-hannover.de/servlets/MCRFileNodeServlet/etd_derivate_00001197/baruths_ws10.pdf</x:v>
      </x:c>
      <x:c r="Q14" s="46" t="str">
        <x:v>Table 17 / pages 80-83</x:v>
      </x:c>
      <x:c r="R14" s="46" t="str">
        <x:v>Direct occurrence matrix. Shared occurrence does not imply equal abundance or sensory importance.</x:v>
      </x:c>
    </x:row>
    <x:row r="15">
      <x:c r="A15" s="46" t="str">
        <x:v>T17-014</x:v>
      </x:c>
      <x:c r="B15" s="46" t="str">
        <x:v>1-Heptanol</x:v>
      </x:c>
      <x:c r="C15" s="46" t="str">
        <x:v>1-heptanol</x:v>
      </x:c>
      <x:c r="D15" s="46" t="str">
        <x:v>111-70-6</x:v>
      </x:c>
      <x:c r="E15" s="46" t="str">
        <x:v>Alcohols</x:v>
      </x:c>
      <x:c r="F15" s="46" t="n">
        <x:v>974</x:v>
      </x:c>
      <x:c r="G15" s="46" t="str">
        <x:v>n.d.</x:v>
      </x:c>
      <x:c r="H15" s="46" t="str">
        <x:v>yes</x:v>
      </x:c>
      <x:c r="I15" s="46" t="str">
        <x:v>yes</x:v>
      </x:c>
      <x:c r="J15" s="46" t="str">
        <x:v>yes</x:v>
      </x:c>
      <x:c r="K15" s="46" t="str">
        <x:v>yes</x:v>
      </x:c>
      <x:c r="L15" s="46" t="str">
        <x:v>shared_all_four</x:v>
      </x:c>
      <x:c r="M15" s="46" t="str">
        <x:v>resolved</x:v>
      </x:c>
      <x:c r="N15" s="46" t="str">
        <x:v>SRC-LANDFOWL-THESIS-001</x:v>
      </x:c>
      <x:c r="O15" s="46" t="str">
        <x:v>SRC-LANDFOWL-COMP-001</x:v>
      </x:c>
      <x:c r="P15" s="46" t="str">
        <x:v>https://elib.tiho-hannover.de/servlets/MCRFileNodeServlet/etd_derivate_00001197/baruths_ws10.pdf</x:v>
      </x:c>
      <x:c r="Q15" s="46" t="str">
        <x:v>Table 17 / pages 80-83</x:v>
      </x:c>
      <x:c r="R15" s="46" t="str">
        <x:v>Direct occurrence matrix. Shared occurrence does not imply equal abundance or sensory importance.</x:v>
      </x:c>
    </x:row>
    <x:row r="16">
      <x:c r="A16" s="46" t="str">
        <x:v>T17-015</x:v>
      </x:c>
      <x:c r="B16" s="46" t="str">
        <x:v>1-Octen-3-ol</x:v>
      </x:c>
      <x:c r="C16" s="46" t="str">
        <x:v>1-octen-3-ol</x:v>
      </x:c>
      <x:c r="D16" s="46" t="str">
        <x:v>3391-86-4</x:v>
      </x:c>
      <x:c r="E16" s="46" t="str">
        <x:v>Alcohols</x:v>
      </x:c>
      <x:c r="F16" s="46" t="n">
        <x:v>982</x:v>
      </x:c>
      <x:c r="G16" s="46" t="str">
        <x:v>Champignon</x:v>
      </x:c>
      <x:c r="H16" s="46" t="str">
        <x:v>yes</x:v>
      </x:c>
      <x:c r="I16" s="46" t="str">
        <x:v>yes</x:v>
      </x:c>
      <x:c r="J16" s="46" t="str">
        <x:v>yes</x:v>
      </x:c>
      <x:c r="K16" s="46" t="str">
        <x:v>yes</x:v>
      </x:c>
      <x:c r="L16" s="46" t="str">
        <x:v>shared_all_four</x:v>
      </x:c>
      <x:c r="M16" s="46" t="str">
        <x:v>resolved</x:v>
      </x:c>
      <x:c r="N16" s="46" t="str">
        <x:v>SRC-LANDFOWL-THESIS-001</x:v>
      </x:c>
      <x:c r="O16" s="46" t="str">
        <x:v>SRC-LANDFOWL-COMP-001</x:v>
      </x:c>
      <x:c r="P16" s="46" t="str">
        <x:v>https://elib.tiho-hannover.de/servlets/MCRFileNodeServlet/etd_derivate_00001197/baruths_ws10.pdf</x:v>
      </x:c>
      <x:c r="Q16" s="46" t="str">
        <x:v>Table 17 / pages 80-83</x:v>
      </x:c>
      <x:c r="R16" s="46" t="str">
        <x:v>Direct occurrence matrix. Shared occurrence does not imply equal abundance or sensory importance.</x:v>
      </x:c>
    </x:row>
    <x:row r="17">
      <x:c r="A17" s="46" t="str">
        <x:v>T17-016</x:v>
      </x:c>
      <x:c r="B17" s="46" t="str">
        <x:v>3-Nonen-2-on</x:v>
      </x:c>
      <x:c r="C17" s="46" t="str">
        <x:v>3-nonen-2-one</x:v>
      </x:c>
      <x:c r="D17" s="46" t="str">
        <x:v>14309-57-0</x:v>
      </x:c>
      <x:c r="E17" s="46" t="str">
        <x:v>Carbonyls, ketones</x:v>
      </x:c>
      <x:c r="F17" s="46" t="n">
        <x:v>987</x:v>
      </x:c>
      <x:c r="G17" s="46" t="str">
        <x:v>n.d.</x:v>
      </x:c>
      <x:c r="H17" s="46" t="str">
        <x:v>yes</x:v>
      </x:c>
      <x:c r="I17" s="46" t="str">
        <x:v>yes</x:v>
      </x:c>
      <x:c r="J17" s="46" t="str">
        <x:v>yes</x:v>
      </x:c>
      <x:c r="K17" s="46" t="str">
        <x:v>yes</x:v>
      </x:c>
      <x:c r="L17" s="46" t="str">
        <x:v>shared_all_four</x:v>
      </x:c>
      <x:c r="M17" s="46" t="str">
        <x:v>resolved</x:v>
      </x:c>
      <x:c r="N17" s="46" t="str">
        <x:v>SRC-LANDFOWL-THESIS-001</x:v>
      </x:c>
      <x:c r="O17" s="46" t="str">
        <x:v>SRC-LANDFOWL-COMP-001</x:v>
      </x:c>
      <x:c r="P17" s="46" t="str">
        <x:v>https://elib.tiho-hannover.de/servlets/MCRFileNodeServlet/etd_derivate_00001197/baruths_ws10.pdf</x:v>
      </x:c>
      <x:c r="Q17" s="46" t="str">
        <x:v>Table 17 / pages 80-83</x:v>
      </x:c>
      <x:c r="R17" s="46" t="str">
        <x:v>Direct occurrence matrix. Shared occurrence does not imply equal abundance or sensory importance.</x:v>
      </x:c>
    </x:row>
    <x:row r="18">
      <x:c r="A18" s="46" t="str">
        <x:v>T17-017</x:v>
      </x:c>
      <x:c r="B18" s="46" t="str">
        <x:v>2,4-(E,E)-Heptadienal</x:v>
      </x:c>
      <x:c r="C18" s="46" t="str">
        <x:v>(E,E)-2,4-heptadienal</x:v>
      </x:c>
      <x:c r="D18" s="46" t="str">
        <x:v>4313-03-5</x:v>
      </x:c>
      <x:c r="E18" s="46" t="str">
        <x:v>Carbonyls, aldehydes</x:v>
      </x:c>
      <x:c r="F18" s="46" t="n">
        <x:v>996</x:v>
      </x:c>
      <x:c r="G18" s="46" t="str">
        <x:v>n.d.</x:v>
      </x:c>
      <x:c r="H18" s="46" t="str">
        <x:v>yes</x:v>
      </x:c>
      <x:c r="I18" s="46" t="str">
        <x:v>yes</x:v>
      </x:c>
      <x:c r="J18" s="46" t="str">
        <x:v>yes</x:v>
      </x:c>
      <x:c r="K18" s="46" t="str">
        <x:v>yes</x:v>
      </x:c>
      <x:c r="L18" s="46" t="str">
        <x:v>shared_all_four</x:v>
      </x:c>
      <x:c r="M18" s="46" t="str">
        <x:v>resolved</x:v>
      </x:c>
      <x:c r="N18" s="46" t="str">
        <x:v>SRC-LANDFOWL-THESIS-001</x:v>
      </x:c>
      <x:c r="O18" s="46" t="str">
        <x:v>SRC-LANDFOWL-COMP-001</x:v>
      </x:c>
      <x:c r="P18" s="46" t="str">
        <x:v>https://elib.tiho-hannover.de/servlets/MCRFileNodeServlet/etd_derivate_00001197/baruths_ws10.pdf</x:v>
      </x:c>
      <x:c r="Q18" s="46" t="str">
        <x:v>Table 17 / pages 80-83</x:v>
      </x:c>
      <x:c r="R18" s="46" t="str">
        <x:v>Direct occurrence matrix. Shared occurrence does not imply equal abundance or sensory importance.</x:v>
      </x:c>
    </x:row>
    <x:row r="19">
      <x:c r="A19" s="46" t="str">
        <x:v>T17-018</x:v>
      </x:c>
      <x:c r="B19" s="46" t="str">
        <x:v>Octanal</x:v>
      </x:c>
      <x:c r="C19" s="46" t="str">
        <x:v>octanal</x:v>
      </x:c>
      <x:c r="D19" s="46" t="str">
        <x:v>124-13-0</x:v>
      </x:c>
      <x:c r="E19" s="46" t="str">
        <x:v>Carbonyls, aldehydes</x:v>
      </x:c>
      <x:c r="F19" s="46" t="n">
        <x:v>1002</x:v>
      </x:c>
      <x:c r="G19" s="46" t="str">
        <x:v>Blumig, stechend</x:v>
      </x:c>
      <x:c r="H19" s="46" t="str">
        <x:v>yes</x:v>
      </x:c>
      <x:c r="I19" s="46" t="str">
        <x:v>yes</x:v>
      </x:c>
      <x:c r="J19" s="46" t="str">
        <x:v>yes</x:v>
      </x:c>
      <x:c r="K19" s="46" t="str">
        <x:v>yes</x:v>
      </x:c>
      <x:c r="L19" s="46" t="str">
        <x:v>shared_all_four</x:v>
      </x:c>
      <x:c r="M19" s="46" t="str">
        <x:v>resolved</x:v>
      </x:c>
      <x:c r="N19" s="46" t="str">
        <x:v>SRC-LANDFOWL-THESIS-001</x:v>
      </x:c>
      <x:c r="O19" s="46" t="str">
        <x:v>SRC-LANDFOWL-COMP-001</x:v>
      </x:c>
      <x:c r="P19" s="46" t="str">
        <x:v>https://elib.tiho-hannover.de/servlets/MCRFileNodeServlet/etd_derivate_00001197/baruths_ws10.pdf</x:v>
      </x:c>
      <x:c r="Q19" s="46" t="str">
        <x:v>Table 17 / pages 80-83</x:v>
      </x:c>
      <x:c r="R19" s="46" t="str">
        <x:v>Direct occurrence matrix. Shared occurrence does not imply equal abundance or sensory importance.</x:v>
      </x:c>
    </x:row>
    <x:row r="20">
      <x:c r="A20" s="46" t="str">
        <x:v>T17-019</x:v>
      </x:c>
      <x:c r="B20" s="46" t="str">
        <x:v>2,4-(E,Z)-Heptadienal</x:v>
      </x:c>
      <x:c r="C20" s="46" t="str">
        <x:v>(E,Z)-2,4-heptadienal</x:v>
      </x:c>
      <x:c r="D20" s="46" t="str">
        <x:v>4313-02-4</x:v>
      </x:c>
      <x:c r="E20" s="46" t="str">
        <x:v>Carbonyls, aldehydes</x:v>
      </x:c>
      <x:c r="F20" s="46" t="n">
        <x:v>1011</x:v>
      </x:c>
      <x:c r="G20" s="46" t="str">
        <x:v>geröstet, Zimt</x:v>
      </x:c>
      <x:c r="H20" s="46" t="str">
        <x:v>yes</x:v>
      </x:c>
      <x:c r="I20" s="46" t="str">
        <x:v>yes</x:v>
      </x:c>
      <x:c r="J20" s="46" t="str">
        <x:v>yes</x:v>
      </x:c>
      <x:c r="K20" s="46" t="str">
        <x:v>yes</x:v>
      </x:c>
      <x:c r="L20" s="46" t="str">
        <x:v>shared_all_four</x:v>
      </x:c>
      <x:c r="M20" s="46" t="str">
        <x:v>resolved</x:v>
      </x:c>
      <x:c r="N20" s="46" t="str">
        <x:v>SRC-LANDFOWL-THESIS-001</x:v>
      </x:c>
      <x:c r="O20" s="46" t="str">
        <x:v>SRC-LANDFOWL-COMP-001</x:v>
      </x:c>
      <x:c r="P20" s="46" t="str">
        <x:v>https://elib.tiho-hannover.de/servlets/MCRFileNodeServlet/etd_derivate_00001197/baruths_ws10.pdf</x:v>
      </x:c>
      <x:c r="Q20" s="46" t="str">
        <x:v>Table 17 / pages 80-83</x:v>
      </x:c>
      <x:c r="R20" s="46" t="str">
        <x:v>Direct occurrence matrix. Shared occurrence does not imply equal abundance or sensory importance.</x:v>
      </x:c>
    </x:row>
    <x:row r="21">
      <x:c r="A21" s="46" t="str">
        <x:v>T17-020</x:v>
      </x:c>
      <x:c r="B21" s="46" t="str">
        <x:v>2-(E)-Octenal</x:v>
      </x:c>
      <x:c r="C21" s="46" t="str">
        <x:v>(E)-2-octenal</x:v>
      </x:c>
      <x:c r="D21" s="46" t="str">
        <x:v>2548-87-0</x:v>
      </x:c>
      <x:c r="E21" s="46" t="str">
        <x:v>Carbonyls, aldehydes</x:v>
      </x:c>
      <x:c r="F21" s="46" t="n">
        <x:v>1050</x:v>
      </x:c>
      <x:c r="G21" s="46" t="str">
        <x:v>Feuchte Erde</x:v>
      </x:c>
      <x:c r="H21" s="46" t="str">
        <x:v>yes</x:v>
      </x:c>
      <x:c r="I21" s="46" t="str">
        <x:v>yes</x:v>
      </x:c>
      <x:c r="J21" s="46" t="str">
        <x:v>yes</x:v>
      </x:c>
      <x:c r="K21" s="46" t="str">
        <x:v>yes</x:v>
      </x:c>
      <x:c r="L21" s="46" t="str">
        <x:v>shared_all_four</x:v>
      </x:c>
      <x:c r="M21" s="46" t="str">
        <x:v>resolved</x:v>
      </x:c>
      <x:c r="N21" s="46" t="str">
        <x:v>SRC-LANDFOWL-THESIS-001</x:v>
      </x:c>
      <x:c r="O21" s="46" t="str">
        <x:v>SRC-LANDFOWL-COMP-001</x:v>
      </x:c>
      <x:c r="P21" s="46" t="str">
        <x:v>https://elib.tiho-hannover.de/servlets/MCRFileNodeServlet/etd_derivate_00001197/baruths_ws10.pdf</x:v>
      </x:c>
      <x:c r="Q21" s="46" t="str">
        <x:v>Table 17 / pages 80-83</x:v>
      </x:c>
      <x:c r="R21" s="46" t="str">
        <x:v>Direct occurrence matrix. Shared occurrence does not imply equal abundance or sensory importance.</x:v>
      </x:c>
    </x:row>
    <x:row r="22">
      <x:c r="A22" s="46" t="str">
        <x:v>T17-021</x:v>
      </x:c>
      <x:c r="B22" s="46" t="str">
        <x:v>1-Octanol</x:v>
      </x:c>
      <x:c r="C22" s="46" t="str">
        <x:v>1-octanol</x:v>
      </x:c>
      <x:c r="D22" s="46" t="str">
        <x:v>111-87-5</x:v>
      </x:c>
      <x:c r="E22" s="46" t="str">
        <x:v>Alcohols</x:v>
      </x:c>
      <x:c r="F22" s="46" t="n">
        <x:v>1073</x:v>
      </x:c>
      <x:c r="G22" s="46" t="str">
        <x:v>Butter, fettig</x:v>
      </x:c>
      <x:c r="H22" s="46" t="str">
        <x:v>yes</x:v>
      </x:c>
      <x:c r="I22" s="46" t="str">
        <x:v>yes</x:v>
      </x:c>
      <x:c r="J22" s="46" t="str">
        <x:v>yes</x:v>
      </x:c>
      <x:c r="K22" s="46" t="str">
        <x:v>yes</x:v>
      </x:c>
      <x:c r="L22" s="46" t="str">
        <x:v>shared_all_four</x:v>
      </x:c>
      <x:c r="M22" s="46" t="str">
        <x:v>resolved</x:v>
      </x:c>
      <x:c r="N22" s="46" t="str">
        <x:v>SRC-LANDFOWL-THESIS-001</x:v>
      </x:c>
      <x:c r="O22" s="46" t="str">
        <x:v>SRC-LANDFOWL-COMP-001</x:v>
      </x:c>
      <x:c r="P22" s="46" t="str">
        <x:v>https://elib.tiho-hannover.de/servlets/MCRFileNodeServlet/etd_derivate_00001197/baruths_ws10.pdf</x:v>
      </x:c>
      <x:c r="Q22" s="46" t="str">
        <x:v>Table 17 / pages 80-83</x:v>
      </x:c>
      <x:c r="R22" s="46" t="str">
        <x:v>Direct occurrence matrix. Shared occurrence does not imply equal abundance or sensory importance.</x:v>
      </x:c>
    </x:row>
    <x:row r="23">
      <x:c r="A23" s="46" t="str">
        <x:v>T17-022</x:v>
      </x:c>
      <x:c r="B23" s="46" t="str">
        <x:v>Undecan</x:v>
      </x:c>
      <x:c r="C23" s="46" t="str">
        <x:v>undecane</x:v>
      </x:c>
      <x:c r="D23" s="46" t="str">
        <x:v>1120-21-4</x:v>
      </x:c>
      <x:c r="E23" s="46" t="str">
        <x:v>Hydrocarbons</x:v>
      </x:c>
      <x:c r="F23" s="46" t="n">
        <x:v>1098</x:v>
      </x:c>
      <x:c r="G23" s="46" t="str">
        <x:v>n.d.</x:v>
      </x:c>
      <x:c r="H23" s="46" t="str">
        <x:v>yes</x:v>
      </x:c>
      <x:c r="I23" s="46" t="str">
        <x:v>yes</x:v>
      </x:c>
      <x:c r="J23" s="46" t="str">
        <x:v>yes</x:v>
      </x:c>
      <x:c r="K23" s="46" t="str">
        <x:v>yes</x:v>
      </x:c>
      <x:c r="L23" s="46" t="str">
        <x:v>shared_all_four</x:v>
      </x:c>
      <x:c r="M23" s="46" t="str">
        <x:v>resolved</x:v>
      </x:c>
      <x:c r="N23" s="46" t="str">
        <x:v>SRC-LANDFOWL-THESIS-001</x:v>
      </x:c>
      <x:c r="O23" s="46" t="str">
        <x:v>SRC-LANDFOWL-COMP-001</x:v>
      </x:c>
      <x:c r="P23" s="46" t="str">
        <x:v>https://elib.tiho-hannover.de/servlets/MCRFileNodeServlet/etd_derivate_00001197/baruths_ws10.pdf</x:v>
      </x:c>
      <x:c r="Q23" s="46" t="str">
        <x:v>Table 17 / pages 80-83</x:v>
      </x:c>
      <x:c r="R23" s="46" t="str">
        <x:v>Direct occurrence matrix. Shared occurrence does not imply equal abundance or sensory importance.</x:v>
      </x:c>
    </x:row>
    <x:row r="24">
      <x:c r="A24" s="46" t="str">
        <x:v>T17-023</x:v>
      </x:c>
      <x:c r="B24" s="46" t="str">
        <x:v>Nonanal</x:v>
      </x:c>
      <x:c r="C24" s="46" t="str">
        <x:v>nonanal</x:v>
      </x:c>
      <x:c r="D24" s="46" t="str">
        <x:v>124-19-6</x:v>
      </x:c>
      <x:c r="E24" s="46" t="str">
        <x:v>Carbonyls, aldehydes</x:v>
      </x:c>
      <x:c r="F24" s="46" t="n">
        <x:v>1105</x:v>
      </x:c>
      <x:c r="G24" s="46" t="str">
        <x:v>Kohle, Rauch</x:v>
      </x:c>
      <x:c r="H24" s="46" t="str">
        <x:v>yes</x:v>
      </x:c>
      <x:c r="I24" s="46" t="str">
        <x:v>yes</x:v>
      </x:c>
      <x:c r="J24" s="46" t="str">
        <x:v>yes</x:v>
      </x:c>
      <x:c r="K24" s="46" t="str">
        <x:v>yes</x:v>
      </x:c>
      <x:c r="L24" s="46" t="str">
        <x:v>shared_all_four</x:v>
      </x:c>
      <x:c r="M24" s="46" t="str">
        <x:v>resolved</x:v>
      </x:c>
      <x:c r="N24" s="46" t="str">
        <x:v>SRC-LANDFOWL-THESIS-001</x:v>
      </x:c>
      <x:c r="O24" s="46" t="str">
        <x:v>SRC-LANDFOWL-COMP-001</x:v>
      </x:c>
      <x:c r="P24" s="46" t="str">
        <x:v>https://elib.tiho-hannover.de/servlets/MCRFileNodeServlet/etd_derivate_00001197/baruths_ws10.pdf</x:v>
      </x:c>
      <x:c r="Q24" s="46" t="str">
        <x:v>Table 17 / pages 80-83</x:v>
      </x:c>
      <x:c r="R24" s="46" t="str">
        <x:v>Direct occurrence matrix. Shared occurrence does not imply equal abundance or sensory importance.</x:v>
      </x:c>
    </x:row>
    <x:row r="25">
      <x:c r="A25" s="46" t="str">
        <x:v>T17-024</x:v>
      </x:c>
      <x:c r="B25" s="46" t="str">
        <x:v>2-(E)-Nonenal</x:v>
      </x:c>
      <x:c r="C25" s="46" t="str">
        <x:v>(E)-2-nonenal</x:v>
      </x:c>
      <x:c r="D25" s="46" t="str">
        <x:v>18829-56-6</x:v>
      </x:c>
      <x:c r="E25" s="46" t="str">
        <x:v>Carbonyls, aldehydes</x:v>
      </x:c>
      <x:c r="F25" s="46" t="n">
        <x:v>1162</x:v>
      </x:c>
      <x:c r="G25" s="46" t="str">
        <x:v>Lindenblüten</x:v>
      </x:c>
      <x:c r="H25" s="46" t="str">
        <x:v>yes</x:v>
      </x:c>
      <x:c r="I25" s="46" t="str">
        <x:v>yes</x:v>
      </x:c>
      <x:c r="J25" s="46" t="str">
        <x:v>yes</x:v>
      </x:c>
      <x:c r="K25" s="46" t="str">
        <x:v>yes</x:v>
      </x:c>
      <x:c r="L25" s="46" t="str">
        <x:v>shared_all_four</x:v>
      </x:c>
      <x:c r="M25" s="46" t="str">
        <x:v>resolved</x:v>
      </x:c>
      <x:c r="N25" s="46" t="str">
        <x:v>SRC-LANDFOWL-THESIS-001</x:v>
      </x:c>
      <x:c r="O25" s="46" t="str">
        <x:v>SRC-LANDFOWL-COMP-001</x:v>
      </x:c>
      <x:c r="P25" s="46" t="str">
        <x:v>https://elib.tiho-hannover.de/servlets/MCRFileNodeServlet/etd_derivate_00001197/baruths_ws10.pdf</x:v>
      </x:c>
      <x:c r="Q25" s="46" t="str">
        <x:v>Table 17 / pages 80-83</x:v>
      </x:c>
      <x:c r="R25" s="46" t="str">
        <x:v>Direct occurrence matrix. Shared occurrence does not imply equal abundance or sensory importance.</x:v>
      </x:c>
    </x:row>
    <x:row r="26">
      <x:c r="A26" s="46" t="str">
        <x:v>T17-025</x:v>
      </x:c>
      <x:c r="B26" s="46" t="str">
        <x:v>1-Nonanol</x:v>
      </x:c>
      <x:c r="C26" s="46" t="str">
        <x:v>1-nonanol</x:v>
      </x:c>
      <x:c r="D26" s="46" t="str">
        <x:v>143-08-8</x:v>
      </x:c>
      <x:c r="E26" s="46" t="str">
        <x:v>Alcohols</x:v>
      </x:c>
      <x:c r="F26" s="46" t="n">
        <x:v>1172</x:v>
      </x:c>
      <x:c r="G26" s="46" t="str">
        <x:v>n.d.</x:v>
      </x:c>
      <x:c r="H26" s="46" t="str">
        <x:v>yes</x:v>
      </x:c>
      <x:c r="I26" s="46" t="str">
        <x:v>yes</x:v>
      </x:c>
      <x:c r="J26" s="46" t="str">
        <x:v>yes</x:v>
      </x:c>
      <x:c r="K26" s="46" t="str">
        <x:v>yes</x:v>
      </x:c>
      <x:c r="L26" s="46" t="str">
        <x:v>shared_all_four</x:v>
      </x:c>
      <x:c r="M26" s="46" t="str">
        <x:v>resolved</x:v>
      </x:c>
      <x:c r="N26" s="46" t="str">
        <x:v>SRC-LANDFOWL-THESIS-001</x:v>
      </x:c>
      <x:c r="O26" s="46" t="str">
        <x:v>SRC-LANDFOWL-COMP-001</x:v>
      </x:c>
      <x:c r="P26" s="46" t="str">
        <x:v>https://elib.tiho-hannover.de/servlets/MCRFileNodeServlet/etd_derivate_00001197/baruths_ws10.pdf</x:v>
      </x:c>
      <x:c r="Q26" s="46" t="str">
        <x:v>Table 17 / pages 80-83</x:v>
      </x:c>
      <x:c r="R26" s="46" t="str">
        <x:v>Direct occurrence matrix. Shared occurrence does not imply equal abundance or sensory importance.</x:v>
      </x:c>
    </x:row>
    <x:row r="27">
      <x:c r="A27" s="46" t="str">
        <x:v>T17-026</x:v>
      </x:c>
      <x:c r="B27" s="46" t="str">
        <x:v>Dodecan</x:v>
      </x:c>
      <x:c r="C27" s="46" t="str">
        <x:v>dodecane</x:v>
      </x:c>
      <x:c r="D27" s="46" t="str">
        <x:v>112-40-3</x:v>
      </x:c>
      <x:c r="E27" s="46" t="str">
        <x:v>Hydrocarbons</x:v>
      </x:c>
      <x:c r="F27" s="46" t="n">
        <x:v>1200</x:v>
      </x:c>
      <x:c r="G27" s="46" t="str">
        <x:v>n.d.</x:v>
      </x:c>
      <x:c r="H27" s="46" t="str">
        <x:v>yes</x:v>
      </x:c>
      <x:c r="I27" s="46" t="str">
        <x:v>yes</x:v>
      </x:c>
      <x:c r="J27" s="46" t="str">
        <x:v>yes</x:v>
      </x:c>
      <x:c r="K27" s="46" t="str">
        <x:v>yes</x:v>
      </x:c>
      <x:c r="L27" s="46" t="str">
        <x:v>shared_all_four</x:v>
      </x:c>
      <x:c r="M27" s="46" t="str">
        <x:v>resolved</x:v>
      </x:c>
      <x:c r="N27" s="46" t="str">
        <x:v>SRC-LANDFOWL-THESIS-001</x:v>
      </x:c>
      <x:c r="O27" s="46" t="str">
        <x:v>SRC-LANDFOWL-COMP-001</x:v>
      </x:c>
      <x:c r="P27" s="46" t="str">
        <x:v>https://elib.tiho-hannover.de/servlets/MCRFileNodeServlet/etd_derivate_00001197/baruths_ws10.pdf</x:v>
      </x:c>
      <x:c r="Q27" s="46" t="str">
        <x:v>Table 17 / pages 80-83</x:v>
      </x:c>
      <x:c r="R27" s="46" t="str">
        <x:v>Direct occurrence matrix. Shared occurrence does not imply equal abundance or sensory importance.</x:v>
      </x:c>
    </x:row>
    <x:row r="28">
      <x:c r="A28" s="46" t="str">
        <x:v>T17-027</x:v>
      </x:c>
      <x:c r="B28" s="46" t="str">
        <x:v>Decanal</x:v>
      </x:c>
      <x:c r="C28" s="46" t="str">
        <x:v>decanal</x:v>
      </x:c>
      <x:c r="D28" s="46" t="str">
        <x:v>112-31-2</x:v>
      </x:c>
      <x:c r="E28" s="46" t="str">
        <x:v>Carbonyls, aldehydes</x:v>
      </x:c>
      <x:c r="F28" s="46" t="n">
        <x:v>1206</x:v>
      </x:c>
      <x:c r="G28" s="46" t="str">
        <x:v>Rübe</x:v>
      </x:c>
      <x:c r="H28" s="46" t="str">
        <x:v>yes</x:v>
      </x:c>
      <x:c r="I28" s="46" t="str">
        <x:v>yes</x:v>
      </x:c>
      <x:c r="J28" s="46" t="str">
        <x:v>yes</x:v>
      </x:c>
      <x:c r="K28" s="46" t="str">
        <x:v>yes</x:v>
      </x:c>
      <x:c r="L28" s="46" t="str">
        <x:v>shared_all_four</x:v>
      </x:c>
      <x:c r="M28" s="46" t="str">
        <x:v>resolved</x:v>
      </x:c>
      <x:c r="N28" s="46" t="str">
        <x:v>SRC-LANDFOWL-THESIS-001</x:v>
      </x:c>
      <x:c r="O28" s="46" t="str">
        <x:v>SRC-LANDFOWL-COMP-001</x:v>
      </x:c>
      <x:c r="P28" s="46" t="str">
        <x:v>https://elib.tiho-hannover.de/servlets/MCRFileNodeServlet/etd_derivate_00001197/baruths_ws10.pdf</x:v>
      </x:c>
      <x:c r="Q28" s="46" t="str">
        <x:v>Table 17 / pages 80-83</x:v>
      </x:c>
      <x:c r="R28" s="46" t="str">
        <x:v>Direct occurrence matrix. Shared occurrence does not imply equal abundance or sensory importance.</x:v>
      </x:c>
    </x:row>
    <x:row r="29">
      <x:c r="A29" s="46" t="str">
        <x:v>T17-028</x:v>
      </x:c>
      <x:c r="B29" s="46" t="str">
        <x:v>2,4-(E,E)-Nonadienal</x:v>
      </x:c>
      <x:c r="C29" s="46" t="str">
        <x:v>(E,E)-2,4-nonadienal</x:v>
      </x:c>
      <x:c r="D29" s="46" t="str">
        <x:v>5910-87-2</x:v>
      </x:c>
      <x:c r="E29" s="46" t="str">
        <x:v>Carbonyls, aldehydes</x:v>
      </x:c>
      <x:c r="F29" s="46" t="n">
        <x:v>1217</x:v>
      </x:c>
      <x:c r="G29" s="46" t="str">
        <x:v>n.d.</x:v>
      </x:c>
      <x:c r="H29" s="46" t="str">
        <x:v>yes</x:v>
      </x:c>
      <x:c r="I29" s="46" t="str">
        <x:v>yes</x:v>
      </x:c>
      <x:c r="J29" s="46" t="str">
        <x:v>yes</x:v>
      </x:c>
      <x:c r="K29" s="46" t="str">
        <x:v>yes</x:v>
      </x:c>
      <x:c r="L29" s="46" t="str">
        <x:v>shared_all_four</x:v>
      </x:c>
      <x:c r="M29" s="46" t="str">
        <x:v>resolved</x:v>
      </x:c>
      <x:c r="N29" s="46" t="str">
        <x:v>SRC-LANDFOWL-THESIS-001</x:v>
      </x:c>
      <x:c r="O29" s="46" t="str">
        <x:v>SRC-LANDFOWL-COMP-001</x:v>
      </x:c>
      <x:c r="P29" s="46" t="str">
        <x:v>https://elib.tiho-hannover.de/servlets/MCRFileNodeServlet/etd_derivate_00001197/baruths_ws10.pdf</x:v>
      </x:c>
      <x:c r="Q29" s="46" t="str">
        <x:v>Table 17 / pages 80-83</x:v>
      </x:c>
      <x:c r="R29" s="46" t="str">
        <x:v>Direct occurrence matrix. Shared occurrence does not imply equal abundance or sensory importance.</x:v>
      </x:c>
    </x:row>
    <x:row r="30">
      <x:c r="A30" s="46" t="str">
        <x:v>T17-029</x:v>
      </x:c>
      <x:c r="B30" s="46" t="str">
        <x:v>2-(E)-Decenal</x:v>
      </x:c>
      <x:c r="C30" s="46" t="str">
        <x:v>(E)-2-decenal</x:v>
      </x:c>
      <x:c r="D30" s="46" t="str">
        <x:v>3913-81-3</x:v>
      </x:c>
      <x:c r="E30" s="46" t="str">
        <x:v>Carbonyls, aldehydes</x:v>
      </x:c>
      <x:c r="F30" s="46" t="n">
        <x:v>1269</x:v>
      </x:c>
      <x:c r="G30" s="46" t="str">
        <x:v>Fleisch, fettig</x:v>
      </x:c>
      <x:c r="H30" s="46" t="str">
        <x:v>yes</x:v>
      </x:c>
      <x:c r="I30" s="46" t="str">
        <x:v>yes</x:v>
      </x:c>
      <x:c r="J30" s="46" t="str">
        <x:v>yes</x:v>
      </x:c>
      <x:c r="K30" s="46" t="str">
        <x:v>yes</x:v>
      </x:c>
      <x:c r="L30" s="46" t="str">
        <x:v>shared_all_four</x:v>
      </x:c>
      <x:c r="M30" s="46" t="str">
        <x:v>resolved</x:v>
      </x:c>
      <x:c r="N30" s="46" t="str">
        <x:v>SRC-LANDFOWL-THESIS-001</x:v>
      </x:c>
      <x:c r="O30" s="46" t="str">
        <x:v>SRC-LANDFOWL-COMP-001</x:v>
      </x:c>
      <x:c r="P30" s="46" t="str">
        <x:v>https://elib.tiho-hannover.de/servlets/MCRFileNodeServlet/etd_derivate_00001197/baruths_ws10.pdf</x:v>
      </x:c>
      <x:c r="Q30" s="46" t="str">
        <x:v>Table 17 / pages 80-83</x:v>
      </x:c>
      <x:c r="R30" s="46" t="str">
        <x:v>Direct occurrence matrix. Shared occurrence does not imply equal abundance or sensory importance.</x:v>
      </x:c>
    </x:row>
    <x:row r="31">
      <x:c r="A31" s="46" t="str">
        <x:v>T17-030</x:v>
      </x:c>
      <x:c r="B31" s="46" t="str">
        <x:v>2,4-(E,E)-Decadienal</x:v>
      </x:c>
      <x:c r="C31" s="46" t="str">
        <x:v>(E,E)-2,4-decadienal</x:v>
      </x:c>
      <x:c r="D31" s="46" t="str">
        <x:v>25152-84-5</x:v>
      </x:c>
      <x:c r="E31" s="46" t="str">
        <x:v>Carbonyls, aldehydes</x:v>
      </x:c>
      <x:c r="F31" s="46" t="n">
        <x:v>1307</x:v>
      </x:c>
      <x:c r="G31" s="46" t="str">
        <x:v>geröstet, Zwiebel</x:v>
      </x:c>
      <x:c r="H31" s="46" t="str">
        <x:v>yes</x:v>
      </x:c>
      <x:c r="I31" s="46" t="str">
        <x:v>yes</x:v>
      </x:c>
      <x:c r="J31" s="46" t="str">
        <x:v>yes</x:v>
      </x:c>
      <x:c r="K31" s="46" t="str">
        <x:v>yes</x:v>
      </x:c>
      <x:c r="L31" s="46" t="str">
        <x:v>shared_all_four</x:v>
      </x:c>
      <x:c r="M31" s="46" t="str">
        <x:v>resolved</x:v>
      </x:c>
      <x:c r="N31" s="46" t="str">
        <x:v>SRC-LANDFOWL-THESIS-001</x:v>
      </x:c>
      <x:c r="O31" s="46" t="str">
        <x:v>SRC-LANDFOWL-COMP-001</x:v>
      </x:c>
      <x:c r="P31" s="46" t="str">
        <x:v>https://elib.tiho-hannover.de/servlets/MCRFileNodeServlet/etd_derivate_00001197/baruths_ws10.pdf</x:v>
      </x:c>
      <x:c r="Q31" s="46" t="str">
        <x:v>Table 17 / pages 80-83</x:v>
      </x:c>
      <x:c r="R31" s="46" t="str">
        <x:v>Direct occurrence matrix. Shared occurrence does not imply equal abundance or sensory importance.</x:v>
      </x:c>
    </x:row>
    <x:row r="32">
      <x:c r="A32" s="46" t="str">
        <x:v>T17-031</x:v>
      </x:c>
      <x:c r="B32" s="46" t="str">
        <x:v>Undecanal</x:v>
      </x:c>
      <x:c r="C32" s="46" t="str">
        <x:v>undecanal</x:v>
      </x:c>
      <x:c r="D32" s="46" t="str">
        <x:v>112-44-7</x:v>
      </x:c>
      <x:c r="E32" s="46" t="str">
        <x:v>Carbonyls, aldehydes</x:v>
      </x:c>
      <x:c r="F32" s="46" t="n">
        <x:v>1308</x:v>
      </x:c>
      <x:c r="G32" s="46" t="str">
        <x:v>n.d.</x:v>
      </x:c>
      <x:c r="H32" s="46" t="str">
        <x:v>yes</x:v>
      </x:c>
      <x:c r="I32" s="46" t="str">
        <x:v>yes</x:v>
      </x:c>
      <x:c r="J32" s="46" t="str">
        <x:v>yes</x:v>
      </x:c>
      <x:c r="K32" s="46" t="str">
        <x:v>yes</x:v>
      </x:c>
      <x:c r="L32" s="46" t="str">
        <x:v>shared_all_four</x:v>
      </x:c>
      <x:c r="M32" s="46" t="str">
        <x:v>resolved</x:v>
      </x:c>
      <x:c r="N32" s="46" t="str">
        <x:v>SRC-LANDFOWL-THESIS-001</x:v>
      </x:c>
      <x:c r="O32" s="46" t="str">
        <x:v>SRC-LANDFOWL-COMP-001</x:v>
      </x:c>
      <x:c r="P32" s="46" t="str">
        <x:v>https://elib.tiho-hannover.de/servlets/MCRFileNodeServlet/etd_derivate_00001197/baruths_ws10.pdf</x:v>
      </x:c>
      <x:c r="Q32" s="46" t="str">
        <x:v>Table 17 / pages 80-83</x:v>
      </x:c>
      <x:c r="R32" s="46" t="str">
        <x:v>Direct occurrence matrix. Shared occurrence does not imply equal abundance or sensory importance.</x:v>
      </x:c>
    </x:row>
    <x:row r="33">
      <x:c r="A33" s="46" t="str">
        <x:v>T17-032</x:v>
      </x:c>
      <x:c r="B33" s="46" t="str">
        <x:v>2,4-(E,Z)-Decadienal</x:v>
      </x:c>
      <x:c r="C33" s="46" t="str">
        <x:v>(E,Z)-2,4-decadienal</x:v>
      </x:c>
      <x:c r="D33" s="46" t="str">
        <x:v>25152-83-4</x:v>
      </x:c>
      <x:c r="E33" s="46" t="str">
        <x:v>Carbonyls, aldehydes</x:v>
      </x:c>
      <x:c r="F33" s="46" t="n">
        <x:v>1333</x:v>
      </x:c>
      <x:c r="G33" s="46" t="str">
        <x:v>nussig, Kekse</x:v>
      </x:c>
      <x:c r="H33" s="46" t="str">
        <x:v>yes</x:v>
      </x:c>
      <x:c r="I33" s="46" t="str">
        <x:v>yes</x:v>
      </x:c>
      <x:c r="J33" s="46" t="str">
        <x:v>yes</x:v>
      </x:c>
      <x:c r="K33" s="46" t="str">
        <x:v>yes</x:v>
      </x:c>
      <x:c r="L33" s="46" t="str">
        <x:v>shared_all_four</x:v>
      </x:c>
      <x:c r="M33" s="46" t="str">
        <x:v>resolved</x:v>
      </x:c>
      <x:c r="N33" s="46" t="str">
        <x:v>SRC-LANDFOWL-THESIS-001</x:v>
      </x:c>
      <x:c r="O33" s="46" t="str">
        <x:v>SRC-LANDFOWL-COMP-001</x:v>
      </x:c>
      <x:c r="P33" s="46" t="str">
        <x:v>https://elib.tiho-hannover.de/servlets/MCRFileNodeServlet/etd_derivate_00001197/baruths_ws10.pdf</x:v>
      </x:c>
      <x:c r="Q33" s="46" t="str">
        <x:v>Table 17 / pages 80-83</x:v>
      </x:c>
      <x:c r="R33" s="46" t="str">
        <x:v>Direct occurrence matrix. Shared occurrence does not imply equal abundance or sensory importance.</x:v>
      </x:c>
    </x:row>
    <x:row r="34">
      <x:c r="A34" s="46" t="str">
        <x:v>T17-033</x:v>
      </x:c>
      <x:c r="B34" s="46" t="str">
        <x:v>2-(E)-Undecenal</x:v>
      </x:c>
      <x:c r="C34" s="46" t="str">
        <x:v>(E)-2-undecenal</x:v>
      </x:c>
      <x:c r="D34" s="46" t="str">
        <x:v>53448-07-0</x:v>
      </x:c>
      <x:c r="E34" s="46" t="str">
        <x:v>Carbonyls, aldehydes</x:v>
      </x:c>
      <x:c r="F34" s="46" t="n">
        <x:v>1367</x:v>
      </x:c>
      <x:c r="G34" s="46" t="str">
        <x:v>Fettig, Kekse</x:v>
      </x:c>
      <x:c r="H34" s="46" t="str">
        <x:v>yes</x:v>
      </x:c>
      <x:c r="I34" s="46" t="str">
        <x:v>yes</x:v>
      </x:c>
      <x:c r="J34" s="46" t="str">
        <x:v>yes</x:v>
      </x:c>
      <x:c r="K34" s="46" t="str">
        <x:v>yes</x:v>
      </x:c>
      <x:c r="L34" s="46" t="str">
        <x:v>shared_all_four</x:v>
      </x:c>
      <x:c r="M34" s="46" t="str">
        <x:v>resolved</x:v>
      </x:c>
      <x:c r="N34" s="46" t="str">
        <x:v>SRC-LANDFOWL-THESIS-001</x:v>
      </x:c>
      <x:c r="O34" s="46" t="str">
        <x:v>SRC-LANDFOWL-COMP-001</x:v>
      </x:c>
      <x:c r="P34" s="46" t="str">
        <x:v>https://elib.tiho-hannover.de/servlets/MCRFileNodeServlet/etd_derivate_00001197/baruths_ws10.pdf</x:v>
      </x:c>
      <x:c r="Q34" s="46" t="str">
        <x:v>Table 17 / pages 80-83</x:v>
      </x:c>
      <x:c r="R34" s="46" t="str">
        <x:v>Direct occurrence matrix. Shared occurrence does not imply equal abundance or sensory importance.</x:v>
      </x:c>
    </x:row>
    <x:row r="35">
      <x:c r="A35" s="46" t="str">
        <x:v>T17-034</x:v>
      </x:c>
      <x:c r="B35" s="46" t="str">
        <x:v>Tetradecan</x:v>
      </x:c>
      <x:c r="C35" s="46" t="str">
        <x:v>tetradecane</x:v>
      </x:c>
      <x:c r="D35" s="46" t="str">
        <x:v>629-59-4</x:v>
      </x:c>
      <x:c r="E35" s="46" t="str">
        <x:v>Hydrocarbons</x:v>
      </x:c>
      <x:c r="F35" s="46" t="n">
        <x:v>1400</x:v>
      </x:c>
      <x:c r="G35" s="46" t="str">
        <x:v>n.d.</x:v>
      </x:c>
      <x:c r="H35" s="46" t="str">
        <x:v>yes</x:v>
      </x:c>
      <x:c r="I35" s="46" t="str">
        <x:v>yes</x:v>
      </x:c>
      <x:c r="J35" s="46" t="str">
        <x:v>yes</x:v>
      </x:c>
      <x:c r="K35" s="46" t="str">
        <x:v>yes</x:v>
      </x:c>
      <x:c r="L35" s="46" t="str">
        <x:v>shared_all_four</x:v>
      </x:c>
      <x:c r="M35" s="46" t="str">
        <x:v>resolved</x:v>
      </x:c>
      <x:c r="N35" s="46" t="str">
        <x:v>SRC-LANDFOWL-THESIS-001</x:v>
      </x:c>
      <x:c r="O35" s="46" t="str">
        <x:v>SRC-LANDFOWL-COMP-001</x:v>
      </x:c>
      <x:c r="P35" s="46" t="str">
        <x:v>https://elib.tiho-hannover.de/servlets/MCRFileNodeServlet/etd_derivate_00001197/baruths_ws10.pdf</x:v>
      </x:c>
      <x:c r="Q35" s="46" t="str">
        <x:v>Table 17 / pages 80-83</x:v>
      </x:c>
      <x:c r="R35" s="46" t="str">
        <x:v>Direct occurrence matrix. Shared occurrence does not imply equal abundance or sensory importance.</x:v>
      </x:c>
    </x:row>
    <x:row r="36">
      <x:c r="A36" s="46" t="str">
        <x:v>T17-035</x:v>
      </x:c>
      <x:c r="B36" s="46" t="str">
        <x:v>3-Pyridincarboxamid</x:v>
      </x:c>
      <x:c r="C36" s="46" t="str">
        <x:v>nicotinamide (pyridine-3-carboxamide)</x:v>
      </x:c>
      <x:c r="D36" s="46" t="str">
        <x:v>98-92-0</x:v>
      </x:c>
      <x:c r="E36" s="46" t="str">
        <x:v>Nitriles and amides</x:v>
      </x:c>
      <x:c r="F36" s="46" t="n">
        <x:v>1407</x:v>
      </x:c>
      <x:c r="G36" s="46" t="str">
        <x:v>n.d.</x:v>
      </x:c>
      <x:c r="H36" s="46" t="str">
        <x:v>yes</x:v>
      </x:c>
      <x:c r="I36" s="46" t="str">
        <x:v>yes</x:v>
      </x:c>
      <x:c r="J36" s="46" t="str">
        <x:v>yes</x:v>
      </x:c>
      <x:c r="K36" s="46" t="str">
        <x:v>yes</x:v>
      </x:c>
      <x:c r="L36" s="46" t="str">
        <x:v>shared_all_four</x:v>
      </x:c>
      <x:c r="M36" s="46" t="str">
        <x:v>resolved</x:v>
      </x:c>
      <x:c r="N36" s="46" t="str">
        <x:v>SRC-LANDFOWL-THESIS-001</x:v>
      </x:c>
      <x:c r="O36" s="46" t="str">
        <x:v>SRC-LANDFOWL-COMP-001</x:v>
      </x:c>
      <x:c r="P36" s="46" t="str">
        <x:v>https://elib.tiho-hannover.de/servlets/MCRFileNodeServlet/etd_derivate_00001197/baruths_ws10.pdf</x:v>
      </x:c>
      <x:c r="Q36" s="46" t="str">
        <x:v>Table 17 / pages 80-83</x:v>
      </x:c>
      <x:c r="R36" s="46" t="str">
        <x:v>Direct occurrence matrix. Shared occurrence does not imply equal abundance or sensory importance.</x:v>
      </x:c>
    </x:row>
    <x:row r="37">
      <x:c r="A37" s="46" t="str">
        <x:v>T17-036</x:v>
      </x:c>
      <x:c r="B37" s="46" t="str">
        <x:v>Dodecanal</x:v>
      </x:c>
      <x:c r="C37" s="46" t="str">
        <x:v>dodecanal</x:v>
      </x:c>
      <x:c r="D37" s="46" t="str">
        <x:v>112-54-9</x:v>
      </x:c>
      <x:c r="E37" s="46" t="str">
        <x:v>Carbonyls, aldehydes</x:v>
      </x:c>
      <x:c r="F37" s="46" t="n">
        <x:v>1410</x:v>
      </x:c>
      <x:c r="G37" s="46" t="str">
        <x:v>n.d.</x:v>
      </x:c>
      <x:c r="H37" s="46" t="str">
        <x:v>yes</x:v>
      </x:c>
      <x:c r="I37" s="46" t="str">
        <x:v>yes</x:v>
      </x:c>
      <x:c r="J37" s="46" t="str">
        <x:v>yes</x:v>
      </x:c>
      <x:c r="K37" s="46" t="str">
        <x:v>yes</x:v>
      </x:c>
      <x:c r="L37" s="46" t="str">
        <x:v>shared_all_four</x:v>
      </x:c>
      <x:c r="M37" s="46" t="str">
        <x:v>resolved</x:v>
      </x:c>
      <x:c r="N37" s="46" t="str">
        <x:v>SRC-LANDFOWL-THESIS-001</x:v>
      </x:c>
      <x:c r="O37" s="46" t="str">
        <x:v>SRC-LANDFOWL-COMP-001</x:v>
      </x:c>
      <x:c r="P37" s="46" t="str">
        <x:v>https://elib.tiho-hannover.de/servlets/MCRFileNodeServlet/etd_derivate_00001197/baruths_ws10.pdf</x:v>
      </x:c>
      <x:c r="Q37" s="46" t="str">
        <x:v>Table 17 / pages 80-83</x:v>
      </x:c>
      <x:c r="R37" s="46" t="str">
        <x:v>Direct occurrence matrix. Shared occurrence does not imply equal abundance or sensory importance.</x:v>
      </x:c>
    </x:row>
    <x:row r="38">
      <x:c r="A38" s="46" t="str">
        <x:v>T17-037</x:v>
      </x:c>
      <x:c r="B38" s="46" t="str">
        <x:v>Pentadecan</x:v>
      </x:c>
      <x:c r="C38" s="46" t="str">
        <x:v>pentadecane</x:v>
      </x:c>
      <x:c r="D38" s="46" t="str">
        <x:v>629-62-9</x:v>
      </x:c>
      <x:c r="E38" s="46" t="str">
        <x:v>Hydrocarbons</x:v>
      </x:c>
      <x:c r="F38" s="46" t="n">
        <x:v>1500</x:v>
      </x:c>
      <x:c r="G38" s="46" t="str">
        <x:v>n.d.</x:v>
      </x:c>
      <x:c r="H38" s="46" t="str">
        <x:v>yes</x:v>
      </x:c>
      <x:c r="I38" s="46" t="str">
        <x:v>yes</x:v>
      </x:c>
      <x:c r="J38" s="46" t="str">
        <x:v>yes</x:v>
      </x:c>
      <x:c r="K38" s="46" t="str">
        <x:v>yes</x:v>
      </x:c>
      <x:c r="L38" s="46" t="str">
        <x:v>shared_all_four</x:v>
      </x:c>
      <x:c r="M38" s="46" t="str">
        <x:v>resolved</x:v>
      </x:c>
      <x:c r="N38" s="46" t="str">
        <x:v>SRC-LANDFOWL-THESIS-001</x:v>
      </x:c>
      <x:c r="O38" s="46" t="str">
        <x:v>SRC-LANDFOWL-COMP-001</x:v>
      </x:c>
      <x:c r="P38" s="46" t="str">
        <x:v>https://elib.tiho-hannover.de/servlets/MCRFileNodeServlet/etd_derivate_00001197/baruths_ws10.pdf</x:v>
      </x:c>
      <x:c r="Q38" s="46" t="str">
        <x:v>Table 17 / pages 80-83</x:v>
      </x:c>
      <x:c r="R38" s="46" t="str">
        <x:v>Direct occurrence matrix. Shared occurrence does not imply equal abundance or sensory importance.</x:v>
      </x:c>
    </x:row>
    <x:row r="39">
      <x:c r="A39" s="46" t="str">
        <x:v>T17-038</x:v>
      </x:c>
      <x:c r="B39" s="46" t="str">
        <x:v>2-Pentadecanon</x:v>
      </x:c>
      <x:c r="C39" s="46" t="str">
        <x:v>2-pentadecanone</x:v>
      </x:c>
      <x:c r="D39" s="46" t="str">
        <x:v>2345-28-0</x:v>
      </x:c>
      <x:c r="E39" s="46" t="str">
        <x:v>Carbonyls, ketones</x:v>
      </x:c>
      <x:c r="F39" s="46" t="n">
        <x:v>1700</x:v>
      </x:c>
      <x:c r="G39" s="46" t="str">
        <x:v>n.d.</x:v>
      </x:c>
      <x:c r="H39" s="46" t="str">
        <x:v>yes</x:v>
      </x:c>
      <x:c r="I39" s="46" t="str">
        <x:v>yes</x:v>
      </x:c>
      <x:c r="J39" s="46" t="str">
        <x:v>yes</x:v>
      </x:c>
      <x:c r="K39" s="46" t="str">
        <x:v>yes</x:v>
      </x:c>
      <x:c r="L39" s="46" t="str">
        <x:v>shared_all_four</x:v>
      </x:c>
      <x:c r="M39" s="46" t="str">
        <x:v>resolved</x:v>
      </x:c>
      <x:c r="N39" s="46" t="str">
        <x:v>SRC-LANDFOWL-THESIS-001</x:v>
      </x:c>
      <x:c r="O39" s="46" t="str">
        <x:v>SRC-LANDFOWL-COMP-001</x:v>
      </x:c>
      <x:c r="P39" s="46" t="str">
        <x:v>https://elib.tiho-hannover.de/servlets/MCRFileNodeServlet/etd_derivate_00001197/baruths_ws10.pdf</x:v>
      </x:c>
      <x:c r="Q39" s="46" t="str">
        <x:v>Table 17 / pages 80-83</x:v>
      </x:c>
      <x:c r="R39" s="46" t="str">
        <x:v>Direct occurrence matrix. Shared occurrence does not imply equal abundance or sensory importance.</x:v>
      </x:c>
    </x:row>
    <x:row r="40">
      <x:c r="A40" s="46" t="str">
        <x:v>T17-039</x:v>
      </x:c>
      <x:c r="B40" s="46" t="str">
        <x:v>Essigsäure</x:v>
      </x:c>
      <x:c r="C40" s="46" t="str">
        <x:v>acetic acid</x:v>
      </x:c>
      <x:c r="D40" s="46"/>
      <x:c r="E40" s="46" t="str">
        <x:v>Acids</x:v>
      </x:c>
      <x:c r="F40" s="46" t="n">
        <x:v>749</x:v>
      </x:c>
      <x:c r="G40" s="46" t="str">
        <x:v>n.d.</x:v>
      </x:c>
      <x:c r="H40" s="46" t="str">
        <x:v>yes</x:v>
      </x:c>
      <x:c r="I40" s="46" t="str">
        <x:v>no</x:v>
      </x:c>
      <x:c r="J40" s="46" t="str">
        <x:v>no</x:v>
      </x:c>
      <x:c r="K40" s="46" t="str">
        <x:v>no</x:v>
      </x:c>
      <x:c r="L40" s="46" t="str">
        <x:v>species_unique_chicken</x:v>
      </x:c>
      <x:c r="M40" s="46" t="str">
        <x:v>resolved</x:v>
      </x:c>
      <x:c r="N40" s="46" t="str">
        <x:v>SRC-LANDFOWL-THESIS-001</x:v>
      </x:c>
      <x:c r="O40" s="46" t="str">
        <x:v>SRC-LANDFOWL-COMP-001</x:v>
      </x:c>
      <x:c r="P40" s="46" t="str">
        <x:v>https://elib.tiho-hannover.de/servlets/MCRFileNodeServlet/etd_derivate_00001197/baruths_ws10.pdf</x:v>
      </x:c>
      <x:c r="Q40" s="46" t="str">
        <x:v>Table 17 / pages 80-83</x:v>
      </x:c>
      <x:c r="R40" s="46" t="str">
        <x:v>Direct unique detection within the four-species comparison; not a character-impact claim.</x:v>
      </x:c>
    </x:row>
    <x:row r="41">
      <x:c r="A41" s="46" t="str">
        <x:v>T17-040</x:v>
      </x:c>
      <x:c r="B41" s="46" t="str">
        <x:v>Nonan</x:v>
      </x:c>
      <x:c r="C41" s="46" t="str">
        <x:v>nonane</x:v>
      </x:c>
      <x:c r="D41" s="46"/>
      <x:c r="E41" s="46" t="str">
        <x:v>Hydrocarbons</x:v>
      </x:c>
      <x:c r="F41" s="46" t="n">
        <x:v>900</x:v>
      </x:c>
      <x:c r="G41" s="46" t="str">
        <x:v>n.d.</x:v>
      </x:c>
      <x:c r="H41" s="46" t="str">
        <x:v>yes</x:v>
      </x:c>
      <x:c r="I41" s="46" t="str">
        <x:v>no</x:v>
      </x:c>
      <x:c r="J41" s="46" t="str">
        <x:v>no</x:v>
      </x:c>
      <x:c r="K41" s="46" t="str">
        <x:v>no</x:v>
      </x:c>
      <x:c r="L41" s="46" t="str">
        <x:v>species_unique_chicken</x:v>
      </x:c>
      <x:c r="M41" s="46" t="str">
        <x:v>resolved</x:v>
      </x:c>
      <x:c r="N41" s="46" t="str">
        <x:v>SRC-LANDFOWL-THESIS-001</x:v>
      </x:c>
      <x:c r="O41" s="46" t="str">
        <x:v>SRC-LANDFOWL-COMP-001</x:v>
      </x:c>
      <x:c r="P41" s="46" t="str">
        <x:v>https://elib.tiho-hannover.de/servlets/MCRFileNodeServlet/etd_derivate_00001197/baruths_ws10.pdf</x:v>
      </x:c>
      <x:c r="Q41" s="46" t="str">
        <x:v>Table 17 / pages 80-83</x:v>
      </x:c>
      <x:c r="R41" s="46" t="str">
        <x:v>Direct unique detection within the four-species comparison; not a character-impact claim.</x:v>
      </x:c>
    </x:row>
    <x:row r="42">
      <x:c r="A42" s="46" t="str">
        <x:v>T17-041</x:v>
      </x:c>
      <x:c r="B42" s="46" t="str">
        <x:v>2-Methylpropanal</x:v>
      </x:c>
      <x:c r="C42" s="46" t="str">
        <x:v>2-methylpropanal</x:v>
      </x:c>
      <x:c r="D42" s="46"/>
      <x:c r="E42" s="46" t="str">
        <x:v>Carbonyls, aldehydes</x:v>
      </x:c>
      <x:c r="F42" s="46" t="n">
        <x:v>550</x:v>
      </x:c>
      <x:c r="G42" s="46" t="str">
        <x:v>n.d.</x:v>
      </x:c>
      <x:c r="H42" s="46" t="str">
        <x:v>no</x:v>
      </x:c>
      <x:c r="I42" s="46" t="str">
        <x:v>yes</x:v>
      </x:c>
      <x:c r="J42" s="46" t="str">
        <x:v>no</x:v>
      </x:c>
      <x:c r="K42" s="46" t="str">
        <x:v>no</x:v>
      </x:c>
      <x:c r="L42" s="46" t="str">
        <x:v>species_unique_pheasant</x:v>
      </x:c>
      <x:c r="M42" s="46" t="str">
        <x:v>resolved</x:v>
      </x:c>
      <x:c r="N42" s="46" t="str">
        <x:v>SRC-LANDFOWL-THESIS-001</x:v>
      </x:c>
      <x:c r="O42" s="46" t="str">
        <x:v>SRC-LANDFOWL-COMP-001</x:v>
      </x:c>
      <x:c r="P42" s="46" t="str">
        <x:v>https://elib.tiho-hannover.de/servlets/MCRFileNodeServlet/etd_derivate_00001197/baruths_ws10.pdf</x:v>
      </x:c>
      <x:c r="Q42" s="46" t="str">
        <x:v>Table 17 / pages 80-83</x:v>
      </x:c>
      <x:c r="R42" s="46" t="str">
        <x:v>Direct unique detection within the four-species comparison; not a character-impact claim.</x:v>
      </x:c>
    </x:row>
    <x:row r="43">
      <x:c r="A43" s="46" t="str">
        <x:v>T17-042</x:v>
      </x:c>
      <x:c r="B43" s="46" t="str">
        <x:v>3-Methyl-2-butanon</x:v>
      </x:c>
      <x:c r="C43" s="46" t="str">
        <x:v>3-methyl-2-butanone</x:v>
      </x:c>
      <x:c r="D43" s="46"/>
      <x:c r="E43" s="46" t="str">
        <x:v>Carbonyls, ketones</x:v>
      </x:c>
      <x:c r="F43" s="46" t="n">
        <x:v>672</x:v>
      </x:c>
      <x:c r="G43" s="46" t="str">
        <x:v>n.d.</x:v>
      </x:c>
      <x:c r="H43" s="46" t="str">
        <x:v>no</x:v>
      </x:c>
      <x:c r="I43" s="46" t="str">
        <x:v>yes</x:v>
      </x:c>
      <x:c r="J43" s="46" t="str">
        <x:v>no</x:v>
      </x:c>
      <x:c r="K43" s="46" t="str">
        <x:v>no</x:v>
      </x:c>
      <x:c r="L43" s="46" t="str">
        <x:v>species_unique_pheasant</x:v>
      </x:c>
      <x:c r="M43" s="46" t="str">
        <x:v>resolved</x:v>
      </x:c>
      <x:c r="N43" s="46" t="str">
        <x:v>SRC-LANDFOWL-THESIS-001</x:v>
      </x:c>
      <x:c r="O43" s="46" t="str">
        <x:v>SRC-LANDFOWL-COMP-001</x:v>
      </x:c>
      <x:c r="P43" s="46" t="str">
        <x:v>https://elib.tiho-hannover.de/servlets/MCRFileNodeServlet/etd_derivate_00001197/baruths_ws10.pdf</x:v>
      </x:c>
      <x:c r="Q43" s="46" t="str">
        <x:v>Table 17 / pages 80-83</x:v>
      </x:c>
      <x:c r="R43" s="46" t="str">
        <x:v>Direct unique detection within the four-species comparison; not a character-impact claim.</x:v>
      </x:c>
    </x:row>
    <x:row r="44">
      <x:c r="A44" s="46" t="str">
        <x:v>T17-043</x:v>
      </x:c>
      <x:c r="B44" s="46" t="str">
        <x:v>1-Hepten</x:v>
      </x:c>
      <x:c r="C44" s="46" t="str">
        <x:v>1-heptene</x:v>
      </x:c>
      <x:c r="D44" s="46"/>
      <x:c r="E44" s="46" t="str">
        <x:v>Hydrocarbons</x:v>
      </x:c>
      <x:c r="F44" s="46" t="n">
        <x:v>684</x:v>
      </x:c>
      <x:c r="G44" s="46" t="str">
        <x:v>n.d.</x:v>
      </x:c>
      <x:c r="H44" s="46" t="str">
        <x:v>no</x:v>
      </x:c>
      <x:c r="I44" s="46" t="str">
        <x:v>yes</x:v>
      </x:c>
      <x:c r="J44" s="46" t="str">
        <x:v>no</x:v>
      </x:c>
      <x:c r="K44" s="46" t="str">
        <x:v>no</x:v>
      </x:c>
      <x:c r="L44" s="46" t="str">
        <x:v>species_unique_pheasant</x:v>
      </x:c>
      <x:c r="M44" s="46" t="str">
        <x:v>resolved</x:v>
      </x:c>
      <x:c r="N44" s="46" t="str">
        <x:v>SRC-LANDFOWL-THESIS-001</x:v>
      </x:c>
      <x:c r="O44" s="46" t="str">
        <x:v>SRC-LANDFOWL-COMP-001</x:v>
      </x:c>
      <x:c r="P44" s="46" t="str">
        <x:v>https://elib.tiho-hannover.de/servlets/MCRFileNodeServlet/etd_derivate_00001197/baruths_ws10.pdf</x:v>
      </x:c>
      <x:c r="Q44" s="46" t="str">
        <x:v>Table 17 / pages 80-83</x:v>
      </x:c>
      <x:c r="R44" s="46" t="str">
        <x:v>Direct unique detection within the four-species comparison; not a character-impact claim.</x:v>
      </x:c>
    </x:row>
    <x:row r="45">
      <x:c r="A45" s="46" t="str">
        <x:v>T17-044</x:v>
      </x:c>
      <x:c r="B45" s="46" t="str">
        <x:v>2-Hexanon</x:v>
      </x:c>
      <x:c r="C45" s="46" t="str">
        <x:v>2-hexanone</x:v>
      </x:c>
      <x:c r="D45" s="46"/>
      <x:c r="E45" s="46" t="str">
        <x:v>Carbonyls, ketones</x:v>
      </x:c>
      <x:c r="F45" s="46" t="n">
        <x:v>789</x:v>
      </x:c>
      <x:c r="G45" s="46" t="str">
        <x:v>n.d.</x:v>
      </x:c>
      <x:c r="H45" s="46" t="str">
        <x:v>no</x:v>
      </x:c>
      <x:c r="I45" s="46" t="str">
        <x:v>yes</x:v>
      </x:c>
      <x:c r="J45" s="46" t="str">
        <x:v>no</x:v>
      </x:c>
      <x:c r="K45" s="46" t="str">
        <x:v>no</x:v>
      </x:c>
      <x:c r="L45" s="46" t="str">
        <x:v>species_unique_pheasant</x:v>
      </x:c>
      <x:c r="M45" s="46" t="str">
        <x:v>resolved</x:v>
      </x:c>
      <x:c r="N45" s="46" t="str">
        <x:v>SRC-LANDFOWL-THESIS-001</x:v>
      </x:c>
      <x:c r="O45" s="46" t="str">
        <x:v>SRC-LANDFOWL-COMP-001</x:v>
      </x:c>
      <x:c r="P45" s="46" t="str">
        <x:v>https://elib.tiho-hannover.de/servlets/MCRFileNodeServlet/etd_derivate_00001197/baruths_ws10.pdf</x:v>
      </x:c>
      <x:c r="Q45" s="46" t="str">
        <x:v>Table 17 / pages 80-83</x:v>
      </x:c>
      <x:c r="R45" s="46" t="str">
        <x:v>Direct unique detection within the four-species comparison; not a character-impact claim.</x:v>
      </x:c>
    </x:row>
    <x:row r="46">
      <x:c r="A46" s="46" t="str">
        <x:v>T17-045</x:v>
      </x:c>
      <x:c r="B46" s="46" t="str">
        <x:v>1-Octen</x:v>
      </x:c>
      <x:c r="C46" s="46" t="str">
        <x:v>1-octene</x:v>
      </x:c>
      <x:c r="D46" s="46"/>
      <x:c r="E46" s="46" t="str">
        <x:v>Hydrocarbons</x:v>
      </x:c>
      <x:c r="F46" s="46" t="n">
        <x:v>792</x:v>
      </x:c>
      <x:c r="G46" s="46" t="str">
        <x:v>n.d.</x:v>
      </x:c>
      <x:c r="H46" s="46" t="str">
        <x:v>no</x:v>
      </x:c>
      <x:c r="I46" s="46" t="str">
        <x:v>yes</x:v>
      </x:c>
      <x:c r="J46" s="46" t="str">
        <x:v>no</x:v>
      </x:c>
      <x:c r="K46" s="46" t="str">
        <x:v>no</x:v>
      </x:c>
      <x:c r="L46" s="46" t="str">
        <x:v>species_unique_pheasant</x:v>
      </x:c>
      <x:c r="M46" s="46" t="str">
        <x:v>resolved</x:v>
      </x:c>
      <x:c r="N46" s="46" t="str">
        <x:v>SRC-LANDFOWL-THESIS-001</x:v>
      </x:c>
      <x:c r="O46" s="46" t="str">
        <x:v>SRC-LANDFOWL-COMP-001</x:v>
      </x:c>
      <x:c r="P46" s="46" t="str">
        <x:v>https://elib.tiho-hannover.de/servlets/MCRFileNodeServlet/etd_derivate_00001197/baruths_ws10.pdf</x:v>
      </x:c>
      <x:c r="Q46" s="46" t="str">
        <x:v>Table 17 / pages 80-83</x:v>
      </x:c>
      <x:c r="R46" s="46" t="str">
        <x:v>Direct unique detection within the four-species comparison; not a character-impact claim.</x:v>
      </x:c>
    </x:row>
    <x:row r="47">
      <x:c r="A47" s="46" t="str">
        <x:v>T17-046</x:v>
      </x:c>
      <x:c r="B47" s="46" t="str">
        <x:v>3-Methyl-1-hexanol</x:v>
      </x:c>
      <x:c r="C47" s="46" t="str">
        <x:v>3-methyl-1-hexanol</x:v>
      </x:c>
      <x:c r="D47" s="46"/>
      <x:c r="E47" s="46" t="str">
        <x:v>Alcohols</x:v>
      </x:c>
      <x:c r="F47" s="46" t="n">
        <x:v>793</x:v>
      </x:c>
      <x:c r="G47" s="46" t="str">
        <x:v>n.d.</x:v>
      </x:c>
      <x:c r="H47" s="46" t="str">
        <x:v>no</x:v>
      </x:c>
      <x:c r="I47" s="46" t="str">
        <x:v>yes</x:v>
      </x:c>
      <x:c r="J47" s="46" t="str">
        <x:v>no</x:v>
      </x:c>
      <x:c r="K47" s="46" t="str">
        <x:v>no</x:v>
      </x:c>
      <x:c r="L47" s="46" t="str">
        <x:v>species_unique_pheasant</x:v>
      </x:c>
      <x:c r="M47" s="46" t="str">
        <x:v>resolved</x:v>
      </x:c>
      <x:c r="N47" s="46" t="str">
        <x:v>SRC-LANDFOWL-THESIS-001</x:v>
      </x:c>
      <x:c r="O47" s="46" t="str">
        <x:v>SRC-LANDFOWL-COMP-001</x:v>
      </x:c>
      <x:c r="P47" s="46" t="str">
        <x:v>https://elib.tiho-hannover.de/servlets/MCRFileNodeServlet/etd_derivate_00001197/baruths_ws10.pdf</x:v>
      </x:c>
      <x:c r="Q47" s="46" t="str">
        <x:v>Table 17 / pages 80-83</x:v>
      </x:c>
      <x:c r="R47" s="46" t="str">
        <x:v>Direct unique detection within the four-species comparison; not a character-impact claim.</x:v>
      </x:c>
    </x:row>
    <x:row r="48">
      <x:c r="A48" s="46" t="str">
        <x:v>T17-047</x:v>
      </x:c>
      <x:c r="B48" s="46" t="str">
        <x:v>3-Heptanon</x:v>
      </x:c>
      <x:c r="C48" s="46" t="str">
        <x:v>3-heptanone</x:v>
      </x:c>
      <x:c r="D48" s="46"/>
      <x:c r="E48" s="46" t="str">
        <x:v>Carbonyls, ketones</x:v>
      </x:c>
      <x:c r="F48" s="46" t="n">
        <x:v>886</x:v>
      </x:c>
      <x:c r="G48" s="46" t="str">
        <x:v>n.d.</x:v>
      </x:c>
      <x:c r="H48" s="46" t="str">
        <x:v>no</x:v>
      </x:c>
      <x:c r="I48" s="46" t="str">
        <x:v>yes</x:v>
      </x:c>
      <x:c r="J48" s="46" t="str">
        <x:v>no</x:v>
      </x:c>
      <x:c r="K48" s="46" t="str">
        <x:v>no</x:v>
      </x:c>
      <x:c r="L48" s="46" t="str">
        <x:v>species_unique_pheasant</x:v>
      </x:c>
      <x:c r="M48" s="46" t="str">
        <x:v>resolved</x:v>
      </x:c>
      <x:c r="N48" s="46" t="str">
        <x:v>SRC-LANDFOWL-THESIS-001</x:v>
      </x:c>
      <x:c r="O48" s="46" t="str">
        <x:v>SRC-LANDFOWL-COMP-001</x:v>
      </x:c>
      <x:c r="P48" s="46" t="str">
        <x:v>https://elib.tiho-hannover.de/servlets/MCRFileNodeServlet/etd_derivate_00001197/baruths_ws10.pdf</x:v>
      </x:c>
      <x:c r="Q48" s="46" t="str">
        <x:v>Table 17 / pages 80-83</x:v>
      </x:c>
      <x:c r="R48" s="46" t="str">
        <x:v>Direct unique detection within the four-species comparison; not a character-impact claim.</x:v>
      </x:c>
    </x:row>
    <x:row r="49">
      <x:c r="A49" s="46" t="str">
        <x:v>T17-048</x:v>
      </x:c>
      <x:c r="B49" s="46" t="str">
        <x:v>Pentansäure</x:v>
      </x:c>
      <x:c r="C49" s="46" t="str">
        <x:v>pentanoic acid</x:v>
      </x:c>
      <x:c r="D49" s="46"/>
      <x:c r="E49" s="46" t="str">
        <x:v>Acids</x:v>
      </x:c>
      <x:c r="F49" s="46" t="n">
        <x:v>897</x:v>
      </x:c>
      <x:c r="G49" s="46" t="str">
        <x:v>n.d.</x:v>
      </x:c>
      <x:c r="H49" s="46" t="str">
        <x:v>no</x:v>
      </x:c>
      <x:c r="I49" s="46" t="str">
        <x:v>yes</x:v>
      </x:c>
      <x:c r="J49" s="46" t="str">
        <x:v>no</x:v>
      </x:c>
      <x:c r="K49" s="46" t="str">
        <x:v>no</x:v>
      </x:c>
      <x:c r="L49" s="46" t="str">
        <x:v>species_unique_pheasant</x:v>
      </x:c>
      <x:c r="M49" s="46" t="str">
        <x:v>resolved</x:v>
      </x:c>
      <x:c r="N49" s="46" t="str">
        <x:v>SRC-LANDFOWL-THESIS-001</x:v>
      </x:c>
      <x:c r="O49" s="46" t="str">
        <x:v>SRC-LANDFOWL-COMP-001</x:v>
      </x:c>
      <x:c r="P49" s="46" t="str">
        <x:v>https://elib.tiho-hannover.de/servlets/MCRFileNodeServlet/etd_derivate_00001197/baruths_ws10.pdf</x:v>
      </x:c>
      <x:c r="Q49" s="46" t="str">
        <x:v>Table 17 / pages 80-83</x:v>
      </x:c>
      <x:c r="R49" s="46" t="str">
        <x:v>Direct unique detection within the four-species comparison; not a character-impact claim.</x:v>
      </x:c>
    </x:row>
    <x:row r="50">
      <x:c r="A50" s="46" t="str">
        <x:v>T17-049</x:v>
      </x:c>
      <x:c r="B50" s="46" t="str">
        <x:v>3-Octanon</x:v>
      </x:c>
      <x:c r="C50" s="46" t="str">
        <x:v>3-octanone</x:v>
      </x:c>
      <x:c r="D50" s="46"/>
      <x:c r="E50" s="46" t="str">
        <x:v>Carbonyls, ketones</x:v>
      </x:c>
      <x:c r="F50" s="46" t="n">
        <x:v>988</x:v>
      </x:c>
      <x:c r="G50" s="46" t="str">
        <x:v>n.d.</x:v>
      </x:c>
      <x:c r="H50" s="46" t="str">
        <x:v>no</x:v>
      </x:c>
      <x:c r="I50" s="46" t="str">
        <x:v>yes</x:v>
      </x:c>
      <x:c r="J50" s="46" t="str">
        <x:v>no</x:v>
      </x:c>
      <x:c r="K50" s="46" t="str">
        <x:v>no</x:v>
      </x:c>
      <x:c r="L50" s="46" t="str">
        <x:v>species_unique_pheasant</x:v>
      </x:c>
      <x:c r="M50" s="46" t="str">
        <x:v>resolved</x:v>
      </x:c>
      <x:c r="N50" s="46" t="str">
        <x:v>SRC-LANDFOWL-THESIS-001</x:v>
      </x:c>
      <x:c r="O50" s="46" t="str">
        <x:v>SRC-LANDFOWL-COMP-001</x:v>
      </x:c>
      <x:c r="P50" s="46" t="str">
        <x:v>https://elib.tiho-hannover.de/servlets/MCRFileNodeServlet/etd_derivate_00001197/baruths_ws10.pdf</x:v>
      </x:c>
      <x:c r="Q50" s="46" t="str">
        <x:v>Table 17 / pages 80-83</x:v>
      </x:c>
      <x:c r="R50" s="46" t="str">
        <x:v>Direct unique detection within the four-species comparison; not a character-impact claim.</x:v>
      </x:c>
    </x:row>
    <x:row r="51">
      <x:c r="A51" s="46" t="str">
        <x:v>T17-050</x:v>
      </x:c>
      <x:c r="B51" s="46" t="str">
        <x:v>2-Octanon</x:v>
      </x:c>
      <x:c r="C51" s="46" t="str">
        <x:v>2-octanone</x:v>
      </x:c>
      <x:c r="D51" s="46"/>
      <x:c r="E51" s="46" t="str">
        <x:v>Carbonyls, ketones</x:v>
      </x:c>
      <x:c r="F51" s="46" t="n">
        <x:v>991</x:v>
      </x:c>
      <x:c r="G51" s="46" t="str">
        <x:v>n.d.</x:v>
      </x:c>
      <x:c r="H51" s="46" t="str">
        <x:v>no</x:v>
      </x:c>
      <x:c r="I51" s="46" t="str">
        <x:v>yes</x:v>
      </x:c>
      <x:c r="J51" s="46" t="str">
        <x:v>no</x:v>
      </x:c>
      <x:c r="K51" s="46" t="str">
        <x:v>no</x:v>
      </x:c>
      <x:c r="L51" s="46" t="str">
        <x:v>species_unique_pheasant</x:v>
      </x:c>
      <x:c r="M51" s="46" t="str">
        <x:v>resolved</x:v>
      </x:c>
      <x:c r="N51" s="46" t="str">
        <x:v>SRC-LANDFOWL-THESIS-001</x:v>
      </x:c>
      <x:c r="O51" s="46" t="str">
        <x:v>SRC-LANDFOWL-COMP-001</x:v>
      </x:c>
      <x:c r="P51" s="46" t="str">
        <x:v>https://elib.tiho-hannover.de/servlets/MCRFileNodeServlet/etd_derivate_00001197/baruths_ws10.pdf</x:v>
      </x:c>
      <x:c r="Q51" s="46" t="str">
        <x:v>Table 17 / pages 80-83</x:v>
      </x:c>
      <x:c r="R51" s="46" t="str">
        <x:v>Direct unique detection within the four-species comparison; not a character-impact claim.</x:v>
      </x:c>
    </x:row>
    <x:row r="52">
      <x:c r="A52" s="46" t="str">
        <x:v>T17-051</x:v>
      </x:c>
      <x:c r="B52" s="46" t="str">
        <x:v>Heptansäure</x:v>
      </x:c>
      <x:c r="C52" s="46" t="str">
        <x:v>heptanoic acid</x:v>
      </x:c>
      <x:c r="D52" s="46"/>
      <x:c r="E52" s="46" t="str">
        <x:v>Acids</x:v>
      </x:c>
      <x:c r="F52" s="46" t="n">
        <x:v>1085</x:v>
      </x:c>
      <x:c r="G52" s="46" t="str">
        <x:v>n.d.</x:v>
      </x:c>
      <x:c r="H52" s="46" t="str">
        <x:v>no</x:v>
      </x:c>
      <x:c r="I52" s="46" t="str">
        <x:v>yes</x:v>
      </x:c>
      <x:c r="J52" s="46" t="str">
        <x:v>no</x:v>
      </x:c>
      <x:c r="K52" s="46" t="str">
        <x:v>no</x:v>
      </x:c>
      <x:c r="L52" s="46" t="str">
        <x:v>species_unique_pheasant</x:v>
      </x:c>
      <x:c r="M52" s="46" t="str">
        <x:v>resolved</x:v>
      </x:c>
      <x:c r="N52" s="46" t="str">
        <x:v>SRC-LANDFOWL-THESIS-001</x:v>
      </x:c>
      <x:c r="O52" s="46" t="str">
        <x:v>SRC-LANDFOWL-COMP-001</x:v>
      </x:c>
      <x:c r="P52" s="46" t="str">
        <x:v>https://elib.tiho-hannover.de/servlets/MCRFileNodeServlet/etd_derivate_00001197/baruths_ws10.pdf</x:v>
      </x:c>
      <x:c r="Q52" s="46" t="str">
        <x:v>Table 17 / pages 80-83</x:v>
      </x:c>
      <x:c r="R52" s="46" t="str">
        <x:v>Direct unique detection within the four-species comparison; not a character-impact claim.</x:v>
      </x:c>
    </x:row>
    <x:row r="53">
      <x:c r="A53" s="46" t="str">
        <x:v>T17-052</x:v>
      </x:c>
      <x:c r="B53" s="46" t="str">
        <x:v>3,5-Dimethyl-4-ethylidencyclohexen</x:v>
      </x:c>
      <x:c r="C53" s="46" t="str">
        <x:v>3,5-dimethyl-4-ethylidenecyclohexene</x:v>
      </x:c>
      <x:c r="D53" s="46"/>
      <x:c r="E53" s="46" t="str">
        <x:v>Hydrocarbons</x:v>
      </x:c>
      <x:c r="F53" s="46" t="n">
        <x:v>1220</x:v>
      </x:c>
      <x:c r="G53" s="46" t="str">
        <x:v>n.d.</x:v>
      </x:c>
      <x:c r="H53" s="46" t="str">
        <x:v>no</x:v>
      </x:c>
      <x:c r="I53" s="46" t="str">
        <x:v>yes</x:v>
      </x:c>
      <x:c r="J53" s="46" t="str">
        <x:v>no</x:v>
      </x:c>
      <x:c r="K53" s="46" t="str">
        <x:v>no</x:v>
      </x:c>
      <x:c r="L53" s="46" t="str">
        <x:v>species_unique_pheasant</x:v>
      </x:c>
      <x:c r="M53" s="46" t="str">
        <x:v>resolved</x:v>
      </x:c>
      <x:c r="N53" s="46" t="str">
        <x:v>SRC-LANDFOWL-THESIS-001</x:v>
      </x:c>
      <x:c r="O53" s="46" t="str">
        <x:v>SRC-LANDFOWL-COMP-001</x:v>
      </x:c>
      <x:c r="P53" s="46" t="str">
        <x:v>https://elib.tiho-hannover.de/servlets/MCRFileNodeServlet/etd_derivate_00001197/baruths_ws10.pdf</x:v>
      </x:c>
      <x:c r="Q53" s="46" t="str">
        <x:v>Table 17 / pages 80-83</x:v>
      </x:c>
      <x:c r="R53" s="46" t="str">
        <x:v>Direct unique detection within the four-species comparison; not a character-impact claim.</x:v>
      </x:c>
    </x:row>
    <x:row r="54">
      <x:c r="A54" s="46" t="str">
        <x:v>T17-053</x:v>
      </x:c>
      <x:c r="B54" s="46" t="str">
        <x:v>Tridecan</x:v>
      </x:c>
      <x:c r="C54" s="46" t="str">
        <x:v>tridecane</x:v>
      </x:c>
      <x:c r="D54" s="46"/>
      <x:c r="E54" s="46" t="str">
        <x:v>Hydrocarbons</x:v>
      </x:c>
      <x:c r="F54" s="46" t="n">
        <x:v>1300</x:v>
      </x:c>
      <x:c r="G54" s="46" t="str">
        <x:v>n.d.</x:v>
      </x:c>
      <x:c r="H54" s="46" t="str">
        <x:v>no</x:v>
      </x:c>
      <x:c r="I54" s="46" t="str">
        <x:v>yes</x:v>
      </x:c>
      <x:c r="J54" s="46" t="str">
        <x:v>no</x:v>
      </x:c>
      <x:c r="K54" s="46" t="str">
        <x:v>no</x:v>
      </x:c>
      <x:c r="L54" s="46" t="str">
        <x:v>species_unique_pheasant</x:v>
      </x:c>
      <x:c r="M54" s="46" t="str">
        <x:v>resolved</x:v>
      </x:c>
      <x:c r="N54" s="46" t="str">
        <x:v>SRC-LANDFOWL-THESIS-001</x:v>
      </x:c>
      <x:c r="O54" s="46" t="str">
        <x:v>SRC-LANDFOWL-COMP-001</x:v>
      </x:c>
      <x:c r="P54" s="46" t="str">
        <x:v>https://elib.tiho-hannover.de/servlets/MCRFileNodeServlet/etd_derivate_00001197/baruths_ws10.pdf</x:v>
      </x:c>
      <x:c r="Q54" s="46" t="str">
        <x:v>Table 17 / pages 80-83</x:v>
      </x:c>
      <x:c r="R54" s="46" t="str">
        <x:v>Direct unique detection within the four-species comparison; not a character-impact claim.</x:v>
      </x:c>
    </x:row>
    <x:row r="55">
      <x:c r="A55" s="46" t="str">
        <x:v>T17-054</x:v>
      </x:c>
      <x:c r="B55" s="46" t="str">
        <x:v>1(H)-Pyrrol</x:v>
      </x:c>
      <x:c r="C55" s="46" t="str">
        <x:v>1H-pyrrole</x:v>
      </x:c>
      <x:c r="D55" s="46"/>
      <x:c r="E55" s="46" t="str">
        <x:v>Bases</x:v>
      </x:c>
      <x:c r="F55" s="46" t="n">
        <x:v>758</x:v>
      </x:c>
      <x:c r="G55" s="46" t="str">
        <x:v>n.d.</x:v>
      </x:c>
      <x:c r="H55" s="46" t="str">
        <x:v>no</x:v>
      </x:c>
      <x:c r="I55" s="46" t="str">
        <x:v>no</x:v>
      </x:c>
      <x:c r="J55" s="46" t="str">
        <x:v>yes</x:v>
      </x:c>
      <x:c r="K55" s="46" t="str">
        <x:v>no</x:v>
      </x:c>
      <x:c r="L55" s="46" t="str">
        <x:v>species_unique_partridge</x:v>
      </x:c>
      <x:c r="M55" s="46" t="str">
        <x:v>resolved</x:v>
      </x:c>
      <x:c r="N55" s="46" t="str">
        <x:v>SRC-LANDFOWL-THESIS-001</x:v>
      </x:c>
      <x:c r="O55" s="46" t="str">
        <x:v>SRC-LANDFOWL-COMP-001</x:v>
      </x:c>
      <x:c r="P55" s="46" t="str">
        <x:v>https://elib.tiho-hannover.de/servlets/MCRFileNodeServlet/etd_derivate_00001197/baruths_ws10.pdf</x:v>
      </x:c>
      <x:c r="Q55" s="46" t="str">
        <x:v>Table 17 / pages 80-83</x:v>
      </x:c>
      <x:c r="R55" s="46" t="str">
        <x:v>Direct unique detection within the four-species comparison; not a character-impact claim.</x:v>
      </x:c>
    </x:row>
    <x:row r="56">
      <x:c r="A56" s="46" t="str">
        <x:v>T17-055</x:v>
      </x:c>
      <x:c r="B56" s="46" t="str">
        <x:v>2-Methylpyrazin</x:v>
      </x:c>
      <x:c r="C56" s="46" t="str">
        <x:v>2-methylpyrazine</x:v>
      </x:c>
      <x:c r="D56" s="46"/>
      <x:c r="E56" s="46" t="str">
        <x:v>Bases</x:v>
      </x:c>
      <x:c r="F56" s="46" t="n">
        <x:v>822</x:v>
      </x:c>
      <x:c r="G56" s="46" t="str">
        <x:v>n.d.</x:v>
      </x:c>
      <x:c r="H56" s="46" t="str">
        <x:v>no</x:v>
      </x:c>
      <x:c r="I56" s="46" t="str">
        <x:v>no</x:v>
      </x:c>
      <x:c r="J56" s="46" t="str">
        <x:v>yes</x:v>
      </x:c>
      <x:c r="K56" s="46" t="str">
        <x:v>no</x:v>
      </x:c>
      <x:c r="L56" s="46" t="str">
        <x:v>species_unique_partridge</x:v>
      </x:c>
      <x:c r="M56" s="46" t="str">
        <x:v>resolved</x:v>
      </x:c>
      <x:c r="N56" s="46" t="str">
        <x:v>SRC-LANDFOWL-THESIS-001</x:v>
      </x:c>
      <x:c r="O56" s="46" t="str">
        <x:v>SRC-LANDFOWL-COMP-001</x:v>
      </x:c>
      <x:c r="P56" s="46" t="str">
        <x:v>https://elib.tiho-hannover.de/servlets/MCRFileNodeServlet/etd_derivate_00001197/baruths_ws10.pdf</x:v>
      </x:c>
      <x:c r="Q56" s="46" t="str">
        <x:v>Table 17 / pages 80-83</x:v>
      </x:c>
      <x:c r="R56" s="46" t="str">
        <x:v>Direct unique detection within the four-species comparison; not a character-impact claim.</x:v>
      </x:c>
    </x:row>
    <x:row r="57">
      <x:c r="A57" s="46" t="str">
        <x:v>T17-056</x:v>
      </x:c>
      <x:c r="B57" s="46" t="str">
        <x:v>Trimethylpyrazin</x:v>
      </x:c>
      <x:c r="C57" s="46" t="str">
        <x:v>trimethylpyrazine</x:v>
      </x:c>
      <x:c r="D57" s="46"/>
      <x:c r="E57" s="46" t="str">
        <x:v>Bases</x:v>
      </x:c>
      <x:c r="F57" s="46" t="n">
        <x:v>1012</x:v>
      </x:c>
      <x:c r="G57" s="46" t="str">
        <x:v>n.d.</x:v>
      </x:c>
      <x:c r="H57" s="46" t="str">
        <x:v>no</x:v>
      </x:c>
      <x:c r="I57" s="46" t="str">
        <x:v>no</x:v>
      </x:c>
      <x:c r="J57" s="46" t="str">
        <x:v>yes</x:v>
      </x:c>
      <x:c r="K57" s="46" t="str">
        <x:v>no</x:v>
      </x:c>
      <x:c r="L57" s="46" t="str">
        <x:v>species_unique_partridge</x:v>
      </x:c>
      <x:c r="M57" s="46" t="str">
        <x:v>resolved</x:v>
      </x:c>
      <x:c r="N57" s="46" t="str">
        <x:v>SRC-LANDFOWL-THESIS-001</x:v>
      </x:c>
      <x:c r="O57" s="46" t="str">
        <x:v>SRC-LANDFOWL-COMP-001</x:v>
      </x:c>
      <x:c r="P57" s="46" t="str">
        <x:v>https://elib.tiho-hannover.de/servlets/MCRFileNodeServlet/etd_derivate_00001197/baruths_ws10.pdf</x:v>
      </x:c>
      <x:c r="Q57" s="46" t="str">
        <x:v>Table 17 / pages 80-83</x:v>
      </x:c>
      <x:c r="R57" s="46" t="str">
        <x:v>Direct unique detection within the four-species comparison; not a character-impact claim.</x:v>
      </x:c>
    </x:row>
    <x:row r="58">
      <x:c r="A58" s="46" t="str">
        <x:v>T17-057</x:v>
      </x:c>
      <x:c r="B58" s="46" t="str">
        <x:v>Decansäure</x:v>
      </x:c>
      <x:c r="C58" s="46" t="str">
        <x:v>decanoic acid</x:v>
      </x:c>
      <x:c r="D58" s="46"/>
      <x:c r="E58" s="46" t="str">
        <x:v>Acids</x:v>
      </x:c>
      <x:c r="F58" s="46" t="n">
        <x:v>1409</x:v>
      </x:c>
      <x:c r="G58" s="46" t="str">
        <x:v>n.d.</x:v>
      </x:c>
      <x:c r="H58" s="46" t="str">
        <x:v>no</x:v>
      </x:c>
      <x:c r="I58" s="46" t="str">
        <x:v>no</x:v>
      </x:c>
      <x:c r="J58" s="46" t="str">
        <x:v>yes</x:v>
      </x:c>
      <x:c r="K58" s="46" t="str">
        <x:v>no</x:v>
      </x:c>
      <x:c r="L58" s="46" t="str">
        <x:v>species_unique_partridge</x:v>
      </x:c>
      <x:c r="M58" s="46" t="str">
        <x:v>resolved</x:v>
      </x:c>
      <x:c r="N58" s="46" t="str">
        <x:v>SRC-LANDFOWL-THESIS-001</x:v>
      </x:c>
      <x:c r="O58" s="46" t="str">
        <x:v>SRC-LANDFOWL-COMP-001</x:v>
      </x:c>
      <x:c r="P58" s="46" t="str">
        <x:v>https://elib.tiho-hannover.de/servlets/MCRFileNodeServlet/etd_derivate_00001197/baruths_ws10.pdf</x:v>
      </x:c>
      <x:c r="Q58" s="46" t="str">
        <x:v>Table 17 / pages 80-83</x:v>
      </x:c>
      <x:c r="R58" s="46" t="str">
        <x:v>Direct unique detection within the four-species comparison; not a character-impact claim.</x:v>
      </x:c>
    </x:row>
    <x:row r="59">
      <x:c r="A59" s="46" t="str">
        <x:v>T17-058</x:v>
      </x:c>
      <x:c r="B59" s="46" t="str">
        <x:v>2-(E)-Dodecenal</x:v>
      </x:c>
      <x:c r="C59" s="46" t="str">
        <x:v>(E)-2-dodecenal</x:v>
      </x:c>
      <x:c r="D59" s="46"/>
      <x:c r="E59" s="46" t="str">
        <x:v>Carbonyls, aldehydes</x:v>
      </x:c>
      <x:c r="F59" s="46" t="n">
        <x:v>1470</x:v>
      </x:c>
      <x:c r="G59" s="46" t="str">
        <x:v>n.d.</x:v>
      </x:c>
      <x:c r="H59" s="46" t="str">
        <x:v>no</x:v>
      </x:c>
      <x:c r="I59" s="46" t="str">
        <x:v>no</x:v>
      </x:c>
      <x:c r="J59" s="46" t="str">
        <x:v>yes</x:v>
      </x:c>
      <x:c r="K59" s="46" t="str">
        <x:v>no</x:v>
      </x:c>
      <x:c r="L59" s="46" t="str">
        <x:v>species_unique_partridge</x:v>
      </x:c>
      <x:c r="M59" s="46" t="str">
        <x:v>resolved</x:v>
      </x:c>
      <x:c r="N59" s="46" t="str">
        <x:v>SRC-LANDFOWL-THESIS-001</x:v>
      </x:c>
      <x:c r="O59" s="46" t="str">
        <x:v>SRC-LANDFOWL-COMP-001</x:v>
      </x:c>
      <x:c r="P59" s="46" t="str">
        <x:v>https://elib.tiho-hannover.de/servlets/MCRFileNodeServlet/etd_derivate_00001197/baruths_ws10.pdf</x:v>
      </x:c>
      <x:c r="Q59" s="46" t="str">
        <x:v>Table 17 / pages 80-83</x:v>
      </x:c>
      <x:c r="R59" s="46" t="str">
        <x:v>Direct unique detection within the four-species comparison; not a character-impact claim.</x:v>
      </x:c>
    </x:row>
    <x:row r="60">
      <x:c r="A60" s="46" t="str">
        <x:v>T17-059</x:v>
      </x:c>
      <x:c r="B60" s="46" t="str">
        <x:v>Tetradecanal</x:v>
      </x:c>
      <x:c r="C60" s="46" t="str">
        <x:v>tetradecanal</x:v>
      </x:c>
      <x:c r="D60" s="46"/>
      <x:c r="E60" s="46" t="str">
        <x:v>Carbonyls, aldehydes</x:v>
      </x:c>
      <x:c r="F60" s="46" t="n">
        <x:v>1602</x:v>
      </x:c>
      <x:c r="G60" s="46" t="str">
        <x:v>n.d.</x:v>
      </x:c>
      <x:c r="H60" s="46" t="str">
        <x:v>no</x:v>
      </x:c>
      <x:c r="I60" s="46" t="str">
        <x:v>no</x:v>
      </x:c>
      <x:c r="J60" s="46" t="str">
        <x:v>yes</x:v>
      </x:c>
      <x:c r="K60" s="46" t="str">
        <x:v>no</x:v>
      </x:c>
      <x:c r="L60" s="46" t="str">
        <x:v>species_unique_partridge</x:v>
      </x:c>
      <x:c r="M60" s="46" t="str">
        <x:v>resolved</x:v>
      </x:c>
      <x:c r="N60" s="46" t="str">
        <x:v>SRC-LANDFOWL-THESIS-001</x:v>
      </x:c>
      <x:c r="O60" s="46" t="str">
        <x:v>SRC-LANDFOWL-COMP-001</x:v>
      </x:c>
      <x:c r="P60" s="46" t="str">
        <x:v>https://elib.tiho-hannover.de/servlets/MCRFileNodeServlet/etd_derivate_00001197/baruths_ws10.pdf</x:v>
      </x:c>
      <x:c r="Q60" s="46" t="str">
        <x:v>Table 17 / pages 80-83</x:v>
      </x:c>
      <x:c r="R60" s="46" t="str">
        <x:v>Direct unique detection within the four-species comparison; not a character-impact claim.</x:v>
      </x:c>
    </x:row>
    <x:row r="61">
      <x:c r="A61" s="46" t="str">
        <x:v>T17-060</x:v>
      </x:c>
      <x:c r="B61" s="46" t="str">
        <x:v>2-Octen</x:v>
      </x:c>
      <x:c r="C61" s="46" t="str">
        <x:v>2-octene</x:v>
      </x:c>
      <x:c r="D61" s="46"/>
      <x:c r="E61" s="46" t="str">
        <x:v>Hydrocarbons</x:v>
      </x:c>
      <x:c r="F61" s="46" t="n">
        <x:v>816</x:v>
      </x:c>
      <x:c r="G61" s="46" t="str">
        <x:v>n.d.</x:v>
      </x:c>
      <x:c r="H61" s="46" t="str">
        <x:v>no</x:v>
      </x:c>
      <x:c r="I61" s="46" t="str">
        <x:v>no</x:v>
      </x:c>
      <x:c r="J61" s="46" t="str">
        <x:v>no</x:v>
      </x:c>
      <x:c r="K61" s="46" t="str">
        <x:v>yes</x:v>
      </x:c>
      <x:c r="L61" s="46" t="str">
        <x:v>species_unique_quail</x:v>
      </x:c>
      <x:c r="M61" s="46" t="str">
        <x:v>resolved</x:v>
      </x:c>
      <x:c r="N61" s="46" t="str">
        <x:v>SRC-LANDFOWL-THESIS-001</x:v>
      </x:c>
      <x:c r="O61" s="46" t="str">
        <x:v>SRC-LANDFOWL-COMP-001</x:v>
      </x:c>
      <x:c r="P61" s="46" t="str">
        <x:v>https://elib.tiho-hannover.de/servlets/MCRFileNodeServlet/etd_derivate_00001197/baruths_ws10.pdf</x:v>
      </x:c>
      <x:c r="Q61" s="46" t="str">
        <x:v>Table 17 / pages 80-83</x:v>
      </x:c>
      <x:c r="R61" s="46" t="str">
        <x:v>Direct unique detection within the four-species comparison; not a character-impact claim.</x:v>
      </x:c>
    </x:row>
    <x:row r="62">
      <x:c r="A62" s="46" t="str">
        <x:v>T17-061</x:v>
      </x:c>
      <x:c r="B62" s="46" t="str">
        <x:v>2-Furancarboxaldehyd</x:v>
      </x:c>
      <x:c r="C62" s="46" t="str">
        <x:v>furfural (2-furancarboxaldehyde)</x:v>
      </x:c>
      <x:c r="D62" s="46"/>
      <x:c r="E62" s="46" t="str">
        <x:v>Furans</x:v>
      </x:c>
      <x:c r="F62" s="46" t="n">
        <x:v>831</x:v>
      </x:c>
      <x:c r="G62" s="46" t="str">
        <x:v>n.d.</x:v>
      </x:c>
      <x:c r="H62" s="46" t="str">
        <x:v>no</x:v>
      </x:c>
      <x:c r="I62" s="46" t="str">
        <x:v>no</x:v>
      </x:c>
      <x:c r="J62" s="46" t="str">
        <x:v>no</x:v>
      </x:c>
      <x:c r="K62" s="46" t="str">
        <x:v>yes</x:v>
      </x:c>
      <x:c r="L62" s="46" t="str">
        <x:v>species_unique_quail</x:v>
      </x:c>
      <x:c r="M62" s="46" t="str">
        <x:v>resolved</x:v>
      </x:c>
      <x:c r="N62" s="46" t="str">
        <x:v>SRC-LANDFOWL-THESIS-001</x:v>
      </x:c>
      <x:c r="O62" s="46" t="str">
        <x:v>SRC-LANDFOWL-COMP-001</x:v>
      </x:c>
      <x:c r="P62" s="46" t="str">
        <x:v>https://elib.tiho-hannover.de/servlets/MCRFileNodeServlet/etd_derivate_00001197/baruths_ws10.pdf</x:v>
      </x:c>
      <x:c r="Q62" s="46" t="str">
        <x:v>Table 17 / pages 80-83</x:v>
      </x:c>
      <x:c r="R62" s="46" t="str">
        <x:v>Direct unique detection within the four-species comparison; not a character-impact claim.</x:v>
      </x:c>
    </x:row>
    <x:row r="63">
      <x:c r="A63" s="46" t="str">
        <x:v>T17-062</x:v>
      </x:c>
      <x:c r="B63" s="46" t="str">
        <x:v>2-(E)-Propenal</x:v>
      </x:c>
      <x:c r="C63" s="46" t="str">
        <x:v>acrolein (2-propenal)</x:v>
      </x:c>
      <x:c r="D63" s="46" t="str">
        <x:v>107-02-8</x:v>
      </x:c>
      <x:c r="E63" s="46" t="str">
        <x:v>Carbonyls, aldehydes</x:v>
      </x:c>
      <x:c r="F63" s="46" t="str">
        <x:v>&lt;500</x:v>
      </x:c>
      <x:c r="G63" s="46" t="str">
        <x:v>n.d.</x:v>
      </x:c>
      <x:c r="H63" s="46" t="str">
        <x:v>yes</x:v>
      </x:c>
      <x:c r="I63" s="46" t="str">
        <x:v>no</x:v>
      </x:c>
      <x:c r="J63" s="46" t="str">
        <x:v>yes</x:v>
      </x:c>
      <x:c r="K63" s="46" t="str">
        <x:v>yes</x:v>
      </x:c>
      <x:c r="L63" s="46" t="str">
        <x:v>partial_shared</x:v>
      </x:c>
      <x:c r="M63" s="46" t="str">
        <x:v>resolved</x:v>
      </x:c>
      <x:c r="N63" s="46" t="str">
        <x:v>SRC-LANDFOWL-THESIS-001</x:v>
      </x:c>
      <x:c r="O63" s="46" t="str">
        <x:v>SRC-LANDFOWL-COMP-001</x:v>
      </x:c>
      <x:c r="P63" s="46" t="str">
        <x:v>https://elib.tiho-hannover.de/servlets/MCRFileNodeServlet/etd_derivate_00001197/baruths_ws10.pdf</x:v>
      </x:c>
      <x:c r="Q63" s="46" t="str">
        <x:v>Table 17 / pages 80-83</x:v>
      </x:c>
      <x:c r="R63" s="46" t="str">
        <x:v>Present in chicken/partridge/quail; absent pheasant.</x:v>
      </x:c>
    </x:row>
    <x:row r="64">
      <x:c r="A64" s="46" t="str">
        <x:v>T17-063</x:v>
      </x:c>
      <x:c r="B64" s="46" t="str">
        <x:v>Butanal</x:v>
      </x:c>
      <x:c r="C64" s="46" t="str">
        <x:v>butanal</x:v>
      </x:c>
      <x:c r="D64" s="46" t="str">
        <x:v>123-72-8</x:v>
      </x:c>
      <x:c r="E64" s="46" t="str">
        <x:v>Carbonyls, aldehydes</x:v>
      </x:c>
      <x:c r="F64" s="46" t="n">
        <x:v>599</x:v>
      </x:c>
      <x:c r="G64" s="46" t="str">
        <x:v>n.d.</x:v>
      </x:c>
      <x:c r="H64" s="46" t="str">
        <x:v>no</x:v>
      </x:c>
      <x:c r="I64" s="46" t="str">
        <x:v>yes</x:v>
      </x:c>
      <x:c r="J64" s="46" t="str">
        <x:v>yes</x:v>
      </x:c>
      <x:c r="K64" s="46" t="str">
        <x:v>yes</x:v>
      </x:c>
      <x:c r="L64" s="46" t="str">
        <x:v>partial_shared</x:v>
      </x:c>
      <x:c r="M64" s="46" t="str">
        <x:v>resolved</x:v>
      </x:c>
      <x:c r="N64" s="46" t="str">
        <x:v>SRC-LANDFOWL-THESIS-001</x:v>
      </x:c>
      <x:c r="O64" s="46" t="str">
        <x:v>SRC-LANDFOWL-COMP-001</x:v>
      </x:c>
      <x:c r="P64" s="46" t="str">
        <x:v>https://elib.tiho-hannover.de/servlets/MCRFileNodeServlet/etd_derivate_00001197/baruths_ws10.pdf</x:v>
      </x:c>
      <x:c r="Q64" s="46" t="str">
        <x:v>Table 17 / pages 80-83</x:v>
      </x:c>
      <x:c r="R64" s="46" t="str">
        <x:v>Present in all three wild landfowl; absent chicken.</x:v>
      </x:c>
    </x:row>
    <x:row r="65">
      <x:c r="A65" s="46" t="str">
        <x:v>T17-064</x:v>
      </x:c>
      <x:c r="B65" s="46" t="str">
        <x:v>1-Butanol</x:v>
      </x:c>
      <x:c r="C65" s="46" t="str">
        <x:v>1-butanol</x:v>
      </x:c>
      <x:c r="D65" s="46" t="str">
        <x:v>71-36-3</x:v>
      </x:c>
      <x:c r="E65" s="46" t="str">
        <x:v>Alcohols</x:v>
      </x:c>
      <x:c r="F65" s="46" t="n">
        <x:v>613</x:v>
      </x:c>
      <x:c r="G65" s="46" t="str">
        <x:v>n.d.</x:v>
      </x:c>
      <x:c r="H65" s="46" t="str">
        <x:v>no</x:v>
      </x:c>
      <x:c r="I65" s="46" t="str">
        <x:v>no</x:v>
      </x:c>
      <x:c r="J65" s="46" t="str">
        <x:v>yes</x:v>
      </x:c>
      <x:c r="K65" s="46" t="str">
        <x:v>yes</x:v>
      </x:c>
      <x:c r="L65" s="46" t="str">
        <x:v>partial_shared</x:v>
      </x:c>
      <x:c r="M65" s="46" t="str">
        <x:v>resolved</x:v>
      </x:c>
      <x:c r="N65" s="46" t="str">
        <x:v>SRC-LANDFOWL-THESIS-001</x:v>
      </x:c>
      <x:c r="O65" s="46" t="str">
        <x:v>SRC-LANDFOWL-COMP-001</x:v>
      </x:c>
      <x:c r="P65" s="46" t="str">
        <x:v>https://elib.tiho-hannover.de/servlets/MCRFileNodeServlet/etd_derivate_00001197/baruths_ws10.pdf</x:v>
      </x:c>
      <x:c r="Q65" s="46" t="str">
        <x:v>Table 17 / pages 80-83</x:v>
      </x:c>
      <x:c r="R65" s="46" t="str">
        <x:v>Present in partridge and quail only.</x:v>
      </x:c>
    </x:row>
    <x:row r="66">
      <x:c r="A66" s="46" t="str">
        <x:v>T17-065</x:v>
      </x:c>
      <x:c r="B66" s="46" t="str">
        <x:v>2,5-Dimethylpyrazin</x:v>
      </x:c>
      <x:c r="C66" s="46" t="str">
        <x:v>2,5-dimethylpyrazine</x:v>
      </x:c>
      <x:c r="D66" s="46" t="str">
        <x:v>123-32-0</x:v>
      </x:c>
      <x:c r="E66" s="46" t="str">
        <x:v>Bases</x:v>
      </x:c>
      <x:c r="F66" s="46" t="n">
        <x:v>903</x:v>
      </x:c>
      <x:c r="G66" s="46" t="str">
        <x:v>Kekse, geröstet</x:v>
      </x:c>
      <x:c r="H66" s="46" t="str">
        <x:v>no</x:v>
      </x:c>
      <x:c r="I66" s="46" t="str">
        <x:v>yes</x:v>
      </x:c>
      <x:c r="J66" s="46" t="str">
        <x:v>yes</x:v>
      </x:c>
      <x:c r="K66" s="46" t="str">
        <x:v>no</x:v>
      </x:c>
      <x:c r="L66" s="46" t="str">
        <x:v>partial_shared</x:v>
      </x:c>
      <x:c r="M66" s="46" t="str">
        <x:v>resolved</x:v>
      </x:c>
      <x:c r="N66" s="46" t="str">
        <x:v>SRC-LANDFOWL-THESIS-001</x:v>
      </x:c>
      <x:c r="O66" s="46" t="str">
        <x:v>SRC-LANDFOWL-COMP-001</x:v>
      </x:c>
      <x:c r="P66" s="46" t="str">
        <x:v>https://elib.tiho-hannover.de/servlets/MCRFileNodeServlet/etd_derivate_00001197/baruths_ws10.pdf</x:v>
      </x:c>
      <x:c r="Q66" s="46" t="str">
        <x:v>Table 17 / pages 80-83</x:v>
      </x:c>
      <x:c r="R66" s="46" t="str">
        <x:v>Present in pheasant and partridge.</x:v>
      </x:c>
    </x:row>
    <x:row r="67">
      <x:c r="A67" s="46" t="str">
        <x:v>T17-066</x:v>
      </x:c>
      <x:c r="B67" s="46" t="str">
        <x:v>3-Methylthiopropanal</x:v>
      </x:c>
      <x:c r="C67" s="46" t="str">
        <x:v>methional</x:v>
      </x:c>
      <x:c r="D67" s="46" t="str">
        <x:v>3268-49-3</x:v>
      </x:c>
      <x:c r="E67" s="46" t="str">
        <x:v>Sulfur compounds</x:v>
      </x:c>
      <x:c r="F67" s="46" t="n">
        <x:v>909</x:v>
      </x:c>
      <x:c r="G67" s="46" t="str">
        <x:v>n.d.</x:v>
      </x:c>
      <x:c r="H67" s="46" t="str">
        <x:v>no</x:v>
      </x:c>
      <x:c r="I67" s="46" t="str">
        <x:v>yes</x:v>
      </x:c>
      <x:c r="J67" s="46" t="str">
        <x:v>yes</x:v>
      </x:c>
      <x:c r="K67" s="46" t="str">
        <x:v>no</x:v>
      </x:c>
      <x:c r="L67" s="46" t="str">
        <x:v>partial_shared</x:v>
      </x:c>
      <x:c r="M67" s="46" t="str">
        <x:v>resolved</x:v>
      </x:c>
      <x:c r="N67" s="46" t="str">
        <x:v>SRC-LANDFOWL-THESIS-001</x:v>
      </x:c>
      <x:c r="O67" s="46" t="str">
        <x:v>SRC-LANDFOWL-COMP-001</x:v>
      </x:c>
      <x:c r="P67" s="46" t="str">
        <x:v>https://elib.tiho-hannover.de/servlets/MCRFileNodeServlet/etd_derivate_00001197/baruths_ws10.pdf</x:v>
      </x:c>
      <x:c r="Q67" s="46" t="str">
        <x:v>Table 17 / pages 80-83</x:v>
      </x:c>
      <x:c r="R67" s="46" t="str">
        <x:v>Present in pheasant and partridge.</x:v>
      </x:c>
    </x:row>
    <x:row r="68">
      <x:c r="A68" s="46" t="str">
        <x:v>T17-067</x:v>
      </x:c>
      <x:c r="B68" s="46" t="str">
        <x:v>2-Pentylfuran</x:v>
      </x:c>
      <x:c r="C68" s="46" t="str">
        <x:v>2-pentylfuran</x:v>
      </x:c>
      <x:c r="D68" s="46" t="str">
        <x:v>3777-69-3</x:v>
      </x:c>
      <x:c r="E68" s="46" t="str">
        <x:v>Furans</x:v>
      </x:c>
      <x:c r="F68" s="46" t="n">
        <x:v>995</x:v>
      </x:c>
      <x:c r="G68" s="46" t="str">
        <x:v>n.d.</x:v>
      </x:c>
      <x:c r="H68" s="46" t="str">
        <x:v>no</x:v>
      </x:c>
      <x:c r="I68" s="46" t="str">
        <x:v>yes</x:v>
      </x:c>
      <x:c r="J68" s="46" t="str">
        <x:v>yes</x:v>
      </x:c>
      <x:c r="K68" s="46" t="str">
        <x:v>yes</x:v>
      </x:c>
      <x:c r="L68" s="46" t="str">
        <x:v>partial_shared</x:v>
      </x:c>
      <x:c r="M68" s="46" t="str">
        <x:v>resolved</x:v>
      </x:c>
      <x:c r="N68" s="46" t="str">
        <x:v>SRC-LANDFOWL-THESIS-001</x:v>
      </x:c>
      <x:c r="O68" s="46" t="str">
        <x:v>SRC-LANDFOWL-COMP-001</x:v>
      </x:c>
      <x:c r="P68" s="46" t="str">
        <x:v>https://elib.tiho-hannover.de/servlets/MCRFileNodeServlet/etd_derivate_00001197/baruths_ws10.pdf</x:v>
      </x:c>
      <x:c r="Q68" s="46" t="str">
        <x:v>Table 17 / pages 80-83</x:v>
      </x:c>
      <x:c r="R68" s="46" t="str">
        <x:v>Present in all three wild landfowl; absent chicken.</x:v>
      </x:c>
    </x:row>
    <x:row r="69">
      <x:c r="A69" s="46" t="str">
        <x:v>T17-068</x:v>
      </x:c>
      <x:c r="B69" s="46" t="str">
        <x:v>Decan</x:v>
      </x:c>
      <x:c r="C69" s="46" t="str">
        <x:v>decane</x:v>
      </x:c>
      <x:c r="D69" s="46" t="str">
        <x:v>124-18-5</x:v>
      </x:c>
      <x:c r="E69" s="46" t="str">
        <x:v>Hydrocarbons</x:v>
      </x:c>
      <x:c r="F69" s="46" t="n">
        <x:v>1000</x:v>
      </x:c>
      <x:c r="G69" s="46" t="str">
        <x:v>n.d.</x:v>
      </x:c>
      <x:c r="H69" s="46" t="str">
        <x:v>yes</x:v>
      </x:c>
      <x:c r="I69" s="46" t="str">
        <x:v>yes</x:v>
      </x:c>
      <x:c r="J69" s="46" t="str">
        <x:v>no</x:v>
      </x:c>
      <x:c r="K69" s="46" t="str">
        <x:v>no</x:v>
      </x:c>
      <x:c r="L69" s="46" t="str">
        <x:v>partial_shared</x:v>
      </x:c>
      <x:c r="M69" s="46" t="str">
        <x:v>resolved</x:v>
      </x:c>
      <x:c r="N69" s="46" t="str">
        <x:v>SRC-LANDFOWL-THESIS-001</x:v>
      </x:c>
      <x:c r="O69" s="46" t="str">
        <x:v>SRC-LANDFOWL-COMP-001</x:v>
      </x:c>
      <x:c r="P69" s="46" t="str">
        <x:v>https://elib.tiho-hannover.de/servlets/MCRFileNodeServlet/etd_derivate_00001197/baruths_ws10.pdf</x:v>
      </x:c>
      <x:c r="Q69" s="46" t="str">
        <x:v>Table 17 / pages 80-83</x:v>
      </x:c>
      <x:c r="R69" s="46" t="str">
        <x:v>Present in chicken and pheasant.</x:v>
      </x:c>
    </x:row>
    <x:row r="70">
      <x:c r="A70" s="46" t="str">
        <x:v>T17-069</x:v>
      </x:c>
      <x:c r="B70" s="46" t="str">
        <x:v>Benzenazetaldehyd</x:v>
      </x:c>
      <x:c r="C70" s="46" t="str">
        <x:v>phenylacetaldehyde</x:v>
      </x:c>
      <x:c r="D70" s="46" t="str">
        <x:v>122-78-1</x:v>
      </x:c>
      <x:c r="E70" s="46" t="str">
        <x:v>Carbonyls, aldehydes</x:v>
      </x:c>
      <x:c r="F70" s="46" t="n">
        <x:v>1047</x:v>
      </x:c>
      <x:c r="G70" s="46" t="str">
        <x:v>n.d.</x:v>
      </x:c>
      <x:c r="H70" s="46" t="str">
        <x:v>yes</x:v>
      </x:c>
      <x:c r="I70" s="46" t="str">
        <x:v>no</x:v>
      </x:c>
      <x:c r="J70" s="46" t="str">
        <x:v>yes</x:v>
      </x:c>
      <x:c r="K70" s="46" t="str">
        <x:v>yes</x:v>
      </x:c>
      <x:c r="L70" s="46" t="str">
        <x:v>partial_shared</x:v>
      </x:c>
      <x:c r="M70" s="46" t="str">
        <x:v>resolved</x:v>
      </x:c>
      <x:c r="N70" s="46" t="str">
        <x:v>SRC-LANDFOWL-THESIS-001</x:v>
      </x:c>
      <x:c r="O70" s="46" t="str">
        <x:v>SRC-LANDFOWL-COMP-001</x:v>
      </x:c>
      <x:c r="P70" s="46" t="str">
        <x:v>https://elib.tiho-hannover.de/servlets/MCRFileNodeServlet/etd_derivate_00001197/baruths_ws10.pdf</x:v>
      </x:c>
      <x:c r="Q70" s="46" t="str">
        <x:v>Table 17 / pages 80-83</x:v>
      </x:c>
      <x:c r="R70" s="46" t="str">
        <x:v>Present in chicken, partridge and quail.</x:v>
      </x:c>
    </x:row>
    <x:row r="71">
      <x:c r="A71" s="46" t="str">
        <x:v>T17-070</x:v>
      </x:c>
      <x:c r="B71" s="46" t="str">
        <x:v>1-Nonyn</x:v>
      </x:c>
      <x:c r="C71" s="46" t="str">
        <x:v>1-nonyne</x:v>
      </x:c>
      <x:c r="D71" s="46"/>
      <x:c r="E71" s="46" t="str">
        <x:v>Hydrocarbons</x:v>
      </x:c>
      <x:c r="F71" s="46" t="n">
        <x:v>1059</x:v>
      </x:c>
      <x:c r="G71" s="46" t="str">
        <x:v>n.d.</x:v>
      </x:c>
      <x:c r="H71" s="46" t="str">
        <x:v>yes</x:v>
      </x:c>
      <x:c r="I71" s="46" t="str">
        <x:v>yes</x:v>
      </x:c>
      <x:c r="J71" s="46" t="str">
        <x:v>no</x:v>
      </x:c>
      <x:c r="K71" s="46" t="str">
        <x:v>yes</x:v>
      </x:c>
      <x:c r="L71" s="46" t="str">
        <x:v>partial_shared</x:v>
      </x:c>
      <x:c r="M71" s="46" t="str">
        <x:v>resolved</x:v>
      </x:c>
      <x:c r="N71" s="46" t="str">
        <x:v>SRC-LANDFOWL-THESIS-001</x:v>
      </x:c>
      <x:c r="O71" s="46" t="str">
        <x:v>SRC-LANDFOWL-COMP-001</x:v>
      </x:c>
      <x:c r="P71" s="46" t="str">
        <x:v>https://elib.tiho-hannover.de/servlets/MCRFileNodeServlet/etd_derivate_00001197/baruths_ws10.pdf</x:v>
      </x:c>
      <x:c r="Q71" s="46" t="str">
        <x:v>Table 17 / pages 80-83</x:v>
      </x:c>
      <x:c r="R71" s="46" t="str">
        <x:v>Present in chicken, pheasant and quail; CAS not independently resolved in this pass.</x:v>
      </x:c>
    </x:row>
    <x:row r="72">
      <x:c r="A72" s="46" t="str">
        <x:v>T17-071</x:v>
      </x:c>
      <x:c r="B72" s="46" t="str">
        <x:v>3-Ethyl-2,5-dimethylpyrazin</x:v>
      </x:c>
      <x:c r="C72" s="46" t="str">
        <x:v>3-ethyl-2,5-dimethylpyrazine</x:v>
      </x:c>
      <x:c r="D72" s="46" t="str">
        <x:v>13360-65-1</x:v>
      </x:c>
      <x:c r="E72" s="46" t="str">
        <x:v>Bases</x:v>
      </x:c>
      <x:c r="F72" s="46" t="n">
        <x:v>1081</x:v>
      </x:c>
      <x:c r="G72" s="46" t="str">
        <x:v>n.d.</x:v>
      </x:c>
      <x:c r="H72" s="46" t="str">
        <x:v>no</x:v>
      </x:c>
      <x:c r="I72" s="46" t="str">
        <x:v>yes</x:v>
      </x:c>
      <x:c r="J72" s="46" t="str">
        <x:v>yes</x:v>
      </x:c>
      <x:c r="K72" s="46" t="str">
        <x:v>no</x:v>
      </x:c>
      <x:c r="L72" s="46" t="str">
        <x:v>partial_shared</x:v>
      </x:c>
      <x:c r="M72" s="46" t="str">
        <x:v>resolved</x:v>
      </x:c>
      <x:c r="N72" s="46" t="str">
        <x:v>SRC-LANDFOWL-THESIS-001</x:v>
      </x:c>
      <x:c r="O72" s="46" t="str">
        <x:v>SRC-LANDFOWL-COMP-001</x:v>
      </x:c>
      <x:c r="P72" s="46" t="str">
        <x:v>https://elib.tiho-hannover.de/servlets/MCRFileNodeServlet/etd_derivate_00001197/baruths_ws10.pdf</x:v>
      </x:c>
      <x:c r="Q72" s="46" t="str">
        <x:v>Table 17 / pages 80-83</x:v>
      </x:c>
      <x:c r="R72" s="46" t="str">
        <x:v>Present in pheasant and partridge.</x:v>
      </x:c>
    </x:row>
    <x:row r="73">
      <x:c r="A73" s="46" t="str">
        <x:v>T17-072</x:v>
      </x:c>
      <x:c r="B73" s="46" t="str">
        <x:v>2-Ethyl-1-hexanol</x:v>
      </x:c>
      <x:c r="C73" s="46" t="str">
        <x:v>2-ethyl-1-hexanol</x:v>
      </x:c>
      <x:c r="D73" s="46" t="str">
        <x:v>104-76-7</x:v>
      </x:c>
      <x:c r="E73" s="46" t="str">
        <x:v>Alcohols</x:v>
      </x:c>
      <x:c r="F73" s="46" t="n">
        <x:v>1033</x:v>
      </x:c>
      <x:c r="G73" s="46" t="str">
        <x:v>Kekse</x:v>
      </x:c>
      <x:c r="H73" s="46" t="str">
        <x:v>no</x:v>
      </x:c>
      <x:c r="I73" s="46" t="str">
        <x:v>yes</x:v>
      </x:c>
      <x:c r="J73" s="46" t="str">
        <x:v>yes</x:v>
      </x:c>
      <x:c r="K73" s="46" t="str">
        <x:v>no</x:v>
      </x:c>
      <x:c r="L73" s="46" t="str">
        <x:v>partial_shared</x:v>
      </x:c>
      <x:c r="M73" s="46" t="str">
        <x:v>resolved</x:v>
      </x:c>
      <x:c r="N73" s="46" t="str">
        <x:v>SRC-LANDFOWL-THESIS-001</x:v>
      </x:c>
      <x:c r="O73" s="46" t="str">
        <x:v>SRC-LANDFOWL-COMP-001</x:v>
      </x:c>
      <x:c r="P73" s="46" t="str">
        <x:v>https://elib.tiho-hannover.de/servlets/MCRFileNodeServlet/etd_derivate_00001197/baruths_ws10.pdf</x:v>
      </x:c>
      <x:c r="Q73" s="46" t="str">
        <x:v>Table 17 / pages 80-83</x:v>
      </x:c>
      <x:c r="R73" s="46" t="str">
        <x:v>Present in pheasant and partridge.</x:v>
      </x:c>
    </x:row>
    <x:row r="74">
      <x:c r="A74" s="46" t="str">
        <x:v>T17-073</x:v>
      </x:c>
      <x:c r="B74" s="46" t="str">
        <x:v>2-Nonanon</x:v>
      </x:c>
      <x:c r="C74" s="46" t="str">
        <x:v>2-nonanone</x:v>
      </x:c>
      <x:c r="D74" s="46" t="str">
        <x:v>821-55-6</x:v>
      </x:c>
      <x:c r="E74" s="46" t="str">
        <x:v>Carbonyls, ketones</x:v>
      </x:c>
      <x:c r="F74" s="46" t="n">
        <x:v>1092</x:v>
      </x:c>
      <x:c r="G74" s="46" t="str">
        <x:v>n.d.</x:v>
      </x:c>
      <x:c r="H74" s="46" t="str">
        <x:v>no</x:v>
      </x:c>
      <x:c r="I74" s="46" t="str">
        <x:v>yes</x:v>
      </x:c>
      <x:c r="J74" s="46" t="str">
        <x:v>yes</x:v>
      </x:c>
      <x:c r="K74" s="46" t="str">
        <x:v>yes</x:v>
      </x:c>
      <x:c r="L74" s="46" t="str">
        <x:v>partial_shared</x:v>
      </x:c>
      <x:c r="M74" s="46" t="str">
        <x:v>resolved</x:v>
      </x:c>
      <x:c r="N74" s="46" t="str">
        <x:v>SRC-LANDFOWL-THESIS-001</x:v>
      </x:c>
      <x:c r="O74" s="46" t="str">
        <x:v>SRC-LANDFOWL-COMP-001</x:v>
      </x:c>
      <x:c r="P74" s="46" t="str">
        <x:v>https://elib.tiho-hannover.de/servlets/MCRFileNodeServlet/etd_derivate_00001197/baruths_ws10.pdf</x:v>
      </x:c>
      <x:c r="Q74" s="46" t="str">
        <x:v>Table 17 / pages 80-83</x:v>
      </x:c>
      <x:c r="R74" s="46" t="str">
        <x:v>Present in all three wild landfowl; absent chicken.</x:v>
      </x:c>
    </x:row>
    <x:row r="75">
      <x:c r="A75" s="46" t="str">
        <x:v>T17-074</x:v>
      </x:c>
      <x:c r="B75" s="46" t="str">
        <x:v>3-Octen-2-on</x:v>
      </x:c>
      <x:c r="C75" s="46" t="str">
        <x:v>3-octen-2-one</x:v>
      </x:c>
      <x:c r="D75" s="46"/>
      <x:c r="E75" s="46" t="str">
        <x:v>Carbonyls, ketones</x:v>
      </x:c>
      <x:c r="F75" s="46" t="n">
        <x:v>1190</x:v>
      </x:c>
      <x:c r="G75" s="46" t="str">
        <x:v>n.d.</x:v>
      </x:c>
      <x:c r="H75" s="46" t="str">
        <x:v>no</x:v>
      </x:c>
      <x:c r="I75" s="46" t="str">
        <x:v>yes</x:v>
      </x:c>
      <x:c r="J75" s="46" t="str">
        <x:v>yes</x:v>
      </x:c>
      <x:c r="K75" s="46" t="str">
        <x:v>yes</x:v>
      </x:c>
      <x:c r="L75" s="46" t="str">
        <x:v>partial_shared</x:v>
      </x:c>
      <x:c r="M75" s="46" t="str">
        <x:v>resolved</x:v>
      </x:c>
      <x:c r="N75" s="46" t="str">
        <x:v>SRC-LANDFOWL-THESIS-001</x:v>
      </x:c>
      <x:c r="O75" s="46" t="str">
        <x:v>SRC-LANDFOWL-COMP-001</x:v>
      </x:c>
      <x:c r="P75" s="46" t="str">
        <x:v>https://elib.tiho-hannover.de/servlets/MCRFileNodeServlet/etd_derivate_00001197/baruths_ws10.pdf</x:v>
      </x:c>
      <x:c r="Q75" s="46" t="str">
        <x:v>Table 17 / pages 80-83</x:v>
      </x:c>
      <x:c r="R75" s="46" t="str">
        <x:v>Present in all three wild landfowl; CAS not independently resolved in this pass.</x:v>
      </x:c>
    </x:row>
    <x:row r="76">
      <x:c r="A76" s="46" t="str">
        <x:v>T17-075</x:v>
      </x:c>
      <x:c r="B76" s="46" t="str">
        <x:v>2-Decanon</x:v>
      </x:c>
      <x:c r="C76" s="46" t="str">
        <x:v>2-decanone</x:v>
      </x:c>
      <x:c r="D76" s="46" t="str">
        <x:v>693-54-9</x:v>
      </x:c>
      <x:c r="E76" s="46" t="str">
        <x:v>Carbonyls, ketones</x:v>
      </x:c>
      <x:c r="F76" s="46" t="n">
        <x:v>1193</x:v>
      </x:c>
      <x:c r="G76" s="46" t="str">
        <x:v>n.d.</x:v>
      </x:c>
      <x:c r="H76" s="46" t="str">
        <x:v>no</x:v>
      </x:c>
      <x:c r="I76" s="46" t="str">
        <x:v>yes</x:v>
      </x:c>
      <x:c r="J76" s="46" t="str">
        <x:v>yes</x:v>
      </x:c>
      <x:c r="K76" s="46" t="str">
        <x:v>yes</x:v>
      </x:c>
      <x:c r="L76" s="46" t="str">
        <x:v>partial_shared</x:v>
      </x:c>
      <x:c r="M76" s="46" t="str">
        <x:v>resolved</x:v>
      </x:c>
      <x:c r="N76" s="46" t="str">
        <x:v>SRC-LANDFOWL-THESIS-001</x:v>
      </x:c>
      <x:c r="O76" s="46" t="str">
        <x:v>SRC-LANDFOWL-COMP-001</x:v>
      </x:c>
      <x:c r="P76" s="46" t="str">
        <x:v>https://elib.tiho-hannover.de/servlets/MCRFileNodeServlet/etd_derivate_00001197/baruths_ws10.pdf</x:v>
      </x:c>
      <x:c r="Q76" s="46" t="str">
        <x:v>Table 17 / pages 80-83</x:v>
      </x:c>
      <x:c r="R76" s="46" t="str">
        <x:v>Present in all three wild landfowl; absent chicken.</x:v>
      </x:c>
    </x:row>
    <x:row r="77">
      <x:c r="A77" s="46" t="str">
        <x:v>T17-076</x:v>
      </x:c>
      <x:c r="B77" s="46" t="str">
        <x:v>2-Butylpyridin</x:v>
      </x:c>
      <x:c r="C77" s="46" t="str">
        <x:v>2-butylpyridine</x:v>
      </x:c>
      <x:c r="D77" s="46"/>
      <x:c r="E77" s="46" t="str">
        <x:v>Bases</x:v>
      </x:c>
      <x:c r="F77" s="46" t="n">
        <x:v>1202</x:v>
      </x:c>
      <x:c r="G77" s="46" t="str">
        <x:v>n.d.</x:v>
      </x:c>
      <x:c r="H77" s="46" t="str">
        <x:v>no</x:v>
      </x:c>
      <x:c r="I77" s="46" t="str">
        <x:v>no</x:v>
      </x:c>
      <x:c r="J77" s="46" t="str">
        <x:v>yes</x:v>
      </x:c>
      <x:c r="K77" s="46" t="str">
        <x:v>yes</x:v>
      </x:c>
      <x:c r="L77" s="46" t="str">
        <x:v>partial_shared</x:v>
      </x:c>
      <x:c r="M77" s="46" t="str">
        <x:v>resolved</x:v>
      </x:c>
      <x:c r="N77" s="46" t="str">
        <x:v>SRC-LANDFOWL-THESIS-001</x:v>
      </x:c>
      <x:c r="O77" s="46" t="str">
        <x:v>SRC-LANDFOWL-COMP-001</x:v>
      </x:c>
      <x:c r="P77" s="46" t="str">
        <x:v>https://elib.tiho-hannover.de/servlets/MCRFileNodeServlet/etd_derivate_00001197/baruths_ws10.pdf</x:v>
      </x:c>
      <x:c r="Q77" s="46" t="str">
        <x:v>Table 17 / pages 80-83</x:v>
      </x:c>
      <x:c r="R77" s="46" t="str">
        <x:v>Present in partridge and quail; CAS not independently resolved in this pass.</x:v>
      </x:c>
    </x:row>
    <x:row r="78">
      <x:c r="A78" s="46" t="str">
        <x:v>T17-077</x:v>
      </x:c>
      <x:c r="B78" s="46" t="str">
        <x:v>2-Pentylpyridin</x:v>
      </x:c>
      <x:c r="C78" s="46" t="str">
        <x:v>2-pentylpyridine</x:v>
      </x:c>
      <x:c r="D78" s="46"/>
      <x:c r="E78" s="46" t="str">
        <x:v>Bases</x:v>
      </x:c>
      <x:c r="F78" s="46" t="n">
        <x:v>1208</x:v>
      </x:c>
      <x:c r="G78" s="46" t="str">
        <x:v>n.d.</x:v>
      </x:c>
      <x:c r="H78" s="46" t="str">
        <x:v>no</x:v>
      </x:c>
      <x:c r="I78" s="46" t="str">
        <x:v>yes</x:v>
      </x:c>
      <x:c r="J78" s="46" t="str">
        <x:v>yes</x:v>
      </x:c>
      <x:c r="K78" s="46" t="str">
        <x:v>yes</x:v>
      </x:c>
      <x:c r="L78" s="46" t="str">
        <x:v>partial_shared</x:v>
      </x:c>
      <x:c r="M78" s="46" t="str">
        <x:v>resolved</x:v>
      </x:c>
      <x:c r="N78" s="46" t="str">
        <x:v>SRC-LANDFOWL-THESIS-001</x:v>
      </x:c>
      <x:c r="O78" s="46" t="str">
        <x:v>SRC-LANDFOWL-COMP-001</x:v>
      </x:c>
      <x:c r="P78" s="46" t="str">
        <x:v>https://elib.tiho-hannover.de/servlets/MCRFileNodeServlet/etd_derivate_00001197/baruths_ws10.pdf</x:v>
      </x:c>
      <x:c r="Q78" s="46" t="str">
        <x:v>Table 17 / pages 80-83</x:v>
      </x:c>
      <x:c r="R78" s="46" t="str">
        <x:v>Present in all three wild landfowl; CAS not independently resolved in this pass.</x:v>
      </x:c>
    </x:row>
    <x:row r="79">
      <x:c r="A79" s="46" t="str">
        <x:v>T17-078</x:v>
      </x:c>
      <x:c r="B79" s="46" t="str">
        <x:v>Nonansäure</x:v>
      </x:c>
      <x:c r="C79" s="46" t="str">
        <x:v>nonanoic acid</x:v>
      </x:c>
      <x:c r="D79" s="46" t="str">
        <x:v>112-05-0</x:v>
      </x:c>
      <x:c r="E79" s="46" t="str">
        <x:v>Acids</x:v>
      </x:c>
      <x:c r="F79" s="46" t="n">
        <x:v>1273</x:v>
      </x:c>
      <x:c r="G79" s="46" t="str">
        <x:v>n.d.</x:v>
      </x:c>
      <x:c r="H79" s="46" t="str">
        <x:v>no</x:v>
      </x:c>
      <x:c r="I79" s="46" t="str">
        <x:v>yes</x:v>
      </x:c>
      <x:c r="J79" s="46" t="str">
        <x:v>no</x:v>
      </x:c>
      <x:c r="K79" s="46" t="str">
        <x:v>yes</x:v>
      </x:c>
      <x:c r="L79" s="46" t="str">
        <x:v>partial_shared</x:v>
      </x:c>
      <x:c r="M79" s="46" t="str">
        <x:v>resolved</x:v>
      </x:c>
      <x:c r="N79" s="46" t="str">
        <x:v>SRC-LANDFOWL-THESIS-001</x:v>
      </x:c>
      <x:c r="O79" s="46" t="str">
        <x:v>SRC-LANDFOWL-COMP-001</x:v>
      </x:c>
      <x:c r="P79" s="46" t="str">
        <x:v>https://elib.tiho-hannover.de/servlets/MCRFileNodeServlet/etd_derivate_00001197/baruths_ws10.pdf</x:v>
      </x:c>
      <x:c r="Q79" s="46" t="str">
        <x:v>Table 17 / pages 80-83</x:v>
      </x:c>
      <x:c r="R79" s="46" t="str">
        <x:v>Present in pheasant and quail.</x:v>
      </x:c>
    </x:row>
    <x:row r="80">
      <x:c r="A80" s="46" t="str">
        <x:v>T17-079</x:v>
      </x:c>
      <x:c r="B80" s="46" t="str">
        <x:v>Decanol</x:v>
      </x:c>
      <x:c r="C80" s="46" t="str">
        <x:v>1-decanol</x:v>
      </x:c>
      <x:c r="D80" s="46" t="str">
        <x:v>112-30-1</x:v>
      </x:c>
      <x:c r="E80" s="46" t="str">
        <x:v>Alcohols</x:v>
      </x:c>
      <x:c r="F80" s="46" t="n">
        <x:v>1277</x:v>
      </x:c>
      <x:c r="G80" s="46" t="str">
        <x:v>n.d.</x:v>
      </x:c>
      <x:c r="H80" s="46" t="str">
        <x:v>no</x:v>
      </x:c>
      <x:c r="I80" s="46" t="str">
        <x:v>no</x:v>
      </x:c>
      <x:c r="J80" s="46" t="str">
        <x:v>yes</x:v>
      </x:c>
      <x:c r="K80" s="46" t="str">
        <x:v>yes</x:v>
      </x:c>
      <x:c r="L80" s="46" t="str">
        <x:v>partial_shared</x:v>
      </x:c>
      <x:c r="M80" s="46" t="str">
        <x:v>resolved</x:v>
      </x:c>
      <x:c r="N80" s="46" t="str">
        <x:v>SRC-LANDFOWL-THESIS-001</x:v>
      </x:c>
      <x:c r="O80" s="46" t="str">
        <x:v>SRC-LANDFOWL-COMP-001</x:v>
      </x:c>
      <x:c r="P80" s="46" t="str">
        <x:v>https://elib.tiho-hannover.de/servlets/MCRFileNodeServlet/etd_derivate_00001197/baruths_ws10.pdf</x:v>
      </x:c>
      <x:c r="Q80" s="46" t="str">
        <x:v>Table 17 / pages 80-83</x:v>
      </x:c>
      <x:c r="R80" s="46" t="str">
        <x:v>Present in partridge and quail.</x:v>
      </x:c>
    </x:row>
    <x:row r="81">
      <x:c r="A81" s="46" t="str">
        <x:v>T17-080</x:v>
      </x:c>
      <x:c r="B81" s="46" t="str">
        <x:v>1-Undecen</x:v>
      </x:c>
      <x:c r="C81" s="46" t="str">
        <x:v>1-undecene</x:v>
      </x:c>
      <x:c r="D81" s="46" t="str">
        <x:v>821-95-4</x:v>
      </x:c>
      <x:c r="E81" s="46" t="str">
        <x:v>Hydrocarbons</x:v>
      </x:c>
      <x:c r="F81" s="46" t="n">
        <x:v>1285</x:v>
      </x:c>
      <x:c r="G81" s="46" t="str">
        <x:v>n.d.</x:v>
      </x:c>
      <x:c r="H81" s="46" t="str">
        <x:v>no</x:v>
      </x:c>
      <x:c r="I81" s="46" t="str">
        <x:v>yes</x:v>
      </x:c>
      <x:c r="J81" s="46" t="str">
        <x:v>yes</x:v>
      </x:c>
      <x:c r="K81" s="46" t="str">
        <x:v>yes</x:v>
      </x:c>
      <x:c r="L81" s="46" t="str">
        <x:v>partial_shared</x:v>
      </x:c>
      <x:c r="M81" s="46" t="str">
        <x:v>resolved</x:v>
      </x:c>
      <x:c r="N81" s="46" t="str">
        <x:v>SRC-LANDFOWL-THESIS-001</x:v>
      </x:c>
      <x:c r="O81" s="46" t="str">
        <x:v>SRC-LANDFOWL-COMP-001</x:v>
      </x:c>
      <x:c r="P81" s="46" t="str">
        <x:v>https://elib.tiho-hannover.de/servlets/MCRFileNodeServlet/etd_derivate_00001197/baruths_ws10.pdf</x:v>
      </x:c>
      <x:c r="Q81" s="46" t="str">
        <x:v>Table 17 / pages 80-83</x:v>
      </x:c>
      <x:c r="R81" s="46" t="str">
        <x:v>Present in all three wild landfowl; absent chicken.</x:v>
      </x:c>
    </x:row>
    <x:row r="82">
      <x:c r="A82" s="46" t="str">
        <x:v>T17-081</x:v>
      </x:c>
      <x:c r="B82" s="46" t="str">
        <x:v>Tridecanal</x:v>
      </x:c>
      <x:c r="C82" s="46" t="str">
        <x:v>tridecanal</x:v>
      </x:c>
      <x:c r="D82" s="46"/>
      <x:c r="E82" s="46" t="str">
        <x:v>Carbonyls, aldehydes</x:v>
      </x:c>
      <x:c r="F82" s="46" t="n">
        <x:v>1517</x:v>
      </x:c>
      <x:c r="G82" s="46" t="str">
        <x:v>n.d.</x:v>
      </x:c>
      <x:c r="H82" s="46" t="str">
        <x:v>no</x:v>
      </x:c>
      <x:c r="I82" s="46" t="str">
        <x:v>no</x:v>
      </x:c>
      <x:c r="J82" s="46" t="str">
        <x:v>yes</x:v>
      </x:c>
      <x:c r="K82" s="46" t="str">
        <x:v>yes</x:v>
      </x:c>
      <x:c r="L82" s="46" t="str">
        <x:v>partial_shared</x:v>
      </x:c>
      <x:c r="M82" s="46" t="str">
        <x:v>resolved</x:v>
      </x:c>
      <x:c r="N82" s="46" t="str">
        <x:v>SRC-LANDFOWL-THESIS-001</x:v>
      </x:c>
      <x:c r="O82" s="46" t="str">
        <x:v>SRC-LANDFOWL-COMP-001</x:v>
      </x:c>
      <x:c r="P82" s="46" t="str">
        <x:v>https://elib.tiho-hannover.de/servlets/MCRFileNodeServlet/etd_derivate_00001197/baruths_ws10.pdf</x:v>
      </x:c>
      <x:c r="Q82" s="46" t="str">
        <x:v>Table 17 / pages 80-83</x:v>
      </x:c>
      <x:c r="R82" s="46" t="str">
        <x:v>Present in partridge and quail; CAS not independently resolved in this pass.</x:v>
      </x:c>
    </x:row>
    <x:row r="83">
      <x:c r="A83" s="46" t="str">
        <x:v>T17-082</x:v>
      </x:c>
      <x:c r="B83" s="46" t="str">
        <x:v>Heptan</x:v>
      </x:c>
      <x:c r="C83" s="46" t="str">
        <x:v>heptane</x:v>
      </x:c>
      <x:c r="D83" s="46" t="str">
        <x:v>142-82-5</x:v>
      </x:c>
      <x:c r="E83" s="46" t="str">
        <x:v>Hydrocarbons</x:v>
      </x:c>
      <x:c r="F83" s="46" t="n">
        <x:v>700</x:v>
      </x:c>
      <x:c r="G83" s="46" t="str">
        <x:v>n.d.</x:v>
      </x:c>
      <x:c r="H83" s="46"/>
      <x:c r="I83" s="46"/>
      <x:c r="J83" s="46"/>
      <x:c r="K83" s="46"/>
      <x:c r="L83" s="46" t="str">
        <x:v>occurrence_pattern_unresolved</x:v>
      </x:c>
      <x:c r="M83" s="46" t="str">
        <x:v>hold_occurrence_pattern</x:v>
      </x:c>
      <x:c r="N83" s="46" t="str">
        <x:v>SRC-LANDFOWL-THESIS-001</x:v>
      </x:c>
      <x:c r="O83" s="46" t="str">
        <x:v>SRC-LANDFOWL-COMP-001</x:v>
      </x:c>
      <x:c r="P83" s="46" t="str">
        <x:v>https://elib.tiho-hannover.de/servlets/MCRFileNodeServlet/etd_derivate_00001197/baruths_ws10.pdf</x:v>
      </x:c>
      <x:c r="Q83" s="46" t="str">
        <x:v>Table 17 / pages 80-83</x:v>
      </x:c>
      <x:c r="R83" s="46" t="str">
        <x:v>Compound identity and table membership are verified, but indexed source rendering did not preserve the four presence symbols clearly enough to assign them without guessing.</x:v>
      </x:c>
    </x:row>
    <x:row r="84">
      <x:c r="A84" s="46" t="str">
        <x:v>T17-083</x:v>
      </x:c>
      <x:c r="B84" s="46" t="str">
        <x:v>4-Octanon</x:v>
      </x:c>
      <x:c r="C84" s="46" t="str">
        <x:v>4-octanone</x:v>
      </x:c>
      <x:c r="D84" s="46" t="str">
        <x:v>589-63-9</x:v>
      </x:c>
      <x:c r="E84" s="46" t="str">
        <x:v>Carbonyls, ketones</x:v>
      </x:c>
      <x:c r="F84" s="46" t="n">
        <x:v>983</x:v>
      </x:c>
      <x:c r="G84" s="46" t="str">
        <x:v>n.d.</x:v>
      </x:c>
      <x:c r="H84" s="46"/>
      <x:c r="I84" s="46"/>
      <x:c r="J84" s="46"/>
      <x:c r="K84" s="46"/>
      <x:c r="L84" s="46" t="str">
        <x:v>occurrence_pattern_unresolved</x:v>
      </x:c>
      <x:c r="M84" s="46" t="str">
        <x:v>hold_occurrence_pattern</x:v>
      </x:c>
      <x:c r="N84" s="46" t="str">
        <x:v>SRC-LANDFOWL-THESIS-001</x:v>
      </x:c>
      <x:c r="O84" s="46" t="str">
        <x:v>SRC-LANDFOWL-COMP-001</x:v>
      </x:c>
      <x:c r="P84" s="46" t="str">
        <x:v>https://elib.tiho-hannover.de/servlets/MCRFileNodeServlet/etd_derivate_00001197/baruths_ws10.pdf</x:v>
      </x:c>
      <x:c r="Q84" s="46" t="str">
        <x:v>Table 17 / pages 80-83</x:v>
      </x:c>
      <x:c r="R84" s="46" t="str">
        <x:v>Compound identity and table membership are verified, but indexed source rendering did not preserve the four presence symbols clearly enough to assign them without guessing.</x:v>
      </x:c>
    </x:row>
    <x:row r="85">
      <x:c r="A85" s="46"/>
      <x:c r="B85" s="46"/>
      <x:c r="C85" s="46"/>
      <x:c r="D85" s="46"/>
      <x:c r="E85" s="46"/>
      <x:c r="F85" s="46"/>
      <x:c r="G85" s="46"/>
      <x:c r="H85" s="46"/>
      <x:c r="I85" s="46"/>
      <x:c r="J85" s="46"/>
      <x:c r="K85" s="46"/>
      <x:c r="L85" s="46"/>
      <x:c r="M85" s="46"/>
      <x:c r="N85" s="46"/>
      <x:c r="O85" s="46"/>
      <x:c r="P85" s="46"/>
      <x:c r="Q85" s="46"/>
      <x:c r="R85" s="46"/>
    </x:row>
    <x:row r="86">
      <x:c r="A86" s="46"/>
      <x:c r="B86" s="46"/>
      <x:c r="C86" s="46"/>
      <x:c r="D86" s="46"/>
      <x:c r="E86" s="46"/>
      <x:c r="F86" s="46"/>
      <x:c r="G86" s="46"/>
      <x:c r="H86" s="46"/>
      <x:c r="I86" s="46"/>
      <x:c r="J86" s="46"/>
      <x:c r="K86" s="46"/>
      <x:c r="L86" s="46"/>
      <x:c r="M86" s="46"/>
      <x:c r="N86" s="46"/>
      <x:c r="O86" s="46"/>
      <x:c r="P86" s="46"/>
      <x:c r="Q86" s="46"/>
      <x:c r="R86" s="46"/>
    </x:row>
    <x:row r="87">
      <x:c r="A87" s="46"/>
      <x:c r="B87" s="46"/>
      <x:c r="C87" s="46"/>
      <x:c r="D87" s="46"/>
      <x:c r="E87" s="46"/>
      <x:c r="F87" s="46"/>
      <x:c r="G87" s="46"/>
      <x:c r="H87" s="46"/>
      <x:c r="I87" s="46"/>
      <x:c r="J87" s="46"/>
      <x:c r="K87" s="46"/>
      <x:c r="L87" s="46"/>
      <x:c r="M87" s="46"/>
      <x:c r="N87" s="46"/>
      <x:c r="O87" s="46"/>
      <x:c r="P87" s="46"/>
      <x:c r="Q87" s="46"/>
      <x:c r="R87" s="46"/>
    </x:row>
    <x:row r="88">
      <x:c r="A88" s="46"/>
      <x:c r="B88" s="46"/>
      <x:c r="C88" s="46"/>
      <x:c r="D88" s="46"/>
      <x:c r="E88" s="46"/>
      <x:c r="F88" s="46"/>
      <x:c r="G88" s="46"/>
      <x:c r="H88" s="46"/>
      <x:c r="I88" s="46"/>
      <x:c r="J88" s="46"/>
      <x:c r="K88" s="46"/>
      <x:c r="L88" s="46"/>
      <x:c r="M88" s="46"/>
      <x:c r="N88" s="46"/>
      <x:c r="O88" s="46"/>
      <x:c r="P88" s="46"/>
      <x:c r="Q88" s="46"/>
      <x:c r="R88" s="46"/>
    </x:row>
    <x:row r="89">
      <x:c r="A89" s="46"/>
      <x:c r="B89" s="46"/>
      <x:c r="C89" s="46"/>
      <x:c r="D89" s="46"/>
      <x:c r="E89" s="46"/>
      <x:c r="F89" s="46"/>
      <x:c r="G89" s="46"/>
      <x:c r="H89" s="46"/>
      <x:c r="I89" s="46"/>
      <x:c r="J89" s="46"/>
      <x:c r="K89" s="46"/>
      <x:c r="L89" s="46"/>
      <x:c r="M89" s="46"/>
      <x:c r="N89" s="46"/>
      <x:c r="O89" s="46"/>
      <x:c r="P89" s="46"/>
      <x:c r="Q89" s="46"/>
      <x:c r="R89" s="46"/>
    </x:row>
    <x:row r="90">
      <x:c r="A90" s="46"/>
      <x:c r="B90" s="46"/>
      <x:c r="C90" s="46"/>
      <x:c r="D90" s="46"/>
      <x:c r="E90" s="46"/>
      <x:c r="F90" s="46"/>
      <x:c r="G90" s="46"/>
      <x:c r="H90" s="46"/>
      <x:c r="I90" s="46"/>
      <x:c r="J90" s="46"/>
      <x:c r="K90" s="46"/>
      <x:c r="L90" s="46"/>
      <x:c r="M90" s="46"/>
      <x:c r="N90" s="46"/>
      <x:c r="O90" s="46"/>
      <x:c r="P90" s="46"/>
      <x:c r="Q90" s="46"/>
      <x:c r="R90" s="46"/>
    </x:row>
    <x:row r="91">
      <x:c r="A91" s="46"/>
      <x:c r="B91" s="46"/>
      <x:c r="C91" s="46"/>
      <x:c r="D91" s="46"/>
      <x:c r="E91" s="46"/>
      <x:c r="F91" s="46"/>
      <x:c r="G91" s="46"/>
      <x:c r="H91" s="46"/>
      <x:c r="I91" s="46"/>
      <x:c r="J91" s="46"/>
      <x:c r="K91" s="46"/>
      <x:c r="L91" s="46"/>
      <x:c r="M91" s="46"/>
      <x:c r="N91" s="46"/>
      <x:c r="O91" s="46"/>
      <x:c r="P91" s="46"/>
      <x:c r="Q91" s="46"/>
      <x:c r="R91" s="46"/>
    </x:row>
    <x:row r="92">
      <x:c r="A92" s="46"/>
      <x:c r="B92" s="46"/>
      <x:c r="C92" s="46"/>
      <x:c r="D92" s="46"/>
      <x:c r="E92" s="46"/>
      <x:c r="F92" s="46"/>
      <x:c r="G92" s="46"/>
      <x:c r="H92" s="46"/>
      <x:c r="I92" s="46"/>
      <x:c r="J92" s="46"/>
      <x:c r="K92" s="46"/>
      <x:c r="L92" s="46"/>
      <x:c r="M92" s="46"/>
      <x:c r="N92" s="46"/>
      <x:c r="O92" s="46"/>
      <x:c r="P92" s="46"/>
      <x:c r="Q92" s="46"/>
      <x:c r="R92" s="46"/>
    </x:row>
    <x:row r="93">
      <x:c r="A93" s="46"/>
      <x:c r="B93" s="46"/>
      <x:c r="C93" s="46"/>
      <x:c r="D93" s="46"/>
      <x:c r="E93" s="46"/>
      <x:c r="F93" s="46"/>
      <x:c r="G93" s="46"/>
      <x:c r="H93" s="46"/>
      <x:c r="I93" s="46"/>
      <x:c r="J93" s="46"/>
      <x:c r="K93" s="46"/>
      <x:c r="L93" s="46"/>
      <x:c r="M93" s="46"/>
      <x:c r="N93" s="46"/>
      <x:c r="O93" s="46"/>
      <x:c r="P93" s="46"/>
      <x:c r="Q93" s="46"/>
      <x:c r="R93" s="46"/>
    </x:row>
    <x:row r="94">
      <x:c r="A94" s="46"/>
      <x:c r="B94" s="46"/>
      <x:c r="C94" s="46"/>
      <x:c r="D94" s="46"/>
      <x:c r="E94" s="46"/>
      <x:c r="F94" s="46"/>
      <x:c r="G94" s="46"/>
      <x:c r="H94" s="46"/>
      <x:c r="I94" s="46"/>
      <x:c r="J94" s="46"/>
      <x:c r="K94" s="46"/>
      <x:c r="L94" s="46"/>
      <x:c r="M94" s="46"/>
      <x:c r="N94" s="46"/>
      <x:c r="O94" s="46"/>
      <x:c r="P94" s="46"/>
      <x:c r="Q94" s="46"/>
      <x:c r="R94" s="46"/>
    </x:row>
    <x:row r="95">
      <x:c r="A95" s="46"/>
      <x:c r="B95" s="46"/>
      <x:c r="C95" s="46"/>
      <x:c r="D95" s="46"/>
      <x:c r="E95" s="46"/>
      <x:c r="F95" s="46"/>
      <x:c r="G95" s="46"/>
      <x:c r="H95" s="46"/>
      <x:c r="I95" s="46"/>
      <x:c r="J95" s="46"/>
      <x:c r="K95" s="46"/>
      <x:c r="L95" s="46"/>
      <x:c r="M95" s="46"/>
      <x:c r="N95" s="46"/>
      <x:c r="O95" s="46"/>
      <x:c r="P95" s="46"/>
      <x:c r="Q95" s="46"/>
      <x:c r="R95" s="46"/>
    </x:row>
    <x:row r="96">
      <x:c r="A96" s="46"/>
      <x:c r="B96" s="46"/>
      <x:c r="C96" s="46"/>
      <x:c r="D96" s="46"/>
      <x:c r="E96" s="46"/>
      <x:c r="F96" s="46"/>
      <x:c r="G96" s="46"/>
      <x:c r="H96" s="46"/>
      <x:c r="I96" s="46"/>
      <x:c r="J96" s="46"/>
      <x:c r="K96" s="46"/>
      <x:c r="L96" s="46"/>
      <x:c r="M96" s="46"/>
      <x:c r="N96" s="46"/>
      <x:c r="O96" s="46"/>
      <x:c r="P96" s="46"/>
      <x:c r="Q96" s="46"/>
      <x:c r="R96" s="46"/>
    </x:row>
    <x:row r="97">
      <x:c r="A97" s="46"/>
      <x:c r="B97" s="46"/>
      <x:c r="C97" s="46"/>
      <x:c r="D97" s="46"/>
      <x:c r="E97" s="46"/>
      <x:c r="F97" s="46"/>
      <x:c r="G97" s="46"/>
      <x:c r="H97" s="46"/>
      <x:c r="I97" s="46"/>
      <x:c r="J97" s="46"/>
      <x:c r="K97" s="46"/>
      <x:c r="L97" s="46"/>
      <x:c r="M97" s="46"/>
      <x:c r="N97" s="46"/>
      <x:c r="O97" s="46"/>
      <x:c r="P97" s="46"/>
      <x:c r="Q97" s="46"/>
      <x:c r="R97" s="46"/>
    </x:row>
    <x:row r="98">
      <x:c r="A98" s="46"/>
      <x:c r="B98" s="46"/>
      <x:c r="C98" s="46"/>
      <x:c r="D98" s="46"/>
      <x:c r="E98" s="46"/>
      <x:c r="F98" s="46"/>
      <x:c r="G98" s="46"/>
      <x:c r="H98" s="46"/>
      <x:c r="I98" s="46"/>
      <x:c r="J98" s="46"/>
      <x:c r="K98" s="46"/>
      <x:c r="L98" s="46"/>
      <x:c r="M98" s="46"/>
      <x:c r="N98" s="46"/>
      <x:c r="O98" s="46"/>
      <x:c r="P98" s="46"/>
      <x:c r="Q98" s="46"/>
      <x:c r="R98" s="46"/>
    </x:row>
    <x:row r="99">
      <x:c r="A99" s="46"/>
      <x:c r="B99" s="46"/>
      <x:c r="C99" s="46"/>
      <x:c r="D99" s="46"/>
      <x:c r="E99" s="46"/>
      <x:c r="F99" s="46"/>
      <x:c r="G99" s="46"/>
      <x:c r="H99" s="46"/>
      <x:c r="I99" s="46"/>
      <x:c r="J99" s="46"/>
      <x:c r="K99" s="46"/>
      <x:c r="L99" s="46"/>
      <x:c r="M99" s="46"/>
      <x:c r="N99" s="46"/>
      <x:c r="O99" s="46"/>
      <x:c r="P99" s="46"/>
      <x:c r="Q99" s="46"/>
      <x:c r="R99" s="46"/>
    </x:row>
    <x:row r="100">
      <x:c r="A100" s="46"/>
      <x:c r="B100" s="46"/>
      <x:c r="C100" s="46"/>
      <x:c r="D100" s="46"/>
      <x:c r="E100" s="46"/>
      <x:c r="F100" s="46"/>
      <x:c r="G100" s="46"/>
      <x:c r="H100" s="46"/>
      <x:c r="I100" s="46"/>
      <x:c r="J100" s="46"/>
      <x:c r="K100" s="46"/>
      <x:c r="L100" s="46"/>
      <x:c r="M100" s="46"/>
      <x:c r="N100" s="46"/>
      <x:c r="O100" s="46"/>
      <x:c r="P100" s="46"/>
      <x:c r="Q100" s="46"/>
      <x:c r="R100" s="46"/>
    </x:row>
    <x:row r="101">
      <x:c r="A101" s="46"/>
      <x:c r="B101" s="46"/>
      <x:c r="C101" s="46"/>
      <x:c r="D101" s="46"/>
      <x:c r="E101" s="46"/>
      <x:c r="F101" s="46"/>
      <x:c r="G101" s="46"/>
      <x:c r="H101" s="46"/>
      <x:c r="I101" s="46"/>
      <x:c r="J101" s="46"/>
      <x:c r="K101" s="46"/>
      <x:c r="L101" s="46"/>
      <x:c r="M101" s="46"/>
      <x:c r="N101" s="46"/>
      <x:c r="O101" s="46"/>
      <x:c r="P101" s="46"/>
      <x:c r="Q101" s="46"/>
      <x:c r="R101" s="46"/>
    </x:row>
    <x:row r="102">
      <x:c r="A102" s="46"/>
      <x:c r="B102" s="46"/>
      <x:c r="C102" s="46"/>
      <x:c r="D102" s="46"/>
      <x:c r="E102" s="46"/>
      <x:c r="F102" s="46"/>
      <x:c r="G102" s="46"/>
      <x:c r="H102" s="46"/>
      <x:c r="I102" s="46"/>
      <x:c r="J102" s="46"/>
      <x:c r="K102" s="46"/>
      <x:c r="L102" s="46"/>
      <x:c r="M102" s="46"/>
      <x:c r="N102" s="46"/>
      <x:c r="O102" s="46"/>
      <x:c r="P102" s="46"/>
      <x:c r="Q102" s="46"/>
      <x:c r="R102" s="46"/>
    </x:row>
    <x:row r="103">
      <x:c r="A103" s="46"/>
      <x:c r="B103" s="46"/>
      <x:c r="C103" s="46"/>
      <x:c r="D103" s="46"/>
      <x:c r="E103" s="46"/>
      <x:c r="F103" s="46"/>
      <x:c r="G103" s="46"/>
      <x:c r="H103" s="46"/>
      <x:c r="I103" s="46"/>
      <x:c r="J103" s="46"/>
      <x:c r="K103" s="46"/>
      <x:c r="L103" s="46"/>
      <x:c r="M103" s="46"/>
      <x:c r="N103" s="46"/>
      <x:c r="O103" s="46"/>
      <x:c r="P103" s="46"/>
      <x:c r="Q103" s="46"/>
      <x:c r="R103" s="46"/>
    </x:row>
    <x:row r="104">
      <x:c r="A104" s="46"/>
      <x:c r="B104" s="46"/>
      <x:c r="C104" s="46"/>
      <x:c r="D104" s="46"/>
      <x:c r="E104" s="46"/>
      <x:c r="F104" s="46"/>
      <x:c r="G104" s="46"/>
      <x:c r="H104" s="46"/>
      <x:c r="I104" s="46"/>
      <x:c r="J104" s="46"/>
      <x:c r="K104" s="46"/>
      <x:c r="L104" s="46"/>
      <x:c r="M104" s="46"/>
      <x:c r="N104" s="46"/>
      <x:c r="O104" s="46"/>
      <x:c r="P104" s="46"/>
      <x:c r="Q104" s="46"/>
      <x:c r="R104" s="46"/>
    </x:row>
    <x:row r="105">
      <x:c r="A105" s="46"/>
      <x:c r="B105" s="46"/>
      <x:c r="C105" s="46"/>
      <x:c r="D105" s="46"/>
      <x:c r="E105" s="46"/>
      <x:c r="F105" s="46"/>
      <x:c r="G105" s="46"/>
      <x:c r="H105" s="46"/>
      <x:c r="I105" s="46"/>
      <x:c r="J105" s="46"/>
      <x:c r="K105" s="46"/>
      <x:c r="L105" s="46"/>
      <x:c r="M105" s="46"/>
      <x:c r="N105" s="46"/>
      <x:c r="O105" s="46"/>
      <x:c r="P105" s="46"/>
      <x:c r="Q105" s="46"/>
      <x:c r="R105" s="46"/>
    </x:row>
    <x:row r="106">
      <x:c r="A106" s="46"/>
      <x:c r="B106" s="46"/>
      <x:c r="C106" s="46"/>
      <x:c r="D106" s="46"/>
      <x:c r="E106" s="46"/>
      <x:c r="F106" s="46"/>
      <x:c r="G106" s="46"/>
      <x:c r="H106" s="46"/>
      <x:c r="I106" s="46"/>
      <x:c r="J106" s="46"/>
      <x:c r="K106" s="46"/>
      <x:c r="L106" s="46"/>
      <x:c r="M106" s="46"/>
      <x:c r="N106" s="46"/>
      <x:c r="O106" s="46"/>
      <x:c r="P106" s="46"/>
      <x:c r="Q106" s="46"/>
      <x:c r="R106" s="46"/>
    </x:row>
    <x:row r="107">
      <x:c r="A107" s="46"/>
      <x:c r="B107" s="46"/>
      <x:c r="C107" s="46"/>
      <x:c r="D107" s="46"/>
      <x:c r="E107" s="46"/>
      <x:c r="F107" s="46"/>
      <x:c r="G107" s="46"/>
      <x:c r="H107" s="46"/>
      <x:c r="I107" s="46"/>
      <x:c r="J107" s="46"/>
      <x:c r="K107" s="46"/>
      <x:c r="L107" s="46"/>
      <x:c r="M107" s="46"/>
      <x:c r="N107" s="46"/>
      <x:c r="O107" s="46"/>
      <x:c r="P107" s="46"/>
      <x:c r="Q107" s="46"/>
      <x:c r="R107" s="46"/>
    </x:row>
    <x:row r="108">
      <x:c r="A108" s="46"/>
      <x:c r="B108" s="46"/>
      <x:c r="C108" s="46"/>
      <x:c r="D108" s="46"/>
      <x:c r="E108" s="46"/>
      <x:c r="F108" s="46"/>
      <x:c r="G108" s="46"/>
      <x:c r="H108" s="46"/>
      <x:c r="I108" s="46"/>
      <x:c r="J108" s="46"/>
      <x:c r="K108" s="46"/>
      <x:c r="L108" s="46"/>
      <x:c r="M108" s="46"/>
      <x:c r="N108" s="46"/>
      <x:c r="O108" s="46"/>
      <x:c r="P108" s="46"/>
      <x:c r="Q108" s="46"/>
      <x:c r="R108" s="46"/>
    </x:row>
    <x:row r="109">
      <x:c r="A109" s="46"/>
      <x:c r="B109" s="46"/>
      <x:c r="C109" s="46"/>
      <x:c r="D109" s="46"/>
      <x:c r="E109" s="46"/>
      <x:c r="F109" s="46"/>
      <x:c r="G109" s="46"/>
      <x:c r="H109" s="46"/>
      <x:c r="I109" s="46"/>
      <x:c r="J109" s="46"/>
      <x:c r="K109" s="46"/>
      <x:c r="L109" s="46"/>
      <x:c r="M109" s="46"/>
      <x:c r="N109" s="46"/>
      <x:c r="O109" s="46"/>
      <x:c r="P109" s="46"/>
      <x:c r="Q109" s="46"/>
      <x:c r="R109" s="46"/>
    </x:row>
    <x:row r="110">
      <x:c r="A110" s="46"/>
      <x:c r="B110" s="46"/>
      <x:c r="C110" s="46"/>
      <x:c r="D110" s="46"/>
      <x:c r="E110" s="46"/>
      <x:c r="F110" s="46"/>
      <x:c r="G110" s="46"/>
      <x:c r="H110" s="46"/>
      <x:c r="I110" s="46"/>
      <x:c r="J110" s="46"/>
      <x:c r="K110" s="46"/>
      <x:c r="L110" s="46"/>
      <x:c r="M110" s="46"/>
      <x:c r="N110" s="46"/>
      <x:c r="O110" s="46"/>
      <x:c r="P110" s="46"/>
      <x:c r="Q110" s="46"/>
      <x:c r="R110" s="46"/>
    </x:row>
    <x:row r="111">
      <x:c r="A111" s="46"/>
      <x:c r="B111" s="46"/>
      <x:c r="C111" s="46"/>
      <x:c r="D111" s="46"/>
      <x:c r="E111" s="46"/>
      <x:c r="F111" s="46"/>
      <x:c r="G111" s="46"/>
      <x:c r="H111" s="46"/>
      <x:c r="I111" s="46"/>
      <x:c r="J111" s="46"/>
      <x:c r="K111" s="46"/>
      <x:c r="L111" s="46"/>
      <x:c r="M111" s="46"/>
      <x:c r="N111" s="46"/>
      <x:c r="O111" s="46"/>
      <x:c r="P111" s="46"/>
      <x:c r="Q111" s="46"/>
      <x:c r="R111" s="46"/>
    </x:row>
    <x:row r="112">
      <x:c r="A112" s="46"/>
      <x:c r="B112" s="46"/>
      <x:c r="C112" s="46"/>
      <x:c r="D112" s="46"/>
      <x:c r="E112" s="46"/>
      <x:c r="F112" s="46"/>
      <x:c r="G112" s="46"/>
      <x:c r="H112" s="46"/>
      <x:c r="I112" s="46"/>
      <x:c r="J112" s="46"/>
      <x:c r="K112" s="46"/>
      <x:c r="L112" s="46"/>
      <x:c r="M112" s="46"/>
      <x:c r="N112" s="46"/>
      <x:c r="O112" s="46"/>
      <x:c r="P112" s="46"/>
      <x:c r="Q112" s="46"/>
      <x:c r="R112" s="46"/>
    </x:row>
    <x:row r="113">
      <x:c r="A113" s="46"/>
      <x:c r="B113" s="46"/>
      <x:c r="C113" s="46"/>
      <x:c r="D113" s="46"/>
      <x:c r="E113" s="46"/>
      <x:c r="F113" s="46"/>
      <x:c r="G113" s="46"/>
      <x:c r="H113" s="46"/>
      <x:c r="I113" s="46"/>
      <x:c r="J113" s="46"/>
      <x:c r="K113" s="46"/>
      <x:c r="L113" s="46"/>
      <x:c r="M113" s="46"/>
      <x:c r="N113" s="46"/>
      <x:c r="O113" s="46"/>
      <x:c r="P113" s="46"/>
      <x:c r="Q113" s="46"/>
      <x:c r="R113" s="46"/>
    </x:row>
    <x:row r="114">
      <x:c r="A114" s="46"/>
      <x:c r="B114" s="46"/>
      <x:c r="C114" s="46"/>
      <x:c r="D114" s="46"/>
      <x:c r="E114" s="46"/>
      <x:c r="F114" s="46"/>
      <x:c r="G114" s="46"/>
      <x:c r="H114" s="46"/>
      <x:c r="I114" s="46"/>
      <x:c r="J114" s="46"/>
      <x:c r="K114" s="46"/>
      <x:c r="L114" s="46"/>
      <x:c r="M114" s="46"/>
      <x:c r="N114" s="46"/>
      <x:c r="O114" s="46"/>
      <x:c r="P114" s="46"/>
      <x:c r="Q114" s="46"/>
      <x:c r="R114" s="46"/>
    </x:row>
    <x:row r="115">
      <x:c r="A115" s="46"/>
      <x:c r="B115" s="46"/>
      <x:c r="C115" s="46"/>
      <x:c r="D115" s="46"/>
      <x:c r="E115" s="46"/>
      <x:c r="F115" s="46"/>
      <x:c r="G115" s="46"/>
      <x:c r="H115" s="46"/>
      <x:c r="I115" s="46"/>
      <x:c r="J115" s="46"/>
      <x:c r="K115" s="46"/>
      <x:c r="L115" s="46"/>
      <x:c r="M115" s="46"/>
      <x:c r="N115" s="46"/>
      <x:c r="O115" s="46"/>
      <x:c r="P115" s="46"/>
      <x:c r="Q115" s="46"/>
      <x:c r="R115" s="46"/>
    </x:row>
    <x:row r="116">
      <x:c r="A116" s="46"/>
      <x:c r="B116" s="46"/>
      <x:c r="C116" s="46"/>
      <x:c r="D116" s="46"/>
      <x:c r="E116" s="46"/>
      <x:c r="F116" s="46"/>
      <x:c r="G116" s="46"/>
      <x:c r="H116" s="46"/>
      <x:c r="I116" s="46"/>
      <x:c r="J116" s="46"/>
      <x:c r="K116" s="46"/>
      <x:c r="L116" s="46"/>
      <x:c r="M116" s="46"/>
      <x:c r="N116" s="46"/>
      <x:c r="O116" s="46"/>
      <x:c r="P116" s="46"/>
      <x:c r="Q116" s="46"/>
      <x:c r="R116" s="46"/>
    </x:row>
    <x:row r="117">
      <x:c r="A117" s="46"/>
      <x:c r="B117" s="46"/>
      <x:c r="C117" s="46"/>
      <x:c r="D117" s="46"/>
      <x:c r="E117" s="46"/>
      <x:c r="F117" s="46"/>
      <x:c r="G117" s="46"/>
      <x:c r="H117" s="46"/>
      <x:c r="I117" s="46"/>
      <x:c r="J117" s="46"/>
      <x:c r="K117" s="46"/>
      <x:c r="L117" s="46"/>
      <x:c r="M117" s="46"/>
      <x:c r="N117" s="46"/>
      <x:c r="O117" s="46"/>
      <x:c r="P117" s="46"/>
      <x:c r="Q117" s="46"/>
      <x:c r="R117" s="46"/>
    </x:row>
    <x:row r="118">
      <x:c r="A118" s="46"/>
      <x:c r="B118" s="46"/>
      <x:c r="C118" s="46"/>
      <x:c r="D118" s="46"/>
      <x:c r="E118" s="46"/>
      <x:c r="F118" s="46"/>
      <x:c r="G118" s="46"/>
      <x:c r="H118" s="46"/>
      <x:c r="I118" s="46"/>
      <x:c r="J118" s="46"/>
      <x:c r="K118" s="46"/>
      <x:c r="L118" s="46"/>
      <x:c r="M118" s="46"/>
      <x:c r="N118" s="46"/>
      <x:c r="O118" s="46"/>
      <x:c r="P118" s="46"/>
      <x:c r="Q118" s="46"/>
      <x:c r="R118" s="46"/>
    </x:row>
    <x:row r="119">
      <x:c r="A119" s="46"/>
      <x:c r="B119" s="46"/>
      <x:c r="C119" s="46"/>
      <x:c r="D119" s="46"/>
      <x:c r="E119" s="46"/>
      <x:c r="F119" s="46"/>
      <x:c r="G119" s="46"/>
      <x:c r="H119" s="46"/>
      <x:c r="I119" s="46"/>
      <x:c r="J119" s="46"/>
      <x:c r="K119" s="46"/>
      <x:c r="L119" s="46"/>
      <x:c r="M119" s="46"/>
      <x:c r="N119" s="46"/>
      <x:c r="O119" s="46"/>
      <x:c r="P119" s="46"/>
      <x:c r="Q119" s="46"/>
      <x:c r="R119" s="46"/>
    </x:row>
    <x:row r="120">
      <x:c r="A120" s="46"/>
      <x:c r="B120" s="46"/>
      <x:c r="C120" s="46"/>
      <x:c r="D120" s="46"/>
      <x:c r="E120" s="46"/>
      <x:c r="F120" s="46"/>
      <x:c r="G120" s="46"/>
      <x:c r="H120" s="46"/>
      <x:c r="I120" s="46"/>
      <x:c r="J120" s="46"/>
      <x:c r="K120" s="46"/>
      <x:c r="L120" s="46"/>
      <x:c r="M120" s="46"/>
      <x:c r="N120" s="46"/>
      <x:c r="O120" s="46"/>
      <x:c r="P120" s="46"/>
      <x:c r="Q120" s="46"/>
      <x:c r="R120" s="46"/>
    </x:row>
    <x:row r="121">
      <x:c r="A121" s="46"/>
      <x:c r="B121" s="46"/>
      <x:c r="C121" s="46"/>
      <x:c r="D121" s="46"/>
      <x:c r="E121" s="46"/>
      <x:c r="F121" s="46"/>
      <x:c r="G121" s="46"/>
      <x:c r="H121" s="46"/>
      <x:c r="I121" s="46"/>
      <x:c r="J121" s="46"/>
      <x:c r="K121" s="46"/>
      <x:c r="L121" s="46"/>
      <x:c r="M121" s="46"/>
      <x:c r="N121" s="46"/>
      <x:c r="O121" s="46"/>
      <x:c r="P121" s="46"/>
      <x:c r="Q121" s="46"/>
      <x:c r="R121" s="46"/>
    </x:row>
    <x:row r="122">
      <x:c r="A122" s="46"/>
      <x:c r="B122" s="46"/>
      <x:c r="C122" s="46"/>
      <x:c r="D122" s="46"/>
      <x:c r="E122" s="46"/>
      <x:c r="F122" s="46"/>
      <x:c r="G122" s="46"/>
      <x:c r="H122" s="46"/>
      <x:c r="I122" s="46"/>
      <x:c r="J122" s="46"/>
      <x:c r="K122" s="46"/>
      <x:c r="L122" s="46"/>
      <x:c r="M122" s="46"/>
      <x:c r="N122" s="46"/>
      <x:c r="O122" s="46"/>
      <x:c r="P122" s="46"/>
      <x:c r="Q122" s="46"/>
      <x:c r="R122" s="46"/>
    </x:row>
    <x:row r="123">
      <x:c r="A123" s="46"/>
      <x:c r="B123" s="46"/>
      <x:c r="C123" s="46"/>
      <x:c r="D123" s="46"/>
      <x:c r="E123" s="46"/>
      <x:c r="F123" s="46"/>
      <x:c r="G123" s="46"/>
      <x:c r="H123" s="46"/>
      <x:c r="I123" s="46"/>
      <x:c r="J123" s="46"/>
      <x:c r="K123" s="46"/>
      <x:c r="L123" s="46"/>
      <x:c r="M123" s="46"/>
      <x:c r="N123" s="46"/>
      <x:c r="O123" s="46"/>
      <x:c r="P123" s="46"/>
      <x:c r="Q123" s="46"/>
      <x:c r="R123" s="46"/>
    </x:row>
    <x:row r="124">
      <x:c r="A124" s="46"/>
      <x:c r="B124" s="46"/>
      <x:c r="C124" s="46"/>
      <x:c r="D124" s="46"/>
      <x:c r="E124" s="46"/>
      <x:c r="F124" s="46"/>
      <x:c r="G124" s="46"/>
      <x:c r="H124" s="46"/>
      <x:c r="I124" s="46"/>
      <x:c r="J124" s="46"/>
      <x:c r="K124" s="46"/>
      <x:c r="L124" s="46"/>
      <x:c r="M124" s="46"/>
      <x:c r="N124" s="46"/>
      <x:c r="O124" s="46"/>
      <x:c r="P124" s="46"/>
      <x:c r="Q124" s="46"/>
      <x:c r="R124" s="46"/>
    </x:row>
    <x:row r="125">
      <x:c r="A125" s="46"/>
      <x:c r="B125" s="46"/>
      <x:c r="C125" s="46"/>
      <x:c r="D125" s="46"/>
      <x:c r="E125" s="46"/>
      <x:c r="F125" s="46"/>
      <x:c r="G125" s="46"/>
      <x:c r="H125" s="46"/>
      <x:c r="I125" s="46"/>
      <x:c r="J125" s="46"/>
      <x:c r="K125" s="46"/>
      <x:c r="L125" s="46"/>
      <x:c r="M125" s="46"/>
      <x:c r="N125" s="46"/>
      <x:c r="O125" s="46"/>
      <x:c r="P125" s="46"/>
      <x:c r="Q125" s="46"/>
      <x:c r="R125" s="46"/>
    </x:row>
    <x:row r="126">
      <x:c r="A126" s="46"/>
      <x:c r="B126" s="46"/>
      <x:c r="C126" s="46"/>
      <x:c r="D126" s="46"/>
      <x:c r="E126" s="46"/>
      <x:c r="F126" s="46"/>
      <x:c r="G126" s="46"/>
      <x:c r="H126" s="46"/>
      <x:c r="I126" s="46"/>
      <x:c r="J126" s="46"/>
      <x:c r="K126" s="46"/>
      <x:c r="L126" s="46"/>
      <x:c r="M126" s="46"/>
      <x:c r="N126" s="46"/>
      <x:c r="O126" s="46"/>
      <x:c r="P126" s="46"/>
      <x:c r="Q126" s="46"/>
      <x:c r="R126" s="46"/>
    </x:row>
    <x:row r="127">
      <x:c r="A127" s="46"/>
      <x:c r="B127" s="46"/>
      <x:c r="C127" s="46"/>
      <x:c r="D127" s="46"/>
      <x:c r="E127" s="46"/>
      <x:c r="F127" s="46"/>
      <x:c r="G127" s="46"/>
      <x:c r="H127" s="46"/>
      <x:c r="I127" s="46"/>
      <x:c r="J127" s="46"/>
      <x:c r="K127" s="46"/>
      <x:c r="L127" s="46"/>
      <x:c r="M127" s="46"/>
      <x:c r="N127" s="46"/>
      <x:c r="O127" s="46"/>
      <x:c r="P127" s="46"/>
      <x:c r="Q127" s="46"/>
      <x:c r="R127" s="46"/>
    </x:row>
    <x:row r="128">
      <x:c r="A128" s="46"/>
      <x:c r="B128" s="46"/>
      <x:c r="C128" s="46"/>
      <x:c r="D128" s="46"/>
      <x:c r="E128" s="46"/>
      <x:c r="F128" s="46"/>
      <x:c r="G128" s="46"/>
      <x:c r="H128" s="46"/>
      <x:c r="I128" s="46"/>
      <x:c r="J128" s="46"/>
      <x:c r="K128" s="46"/>
      <x:c r="L128" s="46"/>
      <x:c r="M128" s="46"/>
      <x:c r="N128" s="46"/>
      <x:c r="O128" s="46"/>
      <x:c r="P128" s="46"/>
      <x:c r="Q128" s="46"/>
      <x:c r="R128" s="46"/>
    </x:row>
    <x:row r="129">
      <x:c r="A129" s="46"/>
      <x:c r="B129" s="46"/>
      <x:c r="C129" s="46"/>
      <x:c r="D129" s="46"/>
      <x:c r="E129" s="46"/>
      <x:c r="F129" s="46"/>
      <x:c r="G129" s="46"/>
      <x:c r="H129" s="46"/>
      <x:c r="I129" s="46"/>
      <x:c r="J129" s="46"/>
      <x:c r="K129" s="46"/>
      <x:c r="L129" s="46"/>
      <x:c r="M129" s="46"/>
      <x:c r="N129" s="46"/>
      <x:c r="O129" s="46"/>
      <x:c r="P129" s="46"/>
      <x:c r="Q129" s="46"/>
      <x:c r="R129" s="46"/>
    </x:row>
    <x:row r="130">
      <x:c r="A130" s="46"/>
      <x:c r="B130" s="46"/>
      <x:c r="C130" s="46"/>
      <x:c r="D130" s="46"/>
      <x:c r="E130" s="46"/>
      <x:c r="F130" s="46"/>
      <x:c r="G130" s="46"/>
      <x:c r="H130" s="46"/>
      <x:c r="I130" s="46"/>
      <x:c r="J130" s="46"/>
      <x:c r="K130" s="46"/>
      <x:c r="L130" s="46"/>
      <x:c r="M130" s="46"/>
      <x:c r="N130" s="46"/>
      <x:c r="O130" s="46"/>
      <x:c r="P130" s="46"/>
      <x:c r="Q130" s="46"/>
      <x:c r="R130" s="46"/>
    </x:row>
    <x:row r="131">
      <x:c r="A131" s="46"/>
      <x:c r="B131" s="46"/>
      <x:c r="C131" s="46"/>
      <x:c r="D131" s="46"/>
      <x:c r="E131" s="46"/>
      <x:c r="F131" s="46"/>
      <x:c r="G131" s="46"/>
      <x:c r="H131" s="46"/>
      <x:c r="I131" s="46"/>
      <x:c r="J131" s="46"/>
      <x:c r="K131" s="46"/>
      <x:c r="L131" s="46"/>
      <x:c r="M131" s="46"/>
      <x:c r="N131" s="46"/>
      <x:c r="O131" s="46"/>
      <x:c r="P131" s="46"/>
      <x:c r="Q131" s="46"/>
      <x:c r="R131" s="46"/>
    </x:row>
    <x:row r="132">
      <x:c r="A132" s="46"/>
      <x:c r="B132" s="46"/>
      <x:c r="C132" s="46"/>
      <x:c r="D132" s="46"/>
      <x:c r="E132" s="46"/>
      <x:c r="F132" s="46"/>
      <x:c r="G132" s="46"/>
      <x:c r="H132" s="46"/>
      <x:c r="I132" s="46"/>
      <x:c r="J132" s="46"/>
      <x:c r="K132" s="46"/>
      <x:c r="L132" s="46"/>
      <x:c r="M132" s="46"/>
      <x:c r="N132" s="46"/>
      <x:c r="O132" s="46"/>
      <x:c r="P132" s="46"/>
      <x:c r="Q132" s="46"/>
      <x:c r="R132" s="46"/>
    </x:row>
    <x:row r="133">
      <x:c r="A133" s="46"/>
      <x:c r="B133" s="46"/>
      <x:c r="C133" s="46"/>
      <x:c r="D133" s="46"/>
      <x:c r="E133" s="46"/>
      <x:c r="F133" s="46"/>
      <x:c r="G133" s="46"/>
      <x:c r="H133" s="46"/>
      <x:c r="I133" s="46"/>
      <x:c r="J133" s="46"/>
      <x:c r="K133" s="46"/>
      <x:c r="L133" s="46"/>
      <x:c r="M133" s="46"/>
      <x:c r="N133" s="46"/>
      <x:c r="O133" s="46"/>
      <x:c r="P133" s="46"/>
      <x:c r="Q133" s="46"/>
      <x:c r="R133" s="46"/>
    </x:row>
    <x:row r="134">
      <x:c r="A134" s="46"/>
      <x:c r="B134" s="46"/>
      <x:c r="C134" s="46"/>
      <x:c r="D134" s="46"/>
      <x:c r="E134" s="46"/>
      <x:c r="F134" s="46"/>
      <x:c r="G134" s="46"/>
      <x:c r="H134" s="46"/>
      <x:c r="I134" s="46"/>
      <x:c r="J134" s="46"/>
      <x:c r="K134" s="46"/>
      <x:c r="L134" s="46"/>
      <x:c r="M134" s="46"/>
      <x:c r="N134" s="46"/>
      <x:c r="O134" s="46"/>
      <x:c r="P134" s="46"/>
      <x:c r="Q134" s="46"/>
      <x:c r="R134" s="46"/>
    </x:row>
    <x:row r="135">
      <x:c r="A135" s="46"/>
      <x:c r="B135" s="46"/>
      <x:c r="C135" s="46"/>
      <x:c r="D135" s="46"/>
      <x:c r="E135" s="46"/>
      <x:c r="F135" s="46"/>
      <x:c r="G135" s="46"/>
      <x:c r="H135" s="46"/>
      <x:c r="I135" s="46"/>
      <x:c r="J135" s="46"/>
      <x:c r="K135" s="46"/>
      <x:c r="L135" s="46"/>
      <x:c r="M135" s="46"/>
      <x:c r="N135" s="46"/>
      <x:c r="O135" s="46"/>
      <x:c r="P135" s="46"/>
      <x:c r="Q135" s="46"/>
      <x:c r="R135" s="46"/>
    </x:row>
    <x:row r="136">
      <x:c r="A136" s="46"/>
      <x:c r="B136" s="46"/>
      <x:c r="C136" s="46"/>
      <x:c r="D136" s="46"/>
      <x:c r="E136" s="46"/>
      <x:c r="F136" s="46"/>
      <x:c r="G136" s="46"/>
      <x:c r="H136" s="46"/>
      <x:c r="I136" s="46"/>
      <x:c r="J136" s="46"/>
      <x:c r="K136" s="46"/>
      <x:c r="L136" s="46"/>
      <x:c r="M136" s="46"/>
      <x:c r="N136" s="46"/>
      <x:c r="O136" s="46"/>
      <x:c r="P136" s="46"/>
      <x:c r="Q136" s="46"/>
      <x:c r="R136" s="46"/>
    </x:row>
    <x:row r="137">
      <x:c r="A137" s="46"/>
      <x:c r="B137" s="46"/>
      <x:c r="C137" s="46"/>
      <x:c r="D137" s="46"/>
      <x:c r="E137" s="46"/>
      <x:c r="F137" s="46"/>
      <x:c r="G137" s="46"/>
      <x:c r="H137" s="46"/>
      <x:c r="I137" s="46"/>
      <x:c r="J137" s="46"/>
      <x:c r="K137" s="46"/>
      <x:c r="L137" s="46"/>
      <x:c r="M137" s="46"/>
      <x:c r="N137" s="46"/>
      <x:c r="O137" s="46"/>
      <x:c r="P137" s="46"/>
      <x:c r="Q137" s="46"/>
      <x:c r="R137" s="46"/>
    </x:row>
    <x:row r="138">
      <x:c r="A138" s="46"/>
      <x:c r="B138" s="46"/>
      <x:c r="C138" s="46"/>
      <x:c r="D138" s="46"/>
      <x:c r="E138" s="46"/>
      <x:c r="F138" s="46"/>
      <x:c r="G138" s="46"/>
      <x:c r="H138" s="46"/>
      <x:c r="I138" s="46"/>
      <x:c r="J138" s="46"/>
      <x:c r="K138" s="46"/>
      <x:c r="L138" s="46"/>
      <x:c r="M138" s="46"/>
      <x:c r="N138" s="46"/>
      <x:c r="O138" s="46"/>
      <x:c r="P138" s="46"/>
      <x:c r="Q138" s="46"/>
      <x:c r="R138" s="46"/>
    </x:row>
    <x:row r="139">
      <x:c r="A139" s="46"/>
      <x:c r="B139" s="46"/>
      <x:c r="C139" s="46"/>
      <x:c r="D139" s="46"/>
      <x:c r="E139" s="46"/>
      <x:c r="F139" s="46"/>
      <x:c r="G139" s="46"/>
      <x:c r="H139" s="46"/>
      <x:c r="I139" s="46"/>
      <x:c r="J139" s="46"/>
      <x:c r="K139" s="46"/>
      <x:c r="L139" s="46"/>
      <x:c r="M139" s="46"/>
      <x:c r="N139" s="46"/>
      <x:c r="O139" s="46"/>
      <x:c r="P139" s="46"/>
      <x:c r="Q139" s="46"/>
      <x:c r="R139" s="46"/>
    </x:row>
    <x:row r="140">
      <x:c r="A140" s="46"/>
      <x:c r="B140" s="46"/>
      <x:c r="C140" s="46"/>
      <x:c r="D140" s="46"/>
      <x:c r="E140" s="46"/>
      <x:c r="F140" s="46"/>
      <x:c r="G140" s="46"/>
      <x:c r="H140" s="46"/>
      <x:c r="I140" s="46"/>
      <x:c r="J140" s="46"/>
      <x:c r="K140" s="46"/>
      <x:c r="L140" s="46"/>
      <x:c r="M140" s="46"/>
      <x:c r="N140" s="46"/>
      <x:c r="O140" s="46"/>
      <x:c r="P140" s="46"/>
      <x:c r="Q140" s="46"/>
      <x:c r="R140" s="46"/>
    </x:row>
    <x:row r="141">
      <x:c r="A141" s="46"/>
      <x:c r="B141" s="46"/>
      <x:c r="C141" s="46"/>
      <x:c r="D141" s="46"/>
      <x:c r="E141" s="46"/>
      <x:c r="F141" s="46"/>
      <x:c r="G141" s="46"/>
      <x:c r="H141" s="46"/>
      <x:c r="I141" s="46"/>
      <x:c r="J141" s="46"/>
      <x:c r="K141" s="46"/>
      <x:c r="L141" s="46"/>
      <x:c r="M141" s="46"/>
      <x:c r="N141" s="46"/>
      <x:c r="O141" s="46"/>
      <x:c r="P141" s="46"/>
      <x:c r="Q141" s="46"/>
      <x:c r="R141" s="46"/>
    </x:row>
    <x:row r="142">
      <x:c r="A142" s="46"/>
      <x:c r="B142" s="46"/>
      <x:c r="C142" s="46"/>
      <x:c r="D142" s="46"/>
      <x:c r="E142" s="46"/>
      <x:c r="F142" s="46"/>
      <x:c r="G142" s="46"/>
      <x:c r="H142" s="46"/>
      <x:c r="I142" s="46"/>
      <x:c r="J142" s="46"/>
      <x:c r="K142" s="46"/>
      <x:c r="L142" s="46"/>
      <x:c r="M142" s="46"/>
      <x:c r="N142" s="46"/>
      <x:c r="O142" s="46"/>
      <x:c r="P142" s="46"/>
      <x:c r="Q142" s="46"/>
      <x:c r="R142" s="46"/>
    </x:row>
    <x:row r="143">
      <x:c r="A143" s="46"/>
      <x:c r="B143" s="46"/>
      <x:c r="C143" s="46"/>
      <x:c r="D143" s="46"/>
      <x:c r="E143" s="46"/>
      <x:c r="F143" s="46"/>
      <x:c r="G143" s="46"/>
      <x:c r="H143" s="46"/>
      <x:c r="I143" s="46"/>
      <x:c r="J143" s="46"/>
      <x:c r="K143" s="46"/>
      <x:c r="L143" s="46"/>
      <x:c r="M143" s="46"/>
      <x:c r="N143" s="46"/>
      <x:c r="O143" s="46"/>
      <x:c r="P143" s="46"/>
      <x:c r="Q143" s="46"/>
      <x:c r="R143" s="46"/>
    </x:row>
    <x:row r="144">
      <x:c r="A144" s="46"/>
      <x:c r="B144" s="46"/>
      <x:c r="C144" s="46"/>
      <x:c r="D144" s="46"/>
      <x:c r="E144" s="46"/>
      <x:c r="F144" s="46"/>
      <x:c r="G144" s="46"/>
      <x:c r="H144" s="46"/>
      <x:c r="I144" s="46"/>
      <x:c r="J144" s="46"/>
      <x:c r="K144" s="46"/>
      <x:c r="L144" s="46"/>
      <x:c r="M144" s="46"/>
      <x:c r="N144" s="46"/>
      <x:c r="O144" s="46"/>
      <x:c r="P144" s="46"/>
      <x:c r="Q144" s="46"/>
      <x:c r="R144" s="46"/>
    </x:row>
    <x:row r="145">
      <x:c r="A145" s="46"/>
      <x:c r="B145" s="46"/>
      <x:c r="C145" s="46"/>
      <x:c r="D145" s="46"/>
      <x:c r="E145" s="46"/>
      <x:c r="F145" s="46"/>
      <x:c r="G145" s="46"/>
      <x:c r="H145" s="46"/>
      <x:c r="I145" s="46"/>
      <x:c r="J145" s="46"/>
      <x:c r="K145" s="46"/>
      <x:c r="L145" s="46"/>
      <x:c r="M145" s="46"/>
      <x:c r="N145" s="46"/>
      <x:c r="O145" s="46"/>
      <x:c r="P145" s="46"/>
      <x:c r="Q145" s="46"/>
      <x:c r="R145" s="46"/>
    </x:row>
    <x:row r="146">
      <x:c r="A146" s="46"/>
      <x:c r="B146" s="46"/>
      <x:c r="C146" s="46"/>
      <x:c r="D146" s="46"/>
      <x:c r="E146" s="46"/>
      <x:c r="F146" s="46"/>
      <x:c r="G146" s="46"/>
      <x:c r="H146" s="46"/>
      <x:c r="I146" s="46"/>
      <x:c r="J146" s="46"/>
      <x:c r="K146" s="46"/>
      <x:c r="L146" s="46"/>
      <x:c r="M146" s="46"/>
      <x:c r="N146" s="46"/>
      <x:c r="O146" s="46"/>
      <x:c r="P146" s="46"/>
      <x:c r="Q146" s="46"/>
      <x:c r="R146" s="46"/>
    </x:row>
    <x:row r="147">
      <x:c r="A147" s="46"/>
      <x:c r="B147" s="46"/>
      <x:c r="C147" s="46"/>
      <x:c r="D147" s="46"/>
      <x:c r="E147" s="46"/>
      <x:c r="F147" s="46"/>
      <x:c r="G147" s="46"/>
      <x:c r="H147" s="46"/>
      <x:c r="I147" s="46"/>
      <x:c r="J147" s="46"/>
      <x:c r="K147" s="46"/>
      <x:c r="L147" s="46"/>
      <x:c r="M147" s="46"/>
      <x:c r="N147" s="46"/>
      <x:c r="O147" s="46"/>
      <x:c r="P147" s="46"/>
      <x:c r="Q147" s="46"/>
      <x:c r="R147" s="46"/>
    </x:row>
    <x:row r="148">
      <x:c r="A148" s="46"/>
      <x:c r="B148" s="46"/>
      <x:c r="C148" s="46"/>
      <x:c r="D148" s="46"/>
      <x:c r="E148" s="46"/>
      <x:c r="F148" s="46"/>
      <x:c r="G148" s="46"/>
      <x:c r="H148" s="46"/>
      <x:c r="I148" s="46"/>
      <x:c r="J148" s="46"/>
      <x:c r="K148" s="46"/>
      <x:c r="L148" s="46"/>
      <x:c r="M148" s="46"/>
      <x:c r="N148" s="46"/>
      <x:c r="O148" s="46"/>
      <x:c r="P148" s="46"/>
      <x:c r="Q148" s="46"/>
      <x:c r="R148" s="46"/>
    </x:row>
    <x:row r="149">
      <x:c r="A149" s="46"/>
      <x:c r="B149" s="46"/>
      <x:c r="C149" s="46"/>
      <x:c r="D149" s="46"/>
      <x:c r="E149" s="46"/>
      <x:c r="F149" s="46"/>
      <x:c r="G149" s="46"/>
      <x:c r="H149" s="46"/>
      <x:c r="I149" s="46"/>
      <x:c r="J149" s="46"/>
      <x:c r="K149" s="46"/>
      <x:c r="L149" s="46"/>
      <x:c r="M149" s="46"/>
      <x:c r="N149" s="46"/>
      <x:c r="O149" s="46"/>
      <x:c r="P149" s="46"/>
      <x:c r="Q149" s="46"/>
      <x:c r="R149" s="46"/>
    </x:row>
    <x:row r="150">
      <x:c r="A150" s="46"/>
      <x:c r="B150" s="46"/>
      <x:c r="C150" s="46"/>
      <x:c r="D150" s="46"/>
      <x:c r="E150" s="46"/>
      <x:c r="F150" s="46"/>
      <x:c r="G150" s="46"/>
      <x:c r="H150" s="46"/>
      <x:c r="I150" s="46"/>
      <x:c r="J150" s="46"/>
      <x:c r="K150" s="46"/>
      <x:c r="L150" s="46"/>
      <x:c r="M150" s="46"/>
      <x:c r="N150" s="46"/>
      <x:c r="O150" s="46"/>
      <x:c r="P150" s="46"/>
      <x:c r="Q150" s="46"/>
      <x:c r="R150" s="46"/>
    </x:row>
    <x:row r="151">
      <x:c r="A151" s="46"/>
      <x:c r="B151" s="46"/>
      <x:c r="C151" s="46"/>
      <x:c r="D151" s="46"/>
      <x:c r="E151" s="46"/>
      <x:c r="F151" s="46"/>
      <x:c r="G151" s="46"/>
      <x:c r="H151" s="46"/>
      <x:c r="I151" s="46"/>
      <x:c r="J151" s="46"/>
      <x:c r="K151" s="46"/>
      <x:c r="L151" s="46"/>
      <x:c r="M151" s="46"/>
      <x:c r="N151" s="46"/>
      <x:c r="O151" s="46"/>
      <x:c r="P151" s="46"/>
      <x:c r="Q151" s="46"/>
      <x:c r="R151" s="46"/>
    </x:row>
    <x:row r="152">
      <x:c r="A152" s="46"/>
      <x:c r="B152" s="46"/>
      <x:c r="C152" s="46"/>
      <x:c r="D152" s="46"/>
      <x:c r="E152" s="46"/>
      <x:c r="F152" s="46"/>
      <x:c r="G152" s="46"/>
      <x:c r="H152" s="46"/>
      <x:c r="I152" s="46"/>
      <x:c r="J152" s="46"/>
      <x:c r="K152" s="46"/>
      <x:c r="L152" s="46"/>
      <x:c r="M152" s="46"/>
      <x:c r="N152" s="46"/>
      <x:c r="O152" s="46"/>
      <x:c r="P152" s="46"/>
      <x:c r="Q152" s="46"/>
      <x:c r="R152" s="46"/>
    </x:row>
    <x:row r="153">
      <x:c r="A153" s="46"/>
      <x:c r="B153" s="46"/>
      <x:c r="C153" s="46"/>
      <x:c r="D153" s="46"/>
      <x:c r="E153" s="46"/>
      <x:c r="F153" s="46"/>
      <x:c r="G153" s="46"/>
      <x:c r="H153" s="46"/>
      <x:c r="I153" s="46"/>
      <x:c r="J153" s="46"/>
      <x:c r="K153" s="46"/>
      <x:c r="L153" s="46"/>
      <x:c r="M153" s="46"/>
      <x:c r="N153" s="46"/>
      <x:c r="O153" s="46"/>
      <x:c r="P153" s="46"/>
      <x:c r="Q153" s="46"/>
      <x:c r="R153" s="46"/>
    </x:row>
    <x:row r="154">
      <x:c r="A154" s="46"/>
      <x:c r="B154" s="46"/>
      <x:c r="C154" s="46"/>
      <x:c r="D154" s="46"/>
      <x:c r="E154" s="46"/>
      <x:c r="F154" s="46"/>
      <x:c r="G154" s="46"/>
      <x:c r="H154" s="46"/>
      <x:c r="I154" s="46"/>
      <x:c r="J154" s="46"/>
      <x:c r="K154" s="46"/>
      <x:c r="L154" s="46"/>
      <x:c r="M154" s="46"/>
      <x:c r="N154" s="46"/>
      <x:c r="O154" s="46"/>
      <x:c r="P154" s="46"/>
      <x:c r="Q154" s="46"/>
      <x:c r="R154" s="46"/>
    </x:row>
    <x:row r="155">
      <x:c r="A155" s="46"/>
      <x:c r="B155" s="46"/>
      <x:c r="C155" s="46"/>
      <x:c r="D155" s="46"/>
      <x:c r="E155" s="46"/>
      <x:c r="F155" s="46"/>
      <x:c r="G155" s="46"/>
      <x:c r="H155" s="46"/>
      <x:c r="I155" s="46"/>
      <x:c r="J155" s="46"/>
      <x:c r="K155" s="46"/>
      <x:c r="L155" s="46"/>
      <x:c r="M155" s="46"/>
      <x:c r="N155" s="46"/>
      <x:c r="O155" s="46"/>
      <x:c r="P155" s="46"/>
      <x:c r="Q155" s="46"/>
      <x:c r="R155" s="46"/>
    </x:row>
    <x:row r="156">
      <x:c r="A156" s="46"/>
      <x:c r="B156" s="46"/>
      <x:c r="C156" s="46"/>
      <x:c r="D156" s="46"/>
      <x:c r="E156" s="46"/>
      <x:c r="F156" s="46"/>
      <x:c r="G156" s="46"/>
      <x:c r="H156" s="46"/>
      <x:c r="I156" s="46"/>
      <x:c r="J156" s="46"/>
      <x:c r="K156" s="46"/>
      <x:c r="L156" s="46"/>
      <x:c r="M156" s="46"/>
      <x:c r="N156" s="46"/>
      <x:c r="O156" s="46"/>
      <x:c r="P156" s="46"/>
      <x:c r="Q156" s="46"/>
      <x:c r="R156" s="46"/>
    </x:row>
    <x:row r="157">
      <x:c r="A157" s="46"/>
      <x:c r="B157" s="46"/>
      <x:c r="C157" s="46"/>
      <x:c r="D157" s="46"/>
      <x:c r="E157" s="46"/>
      <x:c r="F157" s="46"/>
      <x:c r="G157" s="46"/>
      <x:c r="H157" s="46"/>
      <x:c r="I157" s="46"/>
      <x:c r="J157" s="46"/>
      <x:c r="K157" s="46"/>
      <x:c r="L157" s="46"/>
      <x:c r="M157" s="46"/>
      <x:c r="N157" s="46"/>
      <x:c r="O157" s="46"/>
      <x:c r="P157" s="46"/>
      <x:c r="Q157" s="46"/>
      <x:c r="R157" s="46"/>
    </x:row>
    <x:row r="158">
      <x:c r="A158" s="46"/>
      <x:c r="B158" s="46"/>
      <x:c r="C158" s="46"/>
      <x:c r="D158" s="46"/>
      <x:c r="E158" s="46"/>
      <x:c r="F158" s="46"/>
      <x:c r="G158" s="46"/>
      <x:c r="H158" s="46"/>
      <x:c r="I158" s="46"/>
      <x:c r="J158" s="46"/>
      <x:c r="K158" s="46"/>
      <x:c r="L158" s="46"/>
      <x:c r="M158" s="46"/>
      <x:c r="N158" s="46"/>
      <x:c r="O158" s="46"/>
      <x:c r="P158" s="46"/>
      <x:c r="Q158" s="46"/>
      <x:c r="R158" s="46"/>
    </x:row>
    <x:row r="159">
      <x:c r="A159" s="46"/>
      <x:c r="B159" s="46"/>
      <x:c r="C159" s="46"/>
      <x:c r="D159" s="46"/>
      <x:c r="E159" s="46"/>
      <x:c r="F159" s="46"/>
      <x:c r="G159" s="46"/>
      <x:c r="H159" s="46"/>
      <x:c r="I159" s="46"/>
      <x:c r="J159" s="46"/>
      <x:c r="K159" s="46"/>
      <x:c r="L159" s="46"/>
      <x:c r="M159" s="46"/>
      <x:c r="N159" s="46"/>
      <x:c r="O159" s="46"/>
      <x:c r="P159" s="46"/>
      <x:c r="Q159" s="46"/>
      <x:c r="R159" s="46"/>
    </x:row>
    <x:row r="160">
      <x:c r="A160" s="46"/>
      <x:c r="B160" s="46"/>
      <x:c r="C160" s="46"/>
      <x:c r="D160" s="46"/>
      <x:c r="E160" s="46"/>
      <x:c r="F160" s="46"/>
      <x:c r="G160" s="46"/>
      <x:c r="H160" s="46"/>
      <x:c r="I160" s="46"/>
      <x:c r="J160" s="46"/>
      <x:c r="K160" s="46"/>
      <x:c r="L160" s="46"/>
      <x:c r="M160" s="46"/>
      <x:c r="N160" s="46"/>
      <x:c r="O160" s="46"/>
      <x:c r="P160" s="46"/>
      <x:c r="Q160" s="46"/>
      <x:c r="R160" s="46"/>
    </x:row>
    <x:row r="161">
      <x:c r="A161" s="46"/>
      <x:c r="B161" s="46"/>
      <x:c r="C161" s="46"/>
      <x:c r="D161" s="46"/>
      <x:c r="E161" s="46"/>
      <x:c r="F161" s="46"/>
      <x:c r="G161" s="46"/>
      <x:c r="H161" s="46"/>
      <x:c r="I161" s="46"/>
      <x:c r="J161" s="46"/>
      <x:c r="K161" s="46"/>
      <x:c r="L161" s="46"/>
      <x:c r="M161" s="46"/>
      <x:c r="N161" s="46"/>
      <x:c r="O161" s="46"/>
      <x:c r="P161" s="46"/>
      <x:c r="Q161" s="46"/>
      <x:c r="R161" s="46"/>
    </x:row>
    <x:row r="162">
      <x:c r="A162" s="46"/>
      <x:c r="B162" s="46"/>
      <x:c r="C162" s="46"/>
      <x:c r="D162" s="46"/>
      <x:c r="E162" s="46"/>
      <x:c r="F162" s="46"/>
      <x:c r="G162" s="46"/>
      <x:c r="H162" s="46"/>
      <x:c r="I162" s="46"/>
      <x:c r="J162" s="46"/>
      <x:c r="K162" s="46"/>
      <x:c r="L162" s="46"/>
      <x:c r="M162" s="46"/>
      <x:c r="N162" s="46"/>
      <x:c r="O162" s="46"/>
      <x:c r="P162" s="46"/>
      <x:c r="Q162" s="46"/>
      <x:c r="R162" s="46"/>
    </x:row>
    <x:row r="163">
      <x:c r="A163" s="46"/>
      <x:c r="B163" s="46"/>
      <x:c r="C163" s="46"/>
      <x:c r="D163" s="46"/>
      <x:c r="E163" s="46"/>
      <x:c r="F163" s="46"/>
      <x:c r="G163" s="46"/>
      <x:c r="H163" s="46"/>
      <x:c r="I163" s="46"/>
      <x:c r="J163" s="46"/>
      <x:c r="K163" s="46"/>
      <x:c r="L163" s="46"/>
      <x:c r="M163" s="46"/>
      <x:c r="N163" s="46"/>
      <x:c r="O163" s="46"/>
      <x:c r="P163" s="46"/>
      <x:c r="Q163" s="46"/>
      <x:c r="R163" s="46"/>
    </x:row>
    <x:row r="164">
      <x:c r="A164" s="46"/>
      <x:c r="B164" s="46"/>
      <x:c r="C164" s="46"/>
      <x:c r="D164" s="46"/>
      <x:c r="E164" s="46"/>
      <x:c r="F164" s="46"/>
      <x:c r="G164" s="46"/>
      <x:c r="H164" s="46"/>
      <x:c r="I164" s="46"/>
      <x:c r="J164" s="46"/>
      <x:c r="K164" s="46"/>
      <x:c r="L164" s="46"/>
      <x:c r="M164" s="46"/>
      <x:c r="N164" s="46"/>
      <x:c r="O164" s="46"/>
      <x:c r="P164" s="46"/>
      <x:c r="Q164" s="46"/>
      <x:c r="R164" s="46"/>
    </x:row>
    <x:row r="165">
      <x:c r="A165" s="46"/>
      <x:c r="B165" s="46"/>
      <x:c r="C165" s="46"/>
      <x:c r="D165" s="46"/>
      <x:c r="E165" s="46"/>
      <x:c r="F165" s="46"/>
      <x:c r="G165" s="46"/>
      <x:c r="H165" s="46"/>
      <x:c r="I165" s="46"/>
      <x:c r="J165" s="46"/>
      <x:c r="K165" s="46"/>
      <x:c r="L165" s="46"/>
      <x:c r="M165" s="46"/>
      <x:c r="N165" s="46"/>
      <x:c r="O165" s="46"/>
      <x:c r="P165" s="46"/>
      <x:c r="Q165" s="46"/>
      <x:c r="R165" s="46"/>
    </x:row>
    <x:row r="166">
      <x:c r="A166" s="46"/>
      <x:c r="B166" s="46"/>
      <x:c r="C166" s="46"/>
      <x:c r="D166" s="46"/>
      <x:c r="E166" s="46"/>
      <x:c r="F166" s="46"/>
      <x:c r="G166" s="46"/>
      <x:c r="H166" s="46"/>
      <x:c r="I166" s="46"/>
      <x:c r="J166" s="46"/>
      <x:c r="K166" s="46"/>
      <x:c r="L166" s="46"/>
      <x:c r="M166" s="46"/>
      <x:c r="N166" s="46"/>
      <x:c r="O166" s="46"/>
      <x:c r="P166" s="46"/>
      <x:c r="Q166" s="46"/>
      <x:c r="R166" s="46"/>
    </x:row>
    <x:row r="167">
      <x:c r="A167" s="46"/>
      <x:c r="B167" s="46"/>
      <x:c r="C167" s="46"/>
      <x:c r="D167" s="46"/>
      <x:c r="E167" s="46"/>
      <x:c r="F167" s="46"/>
      <x:c r="G167" s="46"/>
      <x:c r="H167" s="46"/>
      <x:c r="I167" s="46"/>
      <x:c r="J167" s="46"/>
      <x:c r="K167" s="46"/>
      <x:c r="L167" s="46"/>
      <x:c r="M167" s="46"/>
      <x:c r="N167" s="46"/>
      <x:c r="O167" s="46"/>
      <x:c r="P167" s="46"/>
      <x:c r="Q167" s="46"/>
      <x:c r="R167" s="46"/>
    </x:row>
    <x:row r="168">
      <x:c r="A168" s="46"/>
      <x:c r="B168" s="46"/>
      <x:c r="C168" s="46"/>
      <x:c r="D168" s="46"/>
      <x:c r="E168" s="46"/>
      <x:c r="F168" s="46"/>
      <x:c r="G168" s="46"/>
      <x:c r="H168" s="46"/>
      <x:c r="I168" s="46"/>
      <x:c r="J168" s="46"/>
      <x:c r="K168" s="46"/>
      <x:c r="L168" s="46"/>
      <x:c r="M168" s="46"/>
      <x:c r="N168" s="46"/>
      <x:c r="O168" s="46"/>
      <x:c r="P168" s="46"/>
      <x:c r="Q168" s="46"/>
      <x:c r="R168" s="46"/>
    </x:row>
    <x:row r="169">
      <x:c r="A169" s="46"/>
      <x:c r="B169" s="46"/>
      <x:c r="C169" s="46"/>
      <x:c r="D169" s="46"/>
      <x:c r="E169" s="46"/>
      <x:c r="F169" s="46"/>
      <x:c r="G169" s="46"/>
      <x:c r="H169" s="46"/>
      <x:c r="I169" s="46"/>
      <x:c r="J169" s="46"/>
      <x:c r="K169" s="46"/>
      <x:c r="L169" s="46"/>
      <x:c r="M169" s="46"/>
      <x:c r="N169" s="46"/>
      <x:c r="O169" s="46"/>
      <x:c r="P169" s="46"/>
      <x:c r="Q169" s="46"/>
      <x:c r="R169" s="46"/>
    </x:row>
    <x:row r="170">
      <x:c r="A170" s="46"/>
      <x:c r="B170" s="46"/>
      <x:c r="C170" s="46"/>
      <x:c r="D170" s="46"/>
      <x:c r="E170" s="46"/>
      <x:c r="F170" s="46"/>
      <x:c r="G170" s="46"/>
      <x:c r="H170" s="46"/>
      <x:c r="I170" s="46"/>
      <x:c r="J170" s="46"/>
      <x:c r="K170" s="46"/>
      <x:c r="L170" s="46"/>
      <x:c r="M170" s="46"/>
      <x:c r="N170" s="46"/>
      <x:c r="O170" s="46"/>
      <x:c r="P170" s="46"/>
      <x:c r="Q170" s="46"/>
      <x:c r="R170" s="46"/>
    </x:row>
    <x:row r="171">
      <x:c r="A171" s="46"/>
      <x:c r="B171" s="46"/>
      <x:c r="C171" s="46"/>
      <x:c r="D171" s="46"/>
      <x:c r="E171" s="46"/>
      <x:c r="F171" s="46"/>
      <x:c r="G171" s="46"/>
      <x:c r="H171" s="46"/>
      <x:c r="I171" s="46"/>
      <x:c r="J171" s="46"/>
      <x:c r="K171" s="46"/>
      <x:c r="L171" s="46"/>
      <x:c r="M171" s="46"/>
      <x:c r="N171" s="46"/>
      <x:c r="O171" s="46"/>
      <x:c r="P171" s="46"/>
      <x:c r="Q171" s="46"/>
      <x:c r="R171" s="46"/>
    </x:row>
    <x:row r="172">
      <x:c r="A172" s="46"/>
      <x:c r="B172" s="46"/>
      <x:c r="C172" s="46"/>
      <x:c r="D172" s="46"/>
      <x:c r="E172" s="46"/>
      <x:c r="F172" s="46"/>
      <x:c r="G172" s="46"/>
      <x:c r="H172" s="46"/>
      <x:c r="I172" s="46"/>
      <x:c r="J172" s="46"/>
      <x:c r="K172" s="46"/>
      <x:c r="L172" s="46"/>
      <x:c r="M172" s="46"/>
      <x:c r="N172" s="46"/>
      <x:c r="O172" s="46"/>
      <x:c r="P172" s="46"/>
      <x:c r="Q172" s="46"/>
      <x:c r="R172" s="46"/>
    </x:row>
    <x:row r="173">
      <x:c r="A173" s="46"/>
      <x:c r="B173" s="46"/>
      <x:c r="C173" s="46"/>
      <x:c r="D173" s="46"/>
      <x:c r="E173" s="46"/>
      <x:c r="F173" s="46"/>
      <x:c r="G173" s="46"/>
      <x:c r="H173" s="46"/>
      <x:c r="I173" s="46"/>
      <x:c r="J173" s="46"/>
      <x:c r="K173" s="46"/>
      <x:c r="L173" s="46"/>
      <x:c r="M173" s="46"/>
      <x:c r="N173" s="46"/>
      <x:c r="O173" s="46"/>
      <x:c r="P173" s="46"/>
      <x:c r="Q173" s="46"/>
      <x:c r="R173" s="46"/>
    </x:row>
    <x:row r="174">
      <x:c r="A174" s="46"/>
      <x:c r="B174" s="46"/>
      <x:c r="C174" s="46"/>
      <x:c r="D174" s="46"/>
      <x:c r="E174" s="46"/>
      <x:c r="F174" s="46"/>
      <x:c r="G174" s="46"/>
      <x:c r="H174" s="46"/>
      <x:c r="I174" s="46"/>
      <x:c r="J174" s="46"/>
      <x:c r="K174" s="46"/>
      <x:c r="L174" s="46"/>
      <x:c r="M174" s="46"/>
      <x:c r="N174" s="46"/>
      <x:c r="O174" s="46"/>
      <x:c r="P174" s="46"/>
      <x:c r="Q174" s="46"/>
      <x:c r="R174" s="46"/>
    </x:row>
    <x:row r="175">
      <x:c r="A175" s="46"/>
      <x:c r="B175" s="46"/>
      <x:c r="C175" s="46"/>
      <x:c r="D175" s="46"/>
      <x:c r="E175" s="46"/>
      <x:c r="F175" s="46"/>
      <x:c r="G175" s="46"/>
      <x:c r="H175" s="46"/>
      <x:c r="I175" s="46"/>
      <x:c r="J175" s="46"/>
      <x:c r="K175" s="46"/>
      <x:c r="L175" s="46"/>
      <x:c r="M175" s="46"/>
      <x:c r="N175" s="46"/>
      <x:c r="O175" s="46"/>
      <x:c r="P175" s="46"/>
      <x:c r="Q175" s="46"/>
      <x:c r="R175" s="46"/>
    </x:row>
    <x:row r="176">
      <x:c r="A176" s="46"/>
      <x:c r="B176" s="46"/>
      <x:c r="C176" s="46"/>
      <x:c r="D176" s="46"/>
      <x:c r="E176" s="46"/>
      <x:c r="F176" s="46"/>
      <x:c r="G176" s="46"/>
      <x:c r="H176" s="46"/>
      <x:c r="I176" s="46"/>
      <x:c r="J176" s="46"/>
      <x:c r="K176" s="46"/>
      <x:c r="L176" s="46"/>
      <x:c r="M176" s="46"/>
      <x:c r="N176" s="46"/>
      <x:c r="O176" s="46"/>
      <x:c r="P176" s="46"/>
      <x:c r="Q176" s="46"/>
      <x:c r="R176" s="46"/>
    </x:row>
    <x:row r="177">
      <x:c r="A177" s="46"/>
      <x:c r="B177" s="46"/>
      <x:c r="C177" s="46"/>
      <x:c r="D177" s="46"/>
      <x:c r="E177" s="46"/>
      <x:c r="F177" s="46"/>
      <x:c r="G177" s="46"/>
      <x:c r="H177" s="46"/>
      <x:c r="I177" s="46"/>
      <x:c r="J177" s="46"/>
      <x:c r="K177" s="46"/>
      <x:c r="L177" s="46"/>
      <x:c r="M177" s="46"/>
      <x:c r="N177" s="46"/>
      <x:c r="O177" s="46"/>
      <x:c r="P177" s="46"/>
      <x:c r="Q177" s="46"/>
      <x:c r="R177" s="46"/>
    </x:row>
    <x:row r="178">
      <x:c r="A178" s="46"/>
      <x:c r="B178" s="46"/>
      <x:c r="C178" s="46"/>
      <x:c r="D178" s="46"/>
      <x:c r="E178" s="46"/>
      <x:c r="F178" s="46"/>
      <x:c r="G178" s="46"/>
      <x:c r="H178" s="46"/>
      <x:c r="I178" s="46"/>
      <x:c r="J178" s="46"/>
      <x:c r="K178" s="46"/>
      <x:c r="L178" s="46"/>
      <x:c r="M178" s="46"/>
      <x:c r="N178" s="46"/>
      <x:c r="O178" s="46"/>
      <x:c r="P178" s="46"/>
      <x:c r="Q178" s="46"/>
      <x:c r="R178" s="46"/>
    </x:row>
    <x:row r="179">
      <x:c r="A179" s="46"/>
      <x:c r="B179" s="46"/>
      <x:c r="C179" s="46"/>
      <x:c r="D179" s="46"/>
      <x:c r="E179" s="46"/>
      <x:c r="F179" s="46"/>
      <x:c r="G179" s="46"/>
      <x:c r="H179" s="46"/>
      <x:c r="I179" s="46"/>
      <x:c r="J179" s="46"/>
      <x:c r="K179" s="46"/>
      <x:c r="L179" s="46"/>
      <x:c r="M179" s="46"/>
      <x:c r="N179" s="46"/>
      <x:c r="O179" s="46"/>
      <x:c r="P179" s="46"/>
      <x:c r="Q179" s="46"/>
      <x:c r="R179" s="46"/>
    </x:row>
    <x:row r="180">
      <x:c r="A180" s="46"/>
      <x:c r="B180" s="46"/>
      <x:c r="C180" s="46"/>
      <x:c r="D180" s="46"/>
      <x:c r="E180" s="46"/>
      <x:c r="F180" s="46"/>
      <x:c r="G180" s="46"/>
      <x:c r="H180" s="46"/>
      <x:c r="I180" s="46"/>
      <x:c r="J180" s="46"/>
      <x:c r="K180" s="46"/>
      <x:c r="L180" s="46"/>
      <x:c r="M180" s="46"/>
      <x:c r="N180" s="46"/>
      <x:c r="O180" s="46"/>
      <x:c r="P180" s="46"/>
      <x:c r="Q180" s="46"/>
      <x:c r="R180" s="46"/>
    </x:row>
    <x:row r="181">
      <x:c r="A181" s="46"/>
      <x:c r="B181" s="46"/>
      <x:c r="C181" s="46"/>
      <x:c r="D181" s="46"/>
      <x:c r="E181" s="46"/>
      <x:c r="F181" s="46"/>
      <x:c r="G181" s="46"/>
      <x:c r="H181" s="46"/>
      <x:c r="I181" s="46"/>
      <x:c r="J181" s="46"/>
      <x:c r="K181" s="46"/>
      <x:c r="L181" s="46"/>
      <x:c r="M181" s="46"/>
      <x:c r="N181" s="46"/>
      <x:c r="O181" s="46"/>
      <x:c r="P181" s="46"/>
      <x:c r="Q181" s="46"/>
      <x:c r="R181" s="46"/>
    </x:row>
    <x:row r="182">
      <x:c r="A182" s="46"/>
      <x:c r="B182" s="46"/>
      <x:c r="C182" s="46"/>
      <x:c r="D182" s="46"/>
      <x:c r="E182" s="46"/>
      <x:c r="F182" s="46"/>
      <x:c r="G182" s="46"/>
      <x:c r="H182" s="46"/>
      <x:c r="I182" s="46"/>
      <x:c r="J182" s="46"/>
      <x:c r="K182" s="46"/>
      <x:c r="L182" s="46"/>
      <x:c r="M182" s="46"/>
      <x:c r="N182" s="46"/>
      <x:c r="O182" s="46"/>
      <x:c r="P182" s="46"/>
      <x:c r="Q182" s="46"/>
      <x:c r="R182" s="46"/>
    </x:row>
    <x:row r="183">
      <x:c r="A183" s="46"/>
      <x:c r="B183" s="46"/>
      <x:c r="C183" s="46"/>
      <x:c r="D183" s="46"/>
      <x:c r="E183" s="46"/>
      <x:c r="F183" s="46"/>
      <x:c r="G183" s="46"/>
      <x:c r="H183" s="46"/>
      <x:c r="I183" s="46"/>
      <x:c r="J183" s="46"/>
      <x:c r="K183" s="46"/>
      <x:c r="L183" s="46"/>
      <x:c r="M183" s="46"/>
      <x:c r="N183" s="46"/>
      <x:c r="O183" s="46"/>
      <x:c r="P183" s="46"/>
      <x:c r="Q183" s="46"/>
      <x:c r="R183" s="46"/>
    </x:row>
    <x:row r="184">
      <x:c r="A184" s="46"/>
      <x:c r="B184" s="46"/>
      <x:c r="C184" s="46"/>
      <x:c r="D184" s="46"/>
      <x:c r="E184" s="46"/>
      <x:c r="F184" s="46"/>
      <x:c r="G184" s="46"/>
      <x:c r="H184" s="46"/>
      <x:c r="I184" s="46"/>
      <x:c r="J184" s="46"/>
      <x:c r="K184" s="46"/>
      <x:c r="L184" s="46"/>
      <x:c r="M184" s="46"/>
      <x:c r="N184" s="46"/>
      <x:c r="O184" s="46"/>
      <x:c r="P184" s="46"/>
      <x:c r="Q184" s="46"/>
      <x:c r="R184" s="46"/>
    </x:row>
    <x:row r="185">
      <x:c r="A185" s="46"/>
      <x:c r="B185" s="46"/>
      <x:c r="C185" s="46"/>
      <x:c r="D185" s="46"/>
      <x:c r="E185" s="46"/>
      <x:c r="F185" s="46"/>
      <x:c r="G185" s="46"/>
      <x:c r="H185" s="46"/>
      <x:c r="I185" s="46"/>
      <x:c r="J185" s="46"/>
      <x:c r="K185" s="46"/>
      <x:c r="L185" s="46"/>
      <x:c r="M185" s="46"/>
      <x:c r="N185" s="46"/>
      <x:c r="O185" s="46"/>
      <x:c r="P185" s="46"/>
      <x:c r="Q185" s="46"/>
      <x:c r="R185" s="46"/>
    </x:row>
    <x:row r="186">
      <x:c r="A186" s="46"/>
      <x:c r="B186" s="46"/>
      <x:c r="C186" s="46"/>
      <x:c r="D186" s="46"/>
      <x:c r="E186" s="46"/>
      <x:c r="F186" s="46"/>
      <x:c r="G186" s="46"/>
      <x:c r="H186" s="46"/>
      <x:c r="I186" s="46"/>
      <x:c r="J186" s="46"/>
      <x:c r="K186" s="46"/>
      <x:c r="L186" s="46"/>
      <x:c r="M186" s="46"/>
      <x:c r="N186" s="46"/>
      <x:c r="O186" s="46"/>
      <x:c r="P186" s="46"/>
      <x:c r="Q186" s="46"/>
      <x:c r="R186" s="46"/>
    </x:row>
    <x:row r="187">
      <x:c r="A187" s="46"/>
      <x:c r="B187" s="46"/>
      <x:c r="C187" s="46"/>
      <x:c r="D187" s="46"/>
      <x:c r="E187" s="46"/>
      <x:c r="F187" s="46"/>
      <x:c r="G187" s="46"/>
      <x:c r="H187" s="46"/>
      <x:c r="I187" s="46"/>
      <x:c r="J187" s="46"/>
      <x:c r="K187" s="46"/>
      <x:c r="L187" s="46"/>
      <x:c r="M187" s="46"/>
      <x:c r="N187" s="46"/>
      <x:c r="O187" s="46"/>
      <x:c r="P187" s="46"/>
      <x:c r="Q187" s="46"/>
      <x:c r="R187" s="46"/>
    </x:row>
    <x:row r="188">
      <x:c r="A188" s="46"/>
      <x:c r="B188" s="46"/>
      <x:c r="C188" s="46"/>
      <x:c r="D188" s="46"/>
      <x:c r="E188" s="46"/>
      <x:c r="F188" s="46"/>
      <x:c r="G188" s="46"/>
      <x:c r="H188" s="46"/>
      <x:c r="I188" s="46"/>
      <x:c r="J188" s="46"/>
      <x:c r="K188" s="46"/>
      <x:c r="L188" s="46"/>
      <x:c r="M188" s="46"/>
      <x:c r="N188" s="46"/>
      <x:c r="O188" s="46"/>
      <x:c r="P188" s="46"/>
      <x:c r="Q188" s="46"/>
      <x:c r="R188" s="46"/>
    </x:row>
    <x:row r="189">
      <x:c r="A189" s="46"/>
      <x:c r="B189" s="46"/>
      <x:c r="C189" s="46"/>
      <x:c r="D189" s="46"/>
      <x:c r="E189" s="46"/>
      <x:c r="F189" s="46"/>
      <x:c r="G189" s="46"/>
      <x:c r="H189" s="46"/>
      <x:c r="I189" s="46"/>
      <x:c r="J189" s="46"/>
      <x:c r="K189" s="46"/>
      <x:c r="L189" s="46"/>
      <x:c r="M189" s="46"/>
      <x:c r="N189" s="46"/>
      <x:c r="O189" s="46"/>
      <x:c r="P189" s="46"/>
      <x:c r="Q189" s="46"/>
      <x:c r="R189" s="46"/>
    </x:row>
    <x:row r="190">
      <x:c r="A190" s="46"/>
      <x:c r="B190" s="46"/>
      <x:c r="C190" s="46"/>
      <x:c r="D190" s="46"/>
      <x:c r="E190" s="46"/>
      <x:c r="F190" s="46"/>
      <x:c r="G190" s="46"/>
      <x:c r="H190" s="46"/>
      <x:c r="I190" s="46"/>
      <x:c r="J190" s="46"/>
      <x:c r="K190" s="46"/>
      <x:c r="L190" s="46"/>
      <x:c r="M190" s="46"/>
      <x:c r="N190" s="46"/>
      <x:c r="O190" s="46"/>
      <x:c r="P190" s="46"/>
      <x:c r="Q190" s="46"/>
      <x:c r="R190" s="46"/>
    </x:row>
    <x:row r="191">
      <x:c r="A191" s="46"/>
      <x:c r="B191" s="46"/>
      <x:c r="C191" s="46"/>
      <x:c r="D191" s="46"/>
      <x:c r="E191" s="46"/>
      <x:c r="F191" s="46"/>
      <x:c r="G191" s="46"/>
      <x:c r="H191" s="46"/>
      <x:c r="I191" s="46"/>
      <x:c r="J191" s="46"/>
      <x:c r="K191" s="46"/>
      <x:c r="L191" s="46"/>
      <x:c r="M191" s="46"/>
      <x:c r="N191" s="46"/>
      <x:c r="O191" s="46"/>
      <x:c r="P191" s="46"/>
      <x:c r="Q191" s="46"/>
      <x:c r="R191" s="46"/>
    </x:row>
    <x:row r="192">
      <x:c r="A192" s="46"/>
      <x:c r="B192" s="46"/>
      <x:c r="C192" s="46"/>
      <x:c r="D192" s="46"/>
      <x:c r="E192" s="46"/>
      <x:c r="F192" s="46"/>
      <x:c r="G192" s="46"/>
      <x:c r="H192" s="46"/>
      <x:c r="I192" s="46"/>
      <x:c r="J192" s="46"/>
      <x:c r="K192" s="46"/>
      <x:c r="L192" s="46"/>
      <x:c r="M192" s="46"/>
      <x:c r="N192" s="46"/>
      <x:c r="O192" s="46"/>
      <x:c r="P192" s="46"/>
      <x:c r="Q192" s="46"/>
      <x:c r="R192" s="46"/>
    </x:row>
    <x:row r="193">
      <x:c r="A193" s="46"/>
      <x:c r="B193" s="46"/>
      <x:c r="C193" s="46"/>
      <x:c r="D193" s="46"/>
      <x:c r="E193" s="46"/>
      <x:c r="F193" s="46"/>
      <x:c r="G193" s="46"/>
      <x:c r="H193" s="46"/>
      <x:c r="I193" s="46"/>
      <x:c r="J193" s="46"/>
      <x:c r="K193" s="46"/>
      <x:c r="L193" s="46"/>
      <x:c r="M193" s="46"/>
      <x:c r="N193" s="46"/>
      <x:c r="O193" s="46"/>
      <x:c r="P193" s="46"/>
      <x:c r="Q193" s="46"/>
      <x:c r="R193" s="46"/>
    </x:row>
    <x:row r="194">
      <x:c r="A194" s="46"/>
      <x:c r="B194" s="46"/>
      <x:c r="C194" s="46"/>
      <x:c r="D194" s="46"/>
      <x:c r="E194" s="46"/>
      <x:c r="F194" s="46"/>
      <x:c r="G194" s="46"/>
      <x:c r="H194" s="46"/>
      <x:c r="I194" s="46"/>
      <x:c r="J194" s="46"/>
      <x:c r="K194" s="46"/>
      <x:c r="L194" s="46"/>
      <x:c r="M194" s="46"/>
      <x:c r="N194" s="46"/>
      <x:c r="O194" s="46"/>
      <x:c r="P194" s="46"/>
      <x:c r="Q194" s="46"/>
      <x:c r="R194" s="46"/>
    </x:row>
    <x:row r="195">
      <x:c r="A195" s="46"/>
      <x:c r="B195" s="46"/>
      <x:c r="C195" s="46"/>
      <x:c r="D195" s="46"/>
      <x:c r="E195" s="46"/>
      <x:c r="F195" s="46"/>
      <x:c r="G195" s="46"/>
      <x:c r="H195" s="46"/>
      <x:c r="I195" s="46"/>
      <x:c r="J195" s="46"/>
      <x:c r="K195" s="46"/>
      <x:c r="L195" s="46"/>
      <x:c r="M195" s="46"/>
      <x:c r="N195" s="46"/>
      <x:c r="O195" s="46"/>
      <x:c r="P195" s="46"/>
      <x:c r="Q195" s="46"/>
      <x:c r="R195" s="46"/>
    </x:row>
    <x:row r="196">
      <x:c r="A196" s="46"/>
      <x:c r="B196" s="46"/>
      <x:c r="C196" s="46"/>
      <x:c r="D196" s="46"/>
      <x:c r="E196" s="46"/>
      <x:c r="F196" s="46"/>
      <x:c r="G196" s="46"/>
      <x:c r="H196" s="46"/>
      <x:c r="I196" s="46"/>
      <x:c r="J196" s="46"/>
      <x:c r="K196" s="46"/>
      <x:c r="L196" s="46"/>
      <x:c r="M196" s="46"/>
      <x:c r="N196" s="46"/>
      <x:c r="O196" s="46"/>
      <x:c r="P196" s="46"/>
      <x:c r="Q196" s="46"/>
      <x:c r="R196" s="46"/>
    </x:row>
    <x:row r="197">
      <x:c r="A197" s="46"/>
      <x:c r="B197" s="46"/>
      <x:c r="C197" s="46"/>
      <x:c r="D197" s="46"/>
      <x:c r="E197" s="46"/>
      <x:c r="F197" s="46"/>
      <x:c r="G197" s="46"/>
      <x:c r="H197" s="46"/>
      <x:c r="I197" s="46"/>
      <x:c r="J197" s="46"/>
      <x:c r="K197" s="46"/>
      <x:c r="L197" s="46"/>
      <x:c r="M197" s="46"/>
      <x:c r="N197" s="46"/>
      <x:c r="O197" s="46"/>
      <x:c r="P197" s="46"/>
      <x:c r="Q197" s="46"/>
      <x:c r="R197" s="46"/>
    </x:row>
    <x:row r="198">
      <x:c r="A198" s="46"/>
      <x:c r="B198" s="46"/>
      <x:c r="C198" s="46"/>
      <x:c r="D198" s="46"/>
      <x:c r="E198" s="46"/>
      <x:c r="F198" s="46"/>
      <x:c r="G198" s="46"/>
      <x:c r="H198" s="46"/>
      <x:c r="I198" s="46"/>
      <x:c r="J198" s="46"/>
      <x:c r="K198" s="46"/>
      <x:c r="L198" s="46"/>
      <x:c r="M198" s="46"/>
      <x:c r="N198" s="46"/>
      <x:c r="O198" s="46"/>
      <x:c r="P198" s="46"/>
      <x:c r="Q198" s="46"/>
      <x:c r="R198" s="46"/>
    </x:row>
    <x:row r="199">
      <x:c r="A199" s="46"/>
      <x:c r="B199" s="46"/>
      <x:c r="C199" s="46"/>
      <x:c r="D199" s="46"/>
      <x:c r="E199" s="46"/>
      <x:c r="F199" s="46"/>
      <x:c r="G199" s="46"/>
      <x:c r="H199" s="46"/>
      <x:c r="I199" s="46"/>
      <x:c r="J199" s="46"/>
      <x:c r="K199" s="46"/>
      <x:c r="L199" s="46"/>
      <x:c r="M199" s="46"/>
      <x:c r="N199" s="46"/>
      <x:c r="O199" s="46"/>
      <x:c r="P199" s="46"/>
      <x:c r="Q199" s="46"/>
      <x:c r="R199" s="46"/>
    </x:row>
    <x:row r="200">
      <x:c r="A200" s="46"/>
      <x:c r="B200" s="46"/>
      <x:c r="C200" s="46"/>
      <x:c r="D200" s="46"/>
      <x:c r="E200" s="46"/>
      <x:c r="F200" s="46"/>
      <x:c r="G200" s="46"/>
      <x:c r="H200" s="46"/>
      <x:c r="I200" s="46"/>
      <x:c r="J200" s="46"/>
      <x:c r="K200" s="46"/>
      <x:c r="L200" s="46"/>
      <x:c r="M200" s="46"/>
      <x:c r="N200" s="46"/>
      <x:c r="O200" s="46"/>
      <x:c r="P200" s="46"/>
      <x:c r="Q200" s="46"/>
      <x:c r="R200" s="46"/>
    </x:row>
    <x:row r="201">
      <x:c r="A201" s="46"/>
      <x:c r="B201" s="46"/>
      <x:c r="C201" s="46"/>
      <x:c r="D201" s="46"/>
      <x:c r="E201" s="46"/>
      <x:c r="F201" s="46"/>
      <x:c r="G201" s="46"/>
      <x:c r="H201" s="46"/>
      <x:c r="I201" s="46"/>
      <x:c r="J201" s="46"/>
      <x:c r="K201" s="46"/>
      <x:c r="L201" s="46"/>
      <x:c r="M201" s="46"/>
      <x:c r="N201" s="46"/>
      <x:c r="O201" s="46"/>
      <x:c r="P201" s="46"/>
      <x:c r="Q201" s="46"/>
      <x:c r="R201" s="46"/>
    </x:row>
    <x:row r="202">
      <x:c r="A202" s="46"/>
      <x:c r="B202" s="46"/>
      <x:c r="C202" s="46"/>
      <x:c r="D202" s="46"/>
      <x:c r="E202" s="46"/>
      <x:c r="F202" s="46"/>
      <x:c r="G202" s="46"/>
      <x:c r="H202" s="46"/>
      <x:c r="I202" s="46"/>
      <x:c r="J202" s="46"/>
      <x:c r="K202" s="46"/>
      <x:c r="L202" s="46"/>
      <x:c r="M202" s="46"/>
      <x:c r="N202" s="46"/>
      <x:c r="O202" s="46"/>
      <x:c r="P202" s="46"/>
      <x:c r="Q202" s="46"/>
      <x:c r="R202" s="46"/>
    </x:row>
    <x:row r="203">
      <x:c r="A203" s="46"/>
      <x:c r="B203" s="46"/>
      <x:c r="C203" s="46"/>
      <x:c r="D203" s="46"/>
      <x:c r="E203" s="46"/>
      <x:c r="F203" s="46"/>
      <x:c r="G203" s="46"/>
      <x:c r="H203" s="46"/>
      <x:c r="I203" s="46"/>
      <x:c r="J203" s="46"/>
      <x:c r="K203" s="46"/>
      <x:c r="L203" s="46"/>
      <x:c r="M203" s="46"/>
      <x:c r="N203" s="46"/>
      <x:c r="O203" s="46"/>
      <x:c r="P203" s="46"/>
      <x:c r="Q203" s="46"/>
      <x:c r="R203" s="46"/>
    </x:row>
    <x:row r="204">
      <x:c r="A204" s="46"/>
      <x:c r="B204" s="46"/>
      <x:c r="C204" s="46"/>
      <x:c r="D204" s="46"/>
      <x:c r="E204" s="46"/>
      <x:c r="F204" s="46"/>
      <x:c r="G204" s="46"/>
      <x:c r="H204" s="46"/>
      <x:c r="I204" s="46"/>
      <x:c r="J204" s="46"/>
      <x:c r="K204" s="46"/>
      <x:c r="L204" s="46"/>
      <x:c r="M204" s="46"/>
      <x:c r="N204" s="46"/>
      <x:c r="O204" s="46"/>
      <x:c r="P204" s="46"/>
      <x:c r="Q204" s="46"/>
      <x:c r="R204" s="46"/>
    </x:row>
    <x:row r="205">
      <x:c r="A205" s="46"/>
      <x:c r="B205" s="46"/>
      <x:c r="C205" s="46"/>
      <x:c r="D205" s="46"/>
      <x:c r="E205" s="46"/>
      <x:c r="F205" s="46"/>
      <x:c r="G205" s="46"/>
      <x:c r="H205" s="46"/>
      <x:c r="I205" s="46"/>
      <x:c r="J205" s="46"/>
      <x:c r="K205" s="46"/>
      <x:c r="L205" s="46"/>
      <x:c r="M205" s="46"/>
      <x:c r="N205" s="46"/>
      <x:c r="O205" s="46"/>
      <x:c r="P205" s="46"/>
      <x:c r="Q205" s="46"/>
      <x:c r="R205" s="46"/>
    </x:row>
    <x:row r="206">
      <x:c r="A206" s="46"/>
      <x:c r="B206" s="46"/>
      <x:c r="C206" s="46"/>
      <x:c r="D206" s="46"/>
      <x:c r="E206" s="46"/>
      <x:c r="F206" s="46"/>
      <x:c r="G206" s="46"/>
      <x:c r="H206" s="46"/>
      <x:c r="I206" s="46"/>
      <x:c r="J206" s="46"/>
      <x:c r="K206" s="46"/>
      <x:c r="L206" s="46"/>
      <x:c r="M206" s="46"/>
      <x:c r="N206" s="46"/>
      <x:c r="O206" s="46"/>
      <x:c r="P206" s="46"/>
      <x:c r="Q206" s="46"/>
      <x:c r="R206" s="46"/>
    </x:row>
    <x:row r="207">
      <x:c r="A207" s="46"/>
      <x:c r="B207" s="46"/>
      <x:c r="C207" s="46"/>
      <x:c r="D207" s="46"/>
      <x:c r="E207" s="46"/>
      <x:c r="F207" s="46"/>
      <x:c r="G207" s="46"/>
      <x:c r="H207" s="46"/>
      <x:c r="I207" s="46"/>
      <x:c r="J207" s="46"/>
      <x:c r="K207" s="46"/>
      <x:c r="L207" s="46"/>
      <x:c r="M207" s="46"/>
      <x:c r="N207" s="46"/>
      <x:c r="O207" s="46"/>
      <x:c r="P207" s="46"/>
      <x:c r="Q207" s="46"/>
      <x:c r="R207" s="46"/>
    </x:row>
    <x:row r="208">
      <x:c r="A208" s="46"/>
      <x:c r="B208" s="46"/>
      <x:c r="C208" s="46"/>
      <x:c r="D208" s="46"/>
      <x:c r="E208" s="46"/>
      <x:c r="F208" s="46"/>
      <x:c r="G208" s="46"/>
      <x:c r="H208" s="46"/>
      <x:c r="I208" s="46"/>
      <x:c r="J208" s="46"/>
      <x:c r="K208" s="46"/>
      <x:c r="L208" s="46"/>
      <x:c r="M208" s="46"/>
      <x:c r="N208" s="46"/>
      <x:c r="O208" s="46"/>
      <x:c r="P208" s="46"/>
      <x:c r="Q208" s="46"/>
      <x:c r="R208" s="46"/>
    </x:row>
    <x:row r="209">
      <x:c r="A209" s="46"/>
      <x:c r="B209" s="46"/>
      <x:c r="C209" s="46"/>
      <x:c r="D209" s="46"/>
      <x:c r="E209" s="46"/>
      <x:c r="F209" s="46"/>
      <x:c r="G209" s="46"/>
      <x:c r="H209" s="46"/>
      <x:c r="I209" s="46"/>
      <x:c r="J209" s="46"/>
      <x:c r="K209" s="46"/>
      <x:c r="L209" s="46"/>
      <x:c r="M209" s="46"/>
      <x:c r="N209" s="46"/>
      <x:c r="O209" s="46"/>
      <x:c r="P209" s="46"/>
      <x:c r="Q209" s="46"/>
      <x:c r="R209" s="46"/>
    </x:row>
    <x:row r="210">
      <x:c r="A210" s="46"/>
      <x:c r="B210" s="46"/>
      <x:c r="C210" s="46"/>
      <x:c r="D210" s="46"/>
      <x:c r="E210" s="46"/>
      <x:c r="F210" s="46"/>
      <x:c r="G210" s="46"/>
      <x:c r="H210" s="46"/>
      <x:c r="I210" s="46"/>
      <x:c r="J210" s="46"/>
      <x:c r="K210" s="46"/>
      <x:c r="L210" s="46"/>
      <x:c r="M210" s="46"/>
      <x:c r="N210" s="46"/>
      <x:c r="O210" s="46"/>
      <x:c r="P210" s="46"/>
      <x:c r="Q210" s="46"/>
      <x:c r="R210" s="46"/>
    </x:row>
    <x:row r="211">
      <x:c r="A211" s="46"/>
      <x:c r="B211" s="46"/>
      <x:c r="C211" s="46"/>
      <x:c r="D211" s="46"/>
      <x:c r="E211" s="46"/>
      <x:c r="F211" s="46"/>
      <x:c r="G211" s="46"/>
      <x:c r="H211" s="46"/>
      <x:c r="I211" s="46"/>
      <x:c r="J211" s="46"/>
      <x:c r="K211" s="46"/>
      <x:c r="L211" s="46"/>
      <x:c r="M211" s="46"/>
      <x:c r="N211" s="46"/>
      <x:c r="O211" s="46"/>
      <x:c r="P211" s="46"/>
      <x:c r="Q211" s="46"/>
      <x:c r="R211" s="46"/>
    </x:row>
    <x:row r="212">
      <x:c r="A212" s="46"/>
      <x:c r="B212" s="46"/>
      <x:c r="C212" s="46"/>
      <x:c r="D212" s="46"/>
      <x:c r="E212" s="46"/>
      <x:c r="F212" s="46"/>
      <x:c r="G212" s="46"/>
      <x:c r="H212" s="46"/>
      <x:c r="I212" s="46"/>
      <x:c r="J212" s="46"/>
      <x:c r="K212" s="46"/>
      <x:c r="L212" s="46"/>
      <x:c r="M212" s="46"/>
      <x:c r="N212" s="46"/>
      <x:c r="O212" s="46"/>
      <x:c r="P212" s="46"/>
      <x:c r="Q212" s="46"/>
      <x:c r="R212" s="46"/>
    </x:row>
    <x:row r="213">
      <x:c r="A213" s="46"/>
      <x:c r="B213" s="46"/>
      <x:c r="C213" s="46"/>
      <x:c r="D213" s="46"/>
      <x:c r="E213" s="46"/>
      <x:c r="F213" s="46"/>
      <x:c r="G213" s="46"/>
      <x:c r="H213" s="46"/>
      <x:c r="I213" s="46"/>
      <x:c r="J213" s="46"/>
      <x:c r="K213" s="46"/>
      <x:c r="L213" s="46"/>
      <x:c r="M213" s="46"/>
      <x:c r="N213" s="46"/>
      <x:c r="O213" s="46"/>
      <x:c r="P213" s="46"/>
      <x:c r="Q213" s="46"/>
      <x:c r="R213" s="46"/>
    </x:row>
    <x:row r="214">
      <x:c r="A214" s="46"/>
      <x:c r="B214" s="46"/>
      <x:c r="C214" s="46"/>
      <x:c r="D214" s="46"/>
      <x:c r="E214" s="46"/>
      <x:c r="F214" s="46"/>
      <x:c r="G214" s="46"/>
      <x:c r="H214" s="46"/>
      <x:c r="I214" s="46"/>
      <x:c r="J214" s="46"/>
      <x:c r="K214" s="46"/>
      <x:c r="L214" s="46"/>
      <x:c r="M214" s="46"/>
      <x:c r="N214" s="46"/>
      <x:c r="O214" s="46"/>
      <x:c r="P214" s="46"/>
      <x:c r="Q214" s="46"/>
      <x:c r="R214" s="46"/>
    </x:row>
    <x:row r="215">
      <x:c r="A215" s="46"/>
      <x:c r="B215" s="46"/>
      <x:c r="C215" s="46"/>
      <x:c r="D215" s="46"/>
      <x:c r="E215" s="46"/>
      <x:c r="F215" s="46"/>
      <x:c r="G215" s="46"/>
      <x:c r="H215" s="46"/>
      <x:c r="I215" s="46"/>
      <x:c r="J215" s="46"/>
      <x:c r="K215" s="46"/>
      <x:c r="L215" s="46"/>
      <x:c r="M215" s="46"/>
      <x:c r="N215" s="46"/>
      <x:c r="O215" s="46"/>
      <x:c r="P215" s="46"/>
      <x:c r="Q215" s="46"/>
      <x:c r="R215" s="46"/>
    </x:row>
    <x:row r="216">
      <x:c r="A216" s="46"/>
      <x:c r="B216" s="46"/>
      <x:c r="C216" s="46"/>
      <x:c r="D216" s="46"/>
      <x:c r="E216" s="46"/>
      <x:c r="F216" s="46"/>
      <x:c r="G216" s="46"/>
      <x:c r="H216" s="46"/>
      <x:c r="I216" s="46"/>
      <x:c r="J216" s="46"/>
      <x:c r="K216" s="46"/>
      <x:c r="L216" s="46"/>
      <x:c r="M216" s="46"/>
      <x:c r="N216" s="46"/>
      <x:c r="O216" s="46"/>
      <x:c r="P216" s="46"/>
      <x:c r="Q216" s="46"/>
      <x:c r="R216" s="46"/>
    </x:row>
    <x:row r="217">
      <x:c r="A217" s="46"/>
      <x:c r="B217" s="46"/>
      <x:c r="C217" s="46"/>
      <x:c r="D217" s="46"/>
      <x:c r="E217" s="46"/>
      <x:c r="F217" s="46"/>
      <x:c r="G217" s="46"/>
      <x:c r="H217" s="46"/>
      <x:c r="I217" s="46"/>
      <x:c r="J217" s="46"/>
      <x:c r="K217" s="46"/>
      <x:c r="L217" s="46"/>
      <x:c r="M217" s="46"/>
      <x:c r="N217" s="46"/>
      <x:c r="O217" s="46"/>
      <x:c r="P217" s="46"/>
      <x:c r="Q217" s="46"/>
      <x:c r="R217" s="46"/>
    </x:row>
    <x:row r="218">
      <x:c r="A218" s="46"/>
      <x:c r="B218" s="46"/>
      <x:c r="C218" s="46"/>
      <x:c r="D218" s="46"/>
      <x:c r="E218" s="46"/>
      <x:c r="F218" s="46"/>
      <x:c r="G218" s="46"/>
      <x:c r="H218" s="46"/>
      <x:c r="I218" s="46"/>
      <x:c r="J218" s="46"/>
      <x:c r="K218" s="46"/>
      <x:c r="L218" s="46"/>
      <x:c r="M218" s="46"/>
      <x:c r="N218" s="46"/>
      <x:c r="O218" s="46"/>
      <x:c r="P218" s="46"/>
      <x:c r="Q218" s="46"/>
      <x:c r="R218" s="46"/>
    </x:row>
    <x:row r="219">
      <x:c r="A219" s="46"/>
      <x:c r="B219" s="46"/>
      <x:c r="C219" s="46"/>
      <x:c r="D219" s="46"/>
      <x:c r="E219" s="46"/>
      <x:c r="F219" s="46"/>
      <x:c r="G219" s="46"/>
      <x:c r="H219" s="46"/>
      <x:c r="I219" s="46"/>
      <x:c r="J219" s="46"/>
      <x:c r="K219" s="46"/>
      <x:c r="L219" s="46"/>
      <x:c r="M219" s="46"/>
      <x:c r="N219" s="46"/>
      <x:c r="O219" s="46"/>
      <x:c r="P219" s="46"/>
      <x:c r="Q219" s="46"/>
      <x:c r="R219" s="46"/>
    </x:row>
    <x:row r="220">
      <x:c r="A220" s="46"/>
      <x:c r="B220" s="46"/>
      <x:c r="C220" s="46"/>
      <x:c r="D220" s="46"/>
      <x:c r="E220" s="46"/>
      <x:c r="F220" s="46"/>
      <x:c r="G220" s="46"/>
      <x:c r="H220" s="46"/>
      <x:c r="I220" s="46"/>
      <x:c r="J220" s="46"/>
      <x:c r="K220" s="46"/>
      <x:c r="L220" s="46"/>
      <x:c r="M220" s="46"/>
      <x:c r="N220" s="46"/>
      <x:c r="O220" s="46"/>
      <x:c r="P220" s="46"/>
      <x:c r="Q220" s="46"/>
      <x:c r="R220" s="46"/>
    </x:row>
    <x:row r="221">
      <x:c r="A221" s="46"/>
      <x:c r="B221" s="46"/>
      <x:c r="C221" s="46"/>
      <x:c r="D221" s="46"/>
      <x:c r="E221" s="46"/>
      <x:c r="F221" s="46"/>
      <x:c r="G221" s="46"/>
      <x:c r="H221" s="46"/>
      <x:c r="I221" s="46"/>
      <x:c r="J221" s="46"/>
      <x:c r="K221" s="46"/>
      <x:c r="L221" s="46"/>
      <x:c r="M221" s="46"/>
      <x:c r="N221" s="46"/>
      <x:c r="O221" s="46"/>
      <x:c r="P221" s="46"/>
      <x:c r="Q221" s="46"/>
      <x:c r="R221" s="46"/>
    </x:row>
    <x:row r="222">
      <x:c r="A222" s="46"/>
      <x:c r="B222" s="46"/>
      <x:c r="C222" s="46"/>
      <x:c r="D222" s="46"/>
      <x:c r="E222" s="46"/>
      <x:c r="F222" s="46"/>
      <x:c r="G222" s="46"/>
      <x:c r="H222" s="46"/>
      <x:c r="I222" s="46"/>
      <x:c r="J222" s="46"/>
      <x:c r="K222" s="46"/>
      <x:c r="L222" s="46"/>
      <x:c r="M222" s="46"/>
      <x:c r="N222" s="46"/>
      <x:c r="O222" s="46"/>
      <x:c r="P222" s="46"/>
      <x:c r="Q222" s="46"/>
      <x:c r="R222" s="46"/>
    </x:row>
    <x:row r="223">
      <x:c r="A223" s="46"/>
      <x:c r="B223" s="46"/>
      <x:c r="C223" s="46"/>
      <x:c r="D223" s="46"/>
      <x:c r="E223" s="46"/>
      <x:c r="F223" s="46"/>
      <x:c r="G223" s="46"/>
      <x:c r="H223" s="46"/>
      <x:c r="I223" s="46"/>
      <x:c r="J223" s="46"/>
      <x:c r="K223" s="46"/>
      <x:c r="L223" s="46"/>
      <x:c r="M223" s="46"/>
      <x:c r="N223" s="46"/>
      <x:c r="O223" s="46"/>
      <x:c r="P223" s="46"/>
      <x:c r="Q223" s="46"/>
      <x:c r="R223" s="46"/>
    </x:row>
    <x:row r="224">
      <x:c r="A224" s="46"/>
      <x:c r="B224" s="46"/>
      <x:c r="C224" s="46"/>
      <x:c r="D224" s="46"/>
      <x:c r="E224" s="46"/>
      <x:c r="F224" s="46"/>
      <x:c r="G224" s="46"/>
      <x:c r="H224" s="46"/>
      <x:c r="I224" s="46"/>
      <x:c r="J224" s="46"/>
      <x:c r="K224" s="46"/>
      <x:c r="L224" s="46"/>
      <x:c r="M224" s="46"/>
      <x:c r="N224" s="46"/>
      <x:c r="O224" s="46"/>
      <x:c r="P224" s="46"/>
      <x:c r="Q224" s="46"/>
      <x:c r="R224" s="46"/>
    </x:row>
    <x:row r="225">
      <x:c r="A225" s="46"/>
      <x:c r="B225" s="46"/>
      <x:c r="C225" s="46"/>
      <x:c r="D225" s="46"/>
      <x:c r="E225" s="46"/>
      <x:c r="F225" s="46"/>
      <x:c r="G225" s="46"/>
      <x:c r="H225" s="46"/>
      <x:c r="I225" s="46"/>
      <x:c r="J225" s="46"/>
      <x:c r="K225" s="46"/>
      <x:c r="L225" s="46"/>
      <x:c r="M225" s="46"/>
      <x:c r="N225" s="46"/>
      <x:c r="O225" s="46"/>
      <x:c r="P225" s="46"/>
      <x:c r="Q225" s="46"/>
      <x:c r="R225" s="46"/>
    </x:row>
    <x:row r="226">
      <x:c r="A226" s="46"/>
      <x:c r="B226" s="46"/>
      <x:c r="C226" s="46"/>
      <x:c r="D226" s="46"/>
      <x:c r="E226" s="46"/>
      <x:c r="F226" s="46"/>
      <x:c r="G226" s="46"/>
      <x:c r="H226" s="46"/>
      <x:c r="I226" s="46"/>
      <x:c r="J226" s="46"/>
      <x:c r="K226" s="46"/>
      <x:c r="L226" s="46"/>
      <x:c r="M226" s="46"/>
      <x:c r="N226" s="46"/>
      <x:c r="O226" s="46"/>
      <x:c r="P226" s="46"/>
      <x:c r="Q226" s="46"/>
      <x:c r="R226" s="46"/>
    </x:row>
    <x:row r="227">
      <x:c r="A227" s="46"/>
      <x:c r="B227" s="46"/>
      <x:c r="C227" s="46"/>
      <x:c r="D227" s="46"/>
      <x:c r="E227" s="46"/>
      <x:c r="F227" s="46"/>
      <x:c r="G227" s="46"/>
      <x:c r="H227" s="46"/>
      <x:c r="I227" s="46"/>
      <x:c r="J227" s="46"/>
      <x:c r="K227" s="46"/>
      <x:c r="L227" s="46"/>
      <x:c r="M227" s="46"/>
      <x:c r="N227" s="46"/>
      <x:c r="O227" s="46"/>
      <x:c r="P227" s="46"/>
      <x:c r="Q227" s="46"/>
      <x:c r="R227" s="46"/>
    </x:row>
    <x:row r="228">
      <x:c r="A228" s="46"/>
      <x:c r="B228" s="46"/>
      <x:c r="C228" s="46"/>
      <x:c r="D228" s="46"/>
      <x:c r="E228" s="46"/>
      <x:c r="F228" s="46"/>
      <x:c r="G228" s="46"/>
      <x:c r="H228" s="46"/>
      <x:c r="I228" s="46"/>
      <x:c r="J228" s="46"/>
      <x:c r="K228" s="46"/>
      <x:c r="L228" s="46"/>
      <x:c r="M228" s="46"/>
      <x:c r="N228" s="46"/>
      <x:c r="O228" s="46"/>
      <x:c r="P228" s="46"/>
      <x:c r="Q228" s="46"/>
      <x:c r="R228" s="46"/>
    </x:row>
    <x:row r="229">
      <x:c r="A229" s="46"/>
      <x:c r="B229" s="46"/>
      <x:c r="C229" s="46"/>
      <x:c r="D229" s="46"/>
      <x:c r="E229" s="46"/>
      <x:c r="F229" s="46"/>
      <x:c r="G229" s="46"/>
      <x:c r="H229" s="46"/>
      <x:c r="I229" s="46"/>
      <x:c r="J229" s="46"/>
      <x:c r="K229" s="46"/>
      <x:c r="L229" s="46"/>
      <x:c r="M229" s="46"/>
      <x:c r="N229" s="46"/>
      <x:c r="O229" s="46"/>
      <x:c r="P229" s="46"/>
      <x:c r="Q229" s="46"/>
      <x:c r="R229" s="46"/>
    </x:row>
    <x:row r="230">
      <x:c r="A230" s="46"/>
      <x:c r="B230" s="46"/>
      <x:c r="C230" s="46"/>
      <x:c r="D230" s="46"/>
      <x:c r="E230" s="46"/>
      <x:c r="F230" s="46"/>
      <x:c r="G230" s="46"/>
      <x:c r="H230" s="46"/>
      <x:c r="I230" s="46"/>
      <x:c r="J230" s="46"/>
      <x:c r="K230" s="46"/>
      <x:c r="L230" s="46"/>
      <x:c r="M230" s="46"/>
      <x:c r="N230" s="46"/>
      <x:c r="O230" s="46"/>
      <x:c r="P230" s="46"/>
      <x:c r="Q230" s="46"/>
      <x:c r="R230" s="46"/>
    </x:row>
    <x:row r="231">
      <x:c r="A231" s="46"/>
      <x:c r="B231" s="46"/>
      <x:c r="C231" s="46"/>
      <x:c r="D231" s="46"/>
      <x:c r="E231" s="46"/>
      <x:c r="F231" s="46"/>
      <x:c r="G231" s="46"/>
      <x:c r="H231" s="46"/>
      <x:c r="I231" s="46"/>
      <x:c r="J231" s="46"/>
      <x:c r="K231" s="46"/>
      <x:c r="L231" s="46"/>
      <x:c r="M231" s="46"/>
      <x:c r="N231" s="46"/>
      <x:c r="O231" s="46"/>
      <x:c r="P231" s="46"/>
      <x:c r="Q231" s="46"/>
      <x:c r="R231" s="46"/>
    </x:row>
    <x:row r="232">
      <x:c r="A232" s="46"/>
      <x:c r="B232" s="46"/>
      <x:c r="C232" s="46"/>
      <x:c r="D232" s="46"/>
      <x:c r="E232" s="46"/>
      <x:c r="F232" s="46"/>
      <x:c r="G232" s="46"/>
      <x:c r="H232" s="46"/>
      <x:c r="I232" s="46"/>
      <x:c r="J232" s="46"/>
      <x:c r="K232" s="46"/>
      <x:c r="L232" s="46"/>
      <x:c r="M232" s="46"/>
      <x:c r="N232" s="46"/>
      <x:c r="O232" s="46"/>
      <x:c r="P232" s="46"/>
      <x:c r="Q232" s="46"/>
      <x:c r="R232" s="46"/>
    </x:row>
    <x:row r="233">
      <x:c r="A233" s="46"/>
      <x:c r="B233" s="46"/>
      <x:c r="C233" s="46"/>
      <x:c r="D233" s="46"/>
      <x:c r="E233" s="46"/>
      <x:c r="F233" s="46"/>
      <x:c r="G233" s="46"/>
      <x:c r="H233" s="46"/>
      <x:c r="I233" s="46"/>
      <x:c r="J233" s="46"/>
      <x:c r="K233" s="46"/>
      <x:c r="L233" s="46"/>
      <x:c r="M233" s="46"/>
      <x:c r="N233" s="46"/>
      <x:c r="O233" s="46"/>
      <x:c r="P233" s="46"/>
      <x:c r="Q233" s="46"/>
      <x:c r="R233" s="46"/>
    </x:row>
    <x:row r="234">
      <x:c r="A234" s="46"/>
      <x:c r="B234" s="46"/>
      <x:c r="C234" s="46"/>
      <x:c r="D234" s="46"/>
      <x:c r="E234" s="46"/>
      <x:c r="F234" s="46"/>
      <x:c r="G234" s="46"/>
      <x:c r="H234" s="46"/>
      <x:c r="I234" s="46"/>
      <x:c r="J234" s="46"/>
      <x:c r="K234" s="46"/>
      <x:c r="L234" s="46"/>
      <x:c r="M234" s="46"/>
      <x:c r="N234" s="46"/>
      <x:c r="O234" s="46"/>
      <x:c r="P234" s="46"/>
      <x:c r="Q234" s="46"/>
      <x:c r="R234" s="46"/>
    </x:row>
    <x:row r="235">
      <x:c r="A235" s="46"/>
      <x:c r="B235" s="46"/>
      <x:c r="C235" s="46"/>
      <x:c r="D235" s="46"/>
      <x:c r="E235" s="46"/>
      <x:c r="F235" s="46"/>
      <x:c r="G235" s="46"/>
      <x:c r="H235" s="46"/>
      <x:c r="I235" s="46"/>
      <x:c r="J235" s="46"/>
      <x:c r="K235" s="46"/>
      <x:c r="L235" s="46"/>
      <x:c r="M235" s="46"/>
      <x:c r="N235" s="46"/>
      <x:c r="O235" s="46"/>
      <x:c r="P235" s="46"/>
      <x:c r="Q235" s="46"/>
      <x:c r="R235" s="46"/>
    </x:row>
    <x:row r="236">
      <x:c r="A236" s="46"/>
      <x:c r="B236" s="46"/>
      <x:c r="C236" s="46"/>
      <x:c r="D236" s="46"/>
      <x:c r="E236" s="46"/>
      <x:c r="F236" s="46"/>
      <x:c r="G236" s="46"/>
      <x:c r="H236" s="46"/>
      <x:c r="I236" s="46"/>
      <x:c r="J236" s="46"/>
      <x:c r="K236" s="46"/>
      <x:c r="L236" s="46"/>
      <x:c r="M236" s="46"/>
      <x:c r="N236" s="46"/>
      <x:c r="O236" s="46"/>
      <x:c r="P236" s="46"/>
      <x:c r="Q236" s="46"/>
      <x:c r="R236" s="46"/>
    </x:row>
    <x:row r="237">
      <x:c r="A237" s="46"/>
      <x:c r="B237" s="46"/>
      <x:c r="C237" s="46"/>
      <x:c r="D237" s="46"/>
      <x:c r="E237" s="46"/>
      <x:c r="F237" s="46"/>
      <x:c r="G237" s="46"/>
      <x:c r="H237" s="46"/>
      <x:c r="I237" s="46"/>
      <x:c r="J237" s="46"/>
      <x:c r="K237" s="46"/>
      <x:c r="L237" s="46"/>
      <x:c r="M237" s="46"/>
      <x:c r="N237" s="46"/>
      <x:c r="O237" s="46"/>
      <x:c r="P237" s="46"/>
      <x:c r="Q237" s="46"/>
      <x:c r="R237" s="46"/>
    </x:row>
    <x:row r="238">
      <x:c r="A238" s="46"/>
      <x:c r="B238" s="46"/>
      <x:c r="C238" s="46"/>
      <x:c r="D238" s="46"/>
      <x:c r="E238" s="46"/>
      <x:c r="F238" s="46"/>
      <x:c r="G238" s="46"/>
      <x:c r="H238" s="46"/>
      <x:c r="I238" s="46"/>
      <x:c r="J238" s="46"/>
      <x:c r="K238" s="46"/>
      <x:c r="L238" s="46"/>
      <x:c r="M238" s="46"/>
      <x:c r="N238" s="46"/>
      <x:c r="O238" s="46"/>
      <x:c r="P238" s="46"/>
      <x:c r="Q238" s="46"/>
      <x:c r="R238" s="46"/>
    </x:row>
    <x:row r="239">
      <x:c r="A239" s="46"/>
      <x:c r="B239" s="46"/>
      <x:c r="C239" s="46"/>
      <x:c r="D239" s="46"/>
      <x:c r="E239" s="46"/>
      <x:c r="F239" s="46"/>
      <x:c r="G239" s="46"/>
      <x:c r="H239" s="46"/>
      <x:c r="I239" s="46"/>
      <x:c r="J239" s="46"/>
      <x:c r="K239" s="46"/>
      <x:c r="L239" s="46"/>
      <x:c r="M239" s="46"/>
      <x:c r="N239" s="46"/>
      <x:c r="O239" s="46"/>
      <x:c r="P239" s="46"/>
      <x:c r="Q239" s="46"/>
      <x:c r="R239" s="46"/>
    </x:row>
    <x:row r="240">
      <x:c r="A240" s="46"/>
      <x:c r="B240" s="46"/>
      <x:c r="C240" s="46"/>
      <x:c r="D240" s="46"/>
      <x:c r="E240" s="46"/>
      <x:c r="F240" s="46"/>
      <x:c r="G240" s="46"/>
      <x:c r="H240" s="46"/>
      <x:c r="I240" s="46"/>
      <x:c r="J240" s="46"/>
      <x:c r="K240" s="46"/>
      <x:c r="L240" s="46"/>
      <x:c r="M240" s="46"/>
      <x:c r="N240" s="46"/>
      <x:c r="O240" s="46"/>
      <x:c r="P240" s="46"/>
      <x:c r="Q240" s="46"/>
      <x:c r="R240" s="46"/>
    </x:row>
    <x:row r="241">
      <x:c r="A241" s="46"/>
      <x:c r="B241" s="46"/>
      <x:c r="C241" s="46"/>
      <x:c r="D241" s="46"/>
      <x:c r="E241" s="46"/>
      <x:c r="F241" s="46"/>
      <x:c r="G241" s="46"/>
      <x:c r="H241" s="46"/>
      <x:c r="I241" s="46"/>
      <x:c r="J241" s="46"/>
      <x:c r="K241" s="46"/>
      <x:c r="L241" s="46"/>
      <x:c r="M241" s="46"/>
      <x:c r="N241" s="46"/>
      <x:c r="O241" s="46"/>
      <x:c r="P241" s="46"/>
      <x:c r="Q241" s="46"/>
      <x:c r="R241" s="46"/>
    </x:row>
    <x:row r="242">
      <x:c r="A242" s="46"/>
      <x:c r="B242" s="46"/>
      <x:c r="C242" s="46"/>
      <x:c r="D242" s="46"/>
      <x:c r="E242" s="46"/>
      <x:c r="F242" s="46"/>
      <x:c r="G242" s="46"/>
      <x:c r="H242" s="46"/>
      <x:c r="I242" s="46"/>
      <x:c r="J242" s="46"/>
      <x:c r="K242" s="46"/>
      <x:c r="L242" s="46"/>
      <x:c r="M242" s="46"/>
      <x:c r="N242" s="46"/>
      <x:c r="O242" s="46"/>
      <x:c r="P242" s="46"/>
      <x:c r="Q242" s="46"/>
      <x:c r="R242" s="46"/>
    </x:row>
    <x:row r="243">
      <x:c r="A243" s="46"/>
      <x:c r="B243" s="46"/>
      <x:c r="C243" s="46"/>
      <x:c r="D243" s="46"/>
      <x:c r="E243" s="46"/>
      <x:c r="F243" s="46"/>
      <x:c r="G243" s="46"/>
      <x:c r="H243" s="46"/>
      <x:c r="I243" s="46"/>
      <x:c r="J243" s="46"/>
      <x:c r="K243" s="46"/>
      <x:c r="L243" s="46"/>
      <x:c r="M243" s="46"/>
      <x:c r="N243" s="46"/>
      <x:c r="O243" s="46"/>
      <x:c r="P243" s="46"/>
      <x:c r="Q243" s="46"/>
      <x:c r="R243" s="46"/>
    </x:row>
    <x:row r="244">
      <x:c r="A244" s="46"/>
      <x:c r="B244" s="46"/>
      <x:c r="C244" s="46"/>
      <x:c r="D244" s="46"/>
      <x:c r="E244" s="46"/>
      <x:c r="F244" s="46"/>
      <x:c r="G244" s="46"/>
      <x:c r="H244" s="46"/>
      <x:c r="I244" s="46"/>
      <x:c r="J244" s="46"/>
      <x:c r="K244" s="46"/>
      <x:c r="L244" s="46"/>
      <x:c r="M244" s="46"/>
      <x:c r="N244" s="46"/>
      <x:c r="O244" s="46"/>
      <x:c r="P244" s="46"/>
      <x:c r="Q244" s="46"/>
      <x:c r="R244" s="46"/>
    </x:row>
    <x:row r="245">
      <x:c r="A245" s="46"/>
      <x:c r="B245" s="46"/>
      <x:c r="C245" s="46"/>
      <x:c r="D245" s="46"/>
      <x:c r="E245" s="46"/>
      <x:c r="F245" s="46"/>
      <x:c r="G245" s="46"/>
      <x:c r="H245" s="46"/>
      <x:c r="I245" s="46"/>
      <x:c r="J245" s="46"/>
      <x:c r="K245" s="46"/>
      <x:c r="L245" s="46"/>
      <x:c r="M245" s="46"/>
      <x:c r="N245" s="46"/>
      <x:c r="O245" s="46"/>
      <x:c r="P245" s="46"/>
      <x:c r="Q245" s="46"/>
      <x:c r="R245" s="46"/>
    </x:row>
    <x:row r="246">
      <x:c r="A246" s="46"/>
      <x:c r="B246" s="46"/>
      <x:c r="C246" s="46"/>
      <x:c r="D246" s="46"/>
      <x:c r="E246" s="46"/>
      <x:c r="F246" s="46"/>
      <x:c r="G246" s="46"/>
      <x:c r="H246" s="46"/>
      <x:c r="I246" s="46"/>
      <x:c r="J246" s="46"/>
      <x:c r="K246" s="46"/>
      <x:c r="L246" s="46"/>
      <x:c r="M246" s="46"/>
      <x:c r="N246" s="46"/>
      <x:c r="O246" s="46"/>
      <x:c r="P246" s="46"/>
      <x:c r="Q246" s="46"/>
      <x:c r="R246" s="46"/>
    </x:row>
    <x:row r="247">
      <x:c r="A247" s="46"/>
      <x:c r="B247" s="46"/>
      <x:c r="C247" s="46"/>
      <x:c r="D247" s="46"/>
      <x:c r="E247" s="46"/>
      <x:c r="F247" s="46"/>
      <x:c r="G247" s="46"/>
      <x:c r="H247" s="46"/>
      <x:c r="I247" s="46"/>
      <x:c r="J247" s="46"/>
      <x:c r="K247" s="46"/>
      <x:c r="L247" s="46"/>
      <x:c r="M247" s="46"/>
      <x:c r="N247" s="46"/>
      <x:c r="O247" s="46"/>
      <x:c r="P247" s="46"/>
      <x:c r="Q247" s="46"/>
      <x:c r="R247" s="46"/>
    </x:row>
    <x:row r="248">
      <x:c r="A248" s="46"/>
      <x:c r="B248" s="46"/>
      <x:c r="C248" s="46"/>
      <x:c r="D248" s="46"/>
      <x:c r="E248" s="46"/>
      <x:c r="F248" s="46"/>
      <x:c r="G248" s="46"/>
      <x:c r="H248" s="46"/>
      <x:c r="I248" s="46"/>
      <x:c r="J248" s="46"/>
      <x:c r="K248" s="46"/>
      <x:c r="L248" s="46"/>
      <x:c r="M248" s="46"/>
      <x:c r="N248" s="46"/>
      <x:c r="O248" s="46"/>
      <x:c r="P248" s="46"/>
      <x:c r="Q248" s="46"/>
      <x:c r="R248" s="46"/>
    </x:row>
    <x:row r="249">
      <x:c r="A249" s="46"/>
      <x:c r="B249" s="46"/>
      <x:c r="C249" s="46"/>
      <x:c r="D249" s="46"/>
      <x:c r="E249" s="46"/>
      <x:c r="F249" s="46"/>
      <x:c r="G249" s="46"/>
      <x:c r="H249" s="46"/>
      <x:c r="I249" s="46"/>
      <x:c r="J249" s="46"/>
      <x:c r="K249" s="46"/>
      <x:c r="L249" s="46"/>
      <x:c r="M249" s="46"/>
      <x:c r="N249" s="46"/>
      <x:c r="O249" s="46"/>
      <x:c r="P249" s="46"/>
      <x:c r="Q249" s="46"/>
      <x:c r="R249" s="46"/>
    </x:row>
    <x:row r="250">
      <x:c r="A250" s="46"/>
      <x:c r="B250" s="46"/>
      <x:c r="C250" s="46"/>
      <x:c r="D250" s="46"/>
      <x:c r="E250" s="46"/>
      <x:c r="F250" s="46"/>
      <x:c r="G250" s="46"/>
      <x:c r="H250" s="46"/>
      <x:c r="I250" s="46"/>
      <x:c r="J250" s="46"/>
      <x:c r="K250" s="46"/>
      <x:c r="L250" s="46"/>
      <x:c r="M250" s="46"/>
      <x:c r="N250" s="46"/>
      <x:c r="O250" s="46"/>
      <x:c r="P250" s="46"/>
      <x:c r="Q250" s="46"/>
      <x:c r="R250" s="46"/>
    </x:row>
    <x:row r="251">
      <x:c r="A251" s="46"/>
      <x:c r="B251" s="46"/>
      <x:c r="C251" s="46"/>
      <x:c r="D251" s="46"/>
      <x:c r="E251" s="46"/>
      <x:c r="F251" s="46"/>
      <x:c r="G251" s="46"/>
      <x:c r="H251" s="46"/>
      <x:c r="I251" s="46"/>
      <x:c r="J251" s="46"/>
      <x:c r="K251" s="46"/>
      <x:c r="L251" s="46"/>
      <x:c r="M251" s="46"/>
      <x:c r="N251" s="46"/>
      <x:c r="O251" s="46"/>
      <x:c r="P251" s="46"/>
      <x:c r="Q251" s="46"/>
      <x:c r="R251" s="46"/>
    </x:row>
    <x:row r="252">
      <x:c r="A252" s="46"/>
      <x:c r="B252" s="46"/>
      <x:c r="C252" s="46"/>
      <x:c r="D252" s="46"/>
      <x:c r="E252" s="46"/>
      <x:c r="F252" s="46"/>
      <x:c r="G252" s="46"/>
      <x:c r="H252" s="46"/>
      <x:c r="I252" s="46"/>
      <x:c r="J252" s="46"/>
      <x:c r="K252" s="46"/>
      <x:c r="L252" s="46"/>
      <x:c r="M252" s="46"/>
      <x:c r="N252" s="46"/>
      <x:c r="O252" s="46"/>
      <x:c r="P252" s="46"/>
      <x:c r="Q252" s="46"/>
      <x:c r="R252" s="46"/>
    </x:row>
    <x:row r="253">
      <x:c r="A253" s="46"/>
      <x:c r="B253" s="46"/>
      <x:c r="C253" s="46"/>
      <x:c r="D253" s="46"/>
      <x:c r="E253" s="46"/>
      <x:c r="F253" s="46"/>
      <x:c r="G253" s="46"/>
      <x:c r="H253" s="46"/>
      <x:c r="I253" s="46"/>
      <x:c r="J253" s="46"/>
      <x:c r="K253" s="46"/>
      <x:c r="L253" s="46"/>
      <x:c r="M253" s="46"/>
      <x:c r="N253" s="46"/>
      <x:c r="O253" s="46"/>
      <x:c r="P253" s="46"/>
      <x:c r="Q253" s="46"/>
      <x:c r="R253" s="46"/>
    </x:row>
    <x:row r="254">
      <x:c r="A254" s="46"/>
      <x:c r="B254" s="46"/>
      <x:c r="C254" s="46"/>
      <x:c r="D254" s="46"/>
      <x:c r="E254" s="46"/>
      <x:c r="F254" s="46"/>
      <x:c r="G254" s="46"/>
      <x:c r="H254" s="46"/>
      <x:c r="I254" s="46"/>
      <x:c r="J254" s="46"/>
      <x:c r="K254" s="46"/>
      <x:c r="L254" s="46"/>
      <x:c r="M254" s="46"/>
      <x:c r="N254" s="46"/>
      <x:c r="O254" s="46"/>
      <x:c r="P254" s="46"/>
      <x:c r="Q254" s="46"/>
      <x:c r="R254" s="46"/>
    </x:row>
    <x:row r="255">
      <x:c r="A255" s="46"/>
      <x:c r="B255" s="46"/>
      <x:c r="C255" s="46"/>
      <x:c r="D255" s="46"/>
      <x:c r="E255" s="46"/>
      <x:c r="F255" s="46"/>
      <x:c r="G255" s="46"/>
      <x:c r="H255" s="46"/>
      <x:c r="I255" s="46"/>
      <x:c r="J255" s="46"/>
      <x:c r="K255" s="46"/>
      <x:c r="L255" s="46"/>
      <x:c r="M255" s="46"/>
      <x:c r="N255" s="46"/>
      <x:c r="O255" s="46"/>
      <x:c r="P255" s="46"/>
      <x:c r="Q255" s="46"/>
      <x:c r="R255" s="46"/>
    </x:row>
    <x:row r="256">
      <x:c r="A256" s="46"/>
      <x:c r="B256" s="46"/>
      <x:c r="C256" s="46"/>
      <x:c r="D256" s="46"/>
      <x:c r="E256" s="46"/>
      <x:c r="F256" s="46"/>
      <x:c r="G256" s="46"/>
      <x:c r="H256" s="46"/>
      <x:c r="I256" s="46"/>
      <x:c r="J256" s="46"/>
      <x:c r="K256" s="46"/>
      <x:c r="L256" s="46"/>
      <x:c r="M256" s="46"/>
      <x:c r="N256" s="46"/>
      <x:c r="O256" s="46"/>
      <x:c r="P256" s="46"/>
      <x:c r="Q256" s="46"/>
      <x:c r="R256" s="46"/>
    </x:row>
    <x:row r="257">
      <x:c r="A257" s="46"/>
      <x:c r="B257" s="46"/>
      <x:c r="C257" s="46"/>
      <x:c r="D257" s="46"/>
      <x:c r="E257" s="46"/>
      <x:c r="F257" s="46"/>
      <x:c r="G257" s="46"/>
      <x:c r="H257" s="46"/>
      <x:c r="I257" s="46"/>
      <x:c r="J257" s="46"/>
      <x:c r="K257" s="46"/>
      <x:c r="L257" s="46"/>
      <x:c r="M257" s="46"/>
      <x:c r="N257" s="46"/>
      <x:c r="O257" s="46"/>
      <x:c r="P257" s="46"/>
      <x:c r="Q257" s="46"/>
      <x:c r="R257" s="46"/>
    </x:row>
    <x:row r="258">
      <x:c r="A258" s="46"/>
      <x:c r="B258" s="46"/>
      <x:c r="C258" s="46"/>
      <x:c r="D258" s="46"/>
      <x:c r="E258" s="46"/>
      <x:c r="F258" s="46"/>
      <x:c r="G258" s="46"/>
      <x:c r="H258" s="46"/>
      <x:c r="I258" s="46"/>
      <x:c r="J258" s="46"/>
      <x:c r="K258" s="46"/>
      <x:c r="L258" s="46"/>
      <x:c r="M258" s="46"/>
      <x:c r="N258" s="46"/>
      <x:c r="O258" s="46"/>
      <x:c r="P258" s="46"/>
      <x:c r="Q258" s="46"/>
      <x:c r="R258" s="46"/>
    </x:row>
    <x:row r="259">
      <x:c r="A259" s="46"/>
      <x:c r="B259" s="46"/>
      <x:c r="C259" s="46"/>
      <x:c r="D259" s="46"/>
      <x:c r="E259" s="46"/>
      <x:c r="F259" s="46"/>
      <x:c r="G259" s="46"/>
      <x:c r="H259" s="46"/>
      <x:c r="I259" s="46"/>
      <x:c r="J259" s="46"/>
      <x:c r="K259" s="46"/>
      <x:c r="L259" s="46"/>
      <x:c r="M259" s="46"/>
      <x:c r="N259" s="46"/>
      <x:c r="O259" s="46"/>
      <x:c r="P259" s="46"/>
      <x:c r="Q259" s="46"/>
      <x:c r="R259" s="46"/>
    </x:row>
    <x:row r="260">
      <x:c r="A260" s="46"/>
      <x:c r="B260" s="46"/>
      <x:c r="C260" s="46"/>
      <x:c r="D260" s="46"/>
      <x:c r="E260" s="46"/>
      <x:c r="F260" s="46"/>
      <x:c r="G260" s="46"/>
      <x:c r="H260" s="46"/>
      <x:c r="I260" s="46"/>
      <x:c r="J260" s="46"/>
      <x:c r="K260" s="46"/>
      <x:c r="L260" s="46"/>
      <x:c r="M260" s="46"/>
      <x:c r="N260" s="46"/>
      <x:c r="O260" s="46"/>
      <x:c r="P260" s="46"/>
      <x:c r="Q260" s="46"/>
      <x:c r="R260" s="46"/>
    </x:row>
    <x:row r="261">
      <x:c r="A261" s="46"/>
      <x:c r="B261" s="46"/>
      <x:c r="C261" s="46"/>
      <x:c r="D261" s="46"/>
      <x:c r="E261" s="46"/>
      <x:c r="F261" s="46"/>
      <x:c r="G261" s="46"/>
      <x:c r="H261" s="46"/>
      <x:c r="I261" s="46"/>
      <x:c r="J261" s="46"/>
      <x:c r="K261" s="46"/>
      <x:c r="L261" s="46"/>
      <x:c r="M261" s="46"/>
      <x:c r="N261" s="46"/>
      <x:c r="O261" s="46"/>
      <x:c r="P261" s="46"/>
      <x:c r="Q261" s="46"/>
      <x:c r="R261" s="46"/>
    </x:row>
    <x:row r="262">
      <x:c r="A262" s="46"/>
      <x:c r="B262" s="46"/>
      <x:c r="C262" s="46"/>
      <x:c r="D262" s="46"/>
      <x:c r="E262" s="46"/>
      <x:c r="F262" s="46"/>
      <x:c r="G262" s="46"/>
      <x:c r="H262" s="46"/>
      <x:c r="I262" s="46"/>
      <x:c r="J262" s="46"/>
      <x:c r="K262" s="46"/>
      <x:c r="L262" s="46"/>
      <x:c r="M262" s="46"/>
      <x:c r="N262" s="46"/>
      <x:c r="O262" s="46"/>
      <x:c r="P262" s="46"/>
      <x:c r="Q262" s="46"/>
      <x:c r="R262" s="46"/>
    </x:row>
    <x:row r="263">
      <x:c r="A263" s="46"/>
      <x:c r="B263" s="46"/>
      <x:c r="C263" s="46"/>
      <x:c r="D263" s="46"/>
      <x:c r="E263" s="46"/>
      <x:c r="F263" s="46"/>
      <x:c r="G263" s="46"/>
      <x:c r="H263" s="46"/>
      <x:c r="I263" s="46"/>
      <x:c r="J263" s="46"/>
      <x:c r="K263" s="46"/>
      <x:c r="L263" s="46"/>
      <x:c r="M263" s="46"/>
      <x:c r="N263" s="46"/>
      <x:c r="O263" s="46"/>
      <x:c r="P263" s="46"/>
      <x:c r="Q263" s="46"/>
      <x:c r="R263" s="46"/>
    </x:row>
    <x:row r="264">
      <x:c r="A264" s="46"/>
      <x:c r="B264" s="46"/>
      <x:c r="C264" s="46"/>
      <x:c r="D264" s="46"/>
      <x:c r="E264" s="46"/>
      <x:c r="F264" s="46"/>
      <x:c r="G264" s="46"/>
      <x:c r="H264" s="46"/>
      <x:c r="I264" s="46"/>
      <x:c r="J264" s="46"/>
      <x:c r="K264" s="46"/>
      <x:c r="L264" s="46"/>
      <x:c r="M264" s="46"/>
      <x:c r="N264" s="46"/>
      <x:c r="O264" s="46"/>
      <x:c r="P264" s="46"/>
      <x:c r="Q264" s="46"/>
      <x:c r="R264" s="46"/>
    </x:row>
    <x:row r="265">
      <x:c r="A265" s="46"/>
      <x:c r="B265" s="46"/>
      <x:c r="C265" s="46"/>
      <x:c r="D265" s="46"/>
      <x:c r="E265" s="46"/>
      <x:c r="F265" s="46"/>
      <x:c r="G265" s="46"/>
      <x:c r="H265" s="46"/>
      <x:c r="I265" s="46"/>
      <x:c r="J265" s="46"/>
      <x:c r="K265" s="46"/>
      <x:c r="L265" s="46"/>
      <x:c r="M265" s="46"/>
      <x:c r="N265" s="46"/>
      <x:c r="O265" s="46"/>
      <x:c r="P265" s="46"/>
      <x:c r="Q265" s="46"/>
      <x:c r="R265" s="46"/>
    </x:row>
    <x:row r="266">
      <x:c r="A266" s="46"/>
      <x:c r="B266" s="46"/>
      <x:c r="C266" s="46"/>
      <x:c r="D266" s="46"/>
      <x:c r="E266" s="46"/>
      <x:c r="F266" s="46"/>
      <x:c r="G266" s="46"/>
      <x:c r="H266" s="46"/>
      <x:c r="I266" s="46"/>
      <x:c r="J266" s="46"/>
      <x:c r="K266" s="46"/>
      <x:c r="L266" s="46"/>
      <x:c r="M266" s="46"/>
      <x:c r="N266" s="46"/>
      <x:c r="O266" s="46"/>
      <x:c r="P266" s="46"/>
      <x:c r="Q266" s="46"/>
      <x:c r="R266" s="46"/>
    </x:row>
    <x:row r="267">
      <x:c r="A267" s="46"/>
      <x:c r="B267" s="46"/>
      <x:c r="C267" s="46"/>
      <x:c r="D267" s="46"/>
      <x:c r="E267" s="46"/>
      <x:c r="F267" s="46"/>
      <x:c r="G267" s="46"/>
      <x:c r="H267" s="46"/>
      <x:c r="I267" s="46"/>
      <x:c r="J267" s="46"/>
      <x:c r="K267" s="46"/>
      <x:c r="L267" s="46"/>
      <x:c r="M267" s="46"/>
      <x:c r="N267" s="46"/>
      <x:c r="O267" s="46"/>
      <x:c r="P267" s="46"/>
      <x:c r="Q267" s="46"/>
      <x:c r="R267" s="46"/>
    </x:row>
    <x:row r="268">
      <x:c r="A268" s="46"/>
      <x:c r="B268" s="46"/>
      <x:c r="C268" s="46"/>
      <x:c r="D268" s="46"/>
      <x:c r="E268" s="46"/>
      <x:c r="F268" s="46"/>
      <x:c r="G268" s="46"/>
      <x:c r="H268" s="46"/>
      <x:c r="I268" s="46"/>
      <x:c r="J268" s="46"/>
      <x:c r="K268" s="46"/>
      <x:c r="L268" s="46"/>
      <x:c r="M268" s="46"/>
      <x:c r="N268" s="46"/>
      <x:c r="O268" s="46"/>
      <x:c r="P268" s="46"/>
      <x:c r="Q268" s="46"/>
      <x:c r="R268" s="46"/>
    </x:row>
    <x:row r="269">
      <x:c r="A269" s="46"/>
      <x:c r="B269" s="46"/>
      <x:c r="C269" s="46"/>
      <x:c r="D269" s="46"/>
      <x:c r="E269" s="46"/>
      <x:c r="F269" s="46"/>
      <x:c r="G269" s="46"/>
      <x:c r="H269" s="46"/>
      <x:c r="I269" s="46"/>
      <x:c r="J269" s="46"/>
      <x:c r="K269" s="46"/>
      <x:c r="L269" s="46"/>
      <x:c r="M269" s="46"/>
      <x:c r="N269" s="46"/>
      <x:c r="O269" s="46"/>
      <x:c r="P269" s="46"/>
      <x:c r="Q269" s="46"/>
      <x:c r="R269" s="46"/>
    </x:row>
    <x:row r="270">
      <x:c r="A270" s="46"/>
      <x:c r="B270" s="46"/>
      <x:c r="C270" s="46"/>
      <x:c r="D270" s="46"/>
      <x:c r="E270" s="46"/>
      <x:c r="F270" s="46"/>
      <x:c r="G270" s="46"/>
      <x:c r="H270" s="46"/>
      <x:c r="I270" s="46"/>
      <x:c r="J270" s="46"/>
      <x:c r="K270" s="46"/>
      <x:c r="L270" s="46"/>
      <x:c r="M270" s="46"/>
      <x:c r="N270" s="46"/>
      <x:c r="O270" s="46"/>
      <x:c r="P270" s="46"/>
      <x:c r="Q270" s="46"/>
      <x:c r="R270" s="46"/>
    </x:row>
    <x:row r="271">
      <x:c r="A271" s="46"/>
      <x:c r="B271" s="46"/>
      <x:c r="C271" s="46"/>
      <x:c r="D271" s="46"/>
      <x:c r="E271" s="46"/>
      <x:c r="F271" s="46"/>
      <x:c r="G271" s="46"/>
      <x:c r="H271" s="46"/>
      <x:c r="I271" s="46"/>
      <x:c r="J271" s="46"/>
      <x:c r="K271" s="46"/>
      <x:c r="L271" s="46"/>
      <x:c r="M271" s="46"/>
      <x:c r="N271" s="46"/>
      <x:c r="O271" s="46"/>
      <x:c r="P271" s="46"/>
      <x:c r="Q271" s="46"/>
      <x:c r="R271" s="46"/>
    </x:row>
    <x:row r="272">
      <x:c r="A272" s="46"/>
      <x:c r="B272" s="46"/>
      <x:c r="C272" s="46"/>
      <x:c r="D272" s="46"/>
      <x:c r="E272" s="46"/>
      <x:c r="F272" s="46"/>
      <x:c r="G272" s="46"/>
      <x:c r="H272" s="46"/>
      <x:c r="I272" s="46"/>
      <x:c r="J272" s="46"/>
      <x:c r="K272" s="46"/>
      <x:c r="L272" s="46"/>
      <x:c r="M272" s="46"/>
      <x:c r="N272" s="46"/>
      <x:c r="O272" s="46"/>
      <x:c r="P272" s="46"/>
      <x:c r="Q272" s="46"/>
      <x:c r="R272" s="46"/>
    </x:row>
    <x:row r="273">
      <x:c r="A273" s="46"/>
      <x:c r="B273" s="46"/>
      <x:c r="C273" s="46"/>
      <x:c r="D273" s="46"/>
      <x:c r="E273" s="46"/>
      <x:c r="F273" s="46"/>
      <x:c r="G273" s="46"/>
      <x:c r="H273" s="46"/>
      <x:c r="I273" s="46"/>
      <x:c r="J273" s="46"/>
      <x:c r="K273" s="46"/>
      <x:c r="L273" s="46"/>
      <x:c r="M273" s="46"/>
      <x:c r="N273" s="46"/>
      <x:c r="O273" s="46"/>
      <x:c r="P273" s="46"/>
      <x:c r="Q273" s="46"/>
      <x:c r="R273" s="46"/>
    </x:row>
    <x:row r="274">
      <x:c r="A274" s="46"/>
      <x:c r="B274" s="46"/>
      <x:c r="C274" s="46"/>
      <x:c r="D274" s="46"/>
      <x:c r="E274" s="46"/>
      <x:c r="F274" s="46"/>
      <x:c r="G274" s="46"/>
      <x:c r="H274" s="46"/>
      <x:c r="I274" s="46"/>
      <x:c r="J274" s="46"/>
      <x:c r="K274" s="46"/>
      <x:c r="L274" s="46"/>
      <x:c r="M274" s="46"/>
      <x:c r="N274" s="46"/>
      <x:c r="O274" s="46"/>
      <x:c r="P274" s="46"/>
      <x:c r="Q274" s="46"/>
      <x:c r="R274" s="46"/>
    </x:row>
    <x:row r="275">
      <x:c r="A275" s="46"/>
      <x:c r="B275" s="46"/>
      <x:c r="C275" s="46"/>
      <x:c r="D275" s="46"/>
      <x:c r="E275" s="46"/>
      <x:c r="F275" s="46"/>
      <x:c r="G275" s="46"/>
      <x:c r="H275" s="46"/>
      <x:c r="I275" s="46"/>
      <x:c r="J275" s="46"/>
      <x:c r="K275" s="46"/>
      <x:c r="L275" s="46"/>
      <x:c r="M275" s="46"/>
      <x:c r="N275" s="46"/>
      <x:c r="O275" s="46"/>
      <x:c r="P275" s="46"/>
      <x:c r="Q275" s="46"/>
      <x:c r="R275" s="46"/>
    </x:row>
    <x:row r="276">
      <x:c r="A276" s="46"/>
      <x:c r="B276" s="46"/>
      <x:c r="C276" s="46"/>
      <x:c r="D276" s="46"/>
      <x:c r="E276" s="46"/>
      <x:c r="F276" s="46"/>
      <x:c r="G276" s="46"/>
      <x:c r="H276" s="46"/>
      <x:c r="I276" s="46"/>
      <x:c r="J276" s="46"/>
      <x:c r="K276" s="46"/>
      <x:c r="L276" s="46"/>
      <x:c r="M276" s="46"/>
      <x:c r="N276" s="46"/>
      <x:c r="O276" s="46"/>
      <x:c r="P276" s="46"/>
      <x:c r="Q276" s="46"/>
      <x:c r="R276" s="46"/>
    </x:row>
    <x:row r="277">
      <x:c r="A277" s="46"/>
      <x:c r="B277" s="46"/>
      <x:c r="C277" s="46"/>
      <x:c r="D277" s="46"/>
      <x:c r="E277" s="46"/>
      <x:c r="F277" s="46"/>
      <x:c r="G277" s="46"/>
      <x:c r="H277" s="46"/>
      <x:c r="I277" s="46"/>
      <x:c r="J277" s="46"/>
      <x:c r="K277" s="46"/>
      <x:c r="L277" s="46"/>
      <x:c r="M277" s="46"/>
      <x:c r="N277" s="46"/>
      <x:c r="O277" s="46"/>
      <x:c r="P277" s="46"/>
      <x:c r="Q277" s="46"/>
      <x:c r="R277" s="46"/>
    </x:row>
    <x:row r="278">
      <x:c r="A278" s="46"/>
      <x:c r="B278" s="46"/>
      <x:c r="C278" s="46"/>
      <x:c r="D278" s="46"/>
      <x:c r="E278" s="46"/>
      <x:c r="F278" s="46"/>
      <x:c r="G278" s="46"/>
      <x:c r="H278" s="46"/>
      <x:c r="I278" s="46"/>
      <x:c r="J278" s="46"/>
      <x:c r="K278" s="46"/>
      <x:c r="L278" s="46"/>
      <x:c r="M278" s="46"/>
      <x:c r="N278" s="46"/>
      <x:c r="O278" s="46"/>
      <x:c r="P278" s="46"/>
      <x:c r="Q278" s="46"/>
      <x:c r="R278" s="46"/>
    </x:row>
    <x:row r="279">
      <x:c r="A279" s="46"/>
      <x:c r="B279" s="46"/>
      <x:c r="C279" s="46"/>
      <x:c r="D279" s="46"/>
      <x:c r="E279" s="46"/>
      <x:c r="F279" s="46"/>
      <x:c r="G279" s="46"/>
      <x:c r="H279" s="46"/>
      <x:c r="I279" s="46"/>
      <x:c r="J279" s="46"/>
      <x:c r="K279" s="46"/>
      <x:c r="L279" s="46"/>
      <x:c r="M279" s="46"/>
      <x:c r="N279" s="46"/>
      <x:c r="O279" s="46"/>
      <x:c r="P279" s="46"/>
      <x:c r="Q279" s="46"/>
      <x:c r="R279" s="46"/>
    </x:row>
    <x:row r="280">
      <x:c r="A280" s="46"/>
      <x:c r="B280" s="46"/>
      <x:c r="C280" s="46"/>
      <x:c r="D280" s="46"/>
      <x:c r="E280" s="46"/>
      <x:c r="F280" s="46"/>
      <x:c r="G280" s="46"/>
      <x:c r="H280" s="46"/>
      <x:c r="I280" s="46"/>
      <x:c r="J280" s="46"/>
      <x:c r="K280" s="46"/>
      <x:c r="L280" s="46"/>
      <x:c r="M280" s="46"/>
      <x:c r="N280" s="46"/>
      <x:c r="O280" s="46"/>
      <x:c r="P280" s="46"/>
      <x:c r="Q280" s="46"/>
      <x:c r="R280" s="46"/>
    </x:row>
    <x:row r="281">
      <x:c r="A281" s="46"/>
      <x:c r="B281" s="46"/>
      <x:c r="C281" s="46"/>
      <x:c r="D281" s="46"/>
      <x:c r="E281" s="46"/>
      <x:c r="F281" s="46"/>
      <x:c r="G281" s="46"/>
      <x:c r="H281" s="46"/>
      <x:c r="I281" s="46"/>
      <x:c r="J281" s="46"/>
      <x:c r="K281" s="46"/>
      <x:c r="L281" s="46"/>
      <x:c r="M281" s="46"/>
      <x:c r="N281" s="46"/>
      <x:c r="O281" s="46"/>
      <x:c r="P281" s="46"/>
      <x:c r="Q281" s="46"/>
      <x:c r="R281" s="46"/>
    </x:row>
    <x:row r="282">
      <x:c r="A282" s="46"/>
      <x:c r="B282" s="46"/>
      <x:c r="C282" s="46"/>
      <x:c r="D282" s="46"/>
      <x:c r="E282" s="46"/>
      <x:c r="F282" s="46"/>
      <x:c r="G282" s="46"/>
      <x:c r="H282" s="46"/>
      <x:c r="I282" s="46"/>
      <x:c r="J282" s="46"/>
      <x:c r="K282" s="46"/>
      <x:c r="L282" s="46"/>
      <x:c r="M282" s="46"/>
      <x:c r="N282" s="46"/>
      <x:c r="O282" s="46"/>
      <x:c r="P282" s="46"/>
      <x:c r="Q282" s="46"/>
      <x:c r="R282" s="46"/>
    </x:row>
    <x:row r="283">
      <x:c r="A283" s="46"/>
      <x:c r="B283" s="46"/>
      <x:c r="C283" s="46"/>
      <x:c r="D283" s="46"/>
      <x:c r="E283" s="46"/>
      <x:c r="F283" s="46"/>
      <x:c r="G283" s="46"/>
      <x:c r="H283" s="46"/>
      <x:c r="I283" s="46"/>
      <x:c r="J283" s="46"/>
      <x:c r="K283" s="46"/>
      <x:c r="L283" s="46"/>
      <x:c r="M283" s="46"/>
      <x:c r="N283" s="46"/>
      <x:c r="O283" s="46"/>
      <x:c r="P283" s="46"/>
      <x:c r="Q283" s="46"/>
      <x:c r="R283" s="46"/>
    </x:row>
    <x:row r="284">
      <x:c r="A284" s="46"/>
      <x:c r="B284" s="46"/>
      <x:c r="C284" s="46"/>
      <x:c r="D284" s="46"/>
      <x:c r="E284" s="46"/>
      <x:c r="F284" s="46"/>
      <x:c r="G284" s="46"/>
      <x:c r="H284" s="46"/>
      <x:c r="I284" s="46"/>
      <x:c r="J284" s="46"/>
      <x:c r="K284" s="46"/>
      <x:c r="L284" s="46"/>
      <x:c r="M284" s="46"/>
      <x:c r="N284" s="46"/>
      <x:c r="O284" s="46"/>
      <x:c r="P284" s="46"/>
      <x:c r="Q284" s="46"/>
      <x:c r="R284" s="46"/>
    </x:row>
    <x:row r="285">
      <x:c r="A285" s="46"/>
      <x:c r="B285" s="46"/>
      <x:c r="C285" s="46"/>
      <x:c r="D285" s="46"/>
      <x:c r="E285" s="46"/>
      <x:c r="F285" s="46"/>
      <x:c r="G285" s="46"/>
      <x:c r="H285" s="46"/>
      <x:c r="I285" s="46"/>
      <x:c r="J285" s="46"/>
      <x:c r="K285" s="46"/>
      <x:c r="L285" s="46"/>
      <x:c r="M285" s="46"/>
      <x:c r="N285" s="46"/>
      <x:c r="O285" s="46"/>
      <x:c r="P285" s="46"/>
      <x:c r="Q285" s="46"/>
      <x:c r="R285" s="46"/>
    </x:row>
    <x:row r="286">
      <x:c r="A286" s="46"/>
      <x:c r="B286" s="46"/>
      <x:c r="C286" s="46"/>
      <x:c r="D286" s="46"/>
      <x:c r="E286" s="46"/>
      <x:c r="F286" s="46"/>
      <x:c r="G286" s="46"/>
      <x:c r="H286" s="46"/>
      <x:c r="I286" s="46"/>
      <x:c r="J286" s="46"/>
      <x:c r="K286" s="46"/>
      <x:c r="L286" s="46"/>
      <x:c r="M286" s="46"/>
      <x:c r="N286" s="46"/>
      <x:c r="O286" s="46"/>
      <x:c r="P286" s="46"/>
      <x:c r="Q286" s="46"/>
      <x:c r="R286" s="46"/>
    </x:row>
    <x:row r="287">
      <x:c r="A287" s="46"/>
      <x:c r="B287" s="46"/>
      <x:c r="C287" s="46"/>
      <x:c r="D287" s="46"/>
      <x:c r="E287" s="46"/>
      <x:c r="F287" s="46"/>
      <x:c r="G287" s="46"/>
      <x:c r="H287" s="46"/>
      <x:c r="I287" s="46"/>
      <x:c r="J287" s="46"/>
      <x:c r="K287" s="46"/>
      <x:c r="L287" s="46"/>
      <x:c r="M287" s="46"/>
      <x:c r="N287" s="46"/>
      <x:c r="O287" s="46"/>
      <x:c r="P287" s="46"/>
      <x:c r="Q287" s="46"/>
      <x:c r="R287" s="46"/>
    </x:row>
    <x:row r="288">
      <x:c r="A288" s="46"/>
      <x:c r="B288" s="46"/>
      <x:c r="C288" s="46"/>
      <x:c r="D288" s="46"/>
      <x:c r="E288" s="46"/>
      <x:c r="F288" s="46"/>
      <x:c r="G288" s="46"/>
      <x:c r="H288" s="46"/>
      <x:c r="I288" s="46"/>
      <x:c r="J288" s="46"/>
      <x:c r="K288" s="46"/>
      <x:c r="L288" s="46"/>
      <x:c r="M288" s="46"/>
      <x:c r="N288" s="46"/>
      <x:c r="O288" s="46"/>
      <x:c r="P288" s="46"/>
      <x:c r="Q288" s="46"/>
      <x:c r="R288" s="46"/>
    </x:row>
    <x:row r="289">
      <x:c r="A289" s="46"/>
      <x:c r="B289" s="46"/>
      <x:c r="C289" s="46"/>
      <x:c r="D289" s="46"/>
      <x:c r="E289" s="46"/>
      <x:c r="F289" s="46"/>
      <x:c r="G289" s="46"/>
      <x:c r="H289" s="46"/>
      <x:c r="I289" s="46"/>
      <x:c r="J289" s="46"/>
      <x:c r="K289" s="46"/>
      <x:c r="L289" s="46"/>
      <x:c r="M289" s="46"/>
      <x:c r="N289" s="46"/>
      <x:c r="O289" s="46"/>
      <x:c r="P289" s="46"/>
      <x:c r="Q289" s="46"/>
      <x:c r="R289" s="46"/>
    </x:row>
    <x:row r="290">
      <x:c r="A290" s="46"/>
      <x:c r="B290" s="46"/>
      <x:c r="C290" s="46"/>
      <x:c r="D290" s="46"/>
      <x:c r="E290" s="46"/>
      <x:c r="F290" s="46"/>
      <x:c r="G290" s="46"/>
      <x:c r="H290" s="46"/>
      <x:c r="I290" s="46"/>
      <x:c r="J290" s="46"/>
      <x:c r="K290" s="46"/>
      <x:c r="L290" s="46"/>
      <x:c r="M290" s="46"/>
      <x:c r="N290" s="46"/>
      <x:c r="O290" s="46"/>
      <x:c r="P290" s="46"/>
      <x:c r="Q290" s="46"/>
      <x:c r="R290" s="46"/>
    </x:row>
    <x:row r="291">
      <x:c r="A291" s="46"/>
      <x:c r="B291" s="46"/>
      <x:c r="C291" s="46"/>
      <x:c r="D291" s="46"/>
      <x:c r="E291" s="46"/>
      <x:c r="F291" s="46"/>
      <x:c r="G291" s="46"/>
      <x:c r="H291" s="46"/>
      <x:c r="I291" s="46"/>
      <x:c r="J291" s="46"/>
      <x:c r="K291" s="46"/>
      <x:c r="L291" s="46"/>
      <x:c r="M291" s="46"/>
      <x:c r="N291" s="46"/>
      <x:c r="O291" s="46"/>
      <x:c r="P291" s="46"/>
      <x:c r="Q291" s="46"/>
      <x:c r="R291" s="46"/>
    </x:row>
    <x:row r="292">
      <x:c r="A292" s="46"/>
      <x:c r="B292" s="46"/>
      <x:c r="C292" s="46"/>
      <x:c r="D292" s="46"/>
      <x:c r="E292" s="46"/>
      <x:c r="F292" s="46"/>
      <x:c r="G292" s="46"/>
      <x:c r="H292" s="46"/>
      <x:c r="I292" s="46"/>
      <x:c r="J292" s="46"/>
      <x:c r="K292" s="46"/>
      <x:c r="L292" s="46"/>
      <x:c r="M292" s="46"/>
      <x:c r="N292" s="46"/>
      <x:c r="O292" s="46"/>
      <x:c r="P292" s="46"/>
      <x:c r="Q292" s="46"/>
      <x:c r="R292" s="46"/>
    </x:row>
    <x:row r="293">
      <x:c r="A293" s="46"/>
      <x:c r="B293" s="46"/>
      <x:c r="C293" s="46"/>
      <x:c r="D293" s="46"/>
      <x:c r="E293" s="46"/>
      <x:c r="F293" s="46"/>
      <x:c r="G293" s="46"/>
      <x:c r="H293" s="46"/>
      <x:c r="I293" s="46"/>
      <x:c r="J293" s="46"/>
      <x:c r="K293" s="46"/>
      <x:c r="L293" s="46"/>
      <x:c r="M293" s="46"/>
      <x:c r="N293" s="46"/>
      <x:c r="O293" s="46"/>
      <x:c r="P293" s="46"/>
      <x:c r="Q293" s="46"/>
      <x:c r="R293" s="46"/>
    </x:row>
    <x:row r="294">
      <x:c r="A294" s="46"/>
      <x:c r="B294" s="46"/>
      <x:c r="C294" s="46"/>
      <x:c r="D294" s="46"/>
      <x:c r="E294" s="46"/>
      <x:c r="F294" s="46"/>
      <x:c r="G294" s="46"/>
      <x:c r="H294" s="46"/>
      <x:c r="I294" s="46"/>
      <x:c r="J294" s="46"/>
      <x:c r="K294" s="46"/>
      <x:c r="L294" s="46"/>
      <x:c r="M294" s="46"/>
      <x:c r="N294" s="46"/>
      <x:c r="O294" s="46"/>
      <x:c r="P294" s="46"/>
      <x:c r="Q294" s="46"/>
      <x:c r="R294" s="46"/>
    </x:row>
    <x:row r="295">
      <x:c r="A295" s="46"/>
      <x:c r="B295" s="46"/>
      <x:c r="C295" s="46"/>
      <x:c r="D295" s="46"/>
      <x:c r="E295" s="46"/>
      <x:c r="F295" s="46"/>
      <x:c r="G295" s="46"/>
      <x:c r="H295" s="46"/>
      <x:c r="I295" s="46"/>
      <x:c r="J295" s="46"/>
      <x:c r="K295" s="46"/>
      <x:c r="L295" s="46"/>
      <x:c r="M295" s="46"/>
      <x:c r="N295" s="46"/>
      <x:c r="O295" s="46"/>
      <x:c r="P295" s="46"/>
      <x:c r="Q295" s="46"/>
      <x:c r="R295" s="46"/>
    </x:row>
    <x:row r="296">
      <x:c r="A296" s="46"/>
      <x:c r="B296" s="46"/>
      <x:c r="C296" s="46"/>
      <x:c r="D296" s="46"/>
      <x:c r="E296" s="46"/>
      <x:c r="F296" s="46"/>
      <x:c r="G296" s="46"/>
      <x:c r="H296" s="46"/>
      <x:c r="I296" s="46"/>
      <x:c r="J296" s="46"/>
      <x:c r="K296" s="46"/>
      <x:c r="L296" s="46"/>
      <x:c r="M296" s="46"/>
      <x:c r="N296" s="46"/>
      <x:c r="O296" s="46"/>
      <x:c r="P296" s="46"/>
      <x:c r="Q296" s="46"/>
      <x:c r="R296" s="46"/>
    </x:row>
    <x:row r="297">
      <x:c r="A297" s="46"/>
      <x:c r="B297" s="46"/>
      <x:c r="C297" s="46"/>
      <x:c r="D297" s="46"/>
      <x:c r="E297" s="46"/>
      <x:c r="F297" s="46"/>
      <x:c r="G297" s="46"/>
      <x:c r="H297" s="46"/>
      <x:c r="I297" s="46"/>
      <x:c r="J297" s="46"/>
      <x:c r="K297" s="46"/>
      <x:c r="L297" s="46"/>
      <x:c r="M297" s="46"/>
      <x:c r="N297" s="46"/>
      <x:c r="O297" s="46"/>
      <x:c r="P297" s="46"/>
      <x:c r="Q297" s="46"/>
      <x:c r="R297" s="46"/>
    </x:row>
    <x:row r="298">
      <x:c r="A298" s="46"/>
      <x:c r="B298" s="46"/>
      <x:c r="C298" s="46"/>
      <x:c r="D298" s="46"/>
      <x:c r="E298" s="46"/>
      <x:c r="F298" s="46"/>
      <x:c r="G298" s="46"/>
      <x:c r="H298" s="46"/>
      <x:c r="I298" s="46"/>
      <x:c r="J298" s="46"/>
      <x:c r="K298" s="46"/>
      <x:c r="L298" s="46"/>
      <x:c r="M298" s="46"/>
      <x:c r="N298" s="46"/>
      <x:c r="O298" s="46"/>
      <x:c r="P298" s="46"/>
      <x:c r="Q298" s="46"/>
      <x:c r="R298" s="46"/>
    </x:row>
    <x:row r="299">
      <x:c r="A299" s="46"/>
      <x:c r="B299" s="46"/>
      <x:c r="C299" s="46"/>
      <x:c r="D299" s="46"/>
      <x:c r="E299" s="46"/>
      <x:c r="F299" s="46"/>
      <x:c r="G299" s="46"/>
      <x:c r="H299" s="46"/>
      <x:c r="I299" s="46"/>
      <x:c r="J299" s="46"/>
      <x:c r="K299" s="46"/>
      <x:c r="L299" s="46"/>
      <x:c r="M299" s="46"/>
      <x:c r="N299" s="46"/>
      <x:c r="O299" s="46"/>
      <x:c r="P299" s="46"/>
      <x:c r="Q299" s="46"/>
      <x:c r="R299" s="46"/>
    </x:row>
    <x:row r="300">
      <x:c r="A300" s="46"/>
      <x:c r="B300" s="46"/>
      <x:c r="C300" s="46"/>
      <x:c r="D300" s="46"/>
      <x:c r="E300" s="46"/>
      <x:c r="F300" s="46"/>
      <x:c r="G300" s="46"/>
      <x:c r="H300" s="46"/>
      <x:c r="I300" s="46"/>
      <x:c r="J300" s="46"/>
      <x:c r="K300" s="46"/>
      <x:c r="L300" s="46"/>
      <x:c r="M300" s="46"/>
      <x:c r="N300" s="46"/>
      <x:c r="O300" s="46"/>
      <x:c r="P300" s="46"/>
      <x:c r="Q300" s="46"/>
      <x:c r="R300" s="46"/>
    </x:row>
    <x:row r="301">
      <x:c r="A301" s="46"/>
      <x:c r="B301" s="46"/>
      <x:c r="C301" s="46"/>
      <x:c r="D301" s="46"/>
      <x:c r="E301" s="46"/>
      <x:c r="F301" s="46"/>
      <x:c r="G301" s="46"/>
      <x:c r="H301" s="46"/>
      <x:c r="I301" s="46"/>
      <x:c r="J301" s="46"/>
      <x:c r="K301" s="46"/>
      <x:c r="L301" s="46"/>
      <x:c r="M301" s="46"/>
      <x:c r="N301" s="46"/>
      <x:c r="O301" s="46"/>
      <x:c r="P301" s="46"/>
      <x:c r="Q301" s="46"/>
      <x:c r="R301" s="46"/>
    </x:row>
    <x:row r="302">
      <x:c r="A302" s="46"/>
      <x:c r="B302" s="46"/>
      <x:c r="C302" s="46"/>
      <x:c r="D302" s="46"/>
      <x:c r="E302" s="46"/>
      <x:c r="F302" s="46"/>
      <x:c r="G302" s="46"/>
      <x:c r="H302" s="46"/>
      <x:c r="I302" s="46"/>
      <x:c r="J302" s="46"/>
      <x:c r="K302" s="46"/>
      <x:c r="L302" s="46"/>
      <x:c r="M302" s="46"/>
      <x:c r="N302" s="46"/>
      <x:c r="O302" s="46"/>
      <x:c r="P302" s="46"/>
      <x:c r="Q302" s="46"/>
      <x:c r="R302" s="46"/>
    </x:row>
    <x:row r="303">
      <x:c r="A303" s="46"/>
      <x:c r="B303" s="46"/>
      <x:c r="C303" s="46"/>
      <x:c r="D303" s="46"/>
      <x:c r="E303" s="46"/>
      <x:c r="F303" s="46"/>
      <x:c r="G303" s="46"/>
      <x:c r="H303" s="46"/>
      <x:c r="I303" s="46"/>
      <x:c r="J303" s="46"/>
      <x:c r="K303" s="46"/>
      <x:c r="L303" s="46"/>
      <x:c r="M303" s="46"/>
      <x:c r="N303" s="46"/>
      <x:c r="O303" s="46"/>
      <x:c r="P303" s="46"/>
      <x:c r="Q303" s="46"/>
      <x:c r="R303" s="46"/>
    </x:row>
    <x:row r="304">
      <x:c r="A304" s="46"/>
      <x:c r="B304" s="46"/>
      <x:c r="C304" s="46"/>
      <x:c r="D304" s="46"/>
      <x:c r="E304" s="46"/>
      <x:c r="F304" s="46"/>
      <x:c r="G304" s="46"/>
      <x:c r="H304" s="46"/>
      <x:c r="I304" s="46"/>
      <x:c r="J304" s="46"/>
      <x:c r="K304" s="46"/>
      <x:c r="L304" s="46"/>
      <x:c r="M304" s="46"/>
      <x:c r="N304" s="46"/>
      <x:c r="O304" s="46"/>
      <x:c r="P304" s="46"/>
      <x:c r="Q304" s="46"/>
      <x:c r="R304" s="46"/>
    </x:row>
    <x:row r="305">
      <x:c r="A305" s="46"/>
      <x:c r="B305" s="46"/>
      <x:c r="C305" s="46"/>
      <x:c r="D305" s="46"/>
      <x:c r="E305" s="46"/>
      <x:c r="F305" s="46"/>
      <x:c r="G305" s="46"/>
      <x:c r="H305" s="46"/>
      <x:c r="I305" s="46"/>
      <x:c r="J305" s="46"/>
      <x:c r="K305" s="46"/>
      <x:c r="L305" s="46"/>
      <x:c r="M305" s="46"/>
      <x:c r="N305" s="46"/>
      <x:c r="O305" s="46"/>
      <x:c r="P305" s="46"/>
      <x:c r="Q305" s="46"/>
      <x:c r="R305" s="46"/>
    </x:row>
    <x:row r="306">
      <x:c r="A306" s="46"/>
      <x:c r="B306" s="46"/>
      <x:c r="C306" s="46"/>
      <x:c r="D306" s="46"/>
      <x:c r="E306" s="46"/>
      <x:c r="F306" s="46"/>
      <x:c r="G306" s="46"/>
      <x:c r="H306" s="46"/>
      <x:c r="I306" s="46"/>
      <x:c r="J306" s="46"/>
      <x:c r="K306" s="46"/>
      <x:c r="L306" s="46"/>
      <x:c r="M306" s="46"/>
      <x:c r="N306" s="46"/>
      <x:c r="O306" s="46"/>
      <x:c r="P306" s="46"/>
      <x:c r="Q306" s="46"/>
      <x:c r="R306" s="46"/>
    </x:row>
    <x:row r="307">
      <x:c r="A307" s="46"/>
      <x:c r="B307" s="46"/>
      <x:c r="C307" s="46"/>
      <x:c r="D307" s="46"/>
      <x:c r="E307" s="46"/>
      <x:c r="F307" s="46"/>
      <x:c r="G307" s="46"/>
      <x:c r="H307" s="46"/>
      <x:c r="I307" s="46"/>
      <x:c r="J307" s="46"/>
      <x:c r="K307" s="46"/>
      <x:c r="L307" s="46"/>
      <x:c r="M307" s="46"/>
      <x:c r="N307" s="46"/>
      <x:c r="O307" s="46"/>
      <x:c r="P307" s="46"/>
      <x:c r="Q307" s="46"/>
      <x:c r="R307" s="46"/>
    </x:row>
    <x:row r="308">
      <x:c r="A308" s="46"/>
      <x:c r="B308" s="46"/>
      <x:c r="C308" s="46"/>
      <x:c r="D308" s="46"/>
      <x:c r="E308" s="46"/>
      <x:c r="F308" s="46"/>
      <x:c r="G308" s="46"/>
      <x:c r="H308" s="46"/>
      <x:c r="I308" s="46"/>
      <x:c r="J308" s="46"/>
      <x:c r="K308" s="46"/>
      <x:c r="L308" s="46"/>
      <x:c r="M308" s="46"/>
      <x:c r="N308" s="46"/>
      <x:c r="O308" s="46"/>
      <x:c r="P308" s="46"/>
      <x:c r="Q308" s="46"/>
      <x:c r="R308" s="46"/>
    </x:row>
    <x:row r="309">
      <x:c r="A309" s="46"/>
      <x:c r="B309" s="46"/>
      <x:c r="C309" s="46"/>
      <x:c r="D309" s="46"/>
      <x:c r="E309" s="46"/>
      <x:c r="F309" s="46"/>
      <x:c r="G309" s="46"/>
      <x:c r="H309" s="46"/>
      <x:c r="I309" s="46"/>
      <x:c r="J309" s="46"/>
      <x:c r="K309" s="46"/>
      <x:c r="L309" s="46"/>
      <x:c r="M309" s="46"/>
      <x:c r="N309" s="46"/>
      <x:c r="O309" s="46"/>
      <x:c r="P309" s="46"/>
      <x:c r="Q309" s="46"/>
      <x:c r="R309" s="46"/>
    </x:row>
    <x:row r="310">
      <x:c r="A310" s="46"/>
      <x:c r="B310" s="46"/>
      <x:c r="C310" s="46"/>
      <x:c r="D310" s="46"/>
      <x:c r="E310" s="46"/>
      <x:c r="F310" s="46"/>
      <x:c r="G310" s="46"/>
      <x:c r="H310" s="46"/>
      <x:c r="I310" s="46"/>
      <x:c r="J310" s="46"/>
      <x:c r="K310" s="46"/>
      <x:c r="L310" s="46"/>
      <x:c r="M310" s="46"/>
      <x:c r="N310" s="46"/>
      <x:c r="O310" s="46"/>
      <x:c r="P310" s="46"/>
      <x:c r="Q310" s="46"/>
      <x:c r="R310" s="46"/>
    </x:row>
    <x:row r="311">
      <x:c r="A311" s="46"/>
      <x:c r="B311" s="46"/>
      <x:c r="C311" s="46"/>
      <x:c r="D311" s="46"/>
      <x:c r="E311" s="46"/>
      <x:c r="F311" s="46"/>
      <x:c r="G311" s="46"/>
      <x:c r="H311" s="46"/>
      <x:c r="I311" s="46"/>
      <x:c r="J311" s="46"/>
      <x:c r="K311" s="46"/>
      <x:c r="L311" s="46"/>
      <x:c r="M311" s="46"/>
      <x:c r="N311" s="46"/>
      <x:c r="O311" s="46"/>
      <x:c r="P311" s="46"/>
      <x:c r="Q311" s="46"/>
      <x:c r="R311" s="46"/>
    </x:row>
    <x:row r="312">
      <x:c r="A312" s="46"/>
      <x:c r="B312" s="46"/>
      <x:c r="C312" s="46"/>
      <x:c r="D312" s="46"/>
      <x:c r="E312" s="46"/>
      <x:c r="F312" s="46"/>
      <x:c r="G312" s="46"/>
      <x:c r="H312" s="46"/>
      <x:c r="I312" s="46"/>
      <x:c r="J312" s="46"/>
      <x:c r="K312" s="46"/>
      <x:c r="L312" s="46"/>
      <x:c r="M312" s="46"/>
      <x:c r="N312" s="46"/>
      <x:c r="O312" s="46"/>
      <x:c r="P312" s="46"/>
      <x:c r="Q312" s="46"/>
      <x:c r="R312" s="46"/>
    </x:row>
    <x:row r="313">
      <x:c r="A313" s="46"/>
      <x:c r="B313" s="46"/>
      <x:c r="C313" s="46"/>
      <x:c r="D313" s="46"/>
      <x:c r="E313" s="46"/>
      <x:c r="F313" s="46"/>
      <x:c r="G313" s="46"/>
      <x:c r="H313" s="46"/>
      <x:c r="I313" s="46"/>
      <x:c r="J313" s="46"/>
      <x:c r="K313" s="46"/>
      <x:c r="L313" s="46"/>
      <x:c r="M313" s="46"/>
      <x:c r="N313" s="46"/>
      <x:c r="O313" s="46"/>
      <x:c r="P313" s="46"/>
      <x:c r="Q313" s="46"/>
      <x:c r="R313" s="46"/>
    </x:row>
    <x:row r="314">
      <x:c r="A314" s="46"/>
      <x:c r="B314" s="46"/>
      <x:c r="C314" s="46"/>
      <x:c r="D314" s="46"/>
      <x:c r="E314" s="46"/>
      <x:c r="F314" s="46"/>
      <x:c r="G314" s="46"/>
      <x:c r="H314" s="46"/>
      <x:c r="I314" s="46"/>
      <x:c r="J314" s="46"/>
      <x:c r="K314" s="46"/>
      <x:c r="L314" s="46"/>
      <x:c r="M314" s="46"/>
      <x:c r="N314" s="46"/>
      <x:c r="O314" s="46"/>
      <x:c r="P314" s="46"/>
      <x:c r="Q314" s="46"/>
      <x:c r="R314" s="46"/>
    </x:row>
    <x:row r="315">
      <x:c r="A315" s="46"/>
      <x:c r="B315" s="46"/>
      <x:c r="C315" s="46"/>
      <x:c r="D315" s="46"/>
      <x:c r="E315" s="46"/>
      <x:c r="F315" s="46"/>
      <x:c r="G315" s="46"/>
      <x:c r="H315" s="46"/>
      <x:c r="I315" s="46"/>
      <x:c r="J315" s="46"/>
      <x:c r="K315" s="46"/>
      <x:c r="L315" s="46"/>
      <x:c r="M315" s="46"/>
      <x:c r="N315" s="46"/>
      <x:c r="O315" s="46"/>
      <x:c r="P315" s="46"/>
      <x:c r="Q315" s="46"/>
      <x:c r="R315" s="46"/>
    </x:row>
    <x:row r="316">
      <x:c r="A316" s="46"/>
      <x:c r="B316" s="46"/>
      <x:c r="C316" s="46"/>
      <x:c r="D316" s="46"/>
      <x:c r="E316" s="46"/>
      <x:c r="F316" s="46"/>
      <x:c r="G316" s="46"/>
      <x:c r="H316" s="46"/>
      <x:c r="I316" s="46"/>
      <x:c r="J316" s="46"/>
      <x:c r="K316" s="46"/>
      <x:c r="L316" s="46"/>
      <x:c r="M316" s="46"/>
      <x:c r="N316" s="46"/>
      <x:c r="O316" s="46"/>
      <x:c r="P316" s="46"/>
      <x:c r="Q316" s="46"/>
      <x:c r="R316" s="46"/>
    </x:row>
    <x:row r="317">
      <x:c r="A317" s="46"/>
      <x:c r="B317" s="46"/>
      <x:c r="C317" s="46"/>
      <x:c r="D317" s="46"/>
      <x:c r="E317" s="46"/>
      <x:c r="F317" s="46"/>
      <x:c r="G317" s="46"/>
      <x:c r="H317" s="46"/>
      <x:c r="I317" s="46"/>
      <x:c r="J317" s="46"/>
      <x:c r="K317" s="46"/>
      <x:c r="L317" s="46"/>
      <x:c r="M317" s="46"/>
      <x:c r="N317" s="46"/>
      <x:c r="O317" s="46"/>
      <x:c r="P317" s="46"/>
      <x:c r="Q317" s="46"/>
      <x:c r="R317" s="46"/>
    </x:row>
    <x:row r="318">
      <x:c r="A318" s="46"/>
      <x:c r="B318" s="46"/>
      <x:c r="C318" s="46"/>
      <x:c r="D318" s="46"/>
      <x:c r="E318" s="46"/>
      <x:c r="F318" s="46"/>
      <x:c r="G318" s="46"/>
      <x:c r="H318" s="46"/>
      <x:c r="I318" s="46"/>
      <x:c r="J318" s="46"/>
      <x:c r="K318" s="46"/>
      <x:c r="L318" s="46"/>
      <x:c r="M318" s="46"/>
      <x:c r="N318" s="46"/>
      <x:c r="O318" s="46"/>
      <x:c r="P318" s="46"/>
      <x:c r="Q318" s="46"/>
      <x:c r="R318" s="46"/>
    </x:row>
    <x:row r="319">
      <x:c r="A319" s="46"/>
      <x:c r="B319" s="46"/>
      <x:c r="C319" s="46"/>
      <x:c r="D319" s="46"/>
      <x:c r="E319" s="46"/>
      <x:c r="F319" s="46"/>
      <x:c r="G319" s="46"/>
      <x:c r="H319" s="46"/>
      <x:c r="I319" s="46"/>
      <x:c r="J319" s="46"/>
      <x:c r="K319" s="46"/>
      <x:c r="L319" s="46"/>
      <x:c r="M319" s="46"/>
      <x:c r="N319" s="46"/>
      <x:c r="O319" s="46"/>
      <x:c r="P319" s="46"/>
      <x:c r="Q319" s="46"/>
      <x:c r="R319" s="46"/>
    </x:row>
    <x:row r="320">
      <x:c r="A320" s="46"/>
      <x:c r="B320" s="46"/>
      <x:c r="C320" s="46"/>
      <x:c r="D320" s="46"/>
      <x:c r="E320" s="46"/>
      <x:c r="F320" s="46"/>
      <x:c r="G320" s="46"/>
      <x:c r="H320" s="46"/>
      <x:c r="I320" s="46"/>
      <x:c r="J320" s="46"/>
      <x:c r="K320" s="46"/>
      <x:c r="L320" s="46"/>
      <x:c r="M320" s="46"/>
      <x:c r="N320" s="46"/>
      <x:c r="O320" s="46"/>
      <x:c r="P320" s="46"/>
      <x:c r="Q320" s="46"/>
      <x:c r="R320" s="46"/>
    </x:row>
    <x:row r="321">
      <x:c r="A321" s="46"/>
      <x:c r="B321" s="46"/>
      <x:c r="C321" s="46"/>
      <x:c r="D321" s="46"/>
      <x:c r="E321" s="46"/>
      <x:c r="F321" s="46"/>
      <x:c r="G321" s="46"/>
      <x:c r="H321" s="46"/>
      <x:c r="I321" s="46"/>
      <x:c r="J321" s="46"/>
      <x:c r="K321" s="46"/>
      <x:c r="L321" s="46"/>
      <x:c r="M321" s="46"/>
      <x:c r="N321" s="46"/>
      <x:c r="O321" s="46"/>
      <x:c r="P321" s="46"/>
      <x:c r="Q321" s="46"/>
      <x:c r="R321" s="46"/>
    </x:row>
    <x:row r="322">
      <x:c r="A322" s="46"/>
      <x:c r="B322" s="46"/>
      <x:c r="C322" s="46"/>
      <x:c r="D322" s="46"/>
      <x:c r="E322" s="46"/>
      <x:c r="F322" s="46"/>
      <x:c r="G322" s="46"/>
      <x:c r="H322" s="46"/>
      <x:c r="I322" s="46"/>
      <x:c r="J322" s="46"/>
      <x:c r="K322" s="46"/>
      <x:c r="L322" s="46"/>
      <x:c r="M322" s="46"/>
      <x:c r="N322" s="46"/>
      <x:c r="O322" s="46"/>
      <x:c r="P322" s="46"/>
      <x:c r="Q322" s="46"/>
      <x:c r="R322" s="46"/>
    </x:row>
    <x:row r="323">
      <x:c r="A323" s="46"/>
      <x:c r="B323" s="46"/>
      <x:c r="C323" s="46"/>
      <x:c r="D323" s="46"/>
      <x:c r="E323" s="46"/>
      <x:c r="F323" s="46"/>
      <x:c r="G323" s="46"/>
      <x:c r="H323" s="46"/>
      <x:c r="I323" s="46"/>
      <x:c r="J323" s="46"/>
      <x:c r="K323" s="46"/>
      <x:c r="L323" s="46"/>
      <x:c r="M323" s="46"/>
      <x:c r="N323" s="46"/>
      <x:c r="O323" s="46"/>
      <x:c r="P323" s="46"/>
      <x:c r="Q323" s="46"/>
      <x:c r="R323" s="46"/>
    </x:row>
    <x:row r="324">
      <x:c r="A324" s="46"/>
      <x:c r="B324" s="46"/>
      <x:c r="C324" s="46"/>
      <x:c r="D324" s="46"/>
      <x:c r="E324" s="46"/>
      <x:c r="F324" s="46"/>
      <x:c r="G324" s="46"/>
      <x:c r="H324" s="46"/>
      <x:c r="I324" s="46"/>
      <x:c r="J324" s="46"/>
      <x:c r="K324" s="46"/>
      <x:c r="L324" s="46"/>
      <x:c r="M324" s="46"/>
      <x:c r="N324" s="46"/>
      <x:c r="O324" s="46"/>
      <x:c r="P324" s="46"/>
      <x:c r="Q324" s="46"/>
      <x:c r="R324" s="46"/>
    </x:row>
    <x:row r="325">
      <x:c r="A325" s="46"/>
      <x:c r="B325" s="46"/>
      <x:c r="C325" s="46"/>
      <x:c r="D325" s="46"/>
      <x:c r="E325" s="46"/>
      <x:c r="F325" s="46"/>
      <x:c r="G325" s="46"/>
      <x:c r="H325" s="46"/>
      <x:c r="I325" s="46"/>
      <x:c r="J325" s="46"/>
      <x:c r="K325" s="46"/>
      <x:c r="L325" s="46"/>
      <x:c r="M325" s="46"/>
      <x:c r="N325" s="46"/>
      <x:c r="O325" s="46"/>
      <x:c r="P325" s="46"/>
      <x:c r="Q325" s="46"/>
      <x:c r="R325" s="46"/>
    </x:row>
    <x:row r="326">
      <x:c r="A326" s="46"/>
      <x:c r="B326" s="46"/>
      <x:c r="C326" s="46"/>
      <x:c r="D326" s="46"/>
      <x:c r="E326" s="46"/>
      <x:c r="F326" s="46"/>
      <x:c r="G326" s="46"/>
      <x:c r="H326" s="46"/>
      <x:c r="I326" s="46"/>
      <x:c r="J326" s="46"/>
      <x:c r="K326" s="46"/>
      <x:c r="L326" s="46"/>
      <x:c r="M326" s="46"/>
      <x:c r="N326" s="46"/>
      <x:c r="O326" s="46"/>
      <x:c r="P326" s="46"/>
      <x:c r="Q326" s="46"/>
      <x:c r="R326" s="46"/>
    </x:row>
    <x:row r="327">
      <x:c r="A327" s="46"/>
      <x:c r="B327" s="46"/>
      <x:c r="C327" s="46"/>
      <x:c r="D327" s="46"/>
      <x:c r="E327" s="46"/>
      <x:c r="F327" s="46"/>
      <x:c r="G327" s="46"/>
      <x:c r="H327" s="46"/>
      <x:c r="I327" s="46"/>
      <x:c r="J327" s="46"/>
      <x:c r="K327" s="46"/>
      <x:c r="L327" s="46"/>
      <x:c r="M327" s="46"/>
      <x:c r="N327" s="46"/>
      <x:c r="O327" s="46"/>
      <x:c r="P327" s="46"/>
      <x:c r="Q327" s="46"/>
      <x:c r="R327" s="46"/>
    </x:row>
    <x:row r="328">
      <x:c r="A328" s="46"/>
      <x:c r="B328" s="46"/>
      <x:c r="C328" s="46"/>
      <x:c r="D328" s="46"/>
      <x:c r="E328" s="46"/>
      <x:c r="F328" s="46"/>
      <x:c r="G328" s="46"/>
      <x:c r="H328" s="46"/>
      <x:c r="I328" s="46"/>
      <x:c r="J328" s="46"/>
      <x:c r="K328" s="46"/>
      <x:c r="L328" s="46"/>
      <x:c r="M328" s="46"/>
      <x:c r="N328" s="46"/>
      <x:c r="O328" s="46"/>
      <x:c r="P328" s="46"/>
      <x:c r="Q328" s="46"/>
      <x:c r="R328" s="46"/>
    </x:row>
    <x:row r="329">
      <x:c r="A329" s="46"/>
      <x:c r="B329" s="46"/>
      <x:c r="C329" s="46"/>
      <x:c r="D329" s="46"/>
      <x:c r="E329" s="46"/>
      <x:c r="F329" s="46"/>
      <x:c r="G329" s="46"/>
      <x:c r="H329" s="46"/>
      <x:c r="I329" s="46"/>
      <x:c r="J329" s="46"/>
      <x:c r="K329" s="46"/>
      <x:c r="L329" s="46"/>
      <x:c r="M329" s="46"/>
      <x:c r="N329" s="46"/>
      <x:c r="O329" s="46"/>
      <x:c r="P329" s="46"/>
      <x:c r="Q329" s="46"/>
      <x:c r="R329" s="46"/>
    </x:row>
    <x:row r="330">
      <x:c r="A330" s="46"/>
      <x:c r="B330" s="46"/>
      <x:c r="C330" s="46"/>
      <x:c r="D330" s="46"/>
      <x:c r="E330" s="46"/>
      <x:c r="F330" s="46"/>
      <x:c r="G330" s="46"/>
      <x:c r="H330" s="46"/>
      <x:c r="I330" s="46"/>
      <x:c r="J330" s="46"/>
      <x:c r="K330" s="46"/>
      <x:c r="L330" s="46"/>
      <x:c r="M330" s="46"/>
      <x:c r="N330" s="46"/>
      <x:c r="O330" s="46"/>
      <x:c r="P330" s="46"/>
      <x:c r="Q330" s="46"/>
      <x:c r="R330" s="46"/>
    </x:row>
    <x:row r="331">
      <x:c r="A331" s="46"/>
      <x:c r="B331" s="46"/>
      <x:c r="C331" s="46"/>
      <x:c r="D331" s="46"/>
      <x:c r="E331" s="46"/>
      <x:c r="F331" s="46"/>
      <x:c r="G331" s="46"/>
      <x:c r="H331" s="46"/>
      <x:c r="I331" s="46"/>
      <x:c r="J331" s="46"/>
      <x:c r="K331" s="46"/>
      <x:c r="L331" s="46"/>
      <x:c r="M331" s="46"/>
      <x:c r="N331" s="46"/>
      <x:c r="O331" s="46"/>
      <x:c r="P331" s="46"/>
      <x:c r="Q331" s="46"/>
      <x:c r="R331" s="46"/>
    </x:row>
    <x:row r="332">
      <x:c r="A332" s="46"/>
      <x:c r="B332" s="46"/>
      <x:c r="C332" s="46"/>
      <x:c r="D332" s="46"/>
      <x:c r="E332" s="46"/>
      <x:c r="F332" s="46"/>
      <x:c r="G332" s="46"/>
      <x:c r="H332" s="46"/>
      <x:c r="I332" s="46"/>
      <x:c r="J332" s="46"/>
      <x:c r="K332" s="46"/>
      <x:c r="L332" s="46"/>
      <x:c r="M332" s="46"/>
      <x:c r="N332" s="46"/>
      <x:c r="O332" s="46"/>
      <x:c r="P332" s="46"/>
      <x:c r="Q332" s="46"/>
      <x:c r="R332" s="46"/>
    </x:row>
    <x:row r="333">
      <x:c r="A333" s="46"/>
      <x:c r="B333" s="46"/>
      <x:c r="C333" s="46"/>
      <x:c r="D333" s="46"/>
      <x:c r="E333" s="46"/>
      <x:c r="F333" s="46"/>
      <x:c r="G333" s="46"/>
      <x:c r="H333" s="46"/>
      <x:c r="I333" s="46"/>
      <x:c r="J333" s="46"/>
      <x:c r="K333" s="46"/>
      <x:c r="L333" s="46"/>
      <x:c r="M333" s="46"/>
      <x:c r="N333" s="46"/>
      <x:c r="O333" s="46"/>
      <x:c r="P333" s="46"/>
      <x:c r="Q333" s="46"/>
      <x:c r="R333" s="46"/>
    </x:row>
    <x:row r="334">
      <x:c r="A334" s="46"/>
      <x:c r="B334" s="46"/>
      <x:c r="C334" s="46"/>
      <x:c r="D334" s="46"/>
      <x:c r="E334" s="46"/>
      <x:c r="F334" s="46"/>
      <x:c r="G334" s="46"/>
      <x:c r="H334" s="46"/>
      <x:c r="I334" s="46"/>
      <x:c r="J334" s="46"/>
      <x:c r="K334" s="46"/>
      <x:c r="L334" s="46"/>
      <x:c r="M334" s="46"/>
      <x:c r="N334" s="46"/>
      <x:c r="O334" s="46"/>
      <x:c r="P334" s="46"/>
      <x:c r="Q334" s="46"/>
      <x:c r="R334" s="46"/>
    </x:row>
    <x:row r="335">
      <x:c r="A335" s="46"/>
      <x:c r="B335" s="46"/>
      <x:c r="C335" s="46"/>
      <x:c r="D335" s="46"/>
      <x:c r="E335" s="46"/>
      <x:c r="F335" s="46"/>
      <x:c r="G335" s="46"/>
      <x:c r="H335" s="46"/>
      <x:c r="I335" s="46"/>
      <x:c r="J335" s="46"/>
      <x:c r="K335" s="46"/>
      <x:c r="L335" s="46"/>
      <x:c r="M335" s="46"/>
      <x:c r="N335" s="46"/>
      <x:c r="O335" s="46"/>
      <x:c r="P335" s="46"/>
      <x:c r="Q335" s="46"/>
      <x:c r="R335" s="46"/>
    </x:row>
    <x:row r="336">
      <x:c r="A336" s="46"/>
      <x:c r="B336" s="46"/>
      <x:c r="C336" s="46"/>
      <x:c r="D336" s="46"/>
      <x:c r="E336" s="46"/>
      <x:c r="F336" s="46"/>
      <x:c r="G336" s="46"/>
      <x:c r="H336" s="46"/>
      <x:c r="I336" s="46"/>
      <x:c r="J336" s="46"/>
      <x:c r="K336" s="46"/>
      <x:c r="L336" s="46"/>
      <x:c r="M336" s="46"/>
      <x:c r="N336" s="46"/>
      <x:c r="O336" s="46"/>
      <x:c r="P336" s="46"/>
      <x:c r="Q336" s="46"/>
      <x:c r="R336" s="46"/>
    </x:row>
    <x:row r="337">
      <x:c r="A337" s="46"/>
      <x:c r="B337" s="46"/>
      <x:c r="C337" s="46"/>
      <x:c r="D337" s="46"/>
      <x:c r="E337" s="46"/>
      <x:c r="F337" s="46"/>
      <x:c r="G337" s="46"/>
      <x:c r="H337" s="46"/>
      <x:c r="I337" s="46"/>
      <x:c r="J337" s="46"/>
      <x:c r="K337" s="46"/>
      <x:c r="L337" s="46"/>
      <x:c r="M337" s="46"/>
      <x:c r="N337" s="46"/>
      <x:c r="O337" s="46"/>
      <x:c r="P337" s="46"/>
      <x:c r="Q337" s="46"/>
      <x:c r="R337" s="46"/>
    </x:row>
    <x:row r="338">
      <x:c r="A338" s="46"/>
      <x:c r="B338" s="46"/>
      <x:c r="C338" s="46"/>
      <x:c r="D338" s="46"/>
      <x:c r="E338" s="46"/>
      <x:c r="F338" s="46"/>
      <x:c r="G338" s="46"/>
      <x:c r="H338" s="46"/>
      <x:c r="I338" s="46"/>
      <x:c r="J338" s="46"/>
      <x:c r="K338" s="46"/>
      <x:c r="L338" s="46"/>
      <x:c r="M338" s="46"/>
      <x:c r="N338" s="46"/>
      <x:c r="O338" s="46"/>
      <x:c r="P338" s="46"/>
      <x:c r="Q338" s="46"/>
      <x:c r="R338" s="46"/>
    </x:row>
    <x:row r="339">
      <x:c r="A339" s="46"/>
      <x:c r="B339" s="46"/>
      <x:c r="C339" s="46"/>
      <x:c r="D339" s="46"/>
      <x:c r="E339" s="46"/>
      <x:c r="F339" s="46"/>
      <x:c r="G339" s="46"/>
      <x:c r="H339" s="46"/>
      <x:c r="I339" s="46"/>
      <x:c r="J339" s="46"/>
      <x:c r="K339" s="46"/>
      <x:c r="L339" s="46"/>
      <x:c r="M339" s="46"/>
      <x:c r="N339" s="46"/>
      <x:c r="O339" s="46"/>
      <x:c r="P339" s="46"/>
      <x:c r="Q339" s="46"/>
      <x:c r="R339" s="46"/>
    </x:row>
    <x:row r="340">
      <x:c r="A340" s="46"/>
      <x:c r="B340" s="46"/>
      <x:c r="C340" s="46"/>
      <x:c r="D340" s="46"/>
      <x:c r="E340" s="46"/>
      <x:c r="F340" s="46"/>
      <x:c r="G340" s="46"/>
      <x:c r="H340" s="46"/>
      <x:c r="I340" s="46"/>
      <x:c r="J340" s="46"/>
      <x:c r="K340" s="46"/>
      <x:c r="L340" s="46"/>
      <x:c r="M340" s="46"/>
      <x:c r="N340" s="46"/>
      <x:c r="O340" s="46"/>
      <x:c r="P340" s="46"/>
      <x:c r="Q340" s="46"/>
      <x:c r="R340" s="46"/>
    </x:row>
    <x:row r="341">
      <x:c r="A341" s="46"/>
      <x:c r="B341" s="46"/>
      <x:c r="C341" s="46"/>
      <x:c r="D341" s="46"/>
      <x:c r="E341" s="46"/>
      <x:c r="F341" s="46"/>
      <x:c r="G341" s="46"/>
      <x:c r="H341" s="46"/>
      <x:c r="I341" s="46"/>
      <x:c r="J341" s="46"/>
      <x:c r="K341" s="46"/>
      <x:c r="L341" s="46"/>
      <x:c r="M341" s="46"/>
      <x:c r="N341" s="46"/>
      <x:c r="O341" s="46"/>
      <x:c r="P341" s="46"/>
      <x:c r="Q341" s="46"/>
      <x:c r="R341" s="46"/>
    </x:row>
    <x:row r="342">
      <x:c r="A342" s="46"/>
      <x:c r="B342" s="46"/>
      <x:c r="C342" s="46"/>
      <x:c r="D342" s="46"/>
      <x:c r="E342" s="46"/>
      <x:c r="F342" s="46"/>
      <x:c r="G342" s="46"/>
      <x:c r="H342" s="46"/>
      <x:c r="I342" s="46"/>
      <x:c r="J342" s="46"/>
      <x:c r="K342" s="46"/>
      <x:c r="L342" s="46"/>
      <x:c r="M342" s="46"/>
      <x:c r="N342" s="46"/>
      <x:c r="O342" s="46"/>
      <x:c r="P342" s="46"/>
      <x:c r="Q342" s="46"/>
      <x:c r="R342" s="46"/>
    </x:row>
    <x:row r="343">
      <x:c r="A343" s="46"/>
      <x:c r="B343" s="46"/>
      <x:c r="C343" s="46"/>
      <x:c r="D343" s="46"/>
      <x:c r="E343" s="46"/>
      <x:c r="F343" s="46"/>
      <x:c r="G343" s="46"/>
      <x:c r="H343" s="46"/>
      <x:c r="I343" s="46"/>
      <x:c r="J343" s="46"/>
      <x:c r="K343" s="46"/>
      <x:c r="L343" s="46"/>
      <x:c r="M343" s="46"/>
      <x:c r="N343" s="46"/>
      <x:c r="O343" s="46"/>
      <x:c r="P343" s="46"/>
      <x:c r="Q343" s="46"/>
      <x:c r="R343" s="46"/>
    </x:row>
    <x:row r="344">
      <x:c r="A344" s="46"/>
      <x:c r="B344" s="46"/>
      <x:c r="C344" s="46"/>
      <x:c r="D344" s="46"/>
      <x:c r="E344" s="46"/>
      <x:c r="F344" s="46"/>
      <x:c r="G344" s="46"/>
      <x:c r="H344" s="46"/>
      <x:c r="I344" s="46"/>
      <x:c r="J344" s="46"/>
      <x:c r="K344" s="46"/>
      <x:c r="L344" s="46"/>
      <x:c r="M344" s="46"/>
      <x:c r="N344" s="46"/>
      <x:c r="O344" s="46"/>
      <x:c r="P344" s="46"/>
      <x:c r="Q344" s="46"/>
      <x:c r="R344" s="46"/>
    </x:row>
    <x:row r="345">
      <x:c r="A345" s="46"/>
      <x:c r="B345" s="46"/>
      <x:c r="C345" s="46"/>
      <x:c r="D345" s="46"/>
      <x:c r="E345" s="46"/>
      <x:c r="F345" s="46"/>
      <x:c r="G345" s="46"/>
      <x:c r="H345" s="46"/>
      <x:c r="I345" s="46"/>
      <x:c r="J345" s="46"/>
      <x:c r="K345" s="46"/>
      <x:c r="L345" s="46"/>
      <x:c r="M345" s="46"/>
      <x:c r="N345" s="46"/>
      <x:c r="O345" s="46"/>
      <x:c r="P345" s="46"/>
      <x:c r="Q345" s="46"/>
      <x:c r="R345" s="46"/>
    </x:row>
    <x:row r="346">
      <x:c r="A346" s="46"/>
      <x:c r="B346" s="46"/>
      <x:c r="C346" s="46"/>
      <x:c r="D346" s="46"/>
      <x:c r="E346" s="46"/>
      <x:c r="F346" s="46"/>
      <x:c r="G346" s="46"/>
      <x:c r="H346" s="46"/>
      <x:c r="I346" s="46"/>
      <x:c r="J346" s="46"/>
      <x:c r="K346" s="46"/>
      <x:c r="L346" s="46"/>
      <x:c r="M346" s="46"/>
      <x:c r="N346" s="46"/>
      <x:c r="O346" s="46"/>
      <x:c r="P346" s="46"/>
      <x:c r="Q346" s="46"/>
      <x:c r="R346" s="46"/>
    </x:row>
    <x:row r="347">
      <x:c r="A347" s="46"/>
      <x:c r="B347" s="46"/>
      <x:c r="C347" s="46"/>
      <x:c r="D347" s="46"/>
      <x:c r="E347" s="46"/>
      <x:c r="F347" s="46"/>
      <x:c r="G347" s="46"/>
      <x:c r="H347" s="46"/>
      <x:c r="I347" s="46"/>
      <x:c r="J347" s="46"/>
      <x:c r="K347" s="46"/>
      <x:c r="L347" s="46"/>
      <x:c r="M347" s="46"/>
      <x:c r="N347" s="46"/>
      <x:c r="O347" s="46"/>
      <x:c r="P347" s="46"/>
      <x:c r="Q347" s="46"/>
      <x:c r="R347" s="46"/>
    </x:row>
    <x:row r="348">
      <x:c r="A348" s="46"/>
      <x:c r="B348" s="46"/>
      <x:c r="C348" s="46"/>
      <x:c r="D348" s="46"/>
      <x:c r="E348" s="46"/>
      <x:c r="F348" s="46"/>
      <x:c r="G348" s="46"/>
      <x:c r="H348" s="46"/>
      <x:c r="I348" s="46"/>
      <x:c r="J348" s="46"/>
      <x:c r="K348" s="46"/>
      <x:c r="L348" s="46"/>
      <x:c r="M348" s="46"/>
      <x:c r="N348" s="46"/>
      <x:c r="O348" s="46"/>
      <x:c r="P348" s="46"/>
      <x:c r="Q348" s="46"/>
      <x:c r="R348" s="46"/>
    </x:row>
    <x:row r="349">
      <x:c r="A349" s="46"/>
      <x:c r="B349" s="46"/>
      <x:c r="C349" s="46"/>
      <x:c r="D349" s="46"/>
      <x:c r="E349" s="46"/>
      <x:c r="F349" s="46"/>
      <x:c r="G349" s="46"/>
      <x:c r="H349" s="46"/>
      <x:c r="I349" s="46"/>
      <x:c r="J349" s="46"/>
      <x:c r="K349" s="46"/>
      <x:c r="L349" s="46"/>
      <x:c r="M349" s="46"/>
      <x:c r="N349" s="46"/>
      <x:c r="O349" s="46"/>
      <x:c r="P349" s="46"/>
      <x:c r="Q349" s="46"/>
      <x:c r="R349" s="46"/>
    </x:row>
    <x:row r="350">
      <x:c r="A350" s="46"/>
      <x:c r="B350" s="46"/>
      <x:c r="C350" s="46"/>
      <x:c r="D350" s="46"/>
      <x:c r="E350" s="46"/>
      <x:c r="F350" s="46"/>
      <x:c r="G350" s="46"/>
      <x:c r="H350" s="46"/>
      <x:c r="I350" s="46"/>
      <x:c r="J350" s="46"/>
      <x:c r="K350" s="46"/>
      <x:c r="L350" s="46"/>
      <x:c r="M350" s="46"/>
      <x:c r="N350" s="46"/>
      <x:c r="O350" s="46"/>
      <x:c r="P350" s="46"/>
      <x:c r="Q350" s="46"/>
      <x:c r="R350" s="46"/>
    </x:row>
    <x:row r="351">
      <x:c r="A351" s="46"/>
      <x:c r="B351" s="46"/>
      <x:c r="C351" s="46"/>
      <x:c r="D351" s="46"/>
      <x:c r="E351" s="46"/>
      <x:c r="F351" s="46"/>
      <x:c r="G351" s="46"/>
      <x:c r="H351" s="46"/>
      <x:c r="I351" s="46"/>
      <x:c r="J351" s="46"/>
      <x:c r="K351" s="46"/>
      <x:c r="L351" s="46"/>
      <x:c r="M351" s="46"/>
      <x:c r="N351" s="46"/>
      <x:c r="O351" s="46"/>
      <x:c r="P351" s="46"/>
      <x:c r="Q351" s="46"/>
      <x:c r="R351" s="46"/>
    </x:row>
    <x:row r="352">
      <x:c r="A352" s="46"/>
      <x:c r="B352" s="46"/>
      <x:c r="C352" s="46"/>
      <x:c r="D352" s="46"/>
      <x:c r="E352" s="46"/>
      <x:c r="F352" s="46"/>
      <x:c r="G352" s="46"/>
      <x:c r="H352" s="46"/>
      <x:c r="I352" s="46"/>
      <x:c r="J352" s="46"/>
      <x:c r="K352" s="46"/>
      <x:c r="L352" s="46"/>
      <x:c r="M352" s="46"/>
      <x:c r="N352" s="46"/>
      <x:c r="O352" s="46"/>
      <x:c r="P352" s="46"/>
      <x:c r="Q352" s="46"/>
      <x:c r="R352" s="46"/>
    </x:row>
    <x:row r="353">
      <x:c r="A353" s="46"/>
      <x:c r="B353" s="46"/>
      <x:c r="C353" s="46"/>
      <x:c r="D353" s="46"/>
      <x:c r="E353" s="46"/>
      <x:c r="F353" s="46"/>
      <x:c r="G353" s="46"/>
      <x:c r="H353" s="46"/>
      <x:c r="I353" s="46"/>
      <x:c r="J353" s="46"/>
      <x:c r="K353" s="46"/>
      <x:c r="L353" s="46"/>
      <x:c r="M353" s="46"/>
      <x:c r="N353" s="46"/>
      <x:c r="O353" s="46"/>
      <x:c r="P353" s="46"/>
      <x:c r="Q353" s="46"/>
      <x:c r="R353" s="46"/>
    </x:row>
    <x:row r="354">
      <x:c r="A354" s="46"/>
      <x:c r="B354" s="46"/>
      <x:c r="C354" s="46"/>
      <x:c r="D354" s="46"/>
      <x:c r="E354" s="46"/>
      <x:c r="F354" s="46"/>
      <x:c r="G354" s="46"/>
      <x:c r="H354" s="46"/>
      <x:c r="I354" s="46"/>
      <x:c r="J354" s="46"/>
      <x:c r="K354" s="46"/>
      <x:c r="L354" s="46"/>
      <x:c r="M354" s="46"/>
      <x:c r="N354" s="46"/>
      <x:c r="O354" s="46"/>
      <x:c r="P354" s="46"/>
      <x:c r="Q354" s="46"/>
      <x:c r="R354" s="46"/>
    </x:row>
    <x:row r="355">
      <x:c r="A355" s="46"/>
      <x:c r="B355" s="46"/>
      <x:c r="C355" s="46"/>
      <x:c r="D355" s="46"/>
      <x:c r="E355" s="46"/>
      <x:c r="F355" s="46"/>
      <x:c r="G355" s="46"/>
      <x:c r="H355" s="46"/>
      <x:c r="I355" s="46"/>
      <x:c r="J355" s="46"/>
      <x:c r="K355" s="46"/>
      <x:c r="L355" s="46"/>
      <x:c r="M355" s="46"/>
      <x:c r="N355" s="46"/>
      <x:c r="O355" s="46"/>
      <x:c r="P355" s="46"/>
      <x:c r="Q355" s="46"/>
      <x:c r="R355" s="46"/>
    </x:row>
    <x:row r="356">
      <x:c r="A356" s="46"/>
      <x:c r="B356" s="46"/>
      <x:c r="C356" s="46"/>
      <x:c r="D356" s="46"/>
      <x:c r="E356" s="46"/>
      <x:c r="F356" s="46"/>
      <x:c r="G356" s="46"/>
      <x:c r="H356" s="46"/>
      <x:c r="I356" s="46"/>
      <x:c r="J356" s="46"/>
      <x:c r="K356" s="46"/>
      <x:c r="L356" s="46"/>
      <x:c r="M356" s="46"/>
      <x:c r="N356" s="46"/>
      <x:c r="O356" s="46"/>
      <x:c r="P356" s="46"/>
      <x:c r="Q356" s="46"/>
      <x:c r="R356" s="46"/>
    </x:row>
    <x:row r="357">
      <x:c r="A357" s="46"/>
      <x:c r="B357" s="46"/>
      <x:c r="C357" s="46"/>
      <x:c r="D357" s="46"/>
      <x:c r="E357" s="46"/>
      <x:c r="F357" s="46"/>
      <x:c r="G357" s="46"/>
      <x:c r="H357" s="46"/>
      <x:c r="I357" s="46"/>
      <x:c r="J357" s="46"/>
      <x:c r="K357" s="46"/>
      <x:c r="L357" s="46"/>
      <x:c r="M357" s="46"/>
      <x:c r="N357" s="46"/>
      <x:c r="O357" s="46"/>
      <x:c r="P357" s="46"/>
      <x:c r="Q357" s="46"/>
      <x:c r="R357" s="46"/>
    </x:row>
    <x:row r="358">
      <x:c r="A358" s="46"/>
      <x:c r="B358" s="46"/>
      <x:c r="C358" s="46"/>
      <x:c r="D358" s="46"/>
      <x:c r="E358" s="46"/>
      <x:c r="F358" s="46"/>
      <x:c r="G358" s="46"/>
      <x:c r="H358" s="46"/>
      <x:c r="I358" s="46"/>
      <x:c r="J358" s="46"/>
      <x:c r="K358" s="46"/>
      <x:c r="L358" s="46"/>
      <x:c r="M358" s="46"/>
      <x:c r="N358" s="46"/>
      <x:c r="O358" s="46"/>
      <x:c r="P358" s="46"/>
      <x:c r="Q358" s="46"/>
      <x:c r="R358" s="46"/>
    </x:row>
    <x:row r="359">
      <x:c r="A359" s="46"/>
      <x:c r="B359" s="46"/>
      <x:c r="C359" s="46"/>
      <x:c r="D359" s="46"/>
      <x:c r="E359" s="46"/>
      <x:c r="F359" s="46"/>
      <x:c r="G359" s="46"/>
      <x:c r="H359" s="46"/>
      <x:c r="I359" s="46"/>
      <x:c r="J359" s="46"/>
      <x:c r="K359" s="46"/>
      <x:c r="L359" s="46"/>
      <x:c r="M359" s="46"/>
      <x:c r="N359" s="46"/>
      <x:c r="O359" s="46"/>
      <x:c r="P359" s="46"/>
      <x:c r="Q359" s="46"/>
      <x:c r="R359" s="46"/>
    </x:row>
    <x:row r="360">
      <x:c r="A360" s="46"/>
      <x:c r="B360" s="46"/>
      <x:c r="C360" s="46"/>
      <x:c r="D360" s="46"/>
      <x:c r="E360" s="46"/>
      <x:c r="F360" s="46"/>
      <x:c r="G360" s="46"/>
      <x:c r="H360" s="46"/>
      <x:c r="I360" s="46"/>
      <x:c r="J360" s="46"/>
      <x:c r="K360" s="46"/>
      <x:c r="L360" s="46"/>
      <x:c r="M360" s="46"/>
      <x:c r="N360" s="46"/>
      <x:c r="O360" s="46"/>
      <x:c r="P360" s="46"/>
      <x:c r="Q360" s="46"/>
      <x:c r="R360" s="46"/>
    </x:row>
    <x:row r="361">
      <x:c r="A361" s="46"/>
      <x:c r="B361" s="46"/>
      <x:c r="C361" s="46"/>
      <x:c r="D361" s="46"/>
      <x:c r="E361" s="46"/>
      <x:c r="F361" s="46"/>
      <x:c r="G361" s="46"/>
      <x:c r="H361" s="46"/>
      <x:c r="I361" s="46"/>
      <x:c r="J361" s="46"/>
      <x:c r="K361" s="46"/>
      <x:c r="L361" s="46"/>
      <x:c r="M361" s="46"/>
      <x:c r="N361" s="46"/>
      <x:c r="O361" s="46"/>
      <x:c r="P361" s="46"/>
      <x:c r="Q361" s="46"/>
      <x:c r="R361" s="46"/>
    </x:row>
    <x:row r="362">
      <x:c r="A362" s="46"/>
      <x:c r="B362" s="46"/>
      <x:c r="C362" s="46"/>
      <x:c r="D362" s="46"/>
      <x:c r="E362" s="46"/>
      <x:c r="F362" s="46"/>
      <x:c r="G362" s="46"/>
      <x:c r="H362" s="46"/>
      <x:c r="I362" s="46"/>
      <x:c r="J362" s="46"/>
      <x:c r="K362" s="46"/>
      <x:c r="L362" s="46"/>
      <x:c r="M362" s="46"/>
      <x:c r="N362" s="46"/>
      <x:c r="O362" s="46"/>
      <x:c r="P362" s="46"/>
      <x:c r="Q362" s="46"/>
      <x:c r="R362" s="46"/>
    </x:row>
    <x:row r="363">
      <x:c r="A363" s="46"/>
      <x:c r="B363" s="46"/>
      <x:c r="C363" s="46"/>
      <x:c r="D363" s="46"/>
      <x:c r="E363" s="46"/>
      <x:c r="F363" s="46"/>
      <x:c r="G363" s="46"/>
      <x:c r="H363" s="46"/>
      <x:c r="I363" s="46"/>
      <x:c r="J363" s="46"/>
      <x:c r="K363" s="46"/>
      <x:c r="L363" s="46"/>
      <x:c r="M363" s="46"/>
      <x:c r="N363" s="46"/>
      <x:c r="O363" s="46"/>
      <x:c r="P363" s="46"/>
      <x:c r="Q363" s="46"/>
      <x:c r="R363" s="46"/>
    </x:row>
    <x:row r="364">
      <x:c r="A364" s="46"/>
      <x:c r="B364" s="46"/>
      <x:c r="C364" s="46"/>
      <x:c r="D364" s="46"/>
      <x:c r="E364" s="46"/>
      <x:c r="F364" s="46"/>
      <x:c r="G364" s="46"/>
      <x:c r="H364" s="46"/>
      <x:c r="I364" s="46"/>
      <x:c r="J364" s="46"/>
      <x:c r="K364" s="46"/>
      <x:c r="L364" s="46"/>
      <x:c r="M364" s="46"/>
      <x:c r="N364" s="46"/>
      <x:c r="O364" s="46"/>
      <x:c r="P364" s="46"/>
      <x:c r="Q364" s="46"/>
      <x:c r="R364" s="46"/>
    </x:row>
    <x:row r="365">
      <x:c r="A365" s="46"/>
      <x:c r="B365" s="46"/>
      <x:c r="C365" s="46"/>
      <x:c r="D365" s="46"/>
      <x:c r="E365" s="46"/>
      <x:c r="F365" s="46"/>
      <x:c r="G365" s="46"/>
      <x:c r="H365" s="46"/>
      <x:c r="I365" s="46"/>
      <x:c r="J365" s="46"/>
      <x:c r="K365" s="46"/>
      <x:c r="L365" s="46"/>
      <x:c r="M365" s="46"/>
      <x:c r="N365" s="46"/>
      <x:c r="O365" s="46"/>
      <x:c r="P365" s="46"/>
      <x:c r="Q365" s="46"/>
      <x:c r="R365" s="46"/>
    </x:row>
    <x:row r="366">
      <x:c r="A366" s="46"/>
      <x:c r="B366" s="46"/>
      <x:c r="C366" s="46"/>
      <x:c r="D366" s="46"/>
      <x:c r="E366" s="46"/>
      <x:c r="F366" s="46"/>
      <x:c r="G366" s="46"/>
      <x:c r="H366" s="46"/>
      <x:c r="I366" s="46"/>
      <x:c r="J366" s="46"/>
      <x:c r="K366" s="46"/>
      <x:c r="L366" s="46"/>
      <x:c r="M366" s="46"/>
      <x:c r="N366" s="46"/>
      <x:c r="O366" s="46"/>
      <x:c r="P366" s="46"/>
      <x:c r="Q366" s="46"/>
      <x:c r="R366" s="46"/>
    </x:row>
    <x:row r="367">
      <x:c r="A367" s="46"/>
      <x:c r="B367" s="46"/>
      <x:c r="C367" s="46"/>
      <x:c r="D367" s="46"/>
      <x:c r="E367" s="46"/>
      <x:c r="F367" s="46"/>
      <x:c r="G367" s="46"/>
      <x:c r="H367" s="46"/>
      <x:c r="I367" s="46"/>
      <x:c r="J367" s="46"/>
      <x:c r="K367" s="46"/>
      <x:c r="L367" s="46"/>
      <x:c r="M367" s="46"/>
      <x:c r="N367" s="46"/>
      <x:c r="O367" s="46"/>
      <x:c r="P367" s="46"/>
      <x:c r="Q367" s="46"/>
      <x:c r="R367" s="46"/>
    </x:row>
    <x:row r="368">
      <x:c r="A368" s="46"/>
      <x:c r="B368" s="46"/>
      <x:c r="C368" s="46"/>
      <x:c r="D368" s="46"/>
      <x:c r="E368" s="46"/>
      <x:c r="F368" s="46"/>
      <x:c r="G368" s="46"/>
      <x:c r="H368" s="46"/>
      <x:c r="I368" s="46"/>
      <x:c r="J368" s="46"/>
      <x:c r="K368" s="46"/>
      <x:c r="L368" s="46"/>
      <x:c r="M368" s="46"/>
      <x:c r="N368" s="46"/>
      <x:c r="O368" s="46"/>
      <x:c r="P368" s="46"/>
      <x:c r="Q368" s="46"/>
      <x:c r="R368" s="46"/>
    </x:row>
    <x:row r="369">
      <x:c r="A369" s="46"/>
      <x:c r="B369" s="46"/>
      <x:c r="C369" s="46"/>
      <x:c r="D369" s="46"/>
      <x:c r="E369" s="46"/>
      <x:c r="F369" s="46"/>
      <x:c r="G369" s="46"/>
      <x:c r="H369" s="46"/>
      <x:c r="I369" s="46"/>
      <x:c r="J369" s="46"/>
      <x:c r="K369" s="46"/>
      <x:c r="L369" s="46"/>
      <x:c r="M369" s="46"/>
      <x:c r="N369" s="46"/>
      <x:c r="O369" s="46"/>
      <x:c r="P369" s="46"/>
      <x:c r="Q369" s="46"/>
      <x:c r="R369" s="46"/>
    </x:row>
    <x:row r="370">
      <x:c r="A370" s="46"/>
      <x:c r="B370" s="46"/>
      <x:c r="C370" s="46"/>
      <x:c r="D370" s="46"/>
      <x:c r="E370" s="46"/>
      <x:c r="F370" s="46"/>
      <x:c r="G370" s="46"/>
      <x:c r="H370" s="46"/>
      <x:c r="I370" s="46"/>
      <x:c r="J370" s="46"/>
      <x:c r="K370" s="46"/>
      <x:c r="L370" s="46"/>
      <x:c r="M370" s="46"/>
      <x:c r="N370" s="46"/>
      <x:c r="O370" s="46"/>
      <x:c r="P370" s="46"/>
      <x:c r="Q370" s="46"/>
      <x:c r="R370" s="46"/>
    </x:row>
    <x:row r="371">
      <x:c r="A371" s="46"/>
      <x:c r="B371" s="46"/>
      <x:c r="C371" s="46"/>
      <x:c r="D371" s="46"/>
      <x:c r="E371" s="46"/>
      <x:c r="F371" s="46"/>
      <x:c r="G371" s="46"/>
      <x:c r="H371" s="46"/>
      <x:c r="I371" s="46"/>
      <x:c r="J371" s="46"/>
      <x:c r="K371" s="46"/>
      <x:c r="L371" s="46"/>
      <x:c r="M371" s="46"/>
      <x:c r="N371" s="46"/>
      <x:c r="O371" s="46"/>
      <x:c r="P371" s="46"/>
      <x:c r="Q371" s="46"/>
      <x:c r="R371" s="46"/>
    </x:row>
    <x:row r="372">
      <x:c r="A372" s="46"/>
      <x:c r="B372" s="46"/>
      <x:c r="C372" s="46"/>
      <x:c r="D372" s="46"/>
      <x:c r="E372" s="46"/>
      <x:c r="F372" s="46"/>
      <x:c r="G372" s="46"/>
      <x:c r="H372" s="46"/>
      <x:c r="I372" s="46"/>
      <x:c r="J372" s="46"/>
      <x:c r="K372" s="46"/>
      <x:c r="L372" s="46"/>
      <x:c r="M372" s="46"/>
      <x:c r="N372" s="46"/>
      <x:c r="O372" s="46"/>
      <x:c r="P372" s="46"/>
      <x:c r="Q372" s="46"/>
      <x:c r="R372" s="46"/>
    </x:row>
    <x:row r="373">
      <x:c r="A373" s="46"/>
      <x:c r="B373" s="46"/>
      <x:c r="C373" s="46"/>
      <x:c r="D373" s="46"/>
      <x:c r="E373" s="46"/>
      <x:c r="F373" s="46"/>
      <x:c r="G373" s="46"/>
      <x:c r="H373" s="46"/>
      <x:c r="I373" s="46"/>
      <x:c r="J373" s="46"/>
      <x:c r="K373" s="46"/>
      <x:c r="L373" s="46"/>
      <x:c r="M373" s="46"/>
      <x:c r="N373" s="46"/>
      <x:c r="O373" s="46"/>
      <x:c r="P373" s="46"/>
      <x:c r="Q373" s="46"/>
      <x:c r="R373" s="46"/>
    </x:row>
    <x:row r="374">
      <x:c r="A374" s="46"/>
      <x:c r="B374" s="46"/>
      <x:c r="C374" s="46"/>
      <x:c r="D374" s="46"/>
      <x:c r="E374" s="46"/>
      <x:c r="F374" s="46"/>
      <x:c r="G374" s="46"/>
      <x:c r="H374" s="46"/>
      <x:c r="I374" s="46"/>
      <x:c r="J374" s="46"/>
      <x:c r="K374" s="46"/>
      <x:c r="L374" s="46"/>
      <x:c r="M374" s="46"/>
      <x:c r="N374" s="46"/>
      <x:c r="O374" s="46"/>
      <x:c r="P374" s="46"/>
      <x:c r="Q374" s="46"/>
      <x:c r="R374" s="46"/>
    </x:row>
    <x:row r="375">
      <x:c r="A375" s="46"/>
      <x:c r="B375" s="46"/>
      <x:c r="C375" s="46"/>
      <x:c r="D375" s="46"/>
      <x:c r="E375" s="46"/>
      <x:c r="F375" s="46"/>
      <x:c r="G375" s="46"/>
      <x:c r="H375" s="46"/>
      <x:c r="I375" s="46"/>
      <x:c r="J375" s="46"/>
      <x:c r="K375" s="46"/>
      <x:c r="L375" s="46"/>
      <x:c r="M375" s="46"/>
      <x:c r="N375" s="46"/>
      <x:c r="O375" s="46"/>
      <x:c r="P375" s="46"/>
      <x:c r="Q375" s="46"/>
      <x:c r="R375" s="46"/>
    </x:row>
    <x:row r="376">
      <x:c r="A376" s="46"/>
      <x:c r="B376" s="46"/>
      <x:c r="C376" s="46"/>
      <x:c r="D376" s="46"/>
      <x:c r="E376" s="46"/>
      <x:c r="F376" s="46"/>
      <x:c r="G376" s="46"/>
      <x:c r="H376" s="46"/>
      <x:c r="I376" s="46"/>
      <x:c r="J376" s="46"/>
      <x:c r="K376" s="46"/>
      <x:c r="L376" s="46"/>
      <x:c r="M376" s="46"/>
      <x:c r="N376" s="46"/>
      <x:c r="O376" s="46"/>
      <x:c r="P376" s="46"/>
      <x:c r="Q376" s="46"/>
      <x:c r="R376" s="46"/>
    </x:row>
    <x:row r="377">
      <x:c r="A377" s="46"/>
      <x:c r="B377" s="46"/>
      <x:c r="C377" s="46"/>
      <x:c r="D377" s="46"/>
      <x:c r="E377" s="46"/>
      <x:c r="F377" s="46"/>
      <x:c r="G377" s="46"/>
      <x:c r="H377" s="46"/>
      <x:c r="I377" s="46"/>
      <x:c r="J377" s="46"/>
      <x:c r="K377" s="46"/>
      <x:c r="L377" s="46"/>
      <x:c r="M377" s="46"/>
      <x:c r="N377" s="46"/>
      <x:c r="O377" s="46"/>
      <x:c r="P377" s="46"/>
      <x:c r="Q377" s="46"/>
      <x:c r="R377" s="46"/>
    </x:row>
    <x:row r="378">
      <x:c r="A378" s="46"/>
      <x:c r="B378" s="46"/>
      <x:c r="C378" s="46"/>
      <x:c r="D378" s="46"/>
      <x:c r="E378" s="46"/>
      <x:c r="F378" s="46"/>
      <x:c r="G378" s="46"/>
      <x:c r="H378" s="46"/>
      <x:c r="I378" s="46"/>
      <x:c r="J378" s="46"/>
      <x:c r="K378" s="46"/>
      <x:c r="L378" s="46"/>
      <x:c r="M378" s="46"/>
      <x:c r="N378" s="46"/>
      <x:c r="O378" s="46"/>
      <x:c r="P378" s="46"/>
      <x:c r="Q378" s="46"/>
      <x:c r="R378" s="46"/>
    </x:row>
    <x:row r="379">
      <x:c r="A379" s="46"/>
      <x:c r="B379" s="46"/>
      <x:c r="C379" s="46"/>
      <x:c r="D379" s="46"/>
      <x:c r="E379" s="46"/>
      <x:c r="F379" s="46"/>
      <x:c r="G379" s="46"/>
      <x:c r="H379" s="46"/>
      <x:c r="I379" s="46"/>
      <x:c r="J379" s="46"/>
      <x:c r="K379" s="46"/>
      <x:c r="L379" s="46"/>
      <x:c r="M379" s="46"/>
      <x:c r="N379" s="46"/>
      <x:c r="O379" s="46"/>
      <x:c r="P379" s="46"/>
      <x:c r="Q379" s="46"/>
      <x:c r="R379" s="46"/>
    </x:row>
    <x:row r="380">
      <x:c r="A380" s="46"/>
      <x:c r="B380" s="46"/>
      <x:c r="C380" s="46"/>
      <x:c r="D380" s="46"/>
      <x:c r="E380" s="46"/>
      <x:c r="F380" s="46"/>
      <x:c r="G380" s="46"/>
      <x:c r="H380" s="46"/>
      <x:c r="I380" s="46"/>
      <x:c r="J380" s="46"/>
      <x:c r="K380" s="46"/>
      <x:c r="L380" s="46"/>
      <x:c r="M380" s="46"/>
      <x:c r="N380" s="46"/>
      <x:c r="O380" s="46"/>
      <x:c r="P380" s="46"/>
      <x:c r="Q380" s="46"/>
      <x:c r="R380" s="46"/>
    </x:row>
    <x:row r="381">
      <x:c r="A381" s="46"/>
      <x:c r="B381" s="46"/>
      <x:c r="C381" s="46"/>
      <x:c r="D381" s="46"/>
      <x:c r="E381" s="46"/>
      <x:c r="F381" s="46"/>
      <x:c r="G381" s="46"/>
      <x:c r="H381" s="46"/>
      <x:c r="I381" s="46"/>
      <x:c r="J381" s="46"/>
      <x:c r="K381" s="46"/>
      <x:c r="L381" s="46"/>
      <x:c r="M381" s="46"/>
      <x:c r="N381" s="46"/>
      <x:c r="O381" s="46"/>
      <x:c r="P381" s="46"/>
      <x:c r="Q381" s="46"/>
      <x:c r="R381" s="46"/>
    </x:row>
    <x:row r="382">
      <x:c r="A382" s="46"/>
      <x:c r="B382" s="46"/>
      <x:c r="C382" s="46"/>
      <x:c r="D382" s="46"/>
      <x:c r="E382" s="46"/>
      <x:c r="F382" s="46"/>
      <x:c r="G382" s="46"/>
      <x:c r="H382" s="46"/>
      <x:c r="I382" s="46"/>
      <x:c r="J382" s="46"/>
      <x:c r="K382" s="46"/>
      <x:c r="L382" s="46"/>
      <x:c r="M382" s="46"/>
      <x:c r="N382" s="46"/>
      <x:c r="O382" s="46"/>
      <x:c r="P382" s="46"/>
      <x:c r="Q382" s="46"/>
      <x:c r="R382" s="46"/>
    </x:row>
    <x:row r="383">
      <x:c r="A383" s="46"/>
      <x:c r="B383" s="46"/>
      <x:c r="C383" s="46"/>
      <x:c r="D383" s="46"/>
      <x:c r="E383" s="46"/>
      <x:c r="F383" s="46"/>
      <x:c r="G383" s="46"/>
      <x:c r="H383" s="46"/>
      <x:c r="I383" s="46"/>
      <x:c r="J383" s="46"/>
      <x:c r="K383" s="46"/>
      <x:c r="L383" s="46"/>
      <x:c r="M383" s="46"/>
      <x:c r="N383" s="46"/>
      <x:c r="O383" s="46"/>
      <x:c r="P383" s="46"/>
      <x:c r="Q383" s="46"/>
      <x:c r="R383" s="46"/>
    </x:row>
    <x:row r="384">
      <x:c r="A384" s="46"/>
      <x:c r="B384" s="46"/>
      <x:c r="C384" s="46"/>
      <x:c r="D384" s="46"/>
      <x:c r="E384" s="46"/>
      <x:c r="F384" s="46"/>
      <x:c r="G384" s="46"/>
      <x:c r="H384" s="46"/>
      <x:c r="I384" s="46"/>
      <x:c r="J384" s="46"/>
      <x:c r="K384" s="46"/>
      <x:c r="L384" s="46"/>
      <x:c r="M384" s="46"/>
      <x:c r="N384" s="46"/>
      <x:c r="O384" s="46"/>
      <x:c r="P384" s="46"/>
      <x:c r="Q384" s="46"/>
      <x:c r="R384" s="46"/>
    </x:row>
    <x:row r="385">
      <x:c r="A385" s="46"/>
      <x:c r="B385" s="46"/>
      <x:c r="C385" s="46"/>
      <x:c r="D385" s="46"/>
      <x:c r="E385" s="46"/>
      <x:c r="F385" s="46"/>
      <x:c r="G385" s="46"/>
      <x:c r="H385" s="46"/>
      <x:c r="I385" s="46"/>
      <x:c r="J385" s="46"/>
      <x:c r="K385" s="46"/>
      <x:c r="L385" s="46"/>
      <x:c r="M385" s="46"/>
      <x:c r="N385" s="46"/>
      <x:c r="O385" s="46"/>
      <x:c r="P385" s="46"/>
      <x:c r="Q385" s="46"/>
      <x:c r="R385" s="46"/>
    </x:row>
    <x:row r="386">
      <x:c r="A386" s="46"/>
      <x:c r="B386" s="46"/>
      <x:c r="C386" s="46"/>
      <x:c r="D386" s="46"/>
      <x:c r="E386" s="46"/>
      <x:c r="F386" s="46"/>
      <x:c r="G386" s="46"/>
      <x:c r="H386" s="46"/>
      <x:c r="I386" s="46"/>
      <x:c r="J386" s="46"/>
      <x:c r="K386" s="46"/>
      <x:c r="L386" s="46"/>
      <x:c r="M386" s="46"/>
      <x:c r="N386" s="46"/>
      <x:c r="O386" s="46"/>
      <x:c r="P386" s="46"/>
      <x:c r="Q386" s="46"/>
      <x:c r="R386" s="46"/>
    </x:row>
    <x:row r="387">
      <x:c r="A387" s="46"/>
      <x:c r="B387" s="46"/>
      <x:c r="C387" s="46"/>
      <x:c r="D387" s="46"/>
      <x:c r="E387" s="46"/>
      <x:c r="F387" s="46"/>
      <x:c r="G387" s="46"/>
      <x:c r="H387" s="46"/>
      <x:c r="I387" s="46"/>
      <x:c r="J387" s="46"/>
      <x:c r="K387" s="46"/>
      <x:c r="L387" s="46"/>
      <x:c r="M387" s="46"/>
      <x:c r="N387" s="46"/>
      <x:c r="O387" s="46"/>
      <x:c r="P387" s="46"/>
      <x:c r="Q387" s="46"/>
      <x:c r="R387" s="46"/>
    </x:row>
    <x:row r="388">
      <x:c r="A388" s="46"/>
      <x:c r="B388" s="46"/>
      <x:c r="C388" s="46"/>
      <x:c r="D388" s="46"/>
      <x:c r="E388" s="46"/>
      <x:c r="F388" s="46"/>
      <x:c r="G388" s="46"/>
      <x:c r="H388" s="46"/>
      <x:c r="I388" s="46"/>
      <x:c r="J388" s="46"/>
      <x:c r="K388" s="46"/>
      <x:c r="L388" s="46"/>
      <x:c r="M388" s="46"/>
      <x:c r="N388" s="46"/>
      <x:c r="O388" s="46"/>
      <x:c r="P388" s="46"/>
      <x:c r="Q388" s="46"/>
      <x:c r="R388" s="46"/>
    </x:row>
    <x:row r="389">
      <x:c r="A389" s="46"/>
      <x:c r="B389" s="46"/>
      <x:c r="C389" s="46"/>
      <x:c r="D389" s="46"/>
      <x:c r="E389" s="46"/>
      <x:c r="F389" s="46"/>
      <x:c r="G389" s="46"/>
      <x:c r="H389" s="46"/>
      <x:c r="I389" s="46"/>
      <x:c r="J389" s="46"/>
      <x:c r="K389" s="46"/>
      <x:c r="L389" s="46"/>
      <x:c r="M389" s="46"/>
      <x:c r="N389" s="46"/>
      <x:c r="O389" s="46"/>
      <x:c r="P389" s="46"/>
      <x:c r="Q389" s="46"/>
      <x:c r="R389" s="46"/>
    </x:row>
    <x:row r="390">
      <x:c r="A390" s="46"/>
      <x:c r="B390" s="46"/>
      <x:c r="C390" s="46"/>
      <x:c r="D390" s="46"/>
      <x:c r="E390" s="46"/>
      <x:c r="F390" s="46"/>
      <x:c r="G390" s="46"/>
      <x:c r="H390" s="46"/>
      <x:c r="I390" s="46"/>
      <x:c r="J390" s="46"/>
      <x:c r="K390" s="46"/>
      <x:c r="L390" s="46"/>
      <x:c r="M390" s="46"/>
      <x:c r="N390" s="46"/>
      <x:c r="O390" s="46"/>
      <x:c r="P390" s="46"/>
      <x:c r="Q390" s="46"/>
      <x:c r="R390" s="46"/>
    </x:row>
    <x:row r="391">
      <x:c r="A391" s="46"/>
      <x:c r="B391" s="46"/>
      <x:c r="C391" s="46"/>
      <x:c r="D391" s="46"/>
      <x:c r="E391" s="46"/>
      <x:c r="F391" s="46"/>
      <x:c r="G391" s="46"/>
      <x:c r="H391" s="46"/>
      <x:c r="I391" s="46"/>
      <x:c r="J391" s="46"/>
      <x:c r="K391" s="46"/>
      <x:c r="L391" s="46"/>
      <x:c r="M391" s="46"/>
      <x:c r="N391" s="46"/>
      <x:c r="O391" s="46"/>
      <x:c r="P391" s="46"/>
      <x:c r="Q391" s="46"/>
      <x:c r="R391" s="46"/>
    </x:row>
    <x:row r="392">
      <x:c r="A392" s="46"/>
      <x:c r="B392" s="46"/>
      <x:c r="C392" s="46"/>
      <x:c r="D392" s="46"/>
      <x:c r="E392" s="46"/>
      <x:c r="F392" s="46"/>
      <x:c r="G392" s="46"/>
      <x:c r="H392" s="46"/>
      <x:c r="I392" s="46"/>
      <x:c r="J392" s="46"/>
      <x:c r="K392" s="46"/>
      <x:c r="L392" s="46"/>
      <x:c r="M392" s="46"/>
      <x:c r="N392" s="46"/>
      <x:c r="O392" s="46"/>
      <x:c r="P392" s="46"/>
      <x:c r="Q392" s="46"/>
      <x:c r="R392" s="46"/>
    </x:row>
    <x:row r="393">
      <x:c r="A393" s="46"/>
      <x:c r="B393" s="46"/>
      <x:c r="C393" s="46"/>
      <x:c r="D393" s="46"/>
      <x:c r="E393" s="46"/>
      <x:c r="F393" s="46"/>
      <x:c r="G393" s="46"/>
      <x:c r="H393" s="46"/>
      <x:c r="I393" s="46"/>
      <x:c r="J393" s="46"/>
      <x:c r="K393" s="46"/>
      <x:c r="L393" s="46"/>
      <x:c r="M393" s="46"/>
      <x:c r="N393" s="46"/>
      <x:c r="O393" s="46"/>
      <x:c r="P393" s="46"/>
      <x:c r="Q393" s="46"/>
      <x:c r="R393" s="46"/>
    </x:row>
    <x:row r="394">
      <x:c r="A394" s="46"/>
      <x:c r="B394" s="46"/>
      <x:c r="C394" s="46"/>
      <x:c r="D394" s="46"/>
      <x:c r="E394" s="46"/>
      <x:c r="F394" s="46"/>
      <x:c r="G394" s="46"/>
      <x:c r="H394" s="46"/>
      <x:c r="I394" s="46"/>
      <x:c r="J394" s="46"/>
      <x:c r="K394" s="46"/>
      <x:c r="L394" s="46"/>
      <x:c r="M394" s="46"/>
      <x:c r="N394" s="46"/>
      <x:c r="O394" s="46"/>
      <x:c r="P394" s="46"/>
      <x:c r="Q394" s="46"/>
      <x:c r="R394" s="46"/>
    </x:row>
    <x:row r="395">
      <x:c r="A395" s="46"/>
      <x:c r="B395" s="46"/>
      <x:c r="C395" s="46"/>
      <x:c r="D395" s="46"/>
      <x:c r="E395" s="46"/>
      <x:c r="F395" s="46"/>
      <x:c r="G395" s="46"/>
      <x:c r="H395" s="46"/>
      <x:c r="I395" s="46"/>
      <x:c r="J395" s="46"/>
      <x:c r="K395" s="46"/>
      <x:c r="L395" s="46"/>
      <x:c r="M395" s="46"/>
      <x:c r="N395" s="46"/>
      <x:c r="O395" s="46"/>
      <x:c r="P395" s="46"/>
      <x:c r="Q395" s="46"/>
      <x:c r="R395" s="46"/>
    </x:row>
    <x:row r="396">
      <x:c r="A396" s="46"/>
      <x:c r="B396" s="46"/>
      <x:c r="C396" s="46"/>
      <x:c r="D396" s="46"/>
      <x:c r="E396" s="46"/>
      <x:c r="F396" s="46"/>
      <x:c r="G396" s="46"/>
      <x:c r="H396" s="46"/>
      <x:c r="I396" s="46"/>
      <x:c r="J396" s="46"/>
      <x:c r="K396" s="46"/>
      <x:c r="L396" s="46"/>
      <x:c r="M396" s="46"/>
      <x:c r="N396" s="46"/>
      <x:c r="O396" s="46"/>
      <x:c r="P396" s="46"/>
      <x:c r="Q396" s="46"/>
      <x:c r="R396" s="46"/>
    </x:row>
    <x:row r="397">
      <x:c r="A397" s="46"/>
      <x:c r="B397" s="46"/>
      <x:c r="C397" s="46"/>
      <x:c r="D397" s="46"/>
      <x:c r="E397" s="46"/>
      <x:c r="F397" s="46"/>
      <x:c r="G397" s="46"/>
      <x:c r="H397" s="46"/>
      <x:c r="I397" s="46"/>
      <x:c r="J397" s="46"/>
      <x:c r="K397" s="46"/>
      <x:c r="L397" s="46"/>
      <x:c r="M397" s="46"/>
      <x:c r="N397" s="46"/>
      <x:c r="O397" s="46"/>
      <x:c r="P397" s="46"/>
      <x:c r="Q397" s="46"/>
      <x:c r="R397" s="46"/>
    </x:row>
    <x:row r="398">
      <x:c r="A398" s="46"/>
      <x:c r="B398" s="46"/>
      <x:c r="C398" s="46"/>
      <x:c r="D398" s="46"/>
      <x:c r="E398" s="46"/>
      <x:c r="F398" s="46"/>
      <x:c r="G398" s="46"/>
      <x:c r="H398" s="46"/>
      <x:c r="I398" s="46"/>
      <x:c r="J398" s="46"/>
      <x:c r="K398" s="46"/>
      <x:c r="L398" s="46"/>
      <x:c r="M398" s="46"/>
      <x:c r="N398" s="46"/>
      <x:c r="O398" s="46"/>
      <x:c r="P398" s="46"/>
      <x:c r="Q398" s="46"/>
      <x:c r="R398" s="46"/>
    </x:row>
    <x:row r="399">
      <x:c r="A399" s="46"/>
      <x:c r="B399" s="46"/>
      <x:c r="C399" s="46"/>
      <x:c r="D399" s="46"/>
      <x:c r="E399" s="46"/>
      <x:c r="F399" s="46"/>
      <x:c r="G399" s="46"/>
      <x:c r="H399" s="46"/>
      <x:c r="I399" s="46"/>
      <x:c r="J399" s="46"/>
      <x:c r="K399" s="46"/>
      <x:c r="L399" s="46"/>
      <x:c r="M399" s="46"/>
      <x:c r="N399" s="46"/>
      <x:c r="O399" s="46"/>
      <x:c r="P399" s="46"/>
      <x:c r="Q399" s="46"/>
      <x:c r="R399" s="46"/>
    </x:row>
    <x:row r="400">
      <x:c r="A400" s="46"/>
      <x:c r="B400" s="46"/>
      <x:c r="C400" s="46"/>
      <x:c r="D400" s="46"/>
      <x:c r="E400" s="46"/>
      <x:c r="F400" s="46"/>
      <x:c r="G400" s="46"/>
      <x:c r="H400" s="46"/>
      <x:c r="I400" s="46"/>
      <x:c r="J400" s="46"/>
      <x:c r="K400" s="46"/>
      <x:c r="L400" s="46"/>
      <x:c r="M400" s="46"/>
      <x:c r="N400" s="46"/>
      <x:c r="O400" s="46"/>
      <x:c r="P400" s="46"/>
      <x:c r="Q400" s="46"/>
      <x:c r="R400" s="46"/>
    </x:row>
    <x:row r="401">
      <x:c r="A401" s="46"/>
      <x:c r="B401" s="46"/>
      <x:c r="C401" s="46"/>
      <x:c r="D401" s="46"/>
      <x:c r="E401" s="46"/>
      <x:c r="F401" s="46"/>
      <x:c r="G401" s="46"/>
      <x:c r="H401" s="46"/>
      <x:c r="I401" s="46"/>
      <x:c r="J401" s="46"/>
      <x:c r="K401" s="46"/>
      <x:c r="L401" s="46"/>
      <x:c r="M401" s="46"/>
      <x:c r="N401" s="46"/>
      <x:c r="O401" s="46"/>
      <x:c r="P401" s="46"/>
      <x:c r="Q401" s="46"/>
      <x:c r="R401" s="46"/>
    </x:row>
    <x:row r="402">
      <x:c r="A402" s="46"/>
      <x:c r="B402" s="46"/>
      <x:c r="C402" s="46"/>
      <x:c r="D402" s="46"/>
      <x:c r="E402" s="46"/>
      <x:c r="F402" s="46"/>
      <x:c r="G402" s="46"/>
      <x:c r="H402" s="46"/>
      <x:c r="I402" s="46"/>
      <x:c r="J402" s="46"/>
      <x:c r="K402" s="46"/>
      <x:c r="L402" s="46"/>
      <x:c r="M402" s="46"/>
      <x:c r="N402" s="46"/>
      <x:c r="O402" s="46"/>
      <x:c r="P402" s="46"/>
      <x:c r="Q402" s="46"/>
      <x:c r="R402" s="46"/>
    </x:row>
    <x:row r="403">
      <x:c r="A403" s="46"/>
      <x:c r="B403" s="46"/>
      <x:c r="C403" s="46"/>
      <x:c r="D403" s="46"/>
      <x:c r="E403" s="46"/>
      <x:c r="F403" s="46"/>
      <x:c r="G403" s="46"/>
      <x:c r="H403" s="46"/>
      <x:c r="I403" s="46"/>
      <x:c r="J403" s="46"/>
      <x:c r="K403" s="46"/>
      <x:c r="L403" s="46"/>
      <x:c r="M403" s="46"/>
      <x:c r="N403" s="46"/>
      <x:c r="O403" s="46"/>
      <x:c r="P403" s="46"/>
      <x:c r="Q403" s="46"/>
      <x:c r="R403" s="46"/>
    </x:row>
    <x:row r="404">
      <x:c r="A404" s="46"/>
      <x:c r="B404" s="46"/>
      <x:c r="C404" s="46"/>
      <x:c r="D404" s="46"/>
      <x:c r="E404" s="46"/>
      <x:c r="F404" s="46"/>
      <x:c r="G404" s="46"/>
      <x:c r="H404" s="46"/>
      <x:c r="I404" s="46"/>
      <x:c r="J404" s="46"/>
      <x:c r="K404" s="46"/>
      <x:c r="L404" s="46"/>
      <x:c r="M404" s="46"/>
      <x:c r="N404" s="46"/>
      <x:c r="O404" s="46"/>
      <x:c r="P404" s="46"/>
      <x:c r="Q404" s="46"/>
      <x:c r="R404" s="46"/>
    </x:row>
    <x:row r="405">
      <x:c r="A405" s="46"/>
      <x:c r="B405" s="46"/>
      <x:c r="C405" s="46"/>
      <x:c r="D405" s="46"/>
      <x:c r="E405" s="46"/>
      <x:c r="F405" s="46"/>
      <x:c r="G405" s="46"/>
      <x:c r="H405" s="46"/>
      <x:c r="I405" s="46"/>
      <x:c r="J405" s="46"/>
      <x:c r="K405" s="46"/>
      <x:c r="L405" s="46"/>
      <x:c r="M405" s="46"/>
      <x:c r="N405" s="46"/>
      <x:c r="O405" s="46"/>
      <x:c r="P405" s="46"/>
      <x:c r="Q405" s="46"/>
      <x:c r="R405" s="46"/>
    </x:row>
    <x:row r="406">
      <x:c r="A406" s="46"/>
      <x:c r="B406" s="46"/>
      <x:c r="C406" s="46"/>
      <x:c r="D406" s="46"/>
      <x:c r="E406" s="46"/>
      <x:c r="F406" s="46"/>
      <x:c r="G406" s="46"/>
      <x:c r="H406" s="46"/>
      <x:c r="I406" s="46"/>
      <x:c r="J406" s="46"/>
      <x:c r="K406" s="46"/>
      <x:c r="L406" s="46"/>
      <x:c r="M406" s="46"/>
      <x:c r="N406" s="46"/>
      <x:c r="O406" s="46"/>
      <x:c r="P406" s="46"/>
      <x:c r="Q406" s="46"/>
      <x:c r="R406" s="46"/>
    </x:row>
    <x:row r="407">
      <x:c r="A407" s="46"/>
      <x:c r="B407" s="46"/>
      <x:c r="C407" s="46"/>
      <x:c r="D407" s="46"/>
      <x:c r="E407" s="46"/>
      <x:c r="F407" s="46"/>
      <x:c r="G407" s="46"/>
      <x:c r="H407" s="46"/>
      <x:c r="I407" s="46"/>
      <x:c r="J407" s="46"/>
      <x:c r="K407" s="46"/>
      <x:c r="L407" s="46"/>
      <x:c r="M407" s="46"/>
      <x:c r="N407" s="46"/>
      <x:c r="O407" s="46"/>
      <x:c r="P407" s="46"/>
      <x:c r="Q407" s="46"/>
      <x:c r="R407" s="46"/>
    </x:row>
    <x:row r="408">
      <x:c r="A408" s="46"/>
      <x:c r="B408" s="46"/>
      <x:c r="C408" s="46"/>
      <x:c r="D408" s="46"/>
      <x:c r="E408" s="46"/>
      <x:c r="F408" s="46"/>
      <x:c r="G408" s="46"/>
      <x:c r="H408" s="46"/>
      <x:c r="I408" s="46"/>
      <x:c r="J408" s="46"/>
      <x:c r="K408" s="46"/>
      <x:c r="L408" s="46"/>
      <x:c r="M408" s="46"/>
      <x:c r="N408" s="46"/>
      <x:c r="O408" s="46"/>
      <x:c r="P408" s="46"/>
      <x:c r="Q408" s="46"/>
      <x:c r="R408" s="46"/>
    </x:row>
    <x:row r="409">
      <x:c r="A409" s="46"/>
      <x:c r="B409" s="46"/>
      <x:c r="C409" s="46"/>
      <x:c r="D409" s="46"/>
      <x:c r="E409" s="46"/>
      <x:c r="F409" s="46"/>
      <x:c r="G409" s="46"/>
      <x:c r="H409" s="46"/>
      <x:c r="I409" s="46"/>
      <x:c r="J409" s="46"/>
      <x:c r="K409" s="46"/>
      <x:c r="L409" s="46"/>
      <x:c r="M409" s="46"/>
      <x:c r="N409" s="46"/>
      <x:c r="O409" s="46"/>
      <x:c r="P409" s="46"/>
      <x:c r="Q409" s="46"/>
      <x:c r="R409" s="46"/>
    </x:row>
    <x:row r="410">
      <x:c r="A410" s="46"/>
      <x:c r="B410" s="46"/>
      <x:c r="C410" s="46"/>
      <x:c r="D410" s="46"/>
      <x:c r="E410" s="46"/>
      <x:c r="F410" s="46"/>
      <x:c r="G410" s="46"/>
      <x:c r="H410" s="46"/>
      <x:c r="I410" s="46"/>
      <x:c r="J410" s="46"/>
      <x:c r="K410" s="46"/>
      <x:c r="L410" s="46"/>
      <x:c r="M410" s="46"/>
      <x:c r="N410" s="46"/>
      <x:c r="O410" s="46"/>
      <x:c r="P410" s="46"/>
      <x:c r="Q410" s="46"/>
      <x:c r="R410" s="46"/>
    </x:row>
    <x:row r="411">
      <x:c r="A411" s="46"/>
      <x:c r="B411" s="46"/>
      <x:c r="C411" s="46"/>
      <x:c r="D411" s="46"/>
      <x:c r="E411" s="46"/>
      <x:c r="F411" s="46"/>
      <x:c r="G411" s="46"/>
      <x:c r="H411" s="46"/>
      <x:c r="I411" s="46"/>
      <x:c r="J411" s="46"/>
      <x:c r="K411" s="46"/>
      <x:c r="L411" s="46"/>
      <x:c r="M411" s="46"/>
      <x:c r="N411" s="46"/>
      <x:c r="O411" s="46"/>
      <x:c r="P411" s="46"/>
      <x:c r="Q411" s="46"/>
      <x:c r="R411" s="46"/>
    </x:row>
    <x:row r="412">
      <x:c r="A412" s="46"/>
      <x:c r="B412" s="46"/>
      <x:c r="C412" s="46"/>
      <x:c r="D412" s="46"/>
      <x:c r="E412" s="46"/>
      <x:c r="F412" s="46"/>
      <x:c r="G412" s="46"/>
      <x:c r="H412" s="46"/>
      <x:c r="I412" s="46"/>
      <x:c r="J412" s="46"/>
      <x:c r="K412" s="46"/>
      <x:c r="L412" s="46"/>
      <x:c r="M412" s="46"/>
      <x:c r="N412" s="46"/>
      <x:c r="O412" s="46"/>
      <x:c r="P412" s="46"/>
      <x:c r="Q412" s="46"/>
      <x:c r="R412" s="46"/>
    </x:row>
    <x:row r="413">
      <x:c r="A413" s="46"/>
      <x:c r="B413" s="46"/>
      <x:c r="C413" s="46"/>
      <x:c r="D413" s="46"/>
      <x:c r="E413" s="46"/>
      <x:c r="F413" s="46"/>
      <x:c r="G413" s="46"/>
      <x:c r="H413" s="46"/>
      <x:c r="I413" s="46"/>
      <x:c r="J413" s="46"/>
      <x:c r="K413" s="46"/>
      <x:c r="L413" s="46"/>
      <x:c r="M413" s="46"/>
      <x:c r="N413" s="46"/>
      <x:c r="O413" s="46"/>
      <x:c r="P413" s="46"/>
      <x:c r="Q413" s="46"/>
      <x:c r="R413" s="46"/>
    </x:row>
    <x:row r="414">
      <x:c r="A414" s="46"/>
      <x:c r="B414" s="46"/>
      <x:c r="C414" s="46"/>
      <x:c r="D414" s="46"/>
      <x:c r="E414" s="46"/>
      <x:c r="F414" s="46"/>
      <x:c r="G414" s="46"/>
      <x:c r="H414" s="46"/>
      <x:c r="I414" s="46"/>
      <x:c r="J414" s="46"/>
      <x:c r="K414" s="46"/>
      <x:c r="L414" s="46"/>
      <x:c r="M414" s="46"/>
      <x:c r="N414" s="46"/>
      <x:c r="O414" s="46"/>
      <x:c r="P414" s="46"/>
      <x:c r="Q414" s="46"/>
      <x:c r="R414" s="46"/>
    </x:row>
    <x:row r="415">
      <x:c r="A415" s="46"/>
      <x:c r="B415" s="46"/>
      <x:c r="C415" s="46"/>
      <x:c r="D415" s="46"/>
      <x:c r="E415" s="46"/>
      <x:c r="F415" s="46"/>
      <x:c r="G415" s="46"/>
      <x:c r="H415" s="46"/>
      <x:c r="I415" s="46"/>
      <x:c r="J415" s="46"/>
      <x:c r="K415" s="46"/>
      <x:c r="L415" s="46"/>
      <x:c r="M415" s="46"/>
      <x:c r="N415" s="46"/>
      <x:c r="O415" s="46"/>
      <x:c r="P415" s="46"/>
      <x:c r="Q415" s="46"/>
      <x:c r="R415" s="46"/>
    </x:row>
    <x:row r="416">
      <x:c r="A416" s="46"/>
      <x:c r="B416" s="46"/>
      <x:c r="C416" s="46"/>
      <x:c r="D416" s="46"/>
      <x:c r="E416" s="46"/>
      <x:c r="F416" s="46"/>
      <x:c r="G416" s="46"/>
      <x:c r="H416" s="46"/>
      <x:c r="I416" s="46"/>
      <x:c r="J416" s="46"/>
      <x:c r="K416" s="46"/>
      <x:c r="L416" s="46"/>
      <x:c r="M416" s="46"/>
      <x:c r="N416" s="46"/>
      <x:c r="O416" s="46"/>
      <x:c r="P416" s="46"/>
      <x:c r="Q416" s="46"/>
      <x:c r="R416" s="46"/>
    </x:row>
    <x:row r="417">
      <x:c r="A417" s="46"/>
      <x:c r="B417" s="46"/>
      <x:c r="C417" s="46"/>
      <x:c r="D417" s="46"/>
      <x:c r="E417" s="46"/>
      <x:c r="F417" s="46"/>
      <x:c r="G417" s="46"/>
      <x:c r="H417" s="46"/>
      <x:c r="I417" s="46"/>
      <x:c r="J417" s="46"/>
      <x:c r="K417" s="46"/>
      <x:c r="L417" s="46"/>
      <x:c r="M417" s="46"/>
      <x:c r="N417" s="46"/>
      <x:c r="O417" s="46"/>
      <x:c r="P417" s="46"/>
      <x:c r="Q417" s="46"/>
      <x:c r="R417" s="46"/>
    </x:row>
    <x:row r="418">
      <x:c r="A418" s="46"/>
      <x:c r="B418" s="46"/>
      <x:c r="C418" s="46"/>
      <x:c r="D418" s="46"/>
      <x:c r="E418" s="46"/>
      <x:c r="F418" s="46"/>
      <x:c r="G418" s="46"/>
      <x:c r="H418" s="46"/>
      <x:c r="I418" s="46"/>
      <x:c r="J418" s="46"/>
      <x:c r="K418" s="46"/>
      <x:c r="L418" s="46"/>
      <x:c r="M418" s="46"/>
      <x:c r="N418" s="46"/>
      <x:c r="O418" s="46"/>
      <x:c r="P418" s="46"/>
      <x:c r="Q418" s="46"/>
      <x:c r="R418" s="46"/>
    </x:row>
    <x:row r="419">
      <x:c r="A419" s="46"/>
      <x:c r="B419" s="46"/>
      <x:c r="C419" s="46"/>
      <x:c r="D419" s="46"/>
      <x:c r="E419" s="46"/>
      <x:c r="F419" s="46"/>
      <x:c r="G419" s="46"/>
      <x:c r="H419" s="46"/>
      <x:c r="I419" s="46"/>
      <x:c r="J419" s="46"/>
      <x:c r="K419" s="46"/>
      <x:c r="L419" s="46"/>
      <x:c r="M419" s="46"/>
      <x:c r="N419" s="46"/>
      <x:c r="O419" s="46"/>
      <x:c r="P419" s="46"/>
      <x:c r="Q419" s="46"/>
      <x:c r="R419" s="46"/>
    </x:row>
    <x:row r="420">
      <x:c r="A420" s="46"/>
      <x:c r="B420" s="46"/>
      <x:c r="C420" s="46"/>
      <x:c r="D420" s="46"/>
      <x:c r="E420" s="46"/>
      <x:c r="F420" s="46"/>
      <x:c r="G420" s="46"/>
      <x:c r="H420" s="46"/>
      <x:c r="I420" s="46"/>
      <x:c r="J420" s="46"/>
      <x:c r="K420" s="46"/>
      <x:c r="L420" s="46"/>
      <x:c r="M420" s="46"/>
      <x:c r="N420" s="46"/>
      <x:c r="O420" s="46"/>
      <x:c r="P420" s="46"/>
      <x:c r="Q420" s="46"/>
      <x:c r="R420" s="46"/>
    </x:row>
    <x:row r="421">
      <x:c r="A421" s="46"/>
      <x:c r="B421" s="46"/>
      <x:c r="C421" s="46"/>
      <x:c r="D421" s="46"/>
      <x:c r="E421" s="46"/>
      <x:c r="F421" s="46"/>
      <x:c r="G421" s="46"/>
      <x:c r="H421" s="46"/>
      <x:c r="I421" s="46"/>
      <x:c r="J421" s="46"/>
      <x:c r="K421" s="46"/>
      <x:c r="L421" s="46"/>
      <x:c r="M421" s="46"/>
      <x:c r="N421" s="46"/>
      <x:c r="O421" s="46"/>
      <x:c r="P421" s="46"/>
      <x:c r="Q421" s="46"/>
      <x:c r="R421" s="46"/>
    </x:row>
    <x:row r="422">
      <x:c r="A422" s="46"/>
      <x:c r="B422" s="46"/>
      <x:c r="C422" s="46"/>
      <x:c r="D422" s="46"/>
      <x:c r="E422" s="46"/>
      <x:c r="F422" s="46"/>
      <x:c r="G422" s="46"/>
      <x:c r="H422" s="46"/>
      <x:c r="I422" s="46"/>
      <x:c r="J422" s="46"/>
      <x:c r="K422" s="46"/>
      <x:c r="L422" s="46"/>
      <x:c r="M422" s="46"/>
      <x:c r="N422" s="46"/>
      <x:c r="O422" s="46"/>
      <x:c r="P422" s="46"/>
      <x:c r="Q422" s="46"/>
      <x:c r="R422" s="46"/>
    </x:row>
    <x:row r="423">
      <x:c r="A423" s="46"/>
      <x:c r="B423" s="46"/>
      <x:c r="C423" s="46"/>
      <x:c r="D423" s="46"/>
      <x:c r="E423" s="46"/>
      <x:c r="F423" s="46"/>
      <x:c r="G423" s="46"/>
      <x:c r="H423" s="46"/>
      <x:c r="I423" s="46"/>
      <x:c r="J423" s="46"/>
      <x:c r="K423" s="46"/>
      <x:c r="L423" s="46"/>
      <x:c r="M423" s="46"/>
      <x:c r="N423" s="46"/>
      <x:c r="O423" s="46"/>
      <x:c r="P423" s="46"/>
      <x:c r="Q423" s="46"/>
      <x:c r="R423" s="46"/>
    </x:row>
    <x:row r="424">
      <x:c r="A424" s="46"/>
      <x:c r="B424" s="46"/>
      <x:c r="C424" s="46"/>
      <x:c r="D424" s="46"/>
      <x:c r="E424" s="46"/>
      <x:c r="F424" s="46"/>
      <x:c r="G424" s="46"/>
      <x:c r="H424" s="46"/>
      <x:c r="I424" s="46"/>
      <x:c r="J424" s="46"/>
      <x:c r="K424" s="46"/>
      <x:c r="L424" s="46"/>
      <x:c r="M424" s="46"/>
      <x:c r="N424" s="46"/>
      <x:c r="O424" s="46"/>
      <x:c r="P424" s="46"/>
      <x:c r="Q424" s="46"/>
      <x:c r="R424" s="46"/>
    </x:row>
    <x:row r="425">
      <x:c r="A425" s="46"/>
      <x:c r="B425" s="46"/>
      <x:c r="C425" s="46"/>
      <x:c r="D425" s="46"/>
      <x:c r="E425" s="46"/>
      <x:c r="F425" s="46"/>
      <x:c r="G425" s="46"/>
      <x:c r="H425" s="46"/>
      <x:c r="I425" s="46"/>
      <x:c r="J425" s="46"/>
      <x:c r="K425" s="46"/>
      <x:c r="L425" s="46"/>
      <x:c r="M425" s="46"/>
      <x:c r="N425" s="46"/>
      <x:c r="O425" s="46"/>
      <x:c r="P425" s="46"/>
      <x:c r="Q425" s="46"/>
      <x:c r="R425" s="46"/>
    </x:row>
    <x:row r="426">
      <x:c r="A426" s="46"/>
      <x:c r="B426" s="46"/>
      <x:c r="C426" s="46"/>
      <x:c r="D426" s="46"/>
      <x:c r="E426" s="46"/>
      <x:c r="F426" s="46"/>
      <x:c r="G426" s="46"/>
      <x:c r="H426" s="46"/>
      <x:c r="I426" s="46"/>
      <x:c r="J426" s="46"/>
      <x:c r="K426" s="46"/>
      <x:c r="L426" s="46"/>
      <x:c r="M426" s="46"/>
      <x:c r="N426" s="46"/>
      <x:c r="O426" s="46"/>
      <x:c r="P426" s="46"/>
      <x:c r="Q426" s="46"/>
      <x:c r="R426" s="46"/>
    </x:row>
    <x:row r="427">
      <x:c r="A427" s="46"/>
      <x:c r="B427" s="46"/>
      <x:c r="C427" s="46"/>
      <x:c r="D427" s="46"/>
      <x:c r="E427" s="46"/>
      <x:c r="F427" s="46"/>
      <x:c r="G427" s="46"/>
      <x:c r="H427" s="46"/>
      <x:c r="I427" s="46"/>
      <x:c r="J427" s="46"/>
      <x:c r="K427" s="46"/>
      <x:c r="L427" s="46"/>
      <x:c r="M427" s="46"/>
      <x:c r="N427" s="46"/>
      <x:c r="O427" s="46"/>
      <x:c r="P427" s="46"/>
      <x:c r="Q427" s="46"/>
      <x:c r="R427" s="46"/>
    </x:row>
    <x:row r="428">
      <x:c r="A428" s="46"/>
      <x:c r="B428" s="46"/>
      <x:c r="C428" s="46"/>
      <x:c r="D428" s="46"/>
      <x:c r="E428" s="46"/>
      <x:c r="F428" s="46"/>
      <x:c r="G428" s="46"/>
      <x:c r="H428" s="46"/>
      <x:c r="I428" s="46"/>
      <x:c r="J428" s="46"/>
      <x:c r="K428" s="46"/>
      <x:c r="L428" s="46"/>
      <x:c r="M428" s="46"/>
      <x:c r="N428" s="46"/>
      <x:c r="O428" s="46"/>
      <x:c r="P428" s="46"/>
      <x:c r="Q428" s="46"/>
      <x:c r="R428" s="46"/>
    </x:row>
    <x:row r="429">
      <x:c r="A429" s="46"/>
      <x:c r="B429" s="46"/>
      <x:c r="C429" s="46"/>
      <x:c r="D429" s="46"/>
      <x:c r="E429" s="46"/>
      <x:c r="F429" s="46"/>
      <x:c r="G429" s="46"/>
      <x:c r="H429" s="46"/>
      <x:c r="I429" s="46"/>
      <x:c r="J429" s="46"/>
      <x:c r="K429" s="46"/>
      <x:c r="L429" s="46"/>
      <x:c r="M429" s="46"/>
      <x:c r="N429" s="46"/>
      <x:c r="O429" s="46"/>
      <x:c r="P429" s="46"/>
      <x:c r="Q429" s="46"/>
      <x:c r="R429" s="46"/>
    </x:row>
    <x:row r="430">
      <x:c r="A430" s="46"/>
      <x:c r="B430" s="46"/>
      <x:c r="C430" s="46"/>
      <x:c r="D430" s="46"/>
      <x:c r="E430" s="46"/>
      <x:c r="F430" s="46"/>
      <x:c r="G430" s="46"/>
      <x:c r="H430" s="46"/>
      <x:c r="I430" s="46"/>
      <x:c r="J430" s="46"/>
      <x:c r="K430" s="46"/>
      <x:c r="L430" s="46"/>
      <x:c r="M430" s="46"/>
      <x:c r="N430" s="46"/>
      <x:c r="O430" s="46"/>
      <x:c r="P430" s="46"/>
      <x:c r="Q430" s="46"/>
      <x:c r="R430" s="46"/>
    </x:row>
    <x:row r="431">
      <x:c r="A431" s="46"/>
      <x:c r="B431" s="46"/>
      <x:c r="C431" s="46"/>
      <x:c r="D431" s="46"/>
      <x:c r="E431" s="46"/>
      <x:c r="F431" s="46"/>
      <x:c r="G431" s="46"/>
      <x:c r="H431" s="46"/>
      <x:c r="I431" s="46"/>
      <x:c r="J431" s="46"/>
      <x:c r="K431" s="46"/>
      <x:c r="L431" s="46"/>
      <x:c r="M431" s="46"/>
      <x:c r="N431" s="46"/>
      <x:c r="O431" s="46"/>
      <x:c r="P431" s="46"/>
      <x:c r="Q431" s="46"/>
      <x:c r="R431" s="46"/>
    </x:row>
    <x:row r="432">
      <x:c r="A432" s="46"/>
      <x:c r="B432" s="46"/>
      <x:c r="C432" s="46"/>
      <x:c r="D432" s="46"/>
      <x:c r="E432" s="46"/>
      <x:c r="F432" s="46"/>
      <x:c r="G432" s="46"/>
      <x:c r="H432" s="46"/>
      <x:c r="I432" s="46"/>
      <x:c r="J432" s="46"/>
      <x:c r="K432" s="46"/>
      <x:c r="L432" s="46"/>
      <x:c r="M432" s="46"/>
      <x:c r="N432" s="46"/>
      <x:c r="O432" s="46"/>
      <x:c r="P432" s="46"/>
      <x:c r="Q432" s="46"/>
      <x:c r="R432" s="46"/>
    </x:row>
    <x:row r="433">
      <x:c r="A433" s="46"/>
      <x:c r="B433" s="46"/>
      <x:c r="C433" s="46"/>
      <x:c r="D433" s="46"/>
      <x:c r="E433" s="46"/>
      <x:c r="F433" s="46"/>
      <x:c r="G433" s="46"/>
      <x:c r="H433" s="46"/>
      <x:c r="I433" s="46"/>
      <x:c r="J433" s="46"/>
      <x:c r="K433" s="46"/>
      <x:c r="L433" s="46"/>
      <x:c r="M433" s="46"/>
      <x:c r="N433" s="46"/>
      <x:c r="O433" s="46"/>
      <x:c r="P433" s="46"/>
      <x:c r="Q433" s="46"/>
      <x:c r="R433" s="46"/>
    </x:row>
    <x:row r="434">
      <x:c r="A434" s="46"/>
      <x:c r="B434" s="46"/>
      <x:c r="C434" s="46"/>
      <x:c r="D434" s="46"/>
      <x:c r="E434" s="46"/>
      <x:c r="F434" s="46"/>
      <x:c r="G434" s="46"/>
      <x:c r="H434" s="46"/>
      <x:c r="I434" s="46"/>
      <x:c r="J434" s="46"/>
      <x:c r="K434" s="46"/>
      <x:c r="L434" s="46"/>
      <x:c r="M434" s="46"/>
      <x:c r="N434" s="46"/>
      <x:c r="O434" s="46"/>
      <x:c r="P434" s="46"/>
      <x:c r="Q434" s="46"/>
      <x:c r="R434" s="46"/>
    </x:row>
    <x:row r="435">
      <x:c r="A435" s="46"/>
      <x:c r="B435" s="46"/>
      <x:c r="C435" s="46"/>
      <x:c r="D435" s="46"/>
      <x:c r="E435" s="46"/>
      <x:c r="F435" s="46"/>
      <x:c r="G435" s="46"/>
      <x:c r="H435" s="46"/>
      <x:c r="I435" s="46"/>
      <x:c r="J435" s="46"/>
      <x:c r="K435" s="46"/>
      <x:c r="L435" s="46"/>
      <x:c r="M435" s="46"/>
      <x:c r="N435" s="46"/>
      <x:c r="O435" s="46"/>
      <x:c r="P435" s="46"/>
      <x:c r="Q435" s="46"/>
      <x:c r="R435" s="46"/>
    </x:row>
    <x:row r="436">
      <x:c r="A436" s="46"/>
      <x:c r="B436" s="46"/>
      <x:c r="C436" s="46"/>
      <x:c r="D436" s="46"/>
      <x:c r="E436" s="46"/>
      <x:c r="F436" s="46"/>
      <x:c r="G436" s="46"/>
      <x:c r="H436" s="46"/>
      <x:c r="I436" s="46"/>
      <x:c r="J436" s="46"/>
      <x:c r="K436" s="46"/>
      <x:c r="L436" s="46"/>
      <x:c r="M436" s="46"/>
      <x:c r="N436" s="46"/>
      <x:c r="O436" s="46"/>
      <x:c r="P436" s="46"/>
      <x:c r="Q436" s="46"/>
      <x:c r="R436" s="46"/>
    </x:row>
    <x:row r="437">
      <x:c r="A437" s="46"/>
      <x:c r="B437" s="46"/>
      <x:c r="C437" s="46"/>
      <x:c r="D437" s="46"/>
      <x:c r="E437" s="46"/>
      <x:c r="F437" s="46"/>
      <x:c r="G437" s="46"/>
      <x:c r="H437" s="46"/>
      <x:c r="I437" s="46"/>
      <x:c r="J437" s="46"/>
      <x:c r="K437" s="46"/>
      <x:c r="L437" s="46"/>
      <x:c r="M437" s="46"/>
      <x:c r="N437" s="46"/>
      <x:c r="O437" s="46"/>
      <x:c r="P437" s="46"/>
      <x:c r="Q437" s="46"/>
      <x:c r="R437" s="46"/>
    </x:row>
    <x:row r="438">
      <x:c r="A438" s="46"/>
      <x:c r="B438" s="46"/>
      <x:c r="C438" s="46"/>
      <x:c r="D438" s="46"/>
      <x:c r="E438" s="46"/>
      <x:c r="F438" s="46"/>
      <x:c r="G438" s="46"/>
      <x:c r="H438" s="46"/>
      <x:c r="I438" s="46"/>
      <x:c r="J438" s="46"/>
      <x:c r="K438" s="46"/>
      <x:c r="L438" s="46"/>
      <x:c r="M438" s="46"/>
      <x:c r="N438" s="46"/>
      <x:c r="O438" s="46"/>
      <x:c r="P438" s="46"/>
      <x:c r="Q438" s="46"/>
      <x:c r="R438" s="46"/>
    </x:row>
    <x:row r="439">
      <x:c r="A439" s="46"/>
      <x:c r="B439" s="46"/>
      <x:c r="C439" s="46"/>
      <x:c r="D439" s="46"/>
      <x:c r="E439" s="46"/>
      <x:c r="F439" s="46"/>
      <x:c r="G439" s="46"/>
      <x:c r="H439" s="46"/>
      <x:c r="I439" s="46"/>
      <x:c r="J439" s="46"/>
      <x:c r="K439" s="46"/>
      <x:c r="L439" s="46"/>
      <x:c r="M439" s="46"/>
      <x:c r="N439" s="46"/>
      <x:c r="O439" s="46"/>
      <x:c r="P439" s="46"/>
      <x:c r="Q439" s="46"/>
      <x:c r="R439" s="46"/>
    </x:row>
    <x:row r="440">
      <x:c r="A440" s="46"/>
      <x:c r="B440" s="46"/>
      <x:c r="C440" s="46"/>
      <x:c r="D440" s="46"/>
      <x:c r="E440" s="46"/>
      <x:c r="F440" s="46"/>
      <x:c r="G440" s="46"/>
      <x:c r="H440" s="46"/>
      <x:c r="I440" s="46"/>
      <x:c r="J440" s="46"/>
      <x:c r="K440" s="46"/>
      <x:c r="L440" s="46"/>
      <x:c r="M440" s="46"/>
      <x:c r="N440" s="46"/>
      <x:c r="O440" s="46"/>
      <x:c r="P440" s="46"/>
      <x:c r="Q440" s="46"/>
      <x:c r="R440" s="46"/>
    </x:row>
    <x:row r="441">
      <x:c r="A441" s="46"/>
      <x:c r="B441" s="46"/>
      <x:c r="C441" s="46"/>
      <x:c r="D441" s="46"/>
      <x:c r="E441" s="46"/>
      <x:c r="F441" s="46"/>
      <x:c r="G441" s="46"/>
      <x:c r="H441" s="46"/>
      <x:c r="I441" s="46"/>
      <x:c r="J441" s="46"/>
      <x:c r="K441" s="46"/>
      <x:c r="L441" s="46"/>
      <x:c r="M441" s="46"/>
      <x:c r="N441" s="46"/>
      <x:c r="O441" s="46"/>
      <x:c r="P441" s="46"/>
      <x:c r="Q441" s="46"/>
      <x:c r="R441" s="46"/>
    </x:row>
    <x:row r="442">
      <x:c r="A442" s="46"/>
      <x:c r="B442" s="46"/>
      <x:c r="C442" s="46"/>
      <x:c r="D442" s="46"/>
      <x:c r="E442" s="46"/>
      <x:c r="F442" s="46"/>
      <x:c r="G442" s="46"/>
      <x:c r="H442" s="46"/>
      <x:c r="I442" s="46"/>
      <x:c r="J442" s="46"/>
      <x:c r="K442" s="46"/>
      <x:c r="L442" s="46"/>
      <x:c r="M442" s="46"/>
      <x:c r="N442" s="46"/>
      <x:c r="O442" s="46"/>
      <x:c r="P442" s="46"/>
      <x:c r="Q442" s="46"/>
      <x:c r="R442" s="46"/>
    </x:row>
    <x:row r="443">
      <x:c r="A443" s="46"/>
      <x:c r="B443" s="46"/>
      <x:c r="C443" s="46"/>
      <x:c r="D443" s="46"/>
      <x:c r="E443" s="46"/>
      <x:c r="F443" s="46"/>
      <x:c r="G443" s="46"/>
      <x:c r="H443" s="46"/>
      <x:c r="I443" s="46"/>
      <x:c r="J443" s="46"/>
      <x:c r="K443" s="46"/>
      <x:c r="L443" s="46"/>
      <x:c r="M443" s="46"/>
      <x:c r="N443" s="46"/>
      <x:c r="O443" s="46"/>
      <x:c r="P443" s="46"/>
      <x:c r="Q443" s="46"/>
      <x:c r="R443" s="46"/>
    </x:row>
    <x:row r="444">
      <x:c r="A444" s="46"/>
      <x:c r="B444" s="46"/>
      <x:c r="C444" s="46"/>
      <x:c r="D444" s="46"/>
      <x:c r="E444" s="46"/>
      <x:c r="F444" s="46"/>
      <x:c r="G444" s="46"/>
      <x:c r="H444" s="46"/>
      <x:c r="I444" s="46"/>
      <x:c r="J444" s="46"/>
      <x:c r="K444" s="46"/>
      <x:c r="L444" s="46"/>
      <x:c r="M444" s="46"/>
      <x:c r="N444" s="46"/>
      <x:c r="O444" s="46"/>
      <x:c r="P444" s="46"/>
      <x:c r="Q444" s="46"/>
      <x:c r="R444" s="46"/>
    </x:row>
    <x:row r="445">
      <x:c r="A445" s="46"/>
      <x:c r="B445" s="46"/>
      <x:c r="C445" s="46"/>
      <x:c r="D445" s="46"/>
      <x:c r="E445" s="46"/>
      <x:c r="F445" s="46"/>
      <x:c r="G445" s="46"/>
      <x:c r="H445" s="46"/>
      <x:c r="I445" s="46"/>
      <x:c r="J445" s="46"/>
      <x:c r="K445" s="46"/>
      <x:c r="L445" s="46"/>
      <x:c r="M445" s="46"/>
      <x:c r="N445" s="46"/>
      <x:c r="O445" s="46"/>
      <x:c r="P445" s="46"/>
      <x:c r="Q445" s="46"/>
      <x:c r="R445" s="46"/>
    </x:row>
    <x:row r="446">
      <x:c r="A446" s="46"/>
      <x:c r="B446" s="46"/>
      <x:c r="C446" s="46"/>
      <x:c r="D446" s="46"/>
      <x:c r="E446" s="46"/>
      <x:c r="F446" s="46"/>
      <x:c r="G446" s="46"/>
      <x:c r="H446" s="46"/>
      <x:c r="I446" s="46"/>
      <x:c r="J446" s="46"/>
      <x:c r="K446" s="46"/>
      <x:c r="L446" s="46"/>
      <x:c r="M446" s="46"/>
      <x:c r="N446" s="46"/>
      <x:c r="O446" s="46"/>
      <x:c r="P446" s="46"/>
      <x:c r="Q446" s="46"/>
      <x:c r="R446" s="46"/>
    </x:row>
    <x:row r="447">
      <x:c r="A447" s="46"/>
      <x:c r="B447" s="46"/>
      <x:c r="C447" s="46"/>
      <x:c r="D447" s="46"/>
      <x:c r="E447" s="46"/>
      <x:c r="F447" s="46"/>
      <x:c r="G447" s="46"/>
      <x:c r="H447" s="46"/>
      <x:c r="I447" s="46"/>
      <x:c r="J447" s="46"/>
      <x:c r="K447" s="46"/>
      <x:c r="L447" s="46"/>
      <x:c r="M447" s="46"/>
      <x:c r="N447" s="46"/>
      <x:c r="O447" s="46"/>
      <x:c r="P447" s="46"/>
      <x:c r="Q447" s="46"/>
      <x:c r="R447" s="46"/>
    </x:row>
    <x:row r="448">
      <x:c r="A448" s="46"/>
      <x:c r="B448" s="46"/>
      <x:c r="C448" s="46"/>
      <x:c r="D448" s="46"/>
      <x:c r="E448" s="46"/>
      <x:c r="F448" s="46"/>
      <x:c r="G448" s="46"/>
      <x:c r="H448" s="46"/>
      <x:c r="I448" s="46"/>
      <x:c r="J448" s="46"/>
      <x:c r="K448" s="46"/>
      <x:c r="L448" s="46"/>
      <x:c r="M448" s="46"/>
      <x:c r="N448" s="46"/>
      <x:c r="O448" s="46"/>
      <x:c r="P448" s="46"/>
      <x:c r="Q448" s="46"/>
      <x:c r="R448" s="46"/>
    </x:row>
    <x:row r="449">
      <x:c r="A449" s="46"/>
      <x:c r="B449" s="46"/>
      <x:c r="C449" s="46"/>
      <x:c r="D449" s="46"/>
      <x:c r="E449" s="46"/>
      <x:c r="F449" s="46"/>
      <x:c r="G449" s="46"/>
      <x:c r="H449" s="46"/>
      <x:c r="I449" s="46"/>
      <x:c r="J449" s="46"/>
      <x:c r="K449" s="46"/>
      <x:c r="L449" s="46"/>
      <x:c r="M449" s="46"/>
      <x:c r="N449" s="46"/>
      <x:c r="O449" s="46"/>
      <x:c r="P449" s="46"/>
      <x:c r="Q449" s="46"/>
      <x:c r="R449" s="46"/>
    </x:row>
    <x:row r="450">
      <x:c r="A450" s="46"/>
      <x:c r="B450" s="46"/>
      <x:c r="C450" s="46"/>
      <x:c r="D450" s="46"/>
      <x:c r="E450" s="46"/>
      <x:c r="F450" s="46"/>
      <x:c r="G450" s="46"/>
      <x:c r="H450" s="46"/>
      <x:c r="I450" s="46"/>
      <x:c r="J450" s="46"/>
      <x:c r="K450" s="46"/>
      <x:c r="L450" s="46"/>
      <x:c r="M450" s="46"/>
      <x:c r="N450" s="46"/>
      <x:c r="O450" s="46"/>
      <x:c r="P450" s="46"/>
      <x:c r="Q450" s="46"/>
      <x:c r="R450" s="46"/>
    </x:row>
    <x:row r="451">
      <x:c r="A451" s="46"/>
      <x:c r="B451" s="46"/>
      <x:c r="C451" s="46"/>
      <x:c r="D451" s="46"/>
      <x:c r="E451" s="46"/>
      <x:c r="F451" s="46"/>
      <x:c r="G451" s="46"/>
      <x:c r="H451" s="46"/>
      <x:c r="I451" s="46"/>
      <x:c r="J451" s="46"/>
      <x:c r="K451" s="46"/>
      <x:c r="L451" s="46"/>
      <x:c r="M451" s="46"/>
      <x:c r="N451" s="46"/>
      <x:c r="O451" s="46"/>
      <x:c r="P451" s="46"/>
      <x:c r="Q451" s="46"/>
      <x:c r="R451" s="46"/>
    </x:row>
    <x:row r="452">
      <x:c r="A452" s="46"/>
      <x:c r="B452" s="46"/>
      <x:c r="C452" s="46"/>
      <x:c r="D452" s="46"/>
      <x:c r="E452" s="46"/>
      <x:c r="F452" s="46"/>
      <x:c r="G452" s="46"/>
      <x:c r="H452" s="46"/>
      <x:c r="I452" s="46"/>
      <x:c r="J452" s="46"/>
      <x:c r="K452" s="46"/>
      <x:c r="L452" s="46"/>
      <x:c r="M452" s="46"/>
      <x:c r="N452" s="46"/>
      <x:c r="O452" s="46"/>
      <x:c r="P452" s="46"/>
      <x:c r="Q452" s="46"/>
      <x:c r="R452" s="46"/>
    </x:row>
    <x:row r="453">
      <x:c r="A453" s="46"/>
      <x:c r="B453" s="46"/>
      <x:c r="C453" s="46"/>
      <x:c r="D453" s="46"/>
      <x:c r="E453" s="46"/>
      <x:c r="F453" s="46"/>
      <x:c r="G453" s="46"/>
      <x:c r="H453" s="46"/>
      <x:c r="I453" s="46"/>
      <x:c r="J453" s="46"/>
      <x:c r="K453" s="46"/>
      <x:c r="L453" s="46"/>
      <x:c r="M453" s="46"/>
      <x:c r="N453" s="46"/>
      <x:c r="O453" s="46"/>
      <x:c r="P453" s="46"/>
      <x:c r="Q453" s="46"/>
      <x:c r="R453" s="46"/>
    </x:row>
    <x:row r="454">
      <x:c r="A454" s="46"/>
      <x:c r="B454" s="46"/>
      <x:c r="C454" s="46"/>
      <x:c r="D454" s="46"/>
      <x:c r="E454" s="46"/>
      <x:c r="F454" s="46"/>
      <x:c r="G454" s="46"/>
      <x:c r="H454" s="46"/>
      <x:c r="I454" s="46"/>
      <x:c r="J454" s="46"/>
      <x:c r="K454" s="46"/>
      <x:c r="L454" s="46"/>
      <x:c r="M454" s="46"/>
      <x:c r="N454" s="46"/>
      <x:c r="O454" s="46"/>
      <x:c r="P454" s="46"/>
      <x:c r="Q454" s="46"/>
      <x:c r="R454" s="46"/>
    </x:row>
    <x:row r="455">
      <x:c r="A455" s="46"/>
      <x:c r="B455" s="46"/>
      <x:c r="C455" s="46"/>
      <x:c r="D455" s="46"/>
      <x:c r="E455" s="46"/>
      <x:c r="F455" s="46"/>
      <x:c r="G455" s="46"/>
      <x:c r="H455" s="46"/>
      <x:c r="I455" s="46"/>
      <x:c r="J455" s="46"/>
      <x:c r="K455" s="46"/>
      <x:c r="L455" s="46"/>
      <x:c r="M455" s="46"/>
      <x:c r="N455" s="46"/>
      <x:c r="O455" s="46"/>
      <x:c r="P455" s="46"/>
      <x:c r="Q455" s="46"/>
      <x:c r="R455" s="46"/>
    </x:row>
    <x:row r="456">
      <x:c r="A456" s="46"/>
      <x:c r="B456" s="46"/>
      <x:c r="C456" s="46"/>
      <x:c r="D456" s="46"/>
      <x:c r="E456" s="46"/>
      <x:c r="F456" s="46"/>
      <x:c r="G456" s="46"/>
      <x:c r="H456" s="46"/>
      <x:c r="I456" s="46"/>
      <x:c r="J456" s="46"/>
      <x:c r="K456" s="46"/>
      <x:c r="L456" s="46"/>
      <x:c r="M456" s="46"/>
      <x:c r="N456" s="46"/>
      <x:c r="O456" s="46"/>
      <x:c r="P456" s="46"/>
      <x:c r="Q456" s="46"/>
      <x:c r="R456" s="46"/>
    </x:row>
    <x:row r="457">
      <x:c r="A457" s="46"/>
      <x:c r="B457" s="46"/>
      <x:c r="C457" s="46"/>
      <x:c r="D457" s="46"/>
      <x:c r="E457" s="46"/>
      <x:c r="F457" s="46"/>
      <x:c r="G457" s="46"/>
      <x:c r="H457" s="46"/>
      <x:c r="I457" s="46"/>
      <x:c r="J457" s="46"/>
      <x:c r="K457" s="46"/>
      <x:c r="L457" s="46"/>
      <x:c r="M457" s="46"/>
      <x:c r="N457" s="46"/>
      <x:c r="O457" s="46"/>
      <x:c r="P457" s="46"/>
      <x:c r="Q457" s="46"/>
      <x:c r="R457" s="46"/>
    </x:row>
    <x:row r="458">
      <x:c r="A458" s="46"/>
      <x:c r="B458" s="46"/>
      <x:c r="C458" s="46"/>
      <x:c r="D458" s="46"/>
      <x:c r="E458" s="46"/>
      <x:c r="F458" s="46"/>
      <x:c r="G458" s="46"/>
      <x:c r="H458" s="46"/>
      <x:c r="I458" s="46"/>
      <x:c r="J458" s="46"/>
      <x:c r="K458" s="46"/>
      <x:c r="L458" s="46"/>
      <x:c r="M458" s="46"/>
      <x:c r="N458" s="46"/>
      <x:c r="O458" s="46"/>
      <x:c r="P458" s="46"/>
      <x:c r="Q458" s="46"/>
      <x:c r="R458" s="46"/>
    </x:row>
    <x:row r="459">
      <x:c r="A459" s="46"/>
      <x:c r="B459" s="46"/>
      <x:c r="C459" s="46"/>
      <x:c r="D459" s="46"/>
      <x:c r="E459" s="46"/>
      <x:c r="F459" s="46"/>
      <x:c r="G459" s="46"/>
      <x:c r="H459" s="46"/>
      <x:c r="I459" s="46"/>
      <x:c r="J459" s="46"/>
      <x:c r="K459" s="46"/>
      <x:c r="L459" s="46"/>
      <x:c r="M459" s="46"/>
      <x:c r="N459" s="46"/>
      <x:c r="O459" s="46"/>
      <x:c r="P459" s="46"/>
      <x:c r="Q459" s="46"/>
      <x:c r="R459" s="46"/>
    </x:row>
    <x:row r="460">
      <x:c r="A460" s="46"/>
      <x:c r="B460" s="46"/>
      <x:c r="C460" s="46"/>
      <x:c r="D460" s="46"/>
      <x:c r="E460" s="46"/>
      <x:c r="F460" s="46"/>
      <x:c r="G460" s="46"/>
      <x:c r="H460" s="46"/>
      <x:c r="I460" s="46"/>
      <x:c r="J460" s="46"/>
      <x:c r="K460" s="46"/>
      <x:c r="L460" s="46"/>
      <x:c r="M460" s="46"/>
      <x:c r="N460" s="46"/>
      <x:c r="O460" s="46"/>
      <x:c r="P460" s="46"/>
      <x:c r="Q460" s="46"/>
      <x:c r="R460" s="46"/>
    </x:row>
    <x:row r="461">
      <x:c r="A461" s="46"/>
      <x:c r="B461" s="46"/>
      <x:c r="C461" s="46"/>
      <x:c r="D461" s="46"/>
      <x:c r="E461" s="46"/>
      <x:c r="F461" s="46"/>
      <x:c r="G461" s="46"/>
      <x:c r="H461" s="46"/>
      <x:c r="I461" s="46"/>
      <x:c r="J461" s="46"/>
      <x:c r="K461" s="46"/>
      <x:c r="L461" s="46"/>
      <x:c r="M461" s="46"/>
      <x:c r="N461" s="46"/>
      <x:c r="O461" s="46"/>
      <x:c r="P461" s="46"/>
      <x:c r="Q461" s="46"/>
      <x:c r="R461" s="46"/>
    </x:row>
    <x:row r="462">
      <x:c r="A462" s="46"/>
      <x:c r="B462" s="46"/>
      <x:c r="C462" s="46"/>
      <x:c r="D462" s="46"/>
      <x:c r="E462" s="46"/>
      <x:c r="F462" s="46"/>
      <x:c r="G462" s="46"/>
      <x:c r="H462" s="46"/>
      <x:c r="I462" s="46"/>
      <x:c r="J462" s="46"/>
      <x:c r="K462" s="46"/>
      <x:c r="L462" s="46"/>
      <x:c r="M462" s="46"/>
      <x:c r="N462" s="46"/>
      <x:c r="O462" s="46"/>
      <x:c r="P462" s="46"/>
      <x:c r="Q462" s="46"/>
      <x:c r="R462" s="46"/>
    </x:row>
    <x:row r="463">
      <x:c r="A463" s="46"/>
      <x:c r="B463" s="46"/>
      <x:c r="C463" s="46"/>
      <x:c r="D463" s="46"/>
      <x:c r="E463" s="46"/>
      <x:c r="F463" s="46"/>
      <x:c r="G463" s="46"/>
      <x:c r="H463" s="46"/>
      <x:c r="I463" s="46"/>
      <x:c r="J463" s="46"/>
      <x:c r="K463" s="46"/>
      <x:c r="L463" s="46"/>
      <x:c r="M463" s="46"/>
      <x:c r="N463" s="46"/>
      <x:c r="O463" s="46"/>
      <x:c r="P463" s="46"/>
      <x:c r="Q463" s="46"/>
      <x:c r="R463" s="46"/>
    </x:row>
    <x:row r="464">
      <x:c r="A464" s="46"/>
      <x:c r="B464" s="46"/>
      <x:c r="C464" s="46"/>
      <x:c r="D464" s="46"/>
      <x:c r="E464" s="46"/>
      <x:c r="F464" s="46"/>
      <x:c r="G464" s="46"/>
      <x:c r="H464" s="46"/>
      <x:c r="I464" s="46"/>
      <x:c r="J464" s="46"/>
      <x:c r="K464" s="46"/>
      <x:c r="L464" s="46"/>
      <x:c r="M464" s="46"/>
      <x:c r="N464" s="46"/>
      <x:c r="O464" s="46"/>
      <x:c r="P464" s="46"/>
      <x:c r="Q464" s="46"/>
      <x:c r="R464" s="46"/>
    </x:row>
    <x:row r="465">
      <x:c r="A465" s="46"/>
      <x:c r="B465" s="46"/>
      <x:c r="C465" s="46"/>
      <x:c r="D465" s="46"/>
      <x:c r="E465" s="46"/>
      <x:c r="F465" s="46"/>
      <x:c r="G465" s="46"/>
      <x:c r="H465" s="46"/>
      <x:c r="I465" s="46"/>
      <x:c r="J465" s="46"/>
      <x:c r="K465" s="46"/>
      <x:c r="L465" s="46"/>
      <x:c r="M465" s="46"/>
      <x:c r="N465" s="46"/>
      <x:c r="O465" s="46"/>
      <x:c r="P465" s="46"/>
      <x:c r="Q465" s="46"/>
      <x:c r="R465" s="46"/>
    </x:row>
    <x:row r="466">
      <x:c r="A466" s="46"/>
      <x:c r="B466" s="46"/>
      <x:c r="C466" s="46"/>
      <x:c r="D466" s="46"/>
      <x:c r="E466" s="46"/>
      <x:c r="F466" s="46"/>
      <x:c r="G466" s="46"/>
      <x:c r="H466" s="46"/>
      <x:c r="I466" s="46"/>
      <x:c r="J466" s="46"/>
      <x:c r="K466" s="46"/>
      <x:c r="L466" s="46"/>
      <x:c r="M466" s="46"/>
      <x:c r="N466" s="46"/>
      <x:c r="O466" s="46"/>
      <x:c r="P466" s="46"/>
      <x:c r="Q466" s="46"/>
      <x:c r="R466" s="46"/>
    </x:row>
    <x:row r="467">
      <x:c r="A467" s="46"/>
      <x:c r="B467" s="46"/>
      <x:c r="C467" s="46"/>
      <x:c r="D467" s="46"/>
      <x:c r="E467" s="46"/>
      <x:c r="F467" s="46"/>
      <x:c r="G467" s="46"/>
      <x:c r="H467" s="46"/>
      <x:c r="I467" s="46"/>
      <x:c r="J467" s="46"/>
      <x:c r="K467" s="46"/>
      <x:c r="L467" s="46"/>
      <x:c r="M467" s="46"/>
      <x:c r="N467" s="46"/>
      <x:c r="O467" s="46"/>
      <x:c r="P467" s="46"/>
      <x:c r="Q467" s="46"/>
      <x:c r="R467" s="46"/>
    </x:row>
    <x:row r="468">
      <x:c r="A468" s="46"/>
      <x:c r="B468" s="46"/>
      <x:c r="C468" s="46"/>
      <x:c r="D468" s="46"/>
      <x:c r="E468" s="46"/>
      <x:c r="F468" s="46"/>
      <x:c r="G468" s="46"/>
      <x:c r="H468" s="46"/>
      <x:c r="I468" s="46"/>
      <x:c r="J468" s="46"/>
      <x:c r="K468" s="46"/>
      <x:c r="L468" s="46"/>
      <x:c r="M468" s="46"/>
      <x:c r="N468" s="46"/>
      <x:c r="O468" s="46"/>
      <x:c r="P468" s="46"/>
      <x:c r="Q468" s="46"/>
      <x:c r="R468" s="46"/>
    </x:row>
    <x:row r="469">
      <x:c r="A469" s="46"/>
      <x:c r="B469" s="46"/>
      <x:c r="C469" s="46"/>
      <x:c r="D469" s="46"/>
      <x:c r="E469" s="46"/>
      <x:c r="F469" s="46"/>
      <x:c r="G469" s="46"/>
      <x:c r="H469" s="46"/>
      <x:c r="I469" s="46"/>
      <x:c r="J469" s="46"/>
      <x:c r="K469" s="46"/>
      <x:c r="L469" s="46"/>
      <x:c r="M469" s="46"/>
      <x:c r="N469" s="46"/>
      <x:c r="O469" s="46"/>
      <x:c r="P469" s="46"/>
      <x:c r="Q469" s="46"/>
      <x:c r="R469" s="46"/>
    </x:row>
    <x:row r="470">
      <x:c r="A470" s="46"/>
      <x:c r="B470" s="46"/>
      <x:c r="C470" s="46"/>
      <x:c r="D470" s="46"/>
      <x:c r="E470" s="46"/>
      <x:c r="F470" s="46"/>
      <x:c r="G470" s="46"/>
      <x:c r="H470" s="46"/>
      <x:c r="I470" s="46"/>
      <x:c r="J470" s="46"/>
      <x:c r="K470" s="46"/>
      <x:c r="L470" s="46"/>
      <x:c r="M470" s="46"/>
      <x:c r="N470" s="46"/>
      <x:c r="O470" s="46"/>
      <x:c r="P470" s="46"/>
      <x:c r="Q470" s="46"/>
      <x:c r="R470" s="46"/>
    </x:row>
    <x:row r="471">
      <x:c r="A471" s="46"/>
      <x:c r="B471" s="46"/>
      <x:c r="C471" s="46"/>
      <x:c r="D471" s="46"/>
      <x:c r="E471" s="46"/>
      <x:c r="F471" s="46"/>
      <x:c r="G471" s="46"/>
      <x:c r="H471" s="46"/>
      <x:c r="I471" s="46"/>
      <x:c r="J471" s="46"/>
      <x:c r="K471" s="46"/>
      <x:c r="L471" s="46"/>
      <x:c r="M471" s="46"/>
      <x:c r="N471" s="46"/>
      <x:c r="O471" s="46"/>
      <x:c r="P471" s="46"/>
      <x:c r="Q471" s="46"/>
      <x:c r="R471" s="46"/>
    </x:row>
    <x:row r="472">
      <x:c r="A472" s="46"/>
      <x:c r="B472" s="46"/>
      <x:c r="C472" s="46"/>
      <x:c r="D472" s="46"/>
      <x:c r="E472" s="46"/>
      <x:c r="F472" s="46"/>
      <x:c r="G472" s="46"/>
      <x:c r="H472" s="46"/>
      <x:c r="I472" s="46"/>
      <x:c r="J472" s="46"/>
      <x:c r="K472" s="46"/>
      <x:c r="L472" s="46"/>
      <x:c r="M472" s="46"/>
      <x:c r="N472" s="46"/>
      <x:c r="O472" s="46"/>
      <x:c r="P472" s="46"/>
      <x:c r="Q472" s="46"/>
      <x:c r="R472" s="46"/>
    </x:row>
    <x:row r="473">
      <x:c r="A473" s="46"/>
      <x:c r="B473" s="46"/>
      <x:c r="C473" s="46"/>
      <x:c r="D473" s="46"/>
      <x:c r="E473" s="46"/>
      <x:c r="F473" s="46"/>
      <x:c r="G473" s="46"/>
      <x:c r="H473" s="46"/>
      <x:c r="I473" s="46"/>
      <x:c r="J473" s="46"/>
      <x:c r="K473" s="46"/>
      <x:c r="L473" s="46"/>
      <x:c r="M473" s="46"/>
      <x:c r="N473" s="46"/>
      <x:c r="O473" s="46"/>
      <x:c r="P473" s="46"/>
      <x:c r="Q473" s="46"/>
      <x:c r="R473" s="46"/>
    </x:row>
    <x:row r="474">
      <x:c r="A474" s="46"/>
      <x:c r="B474" s="46"/>
      <x:c r="C474" s="46"/>
      <x:c r="D474" s="46"/>
      <x:c r="E474" s="46"/>
      <x:c r="F474" s="46"/>
      <x:c r="G474" s="46"/>
      <x:c r="H474" s="46"/>
      <x:c r="I474" s="46"/>
      <x:c r="J474" s="46"/>
      <x:c r="K474" s="46"/>
      <x:c r="L474" s="46"/>
      <x:c r="M474" s="46"/>
      <x:c r="N474" s="46"/>
      <x:c r="O474" s="46"/>
      <x:c r="P474" s="46"/>
      <x:c r="Q474" s="46"/>
      <x:c r="R474" s="46"/>
    </x:row>
    <x:row r="475">
      <x:c r="A475" s="46"/>
      <x:c r="B475" s="46"/>
      <x:c r="C475" s="46"/>
      <x:c r="D475" s="46"/>
      <x:c r="E475" s="46"/>
      <x:c r="F475" s="46"/>
      <x:c r="G475" s="46"/>
      <x:c r="H475" s="46"/>
      <x:c r="I475" s="46"/>
      <x:c r="J475" s="46"/>
      <x:c r="K475" s="46"/>
      <x:c r="L475" s="46"/>
      <x:c r="M475" s="46"/>
      <x:c r="N475" s="46"/>
      <x:c r="O475" s="46"/>
      <x:c r="P475" s="46"/>
      <x:c r="Q475" s="46"/>
      <x:c r="R475" s="46"/>
    </x:row>
    <x:row r="476">
      <x:c r="A476" s="46"/>
      <x:c r="B476" s="46"/>
      <x:c r="C476" s="46"/>
      <x:c r="D476" s="46"/>
      <x:c r="E476" s="46"/>
      <x:c r="F476" s="46"/>
      <x:c r="G476" s="46"/>
      <x:c r="H476" s="46"/>
      <x:c r="I476" s="46"/>
      <x:c r="J476" s="46"/>
      <x:c r="K476" s="46"/>
      <x:c r="L476" s="46"/>
      <x:c r="M476" s="46"/>
      <x:c r="N476" s="46"/>
      <x:c r="O476" s="46"/>
      <x:c r="P476" s="46"/>
      <x:c r="Q476" s="46"/>
      <x:c r="R476" s="46"/>
    </x:row>
    <x:row r="477">
      <x:c r="A477" s="46"/>
      <x:c r="B477" s="46"/>
      <x:c r="C477" s="46"/>
      <x:c r="D477" s="46"/>
      <x:c r="E477" s="46"/>
      <x:c r="F477" s="46"/>
      <x:c r="G477" s="46"/>
      <x:c r="H477" s="46"/>
      <x:c r="I477" s="46"/>
      <x:c r="J477" s="46"/>
      <x:c r="K477" s="46"/>
      <x:c r="L477" s="46"/>
      <x:c r="M477" s="46"/>
      <x:c r="N477" s="46"/>
      <x:c r="O477" s="46"/>
      <x:c r="P477" s="46"/>
      <x:c r="Q477" s="46"/>
      <x:c r="R477" s="46"/>
    </x:row>
    <x:row r="478">
      <x:c r="A478" s="46"/>
      <x:c r="B478" s="46"/>
      <x:c r="C478" s="46"/>
      <x:c r="D478" s="46"/>
      <x:c r="E478" s="46"/>
      <x:c r="F478" s="46"/>
      <x:c r="G478" s="46"/>
      <x:c r="H478" s="46"/>
      <x:c r="I478" s="46"/>
      <x:c r="J478" s="46"/>
      <x:c r="K478" s="46"/>
      <x:c r="L478" s="46"/>
      <x:c r="M478" s="46"/>
      <x:c r="N478" s="46"/>
      <x:c r="O478" s="46"/>
      <x:c r="P478" s="46"/>
      <x:c r="Q478" s="46"/>
      <x:c r="R478" s="46"/>
    </x:row>
    <x:row r="479">
      <x:c r="A479" s="46"/>
      <x:c r="B479" s="46"/>
      <x:c r="C479" s="46"/>
      <x:c r="D479" s="46"/>
      <x:c r="E479" s="46"/>
      <x:c r="F479" s="46"/>
      <x:c r="G479" s="46"/>
      <x:c r="H479" s="46"/>
      <x:c r="I479" s="46"/>
      <x:c r="J479" s="46"/>
      <x:c r="K479" s="46"/>
      <x:c r="L479" s="46"/>
      <x:c r="M479" s="46"/>
      <x:c r="N479" s="46"/>
      <x:c r="O479" s="46"/>
      <x:c r="P479" s="46"/>
      <x:c r="Q479" s="46"/>
      <x:c r="R479" s="46"/>
    </x:row>
    <x:row r="480">
      <x:c r="A480" s="46"/>
      <x:c r="B480" s="46"/>
      <x:c r="C480" s="46"/>
      <x:c r="D480" s="46"/>
      <x:c r="E480" s="46"/>
      <x:c r="F480" s="46"/>
      <x:c r="G480" s="46"/>
      <x:c r="H480" s="46"/>
      <x:c r="I480" s="46"/>
      <x:c r="J480" s="46"/>
      <x:c r="K480" s="46"/>
      <x:c r="L480" s="46"/>
      <x:c r="M480" s="46"/>
      <x:c r="N480" s="46"/>
      <x:c r="O480" s="46"/>
      <x:c r="P480" s="46"/>
      <x:c r="Q480" s="46"/>
      <x:c r="R480" s="46"/>
    </x:row>
    <x:row r="481">
      <x:c r="A481" s="46"/>
      <x:c r="B481" s="46"/>
      <x:c r="C481" s="46"/>
      <x:c r="D481" s="46"/>
      <x:c r="E481" s="46"/>
      <x:c r="F481" s="46"/>
      <x:c r="G481" s="46"/>
      <x:c r="H481" s="46"/>
      <x:c r="I481" s="46"/>
      <x:c r="J481" s="46"/>
      <x:c r="K481" s="46"/>
      <x:c r="L481" s="46"/>
      <x:c r="M481" s="46"/>
      <x:c r="N481" s="46"/>
      <x:c r="O481" s="46"/>
      <x:c r="P481" s="46"/>
      <x:c r="Q481" s="46"/>
      <x:c r="R481" s="46"/>
    </x:row>
    <x:row r="482">
      <x:c r="A482" s="46"/>
      <x:c r="B482" s="46"/>
      <x:c r="C482" s="46"/>
      <x:c r="D482" s="46"/>
      <x:c r="E482" s="46"/>
      <x:c r="F482" s="46"/>
      <x:c r="G482" s="46"/>
      <x:c r="H482" s="46"/>
      <x:c r="I482" s="46"/>
      <x:c r="J482" s="46"/>
      <x:c r="K482" s="46"/>
      <x:c r="L482" s="46"/>
      <x:c r="M482" s="46"/>
      <x:c r="N482" s="46"/>
      <x:c r="O482" s="46"/>
      <x:c r="P482" s="46"/>
      <x:c r="Q482" s="46"/>
      <x:c r="R482" s="46"/>
    </x:row>
    <x:row r="483">
      <x:c r="A483" s="46"/>
      <x:c r="B483" s="46"/>
      <x:c r="C483" s="46"/>
      <x:c r="D483" s="46"/>
      <x:c r="E483" s="46"/>
      <x:c r="F483" s="46"/>
      <x:c r="G483" s="46"/>
      <x:c r="H483" s="46"/>
      <x:c r="I483" s="46"/>
      <x:c r="J483" s="46"/>
      <x:c r="K483" s="46"/>
      <x:c r="L483" s="46"/>
      <x:c r="M483" s="46"/>
      <x:c r="N483" s="46"/>
      <x:c r="O483" s="46"/>
      <x:c r="P483" s="46"/>
      <x:c r="Q483" s="46"/>
      <x:c r="R483" s="46"/>
    </x:row>
    <x:row r="484">
      <x:c r="A484" s="46"/>
      <x:c r="B484" s="46"/>
      <x:c r="C484" s="46"/>
      <x:c r="D484" s="46"/>
      <x:c r="E484" s="46"/>
      <x:c r="F484" s="46"/>
      <x:c r="G484" s="46"/>
      <x:c r="H484" s="46"/>
      <x:c r="I484" s="46"/>
      <x:c r="J484" s="46"/>
      <x:c r="K484" s="46"/>
      <x:c r="L484" s="46"/>
      <x:c r="M484" s="46"/>
      <x:c r="N484" s="46"/>
      <x:c r="O484" s="46"/>
      <x:c r="P484" s="46"/>
      <x:c r="Q484" s="46"/>
      <x:c r="R484" s="46"/>
    </x:row>
    <x:row r="485">
      <x:c r="A485" s="46"/>
      <x:c r="B485" s="46"/>
      <x:c r="C485" s="46"/>
      <x:c r="D485" s="46"/>
      <x:c r="E485" s="46"/>
      <x:c r="F485" s="46"/>
      <x:c r="G485" s="46"/>
      <x:c r="H485" s="46"/>
      <x:c r="I485" s="46"/>
      <x:c r="J485" s="46"/>
      <x:c r="K485" s="46"/>
      <x:c r="L485" s="46"/>
      <x:c r="M485" s="46"/>
      <x:c r="N485" s="46"/>
      <x:c r="O485" s="46"/>
      <x:c r="P485" s="46"/>
      <x:c r="Q485" s="46"/>
      <x:c r="R485" s="46"/>
    </x:row>
    <x:row r="486">
      <x:c r="A486" s="46"/>
      <x:c r="B486" s="46"/>
      <x:c r="C486" s="46"/>
      <x:c r="D486" s="46"/>
      <x:c r="E486" s="46"/>
      <x:c r="F486" s="46"/>
      <x:c r="G486" s="46"/>
      <x:c r="H486" s="46"/>
      <x:c r="I486" s="46"/>
      <x:c r="J486" s="46"/>
      <x:c r="K486" s="46"/>
      <x:c r="L486" s="46"/>
      <x:c r="M486" s="46"/>
      <x:c r="N486" s="46"/>
      <x:c r="O486" s="46"/>
      <x:c r="P486" s="46"/>
      <x:c r="Q486" s="46"/>
      <x:c r="R486" s="46"/>
    </x:row>
    <x:row r="487">
      <x:c r="A487" s="46"/>
      <x:c r="B487" s="46"/>
      <x:c r="C487" s="46"/>
      <x:c r="D487" s="46"/>
      <x:c r="E487" s="46"/>
      <x:c r="F487" s="46"/>
      <x:c r="G487" s="46"/>
      <x:c r="H487" s="46"/>
      <x:c r="I487" s="46"/>
      <x:c r="J487" s="46"/>
      <x:c r="K487" s="46"/>
      <x:c r="L487" s="46"/>
      <x:c r="M487" s="46"/>
      <x:c r="N487" s="46"/>
      <x:c r="O487" s="46"/>
      <x:c r="P487" s="46"/>
      <x:c r="Q487" s="46"/>
      <x:c r="R487" s="46"/>
    </x:row>
    <x:row r="488">
      <x:c r="A488" s="46"/>
      <x:c r="B488" s="46"/>
      <x:c r="C488" s="46"/>
      <x:c r="D488" s="46"/>
      <x:c r="E488" s="46"/>
      <x:c r="F488" s="46"/>
      <x:c r="G488" s="46"/>
      <x:c r="H488" s="46"/>
      <x:c r="I488" s="46"/>
      <x:c r="J488" s="46"/>
      <x:c r="K488" s="46"/>
      <x:c r="L488" s="46"/>
      <x:c r="M488" s="46"/>
      <x:c r="N488" s="46"/>
      <x:c r="O488" s="46"/>
      <x:c r="P488" s="46"/>
      <x:c r="Q488" s="46"/>
      <x:c r="R488" s="46"/>
    </x:row>
    <x:row r="489">
      <x:c r="A489" s="46"/>
      <x:c r="B489" s="46"/>
      <x:c r="C489" s="46"/>
      <x:c r="D489" s="46"/>
      <x:c r="E489" s="46"/>
      <x:c r="F489" s="46"/>
      <x:c r="G489" s="46"/>
      <x:c r="H489" s="46"/>
      <x:c r="I489" s="46"/>
      <x:c r="J489" s="46"/>
      <x:c r="K489" s="46"/>
      <x:c r="L489" s="46"/>
      <x:c r="M489" s="46"/>
      <x:c r="N489" s="46"/>
      <x:c r="O489" s="46"/>
      <x:c r="P489" s="46"/>
      <x:c r="Q489" s="46"/>
      <x:c r="R489" s="46"/>
    </x:row>
    <x:row r="490">
      <x:c r="A490" s="46"/>
      <x:c r="B490" s="46"/>
      <x:c r="C490" s="46"/>
      <x:c r="D490" s="46"/>
      <x:c r="E490" s="46"/>
      <x:c r="F490" s="46"/>
      <x:c r="G490" s="46"/>
      <x:c r="H490" s="46"/>
      <x:c r="I490" s="46"/>
      <x:c r="J490" s="46"/>
      <x:c r="K490" s="46"/>
      <x:c r="L490" s="46"/>
      <x:c r="M490" s="46"/>
      <x:c r="N490" s="46"/>
      <x:c r="O490" s="46"/>
      <x:c r="P490" s="46"/>
      <x:c r="Q490" s="46"/>
      <x:c r="R490" s="46"/>
    </x:row>
    <x:row r="491">
      <x:c r="A491" s="46"/>
      <x:c r="B491" s="46"/>
      <x:c r="C491" s="46"/>
      <x:c r="D491" s="46"/>
      <x:c r="E491" s="46"/>
      <x:c r="F491" s="46"/>
      <x:c r="G491" s="46"/>
      <x:c r="H491" s="46"/>
      <x:c r="I491" s="46"/>
      <x:c r="J491" s="46"/>
      <x:c r="K491" s="46"/>
      <x:c r="L491" s="46"/>
      <x:c r="M491" s="46"/>
      <x:c r="N491" s="46"/>
      <x:c r="O491" s="46"/>
      <x:c r="P491" s="46"/>
      <x:c r="Q491" s="46"/>
      <x:c r="R491" s="46"/>
    </x:row>
    <x:row r="492">
      <x:c r="A492" s="46"/>
      <x:c r="B492" s="46"/>
      <x:c r="C492" s="46"/>
      <x:c r="D492" s="46"/>
      <x:c r="E492" s="46"/>
      <x:c r="F492" s="46"/>
      <x:c r="G492" s="46"/>
      <x:c r="H492" s="46"/>
      <x:c r="I492" s="46"/>
      <x:c r="J492" s="46"/>
      <x:c r="K492" s="46"/>
      <x:c r="L492" s="46"/>
      <x:c r="M492" s="46"/>
      <x:c r="N492" s="46"/>
      <x:c r="O492" s="46"/>
      <x:c r="P492" s="46"/>
      <x:c r="Q492" s="46"/>
      <x:c r="R492" s="46"/>
    </x:row>
    <x:row r="493">
      <x:c r="A493" s="46"/>
      <x:c r="B493" s="46"/>
      <x:c r="C493" s="46"/>
      <x:c r="D493" s="46"/>
      <x:c r="E493" s="46"/>
      <x:c r="F493" s="46"/>
      <x:c r="G493" s="46"/>
      <x:c r="H493" s="46"/>
      <x:c r="I493" s="46"/>
      <x:c r="J493" s="46"/>
      <x:c r="K493" s="46"/>
      <x:c r="L493" s="46"/>
      <x:c r="M493" s="46"/>
      <x:c r="N493" s="46"/>
      <x:c r="O493" s="46"/>
      <x:c r="P493" s="46"/>
      <x:c r="Q493" s="46"/>
      <x:c r="R493" s="46"/>
    </x:row>
    <x:row r="494">
      <x:c r="A494" s="46"/>
      <x:c r="B494" s="46"/>
      <x:c r="C494" s="46"/>
      <x:c r="D494" s="46"/>
      <x:c r="E494" s="46"/>
      <x:c r="F494" s="46"/>
      <x:c r="G494" s="46"/>
      <x:c r="H494" s="46"/>
      <x:c r="I494" s="46"/>
      <x:c r="J494" s="46"/>
      <x:c r="K494" s="46"/>
      <x:c r="L494" s="46"/>
      <x:c r="M494" s="46"/>
      <x:c r="N494" s="46"/>
      <x:c r="O494" s="46"/>
      <x:c r="P494" s="46"/>
      <x:c r="Q494" s="46"/>
      <x:c r="R494" s="46"/>
    </x:row>
    <x:row r="495">
      <x:c r="A495" s="46"/>
      <x:c r="B495" s="46"/>
      <x:c r="C495" s="46"/>
      <x:c r="D495" s="46"/>
      <x:c r="E495" s="46"/>
      <x:c r="F495" s="46"/>
      <x:c r="G495" s="46"/>
      <x:c r="H495" s="46"/>
      <x:c r="I495" s="46"/>
      <x:c r="J495" s="46"/>
      <x:c r="K495" s="46"/>
      <x:c r="L495" s="46"/>
      <x:c r="M495" s="46"/>
      <x:c r="N495" s="46"/>
      <x:c r="O495" s="46"/>
      <x:c r="P495" s="46"/>
      <x:c r="Q495" s="46"/>
      <x:c r="R495" s="46"/>
    </x:row>
    <x:row r="496">
      <x:c r="A496" s="46"/>
      <x:c r="B496" s="46"/>
      <x:c r="C496" s="46"/>
      <x:c r="D496" s="46"/>
      <x:c r="E496" s="46"/>
      <x:c r="F496" s="46"/>
      <x:c r="G496" s="46"/>
      <x:c r="H496" s="46"/>
      <x:c r="I496" s="46"/>
      <x:c r="J496" s="46"/>
      <x:c r="K496" s="46"/>
      <x:c r="L496" s="46"/>
      <x:c r="M496" s="46"/>
      <x:c r="N496" s="46"/>
      <x:c r="O496" s="46"/>
      <x:c r="P496" s="46"/>
      <x:c r="Q496" s="46"/>
      <x:c r="R496" s="46"/>
    </x:row>
    <x:row r="497">
      <x:c r="A497" s="46"/>
      <x:c r="B497" s="46"/>
      <x:c r="C497" s="46"/>
      <x:c r="D497" s="46"/>
      <x:c r="E497" s="46"/>
      <x:c r="F497" s="46"/>
      <x:c r="G497" s="46"/>
      <x:c r="H497" s="46"/>
      <x:c r="I497" s="46"/>
      <x:c r="J497" s="46"/>
      <x:c r="K497" s="46"/>
      <x:c r="L497" s="46"/>
      <x:c r="M497" s="46"/>
      <x:c r="N497" s="46"/>
      <x:c r="O497" s="46"/>
      <x:c r="P497" s="46"/>
      <x:c r="Q497" s="46"/>
      <x:c r="R497" s="46"/>
    </x:row>
    <x:row r="498">
      <x:c r="A498" s="46"/>
      <x:c r="B498" s="46"/>
      <x:c r="C498" s="46"/>
      <x:c r="D498" s="46"/>
      <x:c r="E498" s="46"/>
      <x:c r="F498" s="46"/>
      <x:c r="G498" s="46"/>
      <x:c r="H498" s="46"/>
      <x:c r="I498" s="46"/>
      <x:c r="J498" s="46"/>
      <x:c r="K498" s="46"/>
      <x:c r="L498" s="46"/>
      <x:c r="M498" s="46"/>
      <x:c r="N498" s="46"/>
      <x:c r="O498" s="46"/>
      <x:c r="P498" s="46"/>
      <x:c r="Q498" s="46"/>
      <x:c r="R498" s="46"/>
    </x:row>
    <x:row r="499">
      <x:c r="A499" s="46"/>
      <x:c r="B499" s="46"/>
      <x:c r="C499" s="46"/>
      <x:c r="D499" s="46"/>
      <x:c r="E499" s="46"/>
      <x:c r="F499" s="46"/>
      <x:c r="G499" s="46"/>
      <x:c r="H499" s="46"/>
      <x:c r="I499" s="46"/>
      <x:c r="J499" s="46"/>
      <x:c r="K499" s="46"/>
      <x:c r="L499" s="46"/>
      <x:c r="M499" s="46"/>
      <x:c r="N499" s="46"/>
      <x:c r="O499" s="46"/>
      <x:c r="P499" s="46"/>
      <x:c r="Q499" s="46"/>
      <x:c r="R499" s="46"/>
    </x:row>
    <x:row r="500">
      <x:c r="A500" s="46"/>
      <x:c r="B500" s="46"/>
      <x:c r="C500" s="46"/>
      <x:c r="D500" s="46"/>
      <x:c r="E500" s="46"/>
      <x:c r="F500" s="46"/>
      <x:c r="G500" s="46"/>
      <x:c r="H500" s="46"/>
      <x:c r="I500" s="46"/>
      <x:c r="J500" s="46"/>
      <x:c r="K500" s="46"/>
      <x:c r="L500" s="46"/>
      <x:c r="M500" s="46"/>
      <x:c r="N500" s="46"/>
      <x:c r="O500" s="46"/>
      <x:c r="P500" s="46"/>
      <x:c r="Q500" s="46"/>
      <x:c r="R500" s="46"/>
    </x:row>
    <x:row r="501">
      <x:c r="A501" s="46"/>
      <x:c r="B501" s="46"/>
      <x:c r="C501" s="46"/>
      <x:c r="D501" s="46"/>
      <x:c r="E501" s="46"/>
      <x:c r="F501" s="46"/>
      <x:c r="G501" s="46"/>
      <x:c r="H501" s="46"/>
      <x:c r="I501" s="46"/>
      <x:c r="J501" s="46"/>
      <x:c r="K501" s="46"/>
      <x:c r="L501" s="46"/>
      <x:c r="M501" s="46"/>
      <x:c r="N501" s="46"/>
      <x:c r="O501" s="46"/>
      <x:c r="P501" s="46"/>
      <x:c r="Q501" s="46"/>
      <x:c r="R501" s="46"/>
    </x:row>
    <x:row r="502">
      <x:c r="A502" s="46"/>
      <x:c r="B502" s="46"/>
      <x:c r="C502" s="46"/>
      <x:c r="D502" s="46"/>
      <x:c r="E502" s="46"/>
      <x:c r="F502" s="46"/>
      <x:c r="G502" s="46"/>
      <x:c r="H502" s="46"/>
      <x:c r="I502" s="46"/>
      <x:c r="J502" s="46"/>
      <x:c r="K502" s="46"/>
      <x:c r="L502" s="46"/>
      <x:c r="M502" s="46"/>
      <x:c r="N502" s="46"/>
      <x:c r="O502" s="46"/>
      <x:c r="P502" s="46"/>
      <x:c r="Q502" s="46"/>
      <x:c r="R502" s="46"/>
    </x:row>
    <x:row r="503">
      <x:c r="A503" s="46"/>
      <x:c r="B503" s="46"/>
      <x:c r="C503" s="46"/>
      <x:c r="D503" s="46"/>
      <x:c r="E503" s="46"/>
      <x:c r="F503" s="46"/>
      <x:c r="G503" s="46"/>
      <x:c r="H503" s="46"/>
      <x:c r="I503" s="46"/>
      <x:c r="J503" s="46"/>
      <x:c r="K503" s="46"/>
      <x:c r="L503" s="46"/>
      <x:c r="M503" s="46"/>
      <x:c r="N503" s="46"/>
      <x:c r="O503" s="46"/>
      <x:c r="P503" s="46"/>
      <x:c r="Q503" s="46"/>
      <x:c r="R503" s="46"/>
    </x:row>
    <x:row r="504">
      <x:c r="A504" s="46"/>
      <x:c r="B504" s="46"/>
      <x:c r="C504" s="46"/>
      <x:c r="D504" s="46"/>
      <x:c r="E504" s="46"/>
      <x:c r="F504" s="46"/>
      <x:c r="G504" s="46"/>
      <x:c r="H504" s="46"/>
      <x:c r="I504" s="46"/>
      <x:c r="J504" s="46"/>
      <x:c r="K504" s="46"/>
      <x:c r="L504" s="46"/>
      <x:c r="M504" s="46"/>
      <x:c r="N504" s="46"/>
      <x:c r="O504" s="46"/>
      <x:c r="P504" s="46"/>
      <x:c r="Q504" s="46"/>
      <x:c r="R504" s="46"/>
    </x:row>
    <x:row r="505">
      <x:c r="A505" s="46"/>
      <x:c r="B505" s="46"/>
      <x:c r="C505" s="46"/>
      <x:c r="D505" s="46"/>
      <x:c r="E505" s="46"/>
      <x:c r="F505" s="46"/>
      <x:c r="G505" s="46"/>
      <x:c r="H505" s="46"/>
      <x:c r="I505" s="46"/>
      <x:c r="J505" s="46"/>
      <x:c r="K505" s="46"/>
      <x:c r="L505" s="46"/>
      <x:c r="M505" s="46"/>
      <x:c r="N505" s="46"/>
      <x:c r="O505" s="46"/>
      <x:c r="P505" s="46"/>
      <x:c r="Q505" s="46"/>
      <x:c r="R505" s="46"/>
    </x:row>
    <x:row r="506">
      <x:c r="A506" s="46"/>
      <x:c r="B506" s="46"/>
      <x:c r="C506" s="46"/>
      <x:c r="D506" s="46"/>
      <x:c r="E506" s="46"/>
      <x:c r="F506" s="46"/>
      <x:c r="G506" s="46"/>
      <x:c r="H506" s="46"/>
      <x:c r="I506" s="46"/>
      <x:c r="J506" s="46"/>
      <x:c r="K506" s="46"/>
      <x:c r="L506" s="46"/>
      <x:c r="M506" s="46"/>
      <x:c r="N506" s="46"/>
      <x:c r="O506" s="46"/>
      <x:c r="P506" s="46"/>
      <x:c r="Q506" s="46"/>
      <x:c r="R506" s="46"/>
    </x:row>
    <x:row r="507">
      <x:c r="A507" s="46"/>
      <x:c r="B507" s="46"/>
      <x:c r="C507" s="46"/>
      <x:c r="D507" s="46"/>
      <x:c r="E507" s="46"/>
      <x:c r="F507" s="46"/>
      <x:c r="G507" s="46"/>
      <x:c r="H507" s="46"/>
      <x:c r="I507" s="46"/>
      <x:c r="J507" s="46"/>
      <x:c r="K507" s="46"/>
      <x:c r="L507" s="46"/>
      <x:c r="M507" s="46"/>
      <x:c r="N507" s="46"/>
      <x:c r="O507" s="46"/>
      <x:c r="P507" s="46"/>
      <x:c r="Q507" s="46"/>
      <x:c r="R507" s="46"/>
    </x:row>
    <x:row r="508">
      <x:c r="A508" s="46"/>
      <x:c r="B508" s="46"/>
      <x:c r="C508" s="46"/>
      <x:c r="D508" s="46"/>
      <x:c r="E508" s="46"/>
      <x:c r="F508" s="46"/>
      <x:c r="G508" s="46"/>
      <x:c r="H508" s="46"/>
      <x:c r="I508" s="46"/>
      <x:c r="J508" s="46"/>
      <x:c r="K508" s="46"/>
      <x:c r="L508" s="46"/>
      <x:c r="M508" s="46"/>
      <x:c r="N508" s="46"/>
      <x:c r="O508" s="46"/>
      <x:c r="P508" s="46"/>
      <x:c r="Q508" s="46"/>
      <x:c r="R508" s="46"/>
    </x:row>
    <x:row r="509">
      <x:c r="A509" s="46"/>
      <x:c r="B509" s="46"/>
      <x:c r="C509" s="46"/>
      <x:c r="D509" s="46"/>
      <x:c r="E509" s="46"/>
      <x:c r="F509" s="46"/>
      <x:c r="G509" s="46"/>
      <x:c r="H509" s="46"/>
      <x:c r="I509" s="46"/>
      <x:c r="J509" s="46"/>
      <x:c r="K509" s="46"/>
      <x:c r="L509" s="46"/>
      <x:c r="M509" s="46"/>
      <x:c r="N509" s="46"/>
      <x:c r="O509" s="46"/>
      <x:c r="P509" s="46"/>
      <x:c r="Q509" s="46"/>
      <x:c r="R509" s="46"/>
    </x:row>
    <x:row r="510">
      <x:c r="A510" s="46"/>
      <x:c r="B510" s="46"/>
      <x:c r="C510" s="46"/>
      <x:c r="D510" s="46"/>
      <x:c r="E510" s="46"/>
      <x:c r="F510" s="46"/>
      <x:c r="G510" s="46"/>
      <x:c r="H510" s="46"/>
      <x:c r="I510" s="46"/>
      <x:c r="J510" s="46"/>
      <x:c r="K510" s="46"/>
      <x:c r="L510" s="46"/>
      <x:c r="M510" s="46"/>
      <x:c r="N510" s="46"/>
      <x:c r="O510" s="46"/>
      <x:c r="P510" s="46"/>
      <x:c r="Q510" s="46"/>
      <x:c r="R510" s="46"/>
    </x:row>
    <x:row r="511">
      <x:c r="A511" s="46"/>
      <x:c r="B511" s="46"/>
      <x:c r="C511" s="46"/>
      <x:c r="D511" s="46"/>
      <x:c r="E511" s="46"/>
      <x:c r="F511" s="46"/>
      <x:c r="G511" s="46"/>
      <x:c r="H511" s="46"/>
      <x:c r="I511" s="46"/>
      <x:c r="J511" s="46"/>
      <x:c r="K511" s="46"/>
      <x:c r="L511" s="46"/>
      <x:c r="M511" s="46"/>
      <x:c r="N511" s="46"/>
      <x:c r="O511" s="46"/>
      <x:c r="P511" s="46"/>
      <x:c r="Q511" s="46"/>
      <x:c r="R511" s="46"/>
    </x:row>
    <x:row r="512">
      <x:c r="A512" s="46"/>
      <x:c r="B512" s="46"/>
      <x:c r="C512" s="46"/>
      <x:c r="D512" s="46"/>
      <x:c r="E512" s="46"/>
      <x:c r="F512" s="46"/>
      <x:c r="G512" s="46"/>
      <x:c r="H512" s="46"/>
      <x:c r="I512" s="46"/>
      <x:c r="J512" s="46"/>
      <x:c r="K512" s="46"/>
      <x:c r="L512" s="46"/>
      <x:c r="M512" s="46"/>
      <x:c r="N512" s="46"/>
      <x:c r="O512" s="46"/>
      <x:c r="P512" s="46"/>
      <x:c r="Q512" s="46"/>
      <x:c r="R512" s="46"/>
    </x:row>
    <x:row r="513">
      <x:c r="A513" s="46"/>
      <x:c r="B513" s="46"/>
      <x:c r="C513" s="46"/>
      <x:c r="D513" s="46"/>
      <x:c r="E513" s="46"/>
      <x:c r="F513" s="46"/>
      <x:c r="G513" s="46"/>
      <x:c r="H513" s="46"/>
      <x:c r="I513" s="46"/>
      <x:c r="J513" s="46"/>
      <x:c r="K513" s="46"/>
      <x:c r="L513" s="46"/>
      <x:c r="M513" s="46"/>
      <x:c r="N513" s="46"/>
      <x:c r="O513" s="46"/>
      <x:c r="P513" s="46"/>
      <x:c r="Q513" s="46"/>
      <x:c r="R513" s="46"/>
    </x:row>
    <x:row r="514">
      <x:c r="A514" s="46"/>
      <x:c r="B514" s="46"/>
      <x:c r="C514" s="46"/>
      <x:c r="D514" s="46"/>
      <x:c r="E514" s="46"/>
      <x:c r="F514" s="46"/>
      <x:c r="G514" s="46"/>
      <x:c r="H514" s="46"/>
      <x:c r="I514" s="46"/>
      <x:c r="J514" s="46"/>
      <x:c r="K514" s="46"/>
      <x:c r="L514" s="46"/>
      <x:c r="M514" s="46"/>
      <x:c r="N514" s="46"/>
      <x:c r="O514" s="46"/>
      <x:c r="P514" s="46"/>
      <x:c r="Q514" s="46"/>
      <x:c r="R514" s="46"/>
    </x:row>
    <x:row r="515">
      <x:c r="A515" s="46"/>
      <x:c r="B515" s="46"/>
      <x:c r="C515" s="46"/>
      <x:c r="D515" s="46"/>
      <x:c r="E515" s="46"/>
      <x:c r="F515" s="46"/>
      <x:c r="G515" s="46"/>
      <x:c r="H515" s="46"/>
      <x:c r="I515" s="46"/>
      <x:c r="J515" s="46"/>
      <x:c r="K515" s="46"/>
      <x:c r="L515" s="46"/>
      <x:c r="M515" s="46"/>
      <x:c r="N515" s="46"/>
      <x:c r="O515" s="46"/>
      <x:c r="P515" s="46"/>
      <x:c r="Q515" s="46"/>
      <x:c r="R515" s="46"/>
    </x:row>
    <x:row r="516">
      <x:c r="A516" s="46"/>
      <x:c r="B516" s="46"/>
      <x:c r="C516" s="46"/>
      <x:c r="D516" s="46"/>
      <x:c r="E516" s="46"/>
      <x:c r="F516" s="46"/>
      <x:c r="G516" s="46"/>
      <x:c r="H516" s="46"/>
      <x:c r="I516" s="46"/>
      <x:c r="J516" s="46"/>
      <x:c r="K516" s="46"/>
      <x:c r="L516" s="46"/>
      <x:c r="M516" s="46"/>
      <x:c r="N516" s="46"/>
      <x:c r="O516" s="46"/>
      <x:c r="P516" s="46"/>
      <x:c r="Q516" s="46"/>
      <x:c r="R516" s="46"/>
    </x:row>
    <x:row r="517">
      <x:c r="A517" s="46"/>
      <x:c r="B517" s="46"/>
      <x:c r="C517" s="46"/>
      <x:c r="D517" s="46"/>
      <x:c r="E517" s="46"/>
      <x:c r="F517" s="46"/>
      <x:c r="G517" s="46"/>
      <x:c r="H517" s="46"/>
      <x:c r="I517" s="46"/>
      <x:c r="J517" s="46"/>
      <x:c r="K517" s="46"/>
      <x:c r="L517" s="46"/>
      <x:c r="M517" s="46"/>
      <x:c r="N517" s="46"/>
      <x:c r="O517" s="46"/>
      <x:c r="P517" s="46"/>
      <x:c r="Q517" s="46"/>
      <x:c r="R517" s="46"/>
    </x:row>
    <x:row r="518">
      <x:c r="A518" s="46"/>
      <x:c r="B518" s="46"/>
      <x:c r="C518" s="46"/>
      <x:c r="D518" s="46"/>
      <x:c r="E518" s="46"/>
      <x:c r="F518" s="46"/>
      <x:c r="G518" s="46"/>
      <x:c r="H518" s="46"/>
      <x:c r="I518" s="46"/>
      <x:c r="J518" s="46"/>
      <x:c r="K518" s="46"/>
      <x:c r="L518" s="46"/>
      <x:c r="M518" s="46"/>
      <x:c r="N518" s="46"/>
      <x:c r="O518" s="46"/>
      <x:c r="P518" s="46"/>
      <x:c r="Q518" s="46"/>
      <x:c r="R518" s="46"/>
    </x:row>
    <x:row r="519">
      <x:c r="A519" s="46"/>
      <x:c r="B519" s="46"/>
      <x:c r="C519" s="46"/>
      <x:c r="D519" s="46"/>
      <x:c r="E519" s="46"/>
      <x:c r="F519" s="46"/>
      <x:c r="G519" s="46"/>
      <x:c r="H519" s="46"/>
      <x:c r="I519" s="46"/>
      <x:c r="J519" s="46"/>
      <x:c r="K519" s="46"/>
      <x:c r="L519" s="46"/>
      <x:c r="M519" s="46"/>
      <x:c r="N519" s="46"/>
      <x:c r="O519" s="46"/>
      <x:c r="P519" s="46"/>
      <x:c r="Q519" s="46"/>
      <x:c r="R519" s="46"/>
    </x:row>
    <x:row r="520">
      <x:c r="A520" s="46"/>
      <x:c r="B520" s="46"/>
      <x:c r="C520" s="46"/>
      <x:c r="D520" s="46"/>
      <x:c r="E520" s="46"/>
      <x:c r="F520" s="46"/>
      <x:c r="G520" s="46"/>
      <x:c r="H520" s="46"/>
      <x:c r="I520" s="46"/>
      <x:c r="J520" s="46"/>
      <x:c r="K520" s="46"/>
      <x:c r="L520" s="46"/>
      <x:c r="M520" s="46"/>
      <x:c r="N520" s="46"/>
      <x:c r="O520" s="46"/>
      <x:c r="P520" s="46"/>
      <x:c r="Q520" s="46"/>
      <x:c r="R520" s="46"/>
    </x:row>
    <x:row r="521">
      <x:c r="A521" s="46"/>
      <x:c r="B521" s="46"/>
      <x:c r="C521" s="46"/>
      <x:c r="D521" s="46"/>
      <x:c r="E521" s="46"/>
      <x:c r="F521" s="46"/>
      <x:c r="G521" s="46"/>
      <x:c r="H521" s="46"/>
      <x:c r="I521" s="46"/>
      <x:c r="J521" s="46"/>
      <x:c r="K521" s="46"/>
      <x:c r="L521" s="46"/>
      <x:c r="M521" s="46"/>
      <x:c r="N521" s="46"/>
      <x:c r="O521" s="46"/>
      <x:c r="P521" s="46"/>
      <x:c r="Q521" s="46"/>
      <x:c r="R521" s="46"/>
    </x:row>
    <x:row r="522">
      <x:c r="A522" s="46"/>
      <x:c r="B522" s="46"/>
      <x:c r="C522" s="46"/>
      <x:c r="D522" s="46"/>
      <x:c r="E522" s="46"/>
      <x:c r="F522" s="46"/>
      <x:c r="G522" s="46"/>
      <x:c r="H522" s="46"/>
      <x:c r="I522" s="46"/>
      <x:c r="J522" s="46"/>
      <x:c r="K522" s="46"/>
      <x:c r="L522" s="46"/>
      <x:c r="M522" s="46"/>
      <x:c r="N522" s="46"/>
      <x:c r="O522" s="46"/>
      <x:c r="P522" s="46"/>
      <x:c r="Q522" s="46"/>
      <x:c r="R522" s="46"/>
    </x:row>
    <x:row r="523">
      <x:c r="A523" s="46"/>
      <x:c r="B523" s="46"/>
      <x:c r="C523" s="46"/>
      <x:c r="D523" s="46"/>
      <x:c r="E523" s="46"/>
      <x:c r="F523" s="46"/>
      <x:c r="G523" s="46"/>
      <x:c r="H523" s="46"/>
      <x:c r="I523" s="46"/>
      <x:c r="J523" s="46"/>
      <x:c r="K523" s="46"/>
      <x:c r="L523" s="46"/>
      <x:c r="M523" s="46"/>
      <x:c r="N523" s="46"/>
      <x:c r="O523" s="46"/>
      <x:c r="P523" s="46"/>
      <x:c r="Q523" s="46"/>
      <x:c r="R523" s="46"/>
    </x:row>
    <x:row r="524">
      <x:c r="A524" s="46"/>
      <x:c r="B524" s="46"/>
      <x:c r="C524" s="46"/>
      <x:c r="D524" s="46"/>
      <x:c r="E524" s="46"/>
      <x:c r="F524" s="46"/>
      <x:c r="G524" s="46"/>
      <x:c r="H524" s="46"/>
      <x:c r="I524" s="46"/>
      <x:c r="J524" s="46"/>
      <x:c r="K524" s="46"/>
      <x:c r="L524" s="46"/>
      <x:c r="M524" s="46"/>
      <x:c r="N524" s="46"/>
      <x:c r="O524" s="46"/>
      <x:c r="P524" s="46"/>
      <x:c r="Q524" s="46"/>
      <x:c r="R524" s="46"/>
    </x:row>
    <x:row r="525">
      <x:c r="A525" s="46"/>
      <x:c r="B525" s="46"/>
      <x:c r="C525" s="46"/>
      <x:c r="D525" s="46"/>
      <x:c r="E525" s="46"/>
      <x:c r="F525" s="46"/>
      <x:c r="G525" s="46"/>
      <x:c r="H525" s="46"/>
      <x:c r="I525" s="46"/>
      <x:c r="J525" s="46"/>
      <x:c r="K525" s="46"/>
      <x:c r="L525" s="46"/>
      <x:c r="M525" s="46"/>
      <x:c r="N525" s="46"/>
      <x:c r="O525" s="46"/>
      <x:c r="P525" s="46"/>
      <x:c r="Q525" s="46"/>
      <x:c r="R525" s="46"/>
    </x:row>
    <x:row r="526">
      <x:c r="A526" s="46"/>
      <x:c r="B526" s="46"/>
      <x:c r="C526" s="46"/>
      <x:c r="D526" s="46"/>
      <x:c r="E526" s="46"/>
      <x:c r="F526" s="46"/>
      <x:c r="G526" s="46"/>
      <x:c r="H526" s="46"/>
      <x:c r="I526" s="46"/>
      <x:c r="J526" s="46"/>
      <x:c r="K526" s="46"/>
      <x:c r="L526" s="46"/>
      <x:c r="M526" s="46"/>
      <x:c r="N526" s="46"/>
      <x:c r="O526" s="46"/>
      <x:c r="P526" s="46"/>
      <x:c r="Q526" s="46"/>
      <x:c r="R526" s="46"/>
    </x:row>
    <x:row r="527">
      <x:c r="A527" s="46"/>
      <x:c r="B527" s="46"/>
      <x:c r="C527" s="46"/>
      <x:c r="D527" s="46"/>
      <x:c r="E527" s="46"/>
      <x:c r="F527" s="46"/>
      <x:c r="G527" s="46"/>
      <x:c r="H527" s="46"/>
      <x:c r="I527" s="46"/>
      <x:c r="J527" s="46"/>
      <x:c r="K527" s="46"/>
      <x:c r="L527" s="46"/>
      <x:c r="M527" s="46"/>
      <x:c r="N527" s="46"/>
      <x:c r="O527" s="46"/>
      <x:c r="P527" s="46"/>
      <x:c r="Q527" s="46"/>
      <x:c r="R527" s="46"/>
    </x:row>
    <x:row r="528">
      <x:c r="A528" s="46"/>
      <x:c r="B528" s="46"/>
      <x:c r="C528" s="46"/>
      <x:c r="D528" s="46"/>
      <x:c r="E528" s="46"/>
      <x:c r="F528" s="46"/>
      <x:c r="G528" s="46"/>
      <x:c r="H528" s="46"/>
      <x:c r="I528" s="46"/>
      <x:c r="J528" s="46"/>
      <x:c r="K528" s="46"/>
      <x:c r="L528" s="46"/>
      <x:c r="M528" s="46"/>
      <x:c r="N528" s="46"/>
      <x:c r="O528" s="46"/>
      <x:c r="P528" s="46"/>
      <x:c r="Q528" s="46"/>
      <x:c r="R528" s="46"/>
    </x:row>
    <x:row r="529">
      <x:c r="A529" s="46"/>
      <x:c r="B529" s="46"/>
      <x:c r="C529" s="46"/>
      <x:c r="D529" s="46"/>
      <x:c r="E529" s="46"/>
      <x:c r="F529" s="46"/>
      <x:c r="G529" s="46"/>
      <x:c r="H529" s="46"/>
      <x:c r="I529" s="46"/>
      <x:c r="J529" s="46"/>
      <x:c r="K529" s="46"/>
      <x:c r="L529" s="46"/>
      <x:c r="M529" s="46"/>
      <x:c r="N529" s="46"/>
      <x:c r="O529" s="46"/>
      <x:c r="P529" s="46"/>
      <x:c r="Q529" s="46"/>
      <x:c r="R529" s="46"/>
    </x:row>
    <x:row r="530">
      <x:c r="A530" s="46"/>
      <x:c r="B530" s="46"/>
      <x:c r="C530" s="46"/>
      <x:c r="D530" s="46"/>
      <x:c r="E530" s="46"/>
      <x:c r="F530" s="46"/>
      <x:c r="G530" s="46"/>
      <x:c r="H530" s="46"/>
      <x:c r="I530" s="46"/>
      <x:c r="J530" s="46"/>
      <x:c r="K530" s="46"/>
      <x:c r="L530" s="46"/>
      <x:c r="M530" s="46"/>
      <x:c r="N530" s="46"/>
      <x:c r="O530" s="46"/>
      <x:c r="P530" s="46"/>
      <x:c r="Q530" s="46"/>
      <x:c r="R530" s="46"/>
    </x:row>
    <x:row r="531">
      <x:c r="A531" s="46"/>
      <x:c r="B531" s="46"/>
      <x:c r="C531" s="46"/>
      <x:c r="D531" s="46"/>
      <x:c r="E531" s="46"/>
      <x:c r="F531" s="46"/>
      <x:c r="G531" s="46"/>
      <x:c r="H531" s="46"/>
      <x:c r="I531" s="46"/>
      <x:c r="J531" s="46"/>
      <x:c r="K531" s="46"/>
      <x:c r="L531" s="46"/>
      <x:c r="M531" s="46"/>
      <x:c r="N531" s="46"/>
      <x:c r="O531" s="46"/>
      <x:c r="P531" s="46"/>
      <x:c r="Q531" s="46"/>
      <x:c r="R531" s="46"/>
    </x:row>
    <x:row r="532">
      <x:c r="A532" s="46"/>
      <x:c r="B532" s="46"/>
      <x:c r="C532" s="46"/>
      <x:c r="D532" s="46"/>
      <x:c r="E532" s="46"/>
      <x:c r="F532" s="46"/>
      <x:c r="G532" s="46"/>
      <x:c r="H532" s="46"/>
      <x:c r="I532" s="46"/>
      <x:c r="J532" s="46"/>
      <x:c r="K532" s="46"/>
      <x:c r="L532" s="46"/>
      <x:c r="M532" s="46"/>
      <x:c r="N532" s="46"/>
      <x:c r="O532" s="46"/>
      <x:c r="P532" s="46"/>
      <x:c r="Q532" s="46"/>
      <x:c r="R532" s="46"/>
    </x:row>
    <x:row r="533">
      <x:c r="A533" s="46"/>
      <x:c r="B533" s="46"/>
      <x:c r="C533" s="46"/>
      <x:c r="D533" s="46"/>
      <x:c r="E533" s="46"/>
      <x:c r="F533" s="46"/>
      <x:c r="G533" s="46"/>
      <x:c r="H533" s="46"/>
      <x:c r="I533" s="46"/>
      <x:c r="J533" s="46"/>
      <x:c r="K533" s="46"/>
      <x:c r="L533" s="46"/>
      <x:c r="M533" s="46"/>
      <x:c r="N533" s="46"/>
      <x:c r="O533" s="46"/>
      <x:c r="P533" s="46"/>
      <x:c r="Q533" s="46"/>
      <x:c r="R533" s="46"/>
    </x:row>
    <x:row r="534">
      <x:c r="A534" s="46"/>
      <x:c r="B534" s="46"/>
      <x:c r="C534" s="46"/>
      <x:c r="D534" s="46"/>
      <x:c r="E534" s="46"/>
      <x:c r="F534" s="46"/>
      <x:c r="G534" s="46"/>
      <x:c r="H534" s="46"/>
      <x:c r="I534" s="46"/>
      <x:c r="J534" s="46"/>
      <x:c r="K534" s="46"/>
      <x:c r="L534" s="46"/>
      <x:c r="M534" s="46"/>
      <x:c r="N534" s="46"/>
      <x:c r="O534" s="46"/>
      <x:c r="P534" s="46"/>
      <x:c r="Q534" s="46"/>
      <x:c r="R534" s="46"/>
    </x:row>
    <x:row r="535">
      <x:c r="A535" s="46"/>
      <x:c r="B535" s="46"/>
      <x:c r="C535" s="46"/>
      <x:c r="D535" s="46"/>
      <x:c r="E535" s="46"/>
      <x:c r="F535" s="46"/>
      <x:c r="G535" s="46"/>
      <x:c r="H535" s="46"/>
      <x:c r="I535" s="46"/>
      <x:c r="J535" s="46"/>
      <x:c r="K535" s="46"/>
      <x:c r="L535" s="46"/>
      <x:c r="M535" s="46"/>
      <x:c r="N535" s="46"/>
      <x:c r="O535" s="46"/>
      <x:c r="P535" s="46"/>
      <x:c r="Q535" s="46"/>
      <x:c r="R535" s="46"/>
    </x:row>
    <x:row r="536">
      <x:c r="A536" s="46"/>
      <x:c r="B536" s="46"/>
      <x:c r="C536" s="46"/>
      <x:c r="D536" s="46"/>
      <x:c r="E536" s="46"/>
      <x:c r="F536" s="46"/>
      <x:c r="G536" s="46"/>
      <x:c r="H536" s="46"/>
      <x:c r="I536" s="46"/>
      <x:c r="J536" s="46"/>
      <x:c r="K536" s="46"/>
      <x:c r="L536" s="46"/>
      <x:c r="M536" s="46"/>
      <x:c r="N536" s="46"/>
      <x:c r="O536" s="46"/>
      <x:c r="P536" s="46"/>
      <x:c r="Q536" s="46"/>
      <x:c r="R536" s="46"/>
    </x:row>
    <x:row r="537">
      <x:c r="A537" s="46"/>
      <x:c r="B537" s="46"/>
      <x:c r="C537" s="46"/>
      <x:c r="D537" s="46"/>
      <x:c r="E537" s="46"/>
      <x:c r="F537" s="46"/>
      <x:c r="G537" s="46"/>
      <x:c r="H537" s="46"/>
      <x:c r="I537" s="46"/>
      <x:c r="J537" s="46"/>
      <x:c r="K537" s="46"/>
      <x:c r="L537" s="46"/>
      <x:c r="M537" s="46"/>
      <x:c r="N537" s="46"/>
      <x:c r="O537" s="46"/>
      <x:c r="P537" s="46"/>
      <x:c r="Q537" s="46"/>
      <x:c r="R537" s="46"/>
    </x:row>
    <x:row r="538">
      <x:c r="A538" s="46"/>
      <x:c r="B538" s="46"/>
      <x:c r="C538" s="46"/>
      <x:c r="D538" s="46"/>
      <x:c r="E538" s="46"/>
      <x:c r="F538" s="46"/>
      <x:c r="G538" s="46"/>
      <x:c r="H538" s="46"/>
      <x:c r="I538" s="46"/>
      <x:c r="J538" s="46"/>
      <x:c r="K538" s="46"/>
      <x:c r="L538" s="46"/>
      <x:c r="M538" s="46"/>
      <x:c r="N538" s="46"/>
      <x:c r="O538" s="46"/>
      <x:c r="P538" s="46"/>
      <x:c r="Q538" s="46"/>
      <x:c r="R538" s="46"/>
    </x:row>
    <x:row r="539">
      <x:c r="A539" s="46"/>
      <x:c r="B539" s="46"/>
      <x:c r="C539" s="46"/>
      <x:c r="D539" s="46"/>
      <x:c r="E539" s="46"/>
      <x:c r="F539" s="46"/>
      <x:c r="G539" s="46"/>
      <x:c r="H539" s="46"/>
      <x:c r="I539" s="46"/>
      <x:c r="J539" s="46"/>
      <x:c r="K539" s="46"/>
      <x:c r="L539" s="46"/>
      <x:c r="M539" s="46"/>
      <x:c r="N539" s="46"/>
      <x:c r="O539" s="46"/>
      <x:c r="P539" s="46"/>
      <x:c r="Q539" s="46"/>
      <x:c r="R539" s="46"/>
    </x:row>
    <x:row r="540">
      <x:c r="A540" s="46"/>
      <x:c r="B540" s="46"/>
      <x:c r="C540" s="46"/>
      <x:c r="D540" s="46"/>
      <x:c r="E540" s="46"/>
      <x:c r="F540" s="46"/>
      <x:c r="G540" s="46"/>
      <x:c r="H540" s="46"/>
      <x:c r="I540" s="46"/>
      <x:c r="J540" s="46"/>
      <x:c r="K540" s="46"/>
      <x:c r="L540" s="46"/>
      <x:c r="M540" s="46"/>
      <x:c r="N540" s="46"/>
      <x:c r="O540" s="46"/>
      <x:c r="P540" s="46"/>
      <x:c r="Q540" s="46"/>
      <x:c r="R540" s="46"/>
    </x:row>
    <x:row r="541">
      <x:c r="A541" s="46"/>
      <x:c r="B541" s="46"/>
      <x:c r="C541" s="46"/>
      <x:c r="D541" s="46"/>
      <x:c r="E541" s="46"/>
      <x:c r="F541" s="46"/>
      <x:c r="G541" s="46"/>
      <x:c r="H541" s="46"/>
      <x:c r="I541" s="46"/>
      <x:c r="J541" s="46"/>
      <x:c r="K541" s="46"/>
      <x:c r="L541" s="46"/>
      <x:c r="M541" s="46"/>
      <x:c r="N541" s="46"/>
      <x:c r="O541" s="46"/>
      <x:c r="P541" s="46"/>
      <x:c r="Q541" s="46"/>
      <x:c r="R541" s="46"/>
    </x:row>
    <x:row r="542">
      <x:c r="A542" s="46"/>
      <x:c r="B542" s="46"/>
      <x:c r="C542" s="46"/>
      <x:c r="D542" s="46"/>
      <x:c r="E542" s="46"/>
      <x:c r="F542" s="46"/>
      <x:c r="G542" s="46"/>
      <x:c r="H542" s="46"/>
      <x:c r="I542" s="46"/>
      <x:c r="J542" s="46"/>
      <x:c r="K542" s="46"/>
      <x:c r="L542" s="46"/>
      <x:c r="M542" s="46"/>
      <x:c r="N542" s="46"/>
      <x:c r="O542" s="46"/>
      <x:c r="P542" s="46"/>
      <x:c r="Q542" s="46"/>
      <x:c r="R542" s="46"/>
    </x:row>
    <x:row r="543">
      <x:c r="A543" s="46"/>
      <x:c r="B543" s="46"/>
      <x:c r="C543" s="46"/>
      <x:c r="D543" s="46"/>
      <x:c r="E543" s="46"/>
      <x:c r="F543" s="46"/>
      <x:c r="G543" s="46"/>
      <x:c r="H543" s="46"/>
      <x:c r="I543" s="46"/>
      <x:c r="J543" s="46"/>
      <x:c r="K543" s="46"/>
      <x:c r="L543" s="46"/>
      <x:c r="M543" s="46"/>
      <x:c r="N543" s="46"/>
      <x:c r="O543" s="46"/>
      <x:c r="P543" s="46"/>
      <x:c r="Q543" s="46"/>
      <x:c r="R543" s="46"/>
    </x:row>
    <x:row r="544">
      <x:c r="A544" s="46"/>
      <x:c r="B544" s="46"/>
      <x:c r="C544" s="46"/>
      <x:c r="D544" s="46"/>
      <x:c r="E544" s="46"/>
      <x:c r="F544" s="46"/>
      <x:c r="G544" s="46"/>
      <x:c r="H544" s="46"/>
      <x:c r="I544" s="46"/>
      <x:c r="J544" s="46"/>
      <x:c r="K544" s="46"/>
      <x:c r="L544" s="46"/>
      <x:c r="M544" s="46"/>
      <x:c r="N544" s="46"/>
      <x:c r="O544" s="46"/>
      <x:c r="P544" s="46"/>
      <x:c r="Q544" s="46"/>
      <x:c r="R544" s="46"/>
    </x:row>
    <x:row r="545">
      <x:c r="A545" s="46"/>
      <x:c r="B545" s="46"/>
      <x:c r="C545" s="46"/>
      <x:c r="D545" s="46"/>
      <x:c r="E545" s="46"/>
      <x:c r="F545" s="46"/>
      <x:c r="G545" s="46"/>
      <x:c r="H545" s="46"/>
      <x:c r="I545" s="46"/>
      <x:c r="J545" s="46"/>
      <x:c r="K545" s="46"/>
      <x:c r="L545" s="46"/>
      <x:c r="M545" s="46"/>
      <x:c r="N545" s="46"/>
      <x:c r="O545" s="46"/>
      <x:c r="P545" s="46"/>
      <x:c r="Q545" s="46"/>
      <x:c r="R545" s="46"/>
    </x:row>
    <x:row r="546">
      <x:c r="A546" s="46"/>
      <x:c r="B546" s="46"/>
      <x:c r="C546" s="46"/>
      <x:c r="D546" s="46"/>
      <x:c r="E546" s="46"/>
      <x:c r="F546" s="46"/>
      <x:c r="G546" s="46"/>
      <x:c r="H546" s="46"/>
      <x:c r="I546" s="46"/>
      <x:c r="J546" s="46"/>
      <x:c r="K546" s="46"/>
      <x:c r="L546" s="46"/>
      <x:c r="M546" s="46"/>
      <x:c r="N546" s="46"/>
      <x:c r="O546" s="46"/>
      <x:c r="P546" s="46"/>
      <x:c r="Q546" s="46"/>
      <x:c r="R546" s="46"/>
    </x:row>
    <x:row r="547">
      <x:c r="A547" s="46"/>
      <x:c r="B547" s="46"/>
      <x:c r="C547" s="46"/>
      <x:c r="D547" s="46"/>
      <x:c r="E547" s="46"/>
      <x:c r="F547" s="46"/>
      <x:c r="G547" s="46"/>
      <x:c r="H547" s="46"/>
      <x:c r="I547" s="46"/>
      <x:c r="J547" s="46"/>
      <x:c r="K547" s="46"/>
      <x:c r="L547" s="46"/>
      <x:c r="M547" s="46"/>
      <x:c r="N547" s="46"/>
      <x:c r="O547" s="46"/>
      <x:c r="P547" s="46"/>
      <x:c r="Q547" s="46"/>
      <x:c r="R547" s="46"/>
    </x:row>
    <x:row r="548">
      <x:c r="A548" s="46"/>
      <x:c r="B548" s="46"/>
      <x:c r="C548" s="46"/>
      <x:c r="D548" s="46"/>
      <x:c r="E548" s="46"/>
      <x:c r="F548" s="46"/>
      <x:c r="G548" s="46"/>
      <x:c r="H548" s="46"/>
      <x:c r="I548" s="46"/>
      <x:c r="J548" s="46"/>
      <x:c r="K548" s="46"/>
      <x:c r="L548" s="46"/>
      <x:c r="M548" s="46"/>
      <x:c r="N548" s="46"/>
      <x:c r="O548" s="46"/>
      <x:c r="P548" s="46"/>
      <x:c r="Q548" s="46"/>
      <x:c r="R548" s="46"/>
    </x:row>
    <x:row r="549">
      <x:c r="A549" s="46"/>
      <x:c r="B549" s="46"/>
      <x:c r="C549" s="46"/>
      <x:c r="D549" s="46"/>
      <x:c r="E549" s="46"/>
      <x:c r="F549" s="46"/>
      <x:c r="G549" s="46"/>
      <x:c r="H549" s="46"/>
      <x:c r="I549" s="46"/>
      <x:c r="J549" s="46"/>
      <x:c r="K549" s="46"/>
      <x:c r="L549" s="46"/>
      <x:c r="M549" s="46"/>
      <x:c r="N549" s="46"/>
      <x:c r="O549" s="46"/>
      <x:c r="P549" s="46"/>
      <x:c r="Q549" s="46"/>
      <x:c r="R549" s="46"/>
    </x:row>
    <x:row r="550">
      <x:c r="A550" s="46"/>
      <x:c r="B550" s="46"/>
      <x:c r="C550" s="46"/>
      <x:c r="D550" s="46"/>
      <x:c r="E550" s="46"/>
      <x:c r="F550" s="46"/>
      <x:c r="G550" s="46"/>
      <x:c r="H550" s="46"/>
      <x:c r="I550" s="46"/>
      <x:c r="J550" s="46"/>
      <x:c r="K550" s="46"/>
      <x:c r="L550" s="46"/>
      <x:c r="M550" s="46"/>
      <x:c r="N550" s="46"/>
      <x:c r="O550" s="46"/>
      <x:c r="P550" s="46"/>
      <x:c r="Q550" s="46"/>
      <x:c r="R550" s="46"/>
    </x:row>
    <x:row r="551">
      <x:c r="A551" s="46"/>
      <x:c r="B551" s="46"/>
      <x:c r="C551" s="46"/>
      <x:c r="D551" s="46"/>
      <x:c r="E551" s="46"/>
      <x:c r="F551" s="46"/>
      <x:c r="G551" s="46"/>
      <x:c r="H551" s="46"/>
      <x:c r="I551" s="46"/>
      <x:c r="J551" s="46"/>
      <x:c r="K551" s="46"/>
      <x:c r="L551" s="46"/>
      <x:c r="M551" s="46"/>
      <x:c r="N551" s="46"/>
      <x:c r="O551" s="46"/>
      <x:c r="P551" s="46"/>
      <x:c r="Q551" s="46"/>
      <x:c r="R551" s="46"/>
    </x:row>
    <x:row r="552">
      <x:c r="A552" s="46"/>
      <x:c r="B552" s="46"/>
      <x:c r="C552" s="46"/>
      <x:c r="D552" s="46"/>
      <x:c r="E552" s="46"/>
      <x:c r="F552" s="46"/>
      <x:c r="G552" s="46"/>
      <x:c r="H552" s="46"/>
      <x:c r="I552" s="46"/>
      <x:c r="J552" s="46"/>
      <x:c r="K552" s="46"/>
      <x:c r="L552" s="46"/>
      <x:c r="M552" s="46"/>
      <x:c r="N552" s="46"/>
      <x:c r="O552" s="46"/>
      <x:c r="P552" s="46"/>
      <x:c r="Q552" s="46"/>
      <x:c r="R552" s="46"/>
    </x:row>
    <x:row r="553">
      <x:c r="A553" s="46"/>
      <x:c r="B553" s="46"/>
      <x:c r="C553" s="46"/>
      <x:c r="D553" s="46"/>
      <x:c r="E553" s="46"/>
      <x:c r="F553" s="46"/>
      <x:c r="G553" s="46"/>
      <x:c r="H553" s="46"/>
      <x:c r="I553" s="46"/>
      <x:c r="J553" s="46"/>
      <x:c r="K553" s="46"/>
      <x:c r="L553" s="46"/>
      <x:c r="M553" s="46"/>
      <x:c r="N553" s="46"/>
      <x:c r="O553" s="46"/>
      <x:c r="P553" s="46"/>
      <x:c r="Q553" s="46"/>
      <x:c r="R553" s="46"/>
    </x:row>
    <x:row r="554">
      <x:c r="A554" s="46"/>
      <x:c r="B554" s="46"/>
      <x:c r="C554" s="46"/>
      <x:c r="D554" s="46"/>
      <x:c r="E554" s="46"/>
      <x:c r="F554" s="46"/>
      <x:c r="G554" s="46"/>
      <x:c r="H554" s="46"/>
      <x:c r="I554" s="46"/>
      <x:c r="J554" s="46"/>
      <x:c r="K554" s="46"/>
      <x:c r="L554" s="46"/>
      <x:c r="M554" s="46"/>
      <x:c r="N554" s="46"/>
      <x:c r="O554" s="46"/>
      <x:c r="P554" s="46"/>
      <x:c r="Q554" s="46"/>
      <x:c r="R554" s="46"/>
    </x:row>
    <x:row r="555">
      <x:c r="A555" s="46"/>
      <x:c r="B555" s="46"/>
      <x:c r="C555" s="46"/>
      <x:c r="D555" s="46"/>
      <x:c r="E555" s="46"/>
      <x:c r="F555" s="46"/>
      <x:c r="G555" s="46"/>
      <x:c r="H555" s="46"/>
      <x:c r="I555" s="46"/>
      <x:c r="J555" s="46"/>
      <x:c r="K555" s="46"/>
      <x:c r="L555" s="46"/>
      <x:c r="M555" s="46"/>
      <x:c r="N555" s="46"/>
      <x:c r="O555" s="46"/>
      <x:c r="P555" s="46"/>
      <x:c r="Q555" s="46"/>
      <x:c r="R555" s="46"/>
    </x:row>
    <x:row r="556">
      <x:c r="A556" s="46"/>
      <x:c r="B556" s="46"/>
      <x:c r="C556" s="46"/>
      <x:c r="D556" s="46"/>
      <x:c r="E556" s="46"/>
      <x:c r="F556" s="46"/>
      <x:c r="G556" s="46"/>
      <x:c r="H556" s="46"/>
      <x:c r="I556" s="46"/>
      <x:c r="J556" s="46"/>
      <x:c r="K556" s="46"/>
      <x:c r="L556" s="46"/>
      <x:c r="M556" s="46"/>
      <x:c r="N556" s="46"/>
      <x:c r="O556" s="46"/>
      <x:c r="P556" s="46"/>
      <x:c r="Q556" s="46"/>
      <x:c r="R556" s="46"/>
    </x:row>
    <x:row r="557">
      <x:c r="A557" s="46"/>
      <x:c r="B557" s="46"/>
      <x:c r="C557" s="46"/>
      <x:c r="D557" s="46"/>
      <x:c r="E557" s="46"/>
      <x:c r="F557" s="46"/>
      <x:c r="G557" s="46"/>
      <x:c r="H557" s="46"/>
      <x:c r="I557" s="46"/>
      <x:c r="J557" s="46"/>
      <x:c r="K557" s="46"/>
      <x:c r="L557" s="46"/>
      <x:c r="M557" s="46"/>
      <x:c r="N557" s="46"/>
      <x:c r="O557" s="46"/>
      <x:c r="P557" s="46"/>
      <x:c r="Q557" s="46"/>
      <x:c r="R557" s="46"/>
    </x:row>
    <x:row r="558">
      <x:c r="A558" s="46"/>
      <x:c r="B558" s="46"/>
      <x:c r="C558" s="46"/>
      <x:c r="D558" s="46"/>
      <x:c r="E558" s="46"/>
      <x:c r="F558" s="46"/>
      <x:c r="G558" s="46"/>
      <x:c r="H558" s="46"/>
      <x:c r="I558" s="46"/>
      <x:c r="J558" s="46"/>
      <x:c r="K558" s="46"/>
      <x:c r="L558" s="46"/>
      <x:c r="M558" s="46"/>
      <x:c r="N558" s="46"/>
      <x:c r="O558" s="46"/>
      <x:c r="P558" s="46"/>
      <x:c r="Q558" s="46"/>
      <x:c r="R558" s="46"/>
    </x:row>
    <x:row r="559">
      <x:c r="A559" s="46"/>
      <x:c r="B559" s="46"/>
      <x:c r="C559" s="46"/>
      <x:c r="D559" s="46"/>
      <x:c r="E559" s="46"/>
      <x:c r="F559" s="46"/>
      <x:c r="G559" s="46"/>
      <x:c r="H559" s="46"/>
      <x:c r="I559" s="46"/>
      <x:c r="J559" s="46"/>
      <x:c r="K559" s="46"/>
      <x:c r="L559" s="46"/>
      <x:c r="M559" s="46"/>
      <x:c r="N559" s="46"/>
      <x:c r="O559" s="46"/>
      <x:c r="P559" s="46"/>
      <x:c r="Q559" s="46"/>
      <x:c r="R559" s="46"/>
    </x:row>
    <x:row r="560">
      <x:c r="A560" s="46"/>
      <x:c r="B560" s="46"/>
      <x:c r="C560" s="46"/>
      <x:c r="D560" s="46"/>
      <x:c r="E560" s="46"/>
      <x:c r="F560" s="46"/>
      <x:c r="G560" s="46"/>
      <x:c r="H560" s="46"/>
      <x:c r="I560" s="46"/>
      <x:c r="J560" s="46"/>
      <x:c r="K560" s="46"/>
      <x:c r="L560" s="46"/>
      <x:c r="M560" s="46"/>
      <x:c r="N560" s="46"/>
      <x:c r="O560" s="46"/>
      <x:c r="P560" s="46"/>
      <x:c r="Q560" s="46"/>
      <x:c r="R560" s="46"/>
    </x:row>
    <x:row r="561">
      <x:c r="A561" s="46"/>
      <x:c r="B561" s="46"/>
      <x:c r="C561" s="46"/>
      <x:c r="D561" s="46"/>
      <x:c r="E561" s="46"/>
      <x:c r="F561" s="46"/>
      <x:c r="G561" s="46"/>
      <x:c r="H561" s="46"/>
      <x:c r="I561" s="46"/>
      <x:c r="J561" s="46"/>
      <x:c r="K561" s="46"/>
      <x:c r="L561" s="46"/>
      <x:c r="M561" s="46"/>
      <x:c r="N561" s="46"/>
      <x:c r="O561" s="46"/>
      <x:c r="P561" s="46"/>
      <x:c r="Q561" s="46"/>
      <x:c r="R561" s="46"/>
    </x:row>
    <x:row r="562">
      <x:c r="A562" s="46"/>
      <x:c r="B562" s="46"/>
      <x:c r="C562" s="46"/>
      <x:c r="D562" s="46"/>
      <x:c r="E562" s="46"/>
      <x:c r="F562" s="46"/>
      <x:c r="G562" s="46"/>
      <x:c r="H562" s="46"/>
      <x:c r="I562" s="46"/>
      <x:c r="J562" s="46"/>
      <x:c r="K562" s="46"/>
      <x:c r="L562" s="46"/>
      <x:c r="M562" s="46"/>
      <x:c r="N562" s="46"/>
      <x:c r="O562" s="46"/>
      <x:c r="P562" s="46"/>
      <x:c r="Q562" s="46"/>
      <x:c r="R562" s="46"/>
    </x:row>
    <x:row r="563">
      <x:c r="A563" s="46"/>
      <x:c r="B563" s="46"/>
      <x:c r="C563" s="46"/>
      <x:c r="D563" s="46"/>
      <x:c r="E563" s="46"/>
      <x:c r="F563" s="46"/>
      <x:c r="G563" s="46"/>
      <x:c r="H563" s="46"/>
      <x:c r="I563" s="46"/>
      <x:c r="J563" s="46"/>
      <x:c r="K563" s="46"/>
      <x:c r="L563" s="46"/>
      <x:c r="M563" s="46"/>
      <x:c r="N563" s="46"/>
      <x:c r="O563" s="46"/>
      <x:c r="P563" s="46"/>
      <x:c r="Q563" s="46"/>
      <x:c r="R563" s="46"/>
    </x:row>
    <x:row r="564">
      <x:c r="A564" s="46"/>
      <x:c r="B564" s="46"/>
      <x:c r="C564" s="46"/>
      <x:c r="D564" s="46"/>
      <x:c r="E564" s="46"/>
      <x:c r="F564" s="46"/>
      <x:c r="G564" s="46"/>
      <x:c r="H564" s="46"/>
      <x:c r="I564" s="46"/>
      <x:c r="J564" s="46"/>
      <x:c r="K564" s="46"/>
      <x:c r="L564" s="46"/>
      <x:c r="M564" s="46"/>
      <x:c r="N564" s="46"/>
      <x:c r="O564" s="46"/>
      <x:c r="P564" s="46"/>
      <x:c r="Q564" s="46"/>
      <x:c r="R564" s="46"/>
    </x:row>
    <x:row r="565">
      <x:c r="A565" s="46"/>
      <x:c r="B565" s="46"/>
      <x:c r="C565" s="46"/>
      <x:c r="D565" s="46"/>
      <x:c r="E565" s="46"/>
      <x:c r="F565" s="46"/>
      <x:c r="G565" s="46"/>
      <x:c r="H565" s="46"/>
      <x:c r="I565" s="46"/>
      <x:c r="J565" s="46"/>
      <x:c r="K565" s="46"/>
      <x:c r="L565" s="46"/>
      <x:c r="M565" s="46"/>
      <x:c r="N565" s="46"/>
      <x:c r="O565" s="46"/>
      <x:c r="P565" s="46"/>
      <x:c r="Q565" s="46"/>
      <x:c r="R565" s="46"/>
    </x:row>
    <x:row r="566">
      <x:c r="A566" s="46"/>
      <x:c r="B566" s="46"/>
      <x:c r="C566" s="46"/>
      <x:c r="D566" s="46"/>
      <x:c r="E566" s="46"/>
      <x:c r="F566" s="46"/>
      <x:c r="G566" s="46"/>
      <x:c r="H566" s="46"/>
      <x:c r="I566" s="46"/>
      <x:c r="J566" s="46"/>
      <x:c r="K566" s="46"/>
      <x:c r="L566" s="46"/>
      <x:c r="M566" s="46"/>
      <x:c r="N566" s="46"/>
      <x:c r="O566" s="46"/>
      <x:c r="P566" s="46"/>
      <x:c r="Q566" s="46"/>
      <x:c r="R566" s="46"/>
    </x:row>
    <x:row r="567">
      <x:c r="A567" s="46"/>
      <x:c r="B567" s="46"/>
      <x:c r="C567" s="46"/>
      <x:c r="D567" s="46"/>
      <x:c r="E567" s="46"/>
      <x:c r="F567" s="46"/>
      <x:c r="G567" s="46"/>
      <x:c r="H567" s="46"/>
      <x:c r="I567" s="46"/>
      <x:c r="J567" s="46"/>
      <x:c r="K567" s="46"/>
      <x:c r="L567" s="46"/>
      <x:c r="M567" s="46"/>
      <x:c r="N567" s="46"/>
      <x:c r="O567" s="46"/>
      <x:c r="P567" s="46"/>
      <x:c r="Q567" s="46"/>
      <x:c r="R567" s="46"/>
    </x:row>
    <x:row r="568">
      <x:c r="A568" s="46"/>
      <x:c r="B568" s="46"/>
      <x:c r="C568" s="46"/>
      <x:c r="D568" s="46"/>
      <x:c r="E568" s="46"/>
      <x:c r="F568" s="46"/>
      <x:c r="G568" s="46"/>
      <x:c r="H568" s="46"/>
      <x:c r="I568" s="46"/>
      <x:c r="J568" s="46"/>
      <x:c r="K568" s="46"/>
      <x:c r="L568" s="46"/>
      <x:c r="M568" s="46"/>
      <x:c r="N568" s="46"/>
      <x:c r="O568" s="46"/>
      <x:c r="P568" s="46"/>
      <x:c r="Q568" s="46"/>
      <x:c r="R568" s="46"/>
    </x:row>
    <x:row r="569">
      <x:c r="A569" s="46"/>
      <x:c r="B569" s="46"/>
      <x:c r="C569" s="46"/>
      <x:c r="D569" s="46"/>
      <x:c r="E569" s="46"/>
      <x:c r="F569" s="46"/>
      <x:c r="G569" s="46"/>
      <x:c r="H569" s="46"/>
      <x:c r="I569" s="46"/>
      <x:c r="J569" s="46"/>
      <x:c r="K569" s="46"/>
      <x:c r="L569" s="46"/>
      <x:c r="M569" s="46"/>
      <x:c r="N569" s="46"/>
      <x:c r="O569" s="46"/>
      <x:c r="P569" s="46"/>
      <x:c r="Q569" s="46"/>
      <x:c r="R569" s="46"/>
    </x:row>
    <x:row r="570">
      <x:c r="A570" s="46"/>
      <x:c r="B570" s="46"/>
      <x:c r="C570" s="46"/>
      <x:c r="D570" s="46"/>
      <x:c r="E570" s="46"/>
      <x:c r="F570" s="46"/>
      <x:c r="G570" s="46"/>
      <x:c r="H570" s="46"/>
      <x:c r="I570" s="46"/>
      <x:c r="J570" s="46"/>
      <x:c r="K570" s="46"/>
      <x:c r="L570" s="46"/>
      <x:c r="M570" s="46"/>
      <x:c r="N570" s="46"/>
      <x:c r="O570" s="46"/>
      <x:c r="P570" s="46"/>
      <x:c r="Q570" s="46"/>
      <x:c r="R570" s="46"/>
    </x:row>
    <x:row r="571">
      <x:c r="A571" s="46"/>
      <x:c r="B571" s="46"/>
      <x:c r="C571" s="46"/>
      <x:c r="D571" s="46"/>
      <x:c r="E571" s="46"/>
      <x:c r="F571" s="46"/>
      <x:c r="G571" s="46"/>
      <x:c r="H571" s="46"/>
      <x:c r="I571" s="46"/>
      <x:c r="J571" s="46"/>
      <x:c r="K571" s="46"/>
      <x:c r="L571" s="46"/>
      <x:c r="M571" s="46"/>
      <x:c r="N571" s="46"/>
      <x:c r="O571" s="46"/>
      <x:c r="P571" s="46"/>
      <x:c r="Q571" s="46"/>
      <x:c r="R571" s="46"/>
    </x:row>
    <x:row r="572">
      <x:c r="A572" s="46"/>
      <x:c r="B572" s="46"/>
      <x:c r="C572" s="46"/>
      <x:c r="D572" s="46"/>
      <x:c r="E572" s="46"/>
      <x:c r="F572" s="46"/>
      <x:c r="G572" s="46"/>
      <x:c r="H572" s="46"/>
      <x:c r="I572" s="46"/>
      <x:c r="J572" s="46"/>
      <x:c r="K572" s="46"/>
      <x:c r="L572" s="46"/>
      <x:c r="M572" s="46"/>
      <x:c r="N572" s="46"/>
      <x:c r="O572" s="46"/>
      <x:c r="P572" s="46"/>
      <x:c r="Q572" s="46"/>
      <x:c r="R572" s="46"/>
    </x:row>
    <x:row r="573">
      <x:c r="A573" s="46"/>
      <x:c r="B573" s="46"/>
      <x:c r="C573" s="46"/>
      <x:c r="D573" s="46"/>
      <x:c r="E573" s="46"/>
      <x:c r="F573" s="46"/>
      <x:c r="G573" s="46"/>
      <x:c r="H573" s="46"/>
      <x:c r="I573" s="46"/>
      <x:c r="J573" s="46"/>
      <x:c r="K573" s="46"/>
      <x:c r="L573" s="46"/>
      <x:c r="M573" s="46"/>
      <x:c r="N573" s="46"/>
      <x:c r="O573" s="46"/>
      <x:c r="P573" s="46"/>
      <x:c r="Q573" s="46"/>
      <x:c r="R573" s="46"/>
    </x:row>
    <x:row r="574">
      <x:c r="A574" s="46"/>
      <x:c r="B574" s="46"/>
      <x:c r="C574" s="46"/>
      <x:c r="D574" s="46"/>
      <x:c r="E574" s="46"/>
      <x:c r="F574" s="46"/>
      <x:c r="G574" s="46"/>
      <x:c r="H574" s="46"/>
      <x:c r="I574" s="46"/>
      <x:c r="J574" s="46"/>
      <x:c r="K574" s="46"/>
      <x:c r="L574" s="46"/>
      <x:c r="M574" s="46"/>
      <x:c r="N574" s="46"/>
      <x:c r="O574" s="46"/>
      <x:c r="P574" s="46"/>
      <x:c r="Q574" s="46"/>
      <x:c r="R574" s="46"/>
    </x:row>
    <x:row r="575">
      <x:c r="A575" s="46"/>
      <x:c r="B575" s="46"/>
      <x:c r="C575" s="46"/>
      <x:c r="D575" s="46"/>
      <x:c r="E575" s="46"/>
      <x:c r="F575" s="46"/>
      <x:c r="G575" s="46"/>
      <x:c r="H575" s="46"/>
      <x:c r="I575" s="46"/>
      <x:c r="J575" s="46"/>
      <x:c r="K575" s="46"/>
      <x:c r="L575" s="46"/>
      <x:c r="M575" s="46"/>
      <x:c r="N575" s="46"/>
      <x:c r="O575" s="46"/>
      <x:c r="P575" s="46"/>
      <x:c r="Q575" s="46"/>
      <x:c r="R575" s="46"/>
    </x:row>
    <x:row r="576">
      <x:c r="A576" s="46"/>
      <x:c r="B576" s="46"/>
      <x:c r="C576" s="46"/>
      <x:c r="D576" s="46"/>
      <x:c r="E576" s="46"/>
      <x:c r="F576" s="46"/>
      <x:c r="G576" s="46"/>
      <x:c r="H576" s="46"/>
      <x:c r="I576" s="46"/>
      <x:c r="J576" s="46"/>
      <x:c r="K576" s="46"/>
      <x:c r="L576" s="46"/>
      <x:c r="M576" s="46"/>
      <x:c r="N576" s="46"/>
      <x:c r="O576" s="46"/>
      <x:c r="P576" s="46"/>
      <x:c r="Q576" s="46"/>
      <x:c r="R576" s="46"/>
    </x:row>
    <x:row r="577">
      <x:c r="A577" s="46"/>
      <x:c r="B577" s="46"/>
      <x:c r="C577" s="46"/>
      <x:c r="D577" s="46"/>
      <x:c r="E577" s="46"/>
      <x:c r="F577" s="46"/>
      <x:c r="G577" s="46"/>
      <x:c r="H577" s="46"/>
      <x:c r="I577" s="46"/>
      <x:c r="J577" s="46"/>
      <x:c r="K577" s="46"/>
      <x:c r="L577" s="46"/>
      <x:c r="M577" s="46"/>
      <x:c r="N577" s="46"/>
      <x:c r="O577" s="46"/>
      <x:c r="P577" s="46"/>
      <x:c r="Q577" s="46"/>
      <x:c r="R577" s="46"/>
    </x:row>
    <x:row r="578">
      <x:c r="A578" s="46"/>
      <x:c r="B578" s="46"/>
      <x:c r="C578" s="46"/>
      <x:c r="D578" s="46"/>
      <x:c r="E578" s="46"/>
      <x:c r="F578" s="46"/>
      <x:c r="G578" s="46"/>
      <x:c r="H578" s="46"/>
      <x:c r="I578" s="46"/>
      <x:c r="J578" s="46"/>
      <x:c r="K578" s="46"/>
      <x:c r="L578" s="46"/>
      <x:c r="M578" s="46"/>
      <x:c r="N578" s="46"/>
      <x:c r="O578" s="46"/>
      <x:c r="P578" s="46"/>
      <x:c r="Q578" s="46"/>
      <x:c r="R578" s="46"/>
    </x:row>
    <x:row r="579">
      <x:c r="A579" s="46"/>
      <x:c r="B579" s="46"/>
      <x:c r="C579" s="46"/>
      <x:c r="D579" s="46"/>
      <x:c r="E579" s="46"/>
      <x:c r="F579" s="46"/>
      <x:c r="G579" s="46"/>
      <x:c r="H579" s="46"/>
      <x:c r="I579" s="46"/>
      <x:c r="J579" s="46"/>
      <x:c r="K579" s="46"/>
      <x:c r="L579" s="46"/>
      <x:c r="M579" s="46"/>
      <x:c r="N579" s="46"/>
      <x:c r="O579" s="46"/>
      <x:c r="P579" s="46"/>
      <x:c r="Q579" s="46"/>
      <x:c r="R579" s="46"/>
    </x:row>
    <x:row r="580">
      <x:c r="A580" s="46"/>
      <x:c r="B580" s="46"/>
      <x:c r="C580" s="46"/>
      <x:c r="D580" s="46"/>
      <x:c r="E580" s="46"/>
      <x:c r="F580" s="46"/>
      <x:c r="G580" s="46"/>
      <x:c r="H580" s="46"/>
      <x:c r="I580" s="46"/>
      <x:c r="J580" s="46"/>
      <x:c r="K580" s="46"/>
      <x:c r="L580" s="46"/>
      <x:c r="M580" s="46"/>
      <x:c r="N580" s="46"/>
      <x:c r="O580" s="46"/>
      <x:c r="P580" s="46"/>
      <x:c r="Q580" s="46"/>
      <x:c r="R580" s="46"/>
    </x:row>
    <x:row r="581">
      <x:c r="A581" s="46"/>
      <x:c r="B581" s="46"/>
      <x:c r="C581" s="46"/>
      <x:c r="D581" s="46"/>
      <x:c r="E581" s="46"/>
      <x:c r="F581" s="46"/>
      <x:c r="G581" s="46"/>
      <x:c r="H581" s="46"/>
      <x:c r="I581" s="46"/>
      <x:c r="J581" s="46"/>
      <x:c r="K581" s="46"/>
      <x:c r="L581" s="46"/>
      <x:c r="M581" s="46"/>
      <x:c r="N581" s="46"/>
      <x:c r="O581" s="46"/>
      <x:c r="P581" s="46"/>
      <x:c r="Q581" s="46"/>
      <x:c r="R581" s="46"/>
    </x:row>
    <x:row r="582">
      <x:c r="A582" s="46"/>
      <x:c r="B582" s="46"/>
      <x:c r="C582" s="46"/>
      <x:c r="D582" s="46"/>
      <x:c r="E582" s="46"/>
      <x:c r="F582" s="46"/>
      <x:c r="G582" s="46"/>
      <x:c r="H582" s="46"/>
      <x:c r="I582" s="46"/>
      <x:c r="J582" s="46"/>
      <x:c r="K582" s="46"/>
      <x:c r="L582" s="46"/>
      <x:c r="M582" s="46"/>
      <x:c r="N582" s="46"/>
      <x:c r="O582" s="46"/>
      <x:c r="P582" s="46"/>
      <x:c r="Q582" s="46"/>
      <x:c r="R582" s="46"/>
    </x:row>
    <x:row r="583">
      <x:c r="A583" s="46"/>
      <x:c r="B583" s="46"/>
      <x:c r="C583" s="46"/>
      <x:c r="D583" s="46"/>
      <x:c r="E583" s="46"/>
      <x:c r="F583" s="46"/>
      <x:c r="G583" s="46"/>
      <x:c r="H583" s="46"/>
      <x:c r="I583" s="46"/>
      <x:c r="J583" s="46"/>
      <x:c r="K583" s="46"/>
      <x:c r="L583" s="46"/>
      <x:c r="M583" s="46"/>
      <x:c r="N583" s="46"/>
      <x:c r="O583" s="46"/>
      <x:c r="P583" s="46"/>
      <x:c r="Q583" s="46"/>
      <x:c r="R583" s="46"/>
    </x:row>
    <x:row r="584">
      <x:c r="A584" s="46"/>
      <x:c r="B584" s="46"/>
      <x:c r="C584" s="46"/>
      <x:c r="D584" s="46"/>
      <x:c r="E584" s="46"/>
      <x:c r="F584" s="46"/>
      <x:c r="G584" s="46"/>
      <x:c r="H584" s="46"/>
      <x:c r="I584" s="46"/>
      <x:c r="J584" s="46"/>
      <x:c r="K584" s="46"/>
      <x:c r="L584" s="46"/>
      <x:c r="M584" s="46"/>
      <x:c r="N584" s="46"/>
      <x:c r="O584" s="46"/>
      <x:c r="P584" s="46"/>
      <x:c r="Q584" s="46"/>
      <x:c r="R584" s="46"/>
    </x:row>
    <x:row r="585">
      <x:c r="A585" s="46"/>
      <x:c r="B585" s="46"/>
      <x:c r="C585" s="46"/>
      <x:c r="D585" s="46"/>
      <x:c r="E585" s="46"/>
      <x:c r="F585" s="46"/>
      <x:c r="G585" s="46"/>
      <x:c r="H585" s="46"/>
      <x:c r="I585" s="46"/>
      <x:c r="J585" s="46"/>
      <x:c r="K585" s="46"/>
      <x:c r="L585" s="46"/>
      <x:c r="M585" s="46"/>
      <x:c r="N585" s="46"/>
      <x:c r="O585" s="46"/>
      <x:c r="P585" s="46"/>
      <x:c r="Q585" s="46"/>
      <x:c r="R585" s="46"/>
    </x:row>
    <x:row r="586">
      <x:c r="A586" s="46"/>
      <x:c r="B586" s="46"/>
      <x:c r="C586" s="46"/>
      <x:c r="D586" s="46"/>
      <x:c r="E586" s="46"/>
      <x:c r="F586" s="46"/>
      <x:c r="G586" s="46"/>
      <x:c r="H586" s="46"/>
      <x:c r="I586" s="46"/>
      <x:c r="J586" s="46"/>
      <x:c r="K586" s="46"/>
      <x:c r="L586" s="46"/>
      <x:c r="M586" s="46"/>
      <x:c r="N586" s="46"/>
      <x:c r="O586" s="46"/>
      <x:c r="P586" s="46"/>
      <x:c r="Q586" s="46"/>
      <x:c r="R586" s="46"/>
    </x:row>
    <x:row r="587">
      <x:c r="A587" s="46"/>
      <x:c r="B587" s="46"/>
      <x:c r="C587" s="46"/>
      <x:c r="D587" s="46"/>
      <x:c r="E587" s="46"/>
      <x:c r="F587" s="46"/>
      <x:c r="G587" s="46"/>
      <x:c r="H587" s="46"/>
      <x:c r="I587" s="46"/>
      <x:c r="J587" s="46"/>
      <x:c r="K587" s="46"/>
      <x:c r="L587" s="46"/>
      <x:c r="M587" s="46"/>
      <x:c r="N587" s="46"/>
      <x:c r="O587" s="46"/>
      <x:c r="P587" s="46"/>
      <x:c r="Q587" s="46"/>
      <x:c r="R587" s="46"/>
    </x:row>
    <x:row r="588">
      <x:c r="A588" s="46"/>
      <x:c r="B588" s="46"/>
      <x:c r="C588" s="46"/>
      <x:c r="D588" s="46"/>
      <x:c r="E588" s="46"/>
      <x:c r="F588" s="46"/>
      <x:c r="G588" s="46"/>
      <x:c r="H588" s="46"/>
      <x:c r="I588" s="46"/>
      <x:c r="J588" s="46"/>
      <x:c r="K588" s="46"/>
      <x:c r="L588" s="46"/>
      <x:c r="M588" s="46"/>
      <x:c r="N588" s="46"/>
      <x:c r="O588" s="46"/>
      <x:c r="P588" s="46"/>
      <x:c r="Q588" s="46"/>
      <x:c r="R588" s="46"/>
    </x:row>
    <x:row r="589">
      <x:c r="A589" s="46"/>
      <x:c r="B589" s="46"/>
      <x:c r="C589" s="46"/>
      <x:c r="D589" s="46"/>
      <x:c r="E589" s="46"/>
      <x:c r="F589" s="46"/>
      <x:c r="G589" s="46"/>
      <x:c r="H589" s="46"/>
      <x:c r="I589" s="46"/>
      <x:c r="J589" s="46"/>
      <x:c r="K589" s="46"/>
      <x:c r="L589" s="46"/>
      <x:c r="M589" s="46"/>
      <x:c r="N589" s="46"/>
      <x:c r="O589" s="46"/>
      <x:c r="P589" s="46"/>
      <x:c r="Q589" s="46"/>
      <x:c r="R589" s="46"/>
    </x:row>
    <x:row r="590">
      <x:c r="A590" s="46"/>
      <x:c r="B590" s="46"/>
      <x:c r="C590" s="46"/>
      <x:c r="D590" s="46"/>
      <x:c r="E590" s="46"/>
      <x:c r="F590" s="46"/>
      <x:c r="G590" s="46"/>
      <x:c r="H590" s="46"/>
      <x:c r="I590" s="46"/>
      <x:c r="J590" s="46"/>
      <x:c r="K590" s="46"/>
      <x:c r="L590" s="46"/>
      <x:c r="M590" s="46"/>
      <x:c r="N590" s="46"/>
      <x:c r="O590" s="46"/>
      <x:c r="P590" s="46"/>
      <x:c r="Q590" s="46"/>
      <x:c r="R590" s="46"/>
    </x:row>
    <x:row r="591">
      <x:c r="A591" s="46"/>
      <x:c r="B591" s="46"/>
      <x:c r="C591" s="46"/>
      <x:c r="D591" s="46"/>
      <x:c r="E591" s="46"/>
      <x:c r="F591" s="46"/>
      <x:c r="G591" s="46"/>
      <x:c r="H591" s="46"/>
      <x:c r="I591" s="46"/>
      <x:c r="J591" s="46"/>
      <x:c r="K591" s="46"/>
      <x:c r="L591" s="46"/>
      <x:c r="M591" s="46"/>
      <x:c r="N591" s="46"/>
      <x:c r="O591" s="46"/>
      <x:c r="P591" s="46"/>
      <x:c r="Q591" s="46"/>
      <x:c r="R591" s="46"/>
    </x:row>
    <x:row r="592">
      <x:c r="A592" s="46"/>
      <x:c r="B592" s="46"/>
      <x:c r="C592" s="46"/>
      <x:c r="D592" s="46"/>
      <x:c r="E592" s="46"/>
      <x:c r="F592" s="46"/>
      <x:c r="G592" s="46"/>
      <x:c r="H592" s="46"/>
      <x:c r="I592" s="46"/>
      <x:c r="J592" s="46"/>
      <x:c r="K592" s="46"/>
      <x:c r="L592" s="46"/>
      <x:c r="M592" s="46"/>
      <x:c r="N592" s="46"/>
      <x:c r="O592" s="46"/>
      <x:c r="P592" s="46"/>
      <x:c r="Q592" s="46"/>
      <x:c r="R592" s="46"/>
    </x:row>
    <x:row r="593">
      <x:c r="A593" s="46"/>
      <x:c r="B593" s="46"/>
      <x:c r="C593" s="46"/>
      <x:c r="D593" s="46"/>
      <x:c r="E593" s="46"/>
      <x:c r="F593" s="46"/>
      <x:c r="G593" s="46"/>
      <x:c r="H593" s="46"/>
      <x:c r="I593" s="46"/>
      <x:c r="J593" s="46"/>
      <x:c r="K593" s="46"/>
      <x:c r="L593" s="46"/>
      <x:c r="M593" s="46"/>
      <x:c r="N593" s="46"/>
      <x:c r="O593" s="46"/>
      <x:c r="P593" s="46"/>
      <x:c r="Q593" s="46"/>
      <x:c r="R593" s="46"/>
    </x:row>
    <x:row r="594">
      <x:c r="A594" s="46"/>
      <x:c r="B594" s="46"/>
      <x:c r="C594" s="46"/>
      <x:c r="D594" s="46"/>
      <x:c r="E594" s="46"/>
      <x:c r="F594" s="46"/>
      <x:c r="G594" s="46"/>
      <x:c r="H594" s="46"/>
      <x:c r="I594" s="46"/>
      <x:c r="J594" s="46"/>
      <x:c r="K594" s="46"/>
      <x:c r="L594" s="46"/>
      <x:c r="M594" s="46"/>
      <x:c r="N594" s="46"/>
      <x:c r="O594" s="46"/>
      <x:c r="P594" s="46"/>
      <x:c r="Q594" s="46"/>
      <x:c r="R594" s="46"/>
    </x:row>
    <x:row r="595">
      <x:c r="A595" s="46"/>
      <x:c r="B595" s="46"/>
      <x:c r="C595" s="46"/>
      <x:c r="D595" s="46"/>
      <x:c r="E595" s="46"/>
      <x:c r="F595" s="46"/>
      <x:c r="G595" s="46"/>
      <x:c r="H595" s="46"/>
      <x:c r="I595" s="46"/>
      <x:c r="J595" s="46"/>
      <x:c r="K595" s="46"/>
      <x:c r="L595" s="46"/>
      <x:c r="M595" s="46"/>
      <x:c r="N595" s="46"/>
      <x:c r="O595" s="46"/>
      <x:c r="P595" s="46"/>
      <x:c r="Q595" s="46"/>
      <x:c r="R595" s="46"/>
    </x:row>
    <x:row r="596">
      <x:c r="A596" s="46"/>
      <x:c r="B596" s="46"/>
      <x:c r="C596" s="46"/>
      <x:c r="D596" s="46"/>
      <x:c r="E596" s="46"/>
      <x:c r="F596" s="46"/>
      <x:c r="G596" s="46"/>
      <x:c r="H596" s="46"/>
      <x:c r="I596" s="46"/>
      <x:c r="J596" s="46"/>
      <x:c r="K596" s="46"/>
      <x:c r="L596" s="46"/>
      <x:c r="M596" s="46"/>
      <x:c r="N596" s="46"/>
      <x:c r="O596" s="46"/>
      <x:c r="P596" s="46"/>
      <x:c r="Q596" s="46"/>
      <x:c r="R596" s="46"/>
    </x:row>
    <x:row r="597">
      <x:c r="A597" s="46"/>
      <x:c r="B597" s="46"/>
      <x:c r="C597" s="46"/>
      <x:c r="D597" s="46"/>
      <x:c r="E597" s="46"/>
      <x:c r="F597" s="46"/>
      <x:c r="G597" s="46"/>
      <x:c r="H597" s="46"/>
      <x:c r="I597" s="46"/>
      <x:c r="J597" s="46"/>
      <x:c r="K597" s="46"/>
      <x:c r="L597" s="46"/>
      <x:c r="M597" s="46"/>
      <x:c r="N597" s="46"/>
      <x:c r="O597" s="46"/>
      <x:c r="P597" s="46"/>
      <x:c r="Q597" s="46"/>
      <x:c r="R597" s="46"/>
    </x:row>
    <x:row r="598">
      <x:c r="A598" s="46"/>
      <x:c r="B598" s="46"/>
      <x:c r="C598" s="46"/>
      <x:c r="D598" s="46"/>
      <x:c r="E598" s="46"/>
      <x:c r="F598" s="46"/>
      <x:c r="G598" s="46"/>
      <x:c r="H598" s="46"/>
      <x:c r="I598" s="46"/>
      <x:c r="J598" s="46"/>
      <x:c r="K598" s="46"/>
      <x:c r="L598" s="46"/>
      <x:c r="M598" s="46"/>
      <x:c r="N598" s="46"/>
      <x:c r="O598" s="46"/>
      <x:c r="P598" s="46"/>
      <x:c r="Q598" s="46"/>
      <x:c r="R598" s="46"/>
    </x:row>
    <x:row r="599">
      <x:c r="A599" s="46"/>
      <x:c r="B599" s="46"/>
      <x:c r="C599" s="46"/>
      <x:c r="D599" s="46"/>
      <x:c r="E599" s="46"/>
      <x:c r="F599" s="46"/>
      <x:c r="G599" s="46"/>
      <x:c r="H599" s="46"/>
      <x:c r="I599" s="46"/>
      <x:c r="J599" s="46"/>
      <x:c r="K599" s="46"/>
      <x:c r="L599" s="46"/>
      <x:c r="M599" s="46"/>
      <x:c r="N599" s="46"/>
      <x:c r="O599" s="46"/>
      <x:c r="P599" s="46"/>
      <x:c r="Q599" s="46"/>
      <x:c r="R599" s="46"/>
    </x:row>
    <x:row r="600">
      <x:c r="A600" s="46"/>
      <x:c r="B600" s="46"/>
      <x:c r="C600" s="46"/>
      <x:c r="D600" s="46"/>
      <x:c r="E600" s="46"/>
      <x:c r="F600" s="46"/>
      <x:c r="G600" s="46"/>
      <x:c r="H600" s="46"/>
      <x:c r="I600" s="46"/>
      <x:c r="J600" s="46"/>
      <x:c r="K600" s="46"/>
      <x:c r="L600" s="46"/>
      <x:c r="M600" s="46"/>
      <x:c r="N600" s="46"/>
      <x:c r="O600" s="46"/>
      <x:c r="P600" s="46"/>
      <x:c r="Q600" s="46"/>
      <x:c r="R600" s="46"/>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6" hidden="0" customWidth="1"/>
    <x:col min="2" max="2" width="20" hidden="0" customWidth="1"/>
    <x:col min="3" max="3" width="14" hidden="0" customWidth="1"/>
    <x:col min="4" max="4" width="16" hidden="0" customWidth="1"/>
    <x:col min="5" max="5" width="18" hidden="0" customWidth="1"/>
    <x:col min="6" max="6" width="22" hidden="0" customWidth="1"/>
    <x:col min="7" max="7" width="16" hidden="0" customWidth="1"/>
    <x:col min="8" max="8" width="34" hidden="0" customWidth="1"/>
    <x:col min="9" max="9" width="30" hidden="0" customWidth="1"/>
    <x:col min="10" max="10" width="16" hidden="0" customWidth="1"/>
    <x:col min="11" max="11" width="24" hidden="0" customWidth="1"/>
    <x:col min="12" max="12" width="18" hidden="0" customWidth="1"/>
    <x:col min="13" max="13" width="28" hidden="0" customWidth="1"/>
    <x:col min="14" max="14" width="30" hidden="0" customWidth="1"/>
    <x:col min="15" max="15" width="26" hidden="0" customWidth="1"/>
    <x:col min="16" max="16" width="28" hidden="0" customWidth="1"/>
    <x:col min="17" max="17" width="48" hidden="0" customWidth="1"/>
    <x:col min="18" max="18" width="20" hidden="0" customWidth="1"/>
    <x:col min="19" max="19" width="34" hidden="0" customWidth="1"/>
    <x:col min="20" max="20" width="38" hidden="0" customWidth="1"/>
    <x:col min="21" max="21" width="58" hidden="0" customWidth="1"/>
  </x:cols>
  <x:sheetData>
    <x:row r="1" ht="36" customHeight="1">
      <x:c r="A1" s="81" t="str">
        <x:v>profile_record_id</x:v>
      </x:c>
      <x:c r="B1" s="81" t="str">
        <x:v>product_id</x:v>
      </x:c>
      <x:c r="C1" s="81" t="str">
        <x:v>species</x:v>
      </x:c>
      <x:c r="D1" s="81" t="str">
        <x:v>chemistry_parent</x:v>
      </x:c>
      <x:c r="E1" s="81" t="str">
        <x:v>display_family</x:v>
      </x:c>
      <x:c r="F1" s="81" t="str">
        <x:v>cluster</x:v>
      </x:c>
      <x:c r="G1" s="81" t="str">
        <x:v>preparation_state</x:v>
      </x:c>
      <x:c r="H1" s="81" t="str">
        <x:v>compound_name</x:v>
      </x:c>
      <x:c r="I1" s="81" t="str">
        <x:v>source_name</x:v>
      </x:c>
      <x:c r="J1" s="81" t="str">
        <x:v>cas</x:v>
      </x:c>
      <x:c r="K1" s="81" t="str">
        <x:v>compound_group</x:v>
      </x:c>
      <x:c r="L1" s="81" t="str">
        <x:v>retention_index_source</x:v>
      </x:c>
      <x:c r="M1" s="81" t="str">
        <x:v>aroma_description_source</x:v>
      </x:c>
      <x:c r="N1" s="81" t="str">
        <x:v>profile_role</x:v>
      </x:c>
      <x:c r="O1" s="81" t="str">
        <x:v>evidence_mode</x:v>
      </x:c>
      <x:c r="P1" s="81" t="str">
        <x:v>source_id</x:v>
      </x:c>
      <x:c r="Q1" s="81" t="str">
        <x:v>source_url</x:v>
      </x:c>
      <x:c r="R1" s="81" t="str">
        <x:v>source_total_detected_for_species</x:v>
      </x:c>
      <x:c r="S1" s="81" t="str">
        <x:v>numeric_weight_status</x:v>
      </x:c>
      <x:c r="T1" s="81" t="str">
        <x:v>scoring_eligibility</x:v>
      </x:c>
      <x:c r="U1" s="81" t="str">
        <x:v>notes</x:v>
      </x:c>
    </x:row>
    <x:row r="2">
      <x:c r="A2" s="46" t="str">
        <x:v>LFP-0001</x:v>
      </x:c>
      <x:c r="B2" s="46" t="str">
        <x:v>pheasant:roasted</x:v>
      </x:c>
      <x:c r="C2" s="46" t="str">
        <x:v>pheasant</x:v>
      </x:c>
      <x:c r="D2" s="46" t="str">
        <x:v>avian</x:v>
      </x:c>
      <x:c r="E2" s="46" t="str">
        <x:v>game_bird</x:v>
      </x:c>
      <x:c r="F2" s="46" t="str">
        <x:v>roasted_landfowl</x:v>
      </x:c>
      <x:c r="G2" s="46" t="str">
        <x:v>roasted</x:v>
      </x:c>
      <x:c r="H2" s="46" t="str">
        <x:v>(E)-2-butenal</x:v>
      </x:c>
      <x:c r="I2" s="46" t="str">
        <x:v>2-(E)-Butenal</x:v>
      </x:c>
      <x:c r="J2" s="46" t="str">
        <x:v>123-73-9</x:v>
      </x:c>
      <x:c r="K2" s="46" t="str">
        <x:v>Carbonyls, aldehydes</x:v>
      </x:c>
      <x:c r="L2" s="46" t="n">
        <x:v>651</x:v>
      </x:c>
      <x:c r="M2" s="46" t="str">
        <x:v>Vanille, süß</x:v>
      </x:c>
      <x:c r="N2" s="46" t="str">
        <x:v>landfowl_shared_base</x:v>
      </x:c>
      <x:c r="O2" s="46" t="str">
        <x:v>measured_occurrence_table17</x:v>
      </x:c>
      <x:c r="P2" s="46" t="str">
        <x:v>SRC-LANDFOWL-THESIS-001</x:v>
      </x:c>
      <x:c r="Q2" s="46" t="str">
        <x:v>https://elib.tiho-hannover.de/servlets/MCRFileNodeServlet/etd_derivate_00001197/baruths_ws10.pdf</x:v>
      </x:c>
      <x:c r="R2" s="46" t="n">
        <x:v>66</x:v>
      </x:c>
      <x:c r="S2" s="46" t="str">
        <x:v>quarantined_pending_corrected_table18_transcription</x:v>
      </x:c>
      <x:c r="T2" s="46" t="str">
        <x:v>eligible_presence_cluster_base</x:v>
      </x:c>
      <x:c r="U2" s="46" t="str">
        <x:v>Direct occurrence matrix. Shared occurrence does not imply equal abundance or sensory importance.</x:v>
      </x:c>
    </x:row>
    <x:row r="3">
      <x:c r="A3" s="46" t="str">
        <x:v>LFP-0002</x:v>
      </x:c>
      <x:c r="B3" s="46" t="str">
        <x:v>pheasant:roasted</x:v>
      </x:c>
      <x:c r="C3" s="46" t="str">
        <x:v>pheasant</x:v>
      </x:c>
      <x:c r="D3" s="46" t="str">
        <x:v>avian</x:v>
      </x:c>
      <x:c r="E3" s="46" t="str">
        <x:v>game_bird</x:v>
      </x:c>
      <x:c r="F3" s="46" t="str">
        <x:v>roasted_landfowl</x:v>
      </x:c>
      <x:c r="G3" s="46" t="str">
        <x:v>roasted</x:v>
      </x:c>
      <x:c r="H3" s="46" t="str">
        <x:v>3-methylbutanal</x:v>
      </x:c>
      <x:c r="I3" s="46" t="str">
        <x:v>3-Methylbutanal</x:v>
      </x:c>
      <x:c r="J3" s="46" t="str">
        <x:v>590-86-3</x:v>
      </x:c>
      <x:c r="K3" s="46" t="str">
        <x:v>Carbonyls, aldehydes</x:v>
      </x:c>
      <x:c r="L3" s="46" t="n">
        <x:v>653</x:v>
      </x:c>
      <x:c r="M3" s="46" t="str">
        <x:v>Schokolade, Buttermmandel</x:v>
      </x:c>
      <x:c r="N3" s="46" t="str">
        <x:v>landfowl_shared_base</x:v>
      </x:c>
      <x:c r="O3" s="46" t="str">
        <x:v>measured_occurrence_table17</x:v>
      </x:c>
      <x:c r="P3" s="46" t="str">
        <x:v>SRC-LANDFOWL-THESIS-001</x:v>
      </x:c>
      <x:c r="Q3" s="46" t="str">
        <x:v>https://elib.tiho-hannover.de/servlets/MCRFileNodeServlet/etd_derivate_00001197/baruths_ws10.pdf</x:v>
      </x:c>
      <x:c r="R3" s="46" t="n">
        <x:v>66</x:v>
      </x:c>
      <x:c r="S3" s="46" t="str">
        <x:v>quarantined_pending_corrected_table18_transcription</x:v>
      </x:c>
      <x:c r="T3" s="46" t="str">
        <x:v>eligible_presence_cluster_base</x:v>
      </x:c>
      <x:c r="U3" s="46" t="str">
        <x:v>Direct occurrence matrix. Shared occurrence does not imply equal abundance or sensory importance.</x:v>
      </x:c>
    </x:row>
    <x:row r="4">
      <x:c r="A4" s="46" t="str">
        <x:v>LFP-0003</x:v>
      </x:c>
      <x:c r="B4" s="46" t="str">
        <x:v>pheasant:roasted</x:v>
      </x:c>
      <x:c r="C4" s="46" t="str">
        <x:v>pheasant</x:v>
      </x:c>
      <x:c r="D4" s="46" t="str">
        <x:v>avian</x:v>
      </x:c>
      <x:c r="E4" s="46" t="str">
        <x:v>game_bird</x:v>
      </x:c>
      <x:c r="F4" s="46" t="str">
        <x:v>roasted_landfowl</x:v>
      </x:c>
      <x:c r="G4" s="46" t="str">
        <x:v>roasted</x:v>
      </x:c>
      <x:c r="H4" s="46" t="str">
        <x:v>2-methylbutanal</x:v>
      </x:c>
      <x:c r="I4" s="46" t="str">
        <x:v>2-Methylbutanal</x:v>
      </x:c>
      <x:c r="J4" s="46" t="str">
        <x:v>96-17-3</x:v>
      </x:c>
      <x:c r="K4" s="46" t="str">
        <x:v>Carbonyls, aldehydes</x:v>
      </x:c>
      <x:c r="L4" s="46" t="n">
        <x:v>661</x:v>
      </x:c>
      <x:c r="M4" s="46" t="str">
        <x:v>Vanille, muffig</x:v>
      </x:c>
      <x:c r="N4" s="46" t="str">
        <x:v>landfowl_shared_base</x:v>
      </x:c>
      <x:c r="O4" s="46" t="str">
        <x:v>measured_occurrence_table17</x:v>
      </x:c>
      <x:c r="P4" s="46" t="str">
        <x:v>SRC-LANDFOWL-THESIS-001</x:v>
      </x:c>
      <x:c r="Q4" s="46" t="str">
        <x:v>https://elib.tiho-hannover.de/servlets/MCRFileNodeServlet/etd_derivate_00001197/baruths_ws10.pdf</x:v>
      </x:c>
      <x:c r="R4" s="46" t="n">
        <x:v>66</x:v>
      </x:c>
      <x:c r="S4" s="46" t="str">
        <x:v>quarantined_pending_corrected_table18_transcription</x:v>
      </x:c>
      <x:c r="T4" s="46" t="str">
        <x:v>eligible_presence_cluster_base</x:v>
      </x:c>
      <x:c r="U4" s="46" t="str">
        <x:v>Direct occurrence matrix. Shared occurrence does not imply equal abundance or sensory importance.</x:v>
      </x:c>
    </x:row>
    <x:row r="5">
      <x:c r="A5" s="46" t="str">
        <x:v>LFP-0004</x:v>
      </x:c>
      <x:c r="B5" s="46" t="str">
        <x:v>pheasant:roasted</x:v>
      </x:c>
      <x:c r="C5" s="46" t="str">
        <x:v>pheasant</x:v>
      </x:c>
      <x:c r="D5" s="46" t="str">
        <x:v>avian</x:v>
      </x:c>
      <x:c r="E5" s="46" t="str">
        <x:v>game_bird</x:v>
      </x:c>
      <x:c r="F5" s="46" t="str">
        <x:v>roasted_landfowl</x:v>
      </x:c>
      <x:c r="G5" s="46" t="str">
        <x:v>roasted</x:v>
      </x:c>
      <x:c r="H5" s="46" t="str">
        <x:v>pentanal</x:v>
      </x:c>
      <x:c r="I5" s="46" t="str">
        <x:v>Pentanal</x:v>
      </x:c>
      <x:c r="J5" s="46" t="str">
        <x:v>110-62-3</x:v>
      </x:c>
      <x:c r="K5" s="46" t="str">
        <x:v>Carbonyls, aldehydes</x:v>
      </x:c>
      <x:c r="L5" s="46" t="n">
        <x:v>698</x:v>
      </x:c>
      <x:c r="M5" s="46" t="str">
        <x:v>Gras, grün</x:v>
      </x:c>
      <x:c r="N5" s="46" t="str">
        <x:v>landfowl_shared_base</x:v>
      </x:c>
      <x:c r="O5" s="46" t="str">
        <x:v>measured_occurrence_table17</x:v>
      </x:c>
      <x:c r="P5" s="46" t="str">
        <x:v>SRC-LANDFOWL-THESIS-001</x:v>
      </x:c>
      <x:c r="Q5" s="46" t="str">
        <x:v>https://elib.tiho-hannover.de/servlets/MCRFileNodeServlet/etd_derivate_00001197/baruths_ws10.pdf</x:v>
      </x:c>
      <x:c r="R5" s="46" t="n">
        <x:v>66</x:v>
      </x:c>
      <x:c r="S5" s="46" t="str">
        <x:v>quarantined_pending_corrected_table18_transcription</x:v>
      </x:c>
      <x:c r="T5" s="46" t="str">
        <x:v>eligible_presence_cluster_base</x:v>
      </x:c>
      <x:c r="U5" s="46" t="str">
        <x:v>Direct occurrence matrix. Shared occurrence does not imply equal abundance or sensory importance.</x:v>
      </x:c>
    </x:row>
    <x:row r="6">
      <x:c r="A6" s="46" t="str">
        <x:v>LFP-0005</x:v>
      </x:c>
      <x:c r="B6" s="46" t="str">
        <x:v>pheasant:roasted</x:v>
      </x:c>
      <x:c r="C6" s="46" t="str">
        <x:v>pheasant</x:v>
      </x:c>
      <x:c r="D6" s="46" t="str">
        <x:v>avian</x:v>
      </x:c>
      <x:c r="E6" s="46" t="str">
        <x:v>game_bird</x:v>
      </x:c>
      <x:c r="F6" s="46" t="str">
        <x:v>roasted_landfowl</x:v>
      </x:c>
      <x:c r="G6" s="46" t="str">
        <x:v>roasted</x:v>
      </x:c>
      <x:c r="H6" s="46" t="str">
        <x:v>(E)-2-pentenal</x:v>
      </x:c>
      <x:c r="I6" s="46" t="str">
        <x:v>2-(E)-Pentenal</x:v>
      </x:c>
      <x:c r="J6" s="46" t="str">
        <x:v>1576-87-0</x:v>
      </x:c>
      <x:c r="K6" s="46" t="str">
        <x:v>Carbonyls, aldehydes</x:v>
      </x:c>
      <x:c r="L6" s="46" t="n">
        <x:v>759</x:v>
      </x:c>
      <x:c r="M6" s="46" t="str">
        <x:v>n.d.</x:v>
      </x:c>
      <x:c r="N6" s="46" t="str">
        <x:v>landfowl_shared_base</x:v>
      </x:c>
      <x:c r="O6" s="46" t="str">
        <x:v>measured_occurrence_table17</x:v>
      </x:c>
      <x:c r="P6" s="46" t="str">
        <x:v>SRC-LANDFOWL-THESIS-001</x:v>
      </x:c>
      <x:c r="Q6" s="46" t="str">
        <x:v>https://elib.tiho-hannover.de/servlets/MCRFileNodeServlet/etd_derivate_00001197/baruths_ws10.pdf</x:v>
      </x:c>
      <x:c r="R6" s="46" t="n">
        <x:v>66</x:v>
      </x:c>
      <x:c r="S6" s="46" t="str">
        <x:v>quarantined_pending_corrected_table18_transcription</x:v>
      </x:c>
      <x:c r="T6" s="46" t="str">
        <x:v>eligible_presence_cluster_base</x:v>
      </x:c>
      <x:c r="U6" s="46" t="str">
        <x:v>Direct occurrence matrix. Shared occurrence does not imply equal abundance or sensory importance.</x:v>
      </x:c>
    </x:row>
    <x:row r="7">
      <x:c r="A7" s="46" t="str">
        <x:v>LFP-0006</x:v>
      </x:c>
      <x:c r="B7" s="46" t="str">
        <x:v>pheasant:roasted</x:v>
      </x:c>
      <x:c r="C7" s="46" t="str">
        <x:v>pheasant</x:v>
      </x:c>
      <x:c r="D7" s="46" t="str">
        <x:v>avian</x:v>
      </x:c>
      <x:c r="E7" s="46" t="str">
        <x:v>game_bird</x:v>
      </x:c>
      <x:c r="F7" s="46" t="str">
        <x:v>roasted_landfowl</x:v>
      </x:c>
      <x:c r="G7" s="46" t="str">
        <x:v>roasted</x:v>
      </x:c>
      <x:c r="H7" s="46" t="str">
        <x:v>1-pentanol</x:v>
      </x:c>
      <x:c r="I7" s="46" t="str">
        <x:v>1-Pentanol</x:v>
      </x:c>
      <x:c r="J7" s="46" t="str">
        <x:v>71-41-0</x:v>
      </x:c>
      <x:c r="K7" s="46" t="str">
        <x:v>Alcohols</x:v>
      </x:c>
      <x:c r="L7" s="46" t="n">
        <x:v>767</x:v>
      </x:c>
      <x:c r="M7" s="46" t="str">
        <x:v>Gummi, phenolisch</x:v>
      </x:c>
      <x:c r="N7" s="46" t="str">
        <x:v>landfowl_shared_base</x:v>
      </x:c>
      <x:c r="O7" s="46" t="str">
        <x:v>measured_occurrence_table17</x:v>
      </x:c>
      <x:c r="P7" s="46" t="str">
        <x:v>SRC-LANDFOWL-THESIS-001</x:v>
      </x:c>
      <x:c r="Q7" s="46" t="str">
        <x:v>https://elib.tiho-hannover.de/servlets/MCRFileNodeServlet/etd_derivate_00001197/baruths_ws10.pdf</x:v>
      </x:c>
      <x:c r="R7" s="46" t="n">
        <x:v>66</x:v>
      </x:c>
      <x:c r="S7" s="46" t="str">
        <x:v>quarantined_pending_corrected_table18_transcription</x:v>
      </x:c>
      <x:c r="T7" s="46" t="str">
        <x:v>eligible_presence_cluster_base</x:v>
      </x:c>
      <x:c r="U7" s="46" t="str">
        <x:v>Direct occurrence matrix. Shared occurrence does not imply equal abundance or sensory importance.</x:v>
      </x:c>
    </x:row>
    <x:row r="8">
      <x:c r="A8" s="46" t="str">
        <x:v>LFP-0007</x:v>
      </x:c>
      <x:c r="B8" s="46" t="str">
        <x:v>pheasant:roasted</x:v>
      </x:c>
      <x:c r="C8" s="46" t="str">
        <x:v>pheasant</x:v>
      </x:c>
      <x:c r="D8" s="46" t="str">
        <x:v>avian</x:v>
      </x:c>
      <x:c r="E8" s="46" t="str">
        <x:v>game_bird</x:v>
      </x:c>
      <x:c r="F8" s="46" t="str">
        <x:v>roasted_landfowl</x:v>
      </x:c>
      <x:c r="G8" s="46" t="str">
        <x:v>roasted</x:v>
      </x:c>
      <x:c r="H8" s="46" t="str">
        <x:v>hexanal</x:v>
      </x:c>
      <x:c r="I8" s="46" t="str">
        <x:v>Hexanal</x:v>
      </x:c>
      <x:c r="J8" s="46" t="str">
        <x:v>66-25-1</x:v>
      </x:c>
      <x:c r="K8" s="46" t="str">
        <x:v>Carbonyls, aldehydes</x:v>
      </x:c>
      <x:c r="L8" s="46" t="n">
        <x:v>801</x:v>
      </x:c>
      <x:c r="M8" s="46" t="str">
        <x:v>Kartoffel, blumig</x:v>
      </x:c>
      <x:c r="N8" s="46" t="str">
        <x:v>landfowl_shared_base</x:v>
      </x:c>
      <x:c r="O8" s="46" t="str">
        <x:v>measured_occurrence_table17</x:v>
      </x:c>
      <x:c r="P8" s="46" t="str">
        <x:v>SRC-LANDFOWL-THESIS-001</x:v>
      </x:c>
      <x:c r="Q8" s="46" t="str">
        <x:v>https://elib.tiho-hannover.de/servlets/MCRFileNodeServlet/etd_derivate_00001197/baruths_ws10.pdf</x:v>
      </x:c>
      <x:c r="R8" s="46" t="n">
        <x:v>66</x:v>
      </x:c>
      <x:c r="S8" s="46" t="str">
        <x:v>quarantined_pending_corrected_table18_transcription</x:v>
      </x:c>
      <x:c r="T8" s="46" t="str">
        <x:v>eligible_presence_cluster_base</x:v>
      </x:c>
      <x:c r="U8" s="46" t="str">
        <x:v>Direct occurrence matrix. Shared occurrence does not imply equal abundance or sensory importance.</x:v>
      </x:c>
    </x:row>
    <x:row r="9">
      <x:c r="A9" s="46" t="str">
        <x:v>LFP-0008</x:v>
      </x:c>
      <x:c r="B9" s="46" t="str">
        <x:v>pheasant:roasted</x:v>
      </x:c>
      <x:c r="C9" s="46" t="str">
        <x:v>pheasant</x:v>
      </x:c>
      <x:c r="D9" s="46" t="str">
        <x:v>avian</x:v>
      </x:c>
      <x:c r="E9" s="46" t="str">
        <x:v>game_bird</x:v>
      </x:c>
      <x:c r="F9" s="46" t="str">
        <x:v>roasted_landfowl</x:v>
      </x:c>
      <x:c r="G9" s="46" t="str">
        <x:v>roasted</x:v>
      </x:c>
      <x:c r="H9" s="46" t="str">
        <x:v>(E)-2-hexenal</x:v>
      </x:c>
      <x:c r="I9" s="46" t="str">
        <x:v>2-(E)-Hexenal</x:v>
      </x:c>
      <x:c r="J9" s="46" t="str">
        <x:v>6728-26-3</x:v>
      </x:c>
      <x:c r="K9" s="46" t="str">
        <x:v>Carbonyls, aldehydes</x:v>
      </x:c>
      <x:c r="L9" s="46" t="n">
        <x:v>849</x:v>
      </x:c>
      <x:c r="M9" s="46" t="str">
        <x:v>stechend, Marzipan</x:v>
      </x:c>
      <x:c r="N9" s="46" t="str">
        <x:v>landfowl_shared_base</x:v>
      </x:c>
      <x:c r="O9" s="46" t="str">
        <x:v>measured_occurrence_table17</x:v>
      </x:c>
      <x:c r="P9" s="46" t="str">
        <x:v>SRC-LANDFOWL-THESIS-001</x:v>
      </x:c>
      <x:c r="Q9" s="46" t="str">
        <x:v>https://elib.tiho-hannover.de/servlets/MCRFileNodeServlet/etd_derivate_00001197/baruths_ws10.pdf</x:v>
      </x:c>
      <x:c r="R9" s="46" t="n">
        <x:v>66</x:v>
      </x:c>
      <x:c r="S9" s="46" t="str">
        <x:v>quarantined_pending_corrected_table18_transcription</x:v>
      </x:c>
      <x:c r="T9" s="46" t="str">
        <x:v>eligible_presence_cluster_base</x:v>
      </x:c>
      <x:c r="U9" s="46" t="str">
        <x:v>Direct occurrence matrix. Shared occurrence does not imply equal abundance or sensory importance.</x:v>
      </x:c>
    </x:row>
    <x:row r="10">
      <x:c r="A10" s="46" t="str">
        <x:v>LFP-0009</x:v>
      </x:c>
      <x:c r="B10" s="46" t="str">
        <x:v>pheasant:roasted</x:v>
      </x:c>
      <x:c r="C10" s="46" t="str">
        <x:v>pheasant</x:v>
      </x:c>
      <x:c r="D10" s="46" t="str">
        <x:v>avian</x:v>
      </x:c>
      <x:c r="E10" s="46" t="str">
        <x:v>game_bird</x:v>
      </x:c>
      <x:c r="F10" s="46" t="str">
        <x:v>roasted_landfowl</x:v>
      </x:c>
      <x:c r="G10" s="46" t="str">
        <x:v>roasted</x:v>
      </x:c>
      <x:c r="H10" s="46" t="str">
        <x:v>1-hexanol</x:v>
      </x:c>
      <x:c r="I10" s="46" t="str">
        <x:v>1-Hexanol</x:v>
      </x:c>
      <x:c r="J10" s="46" t="str">
        <x:v>111-27-3</x:v>
      </x:c>
      <x:c r="K10" s="46" t="str">
        <x:v>Alcohols</x:v>
      </x:c>
      <x:c r="L10" s="46" t="n">
        <x:v>870</x:v>
      </x:c>
      <x:c r="M10" s="46" t="str">
        <x:v>Käse</x:v>
      </x:c>
      <x:c r="N10" s="46" t="str">
        <x:v>landfowl_shared_base</x:v>
      </x:c>
      <x:c r="O10" s="46" t="str">
        <x:v>measured_occurrence_table17</x:v>
      </x:c>
      <x:c r="P10" s="46" t="str">
        <x:v>SRC-LANDFOWL-THESIS-001</x:v>
      </x:c>
      <x:c r="Q10" s="46" t="str">
        <x:v>https://elib.tiho-hannover.de/servlets/MCRFileNodeServlet/etd_derivate_00001197/baruths_ws10.pdf</x:v>
      </x:c>
      <x:c r="R10" s="46" t="n">
        <x:v>66</x:v>
      </x:c>
      <x:c r="S10" s="46" t="str">
        <x:v>quarantined_pending_corrected_table18_transcription</x:v>
      </x:c>
      <x:c r="T10" s="46" t="str">
        <x:v>eligible_presence_cluster_base</x:v>
      </x:c>
      <x:c r="U10" s="46" t="str">
        <x:v>Direct occurrence matrix. Shared occurrence does not imply equal abundance or sensory importance.</x:v>
      </x:c>
    </x:row>
    <x:row r="11">
      <x:c r="A11" s="46" t="str">
        <x:v>LFP-0010</x:v>
      </x:c>
      <x:c r="B11" s="46" t="str">
        <x:v>pheasant:roasted</x:v>
      </x:c>
      <x:c r="C11" s="46" t="str">
        <x:v>pheasant</x:v>
      </x:c>
      <x:c r="D11" s="46" t="str">
        <x:v>avian</x:v>
      </x:c>
      <x:c r="E11" s="46" t="str">
        <x:v>game_bird</x:v>
      </x:c>
      <x:c r="F11" s="46" t="str">
        <x:v>roasted_landfowl</x:v>
      </x:c>
      <x:c r="G11" s="46" t="str">
        <x:v>roasted</x:v>
      </x:c>
      <x:c r="H11" s="46" t="str">
        <x:v>2-heptanone</x:v>
      </x:c>
      <x:c r="I11" s="46" t="str">
        <x:v>2-Heptanon</x:v>
      </x:c>
      <x:c r="J11" s="46" t="str">
        <x:v>110-43-0</x:v>
      </x:c>
      <x:c r="K11" s="46" t="str">
        <x:v>Carbonyls, ketones</x:v>
      </x:c>
      <x:c r="L11" s="46" t="n">
        <x:v>890</x:v>
      </x:c>
      <x:c r="M11" s="46" t="str">
        <x:v>Rhabarber, muffig</x:v>
      </x:c>
      <x:c r="N11" s="46" t="str">
        <x:v>landfowl_shared_base</x:v>
      </x:c>
      <x:c r="O11" s="46" t="str">
        <x:v>measured_occurrence_table17</x:v>
      </x:c>
      <x:c r="P11" s="46" t="str">
        <x:v>SRC-LANDFOWL-THESIS-001</x:v>
      </x:c>
      <x:c r="Q11" s="46" t="str">
        <x:v>https://elib.tiho-hannover.de/servlets/MCRFileNodeServlet/etd_derivate_00001197/baruths_ws10.pdf</x:v>
      </x:c>
      <x:c r="R11" s="46" t="n">
        <x:v>66</x:v>
      </x:c>
      <x:c r="S11" s="46" t="str">
        <x:v>quarantined_pending_corrected_table18_transcription</x:v>
      </x:c>
      <x:c r="T11" s="46" t="str">
        <x:v>eligible_presence_cluster_base</x:v>
      </x:c>
      <x:c r="U11" s="46" t="str">
        <x:v>Direct occurrence matrix. Shared occurrence does not imply equal abundance or sensory importance.</x:v>
      </x:c>
    </x:row>
    <x:row r="12">
      <x:c r="A12" s="46" t="str">
        <x:v>LFP-0011</x:v>
      </x:c>
      <x:c r="B12" s="46" t="str">
        <x:v>pheasant:roasted</x:v>
      </x:c>
      <x:c r="C12" s="46" t="str">
        <x:v>pheasant</x:v>
      </x:c>
      <x:c r="D12" s="46" t="str">
        <x:v>avian</x:v>
      </x:c>
      <x:c r="E12" s="46" t="str">
        <x:v>game_bird</x:v>
      </x:c>
      <x:c r="F12" s="46" t="str">
        <x:v>roasted_landfowl</x:v>
      </x:c>
      <x:c r="G12" s="46" t="str">
        <x:v>roasted</x:v>
      </x:c>
      <x:c r="H12" s="46" t="str">
        <x:v>heptanal</x:v>
      </x:c>
      <x:c r="I12" s="46" t="str">
        <x:v>Heptanal</x:v>
      </x:c>
      <x:c r="J12" s="46" t="str">
        <x:v>111-71-7</x:v>
      </x:c>
      <x:c r="K12" s="46" t="str">
        <x:v>Carbonyls, aldehydes</x:v>
      </x:c>
      <x:c r="L12" s="46" t="n">
        <x:v>901</x:v>
      </x:c>
      <x:c r="M12" s="46" t="str">
        <x:v>Fruchtig, Kartoffel</x:v>
      </x:c>
      <x:c r="N12" s="46" t="str">
        <x:v>landfowl_shared_base</x:v>
      </x:c>
      <x:c r="O12" s="46" t="str">
        <x:v>measured_occurrence_table17</x:v>
      </x:c>
      <x:c r="P12" s="46" t="str">
        <x:v>SRC-LANDFOWL-THESIS-001</x:v>
      </x:c>
      <x:c r="Q12" s="46" t="str">
        <x:v>https://elib.tiho-hannover.de/servlets/MCRFileNodeServlet/etd_derivate_00001197/baruths_ws10.pdf</x:v>
      </x:c>
      <x:c r="R12" s="46" t="n">
        <x:v>66</x:v>
      </x:c>
      <x:c r="S12" s="46" t="str">
        <x:v>quarantined_pending_corrected_table18_transcription</x:v>
      </x:c>
      <x:c r="T12" s="46" t="str">
        <x:v>eligible_presence_cluster_base</x:v>
      </x:c>
      <x:c r="U12" s="46" t="str">
        <x:v>Direct occurrence matrix. Shared occurrence does not imply equal abundance or sensory importance.</x:v>
      </x:c>
    </x:row>
    <x:row r="13">
      <x:c r="A13" s="46" t="str">
        <x:v>LFP-0012</x:v>
      </x:c>
      <x:c r="B13" s="46" t="str">
        <x:v>pheasant:roasted</x:v>
      </x:c>
      <x:c r="C13" s="46" t="str">
        <x:v>pheasant</x:v>
      </x:c>
      <x:c r="D13" s="46" t="str">
        <x:v>avian</x:v>
      </x:c>
      <x:c r="E13" s="46" t="str">
        <x:v>game_bird</x:v>
      </x:c>
      <x:c r="F13" s="46" t="str">
        <x:v>roasted_landfowl</x:v>
      </x:c>
      <x:c r="G13" s="46" t="str">
        <x:v>roasted</x:v>
      </x:c>
      <x:c r="H13" s="46" t="str">
        <x:v>(E)-2-heptenal</x:v>
      </x:c>
      <x:c r="I13" s="46" t="str">
        <x:v>2-(E)-Heptenal</x:v>
      </x:c>
      <x:c r="J13" s="46" t="str">
        <x:v>18829-55-5</x:v>
      </x:c>
      <x:c r="K13" s="46" t="str">
        <x:v>Carbonyls, aldehydes</x:v>
      </x:c>
      <x:c r="L13" s="46" t="n">
        <x:v>966</x:v>
      </x:c>
      <x:c r="M13" s="46" t="str">
        <x:v>Mandel, Zimt</x:v>
      </x:c>
      <x:c r="N13" s="46" t="str">
        <x:v>landfowl_shared_base</x:v>
      </x:c>
      <x:c r="O13" s="46" t="str">
        <x:v>measured_occurrence_table17</x:v>
      </x:c>
      <x:c r="P13" s="46" t="str">
        <x:v>SRC-LANDFOWL-THESIS-001</x:v>
      </x:c>
      <x:c r="Q13" s="46" t="str">
        <x:v>https://elib.tiho-hannover.de/servlets/MCRFileNodeServlet/etd_derivate_00001197/baruths_ws10.pdf</x:v>
      </x:c>
      <x:c r="R13" s="46" t="n">
        <x:v>66</x:v>
      </x:c>
      <x:c r="S13" s="46" t="str">
        <x:v>quarantined_pending_corrected_table18_transcription</x:v>
      </x:c>
      <x:c r="T13" s="46" t="str">
        <x:v>eligible_presence_cluster_base</x:v>
      </x:c>
      <x:c r="U13" s="46" t="str">
        <x:v>Direct occurrence matrix. Shared occurrence does not imply equal abundance or sensory importance.</x:v>
      </x:c>
    </x:row>
    <x:row r="14">
      <x:c r="A14" s="46" t="str">
        <x:v>LFP-0013</x:v>
      </x:c>
      <x:c r="B14" s="46" t="str">
        <x:v>pheasant:roasted</x:v>
      </x:c>
      <x:c r="C14" s="46" t="str">
        <x:v>pheasant</x:v>
      </x:c>
      <x:c r="D14" s="46" t="str">
        <x:v>avian</x:v>
      </x:c>
      <x:c r="E14" s="46" t="str">
        <x:v>game_bird</x:v>
      </x:c>
      <x:c r="F14" s="46" t="str">
        <x:v>roasted_landfowl</x:v>
      </x:c>
      <x:c r="G14" s="46" t="str">
        <x:v>roasted</x:v>
      </x:c>
      <x:c r="H14" s="46" t="str">
        <x:v>benzaldehyde</x:v>
      </x:c>
      <x:c r="I14" s="46" t="str">
        <x:v>Benzaldehyd</x:v>
      </x:c>
      <x:c r="J14" s="46" t="str">
        <x:v>100-52-7</x:v>
      </x:c>
      <x:c r="K14" s="46" t="str">
        <x:v>Carbonyls, aldehydes</x:v>
      </x:c>
      <x:c r="L14" s="46" t="n">
        <x:v>968</x:v>
      </x:c>
      <x:c r="M14" s="46" t="str">
        <x:v>n.d.</x:v>
      </x:c>
      <x:c r="N14" s="46" t="str">
        <x:v>landfowl_shared_base</x:v>
      </x:c>
      <x:c r="O14" s="46" t="str">
        <x:v>measured_occurrence_table17</x:v>
      </x:c>
      <x:c r="P14" s="46" t="str">
        <x:v>SRC-LANDFOWL-THESIS-001</x:v>
      </x:c>
      <x:c r="Q14" s="46" t="str">
        <x:v>https://elib.tiho-hannover.de/servlets/MCRFileNodeServlet/etd_derivate_00001197/baruths_ws10.pdf</x:v>
      </x:c>
      <x:c r="R14" s="46" t="n">
        <x:v>66</x:v>
      </x:c>
      <x:c r="S14" s="46" t="str">
        <x:v>quarantined_pending_corrected_table18_transcription</x:v>
      </x:c>
      <x:c r="T14" s="46" t="str">
        <x:v>eligible_presence_cluster_base</x:v>
      </x:c>
      <x:c r="U14" s="46" t="str">
        <x:v>Direct occurrence matrix. Shared occurrence does not imply equal abundance or sensory importance.</x:v>
      </x:c>
    </x:row>
    <x:row r="15">
      <x:c r="A15" s="46" t="str">
        <x:v>LFP-0014</x:v>
      </x:c>
      <x:c r="B15" s="46" t="str">
        <x:v>pheasant:roasted</x:v>
      </x:c>
      <x:c r="C15" s="46" t="str">
        <x:v>pheasant</x:v>
      </x:c>
      <x:c r="D15" s="46" t="str">
        <x:v>avian</x:v>
      </x:c>
      <x:c r="E15" s="46" t="str">
        <x:v>game_bird</x:v>
      </x:c>
      <x:c r="F15" s="46" t="str">
        <x:v>roasted_landfowl</x:v>
      </x:c>
      <x:c r="G15" s="46" t="str">
        <x:v>roasted</x:v>
      </x:c>
      <x:c r="H15" s="46" t="str">
        <x:v>1-heptanol</x:v>
      </x:c>
      <x:c r="I15" s="46" t="str">
        <x:v>1-Heptanol</x:v>
      </x:c>
      <x:c r="J15" s="46" t="str">
        <x:v>111-70-6</x:v>
      </x:c>
      <x:c r="K15" s="46" t="str">
        <x:v>Alcohols</x:v>
      </x:c>
      <x:c r="L15" s="46" t="n">
        <x:v>974</x:v>
      </x:c>
      <x:c r="M15" s="46" t="str">
        <x:v>n.d.</x:v>
      </x:c>
      <x:c r="N15" s="46" t="str">
        <x:v>landfowl_shared_base</x:v>
      </x:c>
      <x:c r="O15" s="46" t="str">
        <x:v>measured_occurrence_table17</x:v>
      </x:c>
      <x:c r="P15" s="46" t="str">
        <x:v>SRC-LANDFOWL-THESIS-001</x:v>
      </x:c>
      <x:c r="Q15" s="46" t="str">
        <x:v>https://elib.tiho-hannover.de/servlets/MCRFileNodeServlet/etd_derivate_00001197/baruths_ws10.pdf</x:v>
      </x:c>
      <x:c r="R15" s="46" t="n">
        <x:v>66</x:v>
      </x:c>
      <x:c r="S15" s="46" t="str">
        <x:v>quarantined_pending_corrected_table18_transcription</x:v>
      </x:c>
      <x:c r="T15" s="46" t="str">
        <x:v>eligible_presence_cluster_base</x:v>
      </x:c>
      <x:c r="U15" s="46" t="str">
        <x:v>Direct occurrence matrix. Shared occurrence does not imply equal abundance or sensory importance.</x:v>
      </x:c>
    </x:row>
    <x:row r="16">
      <x:c r="A16" s="46" t="str">
        <x:v>LFP-0015</x:v>
      </x:c>
      <x:c r="B16" s="46" t="str">
        <x:v>pheasant:roasted</x:v>
      </x:c>
      <x:c r="C16" s="46" t="str">
        <x:v>pheasant</x:v>
      </x:c>
      <x:c r="D16" s="46" t="str">
        <x:v>avian</x:v>
      </x:c>
      <x:c r="E16" s="46" t="str">
        <x:v>game_bird</x:v>
      </x:c>
      <x:c r="F16" s="46" t="str">
        <x:v>roasted_landfowl</x:v>
      </x:c>
      <x:c r="G16" s="46" t="str">
        <x:v>roasted</x:v>
      </x:c>
      <x:c r="H16" s="46" t="str">
        <x:v>1-octen-3-ol</x:v>
      </x:c>
      <x:c r="I16" s="46" t="str">
        <x:v>1-Octen-3-ol</x:v>
      </x:c>
      <x:c r="J16" s="46" t="str">
        <x:v>3391-86-4</x:v>
      </x:c>
      <x:c r="K16" s="46" t="str">
        <x:v>Alcohols</x:v>
      </x:c>
      <x:c r="L16" s="46" t="n">
        <x:v>982</x:v>
      </x:c>
      <x:c r="M16" s="46" t="str">
        <x:v>Champignon</x:v>
      </x:c>
      <x:c r="N16" s="46" t="str">
        <x:v>landfowl_shared_base</x:v>
      </x:c>
      <x:c r="O16" s="46" t="str">
        <x:v>measured_occurrence_table17</x:v>
      </x:c>
      <x:c r="P16" s="46" t="str">
        <x:v>SRC-LANDFOWL-THESIS-001</x:v>
      </x:c>
      <x:c r="Q16" s="46" t="str">
        <x:v>https://elib.tiho-hannover.de/servlets/MCRFileNodeServlet/etd_derivate_00001197/baruths_ws10.pdf</x:v>
      </x:c>
      <x:c r="R16" s="46" t="n">
        <x:v>66</x:v>
      </x:c>
      <x:c r="S16" s="46" t="str">
        <x:v>quarantined_pending_corrected_table18_transcription</x:v>
      </x:c>
      <x:c r="T16" s="46" t="str">
        <x:v>eligible_presence_cluster_base</x:v>
      </x:c>
      <x:c r="U16" s="46" t="str">
        <x:v>Direct occurrence matrix. Shared occurrence does not imply equal abundance or sensory importance.</x:v>
      </x:c>
    </x:row>
    <x:row r="17">
      <x:c r="A17" s="46" t="str">
        <x:v>LFP-0016</x:v>
      </x:c>
      <x:c r="B17" s="46" t="str">
        <x:v>pheasant:roasted</x:v>
      </x:c>
      <x:c r="C17" s="46" t="str">
        <x:v>pheasant</x:v>
      </x:c>
      <x:c r="D17" s="46" t="str">
        <x:v>avian</x:v>
      </x:c>
      <x:c r="E17" s="46" t="str">
        <x:v>game_bird</x:v>
      </x:c>
      <x:c r="F17" s="46" t="str">
        <x:v>roasted_landfowl</x:v>
      </x:c>
      <x:c r="G17" s="46" t="str">
        <x:v>roasted</x:v>
      </x:c>
      <x:c r="H17" s="46" t="str">
        <x:v>3-nonen-2-one</x:v>
      </x:c>
      <x:c r="I17" s="46" t="str">
        <x:v>3-Nonen-2-on</x:v>
      </x:c>
      <x:c r="J17" s="46" t="str">
        <x:v>14309-57-0</x:v>
      </x:c>
      <x:c r="K17" s="46" t="str">
        <x:v>Carbonyls, ketones</x:v>
      </x:c>
      <x:c r="L17" s="46" t="n">
        <x:v>987</x:v>
      </x:c>
      <x:c r="M17" s="46" t="str">
        <x:v>n.d.</x:v>
      </x:c>
      <x:c r="N17" s="46" t="str">
        <x:v>landfowl_shared_base</x:v>
      </x:c>
      <x:c r="O17" s="46" t="str">
        <x:v>measured_occurrence_table17</x:v>
      </x:c>
      <x:c r="P17" s="46" t="str">
        <x:v>SRC-LANDFOWL-THESIS-001</x:v>
      </x:c>
      <x:c r="Q17" s="46" t="str">
        <x:v>https://elib.tiho-hannover.de/servlets/MCRFileNodeServlet/etd_derivate_00001197/baruths_ws10.pdf</x:v>
      </x:c>
      <x:c r="R17" s="46" t="n">
        <x:v>66</x:v>
      </x:c>
      <x:c r="S17" s="46" t="str">
        <x:v>quarantined_pending_corrected_table18_transcription</x:v>
      </x:c>
      <x:c r="T17" s="46" t="str">
        <x:v>eligible_presence_cluster_base</x:v>
      </x:c>
      <x:c r="U17" s="46" t="str">
        <x:v>Direct occurrence matrix. Shared occurrence does not imply equal abundance or sensory importance.</x:v>
      </x:c>
    </x:row>
    <x:row r="18">
      <x:c r="A18" s="46" t="str">
        <x:v>LFP-0017</x:v>
      </x:c>
      <x:c r="B18" s="46" t="str">
        <x:v>pheasant:roasted</x:v>
      </x:c>
      <x:c r="C18" s="46" t="str">
        <x:v>pheasant</x:v>
      </x:c>
      <x:c r="D18" s="46" t="str">
        <x:v>avian</x:v>
      </x:c>
      <x:c r="E18" s="46" t="str">
        <x:v>game_bird</x:v>
      </x:c>
      <x:c r="F18" s="46" t="str">
        <x:v>roasted_landfowl</x:v>
      </x:c>
      <x:c r="G18" s="46" t="str">
        <x:v>roasted</x:v>
      </x:c>
      <x:c r="H18" s="46" t="str">
        <x:v>(E,E)-2,4-heptadienal</x:v>
      </x:c>
      <x:c r="I18" s="46" t="str">
        <x:v>2,4-(E,E)-Heptadienal</x:v>
      </x:c>
      <x:c r="J18" s="46" t="str">
        <x:v>4313-03-5</x:v>
      </x:c>
      <x:c r="K18" s="46" t="str">
        <x:v>Carbonyls, aldehydes</x:v>
      </x:c>
      <x:c r="L18" s="46" t="n">
        <x:v>996</x:v>
      </x:c>
      <x:c r="M18" s="46" t="str">
        <x:v>n.d.</x:v>
      </x:c>
      <x:c r="N18" s="46" t="str">
        <x:v>landfowl_shared_base</x:v>
      </x:c>
      <x:c r="O18" s="46" t="str">
        <x:v>measured_occurrence_table17</x:v>
      </x:c>
      <x:c r="P18" s="46" t="str">
        <x:v>SRC-LANDFOWL-THESIS-001</x:v>
      </x:c>
      <x:c r="Q18" s="46" t="str">
        <x:v>https://elib.tiho-hannover.de/servlets/MCRFileNodeServlet/etd_derivate_00001197/baruths_ws10.pdf</x:v>
      </x:c>
      <x:c r="R18" s="46" t="n">
        <x:v>66</x:v>
      </x:c>
      <x:c r="S18" s="46" t="str">
        <x:v>quarantined_pending_corrected_table18_transcription</x:v>
      </x:c>
      <x:c r="T18" s="46" t="str">
        <x:v>eligible_presence_cluster_base</x:v>
      </x:c>
      <x:c r="U18" s="46" t="str">
        <x:v>Direct occurrence matrix. Shared occurrence does not imply equal abundance or sensory importance.</x:v>
      </x:c>
    </x:row>
    <x:row r="19">
      <x:c r="A19" s="46" t="str">
        <x:v>LFP-0018</x:v>
      </x:c>
      <x:c r="B19" s="46" t="str">
        <x:v>pheasant:roasted</x:v>
      </x:c>
      <x:c r="C19" s="46" t="str">
        <x:v>pheasant</x:v>
      </x:c>
      <x:c r="D19" s="46" t="str">
        <x:v>avian</x:v>
      </x:c>
      <x:c r="E19" s="46" t="str">
        <x:v>game_bird</x:v>
      </x:c>
      <x:c r="F19" s="46" t="str">
        <x:v>roasted_landfowl</x:v>
      </x:c>
      <x:c r="G19" s="46" t="str">
        <x:v>roasted</x:v>
      </x:c>
      <x:c r="H19" s="46" t="str">
        <x:v>octanal</x:v>
      </x:c>
      <x:c r="I19" s="46" t="str">
        <x:v>Octanal</x:v>
      </x:c>
      <x:c r="J19" s="46" t="str">
        <x:v>124-13-0</x:v>
      </x:c>
      <x:c r="K19" s="46" t="str">
        <x:v>Carbonyls, aldehydes</x:v>
      </x:c>
      <x:c r="L19" s="46" t="n">
        <x:v>1002</x:v>
      </x:c>
      <x:c r="M19" s="46" t="str">
        <x:v>Blumig, stechend</x:v>
      </x:c>
      <x:c r="N19" s="46" t="str">
        <x:v>landfowl_shared_base</x:v>
      </x:c>
      <x:c r="O19" s="46" t="str">
        <x:v>measured_occurrence_table17</x:v>
      </x:c>
      <x:c r="P19" s="46" t="str">
        <x:v>SRC-LANDFOWL-THESIS-001</x:v>
      </x:c>
      <x:c r="Q19" s="46" t="str">
        <x:v>https://elib.tiho-hannover.de/servlets/MCRFileNodeServlet/etd_derivate_00001197/baruths_ws10.pdf</x:v>
      </x:c>
      <x:c r="R19" s="46" t="n">
        <x:v>66</x:v>
      </x:c>
      <x:c r="S19" s="46" t="str">
        <x:v>quarantined_pending_corrected_table18_transcription</x:v>
      </x:c>
      <x:c r="T19" s="46" t="str">
        <x:v>eligible_presence_cluster_base</x:v>
      </x:c>
      <x:c r="U19" s="46" t="str">
        <x:v>Direct occurrence matrix. Shared occurrence does not imply equal abundance or sensory importance.</x:v>
      </x:c>
    </x:row>
    <x:row r="20">
      <x:c r="A20" s="46" t="str">
        <x:v>LFP-0019</x:v>
      </x:c>
      <x:c r="B20" s="46" t="str">
        <x:v>pheasant:roasted</x:v>
      </x:c>
      <x:c r="C20" s="46" t="str">
        <x:v>pheasant</x:v>
      </x:c>
      <x:c r="D20" s="46" t="str">
        <x:v>avian</x:v>
      </x:c>
      <x:c r="E20" s="46" t="str">
        <x:v>game_bird</x:v>
      </x:c>
      <x:c r="F20" s="46" t="str">
        <x:v>roasted_landfowl</x:v>
      </x:c>
      <x:c r="G20" s="46" t="str">
        <x:v>roasted</x:v>
      </x:c>
      <x:c r="H20" s="46" t="str">
        <x:v>(E,Z)-2,4-heptadienal</x:v>
      </x:c>
      <x:c r="I20" s="46" t="str">
        <x:v>2,4-(E,Z)-Heptadienal</x:v>
      </x:c>
      <x:c r="J20" s="46" t="str">
        <x:v>4313-02-4</x:v>
      </x:c>
      <x:c r="K20" s="46" t="str">
        <x:v>Carbonyls, aldehydes</x:v>
      </x:c>
      <x:c r="L20" s="46" t="n">
        <x:v>1011</x:v>
      </x:c>
      <x:c r="M20" s="46" t="str">
        <x:v>geröstet, Zimt</x:v>
      </x:c>
      <x:c r="N20" s="46" t="str">
        <x:v>landfowl_shared_base</x:v>
      </x:c>
      <x:c r="O20" s="46" t="str">
        <x:v>measured_occurrence_table17</x:v>
      </x:c>
      <x:c r="P20" s="46" t="str">
        <x:v>SRC-LANDFOWL-THESIS-001</x:v>
      </x:c>
      <x:c r="Q20" s="46" t="str">
        <x:v>https://elib.tiho-hannover.de/servlets/MCRFileNodeServlet/etd_derivate_00001197/baruths_ws10.pdf</x:v>
      </x:c>
      <x:c r="R20" s="46" t="n">
        <x:v>66</x:v>
      </x:c>
      <x:c r="S20" s="46" t="str">
        <x:v>quarantined_pending_corrected_table18_transcription</x:v>
      </x:c>
      <x:c r="T20" s="46" t="str">
        <x:v>eligible_presence_cluster_base</x:v>
      </x:c>
      <x:c r="U20" s="46" t="str">
        <x:v>Direct occurrence matrix. Shared occurrence does not imply equal abundance or sensory importance.</x:v>
      </x:c>
    </x:row>
    <x:row r="21">
      <x:c r="A21" s="46" t="str">
        <x:v>LFP-0020</x:v>
      </x:c>
      <x:c r="B21" s="46" t="str">
        <x:v>pheasant:roasted</x:v>
      </x:c>
      <x:c r="C21" s="46" t="str">
        <x:v>pheasant</x:v>
      </x:c>
      <x:c r="D21" s="46" t="str">
        <x:v>avian</x:v>
      </x:c>
      <x:c r="E21" s="46" t="str">
        <x:v>game_bird</x:v>
      </x:c>
      <x:c r="F21" s="46" t="str">
        <x:v>roasted_landfowl</x:v>
      </x:c>
      <x:c r="G21" s="46" t="str">
        <x:v>roasted</x:v>
      </x:c>
      <x:c r="H21" s="46" t="str">
        <x:v>(E)-2-octenal</x:v>
      </x:c>
      <x:c r="I21" s="46" t="str">
        <x:v>2-(E)-Octenal</x:v>
      </x:c>
      <x:c r="J21" s="46" t="str">
        <x:v>2548-87-0</x:v>
      </x:c>
      <x:c r="K21" s="46" t="str">
        <x:v>Carbonyls, aldehydes</x:v>
      </x:c>
      <x:c r="L21" s="46" t="n">
        <x:v>1050</x:v>
      </x:c>
      <x:c r="M21" s="46" t="str">
        <x:v>Feuchte Erde</x:v>
      </x:c>
      <x:c r="N21" s="46" t="str">
        <x:v>landfowl_shared_base</x:v>
      </x:c>
      <x:c r="O21" s="46" t="str">
        <x:v>measured_occurrence_table17</x:v>
      </x:c>
      <x:c r="P21" s="46" t="str">
        <x:v>SRC-LANDFOWL-THESIS-001</x:v>
      </x:c>
      <x:c r="Q21" s="46" t="str">
        <x:v>https://elib.tiho-hannover.de/servlets/MCRFileNodeServlet/etd_derivate_00001197/baruths_ws10.pdf</x:v>
      </x:c>
      <x:c r="R21" s="46" t="n">
        <x:v>66</x:v>
      </x:c>
      <x:c r="S21" s="46" t="str">
        <x:v>quarantined_pending_corrected_table18_transcription</x:v>
      </x:c>
      <x:c r="T21" s="46" t="str">
        <x:v>eligible_presence_cluster_base</x:v>
      </x:c>
      <x:c r="U21" s="46" t="str">
        <x:v>Direct occurrence matrix. Shared occurrence does not imply equal abundance or sensory importance.</x:v>
      </x:c>
    </x:row>
    <x:row r="22">
      <x:c r="A22" s="46" t="str">
        <x:v>LFP-0021</x:v>
      </x:c>
      <x:c r="B22" s="46" t="str">
        <x:v>pheasant:roasted</x:v>
      </x:c>
      <x:c r="C22" s="46" t="str">
        <x:v>pheasant</x:v>
      </x:c>
      <x:c r="D22" s="46" t="str">
        <x:v>avian</x:v>
      </x:c>
      <x:c r="E22" s="46" t="str">
        <x:v>game_bird</x:v>
      </x:c>
      <x:c r="F22" s="46" t="str">
        <x:v>roasted_landfowl</x:v>
      </x:c>
      <x:c r="G22" s="46" t="str">
        <x:v>roasted</x:v>
      </x:c>
      <x:c r="H22" s="46" t="str">
        <x:v>1-octanol</x:v>
      </x:c>
      <x:c r="I22" s="46" t="str">
        <x:v>1-Octanol</x:v>
      </x:c>
      <x:c r="J22" s="46" t="str">
        <x:v>111-87-5</x:v>
      </x:c>
      <x:c r="K22" s="46" t="str">
        <x:v>Alcohols</x:v>
      </x:c>
      <x:c r="L22" s="46" t="n">
        <x:v>1073</x:v>
      </x:c>
      <x:c r="M22" s="46" t="str">
        <x:v>Butter, fettig</x:v>
      </x:c>
      <x:c r="N22" s="46" t="str">
        <x:v>landfowl_shared_base</x:v>
      </x:c>
      <x:c r="O22" s="46" t="str">
        <x:v>measured_occurrence_table17</x:v>
      </x:c>
      <x:c r="P22" s="46" t="str">
        <x:v>SRC-LANDFOWL-THESIS-001</x:v>
      </x:c>
      <x:c r="Q22" s="46" t="str">
        <x:v>https://elib.tiho-hannover.de/servlets/MCRFileNodeServlet/etd_derivate_00001197/baruths_ws10.pdf</x:v>
      </x:c>
      <x:c r="R22" s="46" t="n">
        <x:v>66</x:v>
      </x:c>
      <x:c r="S22" s="46" t="str">
        <x:v>quarantined_pending_corrected_table18_transcription</x:v>
      </x:c>
      <x:c r="T22" s="46" t="str">
        <x:v>eligible_presence_cluster_base</x:v>
      </x:c>
      <x:c r="U22" s="46" t="str">
        <x:v>Direct occurrence matrix. Shared occurrence does not imply equal abundance or sensory importance.</x:v>
      </x:c>
    </x:row>
    <x:row r="23">
      <x:c r="A23" s="46" t="str">
        <x:v>LFP-0022</x:v>
      </x:c>
      <x:c r="B23" s="46" t="str">
        <x:v>pheasant:roasted</x:v>
      </x:c>
      <x:c r="C23" s="46" t="str">
        <x:v>pheasant</x:v>
      </x:c>
      <x:c r="D23" s="46" t="str">
        <x:v>avian</x:v>
      </x:c>
      <x:c r="E23" s="46" t="str">
        <x:v>game_bird</x:v>
      </x:c>
      <x:c r="F23" s="46" t="str">
        <x:v>roasted_landfowl</x:v>
      </x:c>
      <x:c r="G23" s="46" t="str">
        <x:v>roasted</x:v>
      </x:c>
      <x:c r="H23" s="46" t="str">
        <x:v>undecane</x:v>
      </x:c>
      <x:c r="I23" s="46" t="str">
        <x:v>Undecan</x:v>
      </x:c>
      <x:c r="J23" s="46" t="str">
        <x:v>1120-21-4</x:v>
      </x:c>
      <x:c r="K23" s="46" t="str">
        <x:v>Hydrocarbons</x:v>
      </x:c>
      <x:c r="L23" s="46" t="n">
        <x:v>1098</x:v>
      </x:c>
      <x:c r="M23" s="46" t="str">
        <x:v>n.d.</x:v>
      </x:c>
      <x:c r="N23" s="46" t="str">
        <x:v>landfowl_shared_base</x:v>
      </x:c>
      <x:c r="O23" s="46" t="str">
        <x:v>measured_occurrence_table17</x:v>
      </x:c>
      <x:c r="P23" s="46" t="str">
        <x:v>SRC-LANDFOWL-THESIS-001</x:v>
      </x:c>
      <x:c r="Q23" s="46" t="str">
        <x:v>https://elib.tiho-hannover.de/servlets/MCRFileNodeServlet/etd_derivate_00001197/baruths_ws10.pdf</x:v>
      </x:c>
      <x:c r="R23" s="46" t="n">
        <x:v>66</x:v>
      </x:c>
      <x:c r="S23" s="46" t="str">
        <x:v>quarantined_pending_corrected_table18_transcription</x:v>
      </x:c>
      <x:c r="T23" s="46" t="str">
        <x:v>eligible_presence_cluster_base</x:v>
      </x:c>
      <x:c r="U23" s="46" t="str">
        <x:v>Direct occurrence matrix. Shared occurrence does not imply equal abundance or sensory importance.</x:v>
      </x:c>
    </x:row>
    <x:row r="24">
      <x:c r="A24" s="46" t="str">
        <x:v>LFP-0023</x:v>
      </x:c>
      <x:c r="B24" s="46" t="str">
        <x:v>pheasant:roasted</x:v>
      </x:c>
      <x:c r="C24" s="46" t="str">
        <x:v>pheasant</x:v>
      </x:c>
      <x:c r="D24" s="46" t="str">
        <x:v>avian</x:v>
      </x:c>
      <x:c r="E24" s="46" t="str">
        <x:v>game_bird</x:v>
      </x:c>
      <x:c r="F24" s="46" t="str">
        <x:v>roasted_landfowl</x:v>
      </x:c>
      <x:c r="G24" s="46" t="str">
        <x:v>roasted</x:v>
      </x:c>
      <x:c r="H24" s="46" t="str">
        <x:v>nonanal</x:v>
      </x:c>
      <x:c r="I24" s="46" t="str">
        <x:v>Nonanal</x:v>
      </x:c>
      <x:c r="J24" s="46" t="str">
        <x:v>124-19-6</x:v>
      </x:c>
      <x:c r="K24" s="46" t="str">
        <x:v>Carbonyls, aldehydes</x:v>
      </x:c>
      <x:c r="L24" s="46" t="n">
        <x:v>1105</x:v>
      </x:c>
      <x:c r="M24" s="46" t="str">
        <x:v>Kohle, Rauch</x:v>
      </x:c>
      <x:c r="N24" s="46" t="str">
        <x:v>landfowl_shared_base</x:v>
      </x:c>
      <x:c r="O24" s="46" t="str">
        <x:v>measured_occurrence_table17</x:v>
      </x:c>
      <x:c r="P24" s="46" t="str">
        <x:v>SRC-LANDFOWL-THESIS-001</x:v>
      </x:c>
      <x:c r="Q24" s="46" t="str">
        <x:v>https://elib.tiho-hannover.de/servlets/MCRFileNodeServlet/etd_derivate_00001197/baruths_ws10.pdf</x:v>
      </x:c>
      <x:c r="R24" s="46" t="n">
        <x:v>66</x:v>
      </x:c>
      <x:c r="S24" s="46" t="str">
        <x:v>quarantined_pending_corrected_table18_transcription</x:v>
      </x:c>
      <x:c r="T24" s="46" t="str">
        <x:v>eligible_presence_cluster_base</x:v>
      </x:c>
      <x:c r="U24" s="46" t="str">
        <x:v>Direct occurrence matrix. Shared occurrence does not imply equal abundance or sensory importance.</x:v>
      </x:c>
    </x:row>
    <x:row r="25">
      <x:c r="A25" s="46" t="str">
        <x:v>LFP-0024</x:v>
      </x:c>
      <x:c r="B25" s="46" t="str">
        <x:v>pheasant:roasted</x:v>
      </x:c>
      <x:c r="C25" s="46" t="str">
        <x:v>pheasant</x:v>
      </x:c>
      <x:c r="D25" s="46" t="str">
        <x:v>avian</x:v>
      </x:c>
      <x:c r="E25" s="46" t="str">
        <x:v>game_bird</x:v>
      </x:c>
      <x:c r="F25" s="46" t="str">
        <x:v>roasted_landfowl</x:v>
      </x:c>
      <x:c r="G25" s="46" t="str">
        <x:v>roasted</x:v>
      </x:c>
      <x:c r="H25" s="46" t="str">
        <x:v>(E)-2-nonenal</x:v>
      </x:c>
      <x:c r="I25" s="46" t="str">
        <x:v>2-(E)-Nonenal</x:v>
      </x:c>
      <x:c r="J25" s="46" t="str">
        <x:v>18829-56-6</x:v>
      </x:c>
      <x:c r="K25" s="46" t="str">
        <x:v>Carbonyls, aldehydes</x:v>
      </x:c>
      <x:c r="L25" s="46" t="n">
        <x:v>1162</x:v>
      </x:c>
      <x:c r="M25" s="46" t="str">
        <x:v>Lindenblüten</x:v>
      </x:c>
      <x:c r="N25" s="46" t="str">
        <x:v>landfowl_shared_base</x:v>
      </x:c>
      <x:c r="O25" s="46" t="str">
        <x:v>measured_occurrence_table17</x:v>
      </x:c>
      <x:c r="P25" s="46" t="str">
        <x:v>SRC-LANDFOWL-THESIS-001</x:v>
      </x:c>
      <x:c r="Q25" s="46" t="str">
        <x:v>https://elib.tiho-hannover.de/servlets/MCRFileNodeServlet/etd_derivate_00001197/baruths_ws10.pdf</x:v>
      </x:c>
      <x:c r="R25" s="46" t="n">
        <x:v>66</x:v>
      </x:c>
      <x:c r="S25" s="46" t="str">
        <x:v>quarantined_pending_corrected_table18_transcription</x:v>
      </x:c>
      <x:c r="T25" s="46" t="str">
        <x:v>eligible_presence_cluster_base</x:v>
      </x:c>
      <x:c r="U25" s="46" t="str">
        <x:v>Direct occurrence matrix. Shared occurrence does not imply equal abundance or sensory importance.</x:v>
      </x:c>
    </x:row>
    <x:row r="26">
      <x:c r="A26" s="46" t="str">
        <x:v>LFP-0025</x:v>
      </x:c>
      <x:c r="B26" s="46" t="str">
        <x:v>pheasant:roasted</x:v>
      </x:c>
      <x:c r="C26" s="46" t="str">
        <x:v>pheasant</x:v>
      </x:c>
      <x:c r="D26" s="46" t="str">
        <x:v>avian</x:v>
      </x:c>
      <x:c r="E26" s="46" t="str">
        <x:v>game_bird</x:v>
      </x:c>
      <x:c r="F26" s="46" t="str">
        <x:v>roasted_landfowl</x:v>
      </x:c>
      <x:c r="G26" s="46" t="str">
        <x:v>roasted</x:v>
      </x:c>
      <x:c r="H26" s="46" t="str">
        <x:v>1-nonanol</x:v>
      </x:c>
      <x:c r="I26" s="46" t="str">
        <x:v>1-Nonanol</x:v>
      </x:c>
      <x:c r="J26" s="46" t="str">
        <x:v>143-08-8</x:v>
      </x:c>
      <x:c r="K26" s="46" t="str">
        <x:v>Alcohols</x:v>
      </x:c>
      <x:c r="L26" s="46" t="n">
        <x:v>1172</x:v>
      </x:c>
      <x:c r="M26" s="46" t="str">
        <x:v>n.d.</x:v>
      </x:c>
      <x:c r="N26" s="46" t="str">
        <x:v>landfowl_shared_base</x:v>
      </x:c>
      <x:c r="O26" s="46" t="str">
        <x:v>measured_occurrence_table17</x:v>
      </x:c>
      <x:c r="P26" s="46" t="str">
        <x:v>SRC-LANDFOWL-THESIS-001</x:v>
      </x:c>
      <x:c r="Q26" s="46" t="str">
        <x:v>https://elib.tiho-hannover.de/servlets/MCRFileNodeServlet/etd_derivate_00001197/baruths_ws10.pdf</x:v>
      </x:c>
      <x:c r="R26" s="46" t="n">
        <x:v>66</x:v>
      </x:c>
      <x:c r="S26" s="46" t="str">
        <x:v>quarantined_pending_corrected_table18_transcription</x:v>
      </x:c>
      <x:c r="T26" s="46" t="str">
        <x:v>eligible_presence_cluster_base</x:v>
      </x:c>
      <x:c r="U26" s="46" t="str">
        <x:v>Direct occurrence matrix. Shared occurrence does not imply equal abundance or sensory importance.</x:v>
      </x:c>
    </x:row>
    <x:row r="27">
      <x:c r="A27" s="46" t="str">
        <x:v>LFP-0026</x:v>
      </x:c>
      <x:c r="B27" s="46" t="str">
        <x:v>pheasant:roasted</x:v>
      </x:c>
      <x:c r="C27" s="46" t="str">
        <x:v>pheasant</x:v>
      </x:c>
      <x:c r="D27" s="46" t="str">
        <x:v>avian</x:v>
      </x:c>
      <x:c r="E27" s="46" t="str">
        <x:v>game_bird</x:v>
      </x:c>
      <x:c r="F27" s="46" t="str">
        <x:v>roasted_landfowl</x:v>
      </x:c>
      <x:c r="G27" s="46" t="str">
        <x:v>roasted</x:v>
      </x:c>
      <x:c r="H27" s="46" t="str">
        <x:v>dodecane</x:v>
      </x:c>
      <x:c r="I27" s="46" t="str">
        <x:v>Dodecan</x:v>
      </x:c>
      <x:c r="J27" s="46" t="str">
        <x:v>112-40-3</x:v>
      </x:c>
      <x:c r="K27" s="46" t="str">
        <x:v>Hydrocarbons</x:v>
      </x:c>
      <x:c r="L27" s="46" t="n">
        <x:v>1200</x:v>
      </x:c>
      <x:c r="M27" s="46" t="str">
        <x:v>n.d.</x:v>
      </x:c>
      <x:c r="N27" s="46" t="str">
        <x:v>landfowl_shared_base</x:v>
      </x:c>
      <x:c r="O27" s="46" t="str">
        <x:v>measured_occurrence_table17</x:v>
      </x:c>
      <x:c r="P27" s="46" t="str">
        <x:v>SRC-LANDFOWL-THESIS-001</x:v>
      </x:c>
      <x:c r="Q27" s="46" t="str">
        <x:v>https://elib.tiho-hannover.de/servlets/MCRFileNodeServlet/etd_derivate_00001197/baruths_ws10.pdf</x:v>
      </x:c>
      <x:c r="R27" s="46" t="n">
        <x:v>66</x:v>
      </x:c>
      <x:c r="S27" s="46" t="str">
        <x:v>quarantined_pending_corrected_table18_transcription</x:v>
      </x:c>
      <x:c r="T27" s="46" t="str">
        <x:v>eligible_presence_cluster_base</x:v>
      </x:c>
      <x:c r="U27" s="46" t="str">
        <x:v>Direct occurrence matrix. Shared occurrence does not imply equal abundance or sensory importance.</x:v>
      </x:c>
    </x:row>
    <x:row r="28">
      <x:c r="A28" s="46" t="str">
        <x:v>LFP-0027</x:v>
      </x:c>
      <x:c r="B28" s="46" t="str">
        <x:v>pheasant:roasted</x:v>
      </x:c>
      <x:c r="C28" s="46" t="str">
        <x:v>pheasant</x:v>
      </x:c>
      <x:c r="D28" s="46" t="str">
        <x:v>avian</x:v>
      </x:c>
      <x:c r="E28" s="46" t="str">
        <x:v>game_bird</x:v>
      </x:c>
      <x:c r="F28" s="46" t="str">
        <x:v>roasted_landfowl</x:v>
      </x:c>
      <x:c r="G28" s="46" t="str">
        <x:v>roasted</x:v>
      </x:c>
      <x:c r="H28" s="46" t="str">
        <x:v>decanal</x:v>
      </x:c>
      <x:c r="I28" s="46" t="str">
        <x:v>Decanal</x:v>
      </x:c>
      <x:c r="J28" s="46" t="str">
        <x:v>112-31-2</x:v>
      </x:c>
      <x:c r="K28" s="46" t="str">
        <x:v>Carbonyls, aldehydes</x:v>
      </x:c>
      <x:c r="L28" s="46" t="n">
        <x:v>1206</x:v>
      </x:c>
      <x:c r="M28" s="46" t="str">
        <x:v>Rübe</x:v>
      </x:c>
      <x:c r="N28" s="46" t="str">
        <x:v>landfowl_shared_base</x:v>
      </x:c>
      <x:c r="O28" s="46" t="str">
        <x:v>measured_occurrence_table17</x:v>
      </x:c>
      <x:c r="P28" s="46" t="str">
        <x:v>SRC-LANDFOWL-THESIS-001</x:v>
      </x:c>
      <x:c r="Q28" s="46" t="str">
        <x:v>https://elib.tiho-hannover.de/servlets/MCRFileNodeServlet/etd_derivate_00001197/baruths_ws10.pdf</x:v>
      </x:c>
      <x:c r="R28" s="46" t="n">
        <x:v>66</x:v>
      </x:c>
      <x:c r="S28" s="46" t="str">
        <x:v>quarantined_pending_corrected_table18_transcription</x:v>
      </x:c>
      <x:c r="T28" s="46" t="str">
        <x:v>eligible_presence_cluster_base</x:v>
      </x:c>
      <x:c r="U28" s="46" t="str">
        <x:v>Direct occurrence matrix. Shared occurrence does not imply equal abundance or sensory importance.</x:v>
      </x:c>
    </x:row>
    <x:row r="29">
      <x:c r="A29" s="46" t="str">
        <x:v>LFP-0028</x:v>
      </x:c>
      <x:c r="B29" s="46" t="str">
        <x:v>pheasant:roasted</x:v>
      </x:c>
      <x:c r="C29" s="46" t="str">
        <x:v>pheasant</x:v>
      </x:c>
      <x:c r="D29" s="46" t="str">
        <x:v>avian</x:v>
      </x:c>
      <x:c r="E29" s="46" t="str">
        <x:v>game_bird</x:v>
      </x:c>
      <x:c r="F29" s="46" t="str">
        <x:v>roasted_landfowl</x:v>
      </x:c>
      <x:c r="G29" s="46" t="str">
        <x:v>roasted</x:v>
      </x:c>
      <x:c r="H29" s="46" t="str">
        <x:v>(E,E)-2,4-nonadienal</x:v>
      </x:c>
      <x:c r="I29" s="46" t="str">
        <x:v>2,4-(E,E)-Nonadienal</x:v>
      </x:c>
      <x:c r="J29" s="46" t="str">
        <x:v>5910-87-2</x:v>
      </x:c>
      <x:c r="K29" s="46" t="str">
        <x:v>Carbonyls, aldehydes</x:v>
      </x:c>
      <x:c r="L29" s="46" t="n">
        <x:v>1217</x:v>
      </x:c>
      <x:c r="M29" s="46" t="str">
        <x:v>n.d.</x:v>
      </x:c>
      <x:c r="N29" s="46" t="str">
        <x:v>landfowl_shared_base</x:v>
      </x:c>
      <x:c r="O29" s="46" t="str">
        <x:v>measured_occurrence_table17</x:v>
      </x:c>
      <x:c r="P29" s="46" t="str">
        <x:v>SRC-LANDFOWL-THESIS-001</x:v>
      </x:c>
      <x:c r="Q29" s="46" t="str">
        <x:v>https://elib.tiho-hannover.de/servlets/MCRFileNodeServlet/etd_derivate_00001197/baruths_ws10.pdf</x:v>
      </x:c>
      <x:c r="R29" s="46" t="n">
        <x:v>66</x:v>
      </x:c>
      <x:c r="S29" s="46" t="str">
        <x:v>quarantined_pending_corrected_table18_transcription</x:v>
      </x:c>
      <x:c r="T29" s="46" t="str">
        <x:v>eligible_presence_cluster_base</x:v>
      </x:c>
      <x:c r="U29" s="46" t="str">
        <x:v>Direct occurrence matrix. Shared occurrence does not imply equal abundance or sensory importance.</x:v>
      </x:c>
    </x:row>
    <x:row r="30">
      <x:c r="A30" s="46" t="str">
        <x:v>LFP-0029</x:v>
      </x:c>
      <x:c r="B30" s="46" t="str">
        <x:v>pheasant:roasted</x:v>
      </x:c>
      <x:c r="C30" s="46" t="str">
        <x:v>pheasant</x:v>
      </x:c>
      <x:c r="D30" s="46" t="str">
        <x:v>avian</x:v>
      </x:c>
      <x:c r="E30" s="46" t="str">
        <x:v>game_bird</x:v>
      </x:c>
      <x:c r="F30" s="46" t="str">
        <x:v>roasted_landfowl</x:v>
      </x:c>
      <x:c r="G30" s="46" t="str">
        <x:v>roasted</x:v>
      </x:c>
      <x:c r="H30" s="46" t="str">
        <x:v>(E)-2-decenal</x:v>
      </x:c>
      <x:c r="I30" s="46" t="str">
        <x:v>2-(E)-Decenal</x:v>
      </x:c>
      <x:c r="J30" s="46" t="str">
        <x:v>3913-81-3</x:v>
      </x:c>
      <x:c r="K30" s="46" t="str">
        <x:v>Carbonyls, aldehydes</x:v>
      </x:c>
      <x:c r="L30" s="46" t="n">
        <x:v>1269</x:v>
      </x:c>
      <x:c r="M30" s="46" t="str">
        <x:v>Fleisch, fettig</x:v>
      </x:c>
      <x:c r="N30" s="46" t="str">
        <x:v>landfowl_shared_base</x:v>
      </x:c>
      <x:c r="O30" s="46" t="str">
        <x:v>measured_occurrence_table17</x:v>
      </x:c>
      <x:c r="P30" s="46" t="str">
        <x:v>SRC-LANDFOWL-THESIS-001</x:v>
      </x:c>
      <x:c r="Q30" s="46" t="str">
        <x:v>https://elib.tiho-hannover.de/servlets/MCRFileNodeServlet/etd_derivate_00001197/baruths_ws10.pdf</x:v>
      </x:c>
      <x:c r="R30" s="46" t="n">
        <x:v>66</x:v>
      </x:c>
      <x:c r="S30" s="46" t="str">
        <x:v>quarantined_pending_corrected_table18_transcription</x:v>
      </x:c>
      <x:c r="T30" s="46" t="str">
        <x:v>eligible_presence_cluster_base</x:v>
      </x:c>
      <x:c r="U30" s="46" t="str">
        <x:v>Direct occurrence matrix. Shared occurrence does not imply equal abundance or sensory importance.</x:v>
      </x:c>
    </x:row>
    <x:row r="31">
      <x:c r="A31" s="46" t="str">
        <x:v>LFP-0030</x:v>
      </x:c>
      <x:c r="B31" s="46" t="str">
        <x:v>pheasant:roasted</x:v>
      </x:c>
      <x:c r="C31" s="46" t="str">
        <x:v>pheasant</x:v>
      </x:c>
      <x:c r="D31" s="46" t="str">
        <x:v>avian</x:v>
      </x:c>
      <x:c r="E31" s="46" t="str">
        <x:v>game_bird</x:v>
      </x:c>
      <x:c r="F31" s="46" t="str">
        <x:v>roasted_landfowl</x:v>
      </x:c>
      <x:c r="G31" s="46" t="str">
        <x:v>roasted</x:v>
      </x:c>
      <x:c r="H31" s="46" t="str">
        <x:v>(E,E)-2,4-decadienal</x:v>
      </x:c>
      <x:c r="I31" s="46" t="str">
        <x:v>2,4-(E,E)-Decadienal</x:v>
      </x:c>
      <x:c r="J31" s="46" t="str">
        <x:v>25152-84-5</x:v>
      </x:c>
      <x:c r="K31" s="46" t="str">
        <x:v>Carbonyls, aldehydes</x:v>
      </x:c>
      <x:c r="L31" s="46" t="n">
        <x:v>1307</x:v>
      </x:c>
      <x:c r="M31" s="46" t="str">
        <x:v>geröstet, Zwiebel</x:v>
      </x:c>
      <x:c r="N31" s="46" t="str">
        <x:v>landfowl_shared_base</x:v>
      </x:c>
      <x:c r="O31" s="46" t="str">
        <x:v>measured_occurrence_table17</x:v>
      </x:c>
      <x:c r="P31" s="46" t="str">
        <x:v>SRC-LANDFOWL-THESIS-001</x:v>
      </x:c>
      <x:c r="Q31" s="46" t="str">
        <x:v>https://elib.tiho-hannover.de/servlets/MCRFileNodeServlet/etd_derivate_00001197/baruths_ws10.pdf</x:v>
      </x:c>
      <x:c r="R31" s="46" t="n">
        <x:v>66</x:v>
      </x:c>
      <x:c r="S31" s="46" t="str">
        <x:v>quarantined_pending_corrected_table18_transcription</x:v>
      </x:c>
      <x:c r="T31" s="46" t="str">
        <x:v>eligible_presence_cluster_base</x:v>
      </x:c>
      <x:c r="U31" s="46" t="str">
        <x:v>Direct occurrence matrix. Shared occurrence does not imply equal abundance or sensory importance.</x:v>
      </x:c>
    </x:row>
    <x:row r="32">
      <x:c r="A32" s="46" t="str">
        <x:v>LFP-0031</x:v>
      </x:c>
      <x:c r="B32" s="46" t="str">
        <x:v>pheasant:roasted</x:v>
      </x:c>
      <x:c r="C32" s="46" t="str">
        <x:v>pheasant</x:v>
      </x:c>
      <x:c r="D32" s="46" t="str">
        <x:v>avian</x:v>
      </x:c>
      <x:c r="E32" s="46" t="str">
        <x:v>game_bird</x:v>
      </x:c>
      <x:c r="F32" s="46" t="str">
        <x:v>roasted_landfowl</x:v>
      </x:c>
      <x:c r="G32" s="46" t="str">
        <x:v>roasted</x:v>
      </x:c>
      <x:c r="H32" s="46" t="str">
        <x:v>undecanal</x:v>
      </x:c>
      <x:c r="I32" s="46" t="str">
        <x:v>Undecanal</x:v>
      </x:c>
      <x:c r="J32" s="46" t="str">
        <x:v>112-44-7</x:v>
      </x:c>
      <x:c r="K32" s="46" t="str">
        <x:v>Carbonyls, aldehydes</x:v>
      </x:c>
      <x:c r="L32" s="46" t="n">
        <x:v>1308</x:v>
      </x:c>
      <x:c r="M32" s="46" t="str">
        <x:v>n.d.</x:v>
      </x:c>
      <x:c r="N32" s="46" t="str">
        <x:v>landfowl_shared_base</x:v>
      </x:c>
      <x:c r="O32" s="46" t="str">
        <x:v>measured_occurrence_table17</x:v>
      </x:c>
      <x:c r="P32" s="46" t="str">
        <x:v>SRC-LANDFOWL-THESIS-001</x:v>
      </x:c>
      <x:c r="Q32" s="46" t="str">
        <x:v>https://elib.tiho-hannover.de/servlets/MCRFileNodeServlet/etd_derivate_00001197/baruths_ws10.pdf</x:v>
      </x:c>
      <x:c r="R32" s="46" t="n">
        <x:v>66</x:v>
      </x:c>
      <x:c r="S32" s="46" t="str">
        <x:v>quarantined_pending_corrected_table18_transcription</x:v>
      </x:c>
      <x:c r="T32" s="46" t="str">
        <x:v>eligible_presence_cluster_base</x:v>
      </x:c>
      <x:c r="U32" s="46" t="str">
        <x:v>Direct occurrence matrix. Shared occurrence does not imply equal abundance or sensory importance.</x:v>
      </x:c>
    </x:row>
    <x:row r="33">
      <x:c r="A33" s="46" t="str">
        <x:v>LFP-0032</x:v>
      </x:c>
      <x:c r="B33" s="46" t="str">
        <x:v>pheasant:roasted</x:v>
      </x:c>
      <x:c r="C33" s="46" t="str">
        <x:v>pheasant</x:v>
      </x:c>
      <x:c r="D33" s="46" t="str">
        <x:v>avian</x:v>
      </x:c>
      <x:c r="E33" s="46" t="str">
        <x:v>game_bird</x:v>
      </x:c>
      <x:c r="F33" s="46" t="str">
        <x:v>roasted_landfowl</x:v>
      </x:c>
      <x:c r="G33" s="46" t="str">
        <x:v>roasted</x:v>
      </x:c>
      <x:c r="H33" s="46" t="str">
        <x:v>(E,Z)-2,4-decadienal</x:v>
      </x:c>
      <x:c r="I33" s="46" t="str">
        <x:v>2,4-(E,Z)-Decadienal</x:v>
      </x:c>
      <x:c r="J33" s="46" t="str">
        <x:v>25152-83-4</x:v>
      </x:c>
      <x:c r="K33" s="46" t="str">
        <x:v>Carbonyls, aldehydes</x:v>
      </x:c>
      <x:c r="L33" s="46" t="n">
        <x:v>1333</x:v>
      </x:c>
      <x:c r="M33" s="46" t="str">
        <x:v>nussig, Kekse</x:v>
      </x:c>
      <x:c r="N33" s="46" t="str">
        <x:v>landfowl_shared_base</x:v>
      </x:c>
      <x:c r="O33" s="46" t="str">
        <x:v>measured_occurrence_table17</x:v>
      </x:c>
      <x:c r="P33" s="46" t="str">
        <x:v>SRC-LANDFOWL-THESIS-001</x:v>
      </x:c>
      <x:c r="Q33" s="46" t="str">
        <x:v>https://elib.tiho-hannover.de/servlets/MCRFileNodeServlet/etd_derivate_00001197/baruths_ws10.pdf</x:v>
      </x:c>
      <x:c r="R33" s="46" t="n">
        <x:v>66</x:v>
      </x:c>
      <x:c r="S33" s="46" t="str">
        <x:v>quarantined_pending_corrected_table18_transcription</x:v>
      </x:c>
      <x:c r="T33" s="46" t="str">
        <x:v>eligible_presence_cluster_base</x:v>
      </x:c>
      <x:c r="U33" s="46" t="str">
        <x:v>Direct occurrence matrix. Shared occurrence does not imply equal abundance or sensory importance.</x:v>
      </x:c>
    </x:row>
    <x:row r="34">
      <x:c r="A34" s="46" t="str">
        <x:v>LFP-0033</x:v>
      </x:c>
      <x:c r="B34" s="46" t="str">
        <x:v>pheasant:roasted</x:v>
      </x:c>
      <x:c r="C34" s="46" t="str">
        <x:v>pheasant</x:v>
      </x:c>
      <x:c r="D34" s="46" t="str">
        <x:v>avian</x:v>
      </x:c>
      <x:c r="E34" s="46" t="str">
        <x:v>game_bird</x:v>
      </x:c>
      <x:c r="F34" s="46" t="str">
        <x:v>roasted_landfowl</x:v>
      </x:c>
      <x:c r="G34" s="46" t="str">
        <x:v>roasted</x:v>
      </x:c>
      <x:c r="H34" s="46" t="str">
        <x:v>(E)-2-undecenal</x:v>
      </x:c>
      <x:c r="I34" s="46" t="str">
        <x:v>2-(E)-Undecenal</x:v>
      </x:c>
      <x:c r="J34" s="46" t="str">
        <x:v>53448-07-0</x:v>
      </x:c>
      <x:c r="K34" s="46" t="str">
        <x:v>Carbonyls, aldehydes</x:v>
      </x:c>
      <x:c r="L34" s="46" t="n">
        <x:v>1367</x:v>
      </x:c>
      <x:c r="M34" s="46" t="str">
        <x:v>Fettig, Kekse</x:v>
      </x:c>
      <x:c r="N34" s="46" t="str">
        <x:v>landfowl_shared_base</x:v>
      </x:c>
      <x:c r="O34" s="46" t="str">
        <x:v>measured_occurrence_table17</x:v>
      </x:c>
      <x:c r="P34" s="46" t="str">
        <x:v>SRC-LANDFOWL-THESIS-001</x:v>
      </x:c>
      <x:c r="Q34" s="46" t="str">
        <x:v>https://elib.tiho-hannover.de/servlets/MCRFileNodeServlet/etd_derivate_00001197/baruths_ws10.pdf</x:v>
      </x:c>
      <x:c r="R34" s="46" t="n">
        <x:v>66</x:v>
      </x:c>
      <x:c r="S34" s="46" t="str">
        <x:v>quarantined_pending_corrected_table18_transcription</x:v>
      </x:c>
      <x:c r="T34" s="46" t="str">
        <x:v>eligible_presence_cluster_base</x:v>
      </x:c>
      <x:c r="U34" s="46" t="str">
        <x:v>Direct occurrence matrix. Shared occurrence does not imply equal abundance or sensory importance.</x:v>
      </x:c>
    </x:row>
    <x:row r="35">
      <x:c r="A35" s="46" t="str">
        <x:v>LFP-0034</x:v>
      </x:c>
      <x:c r="B35" s="46" t="str">
        <x:v>pheasant:roasted</x:v>
      </x:c>
      <x:c r="C35" s="46" t="str">
        <x:v>pheasant</x:v>
      </x:c>
      <x:c r="D35" s="46" t="str">
        <x:v>avian</x:v>
      </x:c>
      <x:c r="E35" s="46" t="str">
        <x:v>game_bird</x:v>
      </x:c>
      <x:c r="F35" s="46" t="str">
        <x:v>roasted_landfowl</x:v>
      </x:c>
      <x:c r="G35" s="46" t="str">
        <x:v>roasted</x:v>
      </x:c>
      <x:c r="H35" s="46" t="str">
        <x:v>tetradecane</x:v>
      </x:c>
      <x:c r="I35" s="46" t="str">
        <x:v>Tetradecan</x:v>
      </x:c>
      <x:c r="J35" s="46" t="str">
        <x:v>629-59-4</x:v>
      </x:c>
      <x:c r="K35" s="46" t="str">
        <x:v>Hydrocarbons</x:v>
      </x:c>
      <x:c r="L35" s="46" t="n">
        <x:v>1400</x:v>
      </x:c>
      <x:c r="M35" s="46" t="str">
        <x:v>n.d.</x:v>
      </x:c>
      <x:c r="N35" s="46" t="str">
        <x:v>landfowl_shared_base</x:v>
      </x:c>
      <x:c r="O35" s="46" t="str">
        <x:v>measured_occurrence_table17</x:v>
      </x:c>
      <x:c r="P35" s="46" t="str">
        <x:v>SRC-LANDFOWL-THESIS-001</x:v>
      </x:c>
      <x:c r="Q35" s="46" t="str">
        <x:v>https://elib.tiho-hannover.de/servlets/MCRFileNodeServlet/etd_derivate_00001197/baruths_ws10.pdf</x:v>
      </x:c>
      <x:c r="R35" s="46" t="n">
        <x:v>66</x:v>
      </x:c>
      <x:c r="S35" s="46" t="str">
        <x:v>quarantined_pending_corrected_table18_transcription</x:v>
      </x:c>
      <x:c r="T35" s="46" t="str">
        <x:v>eligible_presence_cluster_base</x:v>
      </x:c>
      <x:c r="U35" s="46" t="str">
        <x:v>Direct occurrence matrix. Shared occurrence does not imply equal abundance or sensory importance.</x:v>
      </x:c>
    </x:row>
    <x:row r="36">
      <x:c r="A36" s="46" t="str">
        <x:v>LFP-0035</x:v>
      </x:c>
      <x:c r="B36" s="46" t="str">
        <x:v>pheasant:roasted</x:v>
      </x:c>
      <x:c r="C36" s="46" t="str">
        <x:v>pheasant</x:v>
      </x:c>
      <x:c r="D36" s="46" t="str">
        <x:v>avian</x:v>
      </x:c>
      <x:c r="E36" s="46" t="str">
        <x:v>game_bird</x:v>
      </x:c>
      <x:c r="F36" s="46" t="str">
        <x:v>roasted_landfowl</x:v>
      </x:c>
      <x:c r="G36" s="46" t="str">
        <x:v>roasted</x:v>
      </x:c>
      <x:c r="H36" s="46" t="str">
        <x:v>nicotinamide (pyridine-3-carboxamide)</x:v>
      </x:c>
      <x:c r="I36" s="46" t="str">
        <x:v>3-Pyridincarboxamid</x:v>
      </x:c>
      <x:c r="J36" s="46" t="str">
        <x:v>98-92-0</x:v>
      </x:c>
      <x:c r="K36" s="46" t="str">
        <x:v>Nitriles and amides</x:v>
      </x:c>
      <x:c r="L36" s="46" t="n">
        <x:v>1407</x:v>
      </x:c>
      <x:c r="M36" s="46" t="str">
        <x:v>n.d.</x:v>
      </x:c>
      <x:c r="N36" s="46" t="str">
        <x:v>landfowl_shared_base</x:v>
      </x:c>
      <x:c r="O36" s="46" t="str">
        <x:v>measured_occurrence_table17</x:v>
      </x:c>
      <x:c r="P36" s="46" t="str">
        <x:v>SRC-LANDFOWL-THESIS-001</x:v>
      </x:c>
      <x:c r="Q36" s="46" t="str">
        <x:v>https://elib.tiho-hannover.de/servlets/MCRFileNodeServlet/etd_derivate_00001197/baruths_ws10.pdf</x:v>
      </x:c>
      <x:c r="R36" s="46" t="n">
        <x:v>66</x:v>
      </x:c>
      <x:c r="S36" s="46" t="str">
        <x:v>quarantined_pending_corrected_table18_transcription</x:v>
      </x:c>
      <x:c r="T36" s="46" t="str">
        <x:v>eligible_presence_cluster_base</x:v>
      </x:c>
      <x:c r="U36" s="46" t="str">
        <x:v>Direct occurrence matrix. Shared occurrence does not imply equal abundance or sensory importance.</x:v>
      </x:c>
    </x:row>
    <x:row r="37">
      <x:c r="A37" s="46" t="str">
        <x:v>LFP-0036</x:v>
      </x:c>
      <x:c r="B37" s="46" t="str">
        <x:v>pheasant:roasted</x:v>
      </x:c>
      <x:c r="C37" s="46" t="str">
        <x:v>pheasant</x:v>
      </x:c>
      <x:c r="D37" s="46" t="str">
        <x:v>avian</x:v>
      </x:c>
      <x:c r="E37" s="46" t="str">
        <x:v>game_bird</x:v>
      </x:c>
      <x:c r="F37" s="46" t="str">
        <x:v>roasted_landfowl</x:v>
      </x:c>
      <x:c r="G37" s="46" t="str">
        <x:v>roasted</x:v>
      </x:c>
      <x:c r="H37" s="46" t="str">
        <x:v>dodecanal</x:v>
      </x:c>
      <x:c r="I37" s="46" t="str">
        <x:v>Dodecanal</x:v>
      </x:c>
      <x:c r="J37" s="46" t="str">
        <x:v>112-54-9</x:v>
      </x:c>
      <x:c r="K37" s="46" t="str">
        <x:v>Carbonyls, aldehydes</x:v>
      </x:c>
      <x:c r="L37" s="46" t="n">
        <x:v>1410</x:v>
      </x:c>
      <x:c r="M37" s="46" t="str">
        <x:v>n.d.</x:v>
      </x:c>
      <x:c r="N37" s="46" t="str">
        <x:v>landfowl_shared_base</x:v>
      </x:c>
      <x:c r="O37" s="46" t="str">
        <x:v>measured_occurrence_table17</x:v>
      </x:c>
      <x:c r="P37" s="46" t="str">
        <x:v>SRC-LANDFOWL-THESIS-001</x:v>
      </x:c>
      <x:c r="Q37" s="46" t="str">
        <x:v>https://elib.tiho-hannover.de/servlets/MCRFileNodeServlet/etd_derivate_00001197/baruths_ws10.pdf</x:v>
      </x:c>
      <x:c r="R37" s="46" t="n">
        <x:v>66</x:v>
      </x:c>
      <x:c r="S37" s="46" t="str">
        <x:v>quarantined_pending_corrected_table18_transcription</x:v>
      </x:c>
      <x:c r="T37" s="46" t="str">
        <x:v>eligible_presence_cluster_base</x:v>
      </x:c>
      <x:c r="U37" s="46" t="str">
        <x:v>Direct occurrence matrix. Shared occurrence does not imply equal abundance or sensory importance.</x:v>
      </x:c>
    </x:row>
    <x:row r="38">
      <x:c r="A38" s="46" t="str">
        <x:v>LFP-0037</x:v>
      </x:c>
      <x:c r="B38" s="46" t="str">
        <x:v>pheasant:roasted</x:v>
      </x:c>
      <x:c r="C38" s="46" t="str">
        <x:v>pheasant</x:v>
      </x:c>
      <x:c r="D38" s="46" t="str">
        <x:v>avian</x:v>
      </x:c>
      <x:c r="E38" s="46" t="str">
        <x:v>game_bird</x:v>
      </x:c>
      <x:c r="F38" s="46" t="str">
        <x:v>roasted_landfowl</x:v>
      </x:c>
      <x:c r="G38" s="46" t="str">
        <x:v>roasted</x:v>
      </x:c>
      <x:c r="H38" s="46" t="str">
        <x:v>pentadecane</x:v>
      </x:c>
      <x:c r="I38" s="46" t="str">
        <x:v>Pentadecan</x:v>
      </x:c>
      <x:c r="J38" s="46" t="str">
        <x:v>629-62-9</x:v>
      </x:c>
      <x:c r="K38" s="46" t="str">
        <x:v>Hydrocarbons</x:v>
      </x:c>
      <x:c r="L38" s="46" t="n">
        <x:v>1500</x:v>
      </x:c>
      <x:c r="M38" s="46" t="str">
        <x:v>n.d.</x:v>
      </x:c>
      <x:c r="N38" s="46" t="str">
        <x:v>landfowl_shared_base</x:v>
      </x:c>
      <x:c r="O38" s="46" t="str">
        <x:v>measured_occurrence_table17</x:v>
      </x:c>
      <x:c r="P38" s="46" t="str">
        <x:v>SRC-LANDFOWL-THESIS-001</x:v>
      </x:c>
      <x:c r="Q38" s="46" t="str">
        <x:v>https://elib.tiho-hannover.de/servlets/MCRFileNodeServlet/etd_derivate_00001197/baruths_ws10.pdf</x:v>
      </x:c>
      <x:c r="R38" s="46" t="n">
        <x:v>66</x:v>
      </x:c>
      <x:c r="S38" s="46" t="str">
        <x:v>quarantined_pending_corrected_table18_transcription</x:v>
      </x:c>
      <x:c r="T38" s="46" t="str">
        <x:v>eligible_presence_cluster_base</x:v>
      </x:c>
      <x:c r="U38" s="46" t="str">
        <x:v>Direct occurrence matrix. Shared occurrence does not imply equal abundance or sensory importance.</x:v>
      </x:c>
    </x:row>
    <x:row r="39">
      <x:c r="A39" s="46" t="str">
        <x:v>LFP-0038</x:v>
      </x:c>
      <x:c r="B39" s="46" t="str">
        <x:v>pheasant:roasted</x:v>
      </x:c>
      <x:c r="C39" s="46" t="str">
        <x:v>pheasant</x:v>
      </x:c>
      <x:c r="D39" s="46" t="str">
        <x:v>avian</x:v>
      </x:c>
      <x:c r="E39" s="46" t="str">
        <x:v>game_bird</x:v>
      </x:c>
      <x:c r="F39" s="46" t="str">
        <x:v>roasted_landfowl</x:v>
      </x:c>
      <x:c r="G39" s="46" t="str">
        <x:v>roasted</x:v>
      </x:c>
      <x:c r="H39" s="46" t="str">
        <x:v>2-pentadecanone</x:v>
      </x:c>
      <x:c r="I39" s="46" t="str">
        <x:v>2-Pentadecanon</x:v>
      </x:c>
      <x:c r="J39" s="46" t="str">
        <x:v>2345-28-0</x:v>
      </x:c>
      <x:c r="K39" s="46" t="str">
        <x:v>Carbonyls, ketones</x:v>
      </x:c>
      <x:c r="L39" s="46" t="n">
        <x:v>1700</x:v>
      </x:c>
      <x:c r="M39" s="46" t="str">
        <x:v>n.d.</x:v>
      </x:c>
      <x:c r="N39" s="46" t="str">
        <x:v>landfowl_shared_base</x:v>
      </x:c>
      <x:c r="O39" s="46" t="str">
        <x:v>measured_occurrence_table17</x:v>
      </x:c>
      <x:c r="P39" s="46" t="str">
        <x:v>SRC-LANDFOWL-THESIS-001</x:v>
      </x:c>
      <x:c r="Q39" s="46" t="str">
        <x:v>https://elib.tiho-hannover.de/servlets/MCRFileNodeServlet/etd_derivate_00001197/baruths_ws10.pdf</x:v>
      </x:c>
      <x:c r="R39" s="46" t="n">
        <x:v>66</x:v>
      </x:c>
      <x:c r="S39" s="46" t="str">
        <x:v>quarantined_pending_corrected_table18_transcription</x:v>
      </x:c>
      <x:c r="T39" s="46" t="str">
        <x:v>eligible_presence_cluster_base</x:v>
      </x:c>
      <x:c r="U39" s="46" t="str">
        <x:v>Direct occurrence matrix. Shared occurrence does not imply equal abundance or sensory importance.</x:v>
      </x:c>
    </x:row>
    <x:row r="40">
      <x:c r="A40" s="46" t="str">
        <x:v>LFP-0039</x:v>
      </x:c>
      <x:c r="B40" s="46" t="str">
        <x:v>pheasant:roasted</x:v>
      </x:c>
      <x:c r="C40" s="46" t="str">
        <x:v>pheasant</x:v>
      </x:c>
      <x:c r="D40" s="46" t="str">
        <x:v>avian</x:v>
      </x:c>
      <x:c r="E40" s="46" t="str">
        <x:v>game_bird</x:v>
      </x:c>
      <x:c r="F40" s="46" t="str">
        <x:v>roasted_landfowl</x:v>
      </x:c>
      <x:c r="G40" s="46" t="str">
        <x:v>roasted</x:v>
      </x:c>
      <x:c r="H40" s="46" t="str">
        <x:v>2-methylpropanal</x:v>
      </x:c>
      <x:c r="I40" s="46" t="str">
        <x:v>2-Methylpropanal</x:v>
      </x:c>
      <x:c r="J40" s="46"/>
      <x:c r="K40" s="46" t="str">
        <x:v>Carbonyls, aldehydes</x:v>
      </x:c>
      <x:c r="L40" s="46" t="n">
        <x:v>550</x:v>
      </x:c>
      <x:c r="M40" s="46" t="str">
        <x:v>n.d.</x:v>
      </x:c>
      <x:c r="N40" s="46" t="str">
        <x:v>member_unique_detection</x:v>
      </x:c>
      <x:c r="O40" s="46" t="str">
        <x:v>measured_occurrence_table17</x:v>
      </x:c>
      <x:c r="P40" s="46" t="str">
        <x:v>SRC-LANDFOWL-THESIS-001</x:v>
      </x:c>
      <x:c r="Q40" s="46" t="str">
        <x:v>https://elib.tiho-hannover.de/servlets/MCRFileNodeServlet/etd_derivate_00001197/baruths_ws10.pdf</x:v>
      </x:c>
      <x:c r="R40" s="46" t="n">
        <x:v>66</x:v>
      </x:c>
      <x:c r="S40" s="46" t="str">
        <x:v>quarantined_pending_corrected_table18_transcription</x:v>
      </x:c>
      <x:c r="T40" s="46" t="str">
        <x:v>hold_cas_resolution_before_canonical_join</x:v>
      </x:c>
      <x:c r="U40" s="46" t="str">
        <x:v>Direct unique detection within the four-species comparison; not a character-impact claim. Canonical occurrence is source-supported, but CAS join is intentionally held pending institutional identity resolution.</x:v>
      </x:c>
    </x:row>
    <x:row r="41">
      <x:c r="A41" s="46" t="str">
        <x:v>LFP-0040</x:v>
      </x:c>
      <x:c r="B41" s="46" t="str">
        <x:v>pheasant:roasted</x:v>
      </x:c>
      <x:c r="C41" s="46" t="str">
        <x:v>pheasant</x:v>
      </x:c>
      <x:c r="D41" s="46" t="str">
        <x:v>avian</x:v>
      </x:c>
      <x:c r="E41" s="46" t="str">
        <x:v>game_bird</x:v>
      </x:c>
      <x:c r="F41" s="46" t="str">
        <x:v>roasted_landfowl</x:v>
      </x:c>
      <x:c r="G41" s="46" t="str">
        <x:v>roasted</x:v>
      </x:c>
      <x:c r="H41" s="46" t="str">
        <x:v>3-methyl-2-butanone</x:v>
      </x:c>
      <x:c r="I41" s="46" t="str">
        <x:v>3-Methyl-2-butanon</x:v>
      </x:c>
      <x:c r="J41" s="46"/>
      <x:c r="K41" s="46" t="str">
        <x:v>Carbonyls, ketones</x:v>
      </x:c>
      <x:c r="L41" s="46" t="n">
        <x:v>672</x:v>
      </x:c>
      <x:c r="M41" s="46" t="str">
        <x:v>n.d.</x:v>
      </x:c>
      <x:c r="N41" s="46" t="str">
        <x:v>member_unique_detection</x:v>
      </x:c>
      <x:c r="O41" s="46" t="str">
        <x:v>measured_occurrence_table17</x:v>
      </x:c>
      <x:c r="P41" s="46" t="str">
        <x:v>SRC-LANDFOWL-THESIS-001</x:v>
      </x:c>
      <x:c r="Q41" s="46" t="str">
        <x:v>https://elib.tiho-hannover.de/servlets/MCRFileNodeServlet/etd_derivate_00001197/baruths_ws10.pdf</x:v>
      </x:c>
      <x:c r="R41" s="46" t="n">
        <x:v>66</x:v>
      </x:c>
      <x:c r="S41" s="46" t="str">
        <x:v>quarantined_pending_corrected_table18_transcription</x:v>
      </x:c>
      <x:c r="T41" s="46" t="str">
        <x:v>hold_cas_resolution_before_canonical_join</x:v>
      </x:c>
      <x:c r="U41" s="46" t="str">
        <x:v>Direct unique detection within the four-species comparison; not a character-impact claim. Canonical occurrence is source-supported, but CAS join is intentionally held pending institutional identity resolution.</x:v>
      </x:c>
    </x:row>
    <x:row r="42">
      <x:c r="A42" s="46" t="str">
        <x:v>LFP-0041</x:v>
      </x:c>
      <x:c r="B42" s="46" t="str">
        <x:v>pheasant:roasted</x:v>
      </x:c>
      <x:c r="C42" s="46" t="str">
        <x:v>pheasant</x:v>
      </x:c>
      <x:c r="D42" s="46" t="str">
        <x:v>avian</x:v>
      </x:c>
      <x:c r="E42" s="46" t="str">
        <x:v>game_bird</x:v>
      </x:c>
      <x:c r="F42" s="46" t="str">
        <x:v>roasted_landfowl</x:v>
      </x:c>
      <x:c r="G42" s="46" t="str">
        <x:v>roasted</x:v>
      </x:c>
      <x:c r="H42" s="46" t="str">
        <x:v>1-heptene</x:v>
      </x:c>
      <x:c r="I42" s="46" t="str">
        <x:v>1-Hepten</x:v>
      </x:c>
      <x:c r="J42" s="46"/>
      <x:c r="K42" s="46" t="str">
        <x:v>Hydrocarbons</x:v>
      </x:c>
      <x:c r="L42" s="46" t="n">
        <x:v>684</x:v>
      </x:c>
      <x:c r="M42" s="46" t="str">
        <x:v>n.d.</x:v>
      </x:c>
      <x:c r="N42" s="46" t="str">
        <x:v>member_unique_detection</x:v>
      </x:c>
      <x:c r="O42" s="46" t="str">
        <x:v>measured_occurrence_table17</x:v>
      </x:c>
      <x:c r="P42" s="46" t="str">
        <x:v>SRC-LANDFOWL-THESIS-001</x:v>
      </x:c>
      <x:c r="Q42" s="46" t="str">
        <x:v>https://elib.tiho-hannover.de/servlets/MCRFileNodeServlet/etd_derivate_00001197/baruths_ws10.pdf</x:v>
      </x:c>
      <x:c r="R42" s="46" t="n">
        <x:v>66</x:v>
      </x:c>
      <x:c r="S42" s="46" t="str">
        <x:v>quarantined_pending_corrected_table18_transcription</x:v>
      </x:c>
      <x:c r="T42" s="46" t="str">
        <x:v>hold_cas_resolution_before_canonical_join</x:v>
      </x:c>
      <x:c r="U42" s="46" t="str">
        <x:v>Direct unique detection within the four-species comparison; not a character-impact claim. Canonical occurrence is source-supported, but CAS join is intentionally held pending institutional identity resolution.</x:v>
      </x:c>
    </x:row>
    <x:row r="43">
      <x:c r="A43" s="46" t="str">
        <x:v>LFP-0042</x:v>
      </x:c>
      <x:c r="B43" s="46" t="str">
        <x:v>pheasant:roasted</x:v>
      </x:c>
      <x:c r="C43" s="46" t="str">
        <x:v>pheasant</x:v>
      </x:c>
      <x:c r="D43" s="46" t="str">
        <x:v>avian</x:v>
      </x:c>
      <x:c r="E43" s="46" t="str">
        <x:v>game_bird</x:v>
      </x:c>
      <x:c r="F43" s="46" t="str">
        <x:v>roasted_landfowl</x:v>
      </x:c>
      <x:c r="G43" s="46" t="str">
        <x:v>roasted</x:v>
      </x:c>
      <x:c r="H43" s="46" t="str">
        <x:v>2-hexanone</x:v>
      </x:c>
      <x:c r="I43" s="46" t="str">
        <x:v>2-Hexanon</x:v>
      </x:c>
      <x:c r="J43" s="46"/>
      <x:c r="K43" s="46" t="str">
        <x:v>Carbonyls, ketones</x:v>
      </x:c>
      <x:c r="L43" s="46" t="n">
        <x:v>789</x:v>
      </x:c>
      <x:c r="M43" s="46" t="str">
        <x:v>n.d.</x:v>
      </x:c>
      <x:c r="N43" s="46" t="str">
        <x:v>member_unique_detection</x:v>
      </x:c>
      <x:c r="O43" s="46" t="str">
        <x:v>measured_occurrence_table17</x:v>
      </x:c>
      <x:c r="P43" s="46" t="str">
        <x:v>SRC-LANDFOWL-THESIS-001</x:v>
      </x:c>
      <x:c r="Q43" s="46" t="str">
        <x:v>https://elib.tiho-hannover.de/servlets/MCRFileNodeServlet/etd_derivate_00001197/baruths_ws10.pdf</x:v>
      </x:c>
      <x:c r="R43" s="46" t="n">
        <x:v>66</x:v>
      </x:c>
      <x:c r="S43" s="46" t="str">
        <x:v>quarantined_pending_corrected_table18_transcription</x:v>
      </x:c>
      <x:c r="T43" s="46" t="str">
        <x:v>hold_cas_resolution_before_canonical_join</x:v>
      </x:c>
      <x:c r="U43" s="46" t="str">
        <x:v>Direct unique detection within the four-species comparison; not a character-impact claim. Canonical occurrence is source-supported, but CAS join is intentionally held pending institutional identity resolution.</x:v>
      </x:c>
    </x:row>
    <x:row r="44">
      <x:c r="A44" s="46" t="str">
        <x:v>LFP-0043</x:v>
      </x:c>
      <x:c r="B44" s="46" t="str">
        <x:v>pheasant:roasted</x:v>
      </x:c>
      <x:c r="C44" s="46" t="str">
        <x:v>pheasant</x:v>
      </x:c>
      <x:c r="D44" s="46" t="str">
        <x:v>avian</x:v>
      </x:c>
      <x:c r="E44" s="46" t="str">
        <x:v>game_bird</x:v>
      </x:c>
      <x:c r="F44" s="46" t="str">
        <x:v>roasted_landfowl</x:v>
      </x:c>
      <x:c r="G44" s="46" t="str">
        <x:v>roasted</x:v>
      </x:c>
      <x:c r="H44" s="46" t="str">
        <x:v>1-octene</x:v>
      </x:c>
      <x:c r="I44" s="46" t="str">
        <x:v>1-Octen</x:v>
      </x:c>
      <x:c r="J44" s="46"/>
      <x:c r="K44" s="46" t="str">
        <x:v>Hydrocarbons</x:v>
      </x:c>
      <x:c r="L44" s="46" t="n">
        <x:v>792</x:v>
      </x:c>
      <x:c r="M44" s="46" t="str">
        <x:v>n.d.</x:v>
      </x:c>
      <x:c r="N44" s="46" t="str">
        <x:v>member_unique_detection</x:v>
      </x:c>
      <x:c r="O44" s="46" t="str">
        <x:v>measured_occurrence_table17</x:v>
      </x:c>
      <x:c r="P44" s="46" t="str">
        <x:v>SRC-LANDFOWL-THESIS-001</x:v>
      </x:c>
      <x:c r="Q44" s="46" t="str">
        <x:v>https://elib.tiho-hannover.de/servlets/MCRFileNodeServlet/etd_derivate_00001197/baruths_ws10.pdf</x:v>
      </x:c>
      <x:c r="R44" s="46" t="n">
        <x:v>66</x:v>
      </x:c>
      <x:c r="S44" s="46" t="str">
        <x:v>quarantined_pending_corrected_table18_transcription</x:v>
      </x:c>
      <x:c r="T44" s="46" t="str">
        <x:v>hold_cas_resolution_before_canonical_join</x:v>
      </x:c>
      <x:c r="U44" s="46" t="str">
        <x:v>Direct unique detection within the four-species comparison; not a character-impact claim. Canonical occurrence is source-supported, but CAS join is intentionally held pending institutional identity resolution.</x:v>
      </x:c>
    </x:row>
    <x:row r="45">
      <x:c r="A45" s="46" t="str">
        <x:v>LFP-0044</x:v>
      </x:c>
      <x:c r="B45" s="46" t="str">
        <x:v>pheasant:roasted</x:v>
      </x:c>
      <x:c r="C45" s="46" t="str">
        <x:v>pheasant</x:v>
      </x:c>
      <x:c r="D45" s="46" t="str">
        <x:v>avian</x:v>
      </x:c>
      <x:c r="E45" s="46" t="str">
        <x:v>game_bird</x:v>
      </x:c>
      <x:c r="F45" s="46" t="str">
        <x:v>roasted_landfowl</x:v>
      </x:c>
      <x:c r="G45" s="46" t="str">
        <x:v>roasted</x:v>
      </x:c>
      <x:c r="H45" s="46" t="str">
        <x:v>3-methyl-1-hexanol</x:v>
      </x:c>
      <x:c r="I45" s="46" t="str">
        <x:v>3-Methyl-1-hexanol</x:v>
      </x:c>
      <x:c r="J45" s="46"/>
      <x:c r="K45" s="46" t="str">
        <x:v>Alcohols</x:v>
      </x:c>
      <x:c r="L45" s="46" t="n">
        <x:v>793</x:v>
      </x:c>
      <x:c r="M45" s="46" t="str">
        <x:v>n.d.</x:v>
      </x:c>
      <x:c r="N45" s="46" t="str">
        <x:v>member_unique_detection</x:v>
      </x:c>
      <x:c r="O45" s="46" t="str">
        <x:v>measured_occurrence_table17</x:v>
      </x:c>
      <x:c r="P45" s="46" t="str">
        <x:v>SRC-LANDFOWL-THESIS-001</x:v>
      </x:c>
      <x:c r="Q45" s="46" t="str">
        <x:v>https://elib.tiho-hannover.de/servlets/MCRFileNodeServlet/etd_derivate_00001197/baruths_ws10.pdf</x:v>
      </x:c>
      <x:c r="R45" s="46" t="n">
        <x:v>66</x:v>
      </x:c>
      <x:c r="S45" s="46" t="str">
        <x:v>quarantined_pending_corrected_table18_transcription</x:v>
      </x:c>
      <x:c r="T45" s="46" t="str">
        <x:v>hold_cas_resolution_before_canonical_join</x:v>
      </x:c>
      <x:c r="U45" s="46" t="str">
        <x:v>Direct unique detection within the four-species comparison; not a character-impact claim. Canonical occurrence is source-supported, but CAS join is intentionally held pending institutional identity resolution.</x:v>
      </x:c>
    </x:row>
    <x:row r="46">
      <x:c r="A46" s="46" t="str">
        <x:v>LFP-0045</x:v>
      </x:c>
      <x:c r="B46" s="46" t="str">
        <x:v>pheasant:roasted</x:v>
      </x:c>
      <x:c r="C46" s="46" t="str">
        <x:v>pheasant</x:v>
      </x:c>
      <x:c r="D46" s="46" t="str">
        <x:v>avian</x:v>
      </x:c>
      <x:c r="E46" s="46" t="str">
        <x:v>game_bird</x:v>
      </x:c>
      <x:c r="F46" s="46" t="str">
        <x:v>roasted_landfowl</x:v>
      </x:c>
      <x:c r="G46" s="46" t="str">
        <x:v>roasted</x:v>
      </x:c>
      <x:c r="H46" s="46" t="str">
        <x:v>3-heptanone</x:v>
      </x:c>
      <x:c r="I46" s="46" t="str">
        <x:v>3-Heptanon</x:v>
      </x:c>
      <x:c r="J46" s="46"/>
      <x:c r="K46" s="46" t="str">
        <x:v>Carbonyls, ketones</x:v>
      </x:c>
      <x:c r="L46" s="46" t="n">
        <x:v>886</x:v>
      </x:c>
      <x:c r="M46" s="46" t="str">
        <x:v>n.d.</x:v>
      </x:c>
      <x:c r="N46" s="46" t="str">
        <x:v>member_unique_detection</x:v>
      </x:c>
      <x:c r="O46" s="46" t="str">
        <x:v>measured_occurrence_table17</x:v>
      </x:c>
      <x:c r="P46" s="46" t="str">
        <x:v>SRC-LANDFOWL-THESIS-001</x:v>
      </x:c>
      <x:c r="Q46" s="46" t="str">
        <x:v>https://elib.tiho-hannover.de/servlets/MCRFileNodeServlet/etd_derivate_00001197/baruths_ws10.pdf</x:v>
      </x:c>
      <x:c r="R46" s="46" t="n">
        <x:v>66</x:v>
      </x:c>
      <x:c r="S46" s="46" t="str">
        <x:v>quarantined_pending_corrected_table18_transcription</x:v>
      </x:c>
      <x:c r="T46" s="46" t="str">
        <x:v>hold_cas_resolution_before_canonical_join</x:v>
      </x:c>
      <x:c r="U46" s="46" t="str">
        <x:v>Direct unique detection within the four-species comparison; not a character-impact claim. Canonical occurrence is source-supported, but CAS join is intentionally held pending institutional identity resolution.</x:v>
      </x:c>
    </x:row>
    <x:row r="47">
      <x:c r="A47" s="46" t="str">
        <x:v>LFP-0046</x:v>
      </x:c>
      <x:c r="B47" s="46" t="str">
        <x:v>pheasant:roasted</x:v>
      </x:c>
      <x:c r="C47" s="46" t="str">
        <x:v>pheasant</x:v>
      </x:c>
      <x:c r="D47" s="46" t="str">
        <x:v>avian</x:v>
      </x:c>
      <x:c r="E47" s="46" t="str">
        <x:v>game_bird</x:v>
      </x:c>
      <x:c r="F47" s="46" t="str">
        <x:v>roasted_landfowl</x:v>
      </x:c>
      <x:c r="G47" s="46" t="str">
        <x:v>roasted</x:v>
      </x:c>
      <x:c r="H47" s="46" t="str">
        <x:v>pentanoic acid</x:v>
      </x:c>
      <x:c r="I47" s="46" t="str">
        <x:v>Pentansäure</x:v>
      </x:c>
      <x:c r="J47" s="46"/>
      <x:c r="K47" s="46" t="str">
        <x:v>Acids</x:v>
      </x:c>
      <x:c r="L47" s="46" t="n">
        <x:v>897</x:v>
      </x:c>
      <x:c r="M47" s="46" t="str">
        <x:v>n.d.</x:v>
      </x:c>
      <x:c r="N47" s="46" t="str">
        <x:v>member_unique_detection</x:v>
      </x:c>
      <x:c r="O47" s="46" t="str">
        <x:v>measured_occurrence_table17</x:v>
      </x:c>
      <x:c r="P47" s="46" t="str">
        <x:v>SRC-LANDFOWL-THESIS-001</x:v>
      </x:c>
      <x:c r="Q47" s="46" t="str">
        <x:v>https://elib.tiho-hannover.de/servlets/MCRFileNodeServlet/etd_derivate_00001197/baruths_ws10.pdf</x:v>
      </x:c>
      <x:c r="R47" s="46" t="n">
        <x:v>66</x:v>
      </x:c>
      <x:c r="S47" s="46" t="str">
        <x:v>quarantined_pending_corrected_table18_transcription</x:v>
      </x:c>
      <x:c r="T47" s="46" t="str">
        <x:v>hold_cas_resolution_before_canonical_join</x:v>
      </x:c>
      <x:c r="U47" s="46" t="str">
        <x:v>Direct unique detection within the four-species comparison; not a character-impact claim. Canonical occurrence is source-supported, but CAS join is intentionally held pending institutional identity resolution.</x:v>
      </x:c>
    </x:row>
    <x:row r="48">
      <x:c r="A48" s="46" t="str">
        <x:v>LFP-0047</x:v>
      </x:c>
      <x:c r="B48" s="46" t="str">
        <x:v>pheasant:roasted</x:v>
      </x:c>
      <x:c r="C48" s="46" t="str">
        <x:v>pheasant</x:v>
      </x:c>
      <x:c r="D48" s="46" t="str">
        <x:v>avian</x:v>
      </x:c>
      <x:c r="E48" s="46" t="str">
        <x:v>game_bird</x:v>
      </x:c>
      <x:c r="F48" s="46" t="str">
        <x:v>roasted_landfowl</x:v>
      </x:c>
      <x:c r="G48" s="46" t="str">
        <x:v>roasted</x:v>
      </x:c>
      <x:c r="H48" s="46" t="str">
        <x:v>3-octanone</x:v>
      </x:c>
      <x:c r="I48" s="46" t="str">
        <x:v>3-Octanon</x:v>
      </x:c>
      <x:c r="J48" s="46"/>
      <x:c r="K48" s="46" t="str">
        <x:v>Carbonyls, ketones</x:v>
      </x:c>
      <x:c r="L48" s="46" t="n">
        <x:v>988</x:v>
      </x:c>
      <x:c r="M48" s="46" t="str">
        <x:v>n.d.</x:v>
      </x:c>
      <x:c r="N48" s="46" t="str">
        <x:v>member_unique_detection</x:v>
      </x:c>
      <x:c r="O48" s="46" t="str">
        <x:v>measured_occurrence_table17</x:v>
      </x:c>
      <x:c r="P48" s="46" t="str">
        <x:v>SRC-LANDFOWL-THESIS-001</x:v>
      </x:c>
      <x:c r="Q48" s="46" t="str">
        <x:v>https://elib.tiho-hannover.de/servlets/MCRFileNodeServlet/etd_derivate_00001197/baruths_ws10.pdf</x:v>
      </x:c>
      <x:c r="R48" s="46" t="n">
        <x:v>66</x:v>
      </x:c>
      <x:c r="S48" s="46" t="str">
        <x:v>quarantined_pending_corrected_table18_transcription</x:v>
      </x:c>
      <x:c r="T48" s="46" t="str">
        <x:v>hold_cas_resolution_before_canonical_join</x:v>
      </x:c>
      <x:c r="U48" s="46" t="str">
        <x:v>Direct unique detection within the four-species comparison; not a character-impact claim. Canonical occurrence is source-supported, but CAS join is intentionally held pending institutional identity resolution.</x:v>
      </x:c>
    </x:row>
    <x:row r="49">
      <x:c r="A49" s="46" t="str">
        <x:v>LFP-0048</x:v>
      </x:c>
      <x:c r="B49" s="46" t="str">
        <x:v>pheasant:roasted</x:v>
      </x:c>
      <x:c r="C49" s="46" t="str">
        <x:v>pheasant</x:v>
      </x:c>
      <x:c r="D49" s="46" t="str">
        <x:v>avian</x:v>
      </x:c>
      <x:c r="E49" s="46" t="str">
        <x:v>game_bird</x:v>
      </x:c>
      <x:c r="F49" s="46" t="str">
        <x:v>roasted_landfowl</x:v>
      </x:c>
      <x:c r="G49" s="46" t="str">
        <x:v>roasted</x:v>
      </x:c>
      <x:c r="H49" s="46" t="str">
        <x:v>2-octanone</x:v>
      </x:c>
      <x:c r="I49" s="46" t="str">
        <x:v>2-Octanon</x:v>
      </x:c>
      <x:c r="J49" s="46"/>
      <x:c r="K49" s="46" t="str">
        <x:v>Carbonyls, ketones</x:v>
      </x:c>
      <x:c r="L49" s="46" t="n">
        <x:v>991</x:v>
      </x:c>
      <x:c r="M49" s="46" t="str">
        <x:v>n.d.</x:v>
      </x:c>
      <x:c r="N49" s="46" t="str">
        <x:v>member_unique_detection</x:v>
      </x:c>
      <x:c r="O49" s="46" t="str">
        <x:v>measured_occurrence_table17</x:v>
      </x:c>
      <x:c r="P49" s="46" t="str">
        <x:v>SRC-LANDFOWL-THESIS-001</x:v>
      </x:c>
      <x:c r="Q49" s="46" t="str">
        <x:v>https://elib.tiho-hannover.de/servlets/MCRFileNodeServlet/etd_derivate_00001197/baruths_ws10.pdf</x:v>
      </x:c>
      <x:c r="R49" s="46" t="n">
        <x:v>66</x:v>
      </x:c>
      <x:c r="S49" s="46" t="str">
        <x:v>quarantined_pending_corrected_table18_transcription</x:v>
      </x:c>
      <x:c r="T49" s="46" t="str">
        <x:v>hold_cas_resolution_before_canonical_join</x:v>
      </x:c>
      <x:c r="U49" s="46" t="str">
        <x:v>Direct unique detection within the four-species comparison; not a character-impact claim. Canonical occurrence is source-supported, but CAS join is intentionally held pending institutional identity resolution.</x:v>
      </x:c>
    </x:row>
    <x:row r="50">
      <x:c r="A50" s="46" t="str">
        <x:v>LFP-0049</x:v>
      </x:c>
      <x:c r="B50" s="46" t="str">
        <x:v>pheasant:roasted</x:v>
      </x:c>
      <x:c r="C50" s="46" t="str">
        <x:v>pheasant</x:v>
      </x:c>
      <x:c r="D50" s="46" t="str">
        <x:v>avian</x:v>
      </x:c>
      <x:c r="E50" s="46" t="str">
        <x:v>game_bird</x:v>
      </x:c>
      <x:c r="F50" s="46" t="str">
        <x:v>roasted_landfowl</x:v>
      </x:c>
      <x:c r="G50" s="46" t="str">
        <x:v>roasted</x:v>
      </x:c>
      <x:c r="H50" s="46" t="str">
        <x:v>heptanoic acid</x:v>
      </x:c>
      <x:c r="I50" s="46" t="str">
        <x:v>Heptansäure</x:v>
      </x:c>
      <x:c r="J50" s="46"/>
      <x:c r="K50" s="46" t="str">
        <x:v>Acids</x:v>
      </x:c>
      <x:c r="L50" s="46" t="n">
        <x:v>1085</x:v>
      </x:c>
      <x:c r="M50" s="46" t="str">
        <x:v>n.d.</x:v>
      </x:c>
      <x:c r="N50" s="46" t="str">
        <x:v>member_unique_detection</x:v>
      </x:c>
      <x:c r="O50" s="46" t="str">
        <x:v>measured_occurrence_table17</x:v>
      </x:c>
      <x:c r="P50" s="46" t="str">
        <x:v>SRC-LANDFOWL-THESIS-001</x:v>
      </x:c>
      <x:c r="Q50" s="46" t="str">
        <x:v>https://elib.tiho-hannover.de/servlets/MCRFileNodeServlet/etd_derivate_00001197/baruths_ws10.pdf</x:v>
      </x:c>
      <x:c r="R50" s="46" t="n">
        <x:v>66</x:v>
      </x:c>
      <x:c r="S50" s="46" t="str">
        <x:v>quarantined_pending_corrected_table18_transcription</x:v>
      </x:c>
      <x:c r="T50" s="46" t="str">
        <x:v>hold_cas_resolution_before_canonical_join</x:v>
      </x:c>
      <x:c r="U50" s="46" t="str">
        <x:v>Direct unique detection within the four-species comparison; not a character-impact claim. Canonical occurrence is source-supported, but CAS join is intentionally held pending institutional identity resolution.</x:v>
      </x:c>
    </x:row>
    <x:row r="51">
      <x:c r="A51" s="46" t="str">
        <x:v>LFP-0050</x:v>
      </x:c>
      <x:c r="B51" s="46" t="str">
        <x:v>pheasant:roasted</x:v>
      </x:c>
      <x:c r="C51" s="46" t="str">
        <x:v>pheasant</x:v>
      </x:c>
      <x:c r="D51" s="46" t="str">
        <x:v>avian</x:v>
      </x:c>
      <x:c r="E51" s="46" t="str">
        <x:v>game_bird</x:v>
      </x:c>
      <x:c r="F51" s="46" t="str">
        <x:v>roasted_landfowl</x:v>
      </x:c>
      <x:c r="G51" s="46" t="str">
        <x:v>roasted</x:v>
      </x:c>
      <x:c r="H51" s="46" t="str">
        <x:v>3,5-dimethyl-4-ethylidenecyclohexene</x:v>
      </x:c>
      <x:c r="I51" s="46" t="str">
        <x:v>3,5-Dimethyl-4-ethylidencyclohexen</x:v>
      </x:c>
      <x:c r="J51" s="46"/>
      <x:c r="K51" s="46" t="str">
        <x:v>Hydrocarbons</x:v>
      </x:c>
      <x:c r="L51" s="46" t="n">
        <x:v>1220</x:v>
      </x:c>
      <x:c r="M51" s="46" t="str">
        <x:v>n.d.</x:v>
      </x:c>
      <x:c r="N51" s="46" t="str">
        <x:v>member_unique_detection</x:v>
      </x:c>
      <x:c r="O51" s="46" t="str">
        <x:v>measured_occurrence_table17</x:v>
      </x:c>
      <x:c r="P51" s="46" t="str">
        <x:v>SRC-LANDFOWL-THESIS-001</x:v>
      </x:c>
      <x:c r="Q51" s="46" t="str">
        <x:v>https://elib.tiho-hannover.de/servlets/MCRFileNodeServlet/etd_derivate_00001197/baruths_ws10.pdf</x:v>
      </x:c>
      <x:c r="R51" s="46" t="n">
        <x:v>66</x:v>
      </x:c>
      <x:c r="S51" s="46" t="str">
        <x:v>quarantined_pending_corrected_table18_transcription</x:v>
      </x:c>
      <x:c r="T51" s="46" t="str">
        <x:v>hold_cas_resolution_before_canonical_join</x:v>
      </x:c>
      <x:c r="U51" s="46" t="str">
        <x:v>Direct unique detection within the four-species comparison; not a character-impact claim. Canonical occurrence is source-supported, but CAS join is intentionally held pending institutional identity resolution.</x:v>
      </x:c>
    </x:row>
    <x:row r="52">
      <x:c r="A52" s="46" t="str">
        <x:v>LFP-0051</x:v>
      </x:c>
      <x:c r="B52" s="46" t="str">
        <x:v>pheasant:roasted</x:v>
      </x:c>
      <x:c r="C52" s="46" t="str">
        <x:v>pheasant</x:v>
      </x:c>
      <x:c r="D52" s="46" t="str">
        <x:v>avian</x:v>
      </x:c>
      <x:c r="E52" s="46" t="str">
        <x:v>game_bird</x:v>
      </x:c>
      <x:c r="F52" s="46" t="str">
        <x:v>roasted_landfowl</x:v>
      </x:c>
      <x:c r="G52" s="46" t="str">
        <x:v>roasted</x:v>
      </x:c>
      <x:c r="H52" s="46" t="str">
        <x:v>tridecane</x:v>
      </x:c>
      <x:c r="I52" s="46" t="str">
        <x:v>Tridecan</x:v>
      </x:c>
      <x:c r="J52" s="46"/>
      <x:c r="K52" s="46" t="str">
        <x:v>Hydrocarbons</x:v>
      </x:c>
      <x:c r="L52" s="46" t="n">
        <x:v>1300</x:v>
      </x:c>
      <x:c r="M52" s="46" t="str">
        <x:v>n.d.</x:v>
      </x:c>
      <x:c r="N52" s="46" t="str">
        <x:v>member_unique_detection</x:v>
      </x:c>
      <x:c r="O52" s="46" t="str">
        <x:v>measured_occurrence_table17</x:v>
      </x:c>
      <x:c r="P52" s="46" t="str">
        <x:v>SRC-LANDFOWL-THESIS-001</x:v>
      </x:c>
      <x:c r="Q52" s="46" t="str">
        <x:v>https://elib.tiho-hannover.de/servlets/MCRFileNodeServlet/etd_derivate_00001197/baruths_ws10.pdf</x:v>
      </x:c>
      <x:c r="R52" s="46" t="n">
        <x:v>66</x:v>
      </x:c>
      <x:c r="S52" s="46" t="str">
        <x:v>quarantined_pending_corrected_table18_transcription</x:v>
      </x:c>
      <x:c r="T52" s="46" t="str">
        <x:v>hold_cas_resolution_before_canonical_join</x:v>
      </x:c>
      <x:c r="U52" s="46" t="str">
        <x:v>Direct unique detection within the four-species comparison; not a character-impact claim. Canonical occurrence is source-supported, but CAS join is intentionally held pending institutional identity resolution.</x:v>
      </x:c>
    </x:row>
    <x:row r="53">
      <x:c r="A53" s="46" t="str">
        <x:v>LFP-0052</x:v>
      </x:c>
      <x:c r="B53" s="46" t="str">
        <x:v>pheasant:roasted</x:v>
      </x:c>
      <x:c r="C53" s="46" t="str">
        <x:v>pheasant</x:v>
      </x:c>
      <x:c r="D53" s="46" t="str">
        <x:v>avian</x:v>
      </x:c>
      <x:c r="E53" s="46" t="str">
        <x:v>game_bird</x:v>
      </x:c>
      <x:c r="F53" s="46" t="str">
        <x:v>roasted_landfowl</x:v>
      </x:c>
      <x:c r="G53" s="46" t="str">
        <x:v>roasted</x:v>
      </x:c>
      <x:c r="H53" s="46" t="str">
        <x:v>butanal</x:v>
      </x:c>
      <x:c r="I53" s="46" t="str">
        <x:v>Butanal</x:v>
      </x:c>
      <x:c r="J53" s="46" t="str">
        <x:v>123-72-8</x:v>
      </x:c>
      <x:c r="K53" s="46" t="str">
        <x:v>Carbonyls, aldehydes</x:v>
      </x:c>
      <x:c r="L53" s="46" t="n">
        <x:v>599</x:v>
      </x:c>
      <x:c r="M53" s="46" t="str">
        <x:v>n.d.</x:v>
      </x:c>
      <x:c r="N53" s="46" t="str">
        <x:v>partial_shared_member_delta</x:v>
      </x:c>
      <x:c r="O53" s="46" t="str">
        <x:v>measured_occurrence_table17</x:v>
      </x:c>
      <x:c r="P53" s="46" t="str">
        <x:v>SRC-LANDFOWL-THESIS-001</x:v>
      </x:c>
      <x:c r="Q53" s="46" t="str">
        <x:v>https://elib.tiho-hannover.de/servlets/MCRFileNodeServlet/etd_derivate_00001197/baruths_ws10.pdf</x:v>
      </x:c>
      <x:c r="R53" s="46" t="n">
        <x:v>66</x:v>
      </x:c>
      <x:c r="S53" s="46" t="str">
        <x:v>quarantined_pending_corrected_table18_transcription</x:v>
      </x:c>
      <x:c r="T53" s="46" t="str">
        <x:v>eligible_presence_member_delta</x:v>
      </x:c>
      <x:c r="U53" s="46" t="str">
        <x:v>Present in all three wild landfowl; absent chicken.</x:v>
      </x:c>
    </x:row>
    <x:row r="54">
      <x:c r="A54" s="46" t="str">
        <x:v>LFP-0053</x:v>
      </x:c>
      <x:c r="B54" s="46" t="str">
        <x:v>pheasant:roasted</x:v>
      </x:c>
      <x:c r="C54" s="46" t="str">
        <x:v>pheasant</x:v>
      </x:c>
      <x:c r="D54" s="46" t="str">
        <x:v>avian</x:v>
      </x:c>
      <x:c r="E54" s="46" t="str">
        <x:v>game_bird</x:v>
      </x:c>
      <x:c r="F54" s="46" t="str">
        <x:v>roasted_landfowl</x:v>
      </x:c>
      <x:c r="G54" s="46" t="str">
        <x:v>roasted</x:v>
      </x:c>
      <x:c r="H54" s="46" t="str">
        <x:v>2,5-dimethylpyrazine</x:v>
      </x:c>
      <x:c r="I54" s="46" t="str">
        <x:v>2,5-Dimethylpyrazin</x:v>
      </x:c>
      <x:c r="J54" s="46" t="str">
        <x:v>123-32-0</x:v>
      </x:c>
      <x:c r="K54" s="46" t="str">
        <x:v>Bases</x:v>
      </x:c>
      <x:c r="L54" s="46" t="n">
        <x:v>903</x:v>
      </x:c>
      <x:c r="M54" s="46" t="str">
        <x:v>Kekse, geröstet</x:v>
      </x:c>
      <x:c r="N54" s="46" t="str">
        <x:v>partial_shared_member_delta</x:v>
      </x:c>
      <x:c r="O54" s="46" t="str">
        <x:v>measured_occurrence_table17</x:v>
      </x:c>
      <x:c r="P54" s="46" t="str">
        <x:v>SRC-LANDFOWL-THESIS-001</x:v>
      </x:c>
      <x:c r="Q54" s="46" t="str">
        <x:v>https://elib.tiho-hannover.de/servlets/MCRFileNodeServlet/etd_derivate_00001197/baruths_ws10.pdf</x:v>
      </x:c>
      <x:c r="R54" s="46" t="n">
        <x:v>66</x:v>
      </x:c>
      <x:c r="S54" s="46" t="str">
        <x:v>quarantined_pending_corrected_table18_transcription</x:v>
      </x:c>
      <x:c r="T54" s="46" t="str">
        <x:v>eligible_presence_member_delta</x:v>
      </x:c>
      <x:c r="U54" s="46" t="str">
        <x:v>Present in pheasant and partridge.</x:v>
      </x:c>
    </x:row>
    <x:row r="55">
      <x:c r="A55" s="46" t="str">
        <x:v>LFP-0054</x:v>
      </x:c>
      <x:c r="B55" s="46" t="str">
        <x:v>pheasant:roasted</x:v>
      </x:c>
      <x:c r="C55" s="46" t="str">
        <x:v>pheasant</x:v>
      </x:c>
      <x:c r="D55" s="46" t="str">
        <x:v>avian</x:v>
      </x:c>
      <x:c r="E55" s="46" t="str">
        <x:v>game_bird</x:v>
      </x:c>
      <x:c r="F55" s="46" t="str">
        <x:v>roasted_landfowl</x:v>
      </x:c>
      <x:c r="G55" s="46" t="str">
        <x:v>roasted</x:v>
      </x:c>
      <x:c r="H55" s="46" t="str">
        <x:v>methional</x:v>
      </x:c>
      <x:c r="I55" s="46" t="str">
        <x:v>3-Methylthiopropanal</x:v>
      </x:c>
      <x:c r="J55" s="46" t="str">
        <x:v>3268-49-3</x:v>
      </x:c>
      <x:c r="K55" s="46" t="str">
        <x:v>Sulfur compounds</x:v>
      </x:c>
      <x:c r="L55" s="46" t="n">
        <x:v>909</x:v>
      </x:c>
      <x:c r="M55" s="46" t="str">
        <x:v>n.d.</x:v>
      </x:c>
      <x:c r="N55" s="46" t="str">
        <x:v>partial_shared_member_delta</x:v>
      </x:c>
      <x:c r="O55" s="46" t="str">
        <x:v>measured_occurrence_table17</x:v>
      </x:c>
      <x:c r="P55" s="46" t="str">
        <x:v>SRC-LANDFOWL-THESIS-001</x:v>
      </x:c>
      <x:c r="Q55" s="46" t="str">
        <x:v>https://elib.tiho-hannover.de/servlets/MCRFileNodeServlet/etd_derivate_00001197/baruths_ws10.pdf</x:v>
      </x:c>
      <x:c r="R55" s="46" t="n">
        <x:v>66</x:v>
      </x:c>
      <x:c r="S55" s="46" t="str">
        <x:v>quarantined_pending_corrected_table18_transcription</x:v>
      </x:c>
      <x:c r="T55" s="46" t="str">
        <x:v>eligible_presence_member_delta</x:v>
      </x:c>
      <x:c r="U55" s="46" t="str">
        <x:v>Present in pheasant and partridge.</x:v>
      </x:c>
    </x:row>
    <x:row r="56">
      <x:c r="A56" s="46" t="str">
        <x:v>LFP-0055</x:v>
      </x:c>
      <x:c r="B56" s="46" t="str">
        <x:v>pheasant:roasted</x:v>
      </x:c>
      <x:c r="C56" s="46" t="str">
        <x:v>pheasant</x:v>
      </x:c>
      <x:c r="D56" s="46" t="str">
        <x:v>avian</x:v>
      </x:c>
      <x:c r="E56" s="46" t="str">
        <x:v>game_bird</x:v>
      </x:c>
      <x:c r="F56" s="46" t="str">
        <x:v>roasted_landfowl</x:v>
      </x:c>
      <x:c r="G56" s="46" t="str">
        <x:v>roasted</x:v>
      </x:c>
      <x:c r="H56" s="46" t="str">
        <x:v>2-pentylfuran</x:v>
      </x:c>
      <x:c r="I56" s="46" t="str">
        <x:v>2-Pentylfuran</x:v>
      </x:c>
      <x:c r="J56" s="46" t="str">
        <x:v>3777-69-3</x:v>
      </x:c>
      <x:c r="K56" s="46" t="str">
        <x:v>Furans</x:v>
      </x:c>
      <x:c r="L56" s="46" t="n">
        <x:v>995</x:v>
      </x:c>
      <x:c r="M56" s="46" t="str">
        <x:v>n.d.</x:v>
      </x:c>
      <x:c r="N56" s="46" t="str">
        <x:v>partial_shared_member_delta</x:v>
      </x:c>
      <x:c r="O56" s="46" t="str">
        <x:v>measured_occurrence_table17</x:v>
      </x:c>
      <x:c r="P56" s="46" t="str">
        <x:v>SRC-LANDFOWL-THESIS-001</x:v>
      </x:c>
      <x:c r="Q56" s="46" t="str">
        <x:v>https://elib.tiho-hannover.de/servlets/MCRFileNodeServlet/etd_derivate_00001197/baruths_ws10.pdf</x:v>
      </x:c>
      <x:c r="R56" s="46" t="n">
        <x:v>66</x:v>
      </x:c>
      <x:c r="S56" s="46" t="str">
        <x:v>quarantined_pending_corrected_table18_transcription</x:v>
      </x:c>
      <x:c r="T56" s="46" t="str">
        <x:v>eligible_presence_member_delta</x:v>
      </x:c>
      <x:c r="U56" s="46" t="str">
        <x:v>Present in all three wild landfowl; absent chicken.</x:v>
      </x:c>
    </x:row>
    <x:row r="57">
      <x:c r="A57" s="46" t="str">
        <x:v>LFP-0056</x:v>
      </x:c>
      <x:c r="B57" s="46" t="str">
        <x:v>pheasant:roasted</x:v>
      </x:c>
      <x:c r="C57" s="46" t="str">
        <x:v>pheasant</x:v>
      </x:c>
      <x:c r="D57" s="46" t="str">
        <x:v>avian</x:v>
      </x:c>
      <x:c r="E57" s="46" t="str">
        <x:v>game_bird</x:v>
      </x:c>
      <x:c r="F57" s="46" t="str">
        <x:v>roasted_landfowl</x:v>
      </x:c>
      <x:c r="G57" s="46" t="str">
        <x:v>roasted</x:v>
      </x:c>
      <x:c r="H57" s="46" t="str">
        <x:v>decane</x:v>
      </x:c>
      <x:c r="I57" s="46" t="str">
        <x:v>Decan</x:v>
      </x:c>
      <x:c r="J57" s="46" t="str">
        <x:v>124-18-5</x:v>
      </x:c>
      <x:c r="K57" s="46" t="str">
        <x:v>Hydrocarbons</x:v>
      </x:c>
      <x:c r="L57" s="46" t="n">
        <x:v>1000</x:v>
      </x:c>
      <x:c r="M57" s="46" t="str">
        <x:v>n.d.</x:v>
      </x:c>
      <x:c r="N57" s="46" t="str">
        <x:v>partial_shared_member_delta</x:v>
      </x:c>
      <x:c r="O57" s="46" t="str">
        <x:v>measured_occurrence_table17</x:v>
      </x:c>
      <x:c r="P57" s="46" t="str">
        <x:v>SRC-LANDFOWL-THESIS-001</x:v>
      </x:c>
      <x:c r="Q57" s="46" t="str">
        <x:v>https://elib.tiho-hannover.de/servlets/MCRFileNodeServlet/etd_derivate_00001197/baruths_ws10.pdf</x:v>
      </x:c>
      <x:c r="R57" s="46" t="n">
        <x:v>66</x:v>
      </x:c>
      <x:c r="S57" s="46" t="str">
        <x:v>quarantined_pending_corrected_table18_transcription</x:v>
      </x:c>
      <x:c r="T57" s="46" t="str">
        <x:v>eligible_presence_member_delta</x:v>
      </x:c>
      <x:c r="U57" s="46" t="str">
        <x:v>Present in chicken and pheasant.</x:v>
      </x:c>
    </x:row>
    <x:row r="58">
      <x:c r="A58" s="46" t="str">
        <x:v>LFP-0057</x:v>
      </x:c>
      <x:c r="B58" s="46" t="str">
        <x:v>pheasant:roasted</x:v>
      </x:c>
      <x:c r="C58" s="46" t="str">
        <x:v>pheasant</x:v>
      </x:c>
      <x:c r="D58" s="46" t="str">
        <x:v>avian</x:v>
      </x:c>
      <x:c r="E58" s="46" t="str">
        <x:v>game_bird</x:v>
      </x:c>
      <x:c r="F58" s="46" t="str">
        <x:v>roasted_landfowl</x:v>
      </x:c>
      <x:c r="G58" s="46" t="str">
        <x:v>roasted</x:v>
      </x:c>
      <x:c r="H58" s="46" t="str">
        <x:v>1-nonyne</x:v>
      </x:c>
      <x:c r="I58" s="46" t="str">
        <x:v>1-Nonyn</x:v>
      </x:c>
      <x:c r="J58" s="46"/>
      <x:c r="K58" s="46" t="str">
        <x:v>Hydrocarbons</x:v>
      </x:c>
      <x:c r="L58" s="46" t="n">
        <x:v>1059</x:v>
      </x:c>
      <x:c r="M58" s="46" t="str">
        <x:v>n.d.</x:v>
      </x:c>
      <x:c r="N58" s="46" t="str">
        <x:v>partial_shared_member_delta</x:v>
      </x:c>
      <x:c r="O58" s="46" t="str">
        <x:v>measured_occurrence_table17</x:v>
      </x:c>
      <x:c r="P58" s="46" t="str">
        <x:v>SRC-LANDFOWL-THESIS-001</x:v>
      </x:c>
      <x:c r="Q58" s="46" t="str">
        <x:v>https://elib.tiho-hannover.de/servlets/MCRFileNodeServlet/etd_derivate_00001197/baruths_ws10.pdf</x:v>
      </x:c>
      <x:c r="R58" s="46" t="n">
        <x:v>66</x:v>
      </x:c>
      <x:c r="S58" s="46" t="str">
        <x:v>quarantined_pending_corrected_table18_transcription</x:v>
      </x:c>
      <x:c r="T58" s="46" t="str">
        <x:v>hold_cas_resolution_before_canonical_join</x:v>
      </x:c>
      <x:c r="U58" s="46" t="str">
        <x:v>Present in chicken, pheasant and quail; CAS not independently resolved in this pass. Canonical occurrence is source-supported, but CAS join is intentionally held pending institutional identity resolution.</x:v>
      </x:c>
    </x:row>
    <x:row r="59">
      <x:c r="A59" s="46" t="str">
        <x:v>LFP-0058</x:v>
      </x:c>
      <x:c r="B59" s="46" t="str">
        <x:v>pheasant:roasted</x:v>
      </x:c>
      <x:c r="C59" s="46" t="str">
        <x:v>pheasant</x:v>
      </x:c>
      <x:c r="D59" s="46" t="str">
        <x:v>avian</x:v>
      </x:c>
      <x:c r="E59" s="46" t="str">
        <x:v>game_bird</x:v>
      </x:c>
      <x:c r="F59" s="46" t="str">
        <x:v>roasted_landfowl</x:v>
      </x:c>
      <x:c r="G59" s="46" t="str">
        <x:v>roasted</x:v>
      </x:c>
      <x:c r="H59" s="46" t="str">
        <x:v>3-ethyl-2,5-dimethylpyrazine</x:v>
      </x:c>
      <x:c r="I59" s="46" t="str">
        <x:v>3-Ethyl-2,5-dimethylpyrazin</x:v>
      </x:c>
      <x:c r="J59" s="46" t="str">
        <x:v>13360-65-1</x:v>
      </x:c>
      <x:c r="K59" s="46" t="str">
        <x:v>Bases</x:v>
      </x:c>
      <x:c r="L59" s="46" t="n">
        <x:v>1081</x:v>
      </x:c>
      <x:c r="M59" s="46" t="str">
        <x:v>n.d.</x:v>
      </x:c>
      <x:c r="N59" s="46" t="str">
        <x:v>partial_shared_member_delta</x:v>
      </x:c>
      <x:c r="O59" s="46" t="str">
        <x:v>measured_occurrence_table17</x:v>
      </x:c>
      <x:c r="P59" s="46" t="str">
        <x:v>SRC-LANDFOWL-THESIS-001</x:v>
      </x:c>
      <x:c r="Q59" s="46" t="str">
        <x:v>https://elib.tiho-hannover.de/servlets/MCRFileNodeServlet/etd_derivate_00001197/baruths_ws10.pdf</x:v>
      </x:c>
      <x:c r="R59" s="46" t="n">
        <x:v>66</x:v>
      </x:c>
      <x:c r="S59" s="46" t="str">
        <x:v>quarantined_pending_corrected_table18_transcription</x:v>
      </x:c>
      <x:c r="T59" s="46" t="str">
        <x:v>eligible_presence_member_delta</x:v>
      </x:c>
      <x:c r="U59" s="46" t="str">
        <x:v>Present in pheasant and partridge.</x:v>
      </x:c>
    </x:row>
    <x:row r="60">
      <x:c r="A60" s="46" t="str">
        <x:v>LFP-0059</x:v>
      </x:c>
      <x:c r="B60" s="46" t="str">
        <x:v>pheasant:roasted</x:v>
      </x:c>
      <x:c r="C60" s="46" t="str">
        <x:v>pheasant</x:v>
      </x:c>
      <x:c r="D60" s="46" t="str">
        <x:v>avian</x:v>
      </x:c>
      <x:c r="E60" s="46" t="str">
        <x:v>game_bird</x:v>
      </x:c>
      <x:c r="F60" s="46" t="str">
        <x:v>roasted_landfowl</x:v>
      </x:c>
      <x:c r="G60" s="46" t="str">
        <x:v>roasted</x:v>
      </x:c>
      <x:c r="H60" s="46" t="str">
        <x:v>2-ethyl-1-hexanol</x:v>
      </x:c>
      <x:c r="I60" s="46" t="str">
        <x:v>2-Ethyl-1-hexanol</x:v>
      </x:c>
      <x:c r="J60" s="46" t="str">
        <x:v>104-76-7</x:v>
      </x:c>
      <x:c r="K60" s="46" t="str">
        <x:v>Alcohols</x:v>
      </x:c>
      <x:c r="L60" s="46" t="n">
        <x:v>1033</x:v>
      </x:c>
      <x:c r="M60" s="46" t="str">
        <x:v>Kekse</x:v>
      </x:c>
      <x:c r="N60" s="46" t="str">
        <x:v>partial_shared_member_delta</x:v>
      </x:c>
      <x:c r="O60" s="46" t="str">
        <x:v>measured_occurrence_table17</x:v>
      </x:c>
      <x:c r="P60" s="46" t="str">
        <x:v>SRC-LANDFOWL-THESIS-001</x:v>
      </x:c>
      <x:c r="Q60" s="46" t="str">
        <x:v>https://elib.tiho-hannover.de/servlets/MCRFileNodeServlet/etd_derivate_00001197/baruths_ws10.pdf</x:v>
      </x:c>
      <x:c r="R60" s="46" t="n">
        <x:v>66</x:v>
      </x:c>
      <x:c r="S60" s="46" t="str">
        <x:v>quarantined_pending_corrected_table18_transcription</x:v>
      </x:c>
      <x:c r="T60" s="46" t="str">
        <x:v>eligible_presence_member_delta</x:v>
      </x:c>
      <x:c r="U60" s="46" t="str">
        <x:v>Present in pheasant and partridge.</x:v>
      </x:c>
    </x:row>
    <x:row r="61">
      <x:c r="A61" s="46" t="str">
        <x:v>LFP-0060</x:v>
      </x:c>
      <x:c r="B61" s="46" t="str">
        <x:v>pheasant:roasted</x:v>
      </x:c>
      <x:c r="C61" s="46" t="str">
        <x:v>pheasant</x:v>
      </x:c>
      <x:c r="D61" s="46" t="str">
        <x:v>avian</x:v>
      </x:c>
      <x:c r="E61" s="46" t="str">
        <x:v>game_bird</x:v>
      </x:c>
      <x:c r="F61" s="46" t="str">
        <x:v>roasted_landfowl</x:v>
      </x:c>
      <x:c r="G61" s="46" t="str">
        <x:v>roasted</x:v>
      </x:c>
      <x:c r="H61" s="46" t="str">
        <x:v>2-nonanone</x:v>
      </x:c>
      <x:c r="I61" s="46" t="str">
        <x:v>2-Nonanon</x:v>
      </x:c>
      <x:c r="J61" s="46" t="str">
        <x:v>821-55-6</x:v>
      </x:c>
      <x:c r="K61" s="46" t="str">
        <x:v>Carbonyls, ketones</x:v>
      </x:c>
      <x:c r="L61" s="46" t="n">
        <x:v>1092</x:v>
      </x:c>
      <x:c r="M61" s="46" t="str">
        <x:v>n.d.</x:v>
      </x:c>
      <x:c r="N61" s="46" t="str">
        <x:v>partial_shared_member_delta</x:v>
      </x:c>
      <x:c r="O61" s="46" t="str">
        <x:v>measured_occurrence_table17</x:v>
      </x:c>
      <x:c r="P61" s="46" t="str">
        <x:v>SRC-LANDFOWL-THESIS-001</x:v>
      </x:c>
      <x:c r="Q61" s="46" t="str">
        <x:v>https://elib.tiho-hannover.de/servlets/MCRFileNodeServlet/etd_derivate_00001197/baruths_ws10.pdf</x:v>
      </x:c>
      <x:c r="R61" s="46" t="n">
        <x:v>66</x:v>
      </x:c>
      <x:c r="S61" s="46" t="str">
        <x:v>quarantined_pending_corrected_table18_transcription</x:v>
      </x:c>
      <x:c r="T61" s="46" t="str">
        <x:v>eligible_presence_member_delta</x:v>
      </x:c>
      <x:c r="U61" s="46" t="str">
        <x:v>Present in all three wild landfowl; absent chicken.</x:v>
      </x:c>
    </x:row>
    <x:row r="62">
      <x:c r="A62" s="46" t="str">
        <x:v>LFP-0061</x:v>
      </x:c>
      <x:c r="B62" s="46" t="str">
        <x:v>pheasant:roasted</x:v>
      </x:c>
      <x:c r="C62" s="46" t="str">
        <x:v>pheasant</x:v>
      </x:c>
      <x:c r="D62" s="46" t="str">
        <x:v>avian</x:v>
      </x:c>
      <x:c r="E62" s="46" t="str">
        <x:v>game_bird</x:v>
      </x:c>
      <x:c r="F62" s="46" t="str">
        <x:v>roasted_landfowl</x:v>
      </x:c>
      <x:c r="G62" s="46" t="str">
        <x:v>roasted</x:v>
      </x:c>
      <x:c r="H62" s="46" t="str">
        <x:v>3-octen-2-one</x:v>
      </x:c>
      <x:c r="I62" s="46" t="str">
        <x:v>3-Octen-2-on</x:v>
      </x:c>
      <x:c r="J62" s="46"/>
      <x:c r="K62" s="46" t="str">
        <x:v>Carbonyls, ketones</x:v>
      </x:c>
      <x:c r="L62" s="46" t="n">
        <x:v>1190</x:v>
      </x:c>
      <x:c r="M62" s="46" t="str">
        <x:v>n.d.</x:v>
      </x:c>
      <x:c r="N62" s="46" t="str">
        <x:v>partial_shared_member_delta</x:v>
      </x:c>
      <x:c r="O62" s="46" t="str">
        <x:v>measured_occurrence_table17</x:v>
      </x:c>
      <x:c r="P62" s="46" t="str">
        <x:v>SRC-LANDFOWL-THESIS-001</x:v>
      </x:c>
      <x:c r="Q62" s="46" t="str">
        <x:v>https://elib.tiho-hannover.de/servlets/MCRFileNodeServlet/etd_derivate_00001197/baruths_ws10.pdf</x:v>
      </x:c>
      <x:c r="R62" s="46" t="n">
        <x:v>66</x:v>
      </x:c>
      <x:c r="S62" s="46" t="str">
        <x:v>quarantined_pending_corrected_table18_transcription</x:v>
      </x:c>
      <x:c r="T62" s="46" t="str">
        <x:v>hold_cas_resolution_before_canonical_join</x:v>
      </x:c>
      <x:c r="U62" s="46" t="str">
        <x:v>Present in all three wild landfowl; CAS not independently resolved in this pass. Canonical occurrence is source-supported, but CAS join is intentionally held pending institutional identity resolution.</x:v>
      </x:c>
    </x:row>
    <x:row r="63">
      <x:c r="A63" s="46" t="str">
        <x:v>LFP-0062</x:v>
      </x:c>
      <x:c r="B63" s="46" t="str">
        <x:v>pheasant:roasted</x:v>
      </x:c>
      <x:c r="C63" s="46" t="str">
        <x:v>pheasant</x:v>
      </x:c>
      <x:c r="D63" s="46" t="str">
        <x:v>avian</x:v>
      </x:c>
      <x:c r="E63" s="46" t="str">
        <x:v>game_bird</x:v>
      </x:c>
      <x:c r="F63" s="46" t="str">
        <x:v>roasted_landfowl</x:v>
      </x:c>
      <x:c r="G63" s="46" t="str">
        <x:v>roasted</x:v>
      </x:c>
      <x:c r="H63" s="46" t="str">
        <x:v>2-decanone</x:v>
      </x:c>
      <x:c r="I63" s="46" t="str">
        <x:v>2-Decanon</x:v>
      </x:c>
      <x:c r="J63" s="46" t="str">
        <x:v>693-54-9</x:v>
      </x:c>
      <x:c r="K63" s="46" t="str">
        <x:v>Carbonyls, ketones</x:v>
      </x:c>
      <x:c r="L63" s="46" t="n">
        <x:v>1193</x:v>
      </x:c>
      <x:c r="M63" s="46" t="str">
        <x:v>n.d.</x:v>
      </x:c>
      <x:c r="N63" s="46" t="str">
        <x:v>partial_shared_member_delta</x:v>
      </x:c>
      <x:c r="O63" s="46" t="str">
        <x:v>measured_occurrence_table17</x:v>
      </x:c>
      <x:c r="P63" s="46" t="str">
        <x:v>SRC-LANDFOWL-THESIS-001</x:v>
      </x:c>
      <x:c r="Q63" s="46" t="str">
        <x:v>https://elib.tiho-hannover.de/servlets/MCRFileNodeServlet/etd_derivate_00001197/baruths_ws10.pdf</x:v>
      </x:c>
      <x:c r="R63" s="46" t="n">
        <x:v>66</x:v>
      </x:c>
      <x:c r="S63" s="46" t="str">
        <x:v>quarantined_pending_corrected_table18_transcription</x:v>
      </x:c>
      <x:c r="T63" s="46" t="str">
        <x:v>eligible_presence_member_delta</x:v>
      </x:c>
      <x:c r="U63" s="46" t="str">
        <x:v>Present in all three wild landfowl; absent chicken.</x:v>
      </x:c>
    </x:row>
    <x:row r="64">
      <x:c r="A64" s="46" t="str">
        <x:v>LFP-0063</x:v>
      </x:c>
      <x:c r="B64" s="46" t="str">
        <x:v>pheasant:roasted</x:v>
      </x:c>
      <x:c r="C64" s="46" t="str">
        <x:v>pheasant</x:v>
      </x:c>
      <x:c r="D64" s="46" t="str">
        <x:v>avian</x:v>
      </x:c>
      <x:c r="E64" s="46" t="str">
        <x:v>game_bird</x:v>
      </x:c>
      <x:c r="F64" s="46" t="str">
        <x:v>roasted_landfowl</x:v>
      </x:c>
      <x:c r="G64" s="46" t="str">
        <x:v>roasted</x:v>
      </x:c>
      <x:c r="H64" s="46" t="str">
        <x:v>2-pentylpyridine</x:v>
      </x:c>
      <x:c r="I64" s="46" t="str">
        <x:v>2-Pentylpyridin</x:v>
      </x:c>
      <x:c r="J64" s="46"/>
      <x:c r="K64" s="46" t="str">
        <x:v>Bases</x:v>
      </x:c>
      <x:c r="L64" s="46" t="n">
        <x:v>1208</x:v>
      </x:c>
      <x:c r="M64" s="46" t="str">
        <x:v>n.d.</x:v>
      </x:c>
      <x:c r="N64" s="46" t="str">
        <x:v>partial_shared_member_delta</x:v>
      </x:c>
      <x:c r="O64" s="46" t="str">
        <x:v>measured_occurrence_table17</x:v>
      </x:c>
      <x:c r="P64" s="46" t="str">
        <x:v>SRC-LANDFOWL-THESIS-001</x:v>
      </x:c>
      <x:c r="Q64" s="46" t="str">
        <x:v>https://elib.tiho-hannover.de/servlets/MCRFileNodeServlet/etd_derivate_00001197/baruths_ws10.pdf</x:v>
      </x:c>
      <x:c r="R64" s="46" t="n">
        <x:v>66</x:v>
      </x:c>
      <x:c r="S64" s="46" t="str">
        <x:v>quarantined_pending_corrected_table18_transcription</x:v>
      </x:c>
      <x:c r="T64" s="46" t="str">
        <x:v>hold_cas_resolution_before_canonical_join</x:v>
      </x:c>
      <x:c r="U64" s="46" t="str">
        <x:v>Present in all three wild landfowl; CAS not independently resolved in this pass. Canonical occurrence is source-supported, but CAS join is intentionally held pending institutional identity resolution.</x:v>
      </x:c>
    </x:row>
    <x:row r="65">
      <x:c r="A65" s="46" t="str">
        <x:v>LFP-0064</x:v>
      </x:c>
      <x:c r="B65" s="46" t="str">
        <x:v>pheasant:roasted</x:v>
      </x:c>
      <x:c r="C65" s="46" t="str">
        <x:v>pheasant</x:v>
      </x:c>
      <x:c r="D65" s="46" t="str">
        <x:v>avian</x:v>
      </x:c>
      <x:c r="E65" s="46" t="str">
        <x:v>game_bird</x:v>
      </x:c>
      <x:c r="F65" s="46" t="str">
        <x:v>roasted_landfowl</x:v>
      </x:c>
      <x:c r="G65" s="46" t="str">
        <x:v>roasted</x:v>
      </x:c>
      <x:c r="H65" s="46" t="str">
        <x:v>nonanoic acid</x:v>
      </x:c>
      <x:c r="I65" s="46" t="str">
        <x:v>Nonansäure</x:v>
      </x:c>
      <x:c r="J65" s="46" t="str">
        <x:v>112-05-0</x:v>
      </x:c>
      <x:c r="K65" s="46" t="str">
        <x:v>Acids</x:v>
      </x:c>
      <x:c r="L65" s="46" t="n">
        <x:v>1273</x:v>
      </x:c>
      <x:c r="M65" s="46" t="str">
        <x:v>n.d.</x:v>
      </x:c>
      <x:c r="N65" s="46" t="str">
        <x:v>partial_shared_member_delta</x:v>
      </x:c>
      <x:c r="O65" s="46" t="str">
        <x:v>measured_occurrence_table17</x:v>
      </x:c>
      <x:c r="P65" s="46" t="str">
        <x:v>SRC-LANDFOWL-THESIS-001</x:v>
      </x:c>
      <x:c r="Q65" s="46" t="str">
        <x:v>https://elib.tiho-hannover.de/servlets/MCRFileNodeServlet/etd_derivate_00001197/baruths_ws10.pdf</x:v>
      </x:c>
      <x:c r="R65" s="46" t="n">
        <x:v>66</x:v>
      </x:c>
      <x:c r="S65" s="46" t="str">
        <x:v>quarantined_pending_corrected_table18_transcription</x:v>
      </x:c>
      <x:c r="T65" s="46" t="str">
        <x:v>eligible_presence_member_delta</x:v>
      </x:c>
      <x:c r="U65" s="46" t="str">
        <x:v>Present in pheasant and quail.</x:v>
      </x:c>
    </x:row>
    <x:row r="66">
      <x:c r="A66" s="46" t="str">
        <x:v>LFP-0065</x:v>
      </x:c>
      <x:c r="B66" s="46" t="str">
        <x:v>pheasant:roasted</x:v>
      </x:c>
      <x:c r="C66" s="46" t="str">
        <x:v>pheasant</x:v>
      </x:c>
      <x:c r="D66" s="46" t="str">
        <x:v>avian</x:v>
      </x:c>
      <x:c r="E66" s="46" t="str">
        <x:v>game_bird</x:v>
      </x:c>
      <x:c r="F66" s="46" t="str">
        <x:v>roasted_landfowl</x:v>
      </x:c>
      <x:c r="G66" s="46" t="str">
        <x:v>roasted</x:v>
      </x:c>
      <x:c r="H66" s="46" t="str">
        <x:v>1-undecene</x:v>
      </x:c>
      <x:c r="I66" s="46" t="str">
        <x:v>1-Undecen</x:v>
      </x:c>
      <x:c r="J66" s="46" t="str">
        <x:v>821-95-4</x:v>
      </x:c>
      <x:c r="K66" s="46" t="str">
        <x:v>Hydrocarbons</x:v>
      </x:c>
      <x:c r="L66" s="46" t="n">
        <x:v>1285</x:v>
      </x:c>
      <x:c r="M66" s="46" t="str">
        <x:v>n.d.</x:v>
      </x:c>
      <x:c r="N66" s="46" t="str">
        <x:v>partial_shared_member_delta</x:v>
      </x:c>
      <x:c r="O66" s="46" t="str">
        <x:v>measured_occurrence_table17</x:v>
      </x:c>
      <x:c r="P66" s="46" t="str">
        <x:v>SRC-LANDFOWL-THESIS-001</x:v>
      </x:c>
      <x:c r="Q66" s="46" t="str">
        <x:v>https://elib.tiho-hannover.de/servlets/MCRFileNodeServlet/etd_derivate_00001197/baruths_ws10.pdf</x:v>
      </x:c>
      <x:c r="R66" s="46" t="n">
        <x:v>66</x:v>
      </x:c>
      <x:c r="S66" s="46" t="str">
        <x:v>quarantined_pending_corrected_table18_transcription</x:v>
      </x:c>
      <x:c r="T66" s="46" t="str">
        <x:v>eligible_presence_member_delta</x:v>
      </x:c>
      <x:c r="U66" s="46" t="str">
        <x:v>Present in all three wild landfowl; absent chicken.</x:v>
      </x:c>
    </x:row>
    <x:row r="67">
      <x:c r="A67" s="46" t="str">
        <x:v>LFP-0066</x:v>
      </x:c>
      <x:c r="B67" s="46" t="str">
        <x:v>partridge:roasted</x:v>
      </x:c>
      <x:c r="C67" s="46" t="str">
        <x:v>partridge</x:v>
      </x:c>
      <x:c r="D67" s="46" t="str">
        <x:v>avian</x:v>
      </x:c>
      <x:c r="E67" s="46" t="str">
        <x:v>game_bird</x:v>
      </x:c>
      <x:c r="F67" s="46" t="str">
        <x:v>roasted_landfowl</x:v>
      </x:c>
      <x:c r="G67" s="46" t="str">
        <x:v>roasted</x:v>
      </x:c>
      <x:c r="H67" s="46" t="str">
        <x:v>(E)-2-butenal</x:v>
      </x:c>
      <x:c r="I67" s="46" t="str">
        <x:v>2-(E)-Butenal</x:v>
      </x:c>
      <x:c r="J67" s="46" t="str">
        <x:v>123-73-9</x:v>
      </x:c>
      <x:c r="K67" s="46" t="str">
        <x:v>Carbonyls, aldehydes</x:v>
      </x:c>
      <x:c r="L67" s="46" t="n">
        <x:v>651</x:v>
      </x:c>
      <x:c r="M67" s="46" t="str">
        <x:v>Vanille, süß</x:v>
      </x:c>
      <x:c r="N67" s="46" t="str">
        <x:v>landfowl_shared_base</x:v>
      </x:c>
      <x:c r="O67" s="46" t="str">
        <x:v>measured_occurrence_table17</x:v>
      </x:c>
      <x:c r="P67" s="46" t="str">
        <x:v>SRC-LANDFOWL-THESIS-001</x:v>
      </x:c>
      <x:c r="Q67" s="46" t="str">
        <x:v>https://elib.tiho-hannover.de/servlets/MCRFileNodeServlet/etd_derivate_00001197/baruths_ws10.pdf</x:v>
      </x:c>
      <x:c r="R67" s="46" t="n">
        <x:v>62</x:v>
      </x:c>
      <x:c r="S67" s="46" t="str">
        <x:v>quarantined_pending_corrected_table18_transcription</x:v>
      </x:c>
      <x:c r="T67" s="46" t="str">
        <x:v>eligible_presence_cluster_base</x:v>
      </x:c>
      <x:c r="U67" s="46" t="str">
        <x:v>Direct occurrence matrix. Shared occurrence does not imply equal abundance or sensory importance.</x:v>
      </x:c>
    </x:row>
    <x:row r="68">
      <x:c r="A68" s="46" t="str">
        <x:v>LFP-0067</x:v>
      </x:c>
      <x:c r="B68" s="46" t="str">
        <x:v>partridge:roasted</x:v>
      </x:c>
      <x:c r="C68" s="46" t="str">
        <x:v>partridge</x:v>
      </x:c>
      <x:c r="D68" s="46" t="str">
        <x:v>avian</x:v>
      </x:c>
      <x:c r="E68" s="46" t="str">
        <x:v>game_bird</x:v>
      </x:c>
      <x:c r="F68" s="46" t="str">
        <x:v>roasted_landfowl</x:v>
      </x:c>
      <x:c r="G68" s="46" t="str">
        <x:v>roasted</x:v>
      </x:c>
      <x:c r="H68" s="46" t="str">
        <x:v>3-methylbutanal</x:v>
      </x:c>
      <x:c r="I68" s="46" t="str">
        <x:v>3-Methylbutanal</x:v>
      </x:c>
      <x:c r="J68" s="46" t="str">
        <x:v>590-86-3</x:v>
      </x:c>
      <x:c r="K68" s="46" t="str">
        <x:v>Carbonyls, aldehydes</x:v>
      </x:c>
      <x:c r="L68" s="46" t="n">
        <x:v>653</x:v>
      </x:c>
      <x:c r="M68" s="46" t="str">
        <x:v>Schokolade, Buttermmandel</x:v>
      </x:c>
      <x:c r="N68" s="46" t="str">
        <x:v>landfowl_shared_base</x:v>
      </x:c>
      <x:c r="O68" s="46" t="str">
        <x:v>measured_occurrence_table17</x:v>
      </x:c>
      <x:c r="P68" s="46" t="str">
        <x:v>SRC-LANDFOWL-THESIS-001</x:v>
      </x:c>
      <x:c r="Q68" s="46" t="str">
        <x:v>https://elib.tiho-hannover.de/servlets/MCRFileNodeServlet/etd_derivate_00001197/baruths_ws10.pdf</x:v>
      </x:c>
      <x:c r="R68" s="46" t="n">
        <x:v>62</x:v>
      </x:c>
      <x:c r="S68" s="46" t="str">
        <x:v>quarantined_pending_corrected_table18_transcription</x:v>
      </x:c>
      <x:c r="T68" s="46" t="str">
        <x:v>eligible_presence_cluster_base</x:v>
      </x:c>
      <x:c r="U68" s="46" t="str">
        <x:v>Direct occurrence matrix. Shared occurrence does not imply equal abundance or sensory importance.</x:v>
      </x:c>
    </x:row>
    <x:row r="69">
      <x:c r="A69" s="46" t="str">
        <x:v>LFP-0068</x:v>
      </x:c>
      <x:c r="B69" s="46" t="str">
        <x:v>partridge:roasted</x:v>
      </x:c>
      <x:c r="C69" s="46" t="str">
        <x:v>partridge</x:v>
      </x:c>
      <x:c r="D69" s="46" t="str">
        <x:v>avian</x:v>
      </x:c>
      <x:c r="E69" s="46" t="str">
        <x:v>game_bird</x:v>
      </x:c>
      <x:c r="F69" s="46" t="str">
        <x:v>roasted_landfowl</x:v>
      </x:c>
      <x:c r="G69" s="46" t="str">
        <x:v>roasted</x:v>
      </x:c>
      <x:c r="H69" s="46" t="str">
        <x:v>2-methylbutanal</x:v>
      </x:c>
      <x:c r="I69" s="46" t="str">
        <x:v>2-Methylbutanal</x:v>
      </x:c>
      <x:c r="J69" s="46" t="str">
        <x:v>96-17-3</x:v>
      </x:c>
      <x:c r="K69" s="46" t="str">
        <x:v>Carbonyls, aldehydes</x:v>
      </x:c>
      <x:c r="L69" s="46" t="n">
        <x:v>661</x:v>
      </x:c>
      <x:c r="M69" s="46" t="str">
        <x:v>Vanille, muffig</x:v>
      </x:c>
      <x:c r="N69" s="46" t="str">
        <x:v>landfowl_shared_base</x:v>
      </x:c>
      <x:c r="O69" s="46" t="str">
        <x:v>measured_occurrence_table17</x:v>
      </x:c>
      <x:c r="P69" s="46" t="str">
        <x:v>SRC-LANDFOWL-THESIS-001</x:v>
      </x:c>
      <x:c r="Q69" s="46" t="str">
        <x:v>https://elib.tiho-hannover.de/servlets/MCRFileNodeServlet/etd_derivate_00001197/baruths_ws10.pdf</x:v>
      </x:c>
      <x:c r="R69" s="46" t="n">
        <x:v>62</x:v>
      </x:c>
      <x:c r="S69" s="46" t="str">
        <x:v>quarantined_pending_corrected_table18_transcription</x:v>
      </x:c>
      <x:c r="T69" s="46" t="str">
        <x:v>eligible_presence_cluster_base</x:v>
      </x:c>
      <x:c r="U69" s="46" t="str">
        <x:v>Direct occurrence matrix. Shared occurrence does not imply equal abundance or sensory importance.</x:v>
      </x:c>
    </x:row>
    <x:row r="70">
      <x:c r="A70" s="46" t="str">
        <x:v>LFP-0069</x:v>
      </x:c>
      <x:c r="B70" s="46" t="str">
        <x:v>partridge:roasted</x:v>
      </x:c>
      <x:c r="C70" s="46" t="str">
        <x:v>partridge</x:v>
      </x:c>
      <x:c r="D70" s="46" t="str">
        <x:v>avian</x:v>
      </x:c>
      <x:c r="E70" s="46" t="str">
        <x:v>game_bird</x:v>
      </x:c>
      <x:c r="F70" s="46" t="str">
        <x:v>roasted_landfowl</x:v>
      </x:c>
      <x:c r="G70" s="46" t="str">
        <x:v>roasted</x:v>
      </x:c>
      <x:c r="H70" s="46" t="str">
        <x:v>pentanal</x:v>
      </x:c>
      <x:c r="I70" s="46" t="str">
        <x:v>Pentanal</x:v>
      </x:c>
      <x:c r="J70" s="46" t="str">
        <x:v>110-62-3</x:v>
      </x:c>
      <x:c r="K70" s="46" t="str">
        <x:v>Carbonyls, aldehydes</x:v>
      </x:c>
      <x:c r="L70" s="46" t="n">
        <x:v>698</x:v>
      </x:c>
      <x:c r="M70" s="46" t="str">
        <x:v>Gras, grün</x:v>
      </x:c>
      <x:c r="N70" s="46" t="str">
        <x:v>landfowl_shared_base</x:v>
      </x:c>
      <x:c r="O70" s="46" t="str">
        <x:v>measured_occurrence_table17</x:v>
      </x:c>
      <x:c r="P70" s="46" t="str">
        <x:v>SRC-LANDFOWL-THESIS-001</x:v>
      </x:c>
      <x:c r="Q70" s="46" t="str">
        <x:v>https://elib.tiho-hannover.de/servlets/MCRFileNodeServlet/etd_derivate_00001197/baruths_ws10.pdf</x:v>
      </x:c>
      <x:c r="R70" s="46" t="n">
        <x:v>62</x:v>
      </x:c>
      <x:c r="S70" s="46" t="str">
        <x:v>quarantined_pending_corrected_table18_transcription</x:v>
      </x:c>
      <x:c r="T70" s="46" t="str">
        <x:v>eligible_presence_cluster_base</x:v>
      </x:c>
      <x:c r="U70" s="46" t="str">
        <x:v>Direct occurrence matrix. Shared occurrence does not imply equal abundance or sensory importance.</x:v>
      </x:c>
    </x:row>
    <x:row r="71">
      <x:c r="A71" s="46" t="str">
        <x:v>LFP-0070</x:v>
      </x:c>
      <x:c r="B71" s="46" t="str">
        <x:v>partridge:roasted</x:v>
      </x:c>
      <x:c r="C71" s="46" t="str">
        <x:v>partridge</x:v>
      </x:c>
      <x:c r="D71" s="46" t="str">
        <x:v>avian</x:v>
      </x:c>
      <x:c r="E71" s="46" t="str">
        <x:v>game_bird</x:v>
      </x:c>
      <x:c r="F71" s="46" t="str">
        <x:v>roasted_landfowl</x:v>
      </x:c>
      <x:c r="G71" s="46" t="str">
        <x:v>roasted</x:v>
      </x:c>
      <x:c r="H71" s="46" t="str">
        <x:v>(E)-2-pentenal</x:v>
      </x:c>
      <x:c r="I71" s="46" t="str">
        <x:v>2-(E)-Pentenal</x:v>
      </x:c>
      <x:c r="J71" s="46" t="str">
        <x:v>1576-87-0</x:v>
      </x:c>
      <x:c r="K71" s="46" t="str">
        <x:v>Carbonyls, aldehydes</x:v>
      </x:c>
      <x:c r="L71" s="46" t="n">
        <x:v>759</x:v>
      </x:c>
      <x:c r="M71" s="46" t="str">
        <x:v>n.d.</x:v>
      </x:c>
      <x:c r="N71" s="46" t="str">
        <x:v>landfowl_shared_base</x:v>
      </x:c>
      <x:c r="O71" s="46" t="str">
        <x:v>measured_occurrence_table17</x:v>
      </x:c>
      <x:c r="P71" s="46" t="str">
        <x:v>SRC-LANDFOWL-THESIS-001</x:v>
      </x:c>
      <x:c r="Q71" s="46" t="str">
        <x:v>https://elib.tiho-hannover.de/servlets/MCRFileNodeServlet/etd_derivate_00001197/baruths_ws10.pdf</x:v>
      </x:c>
      <x:c r="R71" s="46" t="n">
        <x:v>62</x:v>
      </x:c>
      <x:c r="S71" s="46" t="str">
        <x:v>quarantined_pending_corrected_table18_transcription</x:v>
      </x:c>
      <x:c r="T71" s="46" t="str">
        <x:v>eligible_presence_cluster_base</x:v>
      </x:c>
      <x:c r="U71" s="46" t="str">
        <x:v>Direct occurrence matrix. Shared occurrence does not imply equal abundance or sensory importance.</x:v>
      </x:c>
    </x:row>
    <x:row r="72">
      <x:c r="A72" s="46" t="str">
        <x:v>LFP-0071</x:v>
      </x:c>
      <x:c r="B72" s="46" t="str">
        <x:v>partridge:roasted</x:v>
      </x:c>
      <x:c r="C72" s="46" t="str">
        <x:v>partridge</x:v>
      </x:c>
      <x:c r="D72" s="46" t="str">
        <x:v>avian</x:v>
      </x:c>
      <x:c r="E72" s="46" t="str">
        <x:v>game_bird</x:v>
      </x:c>
      <x:c r="F72" s="46" t="str">
        <x:v>roasted_landfowl</x:v>
      </x:c>
      <x:c r="G72" s="46" t="str">
        <x:v>roasted</x:v>
      </x:c>
      <x:c r="H72" s="46" t="str">
        <x:v>1-pentanol</x:v>
      </x:c>
      <x:c r="I72" s="46" t="str">
        <x:v>1-Pentanol</x:v>
      </x:c>
      <x:c r="J72" s="46" t="str">
        <x:v>71-41-0</x:v>
      </x:c>
      <x:c r="K72" s="46" t="str">
        <x:v>Alcohols</x:v>
      </x:c>
      <x:c r="L72" s="46" t="n">
        <x:v>767</x:v>
      </x:c>
      <x:c r="M72" s="46" t="str">
        <x:v>Gummi, phenolisch</x:v>
      </x:c>
      <x:c r="N72" s="46" t="str">
        <x:v>landfowl_shared_base</x:v>
      </x:c>
      <x:c r="O72" s="46" t="str">
        <x:v>measured_occurrence_table17</x:v>
      </x:c>
      <x:c r="P72" s="46" t="str">
        <x:v>SRC-LANDFOWL-THESIS-001</x:v>
      </x:c>
      <x:c r="Q72" s="46" t="str">
        <x:v>https://elib.tiho-hannover.de/servlets/MCRFileNodeServlet/etd_derivate_00001197/baruths_ws10.pdf</x:v>
      </x:c>
      <x:c r="R72" s="46" t="n">
        <x:v>62</x:v>
      </x:c>
      <x:c r="S72" s="46" t="str">
        <x:v>quarantined_pending_corrected_table18_transcription</x:v>
      </x:c>
      <x:c r="T72" s="46" t="str">
        <x:v>eligible_presence_cluster_base</x:v>
      </x:c>
      <x:c r="U72" s="46" t="str">
        <x:v>Direct occurrence matrix. Shared occurrence does not imply equal abundance or sensory importance.</x:v>
      </x:c>
    </x:row>
    <x:row r="73">
      <x:c r="A73" s="46" t="str">
        <x:v>LFP-0072</x:v>
      </x:c>
      <x:c r="B73" s="46" t="str">
        <x:v>partridge:roasted</x:v>
      </x:c>
      <x:c r="C73" s="46" t="str">
        <x:v>partridge</x:v>
      </x:c>
      <x:c r="D73" s="46" t="str">
        <x:v>avian</x:v>
      </x:c>
      <x:c r="E73" s="46" t="str">
        <x:v>game_bird</x:v>
      </x:c>
      <x:c r="F73" s="46" t="str">
        <x:v>roasted_landfowl</x:v>
      </x:c>
      <x:c r="G73" s="46" t="str">
        <x:v>roasted</x:v>
      </x:c>
      <x:c r="H73" s="46" t="str">
        <x:v>hexanal</x:v>
      </x:c>
      <x:c r="I73" s="46" t="str">
        <x:v>Hexanal</x:v>
      </x:c>
      <x:c r="J73" s="46" t="str">
        <x:v>66-25-1</x:v>
      </x:c>
      <x:c r="K73" s="46" t="str">
        <x:v>Carbonyls, aldehydes</x:v>
      </x:c>
      <x:c r="L73" s="46" t="n">
        <x:v>801</x:v>
      </x:c>
      <x:c r="M73" s="46" t="str">
        <x:v>Kartoffel, blumig</x:v>
      </x:c>
      <x:c r="N73" s="46" t="str">
        <x:v>landfowl_shared_base</x:v>
      </x:c>
      <x:c r="O73" s="46" t="str">
        <x:v>measured_occurrence_table17</x:v>
      </x:c>
      <x:c r="P73" s="46" t="str">
        <x:v>SRC-LANDFOWL-THESIS-001</x:v>
      </x:c>
      <x:c r="Q73" s="46" t="str">
        <x:v>https://elib.tiho-hannover.de/servlets/MCRFileNodeServlet/etd_derivate_00001197/baruths_ws10.pdf</x:v>
      </x:c>
      <x:c r="R73" s="46" t="n">
        <x:v>62</x:v>
      </x:c>
      <x:c r="S73" s="46" t="str">
        <x:v>quarantined_pending_corrected_table18_transcription</x:v>
      </x:c>
      <x:c r="T73" s="46" t="str">
        <x:v>eligible_presence_cluster_base</x:v>
      </x:c>
      <x:c r="U73" s="46" t="str">
        <x:v>Direct occurrence matrix. Shared occurrence does not imply equal abundance or sensory importance.</x:v>
      </x:c>
    </x:row>
    <x:row r="74">
      <x:c r="A74" s="46" t="str">
        <x:v>LFP-0073</x:v>
      </x:c>
      <x:c r="B74" s="46" t="str">
        <x:v>partridge:roasted</x:v>
      </x:c>
      <x:c r="C74" s="46" t="str">
        <x:v>partridge</x:v>
      </x:c>
      <x:c r="D74" s="46" t="str">
        <x:v>avian</x:v>
      </x:c>
      <x:c r="E74" s="46" t="str">
        <x:v>game_bird</x:v>
      </x:c>
      <x:c r="F74" s="46" t="str">
        <x:v>roasted_landfowl</x:v>
      </x:c>
      <x:c r="G74" s="46" t="str">
        <x:v>roasted</x:v>
      </x:c>
      <x:c r="H74" s="46" t="str">
        <x:v>(E)-2-hexenal</x:v>
      </x:c>
      <x:c r="I74" s="46" t="str">
        <x:v>2-(E)-Hexenal</x:v>
      </x:c>
      <x:c r="J74" s="46" t="str">
        <x:v>6728-26-3</x:v>
      </x:c>
      <x:c r="K74" s="46" t="str">
        <x:v>Carbonyls, aldehydes</x:v>
      </x:c>
      <x:c r="L74" s="46" t="n">
        <x:v>849</x:v>
      </x:c>
      <x:c r="M74" s="46" t="str">
        <x:v>stechend, Marzipan</x:v>
      </x:c>
      <x:c r="N74" s="46" t="str">
        <x:v>landfowl_shared_base</x:v>
      </x:c>
      <x:c r="O74" s="46" t="str">
        <x:v>measured_occurrence_table17</x:v>
      </x:c>
      <x:c r="P74" s="46" t="str">
        <x:v>SRC-LANDFOWL-THESIS-001</x:v>
      </x:c>
      <x:c r="Q74" s="46" t="str">
        <x:v>https://elib.tiho-hannover.de/servlets/MCRFileNodeServlet/etd_derivate_00001197/baruths_ws10.pdf</x:v>
      </x:c>
      <x:c r="R74" s="46" t="n">
        <x:v>62</x:v>
      </x:c>
      <x:c r="S74" s="46" t="str">
        <x:v>quarantined_pending_corrected_table18_transcription</x:v>
      </x:c>
      <x:c r="T74" s="46" t="str">
        <x:v>eligible_presence_cluster_base</x:v>
      </x:c>
      <x:c r="U74" s="46" t="str">
        <x:v>Direct occurrence matrix. Shared occurrence does not imply equal abundance or sensory importance.</x:v>
      </x:c>
    </x:row>
    <x:row r="75">
      <x:c r="A75" s="46" t="str">
        <x:v>LFP-0074</x:v>
      </x:c>
      <x:c r="B75" s="46" t="str">
        <x:v>partridge:roasted</x:v>
      </x:c>
      <x:c r="C75" s="46" t="str">
        <x:v>partridge</x:v>
      </x:c>
      <x:c r="D75" s="46" t="str">
        <x:v>avian</x:v>
      </x:c>
      <x:c r="E75" s="46" t="str">
        <x:v>game_bird</x:v>
      </x:c>
      <x:c r="F75" s="46" t="str">
        <x:v>roasted_landfowl</x:v>
      </x:c>
      <x:c r="G75" s="46" t="str">
        <x:v>roasted</x:v>
      </x:c>
      <x:c r="H75" s="46" t="str">
        <x:v>1-hexanol</x:v>
      </x:c>
      <x:c r="I75" s="46" t="str">
        <x:v>1-Hexanol</x:v>
      </x:c>
      <x:c r="J75" s="46" t="str">
        <x:v>111-27-3</x:v>
      </x:c>
      <x:c r="K75" s="46" t="str">
        <x:v>Alcohols</x:v>
      </x:c>
      <x:c r="L75" s="46" t="n">
        <x:v>870</x:v>
      </x:c>
      <x:c r="M75" s="46" t="str">
        <x:v>Käse</x:v>
      </x:c>
      <x:c r="N75" s="46" t="str">
        <x:v>landfowl_shared_base</x:v>
      </x:c>
      <x:c r="O75" s="46" t="str">
        <x:v>measured_occurrence_table17</x:v>
      </x:c>
      <x:c r="P75" s="46" t="str">
        <x:v>SRC-LANDFOWL-THESIS-001</x:v>
      </x:c>
      <x:c r="Q75" s="46" t="str">
        <x:v>https://elib.tiho-hannover.de/servlets/MCRFileNodeServlet/etd_derivate_00001197/baruths_ws10.pdf</x:v>
      </x:c>
      <x:c r="R75" s="46" t="n">
        <x:v>62</x:v>
      </x:c>
      <x:c r="S75" s="46" t="str">
        <x:v>quarantined_pending_corrected_table18_transcription</x:v>
      </x:c>
      <x:c r="T75" s="46" t="str">
        <x:v>eligible_presence_cluster_base</x:v>
      </x:c>
      <x:c r="U75" s="46" t="str">
        <x:v>Direct occurrence matrix. Shared occurrence does not imply equal abundance or sensory importance.</x:v>
      </x:c>
    </x:row>
    <x:row r="76">
      <x:c r="A76" s="46" t="str">
        <x:v>LFP-0075</x:v>
      </x:c>
      <x:c r="B76" s="46" t="str">
        <x:v>partridge:roasted</x:v>
      </x:c>
      <x:c r="C76" s="46" t="str">
        <x:v>partridge</x:v>
      </x:c>
      <x:c r="D76" s="46" t="str">
        <x:v>avian</x:v>
      </x:c>
      <x:c r="E76" s="46" t="str">
        <x:v>game_bird</x:v>
      </x:c>
      <x:c r="F76" s="46" t="str">
        <x:v>roasted_landfowl</x:v>
      </x:c>
      <x:c r="G76" s="46" t="str">
        <x:v>roasted</x:v>
      </x:c>
      <x:c r="H76" s="46" t="str">
        <x:v>2-heptanone</x:v>
      </x:c>
      <x:c r="I76" s="46" t="str">
        <x:v>2-Heptanon</x:v>
      </x:c>
      <x:c r="J76" s="46" t="str">
        <x:v>110-43-0</x:v>
      </x:c>
      <x:c r="K76" s="46" t="str">
        <x:v>Carbonyls, ketones</x:v>
      </x:c>
      <x:c r="L76" s="46" t="n">
        <x:v>890</x:v>
      </x:c>
      <x:c r="M76" s="46" t="str">
        <x:v>Rhabarber, muffig</x:v>
      </x:c>
      <x:c r="N76" s="46" t="str">
        <x:v>landfowl_shared_base</x:v>
      </x:c>
      <x:c r="O76" s="46" t="str">
        <x:v>measured_occurrence_table17</x:v>
      </x:c>
      <x:c r="P76" s="46" t="str">
        <x:v>SRC-LANDFOWL-THESIS-001</x:v>
      </x:c>
      <x:c r="Q76" s="46" t="str">
        <x:v>https://elib.tiho-hannover.de/servlets/MCRFileNodeServlet/etd_derivate_00001197/baruths_ws10.pdf</x:v>
      </x:c>
      <x:c r="R76" s="46" t="n">
        <x:v>62</x:v>
      </x:c>
      <x:c r="S76" s="46" t="str">
        <x:v>quarantined_pending_corrected_table18_transcription</x:v>
      </x:c>
      <x:c r="T76" s="46" t="str">
        <x:v>eligible_presence_cluster_base</x:v>
      </x:c>
      <x:c r="U76" s="46" t="str">
        <x:v>Direct occurrence matrix. Shared occurrence does not imply equal abundance or sensory importance.</x:v>
      </x:c>
    </x:row>
    <x:row r="77">
      <x:c r="A77" s="46" t="str">
        <x:v>LFP-0076</x:v>
      </x:c>
      <x:c r="B77" s="46" t="str">
        <x:v>partridge:roasted</x:v>
      </x:c>
      <x:c r="C77" s="46" t="str">
        <x:v>partridge</x:v>
      </x:c>
      <x:c r="D77" s="46" t="str">
        <x:v>avian</x:v>
      </x:c>
      <x:c r="E77" s="46" t="str">
        <x:v>game_bird</x:v>
      </x:c>
      <x:c r="F77" s="46" t="str">
        <x:v>roasted_landfowl</x:v>
      </x:c>
      <x:c r="G77" s="46" t="str">
        <x:v>roasted</x:v>
      </x:c>
      <x:c r="H77" s="46" t="str">
        <x:v>heptanal</x:v>
      </x:c>
      <x:c r="I77" s="46" t="str">
        <x:v>Heptanal</x:v>
      </x:c>
      <x:c r="J77" s="46" t="str">
        <x:v>111-71-7</x:v>
      </x:c>
      <x:c r="K77" s="46" t="str">
        <x:v>Carbonyls, aldehydes</x:v>
      </x:c>
      <x:c r="L77" s="46" t="n">
        <x:v>901</x:v>
      </x:c>
      <x:c r="M77" s="46" t="str">
        <x:v>Fruchtig, Kartoffel</x:v>
      </x:c>
      <x:c r="N77" s="46" t="str">
        <x:v>landfowl_shared_base</x:v>
      </x:c>
      <x:c r="O77" s="46" t="str">
        <x:v>measured_occurrence_table17</x:v>
      </x:c>
      <x:c r="P77" s="46" t="str">
        <x:v>SRC-LANDFOWL-THESIS-001</x:v>
      </x:c>
      <x:c r="Q77" s="46" t="str">
        <x:v>https://elib.tiho-hannover.de/servlets/MCRFileNodeServlet/etd_derivate_00001197/baruths_ws10.pdf</x:v>
      </x:c>
      <x:c r="R77" s="46" t="n">
        <x:v>62</x:v>
      </x:c>
      <x:c r="S77" s="46" t="str">
        <x:v>quarantined_pending_corrected_table18_transcription</x:v>
      </x:c>
      <x:c r="T77" s="46" t="str">
        <x:v>eligible_presence_cluster_base</x:v>
      </x:c>
      <x:c r="U77" s="46" t="str">
        <x:v>Direct occurrence matrix. Shared occurrence does not imply equal abundance or sensory importance.</x:v>
      </x:c>
    </x:row>
    <x:row r="78">
      <x:c r="A78" s="46" t="str">
        <x:v>LFP-0077</x:v>
      </x:c>
      <x:c r="B78" s="46" t="str">
        <x:v>partridge:roasted</x:v>
      </x:c>
      <x:c r="C78" s="46" t="str">
        <x:v>partridge</x:v>
      </x:c>
      <x:c r="D78" s="46" t="str">
        <x:v>avian</x:v>
      </x:c>
      <x:c r="E78" s="46" t="str">
        <x:v>game_bird</x:v>
      </x:c>
      <x:c r="F78" s="46" t="str">
        <x:v>roasted_landfowl</x:v>
      </x:c>
      <x:c r="G78" s="46" t="str">
        <x:v>roasted</x:v>
      </x:c>
      <x:c r="H78" s="46" t="str">
        <x:v>(E)-2-heptenal</x:v>
      </x:c>
      <x:c r="I78" s="46" t="str">
        <x:v>2-(E)-Heptenal</x:v>
      </x:c>
      <x:c r="J78" s="46" t="str">
        <x:v>18829-55-5</x:v>
      </x:c>
      <x:c r="K78" s="46" t="str">
        <x:v>Carbonyls, aldehydes</x:v>
      </x:c>
      <x:c r="L78" s="46" t="n">
        <x:v>966</x:v>
      </x:c>
      <x:c r="M78" s="46" t="str">
        <x:v>Mandel, Zimt</x:v>
      </x:c>
      <x:c r="N78" s="46" t="str">
        <x:v>landfowl_shared_base</x:v>
      </x:c>
      <x:c r="O78" s="46" t="str">
        <x:v>measured_occurrence_table17</x:v>
      </x:c>
      <x:c r="P78" s="46" t="str">
        <x:v>SRC-LANDFOWL-THESIS-001</x:v>
      </x:c>
      <x:c r="Q78" s="46" t="str">
        <x:v>https://elib.tiho-hannover.de/servlets/MCRFileNodeServlet/etd_derivate_00001197/baruths_ws10.pdf</x:v>
      </x:c>
      <x:c r="R78" s="46" t="n">
        <x:v>62</x:v>
      </x:c>
      <x:c r="S78" s="46" t="str">
        <x:v>quarantined_pending_corrected_table18_transcription</x:v>
      </x:c>
      <x:c r="T78" s="46" t="str">
        <x:v>eligible_presence_cluster_base</x:v>
      </x:c>
      <x:c r="U78" s="46" t="str">
        <x:v>Direct occurrence matrix. Shared occurrence does not imply equal abundance or sensory importance.</x:v>
      </x:c>
    </x:row>
    <x:row r="79">
      <x:c r="A79" s="46" t="str">
        <x:v>LFP-0078</x:v>
      </x:c>
      <x:c r="B79" s="46" t="str">
        <x:v>partridge:roasted</x:v>
      </x:c>
      <x:c r="C79" s="46" t="str">
        <x:v>partridge</x:v>
      </x:c>
      <x:c r="D79" s="46" t="str">
        <x:v>avian</x:v>
      </x:c>
      <x:c r="E79" s="46" t="str">
        <x:v>game_bird</x:v>
      </x:c>
      <x:c r="F79" s="46" t="str">
        <x:v>roasted_landfowl</x:v>
      </x:c>
      <x:c r="G79" s="46" t="str">
        <x:v>roasted</x:v>
      </x:c>
      <x:c r="H79" s="46" t="str">
        <x:v>benzaldehyde</x:v>
      </x:c>
      <x:c r="I79" s="46" t="str">
        <x:v>Benzaldehyd</x:v>
      </x:c>
      <x:c r="J79" s="46" t="str">
        <x:v>100-52-7</x:v>
      </x:c>
      <x:c r="K79" s="46" t="str">
        <x:v>Carbonyls, aldehydes</x:v>
      </x:c>
      <x:c r="L79" s="46" t="n">
        <x:v>968</x:v>
      </x:c>
      <x:c r="M79" s="46" t="str">
        <x:v>n.d.</x:v>
      </x:c>
      <x:c r="N79" s="46" t="str">
        <x:v>landfowl_shared_base</x:v>
      </x:c>
      <x:c r="O79" s="46" t="str">
        <x:v>measured_occurrence_table17</x:v>
      </x:c>
      <x:c r="P79" s="46" t="str">
        <x:v>SRC-LANDFOWL-THESIS-001</x:v>
      </x:c>
      <x:c r="Q79" s="46" t="str">
        <x:v>https://elib.tiho-hannover.de/servlets/MCRFileNodeServlet/etd_derivate_00001197/baruths_ws10.pdf</x:v>
      </x:c>
      <x:c r="R79" s="46" t="n">
        <x:v>62</x:v>
      </x:c>
      <x:c r="S79" s="46" t="str">
        <x:v>quarantined_pending_corrected_table18_transcription</x:v>
      </x:c>
      <x:c r="T79" s="46" t="str">
        <x:v>eligible_presence_cluster_base</x:v>
      </x:c>
      <x:c r="U79" s="46" t="str">
        <x:v>Direct occurrence matrix. Shared occurrence does not imply equal abundance or sensory importance.</x:v>
      </x:c>
    </x:row>
    <x:row r="80">
      <x:c r="A80" s="46" t="str">
        <x:v>LFP-0079</x:v>
      </x:c>
      <x:c r="B80" s="46" t="str">
        <x:v>partridge:roasted</x:v>
      </x:c>
      <x:c r="C80" s="46" t="str">
        <x:v>partridge</x:v>
      </x:c>
      <x:c r="D80" s="46" t="str">
        <x:v>avian</x:v>
      </x:c>
      <x:c r="E80" s="46" t="str">
        <x:v>game_bird</x:v>
      </x:c>
      <x:c r="F80" s="46" t="str">
        <x:v>roasted_landfowl</x:v>
      </x:c>
      <x:c r="G80" s="46" t="str">
        <x:v>roasted</x:v>
      </x:c>
      <x:c r="H80" s="46" t="str">
        <x:v>1-heptanol</x:v>
      </x:c>
      <x:c r="I80" s="46" t="str">
        <x:v>1-Heptanol</x:v>
      </x:c>
      <x:c r="J80" s="46" t="str">
        <x:v>111-70-6</x:v>
      </x:c>
      <x:c r="K80" s="46" t="str">
        <x:v>Alcohols</x:v>
      </x:c>
      <x:c r="L80" s="46" t="n">
        <x:v>974</x:v>
      </x:c>
      <x:c r="M80" s="46" t="str">
        <x:v>n.d.</x:v>
      </x:c>
      <x:c r="N80" s="46" t="str">
        <x:v>landfowl_shared_base</x:v>
      </x:c>
      <x:c r="O80" s="46" t="str">
        <x:v>measured_occurrence_table17</x:v>
      </x:c>
      <x:c r="P80" s="46" t="str">
        <x:v>SRC-LANDFOWL-THESIS-001</x:v>
      </x:c>
      <x:c r="Q80" s="46" t="str">
        <x:v>https://elib.tiho-hannover.de/servlets/MCRFileNodeServlet/etd_derivate_00001197/baruths_ws10.pdf</x:v>
      </x:c>
      <x:c r="R80" s="46" t="n">
        <x:v>62</x:v>
      </x:c>
      <x:c r="S80" s="46" t="str">
        <x:v>quarantined_pending_corrected_table18_transcription</x:v>
      </x:c>
      <x:c r="T80" s="46" t="str">
        <x:v>eligible_presence_cluster_base</x:v>
      </x:c>
      <x:c r="U80" s="46" t="str">
        <x:v>Direct occurrence matrix. Shared occurrence does not imply equal abundance or sensory importance.</x:v>
      </x:c>
    </x:row>
    <x:row r="81">
      <x:c r="A81" s="46" t="str">
        <x:v>LFP-0080</x:v>
      </x:c>
      <x:c r="B81" s="46" t="str">
        <x:v>partridge:roasted</x:v>
      </x:c>
      <x:c r="C81" s="46" t="str">
        <x:v>partridge</x:v>
      </x:c>
      <x:c r="D81" s="46" t="str">
        <x:v>avian</x:v>
      </x:c>
      <x:c r="E81" s="46" t="str">
        <x:v>game_bird</x:v>
      </x:c>
      <x:c r="F81" s="46" t="str">
        <x:v>roasted_landfowl</x:v>
      </x:c>
      <x:c r="G81" s="46" t="str">
        <x:v>roasted</x:v>
      </x:c>
      <x:c r="H81" s="46" t="str">
        <x:v>1-octen-3-ol</x:v>
      </x:c>
      <x:c r="I81" s="46" t="str">
        <x:v>1-Octen-3-ol</x:v>
      </x:c>
      <x:c r="J81" s="46" t="str">
        <x:v>3391-86-4</x:v>
      </x:c>
      <x:c r="K81" s="46" t="str">
        <x:v>Alcohols</x:v>
      </x:c>
      <x:c r="L81" s="46" t="n">
        <x:v>982</x:v>
      </x:c>
      <x:c r="M81" s="46" t="str">
        <x:v>Champignon</x:v>
      </x:c>
      <x:c r="N81" s="46" t="str">
        <x:v>landfowl_shared_base</x:v>
      </x:c>
      <x:c r="O81" s="46" t="str">
        <x:v>measured_occurrence_table17</x:v>
      </x:c>
      <x:c r="P81" s="46" t="str">
        <x:v>SRC-LANDFOWL-THESIS-001</x:v>
      </x:c>
      <x:c r="Q81" s="46" t="str">
        <x:v>https://elib.tiho-hannover.de/servlets/MCRFileNodeServlet/etd_derivate_00001197/baruths_ws10.pdf</x:v>
      </x:c>
      <x:c r="R81" s="46" t="n">
        <x:v>62</x:v>
      </x:c>
      <x:c r="S81" s="46" t="str">
        <x:v>quarantined_pending_corrected_table18_transcription</x:v>
      </x:c>
      <x:c r="T81" s="46" t="str">
        <x:v>eligible_presence_cluster_base</x:v>
      </x:c>
      <x:c r="U81" s="46" t="str">
        <x:v>Direct occurrence matrix. Shared occurrence does not imply equal abundance or sensory importance.</x:v>
      </x:c>
    </x:row>
    <x:row r="82">
      <x:c r="A82" s="46" t="str">
        <x:v>LFP-0081</x:v>
      </x:c>
      <x:c r="B82" s="46" t="str">
        <x:v>partridge:roasted</x:v>
      </x:c>
      <x:c r="C82" s="46" t="str">
        <x:v>partridge</x:v>
      </x:c>
      <x:c r="D82" s="46" t="str">
        <x:v>avian</x:v>
      </x:c>
      <x:c r="E82" s="46" t="str">
        <x:v>game_bird</x:v>
      </x:c>
      <x:c r="F82" s="46" t="str">
        <x:v>roasted_landfowl</x:v>
      </x:c>
      <x:c r="G82" s="46" t="str">
        <x:v>roasted</x:v>
      </x:c>
      <x:c r="H82" s="46" t="str">
        <x:v>3-nonen-2-one</x:v>
      </x:c>
      <x:c r="I82" s="46" t="str">
        <x:v>3-Nonen-2-on</x:v>
      </x:c>
      <x:c r="J82" s="46" t="str">
        <x:v>14309-57-0</x:v>
      </x:c>
      <x:c r="K82" s="46" t="str">
        <x:v>Carbonyls, ketones</x:v>
      </x:c>
      <x:c r="L82" s="46" t="n">
        <x:v>987</x:v>
      </x:c>
      <x:c r="M82" s="46" t="str">
        <x:v>n.d.</x:v>
      </x:c>
      <x:c r="N82" s="46" t="str">
        <x:v>landfowl_shared_base</x:v>
      </x:c>
      <x:c r="O82" s="46" t="str">
        <x:v>measured_occurrence_table17</x:v>
      </x:c>
      <x:c r="P82" s="46" t="str">
        <x:v>SRC-LANDFOWL-THESIS-001</x:v>
      </x:c>
      <x:c r="Q82" s="46" t="str">
        <x:v>https://elib.tiho-hannover.de/servlets/MCRFileNodeServlet/etd_derivate_00001197/baruths_ws10.pdf</x:v>
      </x:c>
      <x:c r="R82" s="46" t="n">
        <x:v>62</x:v>
      </x:c>
      <x:c r="S82" s="46" t="str">
        <x:v>quarantined_pending_corrected_table18_transcription</x:v>
      </x:c>
      <x:c r="T82" s="46" t="str">
        <x:v>eligible_presence_cluster_base</x:v>
      </x:c>
      <x:c r="U82" s="46" t="str">
        <x:v>Direct occurrence matrix. Shared occurrence does not imply equal abundance or sensory importance.</x:v>
      </x:c>
    </x:row>
    <x:row r="83">
      <x:c r="A83" s="46" t="str">
        <x:v>LFP-0082</x:v>
      </x:c>
      <x:c r="B83" s="46" t="str">
        <x:v>partridge:roasted</x:v>
      </x:c>
      <x:c r="C83" s="46" t="str">
        <x:v>partridge</x:v>
      </x:c>
      <x:c r="D83" s="46" t="str">
        <x:v>avian</x:v>
      </x:c>
      <x:c r="E83" s="46" t="str">
        <x:v>game_bird</x:v>
      </x:c>
      <x:c r="F83" s="46" t="str">
        <x:v>roasted_landfowl</x:v>
      </x:c>
      <x:c r="G83" s="46" t="str">
        <x:v>roasted</x:v>
      </x:c>
      <x:c r="H83" s="46" t="str">
        <x:v>(E,E)-2,4-heptadienal</x:v>
      </x:c>
      <x:c r="I83" s="46" t="str">
        <x:v>2,4-(E,E)-Heptadienal</x:v>
      </x:c>
      <x:c r="J83" s="46" t="str">
        <x:v>4313-03-5</x:v>
      </x:c>
      <x:c r="K83" s="46" t="str">
        <x:v>Carbonyls, aldehydes</x:v>
      </x:c>
      <x:c r="L83" s="46" t="n">
        <x:v>996</x:v>
      </x:c>
      <x:c r="M83" s="46" t="str">
        <x:v>n.d.</x:v>
      </x:c>
      <x:c r="N83" s="46" t="str">
        <x:v>landfowl_shared_base</x:v>
      </x:c>
      <x:c r="O83" s="46" t="str">
        <x:v>measured_occurrence_table17</x:v>
      </x:c>
      <x:c r="P83" s="46" t="str">
        <x:v>SRC-LANDFOWL-THESIS-001</x:v>
      </x:c>
      <x:c r="Q83" s="46" t="str">
        <x:v>https://elib.tiho-hannover.de/servlets/MCRFileNodeServlet/etd_derivate_00001197/baruths_ws10.pdf</x:v>
      </x:c>
      <x:c r="R83" s="46" t="n">
        <x:v>62</x:v>
      </x:c>
      <x:c r="S83" s="46" t="str">
        <x:v>quarantined_pending_corrected_table18_transcription</x:v>
      </x:c>
      <x:c r="T83" s="46" t="str">
        <x:v>eligible_presence_cluster_base</x:v>
      </x:c>
      <x:c r="U83" s="46" t="str">
        <x:v>Direct occurrence matrix. Shared occurrence does not imply equal abundance or sensory importance.</x:v>
      </x:c>
    </x:row>
    <x:row r="84">
      <x:c r="A84" s="46" t="str">
        <x:v>LFP-0083</x:v>
      </x:c>
      <x:c r="B84" s="46" t="str">
        <x:v>partridge:roasted</x:v>
      </x:c>
      <x:c r="C84" s="46" t="str">
        <x:v>partridge</x:v>
      </x:c>
      <x:c r="D84" s="46" t="str">
        <x:v>avian</x:v>
      </x:c>
      <x:c r="E84" s="46" t="str">
        <x:v>game_bird</x:v>
      </x:c>
      <x:c r="F84" s="46" t="str">
        <x:v>roasted_landfowl</x:v>
      </x:c>
      <x:c r="G84" s="46" t="str">
        <x:v>roasted</x:v>
      </x:c>
      <x:c r="H84" s="46" t="str">
        <x:v>octanal</x:v>
      </x:c>
      <x:c r="I84" s="46" t="str">
        <x:v>Octanal</x:v>
      </x:c>
      <x:c r="J84" s="46" t="str">
        <x:v>124-13-0</x:v>
      </x:c>
      <x:c r="K84" s="46" t="str">
        <x:v>Carbonyls, aldehydes</x:v>
      </x:c>
      <x:c r="L84" s="46" t="n">
        <x:v>1002</x:v>
      </x:c>
      <x:c r="M84" s="46" t="str">
        <x:v>Blumig, stechend</x:v>
      </x:c>
      <x:c r="N84" s="46" t="str">
        <x:v>landfowl_shared_base</x:v>
      </x:c>
      <x:c r="O84" s="46" t="str">
        <x:v>measured_occurrence_table17</x:v>
      </x:c>
      <x:c r="P84" s="46" t="str">
        <x:v>SRC-LANDFOWL-THESIS-001</x:v>
      </x:c>
      <x:c r="Q84" s="46" t="str">
        <x:v>https://elib.tiho-hannover.de/servlets/MCRFileNodeServlet/etd_derivate_00001197/baruths_ws10.pdf</x:v>
      </x:c>
      <x:c r="R84" s="46" t="n">
        <x:v>62</x:v>
      </x:c>
      <x:c r="S84" s="46" t="str">
        <x:v>quarantined_pending_corrected_table18_transcription</x:v>
      </x:c>
      <x:c r="T84" s="46" t="str">
        <x:v>eligible_presence_cluster_base</x:v>
      </x:c>
      <x:c r="U84" s="46" t="str">
        <x:v>Direct occurrence matrix. Shared occurrence does not imply equal abundance or sensory importance.</x:v>
      </x:c>
    </x:row>
    <x:row r="85">
      <x:c r="A85" s="46" t="str">
        <x:v>LFP-0084</x:v>
      </x:c>
      <x:c r="B85" s="46" t="str">
        <x:v>partridge:roasted</x:v>
      </x:c>
      <x:c r="C85" s="46" t="str">
        <x:v>partridge</x:v>
      </x:c>
      <x:c r="D85" s="46" t="str">
        <x:v>avian</x:v>
      </x:c>
      <x:c r="E85" s="46" t="str">
        <x:v>game_bird</x:v>
      </x:c>
      <x:c r="F85" s="46" t="str">
        <x:v>roasted_landfowl</x:v>
      </x:c>
      <x:c r="G85" s="46" t="str">
        <x:v>roasted</x:v>
      </x:c>
      <x:c r="H85" s="46" t="str">
        <x:v>(E,Z)-2,4-heptadienal</x:v>
      </x:c>
      <x:c r="I85" s="46" t="str">
        <x:v>2,4-(E,Z)-Heptadienal</x:v>
      </x:c>
      <x:c r="J85" s="46" t="str">
        <x:v>4313-02-4</x:v>
      </x:c>
      <x:c r="K85" s="46" t="str">
        <x:v>Carbonyls, aldehydes</x:v>
      </x:c>
      <x:c r="L85" s="46" t="n">
        <x:v>1011</x:v>
      </x:c>
      <x:c r="M85" s="46" t="str">
        <x:v>geröstet, Zimt</x:v>
      </x:c>
      <x:c r="N85" s="46" t="str">
        <x:v>landfowl_shared_base</x:v>
      </x:c>
      <x:c r="O85" s="46" t="str">
        <x:v>measured_occurrence_table17</x:v>
      </x:c>
      <x:c r="P85" s="46" t="str">
        <x:v>SRC-LANDFOWL-THESIS-001</x:v>
      </x:c>
      <x:c r="Q85" s="46" t="str">
        <x:v>https://elib.tiho-hannover.de/servlets/MCRFileNodeServlet/etd_derivate_00001197/baruths_ws10.pdf</x:v>
      </x:c>
      <x:c r="R85" s="46" t="n">
        <x:v>62</x:v>
      </x:c>
      <x:c r="S85" s="46" t="str">
        <x:v>quarantined_pending_corrected_table18_transcription</x:v>
      </x:c>
      <x:c r="T85" s="46" t="str">
        <x:v>eligible_presence_cluster_base</x:v>
      </x:c>
      <x:c r="U85" s="46" t="str">
        <x:v>Direct occurrence matrix. Shared occurrence does not imply equal abundance or sensory importance.</x:v>
      </x:c>
    </x:row>
    <x:row r="86">
      <x:c r="A86" s="46" t="str">
        <x:v>LFP-0085</x:v>
      </x:c>
      <x:c r="B86" s="46" t="str">
        <x:v>partridge:roasted</x:v>
      </x:c>
      <x:c r="C86" s="46" t="str">
        <x:v>partridge</x:v>
      </x:c>
      <x:c r="D86" s="46" t="str">
        <x:v>avian</x:v>
      </x:c>
      <x:c r="E86" s="46" t="str">
        <x:v>game_bird</x:v>
      </x:c>
      <x:c r="F86" s="46" t="str">
        <x:v>roasted_landfowl</x:v>
      </x:c>
      <x:c r="G86" s="46" t="str">
        <x:v>roasted</x:v>
      </x:c>
      <x:c r="H86" s="46" t="str">
        <x:v>(E)-2-octenal</x:v>
      </x:c>
      <x:c r="I86" s="46" t="str">
        <x:v>2-(E)-Octenal</x:v>
      </x:c>
      <x:c r="J86" s="46" t="str">
        <x:v>2548-87-0</x:v>
      </x:c>
      <x:c r="K86" s="46" t="str">
        <x:v>Carbonyls, aldehydes</x:v>
      </x:c>
      <x:c r="L86" s="46" t="n">
        <x:v>1050</x:v>
      </x:c>
      <x:c r="M86" s="46" t="str">
        <x:v>Feuchte Erde</x:v>
      </x:c>
      <x:c r="N86" s="46" t="str">
        <x:v>landfowl_shared_base</x:v>
      </x:c>
      <x:c r="O86" s="46" t="str">
        <x:v>measured_occurrence_table17</x:v>
      </x:c>
      <x:c r="P86" s="46" t="str">
        <x:v>SRC-LANDFOWL-THESIS-001</x:v>
      </x:c>
      <x:c r="Q86" s="46" t="str">
        <x:v>https://elib.tiho-hannover.de/servlets/MCRFileNodeServlet/etd_derivate_00001197/baruths_ws10.pdf</x:v>
      </x:c>
      <x:c r="R86" s="46" t="n">
        <x:v>62</x:v>
      </x:c>
      <x:c r="S86" s="46" t="str">
        <x:v>quarantined_pending_corrected_table18_transcription</x:v>
      </x:c>
      <x:c r="T86" s="46" t="str">
        <x:v>eligible_presence_cluster_base</x:v>
      </x:c>
      <x:c r="U86" s="46" t="str">
        <x:v>Direct occurrence matrix. Shared occurrence does not imply equal abundance or sensory importance.</x:v>
      </x:c>
    </x:row>
    <x:row r="87">
      <x:c r="A87" s="46" t="str">
        <x:v>LFP-0086</x:v>
      </x:c>
      <x:c r="B87" s="46" t="str">
        <x:v>partridge:roasted</x:v>
      </x:c>
      <x:c r="C87" s="46" t="str">
        <x:v>partridge</x:v>
      </x:c>
      <x:c r="D87" s="46" t="str">
        <x:v>avian</x:v>
      </x:c>
      <x:c r="E87" s="46" t="str">
        <x:v>game_bird</x:v>
      </x:c>
      <x:c r="F87" s="46" t="str">
        <x:v>roasted_landfowl</x:v>
      </x:c>
      <x:c r="G87" s="46" t="str">
        <x:v>roasted</x:v>
      </x:c>
      <x:c r="H87" s="46" t="str">
        <x:v>1-octanol</x:v>
      </x:c>
      <x:c r="I87" s="46" t="str">
        <x:v>1-Octanol</x:v>
      </x:c>
      <x:c r="J87" s="46" t="str">
        <x:v>111-87-5</x:v>
      </x:c>
      <x:c r="K87" s="46" t="str">
        <x:v>Alcohols</x:v>
      </x:c>
      <x:c r="L87" s="46" t="n">
        <x:v>1073</x:v>
      </x:c>
      <x:c r="M87" s="46" t="str">
        <x:v>Butter, fettig</x:v>
      </x:c>
      <x:c r="N87" s="46" t="str">
        <x:v>landfowl_shared_base</x:v>
      </x:c>
      <x:c r="O87" s="46" t="str">
        <x:v>measured_occurrence_table17</x:v>
      </x:c>
      <x:c r="P87" s="46" t="str">
        <x:v>SRC-LANDFOWL-THESIS-001</x:v>
      </x:c>
      <x:c r="Q87" s="46" t="str">
        <x:v>https://elib.tiho-hannover.de/servlets/MCRFileNodeServlet/etd_derivate_00001197/baruths_ws10.pdf</x:v>
      </x:c>
      <x:c r="R87" s="46" t="n">
        <x:v>62</x:v>
      </x:c>
      <x:c r="S87" s="46" t="str">
        <x:v>quarantined_pending_corrected_table18_transcription</x:v>
      </x:c>
      <x:c r="T87" s="46" t="str">
        <x:v>eligible_presence_cluster_base</x:v>
      </x:c>
      <x:c r="U87" s="46" t="str">
        <x:v>Direct occurrence matrix. Shared occurrence does not imply equal abundance or sensory importance.</x:v>
      </x:c>
    </x:row>
    <x:row r="88">
      <x:c r="A88" s="46" t="str">
        <x:v>LFP-0087</x:v>
      </x:c>
      <x:c r="B88" s="46" t="str">
        <x:v>partridge:roasted</x:v>
      </x:c>
      <x:c r="C88" s="46" t="str">
        <x:v>partridge</x:v>
      </x:c>
      <x:c r="D88" s="46" t="str">
        <x:v>avian</x:v>
      </x:c>
      <x:c r="E88" s="46" t="str">
        <x:v>game_bird</x:v>
      </x:c>
      <x:c r="F88" s="46" t="str">
        <x:v>roasted_landfowl</x:v>
      </x:c>
      <x:c r="G88" s="46" t="str">
        <x:v>roasted</x:v>
      </x:c>
      <x:c r="H88" s="46" t="str">
        <x:v>undecane</x:v>
      </x:c>
      <x:c r="I88" s="46" t="str">
        <x:v>Undecan</x:v>
      </x:c>
      <x:c r="J88" s="46" t="str">
        <x:v>1120-21-4</x:v>
      </x:c>
      <x:c r="K88" s="46" t="str">
        <x:v>Hydrocarbons</x:v>
      </x:c>
      <x:c r="L88" s="46" t="n">
        <x:v>1098</x:v>
      </x:c>
      <x:c r="M88" s="46" t="str">
        <x:v>n.d.</x:v>
      </x:c>
      <x:c r="N88" s="46" t="str">
        <x:v>landfowl_shared_base</x:v>
      </x:c>
      <x:c r="O88" s="46" t="str">
        <x:v>measured_occurrence_table17</x:v>
      </x:c>
      <x:c r="P88" s="46" t="str">
        <x:v>SRC-LANDFOWL-THESIS-001</x:v>
      </x:c>
      <x:c r="Q88" s="46" t="str">
        <x:v>https://elib.tiho-hannover.de/servlets/MCRFileNodeServlet/etd_derivate_00001197/baruths_ws10.pdf</x:v>
      </x:c>
      <x:c r="R88" s="46" t="n">
        <x:v>62</x:v>
      </x:c>
      <x:c r="S88" s="46" t="str">
        <x:v>quarantined_pending_corrected_table18_transcription</x:v>
      </x:c>
      <x:c r="T88" s="46" t="str">
        <x:v>eligible_presence_cluster_base</x:v>
      </x:c>
      <x:c r="U88" s="46" t="str">
        <x:v>Direct occurrence matrix. Shared occurrence does not imply equal abundance or sensory importance.</x:v>
      </x:c>
    </x:row>
    <x:row r="89">
      <x:c r="A89" s="46" t="str">
        <x:v>LFP-0088</x:v>
      </x:c>
      <x:c r="B89" s="46" t="str">
        <x:v>partridge:roasted</x:v>
      </x:c>
      <x:c r="C89" s="46" t="str">
        <x:v>partridge</x:v>
      </x:c>
      <x:c r="D89" s="46" t="str">
        <x:v>avian</x:v>
      </x:c>
      <x:c r="E89" s="46" t="str">
        <x:v>game_bird</x:v>
      </x:c>
      <x:c r="F89" s="46" t="str">
        <x:v>roasted_landfowl</x:v>
      </x:c>
      <x:c r="G89" s="46" t="str">
        <x:v>roasted</x:v>
      </x:c>
      <x:c r="H89" s="46" t="str">
        <x:v>nonanal</x:v>
      </x:c>
      <x:c r="I89" s="46" t="str">
        <x:v>Nonanal</x:v>
      </x:c>
      <x:c r="J89" s="46" t="str">
        <x:v>124-19-6</x:v>
      </x:c>
      <x:c r="K89" s="46" t="str">
        <x:v>Carbonyls, aldehydes</x:v>
      </x:c>
      <x:c r="L89" s="46" t="n">
        <x:v>1105</x:v>
      </x:c>
      <x:c r="M89" s="46" t="str">
        <x:v>Kohle, Rauch</x:v>
      </x:c>
      <x:c r="N89" s="46" t="str">
        <x:v>landfowl_shared_base</x:v>
      </x:c>
      <x:c r="O89" s="46" t="str">
        <x:v>measured_occurrence_table17</x:v>
      </x:c>
      <x:c r="P89" s="46" t="str">
        <x:v>SRC-LANDFOWL-THESIS-001</x:v>
      </x:c>
      <x:c r="Q89" s="46" t="str">
        <x:v>https://elib.tiho-hannover.de/servlets/MCRFileNodeServlet/etd_derivate_00001197/baruths_ws10.pdf</x:v>
      </x:c>
      <x:c r="R89" s="46" t="n">
        <x:v>62</x:v>
      </x:c>
      <x:c r="S89" s="46" t="str">
        <x:v>quarantined_pending_corrected_table18_transcription</x:v>
      </x:c>
      <x:c r="T89" s="46" t="str">
        <x:v>eligible_presence_cluster_base</x:v>
      </x:c>
      <x:c r="U89" s="46" t="str">
        <x:v>Direct occurrence matrix. Shared occurrence does not imply equal abundance or sensory importance.</x:v>
      </x:c>
    </x:row>
    <x:row r="90">
      <x:c r="A90" s="46" t="str">
        <x:v>LFP-0089</x:v>
      </x:c>
      <x:c r="B90" s="46" t="str">
        <x:v>partridge:roasted</x:v>
      </x:c>
      <x:c r="C90" s="46" t="str">
        <x:v>partridge</x:v>
      </x:c>
      <x:c r="D90" s="46" t="str">
        <x:v>avian</x:v>
      </x:c>
      <x:c r="E90" s="46" t="str">
        <x:v>game_bird</x:v>
      </x:c>
      <x:c r="F90" s="46" t="str">
        <x:v>roasted_landfowl</x:v>
      </x:c>
      <x:c r="G90" s="46" t="str">
        <x:v>roasted</x:v>
      </x:c>
      <x:c r="H90" s="46" t="str">
        <x:v>(E)-2-nonenal</x:v>
      </x:c>
      <x:c r="I90" s="46" t="str">
        <x:v>2-(E)-Nonenal</x:v>
      </x:c>
      <x:c r="J90" s="46" t="str">
        <x:v>18829-56-6</x:v>
      </x:c>
      <x:c r="K90" s="46" t="str">
        <x:v>Carbonyls, aldehydes</x:v>
      </x:c>
      <x:c r="L90" s="46" t="n">
        <x:v>1162</x:v>
      </x:c>
      <x:c r="M90" s="46" t="str">
        <x:v>Lindenblüten</x:v>
      </x:c>
      <x:c r="N90" s="46" t="str">
        <x:v>landfowl_shared_base</x:v>
      </x:c>
      <x:c r="O90" s="46" t="str">
        <x:v>measured_occurrence_table17</x:v>
      </x:c>
      <x:c r="P90" s="46" t="str">
        <x:v>SRC-LANDFOWL-THESIS-001</x:v>
      </x:c>
      <x:c r="Q90" s="46" t="str">
        <x:v>https://elib.tiho-hannover.de/servlets/MCRFileNodeServlet/etd_derivate_00001197/baruths_ws10.pdf</x:v>
      </x:c>
      <x:c r="R90" s="46" t="n">
        <x:v>62</x:v>
      </x:c>
      <x:c r="S90" s="46" t="str">
        <x:v>quarantined_pending_corrected_table18_transcription</x:v>
      </x:c>
      <x:c r="T90" s="46" t="str">
        <x:v>eligible_presence_cluster_base</x:v>
      </x:c>
      <x:c r="U90" s="46" t="str">
        <x:v>Direct occurrence matrix. Shared occurrence does not imply equal abundance or sensory importance.</x:v>
      </x:c>
    </x:row>
    <x:row r="91">
      <x:c r="A91" s="46" t="str">
        <x:v>LFP-0090</x:v>
      </x:c>
      <x:c r="B91" s="46" t="str">
        <x:v>partridge:roasted</x:v>
      </x:c>
      <x:c r="C91" s="46" t="str">
        <x:v>partridge</x:v>
      </x:c>
      <x:c r="D91" s="46" t="str">
        <x:v>avian</x:v>
      </x:c>
      <x:c r="E91" s="46" t="str">
        <x:v>game_bird</x:v>
      </x:c>
      <x:c r="F91" s="46" t="str">
        <x:v>roasted_landfowl</x:v>
      </x:c>
      <x:c r="G91" s="46" t="str">
        <x:v>roasted</x:v>
      </x:c>
      <x:c r="H91" s="46" t="str">
        <x:v>1-nonanol</x:v>
      </x:c>
      <x:c r="I91" s="46" t="str">
        <x:v>1-Nonanol</x:v>
      </x:c>
      <x:c r="J91" s="46" t="str">
        <x:v>143-08-8</x:v>
      </x:c>
      <x:c r="K91" s="46" t="str">
        <x:v>Alcohols</x:v>
      </x:c>
      <x:c r="L91" s="46" t="n">
        <x:v>1172</x:v>
      </x:c>
      <x:c r="M91" s="46" t="str">
        <x:v>n.d.</x:v>
      </x:c>
      <x:c r="N91" s="46" t="str">
        <x:v>landfowl_shared_base</x:v>
      </x:c>
      <x:c r="O91" s="46" t="str">
        <x:v>measured_occurrence_table17</x:v>
      </x:c>
      <x:c r="P91" s="46" t="str">
        <x:v>SRC-LANDFOWL-THESIS-001</x:v>
      </x:c>
      <x:c r="Q91" s="46" t="str">
        <x:v>https://elib.tiho-hannover.de/servlets/MCRFileNodeServlet/etd_derivate_00001197/baruths_ws10.pdf</x:v>
      </x:c>
      <x:c r="R91" s="46" t="n">
        <x:v>62</x:v>
      </x:c>
      <x:c r="S91" s="46" t="str">
        <x:v>quarantined_pending_corrected_table18_transcription</x:v>
      </x:c>
      <x:c r="T91" s="46" t="str">
        <x:v>eligible_presence_cluster_base</x:v>
      </x:c>
      <x:c r="U91" s="46" t="str">
        <x:v>Direct occurrence matrix. Shared occurrence does not imply equal abundance or sensory importance.</x:v>
      </x:c>
    </x:row>
    <x:row r="92">
      <x:c r="A92" s="46" t="str">
        <x:v>LFP-0091</x:v>
      </x:c>
      <x:c r="B92" s="46" t="str">
        <x:v>partridge:roasted</x:v>
      </x:c>
      <x:c r="C92" s="46" t="str">
        <x:v>partridge</x:v>
      </x:c>
      <x:c r="D92" s="46" t="str">
        <x:v>avian</x:v>
      </x:c>
      <x:c r="E92" s="46" t="str">
        <x:v>game_bird</x:v>
      </x:c>
      <x:c r="F92" s="46" t="str">
        <x:v>roasted_landfowl</x:v>
      </x:c>
      <x:c r="G92" s="46" t="str">
        <x:v>roasted</x:v>
      </x:c>
      <x:c r="H92" s="46" t="str">
        <x:v>dodecane</x:v>
      </x:c>
      <x:c r="I92" s="46" t="str">
        <x:v>Dodecan</x:v>
      </x:c>
      <x:c r="J92" s="46" t="str">
        <x:v>112-40-3</x:v>
      </x:c>
      <x:c r="K92" s="46" t="str">
        <x:v>Hydrocarbons</x:v>
      </x:c>
      <x:c r="L92" s="46" t="n">
        <x:v>1200</x:v>
      </x:c>
      <x:c r="M92" s="46" t="str">
        <x:v>n.d.</x:v>
      </x:c>
      <x:c r="N92" s="46" t="str">
        <x:v>landfowl_shared_base</x:v>
      </x:c>
      <x:c r="O92" s="46" t="str">
        <x:v>measured_occurrence_table17</x:v>
      </x:c>
      <x:c r="P92" s="46" t="str">
        <x:v>SRC-LANDFOWL-THESIS-001</x:v>
      </x:c>
      <x:c r="Q92" s="46" t="str">
        <x:v>https://elib.tiho-hannover.de/servlets/MCRFileNodeServlet/etd_derivate_00001197/baruths_ws10.pdf</x:v>
      </x:c>
      <x:c r="R92" s="46" t="n">
        <x:v>62</x:v>
      </x:c>
      <x:c r="S92" s="46" t="str">
        <x:v>quarantined_pending_corrected_table18_transcription</x:v>
      </x:c>
      <x:c r="T92" s="46" t="str">
        <x:v>eligible_presence_cluster_base</x:v>
      </x:c>
      <x:c r="U92" s="46" t="str">
        <x:v>Direct occurrence matrix. Shared occurrence does not imply equal abundance or sensory importance.</x:v>
      </x:c>
    </x:row>
    <x:row r="93">
      <x:c r="A93" s="46" t="str">
        <x:v>LFP-0092</x:v>
      </x:c>
      <x:c r="B93" s="46" t="str">
        <x:v>partridge:roasted</x:v>
      </x:c>
      <x:c r="C93" s="46" t="str">
        <x:v>partridge</x:v>
      </x:c>
      <x:c r="D93" s="46" t="str">
        <x:v>avian</x:v>
      </x:c>
      <x:c r="E93" s="46" t="str">
        <x:v>game_bird</x:v>
      </x:c>
      <x:c r="F93" s="46" t="str">
        <x:v>roasted_landfowl</x:v>
      </x:c>
      <x:c r="G93" s="46" t="str">
        <x:v>roasted</x:v>
      </x:c>
      <x:c r="H93" s="46" t="str">
        <x:v>decanal</x:v>
      </x:c>
      <x:c r="I93" s="46" t="str">
        <x:v>Decanal</x:v>
      </x:c>
      <x:c r="J93" s="46" t="str">
        <x:v>112-31-2</x:v>
      </x:c>
      <x:c r="K93" s="46" t="str">
        <x:v>Carbonyls, aldehydes</x:v>
      </x:c>
      <x:c r="L93" s="46" t="n">
        <x:v>1206</x:v>
      </x:c>
      <x:c r="M93" s="46" t="str">
        <x:v>Rübe</x:v>
      </x:c>
      <x:c r="N93" s="46" t="str">
        <x:v>landfowl_shared_base</x:v>
      </x:c>
      <x:c r="O93" s="46" t="str">
        <x:v>measured_occurrence_table17</x:v>
      </x:c>
      <x:c r="P93" s="46" t="str">
        <x:v>SRC-LANDFOWL-THESIS-001</x:v>
      </x:c>
      <x:c r="Q93" s="46" t="str">
        <x:v>https://elib.tiho-hannover.de/servlets/MCRFileNodeServlet/etd_derivate_00001197/baruths_ws10.pdf</x:v>
      </x:c>
      <x:c r="R93" s="46" t="n">
        <x:v>62</x:v>
      </x:c>
      <x:c r="S93" s="46" t="str">
        <x:v>quarantined_pending_corrected_table18_transcription</x:v>
      </x:c>
      <x:c r="T93" s="46" t="str">
        <x:v>eligible_presence_cluster_base</x:v>
      </x:c>
      <x:c r="U93" s="46" t="str">
        <x:v>Direct occurrence matrix. Shared occurrence does not imply equal abundance or sensory importance.</x:v>
      </x:c>
    </x:row>
    <x:row r="94">
      <x:c r="A94" s="46" t="str">
        <x:v>LFP-0093</x:v>
      </x:c>
      <x:c r="B94" s="46" t="str">
        <x:v>partridge:roasted</x:v>
      </x:c>
      <x:c r="C94" s="46" t="str">
        <x:v>partridge</x:v>
      </x:c>
      <x:c r="D94" s="46" t="str">
        <x:v>avian</x:v>
      </x:c>
      <x:c r="E94" s="46" t="str">
        <x:v>game_bird</x:v>
      </x:c>
      <x:c r="F94" s="46" t="str">
        <x:v>roasted_landfowl</x:v>
      </x:c>
      <x:c r="G94" s="46" t="str">
        <x:v>roasted</x:v>
      </x:c>
      <x:c r="H94" s="46" t="str">
        <x:v>(E,E)-2,4-nonadienal</x:v>
      </x:c>
      <x:c r="I94" s="46" t="str">
        <x:v>2,4-(E,E)-Nonadienal</x:v>
      </x:c>
      <x:c r="J94" s="46" t="str">
        <x:v>5910-87-2</x:v>
      </x:c>
      <x:c r="K94" s="46" t="str">
        <x:v>Carbonyls, aldehydes</x:v>
      </x:c>
      <x:c r="L94" s="46" t="n">
        <x:v>1217</x:v>
      </x:c>
      <x:c r="M94" s="46" t="str">
        <x:v>n.d.</x:v>
      </x:c>
      <x:c r="N94" s="46" t="str">
        <x:v>landfowl_shared_base</x:v>
      </x:c>
      <x:c r="O94" s="46" t="str">
        <x:v>measured_occurrence_table17</x:v>
      </x:c>
      <x:c r="P94" s="46" t="str">
        <x:v>SRC-LANDFOWL-THESIS-001</x:v>
      </x:c>
      <x:c r="Q94" s="46" t="str">
        <x:v>https://elib.tiho-hannover.de/servlets/MCRFileNodeServlet/etd_derivate_00001197/baruths_ws10.pdf</x:v>
      </x:c>
      <x:c r="R94" s="46" t="n">
        <x:v>62</x:v>
      </x:c>
      <x:c r="S94" s="46" t="str">
        <x:v>quarantined_pending_corrected_table18_transcription</x:v>
      </x:c>
      <x:c r="T94" s="46" t="str">
        <x:v>eligible_presence_cluster_base</x:v>
      </x:c>
      <x:c r="U94" s="46" t="str">
        <x:v>Direct occurrence matrix. Shared occurrence does not imply equal abundance or sensory importance.</x:v>
      </x:c>
    </x:row>
    <x:row r="95">
      <x:c r="A95" s="46" t="str">
        <x:v>LFP-0094</x:v>
      </x:c>
      <x:c r="B95" s="46" t="str">
        <x:v>partridge:roasted</x:v>
      </x:c>
      <x:c r="C95" s="46" t="str">
        <x:v>partridge</x:v>
      </x:c>
      <x:c r="D95" s="46" t="str">
        <x:v>avian</x:v>
      </x:c>
      <x:c r="E95" s="46" t="str">
        <x:v>game_bird</x:v>
      </x:c>
      <x:c r="F95" s="46" t="str">
        <x:v>roasted_landfowl</x:v>
      </x:c>
      <x:c r="G95" s="46" t="str">
        <x:v>roasted</x:v>
      </x:c>
      <x:c r="H95" s="46" t="str">
        <x:v>(E)-2-decenal</x:v>
      </x:c>
      <x:c r="I95" s="46" t="str">
        <x:v>2-(E)-Decenal</x:v>
      </x:c>
      <x:c r="J95" s="46" t="str">
        <x:v>3913-81-3</x:v>
      </x:c>
      <x:c r="K95" s="46" t="str">
        <x:v>Carbonyls, aldehydes</x:v>
      </x:c>
      <x:c r="L95" s="46" t="n">
        <x:v>1269</x:v>
      </x:c>
      <x:c r="M95" s="46" t="str">
        <x:v>Fleisch, fettig</x:v>
      </x:c>
      <x:c r="N95" s="46" t="str">
        <x:v>landfowl_shared_base</x:v>
      </x:c>
      <x:c r="O95" s="46" t="str">
        <x:v>measured_occurrence_table17</x:v>
      </x:c>
      <x:c r="P95" s="46" t="str">
        <x:v>SRC-LANDFOWL-THESIS-001</x:v>
      </x:c>
      <x:c r="Q95" s="46" t="str">
        <x:v>https://elib.tiho-hannover.de/servlets/MCRFileNodeServlet/etd_derivate_00001197/baruths_ws10.pdf</x:v>
      </x:c>
      <x:c r="R95" s="46" t="n">
        <x:v>62</x:v>
      </x:c>
      <x:c r="S95" s="46" t="str">
        <x:v>quarantined_pending_corrected_table18_transcription</x:v>
      </x:c>
      <x:c r="T95" s="46" t="str">
        <x:v>eligible_presence_cluster_base</x:v>
      </x:c>
      <x:c r="U95" s="46" t="str">
        <x:v>Direct occurrence matrix. Shared occurrence does not imply equal abundance or sensory importance.</x:v>
      </x:c>
    </x:row>
    <x:row r="96">
      <x:c r="A96" s="46" t="str">
        <x:v>LFP-0095</x:v>
      </x:c>
      <x:c r="B96" s="46" t="str">
        <x:v>partridge:roasted</x:v>
      </x:c>
      <x:c r="C96" s="46" t="str">
        <x:v>partridge</x:v>
      </x:c>
      <x:c r="D96" s="46" t="str">
        <x:v>avian</x:v>
      </x:c>
      <x:c r="E96" s="46" t="str">
        <x:v>game_bird</x:v>
      </x:c>
      <x:c r="F96" s="46" t="str">
        <x:v>roasted_landfowl</x:v>
      </x:c>
      <x:c r="G96" s="46" t="str">
        <x:v>roasted</x:v>
      </x:c>
      <x:c r="H96" s="46" t="str">
        <x:v>(E,E)-2,4-decadienal</x:v>
      </x:c>
      <x:c r="I96" s="46" t="str">
        <x:v>2,4-(E,E)-Decadienal</x:v>
      </x:c>
      <x:c r="J96" s="46" t="str">
        <x:v>25152-84-5</x:v>
      </x:c>
      <x:c r="K96" s="46" t="str">
        <x:v>Carbonyls, aldehydes</x:v>
      </x:c>
      <x:c r="L96" s="46" t="n">
        <x:v>1307</x:v>
      </x:c>
      <x:c r="M96" s="46" t="str">
        <x:v>geröstet, Zwiebel</x:v>
      </x:c>
      <x:c r="N96" s="46" t="str">
        <x:v>landfowl_shared_base</x:v>
      </x:c>
      <x:c r="O96" s="46" t="str">
        <x:v>measured_occurrence_table17</x:v>
      </x:c>
      <x:c r="P96" s="46" t="str">
        <x:v>SRC-LANDFOWL-THESIS-001</x:v>
      </x:c>
      <x:c r="Q96" s="46" t="str">
        <x:v>https://elib.tiho-hannover.de/servlets/MCRFileNodeServlet/etd_derivate_00001197/baruths_ws10.pdf</x:v>
      </x:c>
      <x:c r="R96" s="46" t="n">
        <x:v>62</x:v>
      </x:c>
      <x:c r="S96" s="46" t="str">
        <x:v>quarantined_pending_corrected_table18_transcription</x:v>
      </x:c>
      <x:c r="T96" s="46" t="str">
        <x:v>eligible_presence_cluster_base</x:v>
      </x:c>
      <x:c r="U96" s="46" t="str">
        <x:v>Direct occurrence matrix. Shared occurrence does not imply equal abundance or sensory importance.</x:v>
      </x:c>
    </x:row>
    <x:row r="97">
      <x:c r="A97" s="46" t="str">
        <x:v>LFP-0096</x:v>
      </x:c>
      <x:c r="B97" s="46" t="str">
        <x:v>partridge:roasted</x:v>
      </x:c>
      <x:c r="C97" s="46" t="str">
        <x:v>partridge</x:v>
      </x:c>
      <x:c r="D97" s="46" t="str">
        <x:v>avian</x:v>
      </x:c>
      <x:c r="E97" s="46" t="str">
        <x:v>game_bird</x:v>
      </x:c>
      <x:c r="F97" s="46" t="str">
        <x:v>roasted_landfowl</x:v>
      </x:c>
      <x:c r="G97" s="46" t="str">
        <x:v>roasted</x:v>
      </x:c>
      <x:c r="H97" s="46" t="str">
        <x:v>undecanal</x:v>
      </x:c>
      <x:c r="I97" s="46" t="str">
        <x:v>Undecanal</x:v>
      </x:c>
      <x:c r="J97" s="46" t="str">
        <x:v>112-44-7</x:v>
      </x:c>
      <x:c r="K97" s="46" t="str">
        <x:v>Carbonyls, aldehydes</x:v>
      </x:c>
      <x:c r="L97" s="46" t="n">
        <x:v>1308</x:v>
      </x:c>
      <x:c r="M97" s="46" t="str">
        <x:v>n.d.</x:v>
      </x:c>
      <x:c r="N97" s="46" t="str">
        <x:v>landfowl_shared_base</x:v>
      </x:c>
      <x:c r="O97" s="46" t="str">
        <x:v>measured_occurrence_table17</x:v>
      </x:c>
      <x:c r="P97" s="46" t="str">
        <x:v>SRC-LANDFOWL-THESIS-001</x:v>
      </x:c>
      <x:c r="Q97" s="46" t="str">
        <x:v>https://elib.tiho-hannover.de/servlets/MCRFileNodeServlet/etd_derivate_00001197/baruths_ws10.pdf</x:v>
      </x:c>
      <x:c r="R97" s="46" t="n">
        <x:v>62</x:v>
      </x:c>
      <x:c r="S97" s="46" t="str">
        <x:v>quarantined_pending_corrected_table18_transcription</x:v>
      </x:c>
      <x:c r="T97" s="46" t="str">
        <x:v>eligible_presence_cluster_base</x:v>
      </x:c>
      <x:c r="U97" s="46" t="str">
        <x:v>Direct occurrence matrix. Shared occurrence does not imply equal abundance or sensory importance.</x:v>
      </x:c>
    </x:row>
    <x:row r="98">
      <x:c r="A98" s="46" t="str">
        <x:v>LFP-0097</x:v>
      </x:c>
      <x:c r="B98" s="46" t="str">
        <x:v>partridge:roasted</x:v>
      </x:c>
      <x:c r="C98" s="46" t="str">
        <x:v>partridge</x:v>
      </x:c>
      <x:c r="D98" s="46" t="str">
        <x:v>avian</x:v>
      </x:c>
      <x:c r="E98" s="46" t="str">
        <x:v>game_bird</x:v>
      </x:c>
      <x:c r="F98" s="46" t="str">
        <x:v>roasted_landfowl</x:v>
      </x:c>
      <x:c r="G98" s="46" t="str">
        <x:v>roasted</x:v>
      </x:c>
      <x:c r="H98" s="46" t="str">
        <x:v>(E,Z)-2,4-decadienal</x:v>
      </x:c>
      <x:c r="I98" s="46" t="str">
        <x:v>2,4-(E,Z)-Decadienal</x:v>
      </x:c>
      <x:c r="J98" s="46" t="str">
        <x:v>25152-83-4</x:v>
      </x:c>
      <x:c r="K98" s="46" t="str">
        <x:v>Carbonyls, aldehydes</x:v>
      </x:c>
      <x:c r="L98" s="46" t="n">
        <x:v>1333</x:v>
      </x:c>
      <x:c r="M98" s="46" t="str">
        <x:v>nussig, Kekse</x:v>
      </x:c>
      <x:c r="N98" s="46" t="str">
        <x:v>landfowl_shared_base</x:v>
      </x:c>
      <x:c r="O98" s="46" t="str">
        <x:v>measured_occurrence_table17</x:v>
      </x:c>
      <x:c r="P98" s="46" t="str">
        <x:v>SRC-LANDFOWL-THESIS-001</x:v>
      </x:c>
      <x:c r="Q98" s="46" t="str">
        <x:v>https://elib.tiho-hannover.de/servlets/MCRFileNodeServlet/etd_derivate_00001197/baruths_ws10.pdf</x:v>
      </x:c>
      <x:c r="R98" s="46" t="n">
        <x:v>62</x:v>
      </x:c>
      <x:c r="S98" s="46" t="str">
        <x:v>quarantined_pending_corrected_table18_transcription</x:v>
      </x:c>
      <x:c r="T98" s="46" t="str">
        <x:v>eligible_presence_cluster_base</x:v>
      </x:c>
      <x:c r="U98" s="46" t="str">
        <x:v>Direct occurrence matrix. Shared occurrence does not imply equal abundance or sensory importance.</x:v>
      </x:c>
    </x:row>
    <x:row r="99">
      <x:c r="A99" s="46" t="str">
        <x:v>LFP-0098</x:v>
      </x:c>
      <x:c r="B99" s="46" t="str">
        <x:v>partridge:roasted</x:v>
      </x:c>
      <x:c r="C99" s="46" t="str">
        <x:v>partridge</x:v>
      </x:c>
      <x:c r="D99" s="46" t="str">
        <x:v>avian</x:v>
      </x:c>
      <x:c r="E99" s="46" t="str">
        <x:v>game_bird</x:v>
      </x:c>
      <x:c r="F99" s="46" t="str">
        <x:v>roasted_landfowl</x:v>
      </x:c>
      <x:c r="G99" s="46" t="str">
        <x:v>roasted</x:v>
      </x:c>
      <x:c r="H99" s="46" t="str">
        <x:v>(E)-2-undecenal</x:v>
      </x:c>
      <x:c r="I99" s="46" t="str">
        <x:v>2-(E)-Undecenal</x:v>
      </x:c>
      <x:c r="J99" s="46" t="str">
        <x:v>53448-07-0</x:v>
      </x:c>
      <x:c r="K99" s="46" t="str">
        <x:v>Carbonyls, aldehydes</x:v>
      </x:c>
      <x:c r="L99" s="46" t="n">
        <x:v>1367</x:v>
      </x:c>
      <x:c r="M99" s="46" t="str">
        <x:v>Fettig, Kekse</x:v>
      </x:c>
      <x:c r="N99" s="46" t="str">
        <x:v>landfowl_shared_base</x:v>
      </x:c>
      <x:c r="O99" s="46" t="str">
        <x:v>measured_occurrence_table17</x:v>
      </x:c>
      <x:c r="P99" s="46" t="str">
        <x:v>SRC-LANDFOWL-THESIS-001</x:v>
      </x:c>
      <x:c r="Q99" s="46" t="str">
        <x:v>https://elib.tiho-hannover.de/servlets/MCRFileNodeServlet/etd_derivate_00001197/baruths_ws10.pdf</x:v>
      </x:c>
      <x:c r="R99" s="46" t="n">
        <x:v>62</x:v>
      </x:c>
      <x:c r="S99" s="46" t="str">
        <x:v>quarantined_pending_corrected_table18_transcription</x:v>
      </x:c>
      <x:c r="T99" s="46" t="str">
        <x:v>eligible_presence_cluster_base</x:v>
      </x:c>
      <x:c r="U99" s="46" t="str">
        <x:v>Direct occurrence matrix. Shared occurrence does not imply equal abundance or sensory importance.</x:v>
      </x:c>
    </x:row>
    <x:row r="100">
      <x:c r="A100" s="46" t="str">
        <x:v>LFP-0099</x:v>
      </x:c>
      <x:c r="B100" s="46" t="str">
        <x:v>partridge:roasted</x:v>
      </x:c>
      <x:c r="C100" s="46" t="str">
        <x:v>partridge</x:v>
      </x:c>
      <x:c r="D100" s="46" t="str">
        <x:v>avian</x:v>
      </x:c>
      <x:c r="E100" s="46" t="str">
        <x:v>game_bird</x:v>
      </x:c>
      <x:c r="F100" s="46" t="str">
        <x:v>roasted_landfowl</x:v>
      </x:c>
      <x:c r="G100" s="46" t="str">
        <x:v>roasted</x:v>
      </x:c>
      <x:c r="H100" s="46" t="str">
        <x:v>tetradecane</x:v>
      </x:c>
      <x:c r="I100" s="46" t="str">
        <x:v>Tetradecan</x:v>
      </x:c>
      <x:c r="J100" s="46" t="str">
        <x:v>629-59-4</x:v>
      </x:c>
      <x:c r="K100" s="46" t="str">
        <x:v>Hydrocarbons</x:v>
      </x:c>
      <x:c r="L100" s="46" t="n">
        <x:v>1400</x:v>
      </x:c>
      <x:c r="M100" s="46" t="str">
        <x:v>n.d.</x:v>
      </x:c>
      <x:c r="N100" s="46" t="str">
        <x:v>landfowl_shared_base</x:v>
      </x:c>
      <x:c r="O100" s="46" t="str">
        <x:v>measured_occurrence_table17</x:v>
      </x:c>
      <x:c r="P100" s="46" t="str">
        <x:v>SRC-LANDFOWL-THESIS-001</x:v>
      </x:c>
      <x:c r="Q100" s="46" t="str">
        <x:v>https://elib.tiho-hannover.de/servlets/MCRFileNodeServlet/etd_derivate_00001197/baruths_ws10.pdf</x:v>
      </x:c>
      <x:c r="R100" s="46" t="n">
        <x:v>62</x:v>
      </x:c>
      <x:c r="S100" s="46" t="str">
        <x:v>quarantined_pending_corrected_table18_transcription</x:v>
      </x:c>
      <x:c r="T100" s="46" t="str">
        <x:v>eligible_presence_cluster_base</x:v>
      </x:c>
      <x:c r="U100" s="46" t="str">
        <x:v>Direct occurrence matrix. Shared occurrence does not imply equal abundance or sensory importance.</x:v>
      </x:c>
    </x:row>
    <x:row r="101">
      <x:c r="A101" s="46" t="str">
        <x:v>LFP-0100</x:v>
      </x:c>
      <x:c r="B101" s="46" t="str">
        <x:v>partridge:roasted</x:v>
      </x:c>
      <x:c r="C101" s="46" t="str">
        <x:v>partridge</x:v>
      </x:c>
      <x:c r="D101" s="46" t="str">
        <x:v>avian</x:v>
      </x:c>
      <x:c r="E101" s="46" t="str">
        <x:v>game_bird</x:v>
      </x:c>
      <x:c r="F101" s="46" t="str">
        <x:v>roasted_landfowl</x:v>
      </x:c>
      <x:c r="G101" s="46" t="str">
        <x:v>roasted</x:v>
      </x:c>
      <x:c r="H101" s="46" t="str">
        <x:v>nicotinamide (pyridine-3-carboxamide)</x:v>
      </x:c>
      <x:c r="I101" s="46" t="str">
        <x:v>3-Pyridincarboxamid</x:v>
      </x:c>
      <x:c r="J101" s="46" t="str">
        <x:v>98-92-0</x:v>
      </x:c>
      <x:c r="K101" s="46" t="str">
        <x:v>Nitriles and amides</x:v>
      </x:c>
      <x:c r="L101" s="46" t="n">
        <x:v>1407</x:v>
      </x:c>
      <x:c r="M101" s="46" t="str">
        <x:v>n.d.</x:v>
      </x:c>
      <x:c r="N101" s="46" t="str">
        <x:v>landfowl_shared_base</x:v>
      </x:c>
      <x:c r="O101" s="46" t="str">
        <x:v>measured_occurrence_table17</x:v>
      </x:c>
      <x:c r="P101" s="46" t="str">
        <x:v>SRC-LANDFOWL-THESIS-001</x:v>
      </x:c>
      <x:c r="Q101" s="46" t="str">
        <x:v>https://elib.tiho-hannover.de/servlets/MCRFileNodeServlet/etd_derivate_00001197/baruths_ws10.pdf</x:v>
      </x:c>
      <x:c r="R101" s="46" t="n">
        <x:v>62</x:v>
      </x:c>
      <x:c r="S101" s="46" t="str">
        <x:v>quarantined_pending_corrected_table18_transcription</x:v>
      </x:c>
      <x:c r="T101" s="46" t="str">
        <x:v>eligible_presence_cluster_base</x:v>
      </x:c>
      <x:c r="U101" s="46" t="str">
        <x:v>Direct occurrence matrix. Shared occurrence does not imply equal abundance or sensory importance.</x:v>
      </x:c>
    </x:row>
    <x:row r="102">
      <x:c r="A102" s="46" t="str">
        <x:v>LFP-0101</x:v>
      </x:c>
      <x:c r="B102" s="46" t="str">
        <x:v>partridge:roasted</x:v>
      </x:c>
      <x:c r="C102" s="46" t="str">
        <x:v>partridge</x:v>
      </x:c>
      <x:c r="D102" s="46" t="str">
        <x:v>avian</x:v>
      </x:c>
      <x:c r="E102" s="46" t="str">
        <x:v>game_bird</x:v>
      </x:c>
      <x:c r="F102" s="46" t="str">
        <x:v>roasted_landfowl</x:v>
      </x:c>
      <x:c r="G102" s="46" t="str">
        <x:v>roasted</x:v>
      </x:c>
      <x:c r="H102" s="46" t="str">
        <x:v>dodecanal</x:v>
      </x:c>
      <x:c r="I102" s="46" t="str">
        <x:v>Dodecanal</x:v>
      </x:c>
      <x:c r="J102" s="46" t="str">
        <x:v>112-54-9</x:v>
      </x:c>
      <x:c r="K102" s="46" t="str">
        <x:v>Carbonyls, aldehydes</x:v>
      </x:c>
      <x:c r="L102" s="46" t="n">
        <x:v>1410</x:v>
      </x:c>
      <x:c r="M102" s="46" t="str">
        <x:v>n.d.</x:v>
      </x:c>
      <x:c r="N102" s="46" t="str">
        <x:v>landfowl_shared_base</x:v>
      </x:c>
      <x:c r="O102" s="46" t="str">
        <x:v>measured_occurrence_table17</x:v>
      </x:c>
      <x:c r="P102" s="46" t="str">
        <x:v>SRC-LANDFOWL-THESIS-001</x:v>
      </x:c>
      <x:c r="Q102" s="46" t="str">
        <x:v>https://elib.tiho-hannover.de/servlets/MCRFileNodeServlet/etd_derivate_00001197/baruths_ws10.pdf</x:v>
      </x:c>
      <x:c r="R102" s="46" t="n">
        <x:v>62</x:v>
      </x:c>
      <x:c r="S102" s="46" t="str">
        <x:v>quarantined_pending_corrected_table18_transcription</x:v>
      </x:c>
      <x:c r="T102" s="46" t="str">
        <x:v>eligible_presence_cluster_base</x:v>
      </x:c>
      <x:c r="U102" s="46" t="str">
        <x:v>Direct occurrence matrix. Shared occurrence does not imply equal abundance or sensory importance.</x:v>
      </x:c>
    </x:row>
    <x:row r="103">
      <x:c r="A103" s="46" t="str">
        <x:v>LFP-0102</x:v>
      </x:c>
      <x:c r="B103" s="46" t="str">
        <x:v>partridge:roasted</x:v>
      </x:c>
      <x:c r="C103" s="46" t="str">
        <x:v>partridge</x:v>
      </x:c>
      <x:c r="D103" s="46" t="str">
        <x:v>avian</x:v>
      </x:c>
      <x:c r="E103" s="46" t="str">
        <x:v>game_bird</x:v>
      </x:c>
      <x:c r="F103" s="46" t="str">
        <x:v>roasted_landfowl</x:v>
      </x:c>
      <x:c r="G103" s="46" t="str">
        <x:v>roasted</x:v>
      </x:c>
      <x:c r="H103" s="46" t="str">
        <x:v>pentadecane</x:v>
      </x:c>
      <x:c r="I103" s="46" t="str">
        <x:v>Pentadecan</x:v>
      </x:c>
      <x:c r="J103" s="46" t="str">
        <x:v>629-62-9</x:v>
      </x:c>
      <x:c r="K103" s="46" t="str">
        <x:v>Hydrocarbons</x:v>
      </x:c>
      <x:c r="L103" s="46" t="n">
        <x:v>1500</x:v>
      </x:c>
      <x:c r="M103" s="46" t="str">
        <x:v>n.d.</x:v>
      </x:c>
      <x:c r="N103" s="46" t="str">
        <x:v>landfowl_shared_base</x:v>
      </x:c>
      <x:c r="O103" s="46" t="str">
        <x:v>measured_occurrence_table17</x:v>
      </x:c>
      <x:c r="P103" s="46" t="str">
        <x:v>SRC-LANDFOWL-THESIS-001</x:v>
      </x:c>
      <x:c r="Q103" s="46" t="str">
        <x:v>https://elib.tiho-hannover.de/servlets/MCRFileNodeServlet/etd_derivate_00001197/baruths_ws10.pdf</x:v>
      </x:c>
      <x:c r="R103" s="46" t="n">
        <x:v>62</x:v>
      </x:c>
      <x:c r="S103" s="46" t="str">
        <x:v>quarantined_pending_corrected_table18_transcription</x:v>
      </x:c>
      <x:c r="T103" s="46" t="str">
        <x:v>eligible_presence_cluster_base</x:v>
      </x:c>
      <x:c r="U103" s="46" t="str">
        <x:v>Direct occurrence matrix. Shared occurrence does not imply equal abundance or sensory importance.</x:v>
      </x:c>
    </x:row>
    <x:row r="104">
      <x:c r="A104" s="46" t="str">
        <x:v>LFP-0103</x:v>
      </x:c>
      <x:c r="B104" s="46" t="str">
        <x:v>partridge:roasted</x:v>
      </x:c>
      <x:c r="C104" s="46" t="str">
        <x:v>partridge</x:v>
      </x:c>
      <x:c r="D104" s="46" t="str">
        <x:v>avian</x:v>
      </x:c>
      <x:c r="E104" s="46" t="str">
        <x:v>game_bird</x:v>
      </x:c>
      <x:c r="F104" s="46" t="str">
        <x:v>roasted_landfowl</x:v>
      </x:c>
      <x:c r="G104" s="46" t="str">
        <x:v>roasted</x:v>
      </x:c>
      <x:c r="H104" s="46" t="str">
        <x:v>2-pentadecanone</x:v>
      </x:c>
      <x:c r="I104" s="46" t="str">
        <x:v>2-Pentadecanon</x:v>
      </x:c>
      <x:c r="J104" s="46" t="str">
        <x:v>2345-28-0</x:v>
      </x:c>
      <x:c r="K104" s="46" t="str">
        <x:v>Carbonyls, ketones</x:v>
      </x:c>
      <x:c r="L104" s="46" t="n">
        <x:v>1700</x:v>
      </x:c>
      <x:c r="M104" s="46" t="str">
        <x:v>n.d.</x:v>
      </x:c>
      <x:c r="N104" s="46" t="str">
        <x:v>landfowl_shared_base</x:v>
      </x:c>
      <x:c r="O104" s="46" t="str">
        <x:v>measured_occurrence_table17</x:v>
      </x:c>
      <x:c r="P104" s="46" t="str">
        <x:v>SRC-LANDFOWL-THESIS-001</x:v>
      </x:c>
      <x:c r="Q104" s="46" t="str">
        <x:v>https://elib.tiho-hannover.de/servlets/MCRFileNodeServlet/etd_derivate_00001197/baruths_ws10.pdf</x:v>
      </x:c>
      <x:c r="R104" s="46" t="n">
        <x:v>62</x:v>
      </x:c>
      <x:c r="S104" s="46" t="str">
        <x:v>quarantined_pending_corrected_table18_transcription</x:v>
      </x:c>
      <x:c r="T104" s="46" t="str">
        <x:v>eligible_presence_cluster_base</x:v>
      </x:c>
      <x:c r="U104" s="46" t="str">
        <x:v>Direct occurrence matrix. Shared occurrence does not imply equal abundance or sensory importance.</x:v>
      </x:c>
    </x:row>
    <x:row r="105">
      <x:c r="A105" s="46" t="str">
        <x:v>LFP-0104</x:v>
      </x:c>
      <x:c r="B105" s="46" t="str">
        <x:v>partridge:roasted</x:v>
      </x:c>
      <x:c r="C105" s="46" t="str">
        <x:v>partridge</x:v>
      </x:c>
      <x:c r="D105" s="46" t="str">
        <x:v>avian</x:v>
      </x:c>
      <x:c r="E105" s="46" t="str">
        <x:v>game_bird</x:v>
      </x:c>
      <x:c r="F105" s="46" t="str">
        <x:v>roasted_landfowl</x:v>
      </x:c>
      <x:c r="G105" s="46" t="str">
        <x:v>roasted</x:v>
      </x:c>
      <x:c r="H105" s="46" t="str">
        <x:v>1H-pyrrole</x:v>
      </x:c>
      <x:c r="I105" s="46" t="str">
        <x:v>1(H)-Pyrrol</x:v>
      </x:c>
      <x:c r="J105" s="46"/>
      <x:c r="K105" s="46" t="str">
        <x:v>Bases</x:v>
      </x:c>
      <x:c r="L105" s="46" t="n">
        <x:v>758</x:v>
      </x:c>
      <x:c r="M105" s="46" t="str">
        <x:v>n.d.</x:v>
      </x:c>
      <x:c r="N105" s="46" t="str">
        <x:v>member_unique_detection</x:v>
      </x:c>
      <x:c r="O105" s="46" t="str">
        <x:v>measured_occurrence_table17</x:v>
      </x:c>
      <x:c r="P105" s="46" t="str">
        <x:v>SRC-LANDFOWL-THESIS-001</x:v>
      </x:c>
      <x:c r="Q105" s="46" t="str">
        <x:v>https://elib.tiho-hannover.de/servlets/MCRFileNodeServlet/etd_derivate_00001197/baruths_ws10.pdf</x:v>
      </x:c>
      <x:c r="R105" s="46" t="n">
        <x:v>62</x:v>
      </x:c>
      <x:c r="S105" s="46" t="str">
        <x:v>quarantined_pending_corrected_table18_transcription</x:v>
      </x:c>
      <x:c r="T105" s="46" t="str">
        <x:v>hold_cas_resolution_before_canonical_join</x:v>
      </x:c>
      <x:c r="U105" s="46" t="str">
        <x:v>Direct unique detection within the four-species comparison; not a character-impact claim. Canonical occurrence is source-supported, but CAS join is intentionally held pending institutional identity resolution.</x:v>
      </x:c>
    </x:row>
    <x:row r="106">
      <x:c r="A106" s="46" t="str">
        <x:v>LFP-0105</x:v>
      </x:c>
      <x:c r="B106" s="46" t="str">
        <x:v>partridge:roasted</x:v>
      </x:c>
      <x:c r="C106" s="46" t="str">
        <x:v>partridge</x:v>
      </x:c>
      <x:c r="D106" s="46" t="str">
        <x:v>avian</x:v>
      </x:c>
      <x:c r="E106" s="46" t="str">
        <x:v>game_bird</x:v>
      </x:c>
      <x:c r="F106" s="46" t="str">
        <x:v>roasted_landfowl</x:v>
      </x:c>
      <x:c r="G106" s="46" t="str">
        <x:v>roasted</x:v>
      </x:c>
      <x:c r="H106" s="46" t="str">
        <x:v>2-methylpyrazine</x:v>
      </x:c>
      <x:c r="I106" s="46" t="str">
        <x:v>2-Methylpyrazin</x:v>
      </x:c>
      <x:c r="J106" s="46"/>
      <x:c r="K106" s="46" t="str">
        <x:v>Bases</x:v>
      </x:c>
      <x:c r="L106" s="46" t="n">
        <x:v>822</x:v>
      </x:c>
      <x:c r="M106" s="46" t="str">
        <x:v>n.d.</x:v>
      </x:c>
      <x:c r="N106" s="46" t="str">
        <x:v>member_unique_detection</x:v>
      </x:c>
      <x:c r="O106" s="46" t="str">
        <x:v>measured_occurrence_table17</x:v>
      </x:c>
      <x:c r="P106" s="46" t="str">
        <x:v>SRC-LANDFOWL-THESIS-001</x:v>
      </x:c>
      <x:c r="Q106" s="46" t="str">
        <x:v>https://elib.tiho-hannover.de/servlets/MCRFileNodeServlet/etd_derivate_00001197/baruths_ws10.pdf</x:v>
      </x:c>
      <x:c r="R106" s="46" t="n">
        <x:v>62</x:v>
      </x:c>
      <x:c r="S106" s="46" t="str">
        <x:v>quarantined_pending_corrected_table18_transcription</x:v>
      </x:c>
      <x:c r="T106" s="46" t="str">
        <x:v>hold_cas_resolution_before_canonical_join</x:v>
      </x:c>
      <x:c r="U106" s="46" t="str">
        <x:v>Direct unique detection within the four-species comparison; not a character-impact claim. Canonical occurrence is source-supported, but CAS join is intentionally held pending institutional identity resolution.</x:v>
      </x:c>
    </x:row>
    <x:row r="107">
      <x:c r="A107" s="46" t="str">
        <x:v>LFP-0106</x:v>
      </x:c>
      <x:c r="B107" s="46" t="str">
        <x:v>partridge:roasted</x:v>
      </x:c>
      <x:c r="C107" s="46" t="str">
        <x:v>partridge</x:v>
      </x:c>
      <x:c r="D107" s="46" t="str">
        <x:v>avian</x:v>
      </x:c>
      <x:c r="E107" s="46" t="str">
        <x:v>game_bird</x:v>
      </x:c>
      <x:c r="F107" s="46" t="str">
        <x:v>roasted_landfowl</x:v>
      </x:c>
      <x:c r="G107" s="46" t="str">
        <x:v>roasted</x:v>
      </x:c>
      <x:c r="H107" s="46" t="str">
        <x:v>trimethylpyrazine</x:v>
      </x:c>
      <x:c r="I107" s="46" t="str">
        <x:v>Trimethylpyrazin</x:v>
      </x:c>
      <x:c r="J107" s="46"/>
      <x:c r="K107" s="46" t="str">
        <x:v>Bases</x:v>
      </x:c>
      <x:c r="L107" s="46" t="n">
        <x:v>1012</x:v>
      </x:c>
      <x:c r="M107" s="46" t="str">
        <x:v>n.d.</x:v>
      </x:c>
      <x:c r="N107" s="46" t="str">
        <x:v>member_unique_detection</x:v>
      </x:c>
      <x:c r="O107" s="46" t="str">
        <x:v>measured_occurrence_table17</x:v>
      </x:c>
      <x:c r="P107" s="46" t="str">
        <x:v>SRC-LANDFOWL-THESIS-001</x:v>
      </x:c>
      <x:c r="Q107" s="46" t="str">
        <x:v>https://elib.tiho-hannover.de/servlets/MCRFileNodeServlet/etd_derivate_00001197/baruths_ws10.pdf</x:v>
      </x:c>
      <x:c r="R107" s="46" t="n">
        <x:v>62</x:v>
      </x:c>
      <x:c r="S107" s="46" t="str">
        <x:v>quarantined_pending_corrected_table18_transcription</x:v>
      </x:c>
      <x:c r="T107" s="46" t="str">
        <x:v>hold_cas_resolution_before_canonical_join</x:v>
      </x:c>
      <x:c r="U107" s="46" t="str">
        <x:v>Direct unique detection within the four-species comparison; not a character-impact claim. Canonical occurrence is source-supported, but CAS join is intentionally held pending institutional identity resolution.</x:v>
      </x:c>
    </x:row>
    <x:row r="108">
      <x:c r="A108" s="46" t="str">
        <x:v>LFP-0107</x:v>
      </x:c>
      <x:c r="B108" s="46" t="str">
        <x:v>partridge:roasted</x:v>
      </x:c>
      <x:c r="C108" s="46" t="str">
        <x:v>partridge</x:v>
      </x:c>
      <x:c r="D108" s="46" t="str">
        <x:v>avian</x:v>
      </x:c>
      <x:c r="E108" s="46" t="str">
        <x:v>game_bird</x:v>
      </x:c>
      <x:c r="F108" s="46" t="str">
        <x:v>roasted_landfowl</x:v>
      </x:c>
      <x:c r="G108" s="46" t="str">
        <x:v>roasted</x:v>
      </x:c>
      <x:c r="H108" s="46" t="str">
        <x:v>decanoic acid</x:v>
      </x:c>
      <x:c r="I108" s="46" t="str">
        <x:v>Decansäure</x:v>
      </x:c>
      <x:c r="J108" s="46"/>
      <x:c r="K108" s="46" t="str">
        <x:v>Acids</x:v>
      </x:c>
      <x:c r="L108" s="46" t="n">
        <x:v>1409</x:v>
      </x:c>
      <x:c r="M108" s="46" t="str">
        <x:v>n.d.</x:v>
      </x:c>
      <x:c r="N108" s="46" t="str">
        <x:v>member_unique_detection</x:v>
      </x:c>
      <x:c r="O108" s="46" t="str">
        <x:v>measured_occurrence_table17</x:v>
      </x:c>
      <x:c r="P108" s="46" t="str">
        <x:v>SRC-LANDFOWL-THESIS-001</x:v>
      </x:c>
      <x:c r="Q108" s="46" t="str">
        <x:v>https://elib.tiho-hannover.de/servlets/MCRFileNodeServlet/etd_derivate_00001197/baruths_ws10.pdf</x:v>
      </x:c>
      <x:c r="R108" s="46" t="n">
        <x:v>62</x:v>
      </x:c>
      <x:c r="S108" s="46" t="str">
        <x:v>quarantined_pending_corrected_table18_transcription</x:v>
      </x:c>
      <x:c r="T108" s="46" t="str">
        <x:v>hold_cas_resolution_before_canonical_join</x:v>
      </x:c>
      <x:c r="U108" s="46" t="str">
        <x:v>Direct unique detection within the four-species comparison; not a character-impact claim. Canonical occurrence is source-supported, but CAS join is intentionally held pending institutional identity resolution.</x:v>
      </x:c>
    </x:row>
    <x:row r="109">
      <x:c r="A109" s="46" t="str">
        <x:v>LFP-0108</x:v>
      </x:c>
      <x:c r="B109" s="46" t="str">
        <x:v>partridge:roasted</x:v>
      </x:c>
      <x:c r="C109" s="46" t="str">
        <x:v>partridge</x:v>
      </x:c>
      <x:c r="D109" s="46" t="str">
        <x:v>avian</x:v>
      </x:c>
      <x:c r="E109" s="46" t="str">
        <x:v>game_bird</x:v>
      </x:c>
      <x:c r="F109" s="46" t="str">
        <x:v>roasted_landfowl</x:v>
      </x:c>
      <x:c r="G109" s="46" t="str">
        <x:v>roasted</x:v>
      </x:c>
      <x:c r="H109" s="46" t="str">
        <x:v>(E)-2-dodecenal</x:v>
      </x:c>
      <x:c r="I109" s="46" t="str">
        <x:v>2-(E)-Dodecenal</x:v>
      </x:c>
      <x:c r="J109" s="46"/>
      <x:c r="K109" s="46" t="str">
        <x:v>Carbonyls, aldehydes</x:v>
      </x:c>
      <x:c r="L109" s="46" t="n">
        <x:v>1470</x:v>
      </x:c>
      <x:c r="M109" s="46" t="str">
        <x:v>n.d.</x:v>
      </x:c>
      <x:c r="N109" s="46" t="str">
        <x:v>member_unique_detection</x:v>
      </x:c>
      <x:c r="O109" s="46" t="str">
        <x:v>measured_occurrence_table17</x:v>
      </x:c>
      <x:c r="P109" s="46" t="str">
        <x:v>SRC-LANDFOWL-THESIS-001</x:v>
      </x:c>
      <x:c r="Q109" s="46" t="str">
        <x:v>https://elib.tiho-hannover.de/servlets/MCRFileNodeServlet/etd_derivate_00001197/baruths_ws10.pdf</x:v>
      </x:c>
      <x:c r="R109" s="46" t="n">
        <x:v>62</x:v>
      </x:c>
      <x:c r="S109" s="46" t="str">
        <x:v>quarantined_pending_corrected_table18_transcription</x:v>
      </x:c>
      <x:c r="T109" s="46" t="str">
        <x:v>hold_cas_resolution_before_canonical_join</x:v>
      </x:c>
      <x:c r="U109" s="46" t="str">
        <x:v>Direct unique detection within the four-species comparison; not a character-impact claim. Canonical occurrence is source-supported, but CAS join is intentionally held pending institutional identity resolution.</x:v>
      </x:c>
    </x:row>
    <x:row r="110">
      <x:c r="A110" s="46" t="str">
        <x:v>LFP-0109</x:v>
      </x:c>
      <x:c r="B110" s="46" t="str">
        <x:v>partridge:roasted</x:v>
      </x:c>
      <x:c r="C110" s="46" t="str">
        <x:v>partridge</x:v>
      </x:c>
      <x:c r="D110" s="46" t="str">
        <x:v>avian</x:v>
      </x:c>
      <x:c r="E110" s="46" t="str">
        <x:v>game_bird</x:v>
      </x:c>
      <x:c r="F110" s="46" t="str">
        <x:v>roasted_landfowl</x:v>
      </x:c>
      <x:c r="G110" s="46" t="str">
        <x:v>roasted</x:v>
      </x:c>
      <x:c r="H110" s="46" t="str">
        <x:v>tetradecanal</x:v>
      </x:c>
      <x:c r="I110" s="46" t="str">
        <x:v>Tetradecanal</x:v>
      </x:c>
      <x:c r="J110" s="46"/>
      <x:c r="K110" s="46" t="str">
        <x:v>Carbonyls, aldehydes</x:v>
      </x:c>
      <x:c r="L110" s="46" t="n">
        <x:v>1602</x:v>
      </x:c>
      <x:c r="M110" s="46" t="str">
        <x:v>n.d.</x:v>
      </x:c>
      <x:c r="N110" s="46" t="str">
        <x:v>member_unique_detection</x:v>
      </x:c>
      <x:c r="O110" s="46" t="str">
        <x:v>measured_occurrence_table17</x:v>
      </x:c>
      <x:c r="P110" s="46" t="str">
        <x:v>SRC-LANDFOWL-THESIS-001</x:v>
      </x:c>
      <x:c r="Q110" s="46" t="str">
        <x:v>https://elib.tiho-hannover.de/servlets/MCRFileNodeServlet/etd_derivate_00001197/baruths_ws10.pdf</x:v>
      </x:c>
      <x:c r="R110" s="46" t="n">
        <x:v>62</x:v>
      </x:c>
      <x:c r="S110" s="46" t="str">
        <x:v>quarantined_pending_corrected_table18_transcription</x:v>
      </x:c>
      <x:c r="T110" s="46" t="str">
        <x:v>hold_cas_resolution_before_canonical_join</x:v>
      </x:c>
      <x:c r="U110" s="46" t="str">
        <x:v>Direct unique detection within the four-species comparison; not a character-impact claim. Canonical occurrence is source-supported, but CAS join is intentionally held pending institutional identity resolution.</x:v>
      </x:c>
    </x:row>
    <x:row r="111">
      <x:c r="A111" s="46" t="str">
        <x:v>LFP-0110</x:v>
      </x:c>
      <x:c r="B111" s="46" t="str">
        <x:v>partridge:roasted</x:v>
      </x:c>
      <x:c r="C111" s="46" t="str">
        <x:v>partridge</x:v>
      </x:c>
      <x:c r="D111" s="46" t="str">
        <x:v>avian</x:v>
      </x:c>
      <x:c r="E111" s="46" t="str">
        <x:v>game_bird</x:v>
      </x:c>
      <x:c r="F111" s="46" t="str">
        <x:v>roasted_landfowl</x:v>
      </x:c>
      <x:c r="G111" s="46" t="str">
        <x:v>roasted</x:v>
      </x:c>
      <x:c r="H111" s="46" t="str">
        <x:v>acrolein (2-propenal)</x:v>
      </x:c>
      <x:c r="I111" s="46" t="str">
        <x:v>2-(E)-Propenal</x:v>
      </x:c>
      <x:c r="J111" s="46" t="str">
        <x:v>107-02-8</x:v>
      </x:c>
      <x:c r="K111" s="46" t="str">
        <x:v>Carbonyls, aldehydes</x:v>
      </x:c>
      <x:c r="L111" s="46" t="str">
        <x:v>&lt;500</x:v>
      </x:c>
      <x:c r="M111" s="46" t="str">
        <x:v>n.d.</x:v>
      </x:c>
      <x:c r="N111" s="46" t="str">
        <x:v>partial_shared_member_delta</x:v>
      </x:c>
      <x:c r="O111" s="46" t="str">
        <x:v>measured_occurrence_table17</x:v>
      </x:c>
      <x:c r="P111" s="46" t="str">
        <x:v>SRC-LANDFOWL-THESIS-001</x:v>
      </x:c>
      <x:c r="Q111" s="46" t="str">
        <x:v>https://elib.tiho-hannover.de/servlets/MCRFileNodeServlet/etd_derivate_00001197/baruths_ws10.pdf</x:v>
      </x:c>
      <x:c r="R111" s="46" t="n">
        <x:v>62</x:v>
      </x:c>
      <x:c r="S111" s="46" t="str">
        <x:v>quarantined_pending_corrected_table18_transcription</x:v>
      </x:c>
      <x:c r="T111" s="46" t="str">
        <x:v>eligible_presence_member_delta</x:v>
      </x:c>
      <x:c r="U111" s="46" t="str">
        <x:v>Present in chicken/partridge/quail; absent pheasant.</x:v>
      </x:c>
    </x:row>
    <x:row r="112">
      <x:c r="A112" s="46" t="str">
        <x:v>LFP-0111</x:v>
      </x:c>
      <x:c r="B112" s="46" t="str">
        <x:v>partridge:roasted</x:v>
      </x:c>
      <x:c r="C112" s="46" t="str">
        <x:v>partridge</x:v>
      </x:c>
      <x:c r="D112" s="46" t="str">
        <x:v>avian</x:v>
      </x:c>
      <x:c r="E112" s="46" t="str">
        <x:v>game_bird</x:v>
      </x:c>
      <x:c r="F112" s="46" t="str">
        <x:v>roasted_landfowl</x:v>
      </x:c>
      <x:c r="G112" s="46" t="str">
        <x:v>roasted</x:v>
      </x:c>
      <x:c r="H112" s="46" t="str">
        <x:v>butanal</x:v>
      </x:c>
      <x:c r="I112" s="46" t="str">
        <x:v>Butanal</x:v>
      </x:c>
      <x:c r="J112" s="46" t="str">
        <x:v>123-72-8</x:v>
      </x:c>
      <x:c r="K112" s="46" t="str">
        <x:v>Carbonyls, aldehydes</x:v>
      </x:c>
      <x:c r="L112" s="46" t="n">
        <x:v>599</x:v>
      </x:c>
      <x:c r="M112" s="46" t="str">
        <x:v>n.d.</x:v>
      </x:c>
      <x:c r="N112" s="46" t="str">
        <x:v>partial_shared_member_delta</x:v>
      </x:c>
      <x:c r="O112" s="46" t="str">
        <x:v>measured_occurrence_table17</x:v>
      </x:c>
      <x:c r="P112" s="46" t="str">
        <x:v>SRC-LANDFOWL-THESIS-001</x:v>
      </x:c>
      <x:c r="Q112" s="46" t="str">
        <x:v>https://elib.tiho-hannover.de/servlets/MCRFileNodeServlet/etd_derivate_00001197/baruths_ws10.pdf</x:v>
      </x:c>
      <x:c r="R112" s="46" t="n">
        <x:v>62</x:v>
      </x:c>
      <x:c r="S112" s="46" t="str">
        <x:v>quarantined_pending_corrected_table18_transcription</x:v>
      </x:c>
      <x:c r="T112" s="46" t="str">
        <x:v>eligible_presence_member_delta</x:v>
      </x:c>
      <x:c r="U112" s="46" t="str">
        <x:v>Present in all three wild landfowl; absent chicken.</x:v>
      </x:c>
    </x:row>
    <x:row r="113">
      <x:c r="A113" s="46" t="str">
        <x:v>LFP-0112</x:v>
      </x:c>
      <x:c r="B113" s="46" t="str">
        <x:v>partridge:roasted</x:v>
      </x:c>
      <x:c r="C113" s="46" t="str">
        <x:v>partridge</x:v>
      </x:c>
      <x:c r="D113" s="46" t="str">
        <x:v>avian</x:v>
      </x:c>
      <x:c r="E113" s="46" t="str">
        <x:v>game_bird</x:v>
      </x:c>
      <x:c r="F113" s="46" t="str">
        <x:v>roasted_landfowl</x:v>
      </x:c>
      <x:c r="G113" s="46" t="str">
        <x:v>roasted</x:v>
      </x:c>
      <x:c r="H113" s="46" t="str">
        <x:v>1-butanol</x:v>
      </x:c>
      <x:c r="I113" s="46" t="str">
        <x:v>1-Butanol</x:v>
      </x:c>
      <x:c r="J113" s="46" t="str">
        <x:v>71-36-3</x:v>
      </x:c>
      <x:c r="K113" s="46" t="str">
        <x:v>Alcohols</x:v>
      </x:c>
      <x:c r="L113" s="46" t="n">
        <x:v>613</x:v>
      </x:c>
      <x:c r="M113" s="46" t="str">
        <x:v>n.d.</x:v>
      </x:c>
      <x:c r="N113" s="46" t="str">
        <x:v>partial_shared_member_delta</x:v>
      </x:c>
      <x:c r="O113" s="46" t="str">
        <x:v>measured_occurrence_table17</x:v>
      </x:c>
      <x:c r="P113" s="46" t="str">
        <x:v>SRC-LANDFOWL-THESIS-001</x:v>
      </x:c>
      <x:c r="Q113" s="46" t="str">
        <x:v>https://elib.tiho-hannover.de/servlets/MCRFileNodeServlet/etd_derivate_00001197/baruths_ws10.pdf</x:v>
      </x:c>
      <x:c r="R113" s="46" t="n">
        <x:v>62</x:v>
      </x:c>
      <x:c r="S113" s="46" t="str">
        <x:v>quarantined_pending_corrected_table18_transcription</x:v>
      </x:c>
      <x:c r="T113" s="46" t="str">
        <x:v>eligible_presence_member_delta</x:v>
      </x:c>
      <x:c r="U113" s="46" t="str">
        <x:v>Present in partridge and quail only.</x:v>
      </x:c>
    </x:row>
    <x:row r="114">
      <x:c r="A114" s="46" t="str">
        <x:v>LFP-0113</x:v>
      </x:c>
      <x:c r="B114" s="46" t="str">
        <x:v>partridge:roasted</x:v>
      </x:c>
      <x:c r="C114" s="46" t="str">
        <x:v>partridge</x:v>
      </x:c>
      <x:c r="D114" s="46" t="str">
        <x:v>avian</x:v>
      </x:c>
      <x:c r="E114" s="46" t="str">
        <x:v>game_bird</x:v>
      </x:c>
      <x:c r="F114" s="46" t="str">
        <x:v>roasted_landfowl</x:v>
      </x:c>
      <x:c r="G114" s="46" t="str">
        <x:v>roasted</x:v>
      </x:c>
      <x:c r="H114" s="46" t="str">
        <x:v>2,5-dimethylpyrazine</x:v>
      </x:c>
      <x:c r="I114" s="46" t="str">
        <x:v>2,5-Dimethylpyrazin</x:v>
      </x:c>
      <x:c r="J114" s="46" t="str">
        <x:v>123-32-0</x:v>
      </x:c>
      <x:c r="K114" s="46" t="str">
        <x:v>Bases</x:v>
      </x:c>
      <x:c r="L114" s="46" t="n">
        <x:v>903</x:v>
      </x:c>
      <x:c r="M114" s="46" t="str">
        <x:v>Kekse, geröstet</x:v>
      </x:c>
      <x:c r="N114" s="46" t="str">
        <x:v>partial_shared_member_delta</x:v>
      </x:c>
      <x:c r="O114" s="46" t="str">
        <x:v>measured_occurrence_table17</x:v>
      </x:c>
      <x:c r="P114" s="46" t="str">
        <x:v>SRC-LANDFOWL-THESIS-001</x:v>
      </x:c>
      <x:c r="Q114" s="46" t="str">
        <x:v>https://elib.tiho-hannover.de/servlets/MCRFileNodeServlet/etd_derivate_00001197/baruths_ws10.pdf</x:v>
      </x:c>
      <x:c r="R114" s="46" t="n">
        <x:v>62</x:v>
      </x:c>
      <x:c r="S114" s="46" t="str">
        <x:v>quarantined_pending_corrected_table18_transcription</x:v>
      </x:c>
      <x:c r="T114" s="46" t="str">
        <x:v>eligible_presence_member_delta</x:v>
      </x:c>
      <x:c r="U114" s="46" t="str">
        <x:v>Present in pheasant and partridge.</x:v>
      </x:c>
    </x:row>
    <x:row r="115">
      <x:c r="A115" s="46" t="str">
        <x:v>LFP-0114</x:v>
      </x:c>
      <x:c r="B115" s="46" t="str">
        <x:v>partridge:roasted</x:v>
      </x:c>
      <x:c r="C115" s="46" t="str">
        <x:v>partridge</x:v>
      </x:c>
      <x:c r="D115" s="46" t="str">
        <x:v>avian</x:v>
      </x:c>
      <x:c r="E115" s="46" t="str">
        <x:v>game_bird</x:v>
      </x:c>
      <x:c r="F115" s="46" t="str">
        <x:v>roasted_landfowl</x:v>
      </x:c>
      <x:c r="G115" s="46" t="str">
        <x:v>roasted</x:v>
      </x:c>
      <x:c r="H115" s="46" t="str">
        <x:v>methional</x:v>
      </x:c>
      <x:c r="I115" s="46" t="str">
        <x:v>3-Methylthiopropanal</x:v>
      </x:c>
      <x:c r="J115" s="46" t="str">
        <x:v>3268-49-3</x:v>
      </x:c>
      <x:c r="K115" s="46" t="str">
        <x:v>Sulfur compounds</x:v>
      </x:c>
      <x:c r="L115" s="46" t="n">
        <x:v>909</x:v>
      </x:c>
      <x:c r="M115" s="46" t="str">
        <x:v>n.d.</x:v>
      </x:c>
      <x:c r="N115" s="46" t="str">
        <x:v>partial_shared_member_delta</x:v>
      </x:c>
      <x:c r="O115" s="46" t="str">
        <x:v>measured_occurrence_table17</x:v>
      </x:c>
      <x:c r="P115" s="46" t="str">
        <x:v>SRC-LANDFOWL-THESIS-001</x:v>
      </x:c>
      <x:c r="Q115" s="46" t="str">
        <x:v>https://elib.tiho-hannover.de/servlets/MCRFileNodeServlet/etd_derivate_00001197/baruths_ws10.pdf</x:v>
      </x:c>
      <x:c r="R115" s="46" t="n">
        <x:v>62</x:v>
      </x:c>
      <x:c r="S115" s="46" t="str">
        <x:v>quarantined_pending_corrected_table18_transcription</x:v>
      </x:c>
      <x:c r="T115" s="46" t="str">
        <x:v>eligible_presence_member_delta</x:v>
      </x:c>
      <x:c r="U115" s="46" t="str">
        <x:v>Present in pheasant and partridge.</x:v>
      </x:c>
    </x:row>
    <x:row r="116">
      <x:c r="A116" s="46" t="str">
        <x:v>LFP-0115</x:v>
      </x:c>
      <x:c r="B116" s="46" t="str">
        <x:v>partridge:roasted</x:v>
      </x:c>
      <x:c r="C116" s="46" t="str">
        <x:v>partridge</x:v>
      </x:c>
      <x:c r="D116" s="46" t="str">
        <x:v>avian</x:v>
      </x:c>
      <x:c r="E116" s="46" t="str">
        <x:v>game_bird</x:v>
      </x:c>
      <x:c r="F116" s="46" t="str">
        <x:v>roasted_landfowl</x:v>
      </x:c>
      <x:c r="G116" s="46" t="str">
        <x:v>roasted</x:v>
      </x:c>
      <x:c r="H116" s="46" t="str">
        <x:v>2-pentylfuran</x:v>
      </x:c>
      <x:c r="I116" s="46" t="str">
        <x:v>2-Pentylfuran</x:v>
      </x:c>
      <x:c r="J116" s="46" t="str">
        <x:v>3777-69-3</x:v>
      </x:c>
      <x:c r="K116" s="46" t="str">
        <x:v>Furans</x:v>
      </x:c>
      <x:c r="L116" s="46" t="n">
        <x:v>995</x:v>
      </x:c>
      <x:c r="M116" s="46" t="str">
        <x:v>n.d.</x:v>
      </x:c>
      <x:c r="N116" s="46" t="str">
        <x:v>partial_shared_member_delta</x:v>
      </x:c>
      <x:c r="O116" s="46" t="str">
        <x:v>measured_occurrence_table17</x:v>
      </x:c>
      <x:c r="P116" s="46" t="str">
        <x:v>SRC-LANDFOWL-THESIS-001</x:v>
      </x:c>
      <x:c r="Q116" s="46" t="str">
        <x:v>https://elib.tiho-hannover.de/servlets/MCRFileNodeServlet/etd_derivate_00001197/baruths_ws10.pdf</x:v>
      </x:c>
      <x:c r="R116" s="46" t="n">
        <x:v>62</x:v>
      </x:c>
      <x:c r="S116" s="46" t="str">
        <x:v>quarantined_pending_corrected_table18_transcription</x:v>
      </x:c>
      <x:c r="T116" s="46" t="str">
        <x:v>eligible_presence_member_delta</x:v>
      </x:c>
      <x:c r="U116" s="46" t="str">
        <x:v>Present in all three wild landfowl; absent chicken.</x:v>
      </x:c>
    </x:row>
    <x:row r="117">
      <x:c r="A117" s="46" t="str">
        <x:v>LFP-0116</x:v>
      </x:c>
      <x:c r="B117" s="46" t="str">
        <x:v>partridge:roasted</x:v>
      </x:c>
      <x:c r="C117" s="46" t="str">
        <x:v>partridge</x:v>
      </x:c>
      <x:c r="D117" s="46" t="str">
        <x:v>avian</x:v>
      </x:c>
      <x:c r="E117" s="46" t="str">
        <x:v>game_bird</x:v>
      </x:c>
      <x:c r="F117" s="46" t="str">
        <x:v>roasted_landfowl</x:v>
      </x:c>
      <x:c r="G117" s="46" t="str">
        <x:v>roasted</x:v>
      </x:c>
      <x:c r="H117" s="46" t="str">
        <x:v>phenylacetaldehyde</x:v>
      </x:c>
      <x:c r="I117" s="46" t="str">
        <x:v>Benzenazetaldehyd</x:v>
      </x:c>
      <x:c r="J117" s="46" t="str">
        <x:v>122-78-1</x:v>
      </x:c>
      <x:c r="K117" s="46" t="str">
        <x:v>Carbonyls, aldehydes</x:v>
      </x:c>
      <x:c r="L117" s="46" t="n">
        <x:v>1047</x:v>
      </x:c>
      <x:c r="M117" s="46" t="str">
        <x:v>n.d.</x:v>
      </x:c>
      <x:c r="N117" s="46" t="str">
        <x:v>partial_shared_member_delta</x:v>
      </x:c>
      <x:c r="O117" s="46" t="str">
        <x:v>measured_occurrence_table17</x:v>
      </x:c>
      <x:c r="P117" s="46" t="str">
        <x:v>SRC-LANDFOWL-THESIS-001</x:v>
      </x:c>
      <x:c r="Q117" s="46" t="str">
        <x:v>https://elib.tiho-hannover.de/servlets/MCRFileNodeServlet/etd_derivate_00001197/baruths_ws10.pdf</x:v>
      </x:c>
      <x:c r="R117" s="46" t="n">
        <x:v>62</x:v>
      </x:c>
      <x:c r="S117" s="46" t="str">
        <x:v>quarantined_pending_corrected_table18_transcription</x:v>
      </x:c>
      <x:c r="T117" s="46" t="str">
        <x:v>eligible_presence_member_delta</x:v>
      </x:c>
      <x:c r="U117" s="46" t="str">
        <x:v>Present in chicken, partridge and quail.</x:v>
      </x:c>
    </x:row>
    <x:row r="118">
      <x:c r="A118" s="46" t="str">
        <x:v>LFP-0117</x:v>
      </x:c>
      <x:c r="B118" s="46" t="str">
        <x:v>partridge:roasted</x:v>
      </x:c>
      <x:c r="C118" s="46" t="str">
        <x:v>partridge</x:v>
      </x:c>
      <x:c r="D118" s="46" t="str">
        <x:v>avian</x:v>
      </x:c>
      <x:c r="E118" s="46" t="str">
        <x:v>game_bird</x:v>
      </x:c>
      <x:c r="F118" s="46" t="str">
        <x:v>roasted_landfowl</x:v>
      </x:c>
      <x:c r="G118" s="46" t="str">
        <x:v>roasted</x:v>
      </x:c>
      <x:c r="H118" s="46" t="str">
        <x:v>3-ethyl-2,5-dimethylpyrazine</x:v>
      </x:c>
      <x:c r="I118" s="46" t="str">
        <x:v>3-Ethyl-2,5-dimethylpyrazin</x:v>
      </x:c>
      <x:c r="J118" s="46" t="str">
        <x:v>13360-65-1</x:v>
      </x:c>
      <x:c r="K118" s="46" t="str">
        <x:v>Bases</x:v>
      </x:c>
      <x:c r="L118" s="46" t="n">
        <x:v>1081</x:v>
      </x:c>
      <x:c r="M118" s="46" t="str">
        <x:v>n.d.</x:v>
      </x:c>
      <x:c r="N118" s="46" t="str">
        <x:v>partial_shared_member_delta</x:v>
      </x:c>
      <x:c r="O118" s="46" t="str">
        <x:v>measured_occurrence_table17</x:v>
      </x:c>
      <x:c r="P118" s="46" t="str">
        <x:v>SRC-LANDFOWL-THESIS-001</x:v>
      </x:c>
      <x:c r="Q118" s="46" t="str">
        <x:v>https://elib.tiho-hannover.de/servlets/MCRFileNodeServlet/etd_derivate_00001197/baruths_ws10.pdf</x:v>
      </x:c>
      <x:c r="R118" s="46" t="n">
        <x:v>62</x:v>
      </x:c>
      <x:c r="S118" s="46" t="str">
        <x:v>quarantined_pending_corrected_table18_transcription</x:v>
      </x:c>
      <x:c r="T118" s="46" t="str">
        <x:v>eligible_presence_member_delta</x:v>
      </x:c>
      <x:c r="U118" s="46" t="str">
        <x:v>Present in pheasant and partridge.</x:v>
      </x:c>
    </x:row>
    <x:row r="119">
      <x:c r="A119" s="46" t="str">
        <x:v>LFP-0118</x:v>
      </x:c>
      <x:c r="B119" s="46" t="str">
        <x:v>partridge:roasted</x:v>
      </x:c>
      <x:c r="C119" s="46" t="str">
        <x:v>partridge</x:v>
      </x:c>
      <x:c r="D119" s="46" t="str">
        <x:v>avian</x:v>
      </x:c>
      <x:c r="E119" s="46" t="str">
        <x:v>game_bird</x:v>
      </x:c>
      <x:c r="F119" s="46" t="str">
        <x:v>roasted_landfowl</x:v>
      </x:c>
      <x:c r="G119" s="46" t="str">
        <x:v>roasted</x:v>
      </x:c>
      <x:c r="H119" s="46" t="str">
        <x:v>2-ethyl-1-hexanol</x:v>
      </x:c>
      <x:c r="I119" s="46" t="str">
        <x:v>2-Ethyl-1-hexanol</x:v>
      </x:c>
      <x:c r="J119" s="46" t="str">
        <x:v>104-76-7</x:v>
      </x:c>
      <x:c r="K119" s="46" t="str">
        <x:v>Alcohols</x:v>
      </x:c>
      <x:c r="L119" s="46" t="n">
        <x:v>1033</x:v>
      </x:c>
      <x:c r="M119" s="46" t="str">
        <x:v>Kekse</x:v>
      </x:c>
      <x:c r="N119" s="46" t="str">
        <x:v>partial_shared_member_delta</x:v>
      </x:c>
      <x:c r="O119" s="46" t="str">
        <x:v>measured_occurrence_table17</x:v>
      </x:c>
      <x:c r="P119" s="46" t="str">
        <x:v>SRC-LANDFOWL-THESIS-001</x:v>
      </x:c>
      <x:c r="Q119" s="46" t="str">
        <x:v>https://elib.tiho-hannover.de/servlets/MCRFileNodeServlet/etd_derivate_00001197/baruths_ws10.pdf</x:v>
      </x:c>
      <x:c r="R119" s="46" t="n">
        <x:v>62</x:v>
      </x:c>
      <x:c r="S119" s="46" t="str">
        <x:v>quarantined_pending_corrected_table18_transcription</x:v>
      </x:c>
      <x:c r="T119" s="46" t="str">
        <x:v>eligible_presence_member_delta</x:v>
      </x:c>
      <x:c r="U119" s="46" t="str">
        <x:v>Present in pheasant and partridge.</x:v>
      </x:c>
    </x:row>
    <x:row r="120">
      <x:c r="A120" s="46" t="str">
        <x:v>LFP-0119</x:v>
      </x:c>
      <x:c r="B120" s="46" t="str">
        <x:v>partridge:roasted</x:v>
      </x:c>
      <x:c r="C120" s="46" t="str">
        <x:v>partridge</x:v>
      </x:c>
      <x:c r="D120" s="46" t="str">
        <x:v>avian</x:v>
      </x:c>
      <x:c r="E120" s="46" t="str">
        <x:v>game_bird</x:v>
      </x:c>
      <x:c r="F120" s="46" t="str">
        <x:v>roasted_landfowl</x:v>
      </x:c>
      <x:c r="G120" s="46" t="str">
        <x:v>roasted</x:v>
      </x:c>
      <x:c r="H120" s="46" t="str">
        <x:v>2-nonanone</x:v>
      </x:c>
      <x:c r="I120" s="46" t="str">
        <x:v>2-Nonanon</x:v>
      </x:c>
      <x:c r="J120" s="46" t="str">
        <x:v>821-55-6</x:v>
      </x:c>
      <x:c r="K120" s="46" t="str">
        <x:v>Carbonyls, ketones</x:v>
      </x:c>
      <x:c r="L120" s="46" t="n">
        <x:v>1092</x:v>
      </x:c>
      <x:c r="M120" s="46" t="str">
        <x:v>n.d.</x:v>
      </x:c>
      <x:c r="N120" s="46" t="str">
        <x:v>partial_shared_member_delta</x:v>
      </x:c>
      <x:c r="O120" s="46" t="str">
        <x:v>measured_occurrence_table17</x:v>
      </x:c>
      <x:c r="P120" s="46" t="str">
        <x:v>SRC-LANDFOWL-THESIS-001</x:v>
      </x:c>
      <x:c r="Q120" s="46" t="str">
        <x:v>https://elib.tiho-hannover.de/servlets/MCRFileNodeServlet/etd_derivate_00001197/baruths_ws10.pdf</x:v>
      </x:c>
      <x:c r="R120" s="46" t="n">
        <x:v>62</x:v>
      </x:c>
      <x:c r="S120" s="46" t="str">
        <x:v>quarantined_pending_corrected_table18_transcription</x:v>
      </x:c>
      <x:c r="T120" s="46" t="str">
        <x:v>eligible_presence_member_delta</x:v>
      </x:c>
      <x:c r="U120" s="46" t="str">
        <x:v>Present in all three wild landfowl; absent chicken.</x:v>
      </x:c>
    </x:row>
    <x:row r="121">
      <x:c r="A121" s="46" t="str">
        <x:v>LFP-0120</x:v>
      </x:c>
      <x:c r="B121" s="46" t="str">
        <x:v>partridge:roasted</x:v>
      </x:c>
      <x:c r="C121" s="46" t="str">
        <x:v>partridge</x:v>
      </x:c>
      <x:c r="D121" s="46" t="str">
        <x:v>avian</x:v>
      </x:c>
      <x:c r="E121" s="46" t="str">
        <x:v>game_bird</x:v>
      </x:c>
      <x:c r="F121" s="46" t="str">
        <x:v>roasted_landfowl</x:v>
      </x:c>
      <x:c r="G121" s="46" t="str">
        <x:v>roasted</x:v>
      </x:c>
      <x:c r="H121" s="46" t="str">
        <x:v>3-octen-2-one</x:v>
      </x:c>
      <x:c r="I121" s="46" t="str">
        <x:v>3-Octen-2-on</x:v>
      </x:c>
      <x:c r="J121" s="46"/>
      <x:c r="K121" s="46" t="str">
        <x:v>Carbonyls, ketones</x:v>
      </x:c>
      <x:c r="L121" s="46" t="n">
        <x:v>1190</x:v>
      </x:c>
      <x:c r="M121" s="46" t="str">
        <x:v>n.d.</x:v>
      </x:c>
      <x:c r="N121" s="46" t="str">
        <x:v>partial_shared_member_delta</x:v>
      </x:c>
      <x:c r="O121" s="46" t="str">
        <x:v>measured_occurrence_table17</x:v>
      </x:c>
      <x:c r="P121" s="46" t="str">
        <x:v>SRC-LANDFOWL-THESIS-001</x:v>
      </x:c>
      <x:c r="Q121" s="46" t="str">
        <x:v>https://elib.tiho-hannover.de/servlets/MCRFileNodeServlet/etd_derivate_00001197/baruths_ws10.pdf</x:v>
      </x:c>
      <x:c r="R121" s="46" t="n">
        <x:v>62</x:v>
      </x:c>
      <x:c r="S121" s="46" t="str">
        <x:v>quarantined_pending_corrected_table18_transcription</x:v>
      </x:c>
      <x:c r="T121" s="46" t="str">
        <x:v>hold_cas_resolution_before_canonical_join</x:v>
      </x:c>
      <x:c r="U121" s="46" t="str">
        <x:v>Present in all three wild landfowl; CAS not independently resolved in this pass. Canonical occurrence is source-supported, but CAS join is intentionally held pending institutional identity resolution.</x:v>
      </x:c>
    </x:row>
    <x:row r="122">
      <x:c r="A122" s="46" t="str">
        <x:v>LFP-0121</x:v>
      </x:c>
      <x:c r="B122" s="46" t="str">
        <x:v>partridge:roasted</x:v>
      </x:c>
      <x:c r="C122" s="46" t="str">
        <x:v>partridge</x:v>
      </x:c>
      <x:c r="D122" s="46" t="str">
        <x:v>avian</x:v>
      </x:c>
      <x:c r="E122" s="46" t="str">
        <x:v>game_bird</x:v>
      </x:c>
      <x:c r="F122" s="46" t="str">
        <x:v>roasted_landfowl</x:v>
      </x:c>
      <x:c r="G122" s="46" t="str">
        <x:v>roasted</x:v>
      </x:c>
      <x:c r="H122" s="46" t="str">
        <x:v>2-decanone</x:v>
      </x:c>
      <x:c r="I122" s="46" t="str">
        <x:v>2-Decanon</x:v>
      </x:c>
      <x:c r="J122" s="46" t="str">
        <x:v>693-54-9</x:v>
      </x:c>
      <x:c r="K122" s="46" t="str">
        <x:v>Carbonyls, ketones</x:v>
      </x:c>
      <x:c r="L122" s="46" t="n">
        <x:v>1193</x:v>
      </x:c>
      <x:c r="M122" s="46" t="str">
        <x:v>n.d.</x:v>
      </x:c>
      <x:c r="N122" s="46" t="str">
        <x:v>partial_shared_member_delta</x:v>
      </x:c>
      <x:c r="O122" s="46" t="str">
        <x:v>measured_occurrence_table17</x:v>
      </x:c>
      <x:c r="P122" s="46" t="str">
        <x:v>SRC-LANDFOWL-THESIS-001</x:v>
      </x:c>
      <x:c r="Q122" s="46" t="str">
        <x:v>https://elib.tiho-hannover.de/servlets/MCRFileNodeServlet/etd_derivate_00001197/baruths_ws10.pdf</x:v>
      </x:c>
      <x:c r="R122" s="46" t="n">
        <x:v>62</x:v>
      </x:c>
      <x:c r="S122" s="46" t="str">
        <x:v>quarantined_pending_corrected_table18_transcription</x:v>
      </x:c>
      <x:c r="T122" s="46" t="str">
        <x:v>eligible_presence_member_delta</x:v>
      </x:c>
      <x:c r="U122" s="46" t="str">
        <x:v>Present in all three wild landfowl; absent chicken.</x:v>
      </x:c>
    </x:row>
    <x:row r="123">
      <x:c r="A123" s="46" t="str">
        <x:v>LFP-0122</x:v>
      </x:c>
      <x:c r="B123" s="46" t="str">
        <x:v>partridge:roasted</x:v>
      </x:c>
      <x:c r="C123" s="46" t="str">
        <x:v>partridge</x:v>
      </x:c>
      <x:c r="D123" s="46" t="str">
        <x:v>avian</x:v>
      </x:c>
      <x:c r="E123" s="46" t="str">
        <x:v>game_bird</x:v>
      </x:c>
      <x:c r="F123" s="46" t="str">
        <x:v>roasted_landfowl</x:v>
      </x:c>
      <x:c r="G123" s="46" t="str">
        <x:v>roasted</x:v>
      </x:c>
      <x:c r="H123" s="46" t="str">
        <x:v>2-butylpyridine</x:v>
      </x:c>
      <x:c r="I123" s="46" t="str">
        <x:v>2-Butylpyridin</x:v>
      </x:c>
      <x:c r="J123" s="46"/>
      <x:c r="K123" s="46" t="str">
        <x:v>Bases</x:v>
      </x:c>
      <x:c r="L123" s="46" t="n">
        <x:v>1202</x:v>
      </x:c>
      <x:c r="M123" s="46" t="str">
        <x:v>n.d.</x:v>
      </x:c>
      <x:c r="N123" s="46" t="str">
        <x:v>partial_shared_member_delta</x:v>
      </x:c>
      <x:c r="O123" s="46" t="str">
        <x:v>measured_occurrence_table17</x:v>
      </x:c>
      <x:c r="P123" s="46" t="str">
        <x:v>SRC-LANDFOWL-THESIS-001</x:v>
      </x:c>
      <x:c r="Q123" s="46" t="str">
        <x:v>https://elib.tiho-hannover.de/servlets/MCRFileNodeServlet/etd_derivate_00001197/baruths_ws10.pdf</x:v>
      </x:c>
      <x:c r="R123" s="46" t="n">
        <x:v>62</x:v>
      </x:c>
      <x:c r="S123" s="46" t="str">
        <x:v>quarantined_pending_corrected_table18_transcription</x:v>
      </x:c>
      <x:c r="T123" s="46" t="str">
        <x:v>hold_cas_resolution_before_canonical_join</x:v>
      </x:c>
      <x:c r="U123" s="46" t="str">
        <x:v>Present in partridge and quail; CAS not independently resolved in this pass. Canonical occurrence is source-supported, but CAS join is intentionally held pending institutional identity resolution.</x:v>
      </x:c>
    </x:row>
    <x:row r="124">
      <x:c r="A124" s="46" t="str">
        <x:v>LFP-0123</x:v>
      </x:c>
      <x:c r="B124" s="46" t="str">
        <x:v>partridge:roasted</x:v>
      </x:c>
      <x:c r="C124" s="46" t="str">
        <x:v>partridge</x:v>
      </x:c>
      <x:c r="D124" s="46" t="str">
        <x:v>avian</x:v>
      </x:c>
      <x:c r="E124" s="46" t="str">
        <x:v>game_bird</x:v>
      </x:c>
      <x:c r="F124" s="46" t="str">
        <x:v>roasted_landfowl</x:v>
      </x:c>
      <x:c r="G124" s="46" t="str">
        <x:v>roasted</x:v>
      </x:c>
      <x:c r="H124" s="46" t="str">
        <x:v>2-pentylpyridine</x:v>
      </x:c>
      <x:c r="I124" s="46" t="str">
        <x:v>2-Pentylpyridin</x:v>
      </x:c>
      <x:c r="J124" s="46"/>
      <x:c r="K124" s="46" t="str">
        <x:v>Bases</x:v>
      </x:c>
      <x:c r="L124" s="46" t="n">
        <x:v>1208</x:v>
      </x:c>
      <x:c r="M124" s="46" t="str">
        <x:v>n.d.</x:v>
      </x:c>
      <x:c r="N124" s="46" t="str">
        <x:v>partial_shared_member_delta</x:v>
      </x:c>
      <x:c r="O124" s="46" t="str">
        <x:v>measured_occurrence_table17</x:v>
      </x:c>
      <x:c r="P124" s="46" t="str">
        <x:v>SRC-LANDFOWL-THESIS-001</x:v>
      </x:c>
      <x:c r="Q124" s="46" t="str">
        <x:v>https://elib.tiho-hannover.de/servlets/MCRFileNodeServlet/etd_derivate_00001197/baruths_ws10.pdf</x:v>
      </x:c>
      <x:c r="R124" s="46" t="n">
        <x:v>62</x:v>
      </x:c>
      <x:c r="S124" s="46" t="str">
        <x:v>quarantined_pending_corrected_table18_transcription</x:v>
      </x:c>
      <x:c r="T124" s="46" t="str">
        <x:v>hold_cas_resolution_before_canonical_join</x:v>
      </x:c>
      <x:c r="U124" s="46" t="str">
        <x:v>Present in all three wild landfowl; CAS not independently resolved in this pass. Canonical occurrence is source-supported, but CAS join is intentionally held pending institutional identity resolution.</x:v>
      </x:c>
    </x:row>
    <x:row r="125">
      <x:c r="A125" s="46" t="str">
        <x:v>LFP-0124</x:v>
      </x:c>
      <x:c r="B125" s="46" t="str">
        <x:v>partridge:roasted</x:v>
      </x:c>
      <x:c r="C125" s="46" t="str">
        <x:v>partridge</x:v>
      </x:c>
      <x:c r="D125" s="46" t="str">
        <x:v>avian</x:v>
      </x:c>
      <x:c r="E125" s="46" t="str">
        <x:v>game_bird</x:v>
      </x:c>
      <x:c r="F125" s="46" t="str">
        <x:v>roasted_landfowl</x:v>
      </x:c>
      <x:c r="G125" s="46" t="str">
        <x:v>roasted</x:v>
      </x:c>
      <x:c r="H125" s="46" t="str">
        <x:v>1-decanol</x:v>
      </x:c>
      <x:c r="I125" s="46" t="str">
        <x:v>Decanol</x:v>
      </x:c>
      <x:c r="J125" s="46" t="str">
        <x:v>112-30-1</x:v>
      </x:c>
      <x:c r="K125" s="46" t="str">
        <x:v>Alcohols</x:v>
      </x:c>
      <x:c r="L125" s="46" t="n">
        <x:v>1277</x:v>
      </x:c>
      <x:c r="M125" s="46" t="str">
        <x:v>n.d.</x:v>
      </x:c>
      <x:c r="N125" s="46" t="str">
        <x:v>partial_shared_member_delta</x:v>
      </x:c>
      <x:c r="O125" s="46" t="str">
        <x:v>measured_occurrence_table17</x:v>
      </x:c>
      <x:c r="P125" s="46" t="str">
        <x:v>SRC-LANDFOWL-THESIS-001</x:v>
      </x:c>
      <x:c r="Q125" s="46" t="str">
        <x:v>https://elib.tiho-hannover.de/servlets/MCRFileNodeServlet/etd_derivate_00001197/baruths_ws10.pdf</x:v>
      </x:c>
      <x:c r="R125" s="46" t="n">
        <x:v>62</x:v>
      </x:c>
      <x:c r="S125" s="46" t="str">
        <x:v>quarantined_pending_corrected_table18_transcription</x:v>
      </x:c>
      <x:c r="T125" s="46" t="str">
        <x:v>eligible_presence_member_delta</x:v>
      </x:c>
      <x:c r="U125" s="46" t="str">
        <x:v>Present in partridge and quail.</x:v>
      </x:c>
    </x:row>
    <x:row r="126">
      <x:c r="A126" s="46" t="str">
        <x:v>LFP-0125</x:v>
      </x:c>
      <x:c r="B126" s="46" t="str">
        <x:v>partridge:roasted</x:v>
      </x:c>
      <x:c r="C126" s="46" t="str">
        <x:v>partridge</x:v>
      </x:c>
      <x:c r="D126" s="46" t="str">
        <x:v>avian</x:v>
      </x:c>
      <x:c r="E126" s="46" t="str">
        <x:v>game_bird</x:v>
      </x:c>
      <x:c r="F126" s="46" t="str">
        <x:v>roasted_landfowl</x:v>
      </x:c>
      <x:c r="G126" s="46" t="str">
        <x:v>roasted</x:v>
      </x:c>
      <x:c r="H126" s="46" t="str">
        <x:v>1-undecene</x:v>
      </x:c>
      <x:c r="I126" s="46" t="str">
        <x:v>1-Undecen</x:v>
      </x:c>
      <x:c r="J126" s="46" t="str">
        <x:v>821-95-4</x:v>
      </x:c>
      <x:c r="K126" s="46" t="str">
        <x:v>Hydrocarbons</x:v>
      </x:c>
      <x:c r="L126" s="46" t="n">
        <x:v>1285</x:v>
      </x:c>
      <x:c r="M126" s="46" t="str">
        <x:v>n.d.</x:v>
      </x:c>
      <x:c r="N126" s="46" t="str">
        <x:v>partial_shared_member_delta</x:v>
      </x:c>
      <x:c r="O126" s="46" t="str">
        <x:v>measured_occurrence_table17</x:v>
      </x:c>
      <x:c r="P126" s="46" t="str">
        <x:v>SRC-LANDFOWL-THESIS-001</x:v>
      </x:c>
      <x:c r="Q126" s="46" t="str">
        <x:v>https://elib.tiho-hannover.de/servlets/MCRFileNodeServlet/etd_derivate_00001197/baruths_ws10.pdf</x:v>
      </x:c>
      <x:c r="R126" s="46" t="n">
        <x:v>62</x:v>
      </x:c>
      <x:c r="S126" s="46" t="str">
        <x:v>quarantined_pending_corrected_table18_transcription</x:v>
      </x:c>
      <x:c r="T126" s="46" t="str">
        <x:v>eligible_presence_member_delta</x:v>
      </x:c>
      <x:c r="U126" s="46" t="str">
        <x:v>Present in all three wild landfowl; absent chicken.</x:v>
      </x:c>
    </x:row>
    <x:row r="127">
      <x:c r="A127" s="46" t="str">
        <x:v>LFP-0126</x:v>
      </x:c>
      <x:c r="B127" s="46" t="str">
        <x:v>partridge:roasted</x:v>
      </x:c>
      <x:c r="C127" s="46" t="str">
        <x:v>partridge</x:v>
      </x:c>
      <x:c r="D127" s="46" t="str">
        <x:v>avian</x:v>
      </x:c>
      <x:c r="E127" s="46" t="str">
        <x:v>game_bird</x:v>
      </x:c>
      <x:c r="F127" s="46" t="str">
        <x:v>roasted_landfowl</x:v>
      </x:c>
      <x:c r="G127" s="46" t="str">
        <x:v>roasted</x:v>
      </x:c>
      <x:c r="H127" s="46" t="str">
        <x:v>tridecanal</x:v>
      </x:c>
      <x:c r="I127" s="46" t="str">
        <x:v>Tridecanal</x:v>
      </x:c>
      <x:c r="J127" s="46"/>
      <x:c r="K127" s="46" t="str">
        <x:v>Carbonyls, aldehydes</x:v>
      </x:c>
      <x:c r="L127" s="46" t="n">
        <x:v>1517</x:v>
      </x:c>
      <x:c r="M127" s="46" t="str">
        <x:v>n.d.</x:v>
      </x:c>
      <x:c r="N127" s="46" t="str">
        <x:v>partial_shared_member_delta</x:v>
      </x:c>
      <x:c r="O127" s="46" t="str">
        <x:v>measured_occurrence_table17</x:v>
      </x:c>
      <x:c r="P127" s="46" t="str">
        <x:v>SRC-LANDFOWL-THESIS-001</x:v>
      </x:c>
      <x:c r="Q127" s="46" t="str">
        <x:v>https://elib.tiho-hannover.de/servlets/MCRFileNodeServlet/etd_derivate_00001197/baruths_ws10.pdf</x:v>
      </x:c>
      <x:c r="R127" s="46" t="n">
        <x:v>62</x:v>
      </x:c>
      <x:c r="S127" s="46" t="str">
        <x:v>quarantined_pending_corrected_table18_transcription</x:v>
      </x:c>
      <x:c r="T127" s="46" t="str">
        <x:v>hold_cas_resolution_before_canonical_join</x:v>
      </x:c>
      <x:c r="U127" s="46" t="str">
        <x:v>Present in partridge and quail; CAS not independently resolved in this pass. Canonical occurrence is source-supported, but CAS join is intentionally held pending institutional identity resolution.</x:v>
      </x:c>
    </x:row>
    <x:row r="128">
      <x:c r="A128" s="46" t="str">
        <x:v>LFP-0127</x:v>
      </x:c>
      <x:c r="B128" s="46" t="str">
        <x:v>quail:roasted</x:v>
      </x:c>
      <x:c r="C128" s="46" t="str">
        <x:v>quail</x:v>
      </x:c>
      <x:c r="D128" s="46" t="str">
        <x:v>avian</x:v>
      </x:c>
      <x:c r="E128" s="46" t="str">
        <x:v>game_bird</x:v>
      </x:c>
      <x:c r="F128" s="46" t="str">
        <x:v>roasted_landfowl</x:v>
      </x:c>
      <x:c r="G128" s="46" t="str">
        <x:v>roasted</x:v>
      </x:c>
      <x:c r="H128" s="46" t="str">
        <x:v>(E)-2-butenal</x:v>
      </x:c>
      <x:c r="I128" s="46" t="str">
        <x:v>2-(E)-Butenal</x:v>
      </x:c>
      <x:c r="J128" s="46" t="str">
        <x:v>123-73-9</x:v>
      </x:c>
      <x:c r="K128" s="46" t="str">
        <x:v>Carbonyls, aldehydes</x:v>
      </x:c>
      <x:c r="L128" s="46" t="n">
        <x:v>651</x:v>
      </x:c>
      <x:c r="M128" s="46" t="str">
        <x:v>Vanille, süß</x:v>
      </x:c>
      <x:c r="N128" s="46" t="str">
        <x:v>landfowl_shared_base</x:v>
      </x:c>
      <x:c r="O128" s="46" t="str">
        <x:v>measured_occurrence_table17</x:v>
      </x:c>
      <x:c r="P128" s="46" t="str">
        <x:v>SRC-LANDFOWL-THESIS-001</x:v>
      </x:c>
      <x:c r="Q128" s="46" t="str">
        <x:v>https://elib.tiho-hannover.de/servlets/MCRFileNodeServlet/etd_derivate_00001197/baruths_ws10.pdf</x:v>
      </x:c>
      <x:c r="R128" s="46" t="n">
        <x:v>57</x:v>
      </x:c>
      <x:c r="S128" s="46" t="str">
        <x:v>quarantined_pending_corrected_table18_transcription</x:v>
      </x:c>
      <x:c r="T128" s="46" t="str">
        <x:v>eligible_presence_cluster_base</x:v>
      </x:c>
      <x:c r="U128" s="46" t="str">
        <x:v>Direct occurrence matrix. Shared occurrence does not imply equal abundance or sensory importance.</x:v>
      </x:c>
    </x:row>
    <x:row r="129">
      <x:c r="A129" s="46" t="str">
        <x:v>LFP-0128</x:v>
      </x:c>
      <x:c r="B129" s="46" t="str">
        <x:v>quail:roasted</x:v>
      </x:c>
      <x:c r="C129" s="46" t="str">
        <x:v>quail</x:v>
      </x:c>
      <x:c r="D129" s="46" t="str">
        <x:v>avian</x:v>
      </x:c>
      <x:c r="E129" s="46" t="str">
        <x:v>game_bird</x:v>
      </x:c>
      <x:c r="F129" s="46" t="str">
        <x:v>roasted_landfowl</x:v>
      </x:c>
      <x:c r="G129" s="46" t="str">
        <x:v>roasted</x:v>
      </x:c>
      <x:c r="H129" s="46" t="str">
        <x:v>3-methylbutanal</x:v>
      </x:c>
      <x:c r="I129" s="46" t="str">
        <x:v>3-Methylbutanal</x:v>
      </x:c>
      <x:c r="J129" s="46" t="str">
        <x:v>590-86-3</x:v>
      </x:c>
      <x:c r="K129" s="46" t="str">
        <x:v>Carbonyls, aldehydes</x:v>
      </x:c>
      <x:c r="L129" s="46" t="n">
        <x:v>653</x:v>
      </x:c>
      <x:c r="M129" s="46" t="str">
        <x:v>Schokolade, Buttermmandel</x:v>
      </x:c>
      <x:c r="N129" s="46" t="str">
        <x:v>landfowl_shared_base</x:v>
      </x:c>
      <x:c r="O129" s="46" t="str">
        <x:v>measured_occurrence_table17</x:v>
      </x:c>
      <x:c r="P129" s="46" t="str">
        <x:v>SRC-LANDFOWL-THESIS-001</x:v>
      </x:c>
      <x:c r="Q129" s="46" t="str">
        <x:v>https://elib.tiho-hannover.de/servlets/MCRFileNodeServlet/etd_derivate_00001197/baruths_ws10.pdf</x:v>
      </x:c>
      <x:c r="R129" s="46" t="n">
        <x:v>57</x:v>
      </x:c>
      <x:c r="S129" s="46" t="str">
        <x:v>quarantined_pending_corrected_table18_transcription</x:v>
      </x:c>
      <x:c r="T129" s="46" t="str">
        <x:v>eligible_presence_cluster_base</x:v>
      </x:c>
      <x:c r="U129" s="46" t="str">
        <x:v>Direct occurrence matrix. Shared occurrence does not imply equal abundance or sensory importance.</x:v>
      </x:c>
    </x:row>
    <x:row r="130">
      <x:c r="A130" s="46" t="str">
        <x:v>LFP-0129</x:v>
      </x:c>
      <x:c r="B130" s="46" t="str">
        <x:v>quail:roasted</x:v>
      </x:c>
      <x:c r="C130" s="46" t="str">
        <x:v>quail</x:v>
      </x:c>
      <x:c r="D130" s="46" t="str">
        <x:v>avian</x:v>
      </x:c>
      <x:c r="E130" s="46" t="str">
        <x:v>game_bird</x:v>
      </x:c>
      <x:c r="F130" s="46" t="str">
        <x:v>roasted_landfowl</x:v>
      </x:c>
      <x:c r="G130" s="46" t="str">
        <x:v>roasted</x:v>
      </x:c>
      <x:c r="H130" s="46" t="str">
        <x:v>2-methylbutanal</x:v>
      </x:c>
      <x:c r="I130" s="46" t="str">
        <x:v>2-Methylbutanal</x:v>
      </x:c>
      <x:c r="J130" s="46" t="str">
        <x:v>96-17-3</x:v>
      </x:c>
      <x:c r="K130" s="46" t="str">
        <x:v>Carbonyls, aldehydes</x:v>
      </x:c>
      <x:c r="L130" s="46" t="n">
        <x:v>661</x:v>
      </x:c>
      <x:c r="M130" s="46" t="str">
        <x:v>Vanille, muffig</x:v>
      </x:c>
      <x:c r="N130" s="46" t="str">
        <x:v>landfowl_shared_base</x:v>
      </x:c>
      <x:c r="O130" s="46" t="str">
        <x:v>measured_occurrence_table17</x:v>
      </x:c>
      <x:c r="P130" s="46" t="str">
        <x:v>SRC-LANDFOWL-THESIS-001</x:v>
      </x:c>
      <x:c r="Q130" s="46" t="str">
        <x:v>https://elib.tiho-hannover.de/servlets/MCRFileNodeServlet/etd_derivate_00001197/baruths_ws10.pdf</x:v>
      </x:c>
      <x:c r="R130" s="46" t="n">
        <x:v>57</x:v>
      </x:c>
      <x:c r="S130" s="46" t="str">
        <x:v>quarantined_pending_corrected_table18_transcription</x:v>
      </x:c>
      <x:c r="T130" s="46" t="str">
        <x:v>eligible_presence_cluster_base</x:v>
      </x:c>
      <x:c r="U130" s="46" t="str">
        <x:v>Direct occurrence matrix. Shared occurrence does not imply equal abundance or sensory importance.</x:v>
      </x:c>
    </x:row>
    <x:row r="131">
      <x:c r="A131" s="46" t="str">
        <x:v>LFP-0130</x:v>
      </x:c>
      <x:c r="B131" s="46" t="str">
        <x:v>quail:roasted</x:v>
      </x:c>
      <x:c r="C131" s="46" t="str">
        <x:v>quail</x:v>
      </x:c>
      <x:c r="D131" s="46" t="str">
        <x:v>avian</x:v>
      </x:c>
      <x:c r="E131" s="46" t="str">
        <x:v>game_bird</x:v>
      </x:c>
      <x:c r="F131" s="46" t="str">
        <x:v>roasted_landfowl</x:v>
      </x:c>
      <x:c r="G131" s="46" t="str">
        <x:v>roasted</x:v>
      </x:c>
      <x:c r="H131" s="46" t="str">
        <x:v>pentanal</x:v>
      </x:c>
      <x:c r="I131" s="46" t="str">
        <x:v>Pentanal</x:v>
      </x:c>
      <x:c r="J131" s="46" t="str">
        <x:v>110-62-3</x:v>
      </x:c>
      <x:c r="K131" s="46" t="str">
        <x:v>Carbonyls, aldehydes</x:v>
      </x:c>
      <x:c r="L131" s="46" t="n">
        <x:v>698</x:v>
      </x:c>
      <x:c r="M131" s="46" t="str">
        <x:v>Gras, grün</x:v>
      </x:c>
      <x:c r="N131" s="46" t="str">
        <x:v>landfowl_shared_base</x:v>
      </x:c>
      <x:c r="O131" s="46" t="str">
        <x:v>measured_occurrence_table17</x:v>
      </x:c>
      <x:c r="P131" s="46" t="str">
        <x:v>SRC-LANDFOWL-THESIS-001</x:v>
      </x:c>
      <x:c r="Q131" s="46" t="str">
        <x:v>https://elib.tiho-hannover.de/servlets/MCRFileNodeServlet/etd_derivate_00001197/baruths_ws10.pdf</x:v>
      </x:c>
      <x:c r="R131" s="46" t="n">
        <x:v>57</x:v>
      </x:c>
      <x:c r="S131" s="46" t="str">
        <x:v>quarantined_pending_corrected_table18_transcription</x:v>
      </x:c>
      <x:c r="T131" s="46" t="str">
        <x:v>eligible_presence_cluster_base</x:v>
      </x:c>
      <x:c r="U131" s="46" t="str">
        <x:v>Direct occurrence matrix. Shared occurrence does not imply equal abundance or sensory importance.</x:v>
      </x:c>
    </x:row>
    <x:row r="132">
      <x:c r="A132" s="46" t="str">
        <x:v>LFP-0131</x:v>
      </x:c>
      <x:c r="B132" s="46" t="str">
        <x:v>quail:roasted</x:v>
      </x:c>
      <x:c r="C132" s="46" t="str">
        <x:v>quail</x:v>
      </x:c>
      <x:c r="D132" s="46" t="str">
        <x:v>avian</x:v>
      </x:c>
      <x:c r="E132" s="46" t="str">
        <x:v>game_bird</x:v>
      </x:c>
      <x:c r="F132" s="46" t="str">
        <x:v>roasted_landfowl</x:v>
      </x:c>
      <x:c r="G132" s="46" t="str">
        <x:v>roasted</x:v>
      </x:c>
      <x:c r="H132" s="46" t="str">
        <x:v>(E)-2-pentenal</x:v>
      </x:c>
      <x:c r="I132" s="46" t="str">
        <x:v>2-(E)-Pentenal</x:v>
      </x:c>
      <x:c r="J132" s="46" t="str">
        <x:v>1576-87-0</x:v>
      </x:c>
      <x:c r="K132" s="46" t="str">
        <x:v>Carbonyls, aldehydes</x:v>
      </x:c>
      <x:c r="L132" s="46" t="n">
        <x:v>759</x:v>
      </x:c>
      <x:c r="M132" s="46" t="str">
        <x:v>n.d.</x:v>
      </x:c>
      <x:c r="N132" s="46" t="str">
        <x:v>landfowl_shared_base</x:v>
      </x:c>
      <x:c r="O132" s="46" t="str">
        <x:v>measured_occurrence_table17</x:v>
      </x:c>
      <x:c r="P132" s="46" t="str">
        <x:v>SRC-LANDFOWL-THESIS-001</x:v>
      </x:c>
      <x:c r="Q132" s="46" t="str">
        <x:v>https://elib.tiho-hannover.de/servlets/MCRFileNodeServlet/etd_derivate_00001197/baruths_ws10.pdf</x:v>
      </x:c>
      <x:c r="R132" s="46" t="n">
        <x:v>57</x:v>
      </x:c>
      <x:c r="S132" s="46" t="str">
        <x:v>quarantined_pending_corrected_table18_transcription</x:v>
      </x:c>
      <x:c r="T132" s="46" t="str">
        <x:v>eligible_presence_cluster_base</x:v>
      </x:c>
      <x:c r="U132" s="46" t="str">
        <x:v>Direct occurrence matrix. Shared occurrence does not imply equal abundance or sensory importance.</x:v>
      </x:c>
    </x:row>
    <x:row r="133">
      <x:c r="A133" s="46" t="str">
        <x:v>LFP-0132</x:v>
      </x:c>
      <x:c r="B133" s="46" t="str">
        <x:v>quail:roasted</x:v>
      </x:c>
      <x:c r="C133" s="46" t="str">
        <x:v>quail</x:v>
      </x:c>
      <x:c r="D133" s="46" t="str">
        <x:v>avian</x:v>
      </x:c>
      <x:c r="E133" s="46" t="str">
        <x:v>game_bird</x:v>
      </x:c>
      <x:c r="F133" s="46" t="str">
        <x:v>roasted_landfowl</x:v>
      </x:c>
      <x:c r="G133" s="46" t="str">
        <x:v>roasted</x:v>
      </x:c>
      <x:c r="H133" s="46" t="str">
        <x:v>1-pentanol</x:v>
      </x:c>
      <x:c r="I133" s="46" t="str">
        <x:v>1-Pentanol</x:v>
      </x:c>
      <x:c r="J133" s="46" t="str">
        <x:v>71-41-0</x:v>
      </x:c>
      <x:c r="K133" s="46" t="str">
        <x:v>Alcohols</x:v>
      </x:c>
      <x:c r="L133" s="46" t="n">
        <x:v>767</x:v>
      </x:c>
      <x:c r="M133" s="46" t="str">
        <x:v>Gummi, phenolisch</x:v>
      </x:c>
      <x:c r="N133" s="46" t="str">
        <x:v>landfowl_shared_base</x:v>
      </x:c>
      <x:c r="O133" s="46" t="str">
        <x:v>measured_occurrence_table17</x:v>
      </x:c>
      <x:c r="P133" s="46" t="str">
        <x:v>SRC-LANDFOWL-THESIS-001</x:v>
      </x:c>
      <x:c r="Q133" s="46" t="str">
        <x:v>https://elib.tiho-hannover.de/servlets/MCRFileNodeServlet/etd_derivate_00001197/baruths_ws10.pdf</x:v>
      </x:c>
      <x:c r="R133" s="46" t="n">
        <x:v>57</x:v>
      </x:c>
      <x:c r="S133" s="46" t="str">
        <x:v>quarantined_pending_corrected_table18_transcription</x:v>
      </x:c>
      <x:c r="T133" s="46" t="str">
        <x:v>eligible_presence_cluster_base</x:v>
      </x:c>
      <x:c r="U133" s="46" t="str">
        <x:v>Direct occurrence matrix. Shared occurrence does not imply equal abundance or sensory importance.</x:v>
      </x:c>
    </x:row>
    <x:row r="134">
      <x:c r="A134" s="46" t="str">
        <x:v>LFP-0133</x:v>
      </x:c>
      <x:c r="B134" s="46" t="str">
        <x:v>quail:roasted</x:v>
      </x:c>
      <x:c r="C134" s="46" t="str">
        <x:v>quail</x:v>
      </x:c>
      <x:c r="D134" s="46" t="str">
        <x:v>avian</x:v>
      </x:c>
      <x:c r="E134" s="46" t="str">
        <x:v>game_bird</x:v>
      </x:c>
      <x:c r="F134" s="46" t="str">
        <x:v>roasted_landfowl</x:v>
      </x:c>
      <x:c r="G134" s="46" t="str">
        <x:v>roasted</x:v>
      </x:c>
      <x:c r="H134" s="46" t="str">
        <x:v>hexanal</x:v>
      </x:c>
      <x:c r="I134" s="46" t="str">
        <x:v>Hexanal</x:v>
      </x:c>
      <x:c r="J134" s="46" t="str">
        <x:v>66-25-1</x:v>
      </x:c>
      <x:c r="K134" s="46" t="str">
        <x:v>Carbonyls, aldehydes</x:v>
      </x:c>
      <x:c r="L134" s="46" t="n">
        <x:v>801</x:v>
      </x:c>
      <x:c r="M134" s="46" t="str">
        <x:v>Kartoffel, blumig</x:v>
      </x:c>
      <x:c r="N134" s="46" t="str">
        <x:v>landfowl_shared_base</x:v>
      </x:c>
      <x:c r="O134" s="46" t="str">
        <x:v>measured_occurrence_table17</x:v>
      </x:c>
      <x:c r="P134" s="46" t="str">
        <x:v>SRC-LANDFOWL-THESIS-001</x:v>
      </x:c>
      <x:c r="Q134" s="46" t="str">
        <x:v>https://elib.tiho-hannover.de/servlets/MCRFileNodeServlet/etd_derivate_00001197/baruths_ws10.pdf</x:v>
      </x:c>
      <x:c r="R134" s="46" t="n">
        <x:v>57</x:v>
      </x:c>
      <x:c r="S134" s="46" t="str">
        <x:v>quarantined_pending_corrected_table18_transcription</x:v>
      </x:c>
      <x:c r="T134" s="46" t="str">
        <x:v>eligible_presence_cluster_base</x:v>
      </x:c>
      <x:c r="U134" s="46" t="str">
        <x:v>Direct occurrence matrix. Shared occurrence does not imply equal abundance or sensory importance.</x:v>
      </x:c>
    </x:row>
    <x:row r="135">
      <x:c r="A135" s="46" t="str">
        <x:v>LFP-0134</x:v>
      </x:c>
      <x:c r="B135" s="46" t="str">
        <x:v>quail:roasted</x:v>
      </x:c>
      <x:c r="C135" s="46" t="str">
        <x:v>quail</x:v>
      </x:c>
      <x:c r="D135" s="46" t="str">
        <x:v>avian</x:v>
      </x:c>
      <x:c r="E135" s="46" t="str">
        <x:v>game_bird</x:v>
      </x:c>
      <x:c r="F135" s="46" t="str">
        <x:v>roasted_landfowl</x:v>
      </x:c>
      <x:c r="G135" s="46" t="str">
        <x:v>roasted</x:v>
      </x:c>
      <x:c r="H135" s="46" t="str">
        <x:v>(E)-2-hexenal</x:v>
      </x:c>
      <x:c r="I135" s="46" t="str">
        <x:v>2-(E)-Hexenal</x:v>
      </x:c>
      <x:c r="J135" s="46" t="str">
        <x:v>6728-26-3</x:v>
      </x:c>
      <x:c r="K135" s="46" t="str">
        <x:v>Carbonyls, aldehydes</x:v>
      </x:c>
      <x:c r="L135" s="46" t="n">
        <x:v>849</x:v>
      </x:c>
      <x:c r="M135" s="46" t="str">
        <x:v>stechend, Marzipan</x:v>
      </x:c>
      <x:c r="N135" s="46" t="str">
        <x:v>landfowl_shared_base</x:v>
      </x:c>
      <x:c r="O135" s="46" t="str">
        <x:v>measured_occurrence_table17</x:v>
      </x:c>
      <x:c r="P135" s="46" t="str">
        <x:v>SRC-LANDFOWL-THESIS-001</x:v>
      </x:c>
      <x:c r="Q135" s="46" t="str">
        <x:v>https://elib.tiho-hannover.de/servlets/MCRFileNodeServlet/etd_derivate_00001197/baruths_ws10.pdf</x:v>
      </x:c>
      <x:c r="R135" s="46" t="n">
        <x:v>57</x:v>
      </x:c>
      <x:c r="S135" s="46" t="str">
        <x:v>quarantined_pending_corrected_table18_transcription</x:v>
      </x:c>
      <x:c r="T135" s="46" t="str">
        <x:v>eligible_presence_cluster_base</x:v>
      </x:c>
      <x:c r="U135" s="46" t="str">
        <x:v>Direct occurrence matrix. Shared occurrence does not imply equal abundance or sensory importance.</x:v>
      </x:c>
    </x:row>
    <x:row r="136">
      <x:c r="A136" s="46" t="str">
        <x:v>LFP-0135</x:v>
      </x:c>
      <x:c r="B136" s="46" t="str">
        <x:v>quail:roasted</x:v>
      </x:c>
      <x:c r="C136" s="46" t="str">
        <x:v>quail</x:v>
      </x:c>
      <x:c r="D136" s="46" t="str">
        <x:v>avian</x:v>
      </x:c>
      <x:c r="E136" s="46" t="str">
        <x:v>game_bird</x:v>
      </x:c>
      <x:c r="F136" s="46" t="str">
        <x:v>roasted_landfowl</x:v>
      </x:c>
      <x:c r="G136" s="46" t="str">
        <x:v>roasted</x:v>
      </x:c>
      <x:c r="H136" s="46" t="str">
        <x:v>1-hexanol</x:v>
      </x:c>
      <x:c r="I136" s="46" t="str">
        <x:v>1-Hexanol</x:v>
      </x:c>
      <x:c r="J136" s="46" t="str">
        <x:v>111-27-3</x:v>
      </x:c>
      <x:c r="K136" s="46" t="str">
        <x:v>Alcohols</x:v>
      </x:c>
      <x:c r="L136" s="46" t="n">
        <x:v>870</x:v>
      </x:c>
      <x:c r="M136" s="46" t="str">
        <x:v>Käse</x:v>
      </x:c>
      <x:c r="N136" s="46" t="str">
        <x:v>landfowl_shared_base</x:v>
      </x:c>
      <x:c r="O136" s="46" t="str">
        <x:v>measured_occurrence_table17</x:v>
      </x:c>
      <x:c r="P136" s="46" t="str">
        <x:v>SRC-LANDFOWL-THESIS-001</x:v>
      </x:c>
      <x:c r="Q136" s="46" t="str">
        <x:v>https://elib.tiho-hannover.de/servlets/MCRFileNodeServlet/etd_derivate_00001197/baruths_ws10.pdf</x:v>
      </x:c>
      <x:c r="R136" s="46" t="n">
        <x:v>57</x:v>
      </x:c>
      <x:c r="S136" s="46" t="str">
        <x:v>quarantined_pending_corrected_table18_transcription</x:v>
      </x:c>
      <x:c r="T136" s="46" t="str">
        <x:v>eligible_presence_cluster_base</x:v>
      </x:c>
      <x:c r="U136" s="46" t="str">
        <x:v>Direct occurrence matrix. Shared occurrence does not imply equal abundance or sensory importance.</x:v>
      </x:c>
    </x:row>
    <x:row r="137">
      <x:c r="A137" s="46" t="str">
        <x:v>LFP-0136</x:v>
      </x:c>
      <x:c r="B137" s="46" t="str">
        <x:v>quail:roasted</x:v>
      </x:c>
      <x:c r="C137" s="46" t="str">
        <x:v>quail</x:v>
      </x:c>
      <x:c r="D137" s="46" t="str">
        <x:v>avian</x:v>
      </x:c>
      <x:c r="E137" s="46" t="str">
        <x:v>game_bird</x:v>
      </x:c>
      <x:c r="F137" s="46" t="str">
        <x:v>roasted_landfowl</x:v>
      </x:c>
      <x:c r="G137" s="46" t="str">
        <x:v>roasted</x:v>
      </x:c>
      <x:c r="H137" s="46" t="str">
        <x:v>2-heptanone</x:v>
      </x:c>
      <x:c r="I137" s="46" t="str">
        <x:v>2-Heptanon</x:v>
      </x:c>
      <x:c r="J137" s="46" t="str">
        <x:v>110-43-0</x:v>
      </x:c>
      <x:c r="K137" s="46" t="str">
        <x:v>Carbonyls, ketones</x:v>
      </x:c>
      <x:c r="L137" s="46" t="n">
        <x:v>890</x:v>
      </x:c>
      <x:c r="M137" s="46" t="str">
        <x:v>Rhabarber, muffig</x:v>
      </x:c>
      <x:c r="N137" s="46" t="str">
        <x:v>landfowl_shared_base</x:v>
      </x:c>
      <x:c r="O137" s="46" t="str">
        <x:v>measured_occurrence_table17</x:v>
      </x:c>
      <x:c r="P137" s="46" t="str">
        <x:v>SRC-LANDFOWL-THESIS-001</x:v>
      </x:c>
      <x:c r="Q137" s="46" t="str">
        <x:v>https://elib.tiho-hannover.de/servlets/MCRFileNodeServlet/etd_derivate_00001197/baruths_ws10.pdf</x:v>
      </x:c>
      <x:c r="R137" s="46" t="n">
        <x:v>57</x:v>
      </x:c>
      <x:c r="S137" s="46" t="str">
        <x:v>quarantined_pending_corrected_table18_transcription</x:v>
      </x:c>
      <x:c r="T137" s="46" t="str">
        <x:v>eligible_presence_cluster_base</x:v>
      </x:c>
      <x:c r="U137" s="46" t="str">
        <x:v>Direct occurrence matrix. Shared occurrence does not imply equal abundance or sensory importance.</x:v>
      </x:c>
    </x:row>
    <x:row r="138">
      <x:c r="A138" s="46" t="str">
        <x:v>LFP-0137</x:v>
      </x:c>
      <x:c r="B138" s="46" t="str">
        <x:v>quail:roasted</x:v>
      </x:c>
      <x:c r="C138" s="46" t="str">
        <x:v>quail</x:v>
      </x:c>
      <x:c r="D138" s="46" t="str">
        <x:v>avian</x:v>
      </x:c>
      <x:c r="E138" s="46" t="str">
        <x:v>game_bird</x:v>
      </x:c>
      <x:c r="F138" s="46" t="str">
        <x:v>roasted_landfowl</x:v>
      </x:c>
      <x:c r="G138" s="46" t="str">
        <x:v>roasted</x:v>
      </x:c>
      <x:c r="H138" s="46" t="str">
        <x:v>heptanal</x:v>
      </x:c>
      <x:c r="I138" s="46" t="str">
        <x:v>Heptanal</x:v>
      </x:c>
      <x:c r="J138" s="46" t="str">
        <x:v>111-71-7</x:v>
      </x:c>
      <x:c r="K138" s="46" t="str">
        <x:v>Carbonyls, aldehydes</x:v>
      </x:c>
      <x:c r="L138" s="46" t="n">
        <x:v>901</x:v>
      </x:c>
      <x:c r="M138" s="46" t="str">
        <x:v>Fruchtig, Kartoffel</x:v>
      </x:c>
      <x:c r="N138" s="46" t="str">
        <x:v>landfowl_shared_base</x:v>
      </x:c>
      <x:c r="O138" s="46" t="str">
        <x:v>measured_occurrence_table17</x:v>
      </x:c>
      <x:c r="P138" s="46" t="str">
        <x:v>SRC-LANDFOWL-THESIS-001</x:v>
      </x:c>
      <x:c r="Q138" s="46" t="str">
        <x:v>https://elib.tiho-hannover.de/servlets/MCRFileNodeServlet/etd_derivate_00001197/baruths_ws10.pdf</x:v>
      </x:c>
      <x:c r="R138" s="46" t="n">
        <x:v>57</x:v>
      </x:c>
      <x:c r="S138" s="46" t="str">
        <x:v>quarantined_pending_corrected_table18_transcription</x:v>
      </x:c>
      <x:c r="T138" s="46" t="str">
        <x:v>eligible_presence_cluster_base</x:v>
      </x:c>
      <x:c r="U138" s="46" t="str">
        <x:v>Direct occurrence matrix. Shared occurrence does not imply equal abundance or sensory importance.</x:v>
      </x:c>
    </x:row>
    <x:row r="139">
      <x:c r="A139" s="46" t="str">
        <x:v>LFP-0138</x:v>
      </x:c>
      <x:c r="B139" s="46" t="str">
        <x:v>quail:roasted</x:v>
      </x:c>
      <x:c r="C139" s="46" t="str">
        <x:v>quail</x:v>
      </x:c>
      <x:c r="D139" s="46" t="str">
        <x:v>avian</x:v>
      </x:c>
      <x:c r="E139" s="46" t="str">
        <x:v>game_bird</x:v>
      </x:c>
      <x:c r="F139" s="46" t="str">
        <x:v>roasted_landfowl</x:v>
      </x:c>
      <x:c r="G139" s="46" t="str">
        <x:v>roasted</x:v>
      </x:c>
      <x:c r="H139" s="46" t="str">
        <x:v>(E)-2-heptenal</x:v>
      </x:c>
      <x:c r="I139" s="46" t="str">
        <x:v>2-(E)-Heptenal</x:v>
      </x:c>
      <x:c r="J139" s="46" t="str">
        <x:v>18829-55-5</x:v>
      </x:c>
      <x:c r="K139" s="46" t="str">
        <x:v>Carbonyls, aldehydes</x:v>
      </x:c>
      <x:c r="L139" s="46" t="n">
        <x:v>966</x:v>
      </x:c>
      <x:c r="M139" s="46" t="str">
        <x:v>Mandel, Zimt</x:v>
      </x:c>
      <x:c r="N139" s="46" t="str">
        <x:v>landfowl_shared_base</x:v>
      </x:c>
      <x:c r="O139" s="46" t="str">
        <x:v>measured_occurrence_table17</x:v>
      </x:c>
      <x:c r="P139" s="46" t="str">
        <x:v>SRC-LANDFOWL-THESIS-001</x:v>
      </x:c>
      <x:c r="Q139" s="46" t="str">
        <x:v>https://elib.tiho-hannover.de/servlets/MCRFileNodeServlet/etd_derivate_00001197/baruths_ws10.pdf</x:v>
      </x:c>
      <x:c r="R139" s="46" t="n">
        <x:v>57</x:v>
      </x:c>
      <x:c r="S139" s="46" t="str">
        <x:v>quarantined_pending_corrected_table18_transcription</x:v>
      </x:c>
      <x:c r="T139" s="46" t="str">
        <x:v>eligible_presence_cluster_base</x:v>
      </x:c>
      <x:c r="U139" s="46" t="str">
        <x:v>Direct occurrence matrix. Shared occurrence does not imply equal abundance or sensory importance.</x:v>
      </x:c>
    </x:row>
    <x:row r="140">
      <x:c r="A140" s="46" t="str">
        <x:v>LFP-0139</x:v>
      </x:c>
      <x:c r="B140" s="46" t="str">
        <x:v>quail:roasted</x:v>
      </x:c>
      <x:c r="C140" s="46" t="str">
        <x:v>quail</x:v>
      </x:c>
      <x:c r="D140" s="46" t="str">
        <x:v>avian</x:v>
      </x:c>
      <x:c r="E140" s="46" t="str">
        <x:v>game_bird</x:v>
      </x:c>
      <x:c r="F140" s="46" t="str">
        <x:v>roasted_landfowl</x:v>
      </x:c>
      <x:c r="G140" s="46" t="str">
        <x:v>roasted</x:v>
      </x:c>
      <x:c r="H140" s="46" t="str">
        <x:v>benzaldehyde</x:v>
      </x:c>
      <x:c r="I140" s="46" t="str">
        <x:v>Benzaldehyd</x:v>
      </x:c>
      <x:c r="J140" s="46" t="str">
        <x:v>100-52-7</x:v>
      </x:c>
      <x:c r="K140" s="46" t="str">
        <x:v>Carbonyls, aldehydes</x:v>
      </x:c>
      <x:c r="L140" s="46" t="n">
        <x:v>968</x:v>
      </x:c>
      <x:c r="M140" s="46" t="str">
        <x:v>n.d.</x:v>
      </x:c>
      <x:c r="N140" s="46" t="str">
        <x:v>landfowl_shared_base</x:v>
      </x:c>
      <x:c r="O140" s="46" t="str">
        <x:v>measured_occurrence_table17</x:v>
      </x:c>
      <x:c r="P140" s="46" t="str">
        <x:v>SRC-LANDFOWL-THESIS-001</x:v>
      </x:c>
      <x:c r="Q140" s="46" t="str">
        <x:v>https://elib.tiho-hannover.de/servlets/MCRFileNodeServlet/etd_derivate_00001197/baruths_ws10.pdf</x:v>
      </x:c>
      <x:c r="R140" s="46" t="n">
        <x:v>57</x:v>
      </x:c>
      <x:c r="S140" s="46" t="str">
        <x:v>quarantined_pending_corrected_table18_transcription</x:v>
      </x:c>
      <x:c r="T140" s="46" t="str">
        <x:v>eligible_presence_cluster_base</x:v>
      </x:c>
      <x:c r="U140" s="46" t="str">
        <x:v>Direct occurrence matrix. Shared occurrence does not imply equal abundance or sensory importance.</x:v>
      </x:c>
    </x:row>
    <x:row r="141">
      <x:c r="A141" s="46" t="str">
        <x:v>LFP-0140</x:v>
      </x:c>
      <x:c r="B141" s="46" t="str">
        <x:v>quail:roasted</x:v>
      </x:c>
      <x:c r="C141" s="46" t="str">
        <x:v>quail</x:v>
      </x:c>
      <x:c r="D141" s="46" t="str">
        <x:v>avian</x:v>
      </x:c>
      <x:c r="E141" s="46" t="str">
        <x:v>game_bird</x:v>
      </x:c>
      <x:c r="F141" s="46" t="str">
        <x:v>roasted_landfowl</x:v>
      </x:c>
      <x:c r="G141" s="46" t="str">
        <x:v>roasted</x:v>
      </x:c>
      <x:c r="H141" s="46" t="str">
        <x:v>1-heptanol</x:v>
      </x:c>
      <x:c r="I141" s="46" t="str">
        <x:v>1-Heptanol</x:v>
      </x:c>
      <x:c r="J141" s="46" t="str">
        <x:v>111-70-6</x:v>
      </x:c>
      <x:c r="K141" s="46" t="str">
        <x:v>Alcohols</x:v>
      </x:c>
      <x:c r="L141" s="46" t="n">
        <x:v>974</x:v>
      </x:c>
      <x:c r="M141" s="46" t="str">
        <x:v>n.d.</x:v>
      </x:c>
      <x:c r="N141" s="46" t="str">
        <x:v>landfowl_shared_base</x:v>
      </x:c>
      <x:c r="O141" s="46" t="str">
        <x:v>measured_occurrence_table17</x:v>
      </x:c>
      <x:c r="P141" s="46" t="str">
        <x:v>SRC-LANDFOWL-THESIS-001</x:v>
      </x:c>
      <x:c r="Q141" s="46" t="str">
        <x:v>https://elib.tiho-hannover.de/servlets/MCRFileNodeServlet/etd_derivate_00001197/baruths_ws10.pdf</x:v>
      </x:c>
      <x:c r="R141" s="46" t="n">
        <x:v>57</x:v>
      </x:c>
      <x:c r="S141" s="46" t="str">
        <x:v>quarantined_pending_corrected_table18_transcription</x:v>
      </x:c>
      <x:c r="T141" s="46" t="str">
        <x:v>eligible_presence_cluster_base</x:v>
      </x:c>
      <x:c r="U141" s="46" t="str">
        <x:v>Direct occurrence matrix. Shared occurrence does not imply equal abundance or sensory importance.</x:v>
      </x:c>
    </x:row>
    <x:row r="142">
      <x:c r="A142" s="46" t="str">
        <x:v>LFP-0141</x:v>
      </x:c>
      <x:c r="B142" s="46" t="str">
        <x:v>quail:roasted</x:v>
      </x:c>
      <x:c r="C142" s="46" t="str">
        <x:v>quail</x:v>
      </x:c>
      <x:c r="D142" s="46" t="str">
        <x:v>avian</x:v>
      </x:c>
      <x:c r="E142" s="46" t="str">
        <x:v>game_bird</x:v>
      </x:c>
      <x:c r="F142" s="46" t="str">
        <x:v>roasted_landfowl</x:v>
      </x:c>
      <x:c r="G142" s="46" t="str">
        <x:v>roasted</x:v>
      </x:c>
      <x:c r="H142" s="46" t="str">
        <x:v>1-octen-3-ol</x:v>
      </x:c>
      <x:c r="I142" s="46" t="str">
        <x:v>1-Octen-3-ol</x:v>
      </x:c>
      <x:c r="J142" s="46" t="str">
        <x:v>3391-86-4</x:v>
      </x:c>
      <x:c r="K142" s="46" t="str">
        <x:v>Alcohols</x:v>
      </x:c>
      <x:c r="L142" s="46" t="n">
        <x:v>982</x:v>
      </x:c>
      <x:c r="M142" s="46" t="str">
        <x:v>Champignon</x:v>
      </x:c>
      <x:c r="N142" s="46" t="str">
        <x:v>landfowl_shared_base</x:v>
      </x:c>
      <x:c r="O142" s="46" t="str">
        <x:v>measured_occurrence_table17</x:v>
      </x:c>
      <x:c r="P142" s="46" t="str">
        <x:v>SRC-LANDFOWL-THESIS-001</x:v>
      </x:c>
      <x:c r="Q142" s="46" t="str">
        <x:v>https://elib.tiho-hannover.de/servlets/MCRFileNodeServlet/etd_derivate_00001197/baruths_ws10.pdf</x:v>
      </x:c>
      <x:c r="R142" s="46" t="n">
        <x:v>57</x:v>
      </x:c>
      <x:c r="S142" s="46" t="str">
        <x:v>quarantined_pending_corrected_table18_transcription</x:v>
      </x:c>
      <x:c r="T142" s="46" t="str">
        <x:v>eligible_presence_cluster_base</x:v>
      </x:c>
      <x:c r="U142" s="46" t="str">
        <x:v>Direct occurrence matrix. Shared occurrence does not imply equal abundance or sensory importance.</x:v>
      </x:c>
    </x:row>
    <x:row r="143">
      <x:c r="A143" s="46" t="str">
        <x:v>LFP-0142</x:v>
      </x:c>
      <x:c r="B143" s="46" t="str">
        <x:v>quail:roasted</x:v>
      </x:c>
      <x:c r="C143" s="46" t="str">
        <x:v>quail</x:v>
      </x:c>
      <x:c r="D143" s="46" t="str">
        <x:v>avian</x:v>
      </x:c>
      <x:c r="E143" s="46" t="str">
        <x:v>game_bird</x:v>
      </x:c>
      <x:c r="F143" s="46" t="str">
        <x:v>roasted_landfowl</x:v>
      </x:c>
      <x:c r="G143" s="46" t="str">
        <x:v>roasted</x:v>
      </x:c>
      <x:c r="H143" s="46" t="str">
        <x:v>3-nonen-2-one</x:v>
      </x:c>
      <x:c r="I143" s="46" t="str">
        <x:v>3-Nonen-2-on</x:v>
      </x:c>
      <x:c r="J143" s="46" t="str">
        <x:v>14309-57-0</x:v>
      </x:c>
      <x:c r="K143" s="46" t="str">
        <x:v>Carbonyls, ketones</x:v>
      </x:c>
      <x:c r="L143" s="46" t="n">
        <x:v>987</x:v>
      </x:c>
      <x:c r="M143" s="46" t="str">
        <x:v>n.d.</x:v>
      </x:c>
      <x:c r="N143" s="46" t="str">
        <x:v>landfowl_shared_base</x:v>
      </x:c>
      <x:c r="O143" s="46" t="str">
        <x:v>measured_occurrence_table17</x:v>
      </x:c>
      <x:c r="P143" s="46" t="str">
        <x:v>SRC-LANDFOWL-THESIS-001</x:v>
      </x:c>
      <x:c r="Q143" s="46" t="str">
        <x:v>https://elib.tiho-hannover.de/servlets/MCRFileNodeServlet/etd_derivate_00001197/baruths_ws10.pdf</x:v>
      </x:c>
      <x:c r="R143" s="46" t="n">
        <x:v>57</x:v>
      </x:c>
      <x:c r="S143" s="46" t="str">
        <x:v>quarantined_pending_corrected_table18_transcription</x:v>
      </x:c>
      <x:c r="T143" s="46" t="str">
        <x:v>eligible_presence_cluster_base</x:v>
      </x:c>
      <x:c r="U143" s="46" t="str">
        <x:v>Direct occurrence matrix. Shared occurrence does not imply equal abundance or sensory importance.</x:v>
      </x:c>
    </x:row>
    <x:row r="144">
      <x:c r="A144" s="46" t="str">
        <x:v>LFP-0143</x:v>
      </x:c>
      <x:c r="B144" s="46" t="str">
        <x:v>quail:roasted</x:v>
      </x:c>
      <x:c r="C144" s="46" t="str">
        <x:v>quail</x:v>
      </x:c>
      <x:c r="D144" s="46" t="str">
        <x:v>avian</x:v>
      </x:c>
      <x:c r="E144" s="46" t="str">
        <x:v>game_bird</x:v>
      </x:c>
      <x:c r="F144" s="46" t="str">
        <x:v>roasted_landfowl</x:v>
      </x:c>
      <x:c r="G144" s="46" t="str">
        <x:v>roasted</x:v>
      </x:c>
      <x:c r="H144" s="46" t="str">
        <x:v>(E,E)-2,4-heptadienal</x:v>
      </x:c>
      <x:c r="I144" s="46" t="str">
        <x:v>2,4-(E,E)-Heptadienal</x:v>
      </x:c>
      <x:c r="J144" s="46" t="str">
        <x:v>4313-03-5</x:v>
      </x:c>
      <x:c r="K144" s="46" t="str">
        <x:v>Carbonyls, aldehydes</x:v>
      </x:c>
      <x:c r="L144" s="46" t="n">
        <x:v>996</x:v>
      </x:c>
      <x:c r="M144" s="46" t="str">
        <x:v>n.d.</x:v>
      </x:c>
      <x:c r="N144" s="46" t="str">
        <x:v>landfowl_shared_base</x:v>
      </x:c>
      <x:c r="O144" s="46" t="str">
        <x:v>measured_occurrence_table17</x:v>
      </x:c>
      <x:c r="P144" s="46" t="str">
        <x:v>SRC-LANDFOWL-THESIS-001</x:v>
      </x:c>
      <x:c r="Q144" s="46" t="str">
        <x:v>https://elib.tiho-hannover.de/servlets/MCRFileNodeServlet/etd_derivate_00001197/baruths_ws10.pdf</x:v>
      </x:c>
      <x:c r="R144" s="46" t="n">
        <x:v>57</x:v>
      </x:c>
      <x:c r="S144" s="46" t="str">
        <x:v>quarantined_pending_corrected_table18_transcription</x:v>
      </x:c>
      <x:c r="T144" s="46" t="str">
        <x:v>eligible_presence_cluster_base</x:v>
      </x:c>
      <x:c r="U144" s="46" t="str">
        <x:v>Direct occurrence matrix. Shared occurrence does not imply equal abundance or sensory importance.</x:v>
      </x:c>
    </x:row>
    <x:row r="145">
      <x:c r="A145" s="46" t="str">
        <x:v>LFP-0144</x:v>
      </x:c>
      <x:c r="B145" s="46" t="str">
        <x:v>quail:roasted</x:v>
      </x:c>
      <x:c r="C145" s="46" t="str">
        <x:v>quail</x:v>
      </x:c>
      <x:c r="D145" s="46" t="str">
        <x:v>avian</x:v>
      </x:c>
      <x:c r="E145" s="46" t="str">
        <x:v>game_bird</x:v>
      </x:c>
      <x:c r="F145" s="46" t="str">
        <x:v>roasted_landfowl</x:v>
      </x:c>
      <x:c r="G145" s="46" t="str">
        <x:v>roasted</x:v>
      </x:c>
      <x:c r="H145" s="46" t="str">
        <x:v>octanal</x:v>
      </x:c>
      <x:c r="I145" s="46" t="str">
        <x:v>Octanal</x:v>
      </x:c>
      <x:c r="J145" s="46" t="str">
        <x:v>124-13-0</x:v>
      </x:c>
      <x:c r="K145" s="46" t="str">
        <x:v>Carbonyls, aldehydes</x:v>
      </x:c>
      <x:c r="L145" s="46" t="n">
        <x:v>1002</x:v>
      </x:c>
      <x:c r="M145" s="46" t="str">
        <x:v>Blumig, stechend</x:v>
      </x:c>
      <x:c r="N145" s="46" t="str">
        <x:v>landfowl_shared_base</x:v>
      </x:c>
      <x:c r="O145" s="46" t="str">
        <x:v>measured_occurrence_table17</x:v>
      </x:c>
      <x:c r="P145" s="46" t="str">
        <x:v>SRC-LANDFOWL-THESIS-001</x:v>
      </x:c>
      <x:c r="Q145" s="46" t="str">
        <x:v>https://elib.tiho-hannover.de/servlets/MCRFileNodeServlet/etd_derivate_00001197/baruths_ws10.pdf</x:v>
      </x:c>
      <x:c r="R145" s="46" t="n">
        <x:v>57</x:v>
      </x:c>
      <x:c r="S145" s="46" t="str">
        <x:v>quarantined_pending_corrected_table18_transcription</x:v>
      </x:c>
      <x:c r="T145" s="46" t="str">
        <x:v>eligible_presence_cluster_base</x:v>
      </x:c>
      <x:c r="U145" s="46" t="str">
        <x:v>Direct occurrence matrix. Shared occurrence does not imply equal abundance or sensory importance.</x:v>
      </x:c>
    </x:row>
    <x:row r="146">
      <x:c r="A146" s="46" t="str">
        <x:v>LFP-0145</x:v>
      </x:c>
      <x:c r="B146" s="46" t="str">
        <x:v>quail:roasted</x:v>
      </x:c>
      <x:c r="C146" s="46" t="str">
        <x:v>quail</x:v>
      </x:c>
      <x:c r="D146" s="46" t="str">
        <x:v>avian</x:v>
      </x:c>
      <x:c r="E146" s="46" t="str">
        <x:v>game_bird</x:v>
      </x:c>
      <x:c r="F146" s="46" t="str">
        <x:v>roasted_landfowl</x:v>
      </x:c>
      <x:c r="G146" s="46" t="str">
        <x:v>roasted</x:v>
      </x:c>
      <x:c r="H146" s="46" t="str">
        <x:v>(E,Z)-2,4-heptadienal</x:v>
      </x:c>
      <x:c r="I146" s="46" t="str">
        <x:v>2,4-(E,Z)-Heptadienal</x:v>
      </x:c>
      <x:c r="J146" s="46" t="str">
        <x:v>4313-02-4</x:v>
      </x:c>
      <x:c r="K146" s="46" t="str">
        <x:v>Carbonyls, aldehydes</x:v>
      </x:c>
      <x:c r="L146" s="46" t="n">
        <x:v>1011</x:v>
      </x:c>
      <x:c r="M146" s="46" t="str">
        <x:v>geröstet, Zimt</x:v>
      </x:c>
      <x:c r="N146" s="46" t="str">
        <x:v>landfowl_shared_base</x:v>
      </x:c>
      <x:c r="O146" s="46" t="str">
        <x:v>measured_occurrence_table17</x:v>
      </x:c>
      <x:c r="P146" s="46" t="str">
        <x:v>SRC-LANDFOWL-THESIS-001</x:v>
      </x:c>
      <x:c r="Q146" s="46" t="str">
        <x:v>https://elib.tiho-hannover.de/servlets/MCRFileNodeServlet/etd_derivate_00001197/baruths_ws10.pdf</x:v>
      </x:c>
      <x:c r="R146" s="46" t="n">
        <x:v>57</x:v>
      </x:c>
      <x:c r="S146" s="46" t="str">
        <x:v>quarantined_pending_corrected_table18_transcription</x:v>
      </x:c>
      <x:c r="T146" s="46" t="str">
        <x:v>eligible_presence_cluster_base</x:v>
      </x:c>
      <x:c r="U146" s="46" t="str">
        <x:v>Direct occurrence matrix. Shared occurrence does not imply equal abundance or sensory importance.</x:v>
      </x:c>
    </x:row>
    <x:row r="147">
      <x:c r="A147" s="46" t="str">
        <x:v>LFP-0146</x:v>
      </x:c>
      <x:c r="B147" s="46" t="str">
        <x:v>quail:roasted</x:v>
      </x:c>
      <x:c r="C147" s="46" t="str">
        <x:v>quail</x:v>
      </x:c>
      <x:c r="D147" s="46" t="str">
        <x:v>avian</x:v>
      </x:c>
      <x:c r="E147" s="46" t="str">
        <x:v>game_bird</x:v>
      </x:c>
      <x:c r="F147" s="46" t="str">
        <x:v>roasted_landfowl</x:v>
      </x:c>
      <x:c r="G147" s="46" t="str">
        <x:v>roasted</x:v>
      </x:c>
      <x:c r="H147" s="46" t="str">
        <x:v>(E)-2-octenal</x:v>
      </x:c>
      <x:c r="I147" s="46" t="str">
        <x:v>2-(E)-Octenal</x:v>
      </x:c>
      <x:c r="J147" s="46" t="str">
        <x:v>2548-87-0</x:v>
      </x:c>
      <x:c r="K147" s="46" t="str">
        <x:v>Carbonyls, aldehydes</x:v>
      </x:c>
      <x:c r="L147" s="46" t="n">
        <x:v>1050</x:v>
      </x:c>
      <x:c r="M147" s="46" t="str">
        <x:v>Feuchte Erde</x:v>
      </x:c>
      <x:c r="N147" s="46" t="str">
        <x:v>landfowl_shared_base</x:v>
      </x:c>
      <x:c r="O147" s="46" t="str">
        <x:v>measured_occurrence_table17</x:v>
      </x:c>
      <x:c r="P147" s="46" t="str">
        <x:v>SRC-LANDFOWL-THESIS-001</x:v>
      </x:c>
      <x:c r="Q147" s="46" t="str">
        <x:v>https://elib.tiho-hannover.de/servlets/MCRFileNodeServlet/etd_derivate_00001197/baruths_ws10.pdf</x:v>
      </x:c>
      <x:c r="R147" s="46" t="n">
        <x:v>57</x:v>
      </x:c>
      <x:c r="S147" s="46" t="str">
        <x:v>quarantined_pending_corrected_table18_transcription</x:v>
      </x:c>
      <x:c r="T147" s="46" t="str">
        <x:v>eligible_presence_cluster_base</x:v>
      </x:c>
      <x:c r="U147" s="46" t="str">
        <x:v>Direct occurrence matrix. Shared occurrence does not imply equal abundance or sensory importance.</x:v>
      </x:c>
    </x:row>
    <x:row r="148">
      <x:c r="A148" s="46" t="str">
        <x:v>LFP-0147</x:v>
      </x:c>
      <x:c r="B148" s="46" t="str">
        <x:v>quail:roasted</x:v>
      </x:c>
      <x:c r="C148" s="46" t="str">
        <x:v>quail</x:v>
      </x:c>
      <x:c r="D148" s="46" t="str">
        <x:v>avian</x:v>
      </x:c>
      <x:c r="E148" s="46" t="str">
        <x:v>game_bird</x:v>
      </x:c>
      <x:c r="F148" s="46" t="str">
        <x:v>roasted_landfowl</x:v>
      </x:c>
      <x:c r="G148" s="46" t="str">
        <x:v>roasted</x:v>
      </x:c>
      <x:c r="H148" s="46" t="str">
        <x:v>1-octanol</x:v>
      </x:c>
      <x:c r="I148" s="46" t="str">
        <x:v>1-Octanol</x:v>
      </x:c>
      <x:c r="J148" s="46" t="str">
        <x:v>111-87-5</x:v>
      </x:c>
      <x:c r="K148" s="46" t="str">
        <x:v>Alcohols</x:v>
      </x:c>
      <x:c r="L148" s="46" t="n">
        <x:v>1073</x:v>
      </x:c>
      <x:c r="M148" s="46" t="str">
        <x:v>Butter, fettig</x:v>
      </x:c>
      <x:c r="N148" s="46" t="str">
        <x:v>landfowl_shared_base</x:v>
      </x:c>
      <x:c r="O148" s="46" t="str">
        <x:v>measured_occurrence_table17</x:v>
      </x:c>
      <x:c r="P148" s="46" t="str">
        <x:v>SRC-LANDFOWL-THESIS-001</x:v>
      </x:c>
      <x:c r="Q148" s="46" t="str">
        <x:v>https://elib.tiho-hannover.de/servlets/MCRFileNodeServlet/etd_derivate_00001197/baruths_ws10.pdf</x:v>
      </x:c>
      <x:c r="R148" s="46" t="n">
        <x:v>57</x:v>
      </x:c>
      <x:c r="S148" s="46" t="str">
        <x:v>quarantined_pending_corrected_table18_transcription</x:v>
      </x:c>
      <x:c r="T148" s="46" t="str">
        <x:v>eligible_presence_cluster_base</x:v>
      </x:c>
      <x:c r="U148" s="46" t="str">
        <x:v>Direct occurrence matrix. Shared occurrence does not imply equal abundance or sensory importance.</x:v>
      </x:c>
    </x:row>
    <x:row r="149">
      <x:c r="A149" s="46" t="str">
        <x:v>LFP-0148</x:v>
      </x:c>
      <x:c r="B149" s="46" t="str">
        <x:v>quail:roasted</x:v>
      </x:c>
      <x:c r="C149" s="46" t="str">
        <x:v>quail</x:v>
      </x:c>
      <x:c r="D149" s="46" t="str">
        <x:v>avian</x:v>
      </x:c>
      <x:c r="E149" s="46" t="str">
        <x:v>game_bird</x:v>
      </x:c>
      <x:c r="F149" s="46" t="str">
        <x:v>roasted_landfowl</x:v>
      </x:c>
      <x:c r="G149" s="46" t="str">
        <x:v>roasted</x:v>
      </x:c>
      <x:c r="H149" s="46" t="str">
        <x:v>undecane</x:v>
      </x:c>
      <x:c r="I149" s="46" t="str">
        <x:v>Undecan</x:v>
      </x:c>
      <x:c r="J149" s="46" t="str">
        <x:v>1120-21-4</x:v>
      </x:c>
      <x:c r="K149" s="46" t="str">
        <x:v>Hydrocarbons</x:v>
      </x:c>
      <x:c r="L149" s="46" t="n">
        <x:v>1098</x:v>
      </x:c>
      <x:c r="M149" s="46" t="str">
        <x:v>n.d.</x:v>
      </x:c>
      <x:c r="N149" s="46" t="str">
        <x:v>landfowl_shared_base</x:v>
      </x:c>
      <x:c r="O149" s="46" t="str">
        <x:v>measured_occurrence_table17</x:v>
      </x:c>
      <x:c r="P149" s="46" t="str">
        <x:v>SRC-LANDFOWL-THESIS-001</x:v>
      </x:c>
      <x:c r="Q149" s="46" t="str">
        <x:v>https://elib.tiho-hannover.de/servlets/MCRFileNodeServlet/etd_derivate_00001197/baruths_ws10.pdf</x:v>
      </x:c>
      <x:c r="R149" s="46" t="n">
        <x:v>57</x:v>
      </x:c>
      <x:c r="S149" s="46" t="str">
        <x:v>quarantined_pending_corrected_table18_transcription</x:v>
      </x:c>
      <x:c r="T149" s="46" t="str">
        <x:v>eligible_presence_cluster_base</x:v>
      </x:c>
      <x:c r="U149" s="46" t="str">
        <x:v>Direct occurrence matrix. Shared occurrence does not imply equal abundance or sensory importance.</x:v>
      </x:c>
    </x:row>
    <x:row r="150">
      <x:c r="A150" s="46" t="str">
        <x:v>LFP-0149</x:v>
      </x:c>
      <x:c r="B150" s="46" t="str">
        <x:v>quail:roasted</x:v>
      </x:c>
      <x:c r="C150" s="46" t="str">
        <x:v>quail</x:v>
      </x:c>
      <x:c r="D150" s="46" t="str">
        <x:v>avian</x:v>
      </x:c>
      <x:c r="E150" s="46" t="str">
        <x:v>game_bird</x:v>
      </x:c>
      <x:c r="F150" s="46" t="str">
        <x:v>roasted_landfowl</x:v>
      </x:c>
      <x:c r="G150" s="46" t="str">
        <x:v>roasted</x:v>
      </x:c>
      <x:c r="H150" s="46" t="str">
        <x:v>nonanal</x:v>
      </x:c>
      <x:c r="I150" s="46" t="str">
        <x:v>Nonanal</x:v>
      </x:c>
      <x:c r="J150" s="46" t="str">
        <x:v>124-19-6</x:v>
      </x:c>
      <x:c r="K150" s="46" t="str">
        <x:v>Carbonyls, aldehydes</x:v>
      </x:c>
      <x:c r="L150" s="46" t="n">
        <x:v>1105</x:v>
      </x:c>
      <x:c r="M150" s="46" t="str">
        <x:v>Kohle, Rauch</x:v>
      </x:c>
      <x:c r="N150" s="46" t="str">
        <x:v>landfowl_shared_base</x:v>
      </x:c>
      <x:c r="O150" s="46" t="str">
        <x:v>measured_occurrence_table17</x:v>
      </x:c>
      <x:c r="P150" s="46" t="str">
        <x:v>SRC-LANDFOWL-THESIS-001</x:v>
      </x:c>
      <x:c r="Q150" s="46" t="str">
        <x:v>https://elib.tiho-hannover.de/servlets/MCRFileNodeServlet/etd_derivate_00001197/baruths_ws10.pdf</x:v>
      </x:c>
      <x:c r="R150" s="46" t="n">
        <x:v>57</x:v>
      </x:c>
      <x:c r="S150" s="46" t="str">
        <x:v>quarantined_pending_corrected_table18_transcription</x:v>
      </x:c>
      <x:c r="T150" s="46" t="str">
        <x:v>eligible_presence_cluster_base</x:v>
      </x:c>
      <x:c r="U150" s="46" t="str">
        <x:v>Direct occurrence matrix. Shared occurrence does not imply equal abundance or sensory importance.</x:v>
      </x:c>
    </x:row>
    <x:row r="151">
      <x:c r="A151" s="46" t="str">
        <x:v>LFP-0150</x:v>
      </x:c>
      <x:c r="B151" s="46" t="str">
        <x:v>quail:roasted</x:v>
      </x:c>
      <x:c r="C151" s="46" t="str">
        <x:v>quail</x:v>
      </x:c>
      <x:c r="D151" s="46" t="str">
        <x:v>avian</x:v>
      </x:c>
      <x:c r="E151" s="46" t="str">
        <x:v>game_bird</x:v>
      </x:c>
      <x:c r="F151" s="46" t="str">
        <x:v>roasted_landfowl</x:v>
      </x:c>
      <x:c r="G151" s="46" t="str">
        <x:v>roasted</x:v>
      </x:c>
      <x:c r="H151" s="46" t="str">
        <x:v>(E)-2-nonenal</x:v>
      </x:c>
      <x:c r="I151" s="46" t="str">
        <x:v>2-(E)-Nonenal</x:v>
      </x:c>
      <x:c r="J151" s="46" t="str">
        <x:v>18829-56-6</x:v>
      </x:c>
      <x:c r="K151" s="46" t="str">
        <x:v>Carbonyls, aldehydes</x:v>
      </x:c>
      <x:c r="L151" s="46" t="n">
        <x:v>1162</x:v>
      </x:c>
      <x:c r="M151" s="46" t="str">
        <x:v>Lindenblüten</x:v>
      </x:c>
      <x:c r="N151" s="46" t="str">
        <x:v>landfowl_shared_base</x:v>
      </x:c>
      <x:c r="O151" s="46" t="str">
        <x:v>measured_occurrence_table17</x:v>
      </x:c>
      <x:c r="P151" s="46" t="str">
        <x:v>SRC-LANDFOWL-THESIS-001</x:v>
      </x:c>
      <x:c r="Q151" s="46" t="str">
        <x:v>https://elib.tiho-hannover.de/servlets/MCRFileNodeServlet/etd_derivate_00001197/baruths_ws10.pdf</x:v>
      </x:c>
      <x:c r="R151" s="46" t="n">
        <x:v>57</x:v>
      </x:c>
      <x:c r="S151" s="46" t="str">
        <x:v>quarantined_pending_corrected_table18_transcription</x:v>
      </x:c>
      <x:c r="T151" s="46" t="str">
        <x:v>eligible_presence_cluster_base</x:v>
      </x:c>
      <x:c r="U151" s="46" t="str">
        <x:v>Direct occurrence matrix. Shared occurrence does not imply equal abundance or sensory importance.</x:v>
      </x:c>
    </x:row>
    <x:row r="152">
      <x:c r="A152" s="46" t="str">
        <x:v>LFP-0151</x:v>
      </x:c>
      <x:c r="B152" s="46" t="str">
        <x:v>quail:roasted</x:v>
      </x:c>
      <x:c r="C152" s="46" t="str">
        <x:v>quail</x:v>
      </x:c>
      <x:c r="D152" s="46" t="str">
        <x:v>avian</x:v>
      </x:c>
      <x:c r="E152" s="46" t="str">
        <x:v>game_bird</x:v>
      </x:c>
      <x:c r="F152" s="46" t="str">
        <x:v>roasted_landfowl</x:v>
      </x:c>
      <x:c r="G152" s="46" t="str">
        <x:v>roasted</x:v>
      </x:c>
      <x:c r="H152" s="46" t="str">
        <x:v>1-nonanol</x:v>
      </x:c>
      <x:c r="I152" s="46" t="str">
        <x:v>1-Nonanol</x:v>
      </x:c>
      <x:c r="J152" s="46" t="str">
        <x:v>143-08-8</x:v>
      </x:c>
      <x:c r="K152" s="46" t="str">
        <x:v>Alcohols</x:v>
      </x:c>
      <x:c r="L152" s="46" t="n">
        <x:v>1172</x:v>
      </x:c>
      <x:c r="M152" s="46" t="str">
        <x:v>n.d.</x:v>
      </x:c>
      <x:c r="N152" s="46" t="str">
        <x:v>landfowl_shared_base</x:v>
      </x:c>
      <x:c r="O152" s="46" t="str">
        <x:v>measured_occurrence_table17</x:v>
      </x:c>
      <x:c r="P152" s="46" t="str">
        <x:v>SRC-LANDFOWL-THESIS-001</x:v>
      </x:c>
      <x:c r="Q152" s="46" t="str">
        <x:v>https://elib.tiho-hannover.de/servlets/MCRFileNodeServlet/etd_derivate_00001197/baruths_ws10.pdf</x:v>
      </x:c>
      <x:c r="R152" s="46" t="n">
        <x:v>57</x:v>
      </x:c>
      <x:c r="S152" s="46" t="str">
        <x:v>quarantined_pending_corrected_table18_transcription</x:v>
      </x:c>
      <x:c r="T152" s="46" t="str">
        <x:v>eligible_presence_cluster_base</x:v>
      </x:c>
      <x:c r="U152" s="46" t="str">
        <x:v>Direct occurrence matrix. Shared occurrence does not imply equal abundance or sensory importance.</x:v>
      </x:c>
    </x:row>
    <x:row r="153">
      <x:c r="A153" s="46" t="str">
        <x:v>LFP-0152</x:v>
      </x:c>
      <x:c r="B153" s="46" t="str">
        <x:v>quail:roasted</x:v>
      </x:c>
      <x:c r="C153" s="46" t="str">
        <x:v>quail</x:v>
      </x:c>
      <x:c r="D153" s="46" t="str">
        <x:v>avian</x:v>
      </x:c>
      <x:c r="E153" s="46" t="str">
        <x:v>game_bird</x:v>
      </x:c>
      <x:c r="F153" s="46" t="str">
        <x:v>roasted_landfowl</x:v>
      </x:c>
      <x:c r="G153" s="46" t="str">
        <x:v>roasted</x:v>
      </x:c>
      <x:c r="H153" s="46" t="str">
        <x:v>dodecane</x:v>
      </x:c>
      <x:c r="I153" s="46" t="str">
        <x:v>Dodecan</x:v>
      </x:c>
      <x:c r="J153" s="46" t="str">
        <x:v>112-40-3</x:v>
      </x:c>
      <x:c r="K153" s="46" t="str">
        <x:v>Hydrocarbons</x:v>
      </x:c>
      <x:c r="L153" s="46" t="n">
        <x:v>1200</x:v>
      </x:c>
      <x:c r="M153" s="46" t="str">
        <x:v>n.d.</x:v>
      </x:c>
      <x:c r="N153" s="46" t="str">
        <x:v>landfowl_shared_base</x:v>
      </x:c>
      <x:c r="O153" s="46" t="str">
        <x:v>measured_occurrence_table17</x:v>
      </x:c>
      <x:c r="P153" s="46" t="str">
        <x:v>SRC-LANDFOWL-THESIS-001</x:v>
      </x:c>
      <x:c r="Q153" s="46" t="str">
        <x:v>https://elib.tiho-hannover.de/servlets/MCRFileNodeServlet/etd_derivate_00001197/baruths_ws10.pdf</x:v>
      </x:c>
      <x:c r="R153" s="46" t="n">
        <x:v>57</x:v>
      </x:c>
      <x:c r="S153" s="46" t="str">
        <x:v>quarantined_pending_corrected_table18_transcription</x:v>
      </x:c>
      <x:c r="T153" s="46" t="str">
        <x:v>eligible_presence_cluster_base</x:v>
      </x:c>
      <x:c r="U153" s="46" t="str">
        <x:v>Direct occurrence matrix. Shared occurrence does not imply equal abundance or sensory importance.</x:v>
      </x:c>
    </x:row>
    <x:row r="154">
      <x:c r="A154" s="46" t="str">
        <x:v>LFP-0153</x:v>
      </x:c>
      <x:c r="B154" s="46" t="str">
        <x:v>quail:roasted</x:v>
      </x:c>
      <x:c r="C154" s="46" t="str">
        <x:v>quail</x:v>
      </x:c>
      <x:c r="D154" s="46" t="str">
        <x:v>avian</x:v>
      </x:c>
      <x:c r="E154" s="46" t="str">
        <x:v>game_bird</x:v>
      </x:c>
      <x:c r="F154" s="46" t="str">
        <x:v>roasted_landfowl</x:v>
      </x:c>
      <x:c r="G154" s="46" t="str">
        <x:v>roasted</x:v>
      </x:c>
      <x:c r="H154" s="46" t="str">
        <x:v>decanal</x:v>
      </x:c>
      <x:c r="I154" s="46" t="str">
        <x:v>Decanal</x:v>
      </x:c>
      <x:c r="J154" s="46" t="str">
        <x:v>112-31-2</x:v>
      </x:c>
      <x:c r="K154" s="46" t="str">
        <x:v>Carbonyls, aldehydes</x:v>
      </x:c>
      <x:c r="L154" s="46" t="n">
        <x:v>1206</x:v>
      </x:c>
      <x:c r="M154" s="46" t="str">
        <x:v>Rübe</x:v>
      </x:c>
      <x:c r="N154" s="46" t="str">
        <x:v>landfowl_shared_base</x:v>
      </x:c>
      <x:c r="O154" s="46" t="str">
        <x:v>measured_occurrence_table17</x:v>
      </x:c>
      <x:c r="P154" s="46" t="str">
        <x:v>SRC-LANDFOWL-THESIS-001</x:v>
      </x:c>
      <x:c r="Q154" s="46" t="str">
        <x:v>https://elib.tiho-hannover.de/servlets/MCRFileNodeServlet/etd_derivate_00001197/baruths_ws10.pdf</x:v>
      </x:c>
      <x:c r="R154" s="46" t="n">
        <x:v>57</x:v>
      </x:c>
      <x:c r="S154" s="46" t="str">
        <x:v>quarantined_pending_corrected_table18_transcription</x:v>
      </x:c>
      <x:c r="T154" s="46" t="str">
        <x:v>eligible_presence_cluster_base</x:v>
      </x:c>
      <x:c r="U154" s="46" t="str">
        <x:v>Direct occurrence matrix. Shared occurrence does not imply equal abundance or sensory importance.</x:v>
      </x:c>
    </x:row>
    <x:row r="155">
      <x:c r="A155" s="46" t="str">
        <x:v>LFP-0154</x:v>
      </x:c>
      <x:c r="B155" s="46" t="str">
        <x:v>quail:roasted</x:v>
      </x:c>
      <x:c r="C155" s="46" t="str">
        <x:v>quail</x:v>
      </x:c>
      <x:c r="D155" s="46" t="str">
        <x:v>avian</x:v>
      </x:c>
      <x:c r="E155" s="46" t="str">
        <x:v>game_bird</x:v>
      </x:c>
      <x:c r="F155" s="46" t="str">
        <x:v>roasted_landfowl</x:v>
      </x:c>
      <x:c r="G155" s="46" t="str">
        <x:v>roasted</x:v>
      </x:c>
      <x:c r="H155" s="46" t="str">
        <x:v>(E,E)-2,4-nonadienal</x:v>
      </x:c>
      <x:c r="I155" s="46" t="str">
        <x:v>2,4-(E,E)-Nonadienal</x:v>
      </x:c>
      <x:c r="J155" s="46" t="str">
        <x:v>5910-87-2</x:v>
      </x:c>
      <x:c r="K155" s="46" t="str">
        <x:v>Carbonyls, aldehydes</x:v>
      </x:c>
      <x:c r="L155" s="46" t="n">
        <x:v>1217</x:v>
      </x:c>
      <x:c r="M155" s="46" t="str">
        <x:v>n.d.</x:v>
      </x:c>
      <x:c r="N155" s="46" t="str">
        <x:v>landfowl_shared_base</x:v>
      </x:c>
      <x:c r="O155" s="46" t="str">
        <x:v>measured_occurrence_table17</x:v>
      </x:c>
      <x:c r="P155" s="46" t="str">
        <x:v>SRC-LANDFOWL-THESIS-001</x:v>
      </x:c>
      <x:c r="Q155" s="46" t="str">
        <x:v>https://elib.tiho-hannover.de/servlets/MCRFileNodeServlet/etd_derivate_00001197/baruths_ws10.pdf</x:v>
      </x:c>
      <x:c r="R155" s="46" t="n">
        <x:v>57</x:v>
      </x:c>
      <x:c r="S155" s="46" t="str">
        <x:v>quarantined_pending_corrected_table18_transcription</x:v>
      </x:c>
      <x:c r="T155" s="46" t="str">
        <x:v>eligible_presence_cluster_base</x:v>
      </x:c>
      <x:c r="U155" s="46" t="str">
        <x:v>Direct occurrence matrix. Shared occurrence does not imply equal abundance or sensory importance.</x:v>
      </x:c>
    </x:row>
    <x:row r="156">
      <x:c r="A156" s="46" t="str">
        <x:v>LFP-0155</x:v>
      </x:c>
      <x:c r="B156" s="46" t="str">
        <x:v>quail:roasted</x:v>
      </x:c>
      <x:c r="C156" s="46" t="str">
        <x:v>quail</x:v>
      </x:c>
      <x:c r="D156" s="46" t="str">
        <x:v>avian</x:v>
      </x:c>
      <x:c r="E156" s="46" t="str">
        <x:v>game_bird</x:v>
      </x:c>
      <x:c r="F156" s="46" t="str">
        <x:v>roasted_landfowl</x:v>
      </x:c>
      <x:c r="G156" s="46" t="str">
        <x:v>roasted</x:v>
      </x:c>
      <x:c r="H156" s="46" t="str">
        <x:v>(E)-2-decenal</x:v>
      </x:c>
      <x:c r="I156" s="46" t="str">
        <x:v>2-(E)-Decenal</x:v>
      </x:c>
      <x:c r="J156" s="46" t="str">
        <x:v>3913-81-3</x:v>
      </x:c>
      <x:c r="K156" s="46" t="str">
        <x:v>Carbonyls, aldehydes</x:v>
      </x:c>
      <x:c r="L156" s="46" t="n">
        <x:v>1269</x:v>
      </x:c>
      <x:c r="M156" s="46" t="str">
        <x:v>Fleisch, fettig</x:v>
      </x:c>
      <x:c r="N156" s="46" t="str">
        <x:v>landfowl_shared_base</x:v>
      </x:c>
      <x:c r="O156" s="46" t="str">
        <x:v>measured_occurrence_table17</x:v>
      </x:c>
      <x:c r="P156" s="46" t="str">
        <x:v>SRC-LANDFOWL-THESIS-001</x:v>
      </x:c>
      <x:c r="Q156" s="46" t="str">
        <x:v>https://elib.tiho-hannover.de/servlets/MCRFileNodeServlet/etd_derivate_00001197/baruths_ws10.pdf</x:v>
      </x:c>
      <x:c r="R156" s="46" t="n">
        <x:v>57</x:v>
      </x:c>
      <x:c r="S156" s="46" t="str">
        <x:v>quarantined_pending_corrected_table18_transcription</x:v>
      </x:c>
      <x:c r="T156" s="46" t="str">
        <x:v>eligible_presence_cluster_base</x:v>
      </x:c>
      <x:c r="U156" s="46" t="str">
        <x:v>Direct occurrence matrix. Shared occurrence does not imply equal abundance or sensory importance.</x:v>
      </x:c>
    </x:row>
    <x:row r="157">
      <x:c r="A157" s="46" t="str">
        <x:v>LFP-0156</x:v>
      </x:c>
      <x:c r="B157" s="46" t="str">
        <x:v>quail:roasted</x:v>
      </x:c>
      <x:c r="C157" s="46" t="str">
        <x:v>quail</x:v>
      </x:c>
      <x:c r="D157" s="46" t="str">
        <x:v>avian</x:v>
      </x:c>
      <x:c r="E157" s="46" t="str">
        <x:v>game_bird</x:v>
      </x:c>
      <x:c r="F157" s="46" t="str">
        <x:v>roasted_landfowl</x:v>
      </x:c>
      <x:c r="G157" s="46" t="str">
        <x:v>roasted</x:v>
      </x:c>
      <x:c r="H157" s="46" t="str">
        <x:v>(E,E)-2,4-decadienal</x:v>
      </x:c>
      <x:c r="I157" s="46" t="str">
        <x:v>2,4-(E,E)-Decadienal</x:v>
      </x:c>
      <x:c r="J157" s="46" t="str">
        <x:v>25152-84-5</x:v>
      </x:c>
      <x:c r="K157" s="46" t="str">
        <x:v>Carbonyls, aldehydes</x:v>
      </x:c>
      <x:c r="L157" s="46" t="n">
        <x:v>1307</x:v>
      </x:c>
      <x:c r="M157" s="46" t="str">
        <x:v>geröstet, Zwiebel</x:v>
      </x:c>
      <x:c r="N157" s="46" t="str">
        <x:v>landfowl_shared_base</x:v>
      </x:c>
      <x:c r="O157" s="46" t="str">
        <x:v>measured_occurrence_table17</x:v>
      </x:c>
      <x:c r="P157" s="46" t="str">
        <x:v>SRC-LANDFOWL-THESIS-001</x:v>
      </x:c>
      <x:c r="Q157" s="46" t="str">
        <x:v>https://elib.tiho-hannover.de/servlets/MCRFileNodeServlet/etd_derivate_00001197/baruths_ws10.pdf</x:v>
      </x:c>
      <x:c r="R157" s="46" t="n">
        <x:v>57</x:v>
      </x:c>
      <x:c r="S157" s="46" t="str">
        <x:v>quarantined_pending_corrected_table18_transcription</x:v>
      </x:c>
      <x:c r="T157" s="46" t="str">
        <x:v>eligible_presence_cluster_base</x:v>
      </x:c>
      <x:c r="U157" s="46" t="str">
        <x:v>Direct occurrence matrix. Shared occurrence does not imply equal abundance or sensory importance.</x:v>
      </x:c>
    </x:row>
    <x:row r="158">
      <x:c r="A158" s="46" t="str">
        <x:v>LFP-0157</x:v>
      </x:c>
      <x:c r="B158" s="46" t="str">
        <x:v>quail:roasted</x:v>
      </x:c>
      <x:c r="C158" s="46" t="str">
        <x:v>quail</x:v>
      </x:c>
      <x:c r="D158" s="46" t="str">
        <x:v>avian</x:v>
      </x:c>
      <x:c r="E158" s="46" t="str">
        <x:v>game_bird</x:v>
      </x:c>
      <x:c r="F158" s="46" t="str">
        <x:v>roasted_landfowl</x:v>
      </x:c>
      <x:c r="G158" s="46" t="str">
        <x:v>roasted</x:v>
      </x:c>
      <x:c r="H158" s="46" t="str">
        <x:v>undecanal</x:v>
      </x:c>
      <x:c r="I158" s="46" t="str">
        <x:v>Undecanal</x:v>
      </x:c>
      <x:c r="J158" s="46" t="str">
        <x:v>112-44-7</x:v>
      </x:c>
      <x:c r="K158" s="46" t="str">
        <x:v>Carbonyls, aldehydes</x:v>
      </x:c>
      <x:c r="L158" s="46" t="n">
        <x:v>1308</x:v>
      </x:c>
      <x:c r="M158" s="46" t="str">
        <x:v>n.d.</x:v>
      </x:c>
      <x:c r="N158" s="46" t="str">
        <x:v>landfowl_shared_base</x:v>
      </x:c>
      <x:c r="O158" s="46" t="str">
        <x:v>measured_occurrence_table17</x:v>
      </x:c>
      <x:c r="P158" s="46" t="str">
        <x:v>SRC-LANDFOWL-THESIS-001</x:v>
      </x:c>
      <x:c r="Q158" s="46" t="str">
        <x:v>https://elib.tiho-hannover.de/servlets/MCRFileNodeServlet/etd_derivate_00001197/baruths_ws10.pdf</x:v>
      </x:c>
      <x:c r="R158" s="46" t="n">
        <x:v>57</x:v>
      </x:c>
      <x:c r="S158" s="46" t="str">
        <x:v>quarantined_pending_corrected_table18_transcription</x:v>
      </x:c>
      <x:c r="T158" s="46" t="str">
        <x:v>eligible_presence_cluster_base</x:v>
      </x:c>
      <x:c r="U158" s="46" t="str">
        <x:v>Direct occurrence matrix. Shared occurrence does not imply equal abundance or sensory importance.</x:v>
      </x:c>
    </x:row>
    <x:row r="159">
      <x:c r="A159" s="46" t="str">
        <x:v>LFP-0158</x:v>
      </x:c>
      <x:c r="B159" s="46" t="str">
        <x:v>quail:roasted</x:v>
      </x:c>
      <x:c r="C159" s="46" t="str">
        <x:v>quail</x:v>
      </x:c>
      <x:c r="D159" s="46" t="str">
        <x:v>avian</x:v>
      </x:c>
      <x:c r="E159" s="46" t="str">
        <x:v>game_bird</x:v>
      </x:c>
      <x:c r="F159" s="46" t="str">
        <x:v>roasted_landfowl</x:v>
      </x:c>
      <x:c r="G159" s="46" t="str">
        <x:v>roasted</x:v>
      </x:c>
      <x:c r="H159" s="46" t="str">
        <x:v>(E,Z)-2,4-decadienal</x:v>
      </x:c>
      <x:c r="I159" s="46" t="str">
        <x:v>2,4-(E,Z)-Decadienal</x:v>
      </x:c>
      <x:c r="J159" s="46" t="str">
        <x:v>25152-83-4</x:v>
      </x:c>
      <x:c r="K159" s="46" t="str">
        <x:v>Carbonyls, aldehydes</x:v>
      </x:c>
      <x:c r="L159" s="46" t="n">
        <x:v>1333</x:v>
      </x:c>
      <x:c r="M159" s="46" t="str">
        <x:v>nussig, Kekse</x:v>
      </x:c>
      <x:c r="N159" s="46" t="str">
        <x:v>landfowl_shared_base</x:v>
      </x:c>
      <x:c r="O159" s="46" t="str">
        <x:v>measured_occurrence_table17</x:v>
      </x:c>
      <x:c r="P159" s="46" t="str">
        <x:v>SRC-LANDFOWL-THESIS-001</x:v>
      </x:c>
      <x:c r="Q159" s="46" t="str">
        <x:v>https://elib.tiho-hannover.de/servlets/MCRFileNodeServlet/etd_derivate_00001197/baruths_ws10.pdf</x:v>
      </x:c>
      <x:c r="R159" s="46" t="n">
        <x:v>57</x:v>
      </x:c>
      <x:c r="S159" s="46" t="str">
        <x:v>quarantined_pending_corrected_table18_transcription</x:v>
      </x:c>
      <x:c r="T159" s="46" t="str">
        <x:v>eligible_presence_cluster_base</x:v>
      </x:c>
      <x:c r="U159" s="46" t="str">
        <x:v>Direct occurrence matrix. Shared occurrence does not imply equal abundance or sensory importance.</x:v>
      </x:c>
    </x:row>
    <x:row r="160">
      <x:c r="A160" s="46" t="str">
        <x:v>LFP-0159</x:v>
      </x:c>
      <x:c r="B160" s="46" t="str">
        <x:v>quail:roasted</x:v>
      </x:c>
      <x:c r="C160" s="46" t="str">
        <x:v>quail</x:v>
      </x:c>
      <x:c r="D160" s="46" t="str">
        <x:v>avian</x:v>
      </x:c>
      <x:c r="E160" s="46" t="str">
        <x:v>game_bird</x:v>
      </x:c>
      <x:c r="F160" s="46" t="str">
        <x:v>roasted_landfowl</x:v>
      </x:c>
      <x:c r="G160" s="46" t="str">
        <x:v>roasted</x:v>
      </x:c>
      <x:c r="H160" s="46" t="str">
        <x:v>(E)-2-undecenal</x:v>
      </x:c>
      <x:c r="I160" s="46" t="str">
        <x:v>2-(E)-Undecenal</x:v>
      </x:c>
      <x:c r="J160" s="46" t="str">
        <x:v>53448-07-0</x:v>
      </x:c>
      <x:c r="K160" s="46" t="str">
        <x:v>Carbonyls, aldehydes</x:v>
      </x:c>
      <x:c r="L160" s="46" t="n">
        <x:v>1367</x:v>
      </x:c>
      <x:c r="M160" s="46" t="str">
        <x:v>Fettig, Kekse</x:v>
      </x:c>
      <x:c r="N160" s="46" t="str">
        <x:v>landfowl_shared_base</x:v>
      </x:c>
      <x:c r="O160" s="46" t="str">
        <x:v>measured_occurrence_table17</x:v>
      </x:c>
      <x:c r="P160" s="46" t="str">
        <x:v>SRC-LANDFOWL-THESIS-001</x:v>
      </x:c>
      <x:c r="Q160" s="46" t="str">
        <x:v>https://elib.tiho-hannover.de/servlets/MCRFileNodeServlet/etd_derivate_00001197/baruths_ws10.pdf</x:v>
      </x:c>
      <x:c r="R160" s="46" t="n">
        <x:v>57</x:v>
      </x:c>
      <x:c r="S160" s="46" t="str">
        <x:v>quarantined_pending_corrected_table18_transcription</x:v>
      </x:c>
      <x:c r="T160" s="46" t="str">
        <x:v>eligible_presence_cluster_base</x:v>
      </x:c>
      <x:c r="U160" s="46" t="str">
        <x:v>Direct occurrence matrix. Shared occurrence does not imply equal abundance or sensory importance.</x:v>
      </x:c>
    </x:row>
    <x:row r="161">
      <x:c r="A161" s="46" t="str">
        <x:v>LFP-0160</x:v>
      </x:c>
      <x:c r="B161" s="46" t="str">
        <x:v>quail:roasted</x:v>
      </x:c>
      <x:c r="C161" s="46" t="str">
        <x:v>quail</x:v>
      </x:c>
      <x:c r="D161" s="46" t="str">
        <x:v>avian</x:v>
      </x:c>
      <x:c r="E161" s="46" t="str">
        <x:v>game_bird</x:v>
      </x:c>
      <x:c r="F161" s="46" t="str">
        <x:v>roasted_landfowl</x:v>
      </x:c>
      <x:c r="G161" s="46" t="str">
        <x:v>roasted</x:v>
      </x:c>
      <x:c r="H161" s="46" t="str">
        <x:v>tetradecane</x:v>
      </x:c>
      <x:c r="I161" s="46" t="str">
        <x:v>Tetradecan</x:v>
      </x:c>
      <x:c r="J161" s="46" t="str">
        <x:v>629-59-4</x:v>
      </x:c>
      <x:c r="K161" s="46" t="str">
        <x:v>Hydrocarbons</x:v>
      </x:c>
      <x:c r="L161" s="46" t="n">
        <x:v>1400</x:v>
      </x:c>
      <x:c r="M161" s="46" t="str">
        <x:v>n.d.</x:v>
      </x:c>
      <x:c r="N161" s="46" t="str">
        <x:v>landfowl_shared_base</x:v>
      </x:c>
      <x:c r="O161" s="46" t="str">
        <x:v>measured_occurrence_table17</x:v>
      </x:c>
      <x:c r="P161" s="46" t="str">
        <x:v>SRC-LANDFOWL-THESIS-001</x:v>
      </x:c>
      <x:c r="Q161" s="46" t="str">
        <x:v>https://elib.tiho-hannover.de/servlets/MCRFileNodeServlet/etd_derivate_00001197/baruths_ws10.pdf</x:v>
      </x:c>
      <x:c r="R161" s="46" t="n">
        <x:v>57</x:v>
      </x:c>
      <x:c r="S161" s="46" t="str">
        <x:v>quarantined_pending_corrected_table18_transcription</x:v>
      </x:c>
      <x:c r="T161" s="46" t="str">
        <x:v>eligible_presence_cluster_base</x:v>
      </x:c>
      <x:c r="U161" s="46" t="str">
        <x:v>Direct occurrence matrix. Shared occurrence does not imply equal abundance or sensory importance.</x:v>
      </x:c>
    </x:row>
    <x:row r="162">
      <x:c r="A162" s="46" t="str">
        <x:v>LFP-0161</x:v>
      </x:c>
      <x:c r="B162" s="46" t="str">
        <x:v>quail:roasted</x:v>
      </x:c>
      <x:c r="C162" s="46" t="str">
        <x:v>quail</x:v>
      </x:c>
      <x:c r="D162" s="46" t="str">
        <x:v>avian</x:v>
      </x:c>
      <x:c r="E162" s="46" t="str">
        <x:v>game_bird</x:v>
      </x:c>
      <x:c r="F162" s="46" t="str">
        <x:v>roasted_landfowl</x:v>
      </x:c>
      <x:c r="G162" s="46" t="str">
        <x:v>roasted</x:v>
      </x:c>
      <x:c r="H162" s="46" t="str">
        <x:v>nicotinamide (pyridine-3-carboxamide)</x:v>
      </x:c>
      <x:c r="I162" s="46" t="str">
        <x:v>3-Pyridincarboxamid</x:v>
      </x:c>
      <x:c r="J162" s="46" t="str">
        <x:v>98-92-0</x:v>
      </x:c>
      <x:c r="K162" s="46" t="str">
        <x:v>Nitriles and amides</x:v>
      </x:c>
      <x:c r="L162" s="46" t="n">
        <x:v>1407</x:v>
      </x:c>
      <x:c r="M162" s="46" t="str">
        <x:v>n.d.</x:v>
      </x:c>
      <x:c r="N162" s="46" t="str">
        <x:v>landfowl_shared_base</x:v>
      </x:c>
      <x:c r="O162" s="46" t="str">
        <x:v>measured_occurrence_table17</x:v>
      </x:c>
      <x:c r="P162" s="46" t="str">
        <x:v>SRC-LANDFOWL-THESIS-001</x:v>
      </x:c>
      <x:c r="Q162" s="46" t="str">
        <x:v>https://elib.tiho-hannover.de/servlets/MCRFileNodeServlet/etd_derivate_00001197/baruths_ws10.pdf</x:v>
      </x:c>
      <x:c r="R162" s="46" t="n">
        <x:v>57</x:v>
      </x:c>
      <x:c r="S162" s="46" t="str">
        <x:v>quarantined_pending_corrected_table18_transcription</x:v>
      </x:c>
      <x:c r="T162" s="46" t="str">
        <x:v>eligible_presence_cluster_base</x:v>
      </x:c>
      <x:c r="U162" s="46" t="str">
        <x:v>Direct occurrence matrix. Shared occurrence does not imply equal abundance or sensory importance.</x:v>
      </x:c>
    </x:row>
    <x:row r="163">
      <x:c r="A163" s="46" t="str">
        <x:v>LFP-0162</x:v>
      </x:c>
      <x:c r="B163" s="46" t="str">
        <x:v>quail:roasted</x:v>
      </x:c>
      <x:c r="C163" s="46" t="str">
        <x:v>quail</x:v>
      </x:c>
      <x:c r="D163" s="46" t="str">
        <x:v>avian</x:v>
      </x:c>
      <x:c r="E163" s="46" t="str">
        <x:v>game_bird</x:v>
      </x:c>
      <x:c r="F163" s="46" t="str">
        <x:v>roasted_landfowl</x:v>
      </x:c>
      <x:c r="G163" s="46" t="str">
        <x:v>roasted</x:v>
      </x:c>
      <x:c r="H163" s="46" t="str">
        <x:v>dodecanal</x:v>
      </x:c>
      <x:c r="I163" s="46" t="str">
        <x:v>Dodecanal</x:v>
      </x:c>
      <x:c r="J163" s="46" t="str">
        <x:v>112-54-9</x:v>
      </x:c>
      <x:c r="K163" s="46" t="str">
        <x:v>Carbonyls, aldehydes</x:v>
      </x:c>
      <x:c r="L163" s="46" t="n">
        <x:v>1410</x:v>
      </x:c>
      <x:c r="M163" s="46" t="str">
        <x:v>n.d.</x:v>
      </x:c>
      <x:c r="N163" s="46" t="str">
        <x:v>landfowl_shared_base</x:v>
      </x:c>
      <x:c r="O163" s="46" t="str">
        <x:v>measured_occurrence_table17</x:v>
      </x:c>
      <x:c r="P163" s="46" t="str">
        <x:v>SRC-LANDFOWL-THESIS-001</x:v>
      </x:c>
      <x:c r="Q163" s="46" t="str">
        <x:v>https://elib.tiho-hannover.de/servlets/MCRFileNodeServlet/etd_derivate_00001197/baruths_ws10.pdf</x:v>
      </x:c>
      <x:c r="R163" s="46" t="n">
        <x:v>57</x:v>
      </x:c>
      <x:c r="S163" s="46" t="str">
        <x:v>quarantined_pending_corrected_table18_transcription</x:v>
      </x:c>
      <x:c r="T163" s="46" t="str">
        <x:v>eligible_presence_cluster_base</x:v>
      </x:c>
      <x:c r="U163" s="46" t="str">
        <x:v>Direct occurrence matrix. Shared occurrence does not imply equal abundance or sensory importance.</x:v>
      </x:c>
    </x:row>
    <x:row r="164">
      <x:c r="A164" s="46" t="str">
        <x:v>LFP-0163</x:v>
      </x:c>
      <x:c r="B164" s="46" t="str">
        <x:v>quail:roasted</x:v>
      </x:c>
      <x:c r="C164" s="46" t="str">
        <x:v>quail</x:v>
      </x:c>
      <x:c r="D164" s="46" t="str">
        <x:v>avian</x:v>
      </x:c>
      <x:c r="E164" s="46" t="str">
        <x:v>game_bird</x:v>
      </x:c>
      <x:c r="F164" s="46" t="str">
        <x:v>roasted_landfowl</x:v>
      </x:c>
      <x:c r="G164" s="46" t="str">
        <x:v>roasted</x:v>
      </x:c>
      <x:c r="H164" s="46" t="str">
        <x:v>pentadecane</x:v>
      </x:c>
      <x:c r="I164" s="46" t="str">
        <x:v>Pentadecan</x:v>
      </x:c>
      <x:c r="J164" s="46" t="str">
        <x:v>629-62-9</x:v>
      </x:c>
      <x:c r="K164" s="46" t="str">
        <x:v>Hydrocarbons</x:v>
      </x:c>
      <x:c r="L164" s="46" t="n">
        <x:v>1500</x:v>
      </x:c>
      <x:c r="M164" s="46" t="str">
        <x:v>n.d.</x:v>
      </x:c>
      <x:c r="N164" s="46" t="str">
        <x:v>landfowl_shared_base</x:v>
      </x:c>
      <x:c r="O164" s="46" t="str">
        <x:v>measured_occurrence_table17</x:v>
      </x:c>
      <x:c r="P164" s="46" t="str">
        <x:v>SRC-LANDFOWL-THESIS-001</x:v>
      </x:c>
      <x:c r="Q164" s="46" t="str">
        <x:v>https://elib.tiho-hannover.de/servlets/MCRFileNodeServlet/etd_derivate_00001197/baruths_ws10.pdf</x:v>
      </x:c>
      <x:c r="R164" s="46" t="n">
        <x:v>57</x:v>
      </x:c>
      <x:c r="S164" s="46" t="str">
        <x:v>quarantined_pending_corrected_table18_transcription</x:v>
      </x:c>
      <x:c r="T164" s="46" t="str">
        <x:v>eligible_presence_cluster_base</x:v>
      </x:c>
      <x:c r="U164" s="46" t="str">
        <x:v>Direct occurrence matrix. Shared occurrence does not imply equal abundance or sensory importance.</x:v>
      </x:c>
    </x:row>
    <x:row r="165">
      <x:c r="A165" s="46" t="str">
        <x:v>LFP-0164</x:v>
      </x:c>
      <x:c r="B165" s="46" t="str">
        <x:v>quail:roasted</x:v>
      </x:c>
      <x:c r="C165" s="46" t="str">
        <x:v>quail</x:v>
      </x:c>
      <x:c r="D165" s="46" t="str">
        <x:v>avian</x:v>
      </x:c>
      <x:c r="E165" s="46" t="str">
        <x:v>game_bird</x:v>
      </x:c>
      <x:c r="F165" s="46" t="str">
        <x:v>roasted_landfowl</x:v>
      </x:c>
      <x:c r="G165" s="46" t="str">
        <x:v>roasted</x:v>
      </x:c>
      <x:c r="H165" s="46" t="str">
        <x:v>2-pentadecanone</x:v>
      </x:c>
      <x:c r="I165" s="46" t="str">
        <x:v>2-Pentadecanon</x:v>
      </x:c>
      <x:c r="J165" s="46" t="str">
        <x:v>2345-28-0</x:v>
      </x:c>
      <x:c r="K165" s="46" t="str">
        <x:v>Carbonyls, ketones</x:v>
      </x:c>
      <x:c r="L165" s="46" t="n">
        <x:v>1700</x:v>
      </x:c>
      <x:c r="M165" s="46" t="str">
        <x:v>n.d.</x:v>
      </x:c>
      <x:c r="N165" s="46" t="str">
        <x:v>landfowl_shared_base</x:v>
      </x:c>
      <x:c r="O165" s="46" t="str">
        <x:v>measured_occurrence_table17</x:v>
      </x:c>
      <x:c r="P165" s="46" t="str">
        <x:v>SRC-LANDFOWL-THESIS-001</x:v>
      </x:c>
      <x:c r="Q165" s="46" t="str">
        <x:v>https://elib.tiho-hannover.de/servlets/MCRFileNodeServlet/etd_derivate_00001197/baruths_ws10.pdf</x:v>
      </x:c>
      <x:c r="R165" s="46" t="n">
        <x:v>57</x:v>
      </x:c>
      <x:c r="S165" s="46" t="str">
        <x:v>quarantined_pending_corrected_table18_transcription</x:v>
      </x:c>
      <x:c r="T165" s="46" t="str">
        <x:v>eligible_presence_cluster_base</x:v>
      </x:c>
      <x:c r="U165" s="46" t="str">
        <x:v>Direct occurrence matrix. Shared occurrence does not imply equal abundance or sensory importance.</x:v>
      </x:c>
    </x:row>
    <x:row r="166">
      <x:c r="A166" s="46" t="str">
        <x:v>LFP-0165</x:v>
      </x:c>
      <x:c r="B166" s="46" t="str">
        <x:v>quail:roasted</x:v>
      </x:c>
      <x:c r="C166" s="46" t="str">
        <x:v>quail</x:v>
      </x:c>
      <x:c r="D166" s="46" t="str">
        <x:v>avian</x:v>
      </x:c>
      <x:c r="E166" s="46" t="str">
        <x:v>game_bird</x:v>
      </x:c>
      <x:c r="F166" s="46" t="str">
        <x:v>roasted_landfowl</x:v>
      </x:c>
      <x:c r="G166" s="46" t="str">
        <x:v>roasted</x:v>
      </x:c>
      <x:c r="H166" s="46" t="str">
        <x:v>2-octene</x:v>
      </x:c>
      <x:c r="I166" s="46" t="str">
        <x:v>2-Octen</x:v>
      </x:c>
      <x:c r="J166" s="46"/>
      <x:c r="K166" s="46" t="str">
        <x:v>Hydrocarbons</x:v>
      </x:c>
      <x:c r="L166" s="46" t="n">
        <x:v>816</x:v>
      </x:c>
      <x:c r="M166" s="46" t="str">
        <x:v>n.d.</x:v>
      </x:c>
      <x:c r="N166" s="46" t="str">
        <x:v>member_unique_detection</x:v>
      </x:c>
      <x:c r="O166" s="46" t="str">
        <x:v>measured_occurrence_table17</x:v>
      </x:c>
      <x:c r="P166" s="46" t="str">
        <x:v>SRC-LANDFOWL-THESIS-001</x:v>
      </x:c>
      <x:c r="Q166" s="46" t="str">
        <x:v>https://elib.tiho-hannover.de/servlets/MCRFileNodeServlet/etd_derivate_00001197/baruths_ws10.pdf</x:v>
      </x:c>
      <x:c r="R166" s="46" t="n">
        <x:v>57</x:v>
      </x:c>
      <x:c r="S166" s="46" t="str">
        <x:v>quarantined_pending_corrected_table18_transcription</x:v>
      </x:c>
      <x:c r="T166" s="46" t="str">
        <x:v>hold_cas_resolution_before_canonical_join</x:v>
      </x:c>
      <x:c r="U166" s="46" t="str">
        <x:v>Direct unique detection within the four-species comparison; not a character-impact claim. Canonical occurrence is source-supported, but CAS join is intentionally held pending institutional identity resolution.</x:v>
      </x:c>
    </x:row>
    <x:row r="167">
      <x:c r="A167" s="46" t="str">
        <x:v>LFP-0166</x:v>
      </x:c>
      <x:c r="B167" s="46" t="str">
        <x:v>quail:roasted</x:v>
      </x:c>
      <x:c r="C167" s="46" t="str">
        <x:v>quail</x:v>
      </x:c>
      <x:c r="D167" s="46" t="str">
        <x:v>avian</x:v>
      </x:c>
      <x:c r="E167" s="46" t="str">
        <x:v>game_bird</x:v>
      </x:c>
      <x:c r="F167" s="46" t="str">
        <x:v>roasted_landfowl</x:v>
      </x:c>
      <x:c r="G167" s="46" t="str">
        <x:v>roasted</x:v>
      </x:c>
      <x:c r="H167" s="46" t="str">
        <x:v>furfural (2-furancarboxaldehyde)</x:v>
      </x:c>
      <x:c r="I167" s="46" t="str">
        <x:v>2-Furancarboxaldehyd</x:v>
      </x:c>
      <x:c r="J167" s="46"/>
      <x:c r="K167" s="46" t="str">
        <x:v>Furans</x:v>
      </x:c>
      <x:c r="L167" s="46" t="n">
        <x:v>831</x:v>
      </x:c>
      <x:c r="M167" s="46" t="str">
        <x:v>n.d.</x:v>
      </x:c>
      <x:c r="N167" s="46" t="str">
        <x:v>member_unique_detection</x:v>
      </x:c>
      <x:c r="O167" s="46" t="str">
        <x:v>measured_occurrence_table17</x:v>
      </x:c>
      <x:c r="P167" s="46" t="str">
        <x:v>SRC-LANDFOWL-THESIS-001</x:v>
      </x:c>
      <x:c r="Q167" s="46" t="str">
        <x:v>https://elib.tiho-hannover.de/servlets/MCRFileNodeServlet/etd_derivate_00001197/baruths_ws10.pdf</x:v>
      </x:c>
      <x:c r="R167" s="46" t="n">
        <x:v>57</x:v>
      </x:c>
      <x:c r="S167" s="46" t="str">
        <x:v>quarantined_pending_corrected_table18_transcription</x:v>
      </x:c>
      <x:c r="T167" s="46" t="str">
        <x:v>hold_cas_resolution_before_canonical_join</x:v>
      </x:c>
      <x:c r="U167" s="46" t="str">
        <x:v>Direct unique detection within the four-species comparison; not a character-impact claim. Canonical occurrence is source-supported, but CAS join is intentionally held pending institutional identity resolution.</x:v>
      </x:c>
    </x:row>
    <x:row r="168">
      <x:c r="A168" s="46" t="str">
        <x:v>LFP-0167</x:v>
      </x:c>
      <x:c r="B168" s="46" t="str">
        <x:v>quail:roasted</x:v>
      </x:c>
      <x:c r="C168" s="46" t="str">
        <x:v>quail</x:v>
      </x:c>
      <x:c r="D168" s="46" t="str">
        <x:v>avian</x:v>
      </x:c>
      <x:c r="E168" s="46" t="str">
        <x:v>game_bird</x:v>
      </x:c>
      <x:c r="F168" s="46" t="str">
        <x:v>roasted_landfowl</x:v>
      </x:c>
      <x:c r="G168" s="46" t="str">
        <x:v>roasted</x:v>
      </x:c>
      <x:c r="H168" s="46" t="str">
        <x:v>acrolein (2-propenal)</x:v>
      </x:c>
      <x:c r="I168" s="46" t="str">
        <x:v>2-(E)-Propenal</x:v>
      </x:c>
      <x:c r="J168" s="46" t="str">
        <x:v>107-02-8</x:v>
      </x:c>
      <x:c r="K168" s="46" t="str">
        <x:v>Carbonyls, aldehydes</x:v>
      </x:c>
      <x:c r="L168" s="46" t="str">
        <x:v>&lt;500</x:v>
      </x:c>
      <x:c r="M168" s="46" t="str">
        <x:v>n.d.</x:v>
      </x:c>
      <x:c r="N168" s="46" t="str">
        <x:v>partial_shared_member_delta</x:v>
      </x:c>
      <x:c r="O168" s="46" t="str">
        <x:v>measured_occurrence_table17</x:v>
      </x:c>
      <x:c r="P168" s="46" t="str">
        <x:v>SRC-LANDFOWL-THESIS-001</x:v>
      </x:c>
      <x:c r="Q168" s="46" t="str">
        <x:v>https://elib.tiho-hannover.de/servlets/MCRFileNodeServlet/etd_derivate_00001197/baruths_ws10.pdf</x:v>
      </x:c>
      <x:c r="R168" s="46" t="n">
        <x:v>57</x:v>
      </x:c>
      <x:c r="S168" s="46" t="str">
        <x:v>quarantined_pending_corrected_table18_transcription</x:v>
      </x:c>
      <x:c r="T168" s="46" t="str">
        <x:v>eligible_presence_member_delta</x:v>
      </x:c>
      <x:c r="U168" s="46" t="str">
        <x:v>Present in chicken/partridge/quail; absent pheasant.</x:v>
      </x:c>
    </x:row>
    <x:row r="169">
      <x:c r="A169" s="46" t="str">
        <x:v>LFP-0168</x:v>
      </x:c>
      <x:c r="B169" s="46" t="str">
        <x:v>quail:roasted</x:v>
      </x:c>
      <x:c r="C169" s="46" t="str">
        <x:v>quail</x:v>
      </x:c>
      <x:c r="D169" s="46" t="str">
        <x:v>avian</x:v>
      </x:c>
      <x:c r="E169" s="46" t="str">
        <x:v>game_bird</x:v>
      </x:c>
      <x:c r="F169" s="46" t="str">
        <x:v>roasted_landfowl</x:v>
      </x:c>
      <x:c r="G169" s="46" t="str">
        <x:v>roasted</x:v>
      </x:c>
      <x:c r="H169" s="46" t="str">
        <x:v>butanal</x:v>
      </x:c>
      <x:c r="I169" s="46" t="str">
        <x:v>Butanal</x:v>
      </x:c>
      <x:c r="J169" s="46" t="str">
        <x:v>123-72-8</x:v>
      </x:c>
      <x:c r="K169" s="46" t="str">
        <x:v>Carbonyls, aldehydes</x:v>
      </x:c>
      <x:c r="L169" s="46" t="n">
        <x:v>599</x:v>
      </x:c>
      <x:c r="M169" s="46" t="str">
        <x:v>n.d.</x:v>
      </x:c>
      <x:c r="N169" s="46" t="str">
        <x:v>partial_shared_member_delta</x:v>
      </x:c>
      <x:c r="O169" s="46" t="str">
        <x:v>measured_occurrence_table17</x:v>
      </x:c>
      <x:c r="P169" s="46" t="str">
        <x:v>SRC-LANDFOWL-THESIS-001</x:v>
      </x:c>
      <x:c r="Q169" s="46" t="str">
        <x:v>https://elib.tiho-hannover.de/servlets/MCRFileNodeServlet/etd_derivate_00001197/baruths_ws10.pdf</x:v>
      </x:c>
      <x:c r="R169" s="46" t="n">
        <x:v>57</x:v>
      </x:c>
      <x:c r="S169" s="46" t="str">
        <x:v>quarantined_pending_corrected_table18_transcription</x:v>
      </x:c>
      <x:c r="T169" s="46" t="str">
        <x:v>eligible_presence_member_delta</x:v>
      </x:c>
      <x:c r="U169" s="46" t="str">
        <x:v>Present in all three wild landfowl; absent chicken.</x:v>
      </x:c>
    </x:row>
    <x:row r="170">
      <x:c r="A170" s="46" t="str">
        <x:v>LFP-0169</x:v>
      </x:c>
      <x:c r="B170" s="46" t="str">
        <x:v>quail:roasted</x:v>
      </x:c>
      <x:c r="C170" s="46" t="str">
        <x:v>quail</x:v>
      </x:c>
      <x:c r="D170" s="46" t="str">
        <x:v>avian</x:v>
      </x:c>
      <x:c r="E170" s="46" t="str">
        <x:v>game_bird</x:v>
      </x:c>
      <x:c r="F170" s="46" t="str">
        <x:v>roasted_landfowl</x:v>
      </x:c>
      <x:c r="G170" s="46" t="str">
        <x:v>roasted</x:v>
      </x:c>
      <x:c r="H170" s="46" t="str">
        <x:v>1-butanol</x:v>
      </x:c>
      <x:c r="I170" s="46" t="str">
        <x:v>1-Butanol</x:v>
      </x:c>
      <x:c r="J170" s="46" t="str">
        <x:v>71-36-3</x:v>
      </x:c>
      <x:c r="K170" s="46" t="str">
        <x:v>Alcohols</x:v>
      </x:c>
      <x:c r="L170" s="46" t="n">
        <x:v>613</x:v>
      </x:c>
      <x:c r="M170" s="46" t="str">
        <x:v>n.d.</x:v>
      </x:c>
      <x:c r="N170" s="46" t="str">
        <x:v>partial_shared_member_delta</x:v>
      </x:c>
      <x:c r="O170" s="46" t="str">
        <x:v>measured_occurrence_table17</x:v>
      </x:c>
      <x:c r="P170" s="46" t="str">
        <x:v>SRC-LANDFOWL-THESIS-001</x:v>
      </x:c>
      <x:c r="Q170" s="46" t="str">
        <x:v>https://elib.tiho-hannover.de/servlets/MCRFileNodeServlet/etd_derivate_00001197/baruths_ws10.pdf</x:v>
      </x:c>
      <x:c r="R170" s="46" t="n">
        <x:v>57</x:v>
      </x:c>
      <x:c r="S170" s="46" t="str">
        <x:v>quarantined_pending_corrected_table18_transcription</x:v>
      </x:c>
      <x:c r="T170" s="46" t="str">
        <x:v>eligible_presence_member_delta</x:v>
      </x:c>
      <x:c r="U170" s="46" t="str">
        <x:v>Present in partridge and quail only.</x:v>
      </x:c>
    </x:row>
    <x:row r="171">
      <x:c r="A171" s="46" t="str">
        <x:v>LFP-0170</x:v>
      </x:c>
      <x:c r="B171" s="46" t="str">
        <x:v>quail:roasted</x:v>
      </x:c>
      <x:c r="C171" s="46" t="str">
        <x:v>quail</x:v>
      </x:c>
      <x:c r="D171" s="46" t="str">
        <x:v>avian</x:v>
      </x:c>
      <x:c r="E171" s="46" t="str">
        <x:v>game_bird</x:v>
      </x:c>
      <x:c r="F171" s="46" t="str">
        <x:v>roasted_landfowl</x:v>
      </x:c>
      <x:c r="G171" s="46" t="str">
        <x:v>roasted</x:v>
      </x:c>
      <x:c r="H171" s="46" t="str">
        <x:v>2-pentylfuran</x:v>
      </x:c>
      <x:c r="I171" s="46" t="str">
        <x:v>2-Pentylfuran</x:v>
      </x:c>
      <x:c r="J171" s="46" t="str">
        <x:v>3777-69-3</x:v>
      </x:c>
      <x:c r="K171" s="46" t="str">
        <x:v>Furans</x:v>
      </x:c>
      <x:c r="L171" s="46" t="n">
        <x:v>995</x:v>
      </x:c>
      <x:c r="M171" s="46" t="str">
        <x:v>n.d.</x:v>
      </x:c>
      <x:c r="N171" s="46" t="str">
        <x:v>partial_shared_member_delta</x:v>
      </x:c>
      <x:c r="O171" s="46" t="str">
        <x:v>measured_occurrence_table17</x:v>
      </x:c>
      <x:c r="P171" s="46" t="str">
        <x:v>SRC-LANDFOWL-THESIS-001</x:v>
      </x:c>
      <x:c r="Q171" s="46" t="str">
        <x:v>https://elib.tiho-hannover.de/servlets/MCRFileNodeServlet/etd_derivate_00001197/baruths_ws10.pdf</x:v>
      </x:c>
      <x:c r="R171" s="46" t="n">
        <x:v>57</x:v>
      </x:c>
      <x:c r="S171" s="46" t="str">
        <x:v>quarantined_pending_corrected_table18_transcription</x:v>
      </x:c>
      <x:c r="T171" s="46" t="str">
        <x:v>eligible_presence_member_delta</x:v>
      </x:c>
      <x:c r="U171" s="46" t="str">
        <x:v>Present in all three wild landfowl; absent chicken.</x:v>
      </x:c>
    </x:row>
    <x:row r="172">
      <x:c r="A172" s="46" t="str">
        <x:v>LFP-0171</x:v>
      </x:c>
      <x:c r="B172" s="46" t="str">
        <x:v>quail:roasted</x:v>
      </x:c>
      <x:c r="C172" s="46" t="str">
        <x:v>quail</x:v>
      </x:c>
      <x:c r="D172" s="46" t="str">
        <x:v>avian</x:v>
      </x:c>
      <x:c r="E172" s="46" t="str">
        <x:v>game_bird</x:v>
      </x:c>
      <x:c r="F172" s="46" t="str">
        <x:v>roasted_landfowl</x:v>
      </x:c>
      <x:c r="G172" s="46" t="str">
        <x:v>roasted</x:v>
      </x:c>
      <x:c r="H172" s="46" t="str">
        <x:v>phenylacetaldehyde</x:v>
      </x:c>
      <x:c r="I172" s="46" t="str">
        <x:v>Benzenazetaldehyd</x:v>
      </x:c>
      <x:c r="J172" s="46" t="str">
        <x:v>122-78-1</x:v>
      </x:c>
      <x:c r="K172" s="46" t="str">
        <x:v>Carbonyls, aldehydes</x:v>
      </x:c>
      <x:c r="L172" s="46" t="n">
        <x:v>1047</x:v>
      </x:c>
      <x:c r="M172" s="46" t="str">
        <x:v>n.d.</x:v>
      </x:c>
      <x:c r="N172" s="46" t="str">
        <x:v>partial_shared_member_delta</x:v>
      </x:c>
      <x:c r="O172" s="46" t="str">
        <x:v>measured_occurrence_table17</x:v>
      </x:c>
      <x:c r="P172" s="46" t="str">
        <x:v>SRC-LANDFOWL-THESIS-001</x:v>
      </x:c>
      <x:c r="Q172" s="46" t="str">
        <x:v>https://elib.tiho-hannover.de/servlets/MCRFileNodeServlet/etd_derivate_00001197/baruths_ws10.pdf</x:v>
      </x:c>
      <x:c r="R172" s="46" t="n">
        <x:v>57</x:v>
      </x:c>
      <x:c r="S172" s="46" t="str">
        <x:v>quarantined_pending_corrected_table18_transcription</x:v>
      </x:c>
      <x:c r="T172" s="46" t="str">
        <x:v>eligible_presence_member_delta</x:v>
      </x:c>
      <x:c r="U172" s="46" t="str">
        <x:v>Present in chicken, partridge and quail.</x:v>
      </x:c>
    </x:row>
    <x:row r="173">
      <x:c r="A173" s="46" t="str">
        <x:v>LFP-0172</x:v>
      </x:c>
      <x:c r="B173" s="46" t="str">
        <x:v>quail:roasted</x:v>
      </x:c>
      <x:c r="C173" s="46" t="str">
        <x:v>quail</x:v>
      </x:c>
      <x:c r="D173" s="46" t="str">
        <x:v>avian</x:v>
      </x:c>
      <x:c r="E173" s="46" t="str">
        <x:v>game_bird</x:v>
      </x:c>
      <x:c r="F173" s="46" t="str">
        <x:v>roasted_landfowl</x:v>
      </x:c>
      <x:c r="G173" s="46" t="str">
        <x:v>roasted</x:v>
      </x:c>
      <x:c r="H173" s="46" t="str">
        <x:v>1-nonyne</x:v>
      </x:c>
      <x:c r="I173" s="46" t="str">
        <x:v>1-Nonyn</x:v>
      </x:c>
      <x:c r="J173" s="46"/>
      <x:c r="K173" s="46" t="str">
        <x:v>Hydrocarbons</x:v>
      </x:c>
      <x:c r="L173" s="46" t="n">
        <x:v>1059</x:v>
      </x:c>
      <x:c r="M173" s="46" t="str">
        <x:v>n.d.</x:v>
      </x:c>
      <x:c r="N173" s="46" t="str">
        <x:v>partial_shared_member_delta</x:v>
      </x:c>
      <x:c r="O173" s="46" t="str">
        <x:v>measured_occurrence_table17</x:v>
      </x:c>
      <x:c r="P173" s="46" t="str">
        <x:v>SRC-LANDFOWL-THESIS-001</x:v>
      </x:c>
      <x:c r="Q173" s="46" t="str">
        <x:v>https://elib.tiho-hannover.de/servlets/MCRFileNodeServlet/etd_derivate_00001197/baruths_ws10.pdf</x:v>
      </x:c>
      <x:c r="R173" s="46" t="n">
        <x:v>57</x:v>
      </x:c>
      <x:c r="S173" s="46" t="str">
        <x:v>quarantined_pending_corrected_table18_transcription</x:v>
      </x:c>
      <x:c r="T173" s="46" t="str">
        <x:v>hold_cas_resolution_before_canonical_join</x:v>
      </x:c>
      <x:c r="U173" s="46" t="str">
        <x:v>Present in chicken, pheasant and quail; CAS not independently resolved in this pass. Canonical occurrence is source-supported, but CAS join is intentionally held pending institutional identity resolution.</x:v>
      </x:c>
    </x:row>
    <x:row r="174">
      <x:c r="A174" s="46" t="str">
        <x:v>LFP-0173</x:v>
      </x:c>
      <x:c r="B174" s="46" t="str">
        <x:v>quail:roasted</x:v>
      </x:c>
      <x:c r="C174" s="46" t="str">
        <x:v>quail</x:v>
      </x:c>
      <x:c r="D174" s="46" t="str">
        <x:v>avian</x:v>
      </x:c>
      <x:c r="E174" s="46" t="str">
        <x:v>game_bird</x:v>
      </x:c>
      <x:c r="F174" s="46" t="str">
        <x:v>roasted_landfowl</x:v>
      </x:c>
      <x:c r="G174" s="46" t="str">
        <x:v>roasted</x:v>
      </x:c>
      <x:c r="H174" s="46" t="str">
        <x:v>2-nonanone</x:v>
      </x:c>
      <x:c r="I174" s="46" t="str">
        <x:v>2-Nonanon</x:v>
      </x:c>
      <x:c r="J174" s="46" t="str">
        <x:v>821-55-6</x:v>
      </x:c>
      <x:c r="K174" s="46" t="str">
        <x:v>Carbonyls, ketones</x:v>
      </x:c>
      <x:c r="L174" s="46" t="n">
        <x:v>1092</x:v>
      </x:c>
      <x:c r="M174" s="46" t="str">
        <x:v>n.d.</x:v>
      </x:c>
      <x:c r="N174" s="46" t="str">
        <x:v>partial_shared_member_delta</x:v>
      </x:c>
      <x:c r="O174" s="46" t="str">
        <x:v>measured_occurrence_table17</x:v>
      </x:c>
      <x:c r="P174" s="46" t="str">
        <x:v>SRC-LANDFOWL-THESIS-001</x:v>
      </x:c>
      <x:c r="Q174" s="46" t="str">
        <x:v>https://elib.tiho-hannover.de/servlets/MCRFileNodeServlet/etd_derivate_00001197/baruths_ws10.pdf</x:v>
      </x:c>
      <x:c r="R174" s="46" t="n">
        <x:v>57</x:v>
      </x:c>
      <x:c r="S174" s="46" t="str">
        <x:v>quarantined_pending_corrected_table18_transcription</x:v>
      </x:c>
      <x:c r="T174" s="46" t="str">
        <x:v>eligible_presence_member_delta</x:v>
      </x:c>
      <x:c r="U174" s="46" t="str">
        <x:v>Present in all three wild landfowl; absent chicken.</x:v>
      </x:c>
    </x:row>
    <x:row r="175">
      <x:c r="A175" s="46" t="str">
        <x:v>LFP-0174</x:v>
      </x:c>
      <x:c r="B175" s="46" t="str">
        <x:v>quail:roasted</x:v>
      </x:c>
      <x:c r="C175" s="46" t="str">
        <x:v>quail</x:v>
      </x:c>
      <x:c r="D175" s="46" t="str">
        <x:v>avian</x:v>
      </x:c>
      <x:c r="E175" s="46" t="str">
        <x:v>game_bird</x:v>
      </x:c>
      <x:c r="F175" s="46" t="str">
        <x:v>roasted_landfowl</x:v>
      </x:c>
      <x:c r="G175" s="46" t="str">
        <x:v>roasted</x:v>
      </x:c>
      <x:c r="H175" s="46" t="str">
        <x:v>3-octen-2-one</x:v>
      </x:c>
      <x:c r="I175" s="46" t="str">
        <x:v>3-Octen-2-on</x:v>
      </x:c>
      <x:c r="J175" s="46"/>
      <x:c r="K175" s="46" t="str">
        <x:v>Carbonyls, ketones</x:v>
      </x:c>
      <x:c r="L175" s="46" t="n">
        <x:v>1190</x:v>
      </x:c>
      <x:c r="M175" s="46" t="str">
        <x:v>n.d.</x:v>
      </x:c>
      <x:c r="N175" s="46" t="str">
        <x:v>partial_shared_member_delta</x:v>
      </x:c>
      <x:c r="O175" s="46" t="str">
        <x:v>measured_occurrence_table17</x:v>
      </x:c>
      <x:c r="P175" s="46" t="str">
        <x:v>SRC-LANDFOWL-THESIS-001</x:v>
      </x:c>
      <x:c r="Q175" s="46" t="str">
        <x:v>https://elib.tiho-hannover.de/servlets/MCRFileNodeServlet/etd_derivate_00001197/baruths_ws10.pdf</x:v>
      </x:c>
      <x:c r="R175" s="46" t="n">
        <x:v>57</x:v>
      </x:c>
      <x:c r="S175" s="46" t="str">
        <x:v>quarantined_pending_corrected_table18_transcription</x:v>
      </x:c>
      <x:c r="T175" s="46" t="str">
        <x:v>hold_cas_resolution_before_canonical_join</x:v>
      </x:c>
      <x:c r="U175" s="46" t="str">
        <x:v>Present in all three wild landfowl; CAS not independently resolved in this pass. Canonical occurrence is source-supported, but CAS join is intentionally held pending institutional identity resolution.</x:v>
      </x:c>
    </x:row>
    <x:row r="176">
      <x:c r="A176" s="46" t="str">
        <x:v>LFP-0175</x:v>
      </x:c>
      <x:c r="B176" s="46" t="str">
        <x:v>quail:roasted</x:v>
      </x:c>
      <x:c r="C176" s="46" t="str">
        <x:v>quail</x:v>
      </x:c>
      <x:c r="D176" s="46" t="str">
        <x:v>avian</x:v>
      </x:c>
      <x:c r="E176" s="46" t="str">
        <x:v>game_bird</x:v>
      </x:c>
      <x:c r="F176" s="46" t="str">
        <x:v>roasted_landfowl</x:v>
      </x:c>
      <x:c r="G176" s="46" t="str">
        <x:v>roasted</x:v>
      </x:c>
      <x:c r="H176" s="46" t="str">
        <x:v>2-decanone</x:v>
      </x:c>
      <x:c r="I176" s="46" t="str">
        <x:v>2-Decanon</x:v>
      </x:c>
      <x:c r="J176" s="46" t="str">
        <x:v>693-54-9</x:v>
      </x:c>
      <x:c r="K176" s="46" t="str">
        <x:v>Carbonyls, ketones</x:v>
      </x:c>
      <x:c r="L176" s="46" t="n">
        <x:v>1193</x:v>
      </x:c>
      <x:c r="M176" s="46" t="str">
        <x:v>n.d.</x:v>
      </x:c>
      <x:c r="N176" s="46" t="str">
        <x:v>partial_shared_member_delta</x:v>
      </x:c>
      <x:c r="O176" s="46" t="str">
        <x:v>measured_occurrence_table17</x:v>
      </x:c>
      <x:c r="P176" s="46" t="str">
        <x:v>SRC-LANDFOWL-THESIS-001</x:v>
      </x:c>
      <x:c r="Q176" s="46" t="str">
        <x:v>https://elib.tiho-hannover.de/servlets/MCRFileNodeServlet/etd_derivate_00001197/baruths_ws10.pdf</x:v>
      </x:c>
      <x:c r="R176" s="46" t="n">
        <x:v>57</x:v>
      </x:c>
      <x:c r="S176" s="46" t="str">
        <x:v>quarantined_pending_corrected_table18_transcription</x:v>
      </x:c>
      <x:c r="T176" s="46" t="str">
        <x:v>eligible_presence_member_delta</x:v>
      </x:c>
      <x:c r="U176" s="46" t="str">
        <x:v>Present in all three wild landfowl; absent chicken.</x:v>
      </x:c>
    </x:row>
    <x:row r="177">
      <x:c r="A177" s="46" t="str">
        <x:v>LFP-0176</x:v>
      </x:c>
      <x:c r="B177" s="46" t="str">
        <x:v>quail:roasted</x:v>
      </x:c>
      <x:c r="C177" s="46" t="str">
        <x:v>quail</x:v>
      </x:c>
      <x:c r="D177" s="46" t="str">
        <x:v>avian</x:v>
      </x:c>
      <x:c r="E177" s="46" t="str">
        <x:v>game_bird</x:v>
      </x:c>
      <x:c r="F177" s="46" t="str">
        <x:v>roasted_landfowl</x:v>
      </x:c>
      <x:c r="G177" s="46" t="str">
        <x:v>roasted</x:v>
      </x:c>
      <x:c r="H177" s="46" t="str">
        <x:v>2-butylpyridine</x:v>
      </x:c>
      <x:c r="I177" s="46" t="str">
        <x:v>2-Butylpyridin</x:v>
      </x:c>
      <x:c r="J177" s="46"/>
      <x:c r="K177" s="46" t="str">
        <x:v>Bases</x:v>
      </x:c>
      <x:c r="L177" s="46" t="n">
        <x:v>1202</x:v>
      </x:c>
      <x:c r="M177" s="46" t="str">
        <x:v>n.d.</x:v>
      </x:c>
      <x:c r="N177" s="46" t="str">
        <x:v>partial_shared_member_delta</x:v>
      </x:c>
      <x:c r="O177" s="46" t="str">
        <x:v>measured_occurrence_table17</x:v>
      </x:c>
      <x:c r="P177" s="46" t="str">
        <x:v>SRC-LANDFOWL-THESIS-001</x:v>
      </x:c>
      <x:c r="Q177" s="46" t="str">
        <x:v>https://elib.tiho-hannover.de/servlets/MCRFileNodeServlet/etd_derivate_00001197/baruths_ws10.pdf</x:v>
      </x:c>
      <x:c r="R177" s="46" t="n">
        <x:v>57</x:v>
      </x:c>
      <x:c r="S177" s="46" t="str">
        <x:v>quarantined_pending_corrected_table18_transcription</x:v>
      </x:c>
      <x:c r="T177" s="46" t="str">
        <x:v>hold_cas_resolution_before_canonical_join</x:v>
      </x:c>
      <x:c r="U177" s="46" t="str">
        <x:v>Present in partridge and quail; CAS not independently resolved in this pass. Canonical occurrence is source-supported, but CAS join is intentionally held pending institutional identity resolution.</x:v>
      </x:c>
    </x:row>
    <x:row r="178">
      <x:c r="A178" s="46" t="str">
        <x:v>LFP-0177</x:v>
      </x:c>
      <x:c r="B178" s="46" t="str">
        <x:v>quail:roasted</x:v>
      </x:c>
      <x:c r="C178" s="46" t="str">
        <x:v>quail</x:v>
      </x:c>
      <x:c r="D178" s="46" t="str">
        <x:v>avian</x:v>
      </x:c>
      <x:c r="E178" s="46" t="str">
        <x:v>game_bird</x:v>
      </x:c>
      <x:c r="F178" s="46" t="str">
        <x:v>roasted_landfowl</x:v>
      </x:c>
      <x:c r="G178" s="46" t="str">
        <x:v>roasted</x:v>
      </x:c>
      <x:c r="H178" s="46" t="str">
        <x:v>2-pentylpyridine</x:v>
      </x:c>
      <x:c r="I178" s="46" t="str">
        <x:v>2-Pentylpyridin</x:v>
      </x:c>
      <x:c r="J178" s="46"/>
      <x:c r="K178" s="46" t="str">
        <x:v>Bases</x:v>
      </x:c>
      <x:c r="L178" s="46" t="n">
        <x:v>1208</x:v>
      </x:c>
      <x:c r="M178" s="46" t="str">
        <x:v>n.d.</x:v>
      </x:c>
      <x:c r="N178" s="46" t="str">
        <x:v>partial_shared_member_delta</x:v>
      </x:c>
      <x:c r="O178" s="46" t="str">
        <x:v>measured_occurrence_table17</x:v>
      </x:c>
      <x:c r="P178" s="46" t="str">
        <x:v>SRC-LANDFOWL-THESIS-001</x:v>
      </x:c>
      <x:c r="Q178" s="46" t="str">
        <x:v>https://elib.tiho-hannover.de/servlets/MCRFileNodeServlet/etd_derivate_00001197/baruths_ws10.pdf</x:v>
      </x:c>
      <x:c r="R178" s="46" t="n">
        <x:v>57</x:v>
      </x:c>
      <x:c r="S178" s="46" t="str">
        <x:v>quarantined_pending_corrected_table18_transcription</x:v>
      </x:c>
      <x:c r="T178" s="46" t="str">
        <x:v>hold_cas_resolution_before_canonical_join</x:v>
      </x:c>
      <x:c r="U178" s="46" t="str">
        <x:v>Present in all three wild landfowl; CAS not independently resolved in this pass. Canonical occurrence is source-supported, but CAS join is intentionally held pending institutional identity resolution.</x:v>
      </x:c>
    </x:row>
    <x:row r="179">
      <x:c r="A179" s="46" t="str">
        <x:v>LFP-0178</x:v>
      </x:c>
      <x:c r="B179" s="46" t="str">
        <x:v>quail:roasted</x:v>
      </x:c>
      <x:c r="C179" s="46" t="str">
        <x:v>quail</x:v>
      </x:c>
      <x:c r="D179" s="46" t="str">
        <x:v>avian</x:v>
      </x:c>
      <x:c r="E179" s="46" t="str">
        <x:v>game_bird</x:v>
      </x:c>
      <x:c r="F179" s="46" t="str">
        <x:v>roasted_landfowl</x:v>
      </x:c>
      <x:c r="G179" s="46" t="str">
        <x:v>roasted</x:v>
      </x:c>
      <x:c r="H179" s="46" t="str">
        <x:v>nonanoic acid</x:v>
      </x:c>
      <x:c r="I179" s="46" t="str">
        <x:v>Nonansäure</x:v>
      </x:c>
      <x:c r="J179" s="46" t="str">
        <x:v>112-05-0</x:v>
      </x:c>
      <x:c r="K179" s="46" t="str">
        <x:v>Acids</x:v>
      </x:c>
      <x:c r="L179" s="46" t="n">
        <x:v>1273</x:v>
      </x:c>
      <x:c r="M179" s="46" t="str">
        <x:v>n.d.</x:v>
      </x:c>
      <x:c r="N179" s="46" t="str">
        <x:v>partial_shared_member_delta</x:v>
      </x:c>
      <x:c r="O179" s="46" t="str">
        <x:v>measured_occurrence_table17</x:v>
      </x:c>
      <x:c r="P179" s="46" t="str">
        <x:v>SRC-LANDFOWL-THESIS-001</x:v>
      </x:c>
      <x:c r="Q179" s="46" t="str">
        <x:v>https://elib.tiho-hannover.de/servlets/MCRFileNodeServlet/etd_derivate_00001197/baruths_ws10.pdf</x:v>
      </x:c>
      <x:c r="R179" s="46" t="n">
        <x:v>57</x:v>
      </x:c>
      <x:c r="S179" s="46" t="str">
        <x:v>quarantined_pending_corrected_table18_transcription</x:v>
      </x:c>
      <x:c r="T179" s="46" t="str">
        <x:v>eligible_presence_member_delta</x:v>
      </x:c>
      <x:c r="U179" s="46" t="str">
        <x:v>Present in pheasant and quail.</x:v>
      </x:c>
    </x:row>
    <x:row r="180">
      <x:c r="A180" s="46" t="str">
        <x:v>LFP-0179</x:v>
      </x:c>
      <x:c r="B180" s="46" t="str">
        <x:v>quail:roasted</x:v>
      </x:c>
      <x:c r="C180" s="46" t="str">
        <x:v>quail</x:v>
      </x:c>
      <x:c r="D180" s="46" t="str">
        <x:v>avian</x:v>
      </x:c>
      <x:c r="E180" s="46" t="str">
        <x:v>game_bird</x:v>
      </x:c>
      <x:c r="F180" s="46" t="str">
        <x:v>roasted_landfowl</x:v>
      </x:c>
      <x:c r="G180" s="46" t="str">
        <x:v>roasted</x:v>
      </x:c>
      <x:c r="H180" s="46" t="str">
        <x:v>1-decanol</x:v>
      </x:c>
      <x:c r="I180" s="46" t="str">
        <x:v>Decanol</x:v>
      </x:c>
      <x:c r="J180" s="46" t="str">
        <x:v>112-30-1</x:v>
      </x:c>
      <x:c r="K180" s="46" t="str">
        <x:v>Alcohols</x:v>
      </x:c>
      <x:c r="L180" s="46" t="n">
        <x:v>1277</x:v>
      </x:c>
      <x:c r="M180" s="46" t="str">
        <x:v>n.d.</x:v>
      </x:c>
      <x:c r="N180" s="46" t="str">
        <x:v>partial_shared_member_delta</x:v>
      </x:c>
      <x:c r="O180" s="46" t="str">
        <x:v>measured_occurrence_table17</x:v>
      </x:c>
      <x:c r="P180" s="46" t="str">
        <x:v>SRC-LANDFOWL-THESIS-001</x:v>
      </x:c>
      <x:c r="Q180" s="46" t="str">
        <x:v>https://elib.tiho-hannover.de/servlets/MCRFileNodeServlet/etd_derivate_00001197/baruths_ws10.pdf</x:v>
      </x:c>
      <x:c r="R180" s="46" t="n">
        <x:v>57</x:v>
      </x:c>
      <x:c r="S180" s="46" t="str">
        <x:v>quarantined_pending_corrected_table18_transcription</x:v>
      </x:c>
      <x:c r="T180" s="46" t="str">
        <x:v>eligible_presence_member_delta</x:v>
      </x:c>
      <x:c r="U180" s="46" t="str">
        <x:v>Present in partridge and quail.</x:v>
      </x:c>
    </x:row>
    <x:row r="181">
      <x:c r="A181" s="46" t="str">
        <x:v>LFP-0180</x:v>
      </x:c>
      <x:c r="B181" s="46" t="str">
        <x:v>quail:roasted</x:v>
      </x:c>
      <x:c r="C181" s="46" t="str">
        <x:v>quail</x:v>
      </x:c>
      <x:c r="D181" s="46" t="str">
        <x:v>avian</x:v>
      </x:c>
      <x:c r="E181" s="46" t="str">
        <x:v>game_bird</x:v>
      </x:c>
      <x:c r="F181" s="46" t="str">
        <x:v>roasted_landfowl</x:v>
      </x:c>
      <x:c r="G181" s="46" t="str">
        <x:v>roasted</x:v>
      </x:c>
      <x:c r="H181" s="46" t="str">
        <x:v>1-undecene</x:v>
      </x:c>
      <x:c r="I181" s="46" t="str">
        <x:v>1-Undecen</x:v>
      </x:c>
      <x:c r="J181" s="46" t="str">
        <x:v>821-95-4</x:v>
      </x:c>
      <x:c r="K181" s="46" t="str">
        <x:v>Hydrocarbons</x:v>
      </x:c>
      <x:c r="L181" s="46" t="n">
        <x:v>1285</x:v>
      </x:c>
      <x:c r="M181" s="46" t="str">
        <x:v>n.d.</x:v>
      </x:c>
      <x:c r="N181" s="46" t="str">
        <x:v>partial_shared_member_delta</x:v>
      </x:c>
      <x:c r="O181" s="46" t="str">
        <x:v>measured_occurrence_table17</x:v>
      </x:c>
      <x:c r="P181" s="46" t="str">
        <x:v>SRC-LANDFOWL-THESIS-001</x:v>
      </x:c>
      <x:c r="Q181" s="46" t="str">
        <x:v>https://elib.tiho-hannover.de/servlets/MCRFileNodeServlet/etd_derivate_00001197/baruths_ws10.pdf</x:v>
      </x:c>
      <x:c r="R181" s="46" t="n">
        <x:v>57</x:v>
      </x:c>
      <x:c r="S181" s="46" t="str">
        <x:v>quarantined_pending_corrected_table18_transcription</x:v>
      </x:c>
      <x:c r="T181" s="46" t="str">
        <x:v>eligible_presence_member_delta</x:v>
      </x:c>
      <x:c r="U181" s="46" t="str">
        <x:v>Present in all three wild landfowl; absent chicken.</x:v>
      </x:c>
    </x:row>
    <x:row r="182">
      <x:c r="A182" s="46" t="str">
        <x:v>LFP-0181</x:v>
      </x:c>
      <x:c r="B182" s="46" t="str">
        <x:v>quail:roasted</x:v>
      </x:c>
      <x:c r="C182" s="46" t="str">
        <x:v>quail</x:v>
      </x:c>
      <x:c r="D182" s="46" t="str">
        <x:v>avian</x:v>
      </x:c>
      <x:c r="E182" s="46" t="str">
        <x:v>game_bird</x:v>
      </x:c>
      <x:c r="F182" s="46" t="str">
        <x:v>roasted_landfowl</x:v>
      </x:c>
      <x:c r="G182" s="46" t="str">
        <x:v>roasted</x:v>
      </x:c>
      <x:c r="H182" s="46" t="str">
        <x:v>tridecanal</x:v>
      </x:c>
      <x:c r="I182" s="46" t="str">
        <x:v>Tridecanal</x:v>
      </x:c>
      <x:c r="J182" s="46"/>
      <x:c r="K182" s="46" t="str">
        <x:v>Carbonyls, aldehydes</x:v>
      </x:c>
      <x:c r="L182" s="46" t="n">
        <x:v>1517</x:v>
      </x:c>
      <x:c r="M182" s="46" t="str">
        <x:v>n.d.</x:v>
      </x:c>
      <x:c r="N182" s="46" t="str">
        <x:v>partial_shared_member_delta</x:v>
      </x:c>
      <x:c r="O182" s="46" t="str">
        <x:v>measured_occurrence_table17</x:v>
      </x:c>
      <x:c r="P182" s="46" t="str">
        <x:v>SRC-LANDFOWL-THESIS-001</x:v>
      </x:c>
      <x:c r="Q182" s="46" t="str">
        <x:v>https://elib.tiho-hannover.de/servlets/MCRFileNodeServlet/etd_derivate_00001197/baruths_ws10.pdf</x:v>
      </x:c>
      <x:c r="R182" s="46" t="n">
        <x:v>57</x:v>
      </x:c>
      <x:c r="S182" s="46" t="str">
        <x:v>quarantined_pending_corrected_table18_transcription</x:v>
      </x:c>
      <x:c r="T182" s="46" t="str">
        <x:v>hold_cas_resolution_before_canonical_join</x:v>
      </x:c>
      <x:c r="U182" s="46" t="str">
        <x:v>Present in partridge and quail; CAS not independently resolved in this pass. Canonical occurrence is source-supported, but CAS join is intentionally held pending institutional identity resolution.</x:v>
      </x:c>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20" hidden="0" customWidth="1"/>
    <x:col min="3" max="3" width="20" hidden="0" customWidth="1"/>
    <x:col min="4" max="4" width="16" hidden="0" customWidth="1"/>
    <x:col min="5" max="5" width="22" hidden="0" customWidth="1"/>
    <x:col min="6" max="6" width="20" hidden="0" customWidth="1"/>
    <x:col min="7" max="7" width="20" hidden="0" customWidth="1"/>
    <x:col min="8" max="8" width="22" hidden="0" customWidth="1"/>
    <x:col min="9" max="9" width="42" hidden="0" customWidth="1"/>
    <x:col min="10" max="10" width="55" hidden="0" customWidth="1"/>
  </x:cols>
  <x:sheetData>
    <x:row r="1" ht="36" customHeight="1">
      <x:c r="A1" s="81" t="str">
        <x:v>species</x:v>
      </x:c>
      <x:c r="B1" s="81" t="str">
        <x:v>source_total_detected</x:v>
      </x:c>
      <x:c r="C1" s="81" t="str">
        <x:v>governed_rows_loaded</x:v>
      </x:c>
      <x:c r="D1" s="81" t="str">
        <x:v>coverage_pct</x:v>
      </x:c>
      <x:c r="E1" s="81" t="str">
        <x:v>unresolved_source_rows</x:v>
      </x:c>
      <x:c r="F1" s="81" t="str">
        <x:v>shared_base_rows</x:v>
      </x:c>
      <x:c r="G1" s="81" t="str">
        <x:v>partial_shared_rows</x:v>
      </x:c>
      <x:c r="H1" s="81" t="str">
        <x:v>unique_detection_rows</x:v>
      </x:c>
      <x:c r="I1" s="81" t="str">
        <x:v>quantitative_weighting_status</x:v>
      </x:c>
      <x:c r="J1" s="81" t="str">
        <x:v>next_action</x:v>
      </x:c>
    </x:row>
    <x:row r="2">
      <x:c r="A2" s="46" t="str">
        <x:v>pheasant</x:v>
      </x:c>
      <x:c r="B2" s="46" t="n">
        <x:v>66</x:v>
      </x:c>
      <x:c r="C2" s="46" t="n">
        <x:f>COUNTIF('Governed Landfowl Profiles'!$C$2:$C$300,A2)</x:f>
        <x:v>65</x:v>
      </x:c>
      <x:c r="D2" s="84" t="n">
        <x:f>C2/B2</x:f>
        <x:v>0.9848484848484849</x:v>
      </x:c>
      <x:c r="E2" s="46" t="n">
        <x:f>B2-C2</x:f>
        <x:v>1</x:v>
      </x:c>
      <x:c r="F2" s="46" t="n">
        <x:f>COUNTIFS('Governed Landfowl Profiles'!$C$2:$C$300,A2,'Governed Landfowl Profiles'!$N$2:$N$300,"landfowl_shared_base")</x:f>
        <x:v>38</x:v>
      </x:c>
      <x:c r="G2" s="46" t="n">
        <x:f>COUNTIFS('Governed Landfowl Profiles'!$C$2:$C$300,A2,'Governed Landfowl Profiles'!$N$2:$N$300,"partial_shared_member_delta")</x:f>
        <x:v>14</x:v>
      </x:c>
      <x:c r="H2" s="46" t="n">
        <x:f>COUNTIFS('Governed Landfowl Profiles'!$C$2:$C$300,A2,'Governed Landfowl Profiles'!$N$2:$N$300,"member_unique_detection")</x:f>
        <x:v>13</x:v>
      </x:c>
      <x:c r="I2" s="85" t="str">
        <x:v>HOLD — decimal-preserving Table 18 retranscription required</x:v>
      </x:c>
      <x:c r="J2" s="46" t="str">
        <x:v>Resolve heptane/4-octanone occurrence and corrected quantitative values.</x:v>
      </x:c>
    </x:row>
    <x:row r="3">
      <x:c r="A3" s="46" t="str">
        <x:v>partridge</x:v>
      </x:c>
      <x:c r="B3" s="46" t="n">
        <x:v>62</x:v>
      </x:c>
      <x:c r="C3" s="46" t="n">
        <x:f>COUNTIF('Governed Landfowl Profiles'!$C$2:$C$300,A3)</x:f>
        <x:v>61</x:v>
      </x:c>
      <x:c r="D3" s="84" t="n">
        <x:f>C3/B3</x:f>
        <x:v>0.9838709677419355</x:v>
      </x:c>
      <x:c r="E3" s="46" t="n">
        <x:f>B3-C3</x:f>
        <x:v>1</x:v>
      </x:c>
      <x:c r="F3" s="46" t="n">
        <x:f>COUNTIFS('Governed Landfowl Profiles'!$C$2:$C$300,A3,'Governed Landfowl Profiles'!$N$2:$N$300,"landfowl_shared_base")</x:f>
        <x:v>38</x:v>
      </x:c>
      <x:c r="G3" s="46" t="n">
        <x:f>COUNTIFS('Governed Landfowl Profiles'!$C$2:$C$300,A3,'Governed Landfowl Profiles'!$N$2:$N$300,"partial_shared_member_delta")</x:f>
        <x:v>17</x:v>
      </x:c>
      <x:c r="H3" s="46" t="n">
        <x:f>COUNTIFS('Governed Landfowl Profiles'!$C$2:$C$300,A3,'Governed Landfowl Profiles'!$N$2:$N$300,"member_unique_detection")</x:f>
        <x:v>6</x:v>
      </x:c>
      <x:c r="I3" s="85" t="str">
        <x:v>HOLD — decimal-preserving Table 18 retranscription required</x:v>
      </x:c>
      <x:c r="J3" s="46" t="str">
        <x:v>Resolve heptane/4-octanone occurrence and corrected quantitative values.</x:v>
      </x:c>
    </x:row>
    <x:row r="4">
      <x:c r="A4" s="46" t="str">
        <x:v>quail</x:v>
      </x:c>
      <x:c r="B4" s="46" t="n">
        <x:v>57</x:v>
      </x:c>
      <x:c r="C4" s="46" t="n">
        <x:f>COUNTIF('Governed Landfowl Profiles'!$C$2:$C$300,A4)</x:f>
        <x:v>55</x:v>
      </x:c>
      <x:c r="D4" s="84" t="n">
        <x:f>C4/B4</x:f>
        <x:v>0.9649122807017544</x:v>
      </x:c>
      <x:c r="E4" s="46" t="n">
        <x:f>B4-C4</x:f>
        <x:v>2</x:v>
      </x:c>
      <x:c r="F4" s="46" t="n">
        <x:f>COUNTIFS('Governed Landfowl Profiles'!$C$2:$C$300,A4,'Governed Landfowl Profiles'!$N$2:$N$300,"landfowl_shared_base")</x:f>
        <x:v>38</x:v>
      </x:c>
      <x:c r="G4" s="46" t="n">
        <x:f>COUNTIFS('Governed Landfowl Profiles'!$C$2:$C$300,A4,'Governed Landfowl Profiles'!$N$2:$N$300,"partial_shared_member_delta")</x:f>
        <x:v>15</x:v>
      </x:c>
      <x:c r="H4" s="46" t="n">
        <x:f>COUNTIFS('Governed Landfowl Profiles'!$C$2:$C$300,A4,'Governed Landfowl Profiles'!$N$2:$N$300,"member_unique_detection")</x:f>
        <x:v>2</x:v>
      </x:c>
      <x:c r="I4" s="85" t="str">
        <x:v>Occurrence profile usable; modern sensory weighting available only at aggregate level (19/51 key at 40 min).</x:v>
      </x:c>
      <x:c r="J4" s="46" t="str">
        <x:v>Recover the 19 named OAV&gt;1 compounds from the primary 2024 quail table; then cross-map against the 2010 Table-17 profile before assigning key-odorant weights.</x:v>
      </x:c>
    </x:row>
    <x:row r="5">
      <x:c r="A5" s="46"/>
      <x:c r="B5" s="46"/>
      <x:c r="C5" s="46"/>
      <x:c r="D5" s="46"/>
      <x:c r="E5" s="46"/>
      <x:c r="F5" s="46"/>
      <x:c r="G5" s="46"/>
      <x:c r="H5" s="46"/>
      <x:c r="I5" s="46"/>
      <x:c r="J5" s="46"/>
    </x:row>
    <x:row r="6">
      <x:c r="A6" s="46"/>
      <x:c r="B6" s="46"/>
      <x:c r="C6" s="46"/>
      <x:c r="D6" s="46"/>
      <x:c r="E6" s="46"/>
      <x:c r="F6" s="46"/>
      <x:c r="G6" s="46"/>
      <x:c r="H6" s="46"/>
      <x:c r="I6" s="46"/>
      <x:c r="J6" s="46"/>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row r="501">
      <x:c r="A501" s="46"/>
      <x:c r="B501" s="46"/>
      <x:c r="C501" s="46"/>
      <x:c r="D501" s="46"/>
      <x:c r="E501" s="46"/>
      <x:c r="F501" s="46"/>
      <x:c r="G501" s="46"/>
      <x:c r="H501" s="46"/>
      <x:c r="I501" s="46"/>
      <x:c r="J501" s="46"/>
    </x:row>
    <x:row r="502">
      <x:c r="A502" s="46"/>
      <x:c r="B502" s="46"/>
      <x:c r="C502" s="46"/>
      <x:c r="D502" s="46"/>
      <x:c r="E502" s="46"/>
      <x:c r="F502" s="46"/>
      <x:c r="G502" s="46"/>
      <x:c r="H502" s="46"/>
      <x:c r="I502" s="46"/>
      <x:c r="J502" s="46"/>
    </x:row>
    <x:row r="503">
      <x:c r="A503" s="46"/>
      <x:c r="B503" s="46"/>
      <x:c r="C503" s="46"/>
      <x:c r="D503" s="46"/>
      <x:c r="E503" s="46"/>
      <x:c r="F503" s="46"/>
      <x:c r="G503" s="46"/>
      <x:c r="H503" s="46"/>
      <x:c r="I503" s="46"/>
      <x:c r="J503" s="46"/>
    </x:row>
    <x:row r="504">
      <x:c r="A504" s="46"/>
      <x:c r="B504" s="46"/>
      <x:c r="C504" s="46"/>
      <x:c r="D504" s="46"/>
      <x:c r="E504" s="46"/>
      <x:c r="F504" s="46"/>
      <x:c r="G504" s="46"/>
      <x:c r="H504" s="46"/>
      <x:c r="I504" s="46"/>
      <x:c r="J504" s="46"/>
    </x:row>
    <x:row r="505">
      <x:c r="A505" s="46"/>
      <x:c r="B505" s="46"/>
      <x:c r="C505" s="46"/>
      <x:c r="D505" s="46"/>
      <x:c r="E505" s="46"/>
      <x:c r="F505" s="46"/>
      <x:c r="G505" s="46"/>
      <x:c r="H505" s="46"/>
      <x:c r="I505" s="46"/>
      <x:c r="J505" s="46"/>
    </x:row>
    <x:row r="506">
      <x:c r="A506" s="46"/>
      <x:c r="B506" s="46"/>
      <x:c r="C506" s="46"/>
      <x:c r="D506" s="46"/>
      <x:c r="E506" s="46"/>
      <x:c r="F506" s="46"/>
      <x:c r="G506" s="46"/>
      <x:c r="H506" s="46"/>
      <x:c r="I506" s="46"/>
      <x:c r="J506" s="46"/>
    </x:row>
    <x:row r="507">
      <x:c r="A507" s="46"/>
      <x:c r="B507" s="46"/>
      <x:c r="C507" s="46"/>
      <x:c r="D507" s="46"/>
      <x:c r="E507" s="46"/>
      <x:c r="F507" s="46"/>
      <x:c r="G507" s="46"/>
      <x:c r="H507" s="46"/>
      <x:c r="I507" s="46"/>
      <x:c r="J507" s="46"/>
    </x:row>
    <x:row r="508">
      <x:c r="A508" s="46"/>
      <x:c r="B508" s="46"/>
      <x:c r="C508" s="46"/>
      <x:c r="D508" s="46"/>
      <x:c r="E508" s="46"/>
      <x:c r="F508" s="46"/>
      <x:c r="G508" s="46"/>
      <x:c r="H508" s="46"/>
      <x:c r="I508" s="46"/>
      <x:c r="J508" s="46"/>
    </x:row>
    <x:row r="509">
      <x:c r="A509" s="46"/>
      <x:c r="B509" s="46"/>
      <x:c r="C509" s="46"/>
      <x:c r="D509" s="46"/>
      <x:c r="E509" s="46"/>
      <x:c r="F509" s="46"/>
      <x:c r="G509" s="46"/>
      <x:c r="H509" s="46"/>
      <x:c r="I509" s="46"/>
      <x:c r="J509" s="46"/>
    </x:row>
    <x:row r="510">
      <x:c r="A510" s="46"/>
      <x:c r="B510" s="46"/>
      <x:c r="C510" s="46"/>
      <x:c r="D510" s="46"/>
      <x:c r="E510" s="46"/>
      <x:c r="F510" s="46"/>
      <x:c r="G510" s="46"/>
      <x:c r="H510" s="46"/>
      <x:c r="I510" s="46"/>
      <x:c r="J510" s="46"/>
    </x:row>
    <x:row r="511">
      <x:c r="A511" s="46"/>
      <x:c r="B511" s="46"/>
      <x:c r="C511" s="46"/>
      <x:c r="D511" s="46"/>
      <x:c r="E511" s="46"/>
      <x:c r="F511" s="46"/>
      <x:c r="G511" s="46"/>
      <x:c r="H511" s="46"/>
      <x:c r="I511" s="46"/>
      <x:c r="J511" s="46"/>
    </x:row>
    <x:row r="512">
      <x:c r="A512" s="46"/>
      <x:c r="B512" s="46"/>
      <x:c r="C512" s="46"/>
      <x:c r="D512" s="46"/>
      <x:c r="E512" s="46"/>
      <x:c r="F512" s="46"/>
      <x:c r="G512" s="46"/>
      <x:c r="H512" s="46"/>
      <x:c r="I512" s="46"/>
      <x:c r="J512" s="46"/>
    </x:row>
    <x:row r="513">
      <x:c r="A513" s="46"/>
      <x:c r="B513" s="46"/>
      <x:c r="C513" s="46"/>
      <x:c r="D513" s="46"/>
      <x:c r="E513" s="46"/>
      <x:c r="F513" s="46"/>
      <x:c r="G513" s="46"/>
      <x:c r="H513" s="46"/>
      <x:c r="I513" s="46"/>
      <x:c r="J513" s="46"/>
    </x:row>
    <x:row r="514">
      <x:c r="A514" s="46"/>
      <x:c r="B514" s="46"/>
      <x:c r="C514" s="46"/>
      <x:c r="D514" s="46"/>
      <x:c r="E514" s="46"/>
      <x:c r="F514" s="46"/>
      <x:c r="G514" s="46"/>
      <x:c r="H514" s="46"/>
      <x:c r="I514" s="46"/>
      <x:c r="J514" s="46"/>
    </x:row>
    <x:row r="515">
      <x:c r="A515" s="46"/>
      <x:c r="B515" s="46"/>
      <x:c r="C515" s="46"/>
      <x:c r="D515" s="46"/>
      <x:c r="E515" s="46"/>
      <x:c r="F515" s="46"/>
      <x:c r="G515" s="46"/>
      <x:c r="H515" s="46"/>
      <x:c r="I515" s="46"/>
      <x:c r="J515" s="46"/>
    </x:row>
    <x:row r="516">
      <x:c r="A516" s="46"/>
      <x:c r="B516" s="46"/>
      <x:c r="C516" s="46"/>
      <x:c r="D516" s="46"/>
      <x:c r="E516" s="46"/>
      <x:c r="F516" s="46"/>
      <x:c r="G516" s="46"/>
      <x:c r="H516" s="46"/>
      <x:c r="I516" s="46"/>
      <x:c r="J516" s="46"/>
    </x:row>
    <x:row r="517">
      <x:c r="A517" s="46"/>
      <x:c r="B517" s="46"/>
      <x:c r="C517" s="46"/>
      <x:c r="D517" s="46"/>
      <x:c r="E517" s="46"/>
      <x:c r="F517" s="46"/>
      <x:c r="G517" s="46"/>
      <x:c r="H517" s="46"/>
      <x:c r="I517" s="46"/>
      <x:c r="J517" s="46"/>
    </x:row>
    <x:row r="518">
      <x:c r="A518" s="46"/>
      <x:c r="B518" s="46"/>
      <x:c r="C518" s="46"/>
      <x:c r="D518" s="46"/>
      <x:c r="E518" s="46"/>
      <x:c r="F518" s="46"/>
      <x:c r="G518" s="46"/>
      <x:c r="H518" s="46"/>
      <x:c r="I518" s="46"/>
      <x:c r="J518" s="46"/>
    </x:row>
    <x:row r="519">
      <x:c r="A519" s="46"/>
      <x:c r="B519" s="46"/>
      <x:c r="C519" s="46"/>
      <x:c r="D519" s="46"/>
      <x:c r="E519" s="46"/>
      <x:c r="F519" s="46"/>
      <x:c r="G519" s="46"/>
      <x:c r="H519" s="46"/>
      <x:c r="I519" s="46"/>
      <x:c r="J519" s="46"/>
    </x:row>
    <x:row r="520">
      <x:c r="A520" s="46"/>
      <x:c r="B520" s="46"/>
      <x:c r="C520" s="46"/>
      <x:c r="D520" s="46"/>
      <x:c r="E520" s="46"/>
      <x:c r="F520" s="46"/>
      <x:c r="G520" s="46"/>
      <x:c r="H520" s="46"/>
      <x:c r="I520" s="46"/>
      <x:c r="J520" s="46"/>
    </x:row>
    <x:row r="521">
      <x:c r="A521" s="46"/>
      <x:c r="B521" s="46"/>
      <x:c r="C521" s="46"/>
      <x:c r="D521" s="46"/>
      <x:c r="E521" s="46"/>
      <x:c r="F521" s="46"/>
      <x:c r="G521" s="46"/>
      <x:c r="H521" s="46"/>
      <x:c r="I521" s="46"/>
      <x:c r="J521" s="46"/>
    </x:row>
    <x:row r="522">
      <x:c r="A522" s="46"/>
      <x:c r="B522" s="46"/>
      <x:c r="C522" s="46"/>
      <x:c r="D522" s="46"/>
      <x:c r="E522" s="46"/>
      <x:c r="F522" s="46"/>
      <x:c r="G522" s="46"/>
      <x:c r="H522" s="46"/>
      <x:c r="I522" s="46"/>
      <x:c r="J522" s="46"/>
    </x:row>
    <x:row r="523">
      <x:c r="A523" s="46"/>
      <x:c r="B523" s="46"/>
      <x:c r="C523" s="46"/>
      <x:c r="D523" s="46"/>
      <x:c r="E523" s="46"/>
      <x:c r="F523" s="46"/>
      <x:c r="G523" s="46"/>
      <x:c r="H523" s="46"/>
      <x:c r="I523" s="46"/>
      <x:c r="J523" s="46"/>
    </x:row>
    <x:row r="524">
      <x:c r="A524" s="46"/>
      <x:c r="B524" s="46"/>
      <x:c r="C524" s="46"/>
      <x:c r="D524" s="46"/>
      <x:c r="E524" s="46"/>
      <x:c r="F524" s="46"/>
      <x:c r="G524" s="46"/>
      <x:c r="H524" s="46"/>
      <x:c r="I524" s="46"/>
      <x:c r="J524" s="46"/>
    </x:row>
    <x:row r="525">
      <x:c r="A525" s="46"/>
      <x:c r="B525" s="46"/>
      <x:c r="C525" s="46"/>
      <x:c r="D525" s="46"/>
      <x:c r="E525" s="46"/>
      <x:c r="F525" s="46"/>
      <x:c r="G525" s="46"/>
      <x:c r="H525" s="46"/>
      <x:c r="I525" s="46"/>
      <x:c r="J525" s="46"/>
    </x:row>
    <x:row r="526">
      <x:c r="A526" s="46"/>
      <x:c r="B526" s="46"/>
      <x:c r="C526" s="46"/>
      <x:c r="D526" s="46"/>
      <x:c r="E526" s="46"/>
      <x:c r="F526" s="46"/>
      <x:c r="G526" s="46"/>
      <x:c r="H526" s="46"/>
      <x:c r="I526" s="46"/>
      <x:c r="J526" s="46"/>
    </x:row>
    <x:row r="527">
      <x:c r="A527" s="46"/>
      <x:c r="B527" s="46"/>
      <x:c r="C527" s="46"/>
      <x:c r="D527" s="46"/>
      <x:c r="E527" s="46"/>
      <x:c r="F527" s="46"/>
      <x:c r="G527" s="46"/>
      <x:c r="H527" s="46"/>
      <x:c r="I527" s="46"/>
      <x:c r="J527" s="46"/>
    </x:row>
    <x:row r="528">
      <x:c r="A528" s="46"/>
      <x:c r="B528" s="46"/>
      <x:c r="C528" s="46"/>
      <x:c r="D528" s="46"/>
      <x:c r="E528" s="46"/>
      <x:c r="F528" s="46"/>
      <x:c r="G528" s="46"/>
      <x:c r="H528" s="46"/>
      <x:c r="I528" s="46"/>
      <x:c r="J528" s="46"/>
    </x:row>
    <x:row r="529">
      <x:c r="A529" s="46"/>
      <x:c r="B529" s="46"/>
      <x:c r="C529" s="46"/>
      <x:c r="D529" s="46"/>
      <x:c r="E529" s="46"/>
      <x:c r="F529" s="46"/>
      <x:c r="G529" s="46"/>
      <x:c r="H529" s="46"/>
      <x:c r="I529" s="46"/>
      <x:c r="J529" s="46"/>
    </x:row>
    <x:row r="530">
      <x:c r="A530" s="46"/>
      <x:c r="B530" s="46"/>
      <x:c r="C530" s="46"/>
      <x:c r="D530" s="46"/>
      <x:c r="E530" s="46"/>
      <x:c r="F530" s="46"/>
      <x:c r="G530" s="46"/>
      <x:c r="H530" s="46"/>
      <x:c r="I530" s="46"/>
      <x:c r="J530" s="46"/>
    </x:row>
    <x:row r="531">
      <x:c r="A531" s="46"/>
      <x:c r="B531" s="46"/>
      <x:c r="C531" s="46"/>
      <x:c r="D531" s="46"/>
      <x:c r="E531" s="46"/>
      <x:c r="F531" s="46"/>
      <x:c r="G531" s="46"/>
      <x:c r="H531" s="46"/>
      <x:c r="I531" s="46"/>
      <x:c r="J531" s="46"/>
    </x:row>
    <x:row r="532">
      <x:c r="A532" s="46"/>
      <x:c r="B532" s="46"/>
      <x:c r="C532" s="46"/>
      <x:c r="D532" s="46"/>
      <x:c r="E532" s="46"/>
      <x:c r="F532" s="46"/>
      <x:c r="G532" s="46"/>
      <x:c r="H532" s="46"/>
      <x:c r="I532" s="46"/>
      <x:c r="J532" s="46"/>
    </x:row>
    <x:row r="533">
      <x:c r="A533" s="46"/>
      <x:c r="B533" s="46"/>
      <x:c r="C533" s="46"/>
      <x:c r="D533" s="46"/>
      <x:c r="E533" s="46"/>
      <x:c r="F533" s="46"/>
      <x:c r="G533" s="46"/>
      <x:c r="H533" s="46"/>
      <x:c r="I533" s="46"/>
      <x:c r="J533" s="46"/>
    </x:row>
    <x:row r="534">
      <x:c r="A534" s="46"/>
      <x:c r="B534" s="46"/>
      <x:c r="C534" s="46"/>
      <x:c r="D534" s="46"/>
      <x:c r="E534" s="46"/>
      <x:c r="F534" s="46"/>
      <x:c r="G534" s="46"/>
      <x:c r="H534" s="46"/>
      <x:c r="I534" s="46"/>
      <x:c r="J534" s="46"/>
    </x:row>
    <x:row r="535">
      <x:c r="A535" s="46"/>
      <x:c r="B535" s="46"/>
      <x:c r="C535" s="46"/>
      <x:c r="D535" s="46"/>
      <x:c r="E535" s="46"/>
      <x:c r="F535" s="46"/>
      <x:c r="G535" s="46"/>
      <x:c r="H535" s="46"/>
      <x:c r="I535" s="46"/>
      <x:c r="J535" s="46"/>
    </x:row>
    <x:row r="536">
      <x:c r="A536" s="46"/>
      <x:c r="B536" s="46"/>
      <x:c r="C536" s="46"/>
      <x:c r="D536" s="46"/>
      <x:c r="E536" s="46"/>
      <x:c r="F536" s="46"/>
      <x:c r="G536" s="46"/>
      <x:c r="H536" s="46"/>
      <x:c r="I536" s="46"/>
      <x:c r="J536" s="46"/>
    </x:row>
    <x:row r="537">
      <x:c r="A537" s="46"/>
      <x:c r="B537" s="46"/>
      <x:c r="C537" s="46"/>
      <x:c r="D537" s="46"/>
      <x:c r="E537" s="46"/>
      <x:c r="F537" s="46"/>
      <x:c r="G537" s="46"/>
      <x:c r="H537" s="46"/>
      <x:c r="I537" s="46"/>
      <x:c r="J537" s="46"/>
    </x:row>
    <x:row r="538">
      <x:c r="A538" s="46"/>
      <x:c r="B538" s="46"/>
      <x:c r="C538" s="46"/>
      <x:c r="D538" s="46"/>
      <x:c r="E538" s="46"/>
      <x:c r="F538" s="46"/>
      <x:c r="G538" s="46"/>
      <x:c r="H538" s="46"/>
      <x:c r="I538" s="46"/>
      <x:c r="J538" s="46"/>
    </x:row>
    <x:row r="539">
      <x:c r="A539" s="46"/>
      <x:c r="B539" s="46"/>
      <x:c r="C539" s="46"/>
      <x:c r="D539" s="46"/>
      <x:c r="E539" s="46"/>
      <x:c r="F539" s="46"/>
      <x:c r="G539" s="46"/>
      <x:c r="H539" s="46"/>
      <x:c r="I539" s="46"/>
      <x:c r="J539" s="46"/>
    </x:row>
    <x:row r="540">
      <x:c r="A540" s="46"/>
      <x:c r="B540" s="46"/>
      <x:c r="C540" s="46"/>
      <x:c r="D540" s="46"/>
      <x:c r="E540" s="46"/>
      <x:c r="F540" s="46"/>
      <x:c r="G540" s="46"/>
      <x:c r="H540" s="46"/>
      <x:c r="I540" s="46"/>
      <x:c r="J540" s="46"/>
    </x:row>
    <x:row r="541">
      <x:c r="A541" s="46"/>
      <x:c r="B541" s="46"/>
      <x:c r="C541" s="46"/>
      <x:c r="D541" s="46"/>
      <x:c r="E541" s="46"/>
      <x:c r="F541" s="46"/>
      <x:c r="G541" s="46"/>
      <x:c r="H541" s="46"/>
      <x:c r="I541" s="46"/>
      <x:c r="J541" s="46"/>
    </x:row>
    <x:row r="542">
      <x:c r="A542" s="46"/>
      <x:c r="B542" s="46"/>
      <x:c r="C542" s="46"/>
      <x:c r="D542" s="46"/>
      <x:c r="E542" s="46"/>
      <x:c r="F542" s="46"/>
      <x:c r="G542" s="46"/>
      <x:c r="H542" s="46"/>
      <x:c r="I542" s="46"/>
      <x:c r="J542" s="46"/>
    </x:row>
    <x:row r="543">
      <x:c r="A543" s="46"/>
      <x:c r="B543" s="46"/>
      <x:c r="C543" s="46"/>
      <x:c r="D543" s="46"/>
      <x:c r="E543" s="46"/>
      <x:c r="F543" s="46"/>
      <x:c r="G543" s="46"/>
      <x:c r="H543" s="46"/>
      <x:c r="I543" s="46"/>
      <x:c r="J543" s="46"/>
    </x:row>
    <x:row r="544">
      <x:c r="A544" s="46"/>
      <x:c r="B544" s="46"/>
      <x:c r="C544" s="46"/>
      <x:c r="D544" s="46"/>
      <x:c r="E544" s="46"/>
      <x:c r="F544" s="46"/>
      <x:c r="G544" s="46"/>
      <x:c r="H544" s="46"/>
      <x:c r="I544" s="46"/>
      <x:c r="J544" s="46"/>
    </x:row>
    <x:row r="545">
      <x:c r="A545" s="46"/>
      <x:c r="B545" s="46"/>
      <x:c r="C545" s="46"/>
      <x:c r="D545" s="46"/>
      <x:c r="E545" s="46"/>
      <x:c r="F545" s="46"/>
      <x:c r="G545" s="46"/>
      <x:c r="H545" s="46"/>
      <x:c r="I545" s="46"/>
      <x:c r="J545" s="46"/>
    </x:row>
    <x:row r="546">
      <x:c r="A546" s="46"/>
      <x:c r="B546" s="46"/>
      <x:c r="C546" s="46"/>
      <x:c r="D546" s="46"/>
      <x:c r="E546" s="46"/>
      <x:c r="F546" s="46"/>
      <x:c r="G546" s="46"/>
      <x:c r="H546" s="46"/>
      <x:c r="I546" s="46"/>
      <x:c r="J546" s="46"/>
    </x:row>
    <x:row r="547">
      <x:c r="A547" s="46"/>
      <x:c r="B547" s="46"/>
      <x:c r="C547" s="46"/>
      <x:c r="D547" s="46"/>
      <x:c r="E547" s="46"/>
      <x:c r="F547" s="46"/>
      <x:c r="G547" s="46"/>
      <x:c r="H547" s="46"/>
      <x:c r="I547" s="46"/>
      <x:c r="J547" s="46"/>
    </x:row>
    <x:row r="548">
      <x:c r="A548" s="46"/>
      <x:c r="B548" s="46"/>
      <x:c r="C548" s="46"/>
      <x:c r="D548" s="46"/>
      <x:c r="E548" s="46"/>
      <x:c r="F548" s="46"/>
      <x:c r="G548" s="46"/>
      <x:c r="H548" s="46"/>
      <x:c r="I548" s="46"/>
      <x:c r="J548" s="46"/>
    </x:row>
    <x:row r="549">
      <x:c r="A549" s="46"/>
      <x:c r="B549" s="46"/>
      <x:c r="C549" s="46"/>
      <x:c r="D549" s="46"/>
      <x:c r="E549" s="46"/>
      <x:c r="F549" s="46"/>
      <x:c r="G549" s="46"/>
      <x:c r="H549" s="46"/>
      <x:c r="I549" s="46"/>
      <x:c r="J549" s="46"/>
    </x:row>
    <x:row r="550">
      <x:c r="A550" s="46"/>
      <x:c r="B550" s="46"/>
      <x:c r="C550" s="46"/>
      <x:c r="D550" s="46"/>
      <x:c r="E550" s="46"/>
      <x:c r="F550" s="46"/>
      <x:c r="G550" s="46"/>
      <x:c r="H550" s="46"/>
      <x:c r="I550" s="46"/>
      <x:c r="J550" s="46"/>
    </x:row>
    <x:row r="551">
      <x:c r="A551" s="46"/>
      <x:c r="B551" s="46"/>
      <x:c r="C551" s="46"/>
      <x:c r="D551" s="46"/>
      <x:c r="E551" s="46"/>
      <x:c r="F551" s="46"/>
      <x:c r="G551" s="46"/>
      <x:c r="H551" s="46"/>
      <x:c r="I551" s="46"/>
      <x:c r="J551" s="46"/>
    </x:row>
    <x:row r="552">
      <x:c r="A552" s="46"/>
      <x:c r="B552" s="46"/>
      <x:c r="C552" s="46"/>
      <x:c r="D552" s="46"/>
      <x:c r="E552" s="46"/>
      <x:c r="F552" s="46"/>
      <x:c r="G552" s="46"/>
      <x:c r="H552" s="46"/>
      <x:c r="I552" s="46"/>
      <x:c r="J552" s="46"/>
    </x:row>
    <x:row r="553">
      <x:c r="A553" s="46"/>
      <x:c r="B553" s="46"/>
      <x:c r="C553" s="46"/>
      <x:c r="D553" s="46"/>
      <x:c r="E553" s="46"/>
      <x:c r="F553" s="46"/>
      <x:c r="G553" s="46"/>
      <x:c r="H553" s="46"/>
      <x:c r="I553" s="46"/>
      <x:c r="J553" s="46"/>
    </x:row>
    <x:row r="554">
      <x:c r="A554" s="46"/>
      <x:c r="B554" s="46"/>
      <x:c r="C554" s="46"/>
      <x:c r="D554" s="46"/>
      <x:c r="E554" s="46"/>
      <x:c r="F554" s="46"/>
      <x:c r="G554" s="46"/>
      <x:c r="H554" s="46"/>
      <x:c r="I554" s="46"/>
      <x:c r="J554" s="46"/>
    </x:row>
    <x:row r="555">
      <x:c r="A555" s="46"/>
      <x:c r="B555" s="46"/>
      <x:c r="C555" s="46"/>
      <x:c r="D555" s="46"/>
      <x:c r="E555" s="46"/>
      <x:c r="F555" s="46"/>
      <x:c r="G555" s="46"/>
      <x:c r="H555" s="46"/>
      <x:c r="I555" s="46"/>
      <x:c r="J555" s="46"/>
    </x:row>
    <x:row r="556">
      <x:c r="A556" s="46"/>
      <x:c r="B556" s="46"/>
      <x:c r="C556" s="46"/>
      <x:c r="D556" s="46"/>
      <x:c r="E556" s="46"/>
      <x:c r="F556" s="46"/>
      <x:c r="G556" s="46"/>
      <x:c r="H556" s="46"/>
      <x:c r="I556" s="46"/>
      <x:c r="J556" s="46"/>
    </x:row>
    <x:row r="557">
      <x:c r="A557" s="46"/>
      <x:c r="B557" s="46"/>
      <x:c r="C557" s="46"/>
      <x:c r="D557" s="46"/>
      <x:c r="E557" s="46"/>
      <x:c r="F557" s="46"/>
      <x:c r="G557" s="46"/>
      <x:c r="H557" s="46"/>
      <x:c r="I557" s="46"/>
      <x:c r="J557" s="46"/>
    </x:row>
    <x:row r="558">
      <x:c r="A558" s="46"/>
      <x:c r="B558" s="46"/>
      <x:c r="C558" s="46"/>
      <x:c r="D558" s="46"/>
      <x:c r="E558" s="46"/>
      <x:c r="F558" s="46"/>
      <x:c r="G558" s="46"/>
      <x:c r="H558" s="46"/>
      <x:c r="I558" s="46"/>
      <x:c r="J558" s="46"/>
    </x:row>
    <x:row r="559">
      <x:c r="A559" s="46"/>
      <x:c r="B559" s="46"/>
      <x:c r="C559" s="46"/>
      <x:c r="D559" s="46"/>
      <x:c r="E559" s="46"/>
      <x:c r="F559" s="46"/>
      <x:c r="G559" s="46"/>
      <x:c r="H559" s="46"/>
      <x:c r="I559" s="46"/>
      <x:c r="J559" s="46"/>
    </x:row>
    <x:row r="560">
      <x:c r="A560" s="46"/>
      <x:c r="B560" s="46"/>
      <x:c r="C560" s="46"/>
      <x:c r="D560" s="46"/>
      <x:c r="E560" s="46"/>
      <x:c r="F560" s="46"/>
      <x:c r="G560" s="46"/>
      <x:c r="H560" s="46"/>
      <x:c r="I560" s="46"/>
      <x:c r="J560" s="46"/>
    </x:row>
    <x:row r="561">
      <x:c r="A561" s="46"/>
      <x:c r="B561" s="46"/>
      <x:c r="C561" s="46"/>
      <x:c r="D561" s="46"/>
      <x:c r="E561" s="46"/>
      <x:c r="F561" s="46"/>
      <x:c r="G561" s="46"/>
      <x:c r="H561" s="46"/>
      <x:c r="I561" s="46"/>
      <x:c r="J561" s="46"/>
    </x:row>
    <x:row r="562">
      <x:c r="A562" s="46"/>
      <x:c r="B562" s="46"/>
      <x:c r="C562" s="46"/>
      <x:c r="D562" s="46"/>
      <x:c r="E562" s="46"/>
      <x:c r="F562" s="46"/>
      <x:c r="G562" s="46"/>
      <x:c r="H562" s="46"/>
      <x:c r="I562" s="46"/>
      <x:c r="J562" s="46"/>
    </x:row>
    <x:row r="563">
      <x:c r="A563" s="46"/>
      <x:c r="B563" s="46"/>
      <x:c r="C563" s="46"/>
      <x:c r="D563" s="46"/>
      <x:c r="E563" s="46"/>
      <x:c r="F563" s="46"/>
      <x:c r="G563" s="46"/>
      <x:c r="H563" s="46"/>
      <x:c r="I563" s="46"/>
      <x:c r="J563" s="46"/>
    </x:row>
    <x:row r="564">
      <x:c r="A564" s="46"/>
      <x:c r="B564" s="46"/>
      <x:c r="C564" s="46"/>
      <x:c r="D564" s="46"/>
      <x:c r="E564" s="46"/>
      <x:c r="F564" s="46"/>
      <x:c r="G564" s="46"/>
      <x:c r="H564" s="46"/>
      <x:c r="I564" s="46"/>
      <x:c r="J564" s="46"/>
    </x:row>
    <x:row r="565">
      <x:c r="A565" s="46"/>
      <x:c r="B565" s="46"/>
      <x:c r="C565" s="46"/>
      <x:c r="D565" s="46"/>
      <x:c r="E565" s="46"/>
      <x:c r="F565" s="46"/>
      <x:c r="G565" s="46"/>
      <x:c r="H565" s="46"/>
      <x:c r="I565" s="46"/>
      <x:c r="J565" s="46"/>
    </x:row>
    <x:row r="566">
      <x:c r="A566" s="46"/>
      <x:c r="B566" s="46"/>
      <x:c r="C566" s="46"/>
      <x:c r="D566" s="46"/>
      <x:c r="E566" s="46"/>
      <x:c r="F566" s="46"/>
      <x:c r="G566" s="46"/>
      <x:c r="H566" s="46"/>
      <x:c r="I566" s="46"/>
      <x:c r="J566" s="46"/>
    </x:row>
    <x:row r="567">
      <x:c r="A567" s="46"/>
      <x:c r="B567" s="46"/>
      <x:c r="C567" s="46"/>
      <x:c r="D567" s="46"/>
      <x:c r="E567" s="46"/>
      <x:c r="F567" s="46"/>
      <x:c r="G567" s="46"/>
      <x:c r="H567" s="46"/>
      <x:c r="I567" s="46"/>
      <x:c r="J567" s="46"/>
    </x:row>
    <x:row r="568">
      <x:c r="A568" s="46"/>
      <x:c r="B568" s="46"/>
      <x:c r="C568" s="46"/>
      <x:c r="D568" s="46"/>
      <x:c r="E568" s="46"/>
      <x:c r="F568" s="46"/>
      <x:c r="G568" s="46"/>
      <x:c r="H568" s="46"/>
      <x:c r="I568" s="46"/>
      <x:c r="J568" s="46"/>
    </x:row>
    <x:row r="569">
      <x:c r="A569" s="46"/>
      <x:c r="B569" s="46"/>
      <x:c r="C569" s="46"/>
      <x:c r="D569" s="46"/>
      <x:c r="E569" s="46"/>
      <x:c r="F569" s="46"/>
      <x:c r="G569" s="46"/>
      <x:c r="H569" s="46"/>
      <x:c r="I569" s="46"/>
      <x:c r="J569" s="46"/>
    </x:row>
    <x:row r="570">
      <x:c r="A570" s="46"/>
      <x:c r="B570" s="46"/>
      <x:c r="C570" s="46"/>
      <x:c r="D570" s="46"/>
      <x:c r="E570" s="46"/>
      <x:c r="F570" s="46"/>
      <x:c r="G570" s="46"/>
      <x:c r="H570" s="46"/>
      <x:c r="I570" s="46"/>
      <x:c r="J570" s="46"/>
    </x:row>
    <x:row r="571">
      <x:c r="A571" s="46"/>
      <x:c r="B571" s="46"/>
      <x:c r="C571" s="46"/>
      <x:c r="D571" s="46"/>
      <x:c r="E571" s="46"/>
      <x:c r="F571" s="46"/>
      <x:c r="G571" s="46"/>
      <x:c r="H571" s="46"/>
      <x:c r="I571" s="46"/>
      <x:c r="J571" s="46"/>
    </x:row>
    <x:row r="572">
      <x:c r="A572" s="46"/>
      <x:c r="B572" s="46"/>
      <x:c r="C572" s="46"/>
      <x:c r="D572" s="46"/>
      <x:c r="E572" s="46"/>
      <x:c r="F572" s="46"/>
      <x:c r="G572" s="46"/>
      <x:c r="H572" s="46"/>
      <x:c r="I572" s="46"/>
      <x:c r="J572" s="46"/>
    </x:row>
    <x:row r="573">
      <x:c r="A573" s="46"/>
      <x:c r="B573" s="46"/>
      <x:c r="C573" s="46"/>
      <x:c r="D573" s="46"/>
      <x:c r="E573" s="46"/>
      <x:c r="F573" s="46"/>
      <x:c r="G573" s="46"/>
      <x:c r="H573" s="46"/>
      <x:c r="I573" s="46"/>
      <x:c r="J573" s="46"/>
    </x:row>
    <x:row r="574">
      <x:c r="A574" s="46"/>
      <x:c r="B574" s="46"/>
      <x:c r="C574" s="46"/>
      <x:c r="D574" s="46"/>
      <x:c r="E574" s="46"/>
      <x:c r="F574" s="46"/>
      <x:c r="G574" s="46"/>
      <x:c r="H574" s="46"/>
      <x:c r="I574" s="46"/>
      <x:c r="J574" s="46"/>
    </x:row>
    <x:row r="575">
      <x:c r="A575" s="46"/>
      <x:c r="B575" s="46"/>
      <x:c r="C575" s="46"/>
      <x:c r="D575" s="46"/>
      <x:c r="E575" s="46"/>
      <x:c r="F575" s="46"/>
      <x:c r="G575" s="46"/>
      <x:c r="H575" s="46"/>
      <x:c r="I575" s="46"/>
      <x:c r="J575" s="46"/>
    </x:row>
    <x:row r="576">
      <x:c r="A576" s="46"/>
      <x:c r="B576" s="46"/>
      <x:c r="C576" s="46"/>
      <x:c r="D576" s="46"/>
      <x:c r="E576" s="46"/>
      <x:c r="F576" s="46"/>
      <x:c r="G576" s="46"/>
      <x:c r="H576" s="46"/>
      <x:c r="I576" s="46"/>
      <x:c r="J576" s="46"/>
    </x:row>
    <x:row r="577">
      <x:c r="A577" s="46"/>
      <x:c r="B577" s="46"/>
      <x:c r="C577" s="46"/>
      <x:c r="D577" s="46"/>
      <x:c r="E577" s="46"/>
      <x:c r="F577" s="46"/>
      <x:c r="G577" s="46"/>
      <x:c r="H577" s="46"/>
      <x:c r="I577" s="46"/>
      <x:c r="J577" s="46"/>
    </x:row>
    <x:row r="578">
      <x:c r="A578" s="46"/>
      <x:c r="B578" s="46"/>
      <x:c r="C578" s="46"/>
      <x:c r="D578" s="46"/>
      <x:c r="E578" s="46"/>
      <x:c r="F578" s="46"/>
      <x:c r="G578" s="46"/>
      <x:c r="H578" s="46"/>
      <x:c r="I578" s="46"/>
      <x:c r="J578" s="46"/>
    </x:row>
    <x:row r="579">
      <x:c r="A579" s="46"/>
      <x:c r="B579" s="46"/>
      <x:c r="C579" s="46"/>
      <x:c r="D579" s="46"/>
      <x:c r="E579" s="46"/>
      <x:c r="F579" s="46"/>
      <x:c r="G579" s="46"/>
      <x:c r="H579" s="46"/>
      <x:c r="I579" s="46"/>
      <x:c r="J579" s="46"/>
    </x:row>
    <x:row r="580">
      <x:c r="A580" s="46"/>
      <x:c r="B580" s="46"/>
      <x:c r="C580" s="46"/>
      <x:c r="D580" s="46"/>
      <x:c r="E580" s="46"/>
      <x:c r="F580" s="46"/>
      <x:c r="G580" s="46"/>
      <x:c r="H580" s="46"/>
      <x:c r="I580" s="46"/>
      <x:c r="J580" s="46"/>
    </x:row>
    <x:row r="581">
      <x:c r="A581" s="46"/>
      <x:c r="B581" s="46"/>
      <x:c r="C581" s="46"/>
      <x:c r="D581" s="46"/>
      <x:c r="E581" s="46"/>
      <x:c r="F581" s="46"/>
      <x:c r="G581" s="46"/>
      <x:c r="H581" s="46"/>
      <x:c r="I581" s="46"/>
      <x:c r="J581" s="46"/>
    </x:row>
    <x:row r="582">
      <x:c r="A582" s="46"/>
      <x:c r="B582" s="46"/>
      <x:c r="C582" s="46"/>
      <x:c r="D582" s="46"/>
      <x:c r="E582" s="46"/>
      <x:c r="F582" s="46"/>
      <x:c r="G582" s="46"/>
      <x:c r="H582" s="46"/>
      <x:c r="I582" s="46"/>
      <x:c r="J582" s="46"/>
    </x:row>
    <x:row r="583">
      <x:c r="A583" s="46"/>
      <x:c r="B583" s="46"/>
      <x:c r="C583" s="46"/>
      <x:c r="D583" s="46"/>
      <x:c r="E583" s="46"/>
      <x:c r="F583" s="46"/>
      <x:c r="G583" s="46"/>
      <x:c r="H583" s="46"/>
      <x:c r="I583" s="46"/>
      <x:c r="J583" s="46"/>
    </x:row>
    <x:row r="584">
      <x:c r="A584" s="46"/>
      <x:c r="B584" s="46"/>
      <x:c r="C584" s="46"/>
      <x:c r="D584" s="46"/>
      <x:c r="E584" s="46"/>
      <x:c r="F584" s="46"/>
      <x:c r="G584" s="46"/>
      <x:c r="H584" s="46"/>
      <x:c r="I584" s="46"/>
      <x:c r="J584" s="46"/>
    </x:row>
    <x:row r="585">
      <x:c r="A585" s="46"/>
      <x:c r="B585" s="46"/>
      <x:c r="C585" s="46"/>
      <x:c r="D585" s="46"/>
      <x:c r="E585" s="46"/>
      <x:c r="F585" s="46"/>
      <x:c r="G585" s="46"/>
      <x:c r="H585" s="46"/>
      <x:c r="I585" s="46"/>
      <x:c r="J585" s="46"/>
    </x:row>
    <x:row r="586">
      <x:c r="A586" s="46"/>
      <x:c r="B586" s="46"/>
      <x:c r="C586" s="46"/>
      <x:c r="D586" s="46"/>
      <x:c r="E586" s="46"/>
      <x:c r="F586" s="46"/>
      <x:c r="G586" s="46"/>
      <x:c r="H586" s="46"/>
      <x:c r="I586" s="46"/>
      <x:c r="J586" s="46"/>
    </x:row>
    <x:row r="587">
      <x:c r="A587" s="46"/>
      <x:c r="B587" s="46"/>
      <x:c r="C587" s="46"/>
      <x:c r="D587" s="46"/>
      <x:c r="E587" s="46"/>
      <x:c r="F587" s="46"/>
      <x:c r="G587" s="46"/>
      <x:c r="H587" s="46"/>
      <x:c r="I587" s="46"/>
      <x:c r="J587" s="46"/>
    </x:row>
    <x:row r="588">
      <x:c r="A588" s="46"/>
      <x:c r="B588" s="46"/>
      <x:c r="C588" s="46"/>
      <x:c r="D588" s="46"/>
      <x:c r="E588" s="46"/>
      <x:c r="F588" s="46"/>
      <x:c r="G588" s="46"/>
      <x:c r="H588" s="46"/>
      <x:c r="I588" s="46"/>
      <x:c r="J588" s="46"/>
    </x:row>
    <x:row r="589">
      <x:c r="A589" s="46"/>
      <x:c r="B589" s="46"/>
      <x:c r="C589" s="46"/>
      <x:c r="D589" s="46"/>
      <x:c r="E589" s="46"/>
      <x:c r="F589" s="46"/>
      <x:c r="G589" s="46"/>
      <x:c r="H589" s="46"/>
      <x:c r="I589" s="46"/>
      <x:c r="J589" s="46"/>
    </x:row>
    <x:row r="590">
      <x:c r="A590" s="46"/>
      <x:c r="B590" s="46"/>
      <x:c r="C590" s="46"/>
      <x:c r="D590" s="46"/>
      <x:c r="E590" s="46"/>
      <x:c r="F590" s="46"/>
      <x:c r="G590" s="46"/>
      <x:c r="H590" s="46"/>
      <x:c r="I590" s="46"/>
      <x:c r="J590" s="46"/>
    </x:row>
    <x:row r="591">
      <x:c r="A591" s="46"/>
      <x:c r="B591" s="46"/>
      <x:c r="C591" s="46"/>
      <x:c r="D591" s="46"/>
      <x:c r="E591" s="46"/>
      <x:c r="F591" s="46"/>
      <x:c r="G591" s="46"/>
      <x:c r="H591" s="46"/>
      <x:c r="I591" s="46"/>
      <x:c r="J591" s="46"/>
    </x:row>
    <x:row r="592">
      <x:c r="A592" s="46"/>
      <x:c r="B592" s="46"/>
      <x:c r="C592" s="46"/>
      <x:c r="D592" s="46"/>
      <x:c r="E592" s="46"/>
      <x:c r="F592" s="46"/>
      <x:c r="G592" s="46"/>
      <x:c r="H592" s="46"/>
      <x:c r="I592" s="46"/>
      <x:c r="J592" s="46"/>
    </x:row>
    <x:row r="593">
      <x:c r="A593" s="46"/>
      <x:c r="B593" s="46"/>
      <x:c r="C593" s="46"/>
      <x:c r="D593" s="46"/>
      <x:c r="E593" s="46"/>
      <x:c r="F593" s="46"/>
      <x:c r="G593" s="46"/>
      <x:c r="H593" s="46"/>
      <x:c r="I593" s="46"/>
      <x:c r="J593" s="46"/>
    </x:row>
    <x:row r="594">
      <x:c r="A594" s="46"/>
      <x:c r="B594" s="46"/>
      <x:c r="C594" s="46"/>
      <x:c r="D594" s="46"/>
      <x:c r="E594" s="46"/>
      <x:c r="F594" s="46"/>
      <x:c r="G594" s="46"/>
      <x:c r="H594" s="46"/>
      <x:c r="I594" s="46"/>
      <x:c r="J594" s="46"/>
    </x:row>
    <x:row r="595">
      <x:c r="A595" s="46"/>
      <x:c r="B595" s="46"/>
      <x:c r="C595" s="46"/>
      <x:c r="D595" s="46"/>
      <x:c r="E595" s="46"/>
      <x:c r="F595" s="46"/>
      <x:c r="G595" s="46"/>
      <x:c r="H595" s="46"/>
      <x:c r="I595" s="46"/>
      <x:c r="J595" s="46"/>
    </x:row>
    <x:row r="596">
      <x:c r="A596" s="46"/>
      <x:c r="B596" s="46"/>
      <x:c r="C596" s="46"/>
      <x:c r="D596" s="46"/>
      <x:c r="E596" s="46"/>
      <x:c r="F596" s="46"/>
      <x:c r="G596" s="46"/>
      <x:c r="H596" s="46"/>
      <x:c r="I596" s="46"/>
      <x:c r="J596" s="46"/>
    </x:row>
    <x:row r="597">
      <x:c r="A597" s="46"/>
      <x:c r="B597" s="46"/>
      <x:c r="C597" s="46"/>
      <x:c r="D597" s="46"/>
      <x:c r="E597" s="46"/>
      <x:c r="F597" s="46"/>
      <x:c r="G597" s="46"/>
      <x:c r="H597" s="46"/>
      <x:c r="I597" s="46"/>
      <x:c r="J597" s="46"/>
    </x:row>
    <x:row r="598">
      <x:c r="A598" s="46"/>
      <x:c r="B598" s="46"/>
      <x:c r="C598" s="46"/>
      <x:c r="D598" s="46"/>
      <x:c r="E598" s="46"/>
      <x:c r="F598" s="46"/>
      <x:c r="G598" s="46"/>
      <x:c r="H598" s="46"/>
      <x:c r="I598" s="46"/>
      <x:c r="J598" s="46"/>
    </x:row>
    <x:row r="599">
      <x:c r="A599" s="46"/>
      <x:c r="B599" s="46"/>
      <x:c r="C599" s="46"/>
      <x:c r="D599" s="46"/>
      <x:c r="E599" s="46"/>
      <x:c r="F599" s="46"/>
      <x:c r="G599" s="46"/>
      <x:c r="H599" s="46"/>
      <x:c r="I599" s="46"/>
      <x:c r="J599" s="46"/>
    </x:row>
    <x:row r="600">
      <x:c r="A600" s="46"/>
      <x:c r="B600" s="46"/>
      <x:c r="C600" s="46"/>
      <x:c r="D600" s="46"/>
      <x:c r="E600" s="46"/>
      <x:c r="F600" s="46"/>
      <x:c r="G600" s="46"/>
      <x:c r="H600" s="46"/>
      <x:c r="I600" s="46"/>
      <x:c r="J600" s="46"/>
    </x:row>
  </x:sheetData>
  <x:conditionalFormatting sqref="D2:D4">
    <x:cfRule type="dataBar" priority="1">
      <x:dataBar>
        <x:cfvo type="min"/>
        <x:cfvo type="max"/>
        <x:color rgb="FFA02B93"/>
      </x:dataBar>
      <x:extLst>
        <x:ext xmlns:x14="http://schemas.microsoft.com/office/spreadsheetml/2009/9/main" uri="{B025F937-C7B1-47D3-B67F-A62EFF666E3E}">
          <x14:id>{83489CB8-87AB-7406-55F3-7694641064AD}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83489CB8-87AB-7406-55F3-7694641064AD}">
            <x14:dataBar gradient="1">
              <x14:cfvo type="min"/>
              <x14:cfvo type="max"/>
              <x14:fillColor rgb="FFA02B93"/>
            </x14:dataBar>
          </x14:cfRule>
          <xm:sqref>D2:D4</xm:sqref>
        </x14:conditionalFormatting>
      </x14:conditionalFormattings>
    </x:ext>
  </x:extLst>
</x:worksheet>
</file>

<file path=xl/worksheets/sheet33.xml><?xml version="1.0" encoding="utf-8"?>
<x:worksheet xmlns:x="http://schemas.openxmlformats.org/spreadsheetml/2006/main">
  <x:sheetFormatPr defaultRowHeight="15"/>
  <x:sheetData>
    <x:row r="1" ht="36" customHeight="1">
      <x:c r="A1" s="81" t="str">
        <x:v>quant_record_id</x:v>
      </x:c>
      <x:c r="B1" s="81" t="str">
        <x:v>source_name_table18</x:v>
      </x:c>
      <x:c r="C1" s="81" t="str">
        <x:v>retention_index_source</x:v>
      </x:c>
      <x:c r="D1" s="81" t="str">
        <x:v>chicken_mean_ugkg</x:v>
      </x:c>
      <x:c r="E1" s="81" t="str">
        <x:v>chicken_sd</x:v>
      </x:c>
      <x:c r="F1" s="81" t="str">
        <x:v>pheasant_mean_ugkg</x:v>
      </x:c>
      <x:c r="G1" s="81" t="str">
        <x:v>pheasant_sd</x:v>
      </x:c>
      <x:c r="H1" s="81" t="str">
        <x:v>pheasant_vs_chicken_sig</x:v>
      </x:c>
      <x:c r="I1" s="81" t="str">
        <x:v>pheasant_ratio_vs_chicken</x:v>
      </x:c>
      <x:c r="J1" s="81" t="str">
        <x:v>partridge_mean_ugkg</x:v>
      </x:c>
      <x:c r="K1" s="81" t="str">
        <x:v>partridge_sd</x:v>
      </x:c>
      <x:c r="L1" s="81" t="str">
        <x:v>partridge_vs_chicken_sig</x:v>
      </x:c>
      <x:c r="M1" s="81" t="str">
        <x:v>partridge_ratio_vs_chicken</x:v>
      </x:c>
      <x:c r="N1" s="81" t="str">
        <x:v>quail_mean_ugkg</x:v>
      </x:c>
      <x:c r="O1" s="81" t="str">
        <x:v>quail_sd</x:v>
      </x:c>
      <x:c r="P1" s="81" t="str">
        <x:v>quail_ratio_vs_chicken</x:v>
      </x:c>
      <x:c r="Q1" s="81" t="str">
        <x:v>source_id</x:v>
      </x:c>
      <x:c r="R1" s="81" t="str">
        <x:v>source_url</x:v>
      </x:c>
      <x:c r="S1" s="81" t="str">
        <x:v>sample_note</x:v>
      </x:c>
      <x:c r="T1" s="81" t="str">
        <x:v>interpretation_note</x:v>
      </x:c>
      <x:c r="U1" s="81"/>
      <x:c r="V1" s="82" t="str">
        <x:v>ARCHIVE STATUS</x:v>
      </x:c>
      <x:c r="W1" s="82" t="str">
        <x:v>DO NOT USE FOR SCORING</x:v>
      </x:c>
    </x:row>
    <x:row r="2">
      <x:c r="A2" s="46" t="str">
        <x:v>LANDFOWL-Q-001</x:v>
      </x:c>
      <x:c r="B2" s="46" t="str">
        <x:v>3-Methylbutanal</x:v>
      </x:c>
      <x:c r="C2" s="46" t="n">
        <x:v>653</x:v>
      </x:c>
      <x:c r="D2" s="46" t="n">
        <x:v>30.2</x:v>
      </x:c>
      <x:c r="E2" s="46" t="n">
        <x:v>1.5</x:v>
      </x:c>
      <x:c r="F2" s="46" t="n">
        <x:v>4793</x:v>
      </x:c>
      <x:c r="G2" s="46" t="n">
        <x:v>7464</x:v>
      </x:c>
      <x:c r="H2" s="46" t="str">
        <x:v>significant</x:v>
      </x:c>
      <x:c r="I2" s="46" t="n">
        <x:v>158.7086092715232</x:v>
      </x:c>
      <x:c r="J2" s="46" t="n">
        <x:v>56.2</x:v>
      </x:c>
      <x:c r="K2" s="46" t="n">
        <x:v>2.6</x:v>
      </x:c>
      <x:c r="L2" s="46" t="str">
        <x:v>significant</x:v>
      </x:c>
      <x:c r="M2" s="46" t="n">
        <x:v>1.860927152317881</x:v>
      </x:c>
      <x:c r="N2" s="46" t="n">
        <x:v>74.7</x:v>
      </x:c>
      <x:c r="O2" s="46" t="n">
        <x:v>0.7</x:v>
      </x:c>
      <x:c r="P2" s="46" t="n">
        <x:v>2.4735099337748347</x:v>
      </x:c>
      <x:c r="Q2" s="46" t="str">
        <x:v>SRC-LANDFOWL-THESIS-001</x:v>
      </x:c>
      <x:c r="R2" s="46" t="str">
        <x:v>https://d-nb.info/1009589644/34</x:v>
      </x:c>
      <x:c r="S2" s="46" t="str">
        <x:v>Chicken, pheasant, partridge n=4; quail n=2. Dissertation states no statistical test for quail because of low sample size.</x:v>
      </x:c>
      <x:c r="T2" s="46" t="str">
        <x:v>Ratios are descriptive only. Very large pheasant SDs mean magnitude should not be treated as a stable sensory multiplier.</x:v>
      </x:c>
      <x:c r="U2" s="46"/>
      <x:c r="V2" s="83" t="str">
        <x:v>Reason</x:v>
      </x:c>
      <x:c r="W2" s="83" t="str">
        <x:v>v7 transcription lost German decimal commas in multiple Table-18 values; magnitude/ratio calculations are unreliable.</x:v>
      </x:c>
    </x:row>
    <x:row r="3">
      <x:c r="A3" s="46" t="str">
        <x:v>LANDFOWL-Q-002</x:v>
      </x:c>
      <x:c r="B3" s="46" t="str">
        <x:v>2-Methylbutanal</x:v>
      </x:c>
      <x:c r="C3" s="46" t="n">
        <x:v>661</x:v>
      </x:c>
      <x:c r="D3" s="46" t="n">
        <x:v>22.6</x:v>
      </x:c>
      <x:c r="E3" s="46" t="n">
        <x:v>2.1</x:v>
      </x:c>
      <x:c r="F3" s="46" t="n">
        <x:v>3736</x:v>
      </x:c>
      <x:c r="G3" s="46" t="n">
        <x:v>5989</x:v>
      </x:c>
      <x:c r="H3" s="46" t="str">
        <x:v>significant</x:v>
      </x:c>
      <x:c r="I3" s="46" t="n">
        <x:v>165.30973451327432</x:v>
      </x:c>
      <x:c r="J3" s="46" t="n">
        <x:v>38</x:v>
      </x:c>
      <x:c r="K3" s="46" t="n">
        <x:v>2.2</x:v>
      </x:c>
      <x:c r="L3" s="46" t="str">
        <x:v>significant</x:v>
      </x:c>
      <x:c r="M3" s="46" t="n">
        <x:v>1.6814159292035398</x:v>
      </x:c>
      <x:c r="N3" s="46" t="n">
        <x:v>47.4</x:v>
      </x:c>
      <x:c r="O3" s="46" t="n">
        <x:v>2.9</x:v>
      </x:c>
      <x:c r="P3" s="46" t="n">
        <x:v>2.0973451327433628</x:v>
      </x:c>
      <x:c r="Q3" s="46" t="str">
        <x:v>SRC-LANDFOWL-THESIS-001</x:v>
      </x:c>
      <x:c r="R3" s="46" t="str">
        <x:v>https://d-nb.info/1009589644/34</x:v>
      </x:c>
      <x:c r="S3" s="46" t="str">
        <x:v>Chicken, pheasant, partridge n=4; quail n=2. Dissertation states no statistical test for quail because of low sample size.</x:v>
      </x:c>
      <x:c r="T3" s="46" t="str">
        <x:v>Ratios are descriptive only. Very large pheasant SDs mean magnitude should not be treated as a stable sensory multiplier.</x:v>
      </x:c>
      <x:c r="U3" s="46"/>
      <x:c r="V3" s="83" t="str">
        <x:v>Preservation</x:v>
      </x:c>
      <x:c r="W3" s="83" t="str">
        <x:v>Values retained exactly as they appeared in v7 for audit lineage.</x:v>
      </x:c>
    </x:row>
    <x:row r="4">
      <x:c r="A4" s="46" t="str">
        <x:v>LANDFOWL-Q-003</x:v>
      </x:c>
      <x:c r="B4" s="46" t="str">
        <x:v>Pentanal</x:v>
      </x:c>
      <x:c r="C4" s="46" t="n">
        <x:v>498</x:v>
      </x:c>
      <x:c r="D4" s="46" t="n">
        <x:v>833</x:v>
      </x:c>
      <x:c r="E4" s="46" t="n">
        <x:v>78.5</x:v>
      </x:c>
      <x:c r="F4" s="46" t="n">
        <x:v>3122</x:v>
      </x:c>
      <x:c r="G4" s="46" t="n">
        <x:v>4200</x:v>
      </x:c>
      <x:c r="H4" s="46" t="str">
        <x:v>significant</x:v>
      </x:c>
      <x:c r="I4" s="46" t="n">
        <x:v>3.7478991596638656</x:v>
      </x:c>
      <x:c r="J4" s="46" t="n">
        <x:v>259</x:v>
      </x:c>
      <x:c r="K4" s="46" t="n">
        <x:v>25.1</x:v>
      </x:c>
      <x:c r="L4" s="46" t="str">
        <x:v>significant</x:v>
      </x:c>
      <x:c r="M4" s="46" t="n">
        <x:v>0.31092436974789917</x:v>
      </x:c>
      <x:c r="N4" s="46" t="n">
        <x:v>287</x:v>
      </x:c>
      <x:c r="O4" s="46" t="n">
        <x:v>5.1</x:v>
      </x:c>
      <x:c r="P4" s="46" t="n">
        <x:v>0.3445378151260504</x:v>
      </x:c>
      <x:c r="Q4" s="46" t="str">
        <x:v>SRC-LANDFOWL-THESIS-001</x:v>
      </x:c>
      <x:c r="R4" s="46" t="str">
        <x:v>https://d-nb.info/1009589644/34</x:v>
      </x:c>
      <x:c r="S4" s="46" t="str">
        <x:v>Chicken, pheasant, partridge n=4; quail n=2. Dissertation states no statistical test for quail because of low sample size.</x:v>
      </x:c>
      <x:c r="T4" s="46" t="str">
        <x:v>Ratios are descriptive only. Very large pheasant SDs mean magnitude should not be treated as a stable sensory multiplier.</x:v>
      </x:c>
      <x:c r="U4" s="46"/>
      <x:c r="V4" s="83" t="str">
        <x:v>Replacement</x:v>
      </x:c>
      <x:c r="W4" s="83" t="str">
        <x:v>Active quantitative sheet is quarantined until a decimal-preserving retranscription is completed from the primary source.</x:v>
      </x:c>
    </x:row>
    <x:row r="5">
      <x:c r="A5" s="46" t="str">
        <x:v>LANDFOWL-Q-004</x:v>
      </x:c>
      <x:c r="B5" s="46" t="str">
        <x:v>1-Pentanol</x:v>
      </x:c>
      <x:c r="C5" s="46" t="n">
        <x:v>767</x:v>
      </x:c>
      <x:c r="D5" s="46" t="n">
        <x:v>678</x:v>
      </x:c>
      <x:c r="E5" s="46" t="n">
        <x:v>34.7</x:v>
      </x:c>
      <x:c r="F5" s="46" t="n">
        <x:v>1509</x:v>
      </x:c>
      <x:c r="G5" s="46" t="n">
        <x:v>1807</x:v>
      </x:c>
      <x:c r="H5" s="46" t="str">
        <x:v>significant</x:v>
      </x:c>
      <x:c r="I5" s="46" t="n">
        <x:v>2.225663716814159</x:v>
      </x:c>
      <x:c r="J5" s="46" t="n">
        <x:v>271</x:v>
      </x:c>
      <x:c r="K5" s="46" t="n">
        <x:v>33.3</x:v>
      </x:c>
      <x:c r="L5" s="46" t="str">
        <x:v>significant</x:v>
      </x:c>
      <x:c r="M5" s="46" t="n">
        <x:v>0.3997050147492625</x:v>
      </x:c>
      <x:c r="N5" s="46" t="n">
        <x:v>289</x:v>
      </x:c>
      <x:c r="O5" s="46" t="n">
        <x:v>11.7</x:v>
      </x:c>
      <x:c r="P5" s="46" t="n">
        <x:v>0.42625368731563423</x:v>
      </x:c>
      <x:c r="Q5" s="46" t="str">
        <x:v>SRC-LANDFOWL-THESIS-001</x:v>
      </x:c>
      <x:c r="R5" s="46" t="str">
        <x:v>https://d-nb.info/1009589644/34</x:v>
      </x:c>
      <x:c r="S5" s="46" t="str">
        <x:v>Chicken, pheasant, partridge n=4; quail n=2. Dissertation states no statistical test for quail because of low sample size.</x:v>
      </x:c>
      <x:c r="T5" s="46" t="str">
        <x:v>Ratios are descriptive only. Very large pheasant SDs mean magnitude should not be treated as a stable sensory multiplier.</x:v>
      </x:c>
      <x:c r="U5" s="46"/>
      <x:c r="V5" s="46"/>
      <x:c r="W5" s="46"/>
    </x:row>
    <x:row r="6">
      <x:c r="A6" s="46" t="str">
        <x:v>LANDFOWL-Q-005</x:v>
      </x:c>
      <x:c r="B6" s="46" t="str">
        <x:v>Hexanal</x:v>
      </x:c>
      <x:c r="C6" s="46" t="n">
        <x:v>804</x:v>
      </x:c>
      <x:c r="D6" s="46" t="n">
        <x:v>1223</x:v>
      </x:c>
      <x:c r="E6" s="46" t="n">
        <x:v>73.19</x:v>
      </x:c>
      <x:c r="F6" s="46" t="n">
        <x:v>9587</x:v>
      </x:c>
      <x:c r="G6" s="46" t="n">
        <x:v>13560</x:v>
      </x:c>
      <x:c r="H6" s="46" t="str">
        <x:v>significant</x:v>
      </x:c>
      <x:c r="I6" s="46" t="n">
        <x:v>7.8389206868356505</x:v>
      </x:c>
      <x:c r="J6" s="46" t="n">
        <x:v>688</x:v>
      </x:c>
      <x:c r="K6" s="46" t="n">
        <x:v>47.7</x:v>
      </x:c>
      <x:c r="L6" s="46" t="str">
        <x:v>significant</x:v>
      </x:c>
      <x:c r="M6" s="46" t="n">
        <x:v>0.562551103843009</x:v>
      </x:c>
      <x:c r="N6" s="46" t="n">
        <x:v>724</x:v>
      </x:c>
      <x:c r="O6" s="46" t="n">
        <x:v>15.2</x:v>
      </x:c>
      <x:c r="P6" s="46" t="n">
        <x:v>0.5919869174161897</x:v>
      </x:c>
      <x:c r="Q6" s="46" t="str">
        <x:v>SRC-LANDFOWL-THESIS-001</x:v>
      </x:c>
      <x:c r="R6" s="46" t="str">
        <x:v>https://d-nb.info/1009589644/34</x:v>
      </x:c>
      <x:c r="S6" s="46" t="str">
        <x:v>Chicken, pheasant, partridge n=4; quail n=2. Dissertation states no statistical test for quail because of low sample size.</x:v>
      </x:c>
      <x:c r="T6" s="46" t="str">
        <x:v>Ratios are descriptive only. Very large pheasant SDs mean magnitude should not be treated as a stable sensory multiplier.</x:v>
      </x:c>
      <x:c r="U6" s="46"/>
      <x:c r="V6" s="46"/>
      <x:c r="W6" s="46"/>
    </x:row>
    <x:row r="7">
      <x:c r="A7" s="46" t="str">
        <x:v>LANDFOWL-Q-006</x:v>
      </x:c>
      <x:c r="B7" s="46" t="str">
        <x:v>2-(E)-Hexenal</x:v>
      </x:c>
      <x:c r="C7" s="46" t="n">
        <x:v>855</x:v>
      </x:c>
      <x:c r="D7" s="46" t="n">
        <x:v>141</x:v>
      </x:c>
      <x:c r="E7" s="46" t="n">
        <x:v>12.7</x:v>
      </x:c>
      <x:c r="F7" s="46" t="n">
        <x:v>700</x:v>
      </x:c>
      <x:c r="G7" s="46" t="n">
        <x:v>848</x:v>
      </x:c>
      <x:c r="H7" s="46" t="str">
        <x:v>significant</x:v>
      </x:c>
      <x:c r="I7" s="46" t="n">
        <x:v>4.964539007092198</x:v>
      </x:c>
      <x:c r="J7" s="46" t="n">
        <x:v>72.6</x:v>
      </x:c>
      <x:c r="K7" s="46" t="n">
        <x:v>41.4</x:v>
      </x:c>
      <x:c r="L7" s="46" t="str">
        <x:v>significant</x:v>
      </x:c>
      <x:c r="M7" s="46" t="n">
        <x:v>0.5148936170212766</x:v>
      </x:c>
      <x:c r="N7" s="46" t="n">
        <x:v>58.3</x:v>
      </x:c>
      <x:c r="O7" s="46" t="n">
        <x:v>33.9</x:v>
      </x:c>
      <x:c r="P7" s="46" t="n">
        <x:v>0.4134751773049645</x:v>
      </x:c>
      <x:c r="Q7" s="46" t="str">
        <x:v>SRC-LANDFOWL-THESIS-001</x:v>
      </x:c>
      <x:c r="R7" s="46" t="str">
        <x:v>https://d-nb.info/1009589644/34</x:v>
      </x:c>
      <x:c r="S7" s="46" t="str">
        <x:v>Chicken, pheasant, partridge n=4; quail n=2. Dissertation states no statistical test for quail because of low sample size.</x:v>
      </x:c>
      <x:c r="T7" s="46" t="str">
        <x:v>Ratios are descriptive only. Very large pheasant SDs mean magnitude should not be treated as a stable sensory multiplier.</x:v>
      </x:c>
      <x:c r="U7" s="46"/>
      <x:c r="V7" s="46"/>
      <x:c r="W7" s="46"/>
    </x:row>
    <x:row r="8">
      <x:c r="A8" s="46" t="str">
        <x:v>LANDFOWL-Q-007</x:v>
      </x:c>
      <x:c r="B8" s="46" t="str">
        <x:v>1-Hexanol</x:v>
      </x:c>
      <x:c r="C8" s="46" t="n">
        <x:v>874</x:v>
      </x:c>
      <x:c r="D8" s="46" t="n">
        <x:v>22.4</x:v>
      </x:c>
      <x:c r="E8" s="46" t="n">
        <x:v>0</x:v>
      </x:c>
      <x:c r="F8" s="46" t="n">
        <x:v>493</x:v>
      </x:c>
      <x:c r="G8" s="46" t="n">
        <x:v>607</x:v>
      </x:c>
      <x:c r="H8" s="46" t="str">
        <x:v>significant</x:v>
      </x:c>
      <x:c r="I8" s="46" t="n">
        <x:v>22.008928571428573</x:v>
      </x:c>
      <x:c r="J8" s="46" t="n">
        <x:v>68.2</x:v>
      </x:c>
      <x:c r="K8" s="46" t="n">
        <x:v>10.1</x:v>
      </x:c>
      <x:c r="L8" s="46" t="str">
        <x:v>significant</x:v>
      </x:c>
      <x:c r="M8" s="46" t="n">
        <x:v>3.0446428571428577</x:v>
      </x:c>
      <x:c r="N8" s="46" t="n">
        <x:v>60.9</x:v>
      </x:c>
      <x:c r="O8" s="46" t="n">
        <x:v>6.2</x:v>
      </x:c>
      <x:c r="P8" s="46" t="n">
        <x:v>2.71875</x:v>
      </x:c>
      <x:c r="Q8" s="46" t="str">
        <x:v>SRC-LANDFOWL-THESIS-001</x:v>
      </x:c>
      <x:c r="R8" s="46" t="str">
        <x:v>https://d-nb.info/1009589644/34</x:v>
      </x:c>
      <x:c r="S8" s="46" t="str">
        <x:v>Chicken, pheasant, partridge n=4; quail n=2. Dissertation states no statistical test for quail because of low sample size.</x:v>
      </x:c>
      <x:c r="T8" s="46" t="str">
        <x:v>Ratios are descriptive only. Very large pheasant SDs mean magnitude should not be treated as a stable sensory multiplier.</x:v>
      </x:c>
      <x:c r="U8" s="46"/>
      <x:c r="V8" s="46"/>
      <x:c r="W8" s="46"/>
    </x:row>
    <x:row r="9">
      <x:c r="A9" s="46" t="str">
        <x:v>LANDFOWL-Q-008</x:v>
      </x:c>
      <x:c r="B9" s="46" t="str">
        <x:v>Heptanal</x:v>
      </x:c>
      <x:c r="C9" s="46" t="n">
        <x:v>905</x:v>
      </x:c>
      <x:c r="D9" s="46" t="n">
        <x:v>524</x:v>
      </x:c>
      <x:c r="E9" s="46" t="n">
        <x:v>7</x:v>
      </x:c>
      <x:c r="F9" s="46" t="n">
        <x:v>5220</x:v>
      </x:c>
      <x:c r="G9" s="46" t="n">
        <x:v>7029</x:v>
      </x:c>
      <x:c r="H9" s="46" t="str">
        <x:v>significant</x:v>
      </x:c>
      <x:c r="I9" s="46" t="n">
        <x:v>9.961832061068701</x:v>
      </x:c>
      <x:c r="J9" s="46" t="n">
        <x:v>335</x:v>
      </x:c>
      <x:c r="K9" s="46" t="n">
        <x:v>166</x:v>
      </x:c>
      <x:c r="L9" s="46" t="str">
        <x:v>not_significant</x:v>
      </x:c>
      <x:c r="M9" s="46" t="n">
        <x:v>0.6393129770992366</x:v>
      </x:c>
      <x:c r="N9" s="46" t="n">
        <x:v>231</x:v>
      </x:c>
      <x:c r="O9" s="46" t="n">
        <x:v>139</x:v>
      </x:c>
      <x:c r="P9" s="46" t="n">
        <x:v>0.44083969465648853</x:v>
      </x:c>
      <x:c r="Q9" s="46" t="str">
        <x:v>SRC-LANDFOWL-THESIS-001</x:v>
      </x:c>
      <x:c r="R9" s="46" t="str">
        <x:v>https://d-nb.info/1009589644/34</x:v>
      </x:c>
      <x:c r="S9" s="46" t="str">
        <x:v>Chicken, pheasant, partridge n=4; quail n=2. Dissertation states no statistical test for quail because of low sample size.</x:v>
      </x:c>
      <x:c r="T9" s="46" t="str">
        <x:v>Ratios are descriptive only. Very large pheasant SDs mean magnitude should not be treated as a stable sensory multiplier.</x:v>
      </x:c>
      <x:c r="U9" s="46"/>
      <x:c r="V9" s="46"/>
      <x:c r="W9" s="46"/>
    </x:row>
    <x:row r="10">
      <x:c r="A10" s="46" t="str">
        <x:v>LANDFOWL-Q-009</x:v>
      </x:c>
      <x:c r="B10" s="46" t="str">
        <x:v>2-(E)-Heptenal</x:v>
      </x:c>
      <x:c r="C10" s="46" t="n">
        <x:v>948</x:v>
      </x:c>
      <x:c r="D10" s="46" t="n">
        <x:v>841</x:v>
      </x:c>
      <x:c r="E10" s="46" t="n">
        <x:v>23.5</x:v>
      </x:c>
      <x:c r="F10" s="46" t="n">
        <x:v>1509</x:v>
      </x:c>
      <x:c r="G10" s="46" t="n">
        <x:v>3899</x:v>
      </x:c>
      <x:c r="H10" s="46" t="str">
        <x:v>significant</x:v>
      </x:c>
      <x:c r="I10" s="46" t="n">
        <x:v>1.7942925089179549</x:v>
      </x:c>
      <x:c r="J10" s="46" t="n">
        <x:v>565</x:v>
      </x:c>
      <x:c r="K10" s="46" t="n">
        <x:v>120</x:v>
      </x:c>
      <x:c r="L10" s="46" t="str">
        <x:v>not_significant</x:v>
      </x:c>
      <x:c r="M10" s="46" t="n">
        <x:v>0.6718192627824019</x:v>
      </x:c>
      <x:c r="N10" s="46" t="n">
        <x:v>456</x:v>
      </x:c>
      <x:c r="O10" s="46" t="n">
        <x:v>49</x:v>
      </x:c>
      <x:c r="P10" s="46" t="n">
        <x:v>0.5422116527942925</x:v>
      </x:c>
      <x:c r="Q10" s="46" t="str">
        <x:v>SRC-LANDFOWL-THESIS-001</x:v>
      </x:c>
      <x:c r="R10" s="46" t="str">
        <x:v>https://d-nb.info/1009589644/34</x:v>
      </x:c>
      <x:c r="S10" s="46" t="str">
        <x:v>Chicken, pheasant, partridge n=4; quail n=2. Dissertation states no statistical test for quail because of low sample size.</x:v>
      </x:c>
      <x:c r="T10" s="46" t="str">
        <x:v>Ratios are descriptive only. Very large pheasant SDs mean magnitude should not be treated as a stable sensory multiplier.</x:v>
      </x:c>
      <x:c r="U10" s="46"/>
      <x:c r="V10" s="46"/>
      <x:c r="W10" s="46"/>
    </x:row>
    <x:row r="11">
      <x:c r="A11" s="46" t="str">
        <x:v>LANDFOWL-Q-010</x:v>
      </x:c>
      <x:c r="B11" s="46" t="str">
        <x:v>Benzaldehyd</x:v>
      </x:c>
      <x:c r="C11" s="46" t="n">
        <x:v>968</x:v>
      </x:c>
      <x:c r="D11" s="46" t="n">
        <x:v>48.6</x:v>
      </x:c>
      <x:c r="E11" s="46" t="n">
        <x:v>0</x:v>
      </x:c>
      <x:c r="F11" s="46" t="n">
        <x:v>207</x:v>
      </x:c>
      <x:c r="G11" s="46" t="n">
        <x:v>256</x:v>
      </x:c>
      <x:c r="H11" s="46" t="str">
        <x:v>significant</x:v>
      </x:c>
      <x:c r="I11" s="46" t="n">
        <x:v>4.2592592592592595</x:v>
      </x:c>
      <x:c r="J11" s="46" t="n">
        <x:v>50.6</x:v>
      </x:c>
      <x:c r="K11" s="46" t="n">
        <x:v>2.6</x:v>
      </x:c>
      <x:c r="L11" s="46" t="str">
        <x:v>not_significant</x:v>
      </x:c>
      <x:c r="M11" s="46" t="n">
        <x:v>1.0411522633744856</x:v>
      </x:c>
      <x:c r="N11" s="46" t="n">
        <x:v>25.9</x:v>
      </x:c>
      <x:c r="O11" s="46" t="n">
        <x:v>1.6</x:v>
      </x:c>
      <x:c r="P11" s="46" t="n">
        <x:v>0.5329218106995884</x:v>
      </x:c>
      <x:c r="Q11" s="46" t="str">
        <x:v>SRC-LANDFOWL-THESIS-001</x:v>
      </x:c>
      <x:c r="R11" s="46" t="str">
        <x:v>https://d-nb.info/1009589644/34</x:v>
      </x:c>
      <x:c r="S11" s="46" t="str">
        <x:v>Chicken, pheasant, partridge n=4; quail n=2. Dissertation states no statistical test for quail because of low sample size.</x:v>
      </x:c>
      <x:c r="T11" s="46" t="str">
        <x:v>Ratios are descriptive only. Very large pheasant SDs mean magnitude should not be treated as a stable sensory multiplier.</x:v>
      </x:c>
      <x:c r="U11" s="46"/>
      <x:c r="V11" s="46"/>
      <x:c r="W11" s="46"/>
    </x:row>
    <x:row r="12">
      <x:c r="A12" s="46" t="str">
        <x:v>LANDFOWL-Q-011</x:v>
      </x:c>
      <x:c r="B12" s="46" t="str">
        <x:v>1-Heptanol</x:v>
      </x:c>
      <x:c r="C12" s="46" t="n">
        <x:v>978</x:v>
      </x:c>
      <x:c r="D12" s="46" t="n">
        <x:v>250</x:v>
      </x:c>
      <x:c r="E12" s="46" t="n">
        <x:v>11.3</x:v>
      </x:c>
      <x:c r="F12" s="46" t="n">
        <x:v>903</x:v>
      </x:c>
      <x:c r="G12" s="46" t="n">
        <x:v>1153</x:v>
      </x:c>
      <x:c r="H12" s="46" t="str">
        <x:v>significant</x:v>
      </x:c>
      <x:c r="I12" s="46" t="n">
        <x:v>3.612</x:v>
      </x:c>
      <x:c r="J12" s="46" t="n">
        <x:v>194</x:v>
      </x:c>
      <x:c r="K12" s="46" t="n">
        <x:v>25.7</x:v>
      </x:c>
      <x:c r="L12" s="46" t="str">
        <x:v>not_significant</x:v>
      </x:c>
      <x:c r="M12" s="46" t="n">
        <x:v>0.776</x:v>
      </x:c>
      <x:c r="N12" s="46" t="n">
        <x:v>165</x:v>
      </x:c>
      <x:c r="O12" s="46" t="n">
        <x:v>13.3</x:v>
      </x:c>
      <x:c r="P12" s="46" t="n">
        <x:v>0.66</x:v>
      </x:c>
      <x:c r="Q12" s="46" t="str">
        <x:v>SRC-LANDFOWL-THESIS-001</x:v>
      </x:c>
      <x:c r="R12" s="46" t="str">
        <x:v>https://d-nb.info/1009589644/34</x:v>
      </x:c>
      <x:c r="S12" s="46" t="str">
        <x:v>Chicken, pheasant, partridge n=4; quail n=2. Dissertation states no statistical test for quail because of low sample size.</x:v>
      </x:c>
      <x:c r="T12" s="46" t="str">
        <x:v>Ratios are descriptive only. Very large pheasant SDs mean magnitude should not be treated as a stable sensory multiplier.</x:v>
      </x:c>
      <x:c r="U12" s="46"/>
      <x:c r="V12" s="46"/>
      <x:c r="W12" s="46"/>
    </x:row>
    <x:row r="13">
      <x:c r="A13" s="46" t="str">
        <x:v>LANDFOWL-Q-012</x:v>
      </x:c>
      <x:c r="B13" s="46" t="str">
        <x:v>1-Octen-3-ol</x:v>
      </x:c>
      <x:c r="C13" s="46" t="n">
        <x:v>987</x:v>
      </x:c>
      <x:c r="D13" s="46" t="n">
        <x:v>470</x:v>
      </x:c>
      <x:c r="E13" s="46" t="n">
        <x:v>18.1</x:v>
      </x:c>
      <x:c r="F13" s="46" t="n">
        <x:v>1100</x:v>
      </x:c>
      <x:c r="G13" s="46" t="n">
        <x:v>1253</x:v>
      </x:c>
      <x:c r="H13" s="46" t="str">
        <x:v>significant</x:v>
      </x:c>
      <x:c r="I13" s="46" t="n">
        <x:v>2.3404255319148937</x:v>
      </x:c>
      <x:c r="J13" s="46" t="n">
        <x:v>301</x:v>
      </x:c>
      <x:c r="K13" s="46" t="n">
        <x:v>13</x:v>
      </x:c>
      <x:c r="L13" s="46" t="str">
        <x:v>significant</x:v>
      </x:c>
      <x:c r="M13" s="46" t="n">
        <x:v>0.6404255319148936</x:v>
      </x:c>
      <x:c r="N13" s="46" t="n">
        <x:v>302</x:v>
      </x:c>
      <x:c r="O13" s="46" t="n">
        <x:v>0</x:v>
      </x:c>
      <x:c r="P13" s="46" t="n">
        <x:v>0.6425531914893617</x:v>
      </x:c>
      <x:c r="Q13" s="46" t="str">
        <x:v>SRC-LANDFOWL-THESIS-001</x:v>
      </x:c>
      <x:c r="R13" s="46" t="str">
        <x:v>https://d-nb.info/1009589644/34</x:v>
      </x:c>
      <x:c r="S13" s="46" t="str">
        <x:v>Chicken, pheasant, partridge n=4; quail n=2. Dissertation states no statistical test for quail because of low sample size.</x:v>
      </x:c>
      <x:c r="T13" s="46" t="str">
        <x:v>Ratios are descriptive only. Very large pheasant SDs mean magnitude should not be treated as a stable sensory multiplier.</x:v>
      </x:c>
      <x:c r="U13" s="46"/>
      <x:c r="V13" s="46"/>
      <x:c r="W13" s="46"/>
    </x:row>
    <x:row r="14">
      <x:c r="A14" s="46" t="str">
        <x:v>LANDFOWL-Q-013</x:v>
      </x:c>
      <x:c r="B14" s="46" t="str">
        <x:v>2-Pentylfuran</x:v>
      </x:c>
      <x:c r="C14" s="46" t="n">
        <x:v>995</x:v>
      </x:c>
      <x:c r="D14" s="46"/>
      <x:c r="E14" s="46"/>
      <x:c r="F14" s="46" t="n">
        <x:v>2667</x:v>
      </x:c>
      <x:c r="G14" s="46" t="n">
        <x:v>4873</x:v>
      </x:c>
      <x:c r="H14" s="46" t="str">
        <x:v>not_testable_chicken_nd</x:v>
      </x:c>
      <x:c r="I14" s="46" t="str"/>
      <x:c r="J14" s="46" t="n">
        <x:v>349</x:v>
      </x:c>
      <x:c r="K14" s="46" t="n">
        <x:v>113</x:v>
      </x:c>
      <x:c r="L14" s="46" t="str">
        <x:v>not_testable_chicken_nd</x:v>
      </x:c>
      <x:c r="M14" s="46" t="str"/>
      <x:c r="N14" s="46" t="n">
        <x:v>282</x:v>
      </x:c>
      <x:c r="O14" s="46" t="n">
        <x:v>66.5</x:v>
      </x:c>
      <x:c r="P14" s="46" t="str"/>
      <x:c r="Q14" s="46" t="str">
        <x:v>SRC-LANDFOWL-THESIS-001</x:v>
      </x:c>
      <x:c r="R14" s="46" t="str">
        <x:v>https://d-nb.info/1009589644/34</x:v>
      </x:c>
      <x:c r="S14" s="46" t="str">
        <x:v>Chicken, pheasant, partridge n=4; quail n=2. Dissertation states no statistical test for quail because of low sample size.</x:v>
      </x:c>
      <x:c r="T14" s="46" t="str">
        <x:v>Ratios are descriptive only. Very large pheasant SDs mean magnitude should not be treated as a stable sensory multiplier.</x:v>
      </x:c>
      <x:c r="U14" s="46"/>
      <x:c r="V14" s="46"/>
      <x:c r="W14" s="46"/>
    </x:row>
    <x:row r="15">
      <x:c r="A15" s="46" t="str">
        <x:v>LANDFOWL-Q-014</x:v>
      </x:c>
      <x:c r="B15" s="46" t="str">
        <x:v>Octanal</x:v>
      </x:c>
      <x:c r="C15" s="46" t="n">
        <x:v>1008</x:v>
      </x:c>
      <x:c r="D15" s="46" t="n">
        <x:v>854</x:v>
      </x:c>
      <x:c r="E15" s="46" t="n">
        <x:v>9.9</x:v>
      </x:c>
      <x:c r="F15" s="46" t="n">
        <x:v>5302</x:v>
      </x:c>
      <x:c r="G15" s="46" t="n">
        <x:v>6756</x:v>
      </x:c>
      <x:c r="H15" s="46" t="str">
        <x:v>significant</x:v>
      </x:c>
      <x:c r="I15" s="46" t="n">
        <x:v>6.208430913348946</x:v>
      </x:c>
      <x:c r="J15" s="46" t="n">
        <x:v>689</x:v>
      </x:c>
      <x:c r="K15" s="46" t="n">
        <x:v>140</x:v>
      </x:c>
      <x:c r="L15" s="46" t="str">
        <x:v>not_significant</x:v>
      </x:c>
      <x:c r="M15" s="46" t="n">
        <x:v>0.8067915690866511</x:v>
      </x:c>
      <x:c r="N15" s="46" t="n">
        <x:v>605</x:v>
      </x:c>
      <x:c r="O15" s="46" t="n">
        <x:v>18.6</x:v>
      </x:c>
      <x:c r="P15" s="46" t="n">
        <x:v>0.7084309133489461</x:v>
      </x:c>
      <x:c r="Q15" s="46" t="str">
        <x:v>SRC-LANDFOWL-THESIS-001</x:v>
      </x:c>
      <x:c r="R15" s="46" t="str">
        <x:v>https://d-nb.info/1009589644/34</x:v>
      </x:c>
      <x:c r="S15" s="46" t="str">
        <x:v>Chicken, pheasant, partridge n=4; quail n=2. Dissertation states no statistical test for quail because of low sample size.</x:v>
      </x:c>
      <x:c r="T15" s="46" t="str">
        <x:v>Ratios are descriptive only. Very large pheasant SDs mean magnitude should not be treated as a stable sensory multiplier.</x:v>
      </x:c>
      <x:c r="U15" s="46"/>
      <x:c r="V15" s="46"/>
      <x:c r="W15" s="46"/>
    </x:row>
    <x:row r="16">
      <x:c r="A16" s="46" t="str">
        <x:v>LANDFOWL-Q-015</x:v>
      </x:c>
      <x:c r="B16" s="46" t="str">
        <x:v>2,4-(E,E)-Heptadienal</x:v>
      </x:c>
      <x:c r="C16" s="46" t="n">
        <x:v>1017</x:v>
      </x:c>
      <x:c r="D16" s="46" t="n">
        <x:v>318</x:v>
      </x:c>
      <x:c r="E16" s="46" t="n">
        <x:v>18.1</x:v>
      </x:c>
      <x:c r="F16" s="46" t="n">
        <x:v>115</x:v>
      </x:c>
      <x:c r="G16" s="46" t="n">
        <x:v>0</x:v>
      </x:c>
      <x:c r="H16" s="46" t="str">
        <x:v>significant</x:v>
      </x:c>
      <x:c r="I16" s="46" t="n">
        <x:v>0.36163522012578614</x:v>
      </x:c>
      <x:c r="J16" s="46" t="n">
        <x:v>473</x:v>
      </x:c>
      <x:c r="K16" s="46" t="n">
        <x:v>159</x:v>
      </x:c>
      <x:c r="L16" s="46" t="str">
        <x:v>not_significant</x:v>
      </x:c>
      <x:c r="M16" s="46" t="n">
        <x:v>1.4874213836477987</x:v>
      </x:c>
      <x:c r="N16" s="46" t="n">
        <x:v>367</x:v>
      </x:c>
      <x:c r="O16" s="46" t="n">
        <x:v>9.2</x:v>
      </x:c>
      <x:c r="P16" s="46" t="n">
        <x:v>1.1540880503144655</x:v>
      </x:c>
      <x:c r="Q16" s="46" t="str">
        <x:v>SRC-LANDFOWL-THESIS-001</x:v>
      </x:c>
      <x:c r="R16" s="46" t="str">
        <x:v>https://d-nb.info/1009589644/34</x:v>
      </x:c>
      <x:c r="S16" s="46" t="str">
        <x:v>Chicken, pheasant, partridge n=4; quail n=2. Dissertation states no statistical test for quail because of low sample size.</x:v>
      </x:c>
      <x:c r="T16" s="46" t="str">
        <x:v>Ratios are descriptive only. Very large pheasant SDs mean magnitude should not be treated as a stable sensory multiplier.</x:v>
      </x:c>
      <x:c r="U16" s="46"/>
      <x:c r="V16" s="46"/>
      <x:c r="W16" s="46"/>
    </x:row>
    <x:row r="17">
      <x:c r="A17" s="46" t="str">
        <x:v>LANDFOWL-Q-016</x:v>
      </x:c>
      <x:c r="B17" s="46" t="str">
        <x:v>2-Ethyl-1-hexanol</x:v>
      </x:c>
      <x:c r="C17" s="46" t="n">
        <x:v>1031</x:v>
      </x:c>
      <x:c r="D17" s="46"/>
      <x:c r="E17" s="46"/>
      <x:c r="F17" s="46" t="n">
        <x:v>503</x:v>
      </x:c>
      <x:c r="G17" s="46" t="n">
        <x:v>774</x:v>
      </x:c>
      <x:c r="H17" s="46" t="str">
        <x:v>not_testable_chicken_nd</x:v>
      </x:c>
      <x:c r="I17" s="46" t="str"/>
      <x:c r="J17" s="46" t="n">
        <x:v>264</x:v>
      </x:c>
      <x:c r="K17" s="46" t="n">
        <x:v>31.5</x:v>
      </x:c>
      <x:c r="L17" s="46" t="str">
        <x:v>not_testable_chicken_nd</x:v>
      </x:c>
      <x:c r="M17" s="46" t="str"/>
      <x:c r="N17" s="46"/>
      <x:c r="O17" s="46"/>
      <x:c r="P17" s="46" t="str"/>
      <x:c r="Q17" s="46" t="str">
        <x:v>SRC-LANDFOWL-THESIS-001</x:v>
      </x:c>
      <x:c r="R17" s="46" t="str">
        <x:v>https://d-nb.info/1009589644/34</x:v>
      </x:c>
      <x:c r="S17" s="46" t="str">
        <x:v>Chicken, pheasant, partridge n=4; quail n=2. Dissertation states no statistical test for quail because of low sample size.</x:v>
      </x:c>
      <x:c r="T17" s="46" t="str">
        <x:v>Ratios are descriptive only. Very large pheasant SDs mean magnitude should not be treated as a stable sensory multiplier.</x:v>
      </x:c>
      <x:c r="U17" s="46"/>
      <x:c r="V17" s="46"/>
      <x:c r="W17" s="46"/>
    </x:row>
    <x:row r="18">
      <x:c r="A18" s="46" t="str">
        <x:v>LANDFOWL-Q-017</x:v>
      </x:c>
      <x:c r="B18" s="46" t="str">
        <x:v>2-(E)-Octenal</x:v>
      </x:c>
      <x:c r="C18" s="46" t="n">
        <x:v>1065</x:v>
      </x:c>
      <x:c r="D18" s="46" t="n">
        <x:v>543</x:v>
      </x:c>
      <x:c r="E18" s="46" t="n">
        <x:v>22.5</x:v>
      </x:c>
      <x:c r="F18" s="46" t="n">
        <x:v>1658</x:v>
      </x:c>
      <x:c r="G18" s="46" t="n">
        <x:v>1623</x:v>
      </x:c>
      <x:c r="H18" s="46" t="str">
        <x:v>significant</x:v>
      </x:c>
      <x:c r="I18" s="46" t="n">
        <x:v>3.0534069981583793</x:v>
      </x:c>
      <x:c r="J18" s="46" t="n">
        <x:v>482</x:v>
      </x:c>
      <x:c r="K18" s="46" t="n">
        <x:v>95.1</x:v>
      </x:c>
      <x:c r="L18" s="46" t="str">
        <x:v>not_significant</x:v>
      </x:c>
      <x:c r="M18" s="46" t="n">
        <x:v>0.8876611418047882</x:v>
      </x:c>
      <x:c r="N18" s="46" t="n">
        <x:v>431</x:v>
      </x:c>
      <x:c r="O18" s="46" t="n">
        <x:v>51.1</x:v>
      </x:c>
      <x:c r="P18" s="46" t="n">
        <x:v>0.7937384898710865</x:v>
      </x:c>
      <x:c r="Q18" s="46" t="str">
        <x:v>SRC-LANDFOWL-THESIS-001</x:v>
      </x:c>
      <x:c r="R18" s="46" t="str">
        <x:v>https://d-nb.info/1009589644/34</x:v>
      </x:c>
      <x:c r="S18" s="46" t="str">
        <x:v>Chicken, pheasant, partridge n=4; quail n=2. Dissertation states no statistical test for quail because of low sample size.</x:v>
      </x:c>
      <x:c r="T18" s="46" t="str">
        <x:v>Ratios are descriptive only. Very large pheasant SDs mean magnitude should not be treated as a stable sensory multiplier.</x:v>
      </x:c>
      <x:c r="U18" s="46"/>
      <x:c r="V18" s="46"/>
      <x:c r="W18" s="46"/>
    </x:row>
    <x:row r="19">
      <x:c r="A19" s="46" t="str">
        <x:v>LANDFOWL-Q-018</x:v>
      </x:c>
      <x:c r="B19" s="46" t="str">
        <x:v>1-Octanol</x:v>
      </x:c>
      <x:c r="C19" s="46" t="n">
        <x:v>1079</x:v>
      </x:c>
      <x:c r="D19" s="46" t="n">
        <x:v>342</x:v>
      </x:c>
      <x:c r="E19" s="46" t="n">
        <x:v>33.5</x:v>
      </x:c>
      <x:c r="F19" s="46" t="n">
        <x:v>899</x:v>
      </x:c>
      <x:c r="G19" s="46" t="n">
        <x:v>1072</x:v>
      </x:c>
      <x:c r="H19" s="46" t="str">
        <x:v>significant</x:v>
      </x:c>
      <x:c r="I19" s="46" t="n">
        <x:v>2.628654970760234</x:v>
      </x:c>
      <x:c r="J19" s="46" t="n">
        <x:v>362</x:v>
      </x:c>
      <x:c r="K19" s="46" t="n">
        <x:v>74.1</x:v>
      </x:c>
      <x:c r="L19" s="46" t="str">
        <x:v>not_significant</x:v>
      </x:c>
      <x:c r="M19" s="46" t="n">
        <x:v>1.0584795321637428</x:v>
      </x:c>
      <x:c r="N19" s="46" t="n">
        <x:v>270</x:v>
      </x:c>
      <x:c r="O19" s="46" t="n">
        <x:v>27.5</x:v>
      </x:c>
      <x:c r="P19" s="46" t="n">
        <x:v>0.7894736842105263</x:v>
      </x:c>
      <x:c r="Q19" s="46" t="str">
        <x:v>SRC-LANDFOWL-THESIS-001</x:v>
      </x:c>
      <x:c r="R19" s="46" t="str">
        <x:v>https://d-nb.info/1009589644/34</x:v>
      </x:c>
      <x:c r="S19" s="46" t="str">
        <x:v>Chicken, pheasant, partridge n=4; quail n=2. Dissertation states no statistical test for quail because of low sample size.</x:v>
      </x:c>
      <x:c r="T19" s="46" t="str">
        <x:v>Ratios are descriptive only. Very large pheasant SDs mean magnitude should not be treated as a stable sensory multiplier.</x:v>
      </x:c>
      <x:c r="U19" s="46"/>
      <x:c r="V19" s="46"/>
      <x:c r="W19" s="46"/>
    </x:row>
    <x:row r="20">
      <x:c r="A20" s="46" t="str">
        <x:v>LANDFOWL-Q-019</x:v>
      </x:c>
      <x:c r="B20" s="46" t="str">
        <x:v>2-Nonanon</x:v>
      </x:c>
      <x:c r="C20" s="46" t="n">
        <x:v>1095</x:v>
      </x:c>
      <x:c r="D20" s="46"/>
      <x:c r="E20" s="46"/>
      <x:c r="F20" s="46" t="n">
        <x:v>259</x:v>
      </x:c>
      <x:c r="G20" s="46" t="n">
        <x:v>447</x:v>
      </x:c>
      <x:c r="H20" s="46" t="str">
        <x:v>not_testable_chicken_nd</x:v>
      </x:c>
      <x:c r="I20" s="46" t="str"/>
      <x:c r="J20" s="46" t="n">
        <x:v>77.2</x:v>
      </x:c>
      <x:c r="K20" s="46" t="n">
        <x:v>7.2</x:v>
      </x:c>
      <x:c r="L20" s="46" t="str">
        <x:v>not_testable_chicken_nd</x:v>
      </x:c>
      <x:c r="M20" s="46" t="str"/>
      <x:c r="N20" s="46" t="n">
        <x:v>107</x:v>
      </x:c>
      <x:c r="O20" s="46" t="n">
        <x:v>1.2</x:v>
      </x:c>
      <x:c r="P20" s="46" t="str"/>
      <x:c r="Q20" s="46" t="str">
        <x:v>SRC-LANDFOWL-THESIS-001</x:v>
      </x:c>
      <x:c r="R20" s="46" t="str">
        <x:v>https://d-nb.info/1009589644/34</x:v>
      </x:c>
      <x:c r="S20" s="46" t="str">
        <x:v>Chicken, pheasant, partridge n=4; quail n=2. Dissertation states no statistical test for quail because of low sample size.</x:v>
      </x:c>
      <x:c r="T20" s="46" t="str">
        <x:v>Ratios are descriptive only. Very large pheasant SDs mean magnitude should not be treated as a stable sensory multiplier.</x:v>
      </x:c>
      <x:c r="U20" s="46"/>
      <x:c r="V20" s="46"/>
      <x:c r="W20" s="46"/>
    </x:row>
    <x:row r="21">
      <x:c r="A21" s="46" t="str">
        <x:v>LANDFOWL-Q-020</x:v>
      </x:c>
      <x:c r="B21" s="46" t="str">
        <x:v>Undecan</x:v>
      </x:c>
      <x:c r="C21" s="46" t="n">
        <x:v>1100</x:v>
      </x:c>
      <x:c r="D21" s="46" t="n">
        <x:v>93.2</x:v>
      </x:c>
      <x:c r="E21" s="46" t="n">
        <x:v>3.6</x:v>
      </x:c>
      <x:c r="F21" s="46" t="n">
        <x:v>473</x:v>
      </x:c>
      <x:c r="G21" s="46" t="n">
        <x:v>512</x:v>
      </x:c>
      <x:c r="H21" s="46" t="str">
        <x:v>significant</x:v>
      </x:c>
      <x:c r="I21" s="46" t="n">
        <x:v>5.075107296137339</x:v>
      </x:c>
      <x:c r="J21" s="46" t="n">
        <x:v>81.5</x:v>
      </x:c>
      <x:c r="K21" s="46" t="n">
        <x:v>26.6</x:v>
      </x:c>
      <x:c r="L21" s="46" t="str">
        <x:v>not_significant</x:v>
      </x:c>
      <x:c r="M21" s="46" t="n">
        <x:v>0.8744635193133047</x:v>
      </x:c>
      <x:c r="N21" s="46" t="n">
        <x:v>125</x:v>
      </x:c>
      <x:c r="O21" s="46" t="n">
        <x:v>16.7</x:v>
      </x:c>
      <x:c r="P21" s="46" t="n">
        <x:v>1.3412017167381973</x:v>
      </x:c>
      <x:c r="Q21" s="46" t="str">
        <x:v>SRC-LANDFOWL-THESIS-001</x:v>
      </x:c>
      <x:c r="R21" s="46" t="str">
        <x:v>https://d-nb.info/1009589644/34</x:v>
      </x:c>
      <x:c r="S21" s="46" t="str">
        <x:v>Chicken, pheasant, partridge n=4; quail n=2. Dissertation states no statistical test for quail because of low sample size.</x:v>
      </x:c>
      <x:c r="T21" s="46" t="str">
        <x:v>Ratios are descriptive only. Very large pheasant SDs mean magnitude should not be treated as a stable sensory multiplier.</x:v>
      </x:c>
      <x:c r="U21" s="46"/>
      <x:c r="V21" s="46"/>
      <x:c r="W21" s="46"/>
    </x:row>
    <x:row r="22">
      <x:c r="A22" s="46" t="str">
        <x:v>LANDFOWL-Q-021</x:v>
      </x:c>
      <x:c r="B22" s="46" t="str">
        <x:v>Nonanal</x:v>
      </x:c>
      <x:c r="C22" s="46" t="n">
        <x:v>1113</x:v>
      </x:c>
      <x:c r="D22" s="46" t="n">
        <x:v>1365</x:v>
      </x:c>
      <x:c r="E22" s="46" t="n">
        <x:v>20.2</x:v>
      </x:c>
      <x:c r="F22" s="46" t="n">
        <x:v>4877</x:v>
      </x:c>
      <x:c r="G22" s="46" t="n">
        <x:v>4892</x:v>
      </x:c>
      <x:c r="H22" s="46" t="str">
        <x:v>significant</x:v>
      </x:c>
      <x:c r="I22" s="46" t="n">
        <x:v>3.572893772893773</x:v>
      </x:c>
      <x:c r="J22" s="46" t="n">
        <x:v>1088</x:v>
      </x:c>
      <x:c r="K22" s="46" t="n">
        <x:v>200</x:v>
      </x:c>
      <x:c r="L22" s="46" t="str">
        <x:v>not_significant</x:v>
      </x:c>
      <x:c r="M22" s="46" t="n">
        <x:v>0.7970695970695971</x:v>
      </x:c>
      <x:c r="N22" s="46" t="n">
        <x:v>1055</x:v>
      </x:c>
      <x:c r="O22" s="46" t="n">
        <x:v>44.8</x:v>
      </x:c>
      <x:c r="P22" s="46" t="n">
        <x:v>0.7728937728937729</x:v>
      </x:c>
      <x:c r="Q22" s="46" t="str">
        <x:v>SRC-LANDFOWL-THESIS-001</x:v>
      </x:c>
      <x:c r="R22" s="46" t="str">
        <x:v>https://d-nb.info/1009589644/34</x:v>
      </x:c>
      <x:c r="S22" s="46" t="str">
        <x:v>Chicken, pheasant, partridge n=4; quail n=2. Dissertation states no statistical test for quail because of low sample size.</x:v>
      </x:c>
      <x:c r="T22" s="46" t="str">
        <x:v>Ratios are descriptive only. Very large pheasant SDs mean magnitude should not be treated as a stable sensory multiplier.</x:v>
      </x:c>
      <x:c r="U22" s="46"/>
      <x:c r="V22" s="46"/>
      <x:c r="W22" s="46"/>
    </x:row>
    <x:row r="23">
      <x:c r="A23" s="46" t="str">
        <x:v>LANDFOWL-Q-022</x:v>
      </x:c>
      <x:c r="B23" s="46" t="str">
        <x:v>2-(E)-Nonenal</x:v>
      </x:c>
      <x:c r="C23" s="46" t="n">
        <x:v>1166</x:v>
      </x:c>
      <x:c r="D23" s="46" t="n">
        <x:v>293</x:v>
      </x:c>
      <x:c r="E23" s="46" t="n">
        <x:v>10.2</x:v>
      </x:c>
      <x:c r="F23" s="46" t="n">
        <x:v>728</x:v>
      </x:c>
      <x:c r="G23" s="46" t="n">
        <x:v>774</x:v>
      </x:c>
      <x:c r="H23" s="46" t="str">
        <x:v>significant</x:v>
      </x:c>
      <x:c r="I23" s="46" t="n">
        <x:v>2.484641638225256</x:v>
      </x:c>
      <x:c r="J23" s="46" t="n">
        <x:v>266</x:v>
      </x:c>
      <x:c r="K23" s="46" t="n">
        <x:v>51.6</x:v>
      </x:c>
      <x:c r="L23" s="46" t="str">
        <x:v>not_significant</x:v>
      </x:c>
      <x:c r="M23" s="46" t="n">
        <x:v>0.9078498293515358</x:v>
      </x:c>
      <x:c r="N23" s="46" t="n">
        <x:v>227</x:v>
      </x:c>
      <x:c r="O23" s="46" t="n">
        <x:v>35.8</x:v>
      </x:c>
      <x:c r="P23" s="46" t="n">
        <x:v>0.7747440273037542</x:v>
      </x:c>
      <x:c r="Q23" s="46" t="str">
        <x:v>SRC-LANDFOWL-THESIS-001</x:v>
      </x:c>
      <x:c r="R23" s="46" t="str">
        <x:v>https://d-nb.info/1009589644/34</x:v>
      </x:c>
      <x:c r="S23" s="46" t="str">
        <x:v>Chicken, pheasant, partridge n=4; quail n=2. Dissertation states no statistical test for quail because of low sample size.</x:v>
      </x:c>
      <x:c r="T23" s="46" t="str">
        <x:v>Ratios are descriptive only. Very large pheasant SDs mean magnitude should not be treated as a stable sensory multiplier.</x:v>
      </x:c>
      <x:c r="U23" s="46"/>
      <x:c r="V23" s="46"/>
      <x:c r="W23" s="46"/>
    </x:row>
    <x:row r="24">
      <x:c r="A24" s="46" t="str">
        <x:v>LANDFOWL-Q-023</x:v>
      </x:c>
      <x:c r="B24" s="46" t="str">
        <x:v>2-Decanon</x:v>
      </x:c>
      <x:c r="C24" s="46" t="n">
        <x:v>1196</x:v>
      </x:c>
      <x:c r="D24" s="46"/>
      <x:c r="E24" s="46"/>
      <x:c r="F24" s="46" t="n">
        <x:v>162</x:v>
      </x:c>
      <x:c r="G24" s="46" t="n">
        <x:v>149</x:v>
      </x:c>
      <x:c r="H24" s="46" t="str">
        <x:v>not_testable_chicken_nd</x:v>
      </x:c>
      <x:c r="I24" s="46" t="str"/>
      <x:c r="J24" s="46" t="n">
        <x:v>127</x:v>
      </x:c>
      <x:c r="K24" s="46" t="n">
        <x:v>49.1</x:v>
      </x:c>
      <x:c r="L24" s="46" t="str">
        <x:v>not_testable_chicken_nd</x:v>
      </x:c>
      <x:c r="M24" s="46" t="str"/>
      <x:c r="N24" s="46" t="n">
        <x:v>130</x:v>
      </x:c>
      <x:c r="O24" s="46" t="n">
        <x:v>0</x:v>
      </x:c>
      <x:c r="P24" s="46" t="str"/>
      <x:c r="Q24" s="46" t="str">
        <x:v>SRC-LANDFOWL-THESIS-001</x:v>
      </x:c>
      <x:c r="R24" s="46" t="str">
        <x:v>https://d-nb.info/1009589644/34</x:v>
      </x:c>
      <x:c r="S24" s="46" t="str">
        <x:v>Chicken, pheasant, partridge n=4; quail n=2. Dissertation states no statistical test for quail because of low sample size.</x:v>
      </x:c>
      <x:c r="T24" s="46" t="str">
        <x:v>Ratios are descriptive only. Very large pheasant SDs mean magnitude should not be treated as a stable sensory multiplier.</x:v>
      </x:c>
      <x:c r="U24" s="46"/>
      <x:c r="V24" s="46"/>
      <x:c r="W24" s="46"/>
    </x:row>
    <x:row r="25">
      <x:c r="A25" s="46" t="str">
        <x:v>LANDFOWL-Q-024</x:v>
      </x:c>
      <x:c r="B25" s="46" t="str">
        <x:v>Dodecan</x:v>
      </x:c>
      <x:c r="C25" s="46" t="n">
        <x:v>1200</x:v>
      </x:c>
      <x:c r="D25" s="46" t="n">
        <x:v>69.4</x:v>
      </x:c>
      <x:c r="E25" s="46" t="n">
        <x:v>2.6</x:v>
      </x:c>
      <x:c r="F25" s="46" t="n">
        <x:v>86.6</x:v>
      </x:c>
      <x:c r="G25" s="46" t="n">
        <x:v>27.1</x:v>
      </x:c>
      <x:c r="H25" s="46" t="str">
        <x:v>not_significant</x:v>
      </x:c>
      <x:c r="I25" s="46" t="n">
        <x:v>1.2478386167146973</x:v>
      </x:c>
      <x:c r="J25" s="46" t="n">
        <x:v>107</x:v>
      </x:c>
      <x:c r="K25" s="46" t="n">
        <x:v>28.1</x:v>
      </x:c>
      <x:c r="L25" s="46" t="str">
        <x:v>significant</x:v>
      </x:c>
      <x:c r="M25" s="46" t="n">
        <x:v>1.54178674351585</x:v>
      </x:c>
      <x:c r="N25" s="46" t="n">
        <x:v>129</x:v>
      </x:c>
      <x:c r="O25" s="46" t="n">
        <x:v>21.1</x:v>
      </x:c>
      <x:c r="P25" s="46" t="n">
        <x:v>1.8587896253602303</x:v>
      </x:c>
      <x:c r="Q25" s="46" t="str">
        <x:v>SRC-LANDFOWL-THESIS-001</x:v>
      </x:c>
      <x:c r="R25" s="46" t="str">
        <x:v>https://d-nb.info/1009589644/34</x:v>
      </x:c>
      <x:c r="S25" s="46" t="str">
        <x:v>Chicken, pheasant, partridge n=4; quail n=2. Dissertation states no statistical test for quail because of low sample size.</x:v>
      </x:c>
      <x:c r="T25" s="46" t="str">
        <x:v>Ratios are descriptive only. Very large pheasant SDs mean magnitude should not be treated as a stable sensory multiplier.</x:v>
      </x:c>
      <x:c r="U25" s="46"/>
      <x:c r="V25" s="46"/>
      <x:c r="W25" s="46"/>
    </x:row>
    <x:row r="26">
      <x:c r="A26" s="46" t="str">
        <x:v>LANDFOWL-Q-025</x:v>
      </x:c>
      <x:c r="B26" s="46" t="str">
        <x:v>Decanal</x:v>
      </x:c>
      <x:c r="C26" s="46" t="n">
        <x:v>1210</x:v>
      </x:c>
      <x:c r="D26" s="46" t="n">
        <x:v>212</x:v>
      </x:c>
      <x:c r="E26" s="46" t="n">
        <x:v>15.2</x:v>
      </x:c>
      <x:c r="F26" s="46" t="n">
        <x:v>528</x:v>
      </x:c>
      <x:c r="G26" s="46" t="n">
        <x:v>648</x:v>
      </x:c>
      <x:c r="H26" s="46" t="str">
        <x:v>significant</x:v>
      </x:c>
      <x:c r="I26" s="46" t="n">
        <x:v>2.490566037735849</x:v>
      </x:c>
      <x:c r="J26" s="46" t="n">
        <x:v>377</x:v>
      </x:c>
      <x:c r="K26" s="46" t="n">
        <x:v>43.6</x:v>
      </x:c>
      <x:c r="L26" s="46" t="str">
        <x:v>significant</x:v>
      </x:c>
      <x:c r="M26" s="46" t="n">
        <x:v>1.778301886792453</x:v>
      </x:c>
      <x:c r="N26" s="46" t="n">
        <x:v>204</x:v>
      </x:c>
      <x:c r="O26" s="46" t="n">
        <x:v>0</x:v>
      </x:c>
      <x:c r="P26" s="46" t="n">
        <x:v>0.9622641509433962</x:v>
      </x:c>
      <x:c r="Q26" s="46" t="str">
        <x:v>SRC-LANDFOWL-THESIS-001</x:v>
      </x:c>
      <x:c r="R26" s="46" t="str">
        <x:v>https://d-nb.info/1009589644/34</x:v>
      </x:c>
      <x:c r="S26" s="46" t="str">
        <x:v>Chicken, pheasant, partridge n=4; quail n=2. Dissertation states no statistical test for quail because of low sample size.</x:v>
      </x:c>
      <x:c r="T26" s="46" t="str">
        <x:v>Ratios are descriptive only. Very large pheasant SDs mean magnitude should not be treated as a stable sensory multiplier.</x:v>
      </x:c>
      <x:c r="U26" s="46"/>
      <x:c r="V26" s="46"/>
      <x:c r="W26" s="46"/>
    </x:row>
    <x:row r="27">
      <x:c r="A27" s="46" t="str">
        <x:v>LANDFOWL-Q-026</x:v>
      </x:c>
      <x:c r="B27" s="46" t="str">
        <x:v>2,4-(E,E)-Nonadienal</x:v>
      </x:c>
      <x:c r="C27" s="46" t="n">
        <x:v>1221</x:v>
      </x:c>
      <x:c r="D27" s="46" t="n">
        <x:v>110</x:v>
      </x:c>
      <x:c r="E27" s="46" t="n">
        <x:v>12.5</x:v>
      </x:c>
      <x:c r="F27" s="46" t="n">
        <x:v>39.2</x:v>
      </x:c>
      <x:c r="G27" s="46" t="n">
        <x:v>22.4</x:v>
      </x:c>
      <x:c r="H27" s="46" t="str">
        <x:v>significant</x:v>
      </x:c>
      <x:c r="I27" s="46" t="n">
        <x:v>0.3563636363636364</x:v>
      </x:c>
      <x:c r="J27" s="46" t="n">
        <x:v>142</x:v>
      </x:c>
      <x:c r="K27" s="46" t="n">
        <x:v>23.1</x:v>
      </x:c>
      <x:c r="L27" s="46" t="str">
        <x:v>not_significant</x:v>
      </x:c>
      <x:c r="M27" s="46" t="n">
        <x:v>1.290909090909091</x:v>
      </x:c>
      <x:c r="N27" s="46" t="n">
        <x:v>107</x:v>
      </x:c>
      <x:c r="O27" s="46" t="n">
        <x:v>26.7</x:v>
      </x:c>
      <x:c r="P27" s="46" t="n">
        <x:v>0.9727272727272728</x:v>
      </x:c>
      <x:c r="Q27" s="46" t="str">
        <x:v>SRC-LANDFOWL-THESIS-001</x:v>
      </x:c>
      <x:c r="R27" s="46" t="str">
        <x:v>https://d-nb.info/1009589644/34</x:v>
      </x:c>
      <x:c r="S27" s="46" t="str">
        <x:v>Chicken, pheasant, partridge n=4; quail n=2. Dissertation states no statistical test for quail because of low sample size.</x:v>
      </x:c>
      <x:c r="T27" s="46" t="str">
        <x:v>Ratios are descriptive only. Very large pheasant SDs mean magnitude should not be treated as a stable sensory multiplier.</x:v>
      </x:c>
      <x:c r="U27" s="46"/>
      <x:c r="V27" s="46"/>
      <x:c r="W27" s="46"/>
    </x:row>
    <x:row r="28">
      <x:c r="A28" s="46" t="str">
        <x:v>LANDFOWL-Q-027</x:v>
      </x:c>
      <x:c r="B28" s="46" t="str">
        <x:v>2-(E)-Decenal</x:v>
      </x:c>
      <x:c r="C28" s="46" t="n">
        <x:v>1270</x:v>
      </x:c>
      <x:c r="D28" s="46" t="n">
        <x:v>822</x:v>
      </x:c>
      <x:c r="E28" s="46" t="n">
        <x:v>3.8</x:v>
      </x:c>
      <x:c r="F28" s="46" t="n">
        <x:v>1146</x:v>
      </x:c>
      <x:c r="G28" s="46" t="n">
        <x:v>1401</x:v>
      </x:c>
      <x:c r="H28" s="46" t="str">
        <x:v>significant</x:v>
      </x:c>
      <x:c r="I28" s="46" t="n">
        <x:v>1.3941605839416058</x:v>
      </x:c>
      <x:c r="J28" s="46" t="n">
        <x:v>516</x:v>
      </x:c>
      <x:c r="K28" s="46" t="n">
        <x:v>73.9</x:v>
      </x:c>
      <x:c r="L28" s="46" t="str">
        <x:v>significant</x:v>
      </x:c>
      <x:c r="M28" s="46" t="n">
        <x:v>0.6277372262773723</x:v>
      </x:c>
      <x:c r="N28" s="46" t="n">
        <x:v>331</x:v>
      </x:c>
      <x:c r="O28" s="46" t="n">
        <x:v>26.9</x:v>
      </x:c>
      <x:c r="P28" s="46" t="n">
        <x:v>0.402676399026764</x:v>
      </x:c>
      <x:c r="Q28" s="46" t="str">
        <x:v>SRC-LANDFOWL-THESIS-001</x:v>
      </x:c>
      <x:c r="R28" s="46" t="str">
        <x:v>https://d-nb.info/1009589644/34</x:v>
      </x:c>
      <x:c r="S28" s="46" t="str">
        <x:v>Chicken, pheasant, partridge n=4; quail n=2. Dissertation states no statistical test for quail because of low sample size.</x:v>
      </x:c>
      <x:c r="T28" s="46" t="str">
        <x:v>Ratios are descriptive only. Very large pheasant SDs mean magnitude should not be treated as a stable sensory multiplier.</x:v>
      </x:c>
      <x:c r="U28" s="46"/>
      <x:c r="V28" s="46"/>
      <x:c r="W28" s="46"/>
    </x:row>
    <x:row r="29">
      <x:c r="A29" s="46" t="str">
        <x:v>LANDFOWL-Q-028</x:v>
      </x:c>
      <x:c r="B29" s="46" t="str">
        <x:v>2,4-(E,E)-Decadienal</x:v>
      </x:c>
      <x:c r="C29" s="46" t="n">
        <x:v>1301</x:v>
      </x:c>
      <x:c r="D29" s="46" t="n">
        <x:v>520</x:v>
      </x:c>
      <x:c r="E29" s="46" t="n">
        <x:v>1.3</x:v>
      </x:c>
      <x:c r="F29" s="46" t="n">
        <x:v>589</x:v>
      </x:c>
      <x:c r="G29" s="46" t="n">
        <x:v>517</x:v>
      </x:c>
      <x:c r="H29" s="46" t="str">
        <x:v>not_significant</x:v>
      </x:c>
      <x:c r="I29" s="46" t="n">
        <x:v>1.1326923076923077</x:v>
      </x:c>
      <x:c r="J29" s="46" t="n">
        <x:v>403</x:v>
      </x:c>
      <x:c r="K29" s="46" t="n">
        <x:v>101</x:v>
      </x:c>
      <x:c r="L29" s="46" t="str">
        <x:v>not_significant</x:v>
      </x:c>
      <x:c r="M29" s="46" t="n">
        <x:v>0.775</x:v>
      </x:c>
      <x:c r="N29" s="46" t="n">
        <x:v>133</x:v>
      </x:c>
      <x:c r="O29" s="46" t="n">
        <x:v>28.7</x:v>
      </x:c>
      <x:c r="P29" s="46" t="n">
        <x:v>0.25576923076923075</x:v>
      </x:c>
      <x:c r="Q29" s="46" t="str">
        <x:v>SRC-LANDFOWL-THESIS-001</x:v>
      </x:c>
      <x:c r="R29" s="46" t="str">
        <x:v>https://d-nb.info/1009589644/34</x:v>
      </x:c>
      <x:c r="S29" s="46" t="str">
        <x:v>Chicken, pheasant, partridge n=4; quail n=2. Dissertation states no statistical test for quail because of low sample size.</x:v>
      </x:c>
      <x:c r="T29" s="46" t="str">
        <x:v>Ratios are descriptive only. Very large pheasant SDs mean magnitude should not be treated as a stable sensory multiplier.</x:v>
      </x:c>
      <x:c r="U29" s="46"/>
      <x:c r="V29" s="46"/>
      <x:c r="W29" s="46"/>
    </x:row>
    <x:row r="30">
      <x:c r="A30" s="46" t="str">
        <x:v>LANDFOWL-Q-029</x:v>
      </x:c>
      <x:c r="B30" s="46" t="str">
        <x:v>2,4-(E,Z)-Decadienal</x:v>
      </x:c>
      <x:c r="C30" s="46" t="n">
        <x:v>1327</x:v>
      </x:c>
      <x:c r="D30" s="46" t="n">
        <x:v>1030</x:v>
      </x:c>
      <x:c r="E30" s="46" t="n">
        <x:v>1.8</x:v>
      </x:c>
      <x:c r="F30" s="46" t="n">
        <x:v>867</x:v>
      </x:c>
      <x:c r="G30" s="46" t="n">
        <x:v>796</x:v>
      </x:c>
      <x:c r="H30" s="46" t="str">
        <x:v>not_significant</x:v>
      </x:c>
      <x:c r="I30" s="46" t="n">
        <x:v>0.841747572815534</x:v>
      </x:c>
      <x:c r="J30" s="46" t="n">
        <x:v>789</x:v>
      </x:c>
      <x:c r="K30" s="46" t="n">
        <x:v>83.9</x:v>
      </x:c>
      <x:c r="L30" s="46" t="str">
        <x:v>significant</x:v>
      </x:c>
      <x:c r="M30" s="46" t="n">
        <x:v>0.7660194174757281</x:v>
      </x:c>
      <x:c r="N30" s="46" t="n">
        <x:v>526</x:v>
      </x:c>
      <x:c r="O30" s="46" t="n">
        <x:v>5.9</x:v>
      </x:c>
      <x:c r="P30" s="46" t="n">
        <x:v>0.5106796116504855</x:v>
      </x:c>
      <x:c r="Q30" s="46" t="str">
        <x:v>SRC-LANDFOWL-THESIS-001</x:v>
      </x:c>
      <x:c r="R30" s="46" t="str">
        <x:v>https://d-nb.info/1009589644/34</x:v>
      </x:c>
      <x:c r="S30" s="46" t="str">
        <x:v>Chicken, pheasant, partridge n=4; quail n=2. Dissertation states no statistical test for quail because of low sample size.</x:v>
      </x:c>
      <x:c r="T30" s="46" t="str">
        <x:v>Ratios are descriptive only. Very large pheasant SDs mean magnitude should not be treated as a stable sensory multiplier.</x:v>
      </x:c>
      <x:c r="U30" s="46"/>
      <x:c r="V30" s="46"/>
      <x:c r="W30" s="46"/>
    </x:row>
    <x:row r="31">
      <x:c r="A31" s="46" t="str">
        <x:v>LANDFOWL-Q-030</x:v>
      </x:c>
      <x:c r="B31" s="46" t="str">
        <x:v>2-(E)-Undecenal</x:v>
      </x:c>
      <x:c r="C31" s="46" t="n">
        <x:v>1372</x:v>
      </x:c>
      <x:c r="D31" s="46" t="n">
        <x:v>765</x:v>
      </x:c>
      <x:c r="E31" s="46" t="n">
        <x:v>34.4</x:v>
      </x:c>
      <x:c r="F31" s="46" t="n">
        <x:v>1023</x:v>
      </x:c>
      <x:c r="G31" s="46" t="n">
        <x:v>1164</x:v>
      </x:c>
      <x:c r="H31" s="46" t="str">
        <x:v>not_significant</x:v>
      </x:c>
      <x:c r="I31" s="46" t="n">
        <x:v>1.3372549019607842</x:v>
      </x:c>
      <x:c r="J31" s="46" t="n">
        <x:v>493</x:v>
      </x:c>
      <x:c r="K31" s="46" t="n">
        <x:v>66.5</x:v>
      </x:c>
      <x:c r="L31" s="46" t="str">
        <x:v>significant</x:v>
      </x:c>
      <x:c r="M31" s="46" t="n">
        <x:v>0.6444444444444445</x:v>
      </x:c>
      <x:c r="N31" s="46" t="n">
        <x:v>174</x:v>
      </x:c>
      <x:c r="O31" s="46" t="n">
        <x:v>31.9</x:v>
      </x:c>
      <x:c r="P31" s="46" t="n">
        <x:v>0.22745098039215686</x:v>
      </x:c>
      <x:c r="Q31" s="46" t="str">
        <x:v>SRC-LANDFOWL-THESIS-001</x:v>
      </x:c>
      <x:c r="R31" s="46" t="str">
        <x:v>https://d-nb.info/1009589644/34</x:v>
      </x:c>
      <x:c r="S31" s="46" t="str">
        <x:v>Chicken, pheasant, partridge n=4; quail n=2. Dissertation states no statistical test for quail because of low sample size.</x:v>
      </x:c>
      <x:c r="T31" s="46" t="str">
        <x:v>Ratios are descriptive only. Very large pheasant SDs mean magnitude should not be treated as a stable sensory multiplier.</x:v>
      </x:c>
      <x:c r="U31" s="46"/>
      <x:c r="V31" s="46"/>
      <x:c r="W31" s="46"/>
    </x:row>
    <x:row r="32">
      <x:c r="A32" s="46"/>
      <x:c r="B32" s="46"/>
      <x:c r="C32" s="46"/>
      <x:c r="D32" s="46"/>
      <x:c r="E32" s="46"/>
      <x:c r="F32" s="46"/>
      <x:c r="G32" s="46"/>
      <x:c r="H32" s="46"/>
      <x:c r="I32" s="46"/>
      <x:c r="J32" s="46"/>
      <x:c r="K32" s="46"/>
      <x:c r="L32" s="46"/>
      <x:c r="M32" s="46"/>
      <x:c r="N32" s="46"/>
      <x:c r="O32" s="46"/>
      <x:c r="P32" s="46"/>
      <x:c r="Q32" s="46"/>
      <x:c r="R32" s="46"/>
      <x:c r="S32" s="46"/>
      <x:c r="T32" s="46"/>
      <x:c r="U32" s="46"/>
      <x:c r="V32" s="46"/>
      <x:c r="W32" s="46"/>
    </x:row>
    <x:row r="33">
      <x:c r="A33" s="46"/>
      <x:c r="B33" s="46"/>
      <x:c r="C33" s="46"/>
      <x:c r="D33" s="46"/>
      <x:c r="E33" s="46"/>
      <x:c r="F33" s="46"/>
      <x:c r="G33" s="46"/>
      <x:c r="H33" s="46"/>
      <x:c r="I33" s="46"/>
      <x:c r="J33" s="46"/>
      <x:c r="K33" s="46"/>
      <x:c r="L33" s="46"/>
      <x:c r="M33" s="46"/>
      <x:c r="N33" s="46"/>
      <x:c r="O33" s="46"/>
      <x:c r="P33" s="46"/>
      <x:c r="Q33" s="46"/>
      <x:c r="R33" s="46"/>
      <x:c r="S33" s="46"/>
      <x:c r="T33" s="46"/>
      <x:c r="U33" s="46"/>
      <x:c r="V33" s="46"/>
      <x:c r="W33" s="46"/>
    </x:row>
    <x:row r="34">
      <x:c r="A34" s="46"/>
      <x:c r="B34" s="46"/>
      <x:c r="C34" s="46"/>
      <x:c r="D34" s="46"/>
      <x:c r="E34" s="46"/>
      <x:c r="F34" s="46"/>
      <x:c r="G34" s="46"/>
      <x:c r="H34" s="46"/>
      <x:c r="I34" s="46"/>
      <x:c r="J34" s="46"/>
      <x:c r="K34" s="46"/>
      <x:c r="L34" s="46"/>
      <x:c r="M34" s="46"/>
      <x:c r="N34" s="46"/>
      <x:c r="O34" s="46"/>
      <x:c r="P34" s="46"/>
      <x:c r="Q34" s="46"/>
      <x:c r="R34" s="46"/>
      <x:c r="S34" s="46"/>
      <x:c r="T34" s="46"/>
      <x:c r="U34" s="46"/>
      <x:c r="V34" s="46"/>
      <x:c r="W34" s="46"/>
    </x:row>
    <x:row r="35">
      <x:c r="A35" s="46"/>
      <x:c r="B35" s="46"/>
      <x:c r="C35" s="46"/>
      <x:c r="D35" s="46"/>
      <x:c r="E35" s="46"/>
      <x:c r="F35" s="46"/>
      <x:c r="G35" s="46"/>
      <x:c r="H35" s="46"/>
      <x:c r="I35" s="46"/>
      <x:c r="J35" s="46"/>
      <x:c r="K35" s="46"/>
      <x:c r="L35" s="46"/>
      <x:c r="M35" s="46"/>
      <x:c r="N35" s="46"/>
      <x:c r="O35" s="46"/>
      <x:c r="P35" s="46"/>
      <x:c r="Q35" s="46"/>
      <x:c r="R35" s="46"/>
      <x:c r="S35" s="46"/>
      <x:c r="T35" s="46"/>
      <x:c r="U35" s="46"/>
      <x:c r="V35" s="46"/>
      <x:c r="W35" s="46"/>
    </x:row>
    <x:row r="36">
      <x:c r="A36" s="46"/>
      <x:c r="B36" s="46"/>
      <x:c r="C36" s="46"/>
      <x:c r="D36" s="46"/>
      <x:c r="E36" s="46"/>
      <x:c r="F36" s="46"/>
      <x:c r="G36" s="46"/>
      <x:c r="H36" s="46"/>
      <x:c r="I36" s="46"/>
      <x:c r="J36" s="46"/>
      <x:c r="K36" s="46"/>
      <x:c r="L36" s="46"/>
      <x:c r="M36" s="46"/>
      <x:c r="N36" s="46"/>
      <x:c r="O36" s="46"/>
      <x:c r="P36" s="46"/>
      <x:c r="Q36" s="46"/>
      <x:c r="R36" s="46"/>
      <x:c r="S36" s="46"/>
      <x:c r="T36" s="46"/>
      <x:c r="U36" s="46"/>
      <x:c r="V36" s="46"/>
      <x:c r="W36" s="46"/>
    </x:row>
    <x:row r="37">
      <x:c r="A37" s="46"/>
      <x:c r="B37" s="46"/>
      <x:c r="C37" s="46"/>
      <x:c r="D37" s="46"/>
      <x:c r="E37" s="46"/>
      <x:c r="F37" s="46"/>
      <x:c r="G37" s="46"/>
      <x:c r="H37" s="46"/>
      <x:c r="I37" s="46"/>
      <x:c r="J37" s="46"/>
      <x:c r="K37" s="46"/>
      <x:c r="L37" s="46"/>
      <x:c r="M37" s="46"/>
      <x:c r="N37" s="46"/>
      <x:c r="O37" s="46"/>
      <x:c r="P37" s="46"/>
      <x:c r="Q37" s="46"/>
      <x:c r="R37" s="46"/>
      <x:c r="S37" s="46"/>
      <x:c r="T37" s="46"/>
      <x:c r="U37" s="46"/>
      <x:c r="V37" s="46"/>
      <x:c r="W37" s="46"/>
    </x:row>
    <x:row r="38">
      <x:c r="A38" s="46"/>
      <x:c r="B38" s="46"/>
      <x:c r="C38" s="46"/>
      <x:c r="D38" s="46"/>
      <x:c r="E38" s="46"/>
      <x:c r="F38" s="46"/>
      <x:c r="G38" s="46"/>
      <x:c r="H38" s="46"/>
      <x:c r="I38" s="46"/>
      <x:c r="J38" s="46"/>
      <x:c r="K38" s="46"/>
      <x:c r="L38" s="46"/>
      <x:c r="M38" s="46"/>
      <x:c r="N38" s="46"/>
      <x:c r="O38" s="46"/>
      <x:c r="P38" s="46"/>
      <x:c r="Q38" s="46"/>
      <x:c r="R38" s="46"/>
      <x:c r="S38" s="46"/>
      <x:c r="T38" s="46"/>
      <x:c r="U38" s="46"/>
      <x:c r="V38" s="46"/>
      <x:c r="W38" s="46"/>
    </x:row>
    <x:row r="39">
      <x:c r="A39" s="46"/>
      <x:c r="B39" s="46"/>
      <x:c r="C39" s="46"/>
      <x:c r="D39" s="46"/>
      <x:c r="E39" s="46"/>
      <x:c r="F39" s="46"/>
      <x:c r="G39" s="46"/>
      <x:c r="H39" s="46"/>
      <x:c r="I39" s="46"/>
      <x:c r="J39" s="46"/>
      <x:c r="K39" s="46"/>
      <x:c r="L39" s="46"/>
      <x:c r="M39" s="46"/>
      <x:c r="N39" s="46"/>
      <x:c r="O39" s="46"/>
      <x:c r="P39" s="46"/>
      <x:c r="Q39" s="46"/>
      <x:c r="R39" s="46"/>
      <x:c r="S39" s="46"/>
      <x:c r="T39" s="46"/>
      <x:c r="U39" s="46"/>
      <x:c r="V39" s="46"/>
      <x:c r="W39" s="46"/>
    </x:row>
    <x:row r="40">
      <x:c r="A40" s="46"/>
      <x:c r="B40" s="46"/>
      <x:c r="C40" s="46"/>
      <x:c r="D40" s="46"/>
      <x:c r="E40" s="46"/>
      <x:c r="F40" s="46"/>
      <x:c r="G40" s="46"/>
      <x:c r="H40" s="46"/>
      <x:c r="I40" s="46"/>
      <x:c r="J40" s="46"/>
      <x:c r="K40" s="46"/>
      <x:c r="L40" s="46"/>
      <x:c r="M40" s="46"/>
      <x:c r="N40" s="46"/>
      <x:c r="O40" s="46"/>
      <x:c r="P40" s="46"/>
      <x:c r="Q40" s="46"/>
      <x:c r="R40" s="46"/>
      <x:c r="S40" s="46"/>
      <x:c r="T40" s="46"/>
      <x:c r="U40" s="46"/>
      <x:c r="V40" s="46"/>
      <x:c r="W40" s="46"/>
    </x:row>
    <x:row r="41">
      <x:c r="A41" s="46"/>
      <x:c r="B41" s="46"/>
      <x:c r="C41" s="46"/>
      <x:c r="D41" s="46"/>
      <x:c r="E41" s="46"/>
      <x:c r="F41" s="46"/>
      <x:c r="G41" s="46"/>
      <x:c r="H41" s="46"/>
      <x:c r="I41" s="46"/>
      <x:c r="J41" s="46"/>
      <x:c r="K41" s="46"/>
      <x:c r="L41" s="46"/>
      <x:c r="M41" s="46"/>
      <x:c r="N41" s="46"/>
      <x:c r="O41" s="46"/>
      <x:c r="P41" s="46"/>
      <x:c r="Q41" s="46"/>
      <x:c r="R41" s="46"/>
      <x:c r="S41" s="46"/>
      <x:c r="T41" s="46"/>
      <x:c r="U41" s="46"/>
      <x:c r="V41" s="46"/>
      <x:c r="W41" s="46"/>
    </x:row>
    <x:row r="42">
      <x:c r="A42" s="46"/>
      <x:c r="B42" s="46"/>
      <x:c r="C42" s="46"/>
      <x:c r="D42" s="46"/>
      <x:c r="E42" s="46"/>
      <x:c r="F42" s="46"/>
      <x:c r="G42" s="46"/>
      <x:c r="H42" s="46"/>
      <x:c r="I42" s="46"/>
      <x:c r="J42" s="46"/>
      <x:c r="K42" s="46"/>
      <x:c r="L42" s="46"/>
      <x:c r="M42" s="46"/>
      <x:c r="N42" s="46"/>
      <x:c r="O42" s="46"/>
      <x:c r="P42" s="46"/>
      <x:c r="Q42" s="46"/>
      <x:c r="R42" s="46"/>
      <x:c r="S42" s="46"/>
      <x:c r="T42" s="46"/>
      <x:c r="U42" s="46"/>
      <x:c r="V42" s="46"/>
      <x:c r="W42" s="46"/>
    </x:row>
    <x:row r="43">
      <x:c r="A43" s="46"/>
      <x:c r="B43" s="46"/>
      <x:c r="C43" s="46"/>
      <x:c r="D43" s="46"/>
      <x:c r="E43" s="46"/>
      <x:c r="F43" s="46"/>
      <x:c r="G43" s="46"/>
      <x:c r="H43" s="46"/>
      <x:c r="I43" s="46"/>
      <x:c r="J43" s="46"/>
      <x:c r="K43" s="46"/>
      <x:c r="L43" s="46"/>
      <x:c r="M43" s="46"/>
      <x:c r="N43" s="46"/>
      <x:c r="O43" s="46"/>
      <x:c r="P43" s="46"/>
      <x:c r="Q43" s="46"/>
      <x:c r="R43" s="46"/>
      <x:c r="S43" s="46"/>
      <x:c r="T43" s="46"/>
      <x:c r="U43" s="46"/>
      <x:c r="V43" s="46"/>
      <x:c r="W43" s="46"/>
    </x:row>
    <x:row r="44">
      <x:c r="A44" s="46"/>
      <x:c r="B44" s="46"/>
      <x:c r="C44" s="46"/>
      <x:c r="D44" s="46"/>
      <x:c r="E44" s="46"/>
      <x:c r="F44" s="46"/>
      <x:c r="G44" s="46"/>
      <x:c r="H44" s="46"/>
      <x:c r="I44" s="46"/>
      <x:c r="J44" s="46"/>
      <x:c r="K44" s="46"/>
      <x:c r="L44" s="46"/>
      <x:c r="M44" s="46"/>
      <x:c r="N44" s="46"/>
      <x:c r="O44" s="46"/>
      <x:c r="P44" s="46"/>
      <x:c r="Q44" s="46"/>
      <x:c r="R44" s="46"/>
      <x:c r="S44" s="46"/>
      <x:c r="T44" s="46"/>
      <x:c r="U44" s="46"/>
      <x:c r="V44" s="46"/>
      <x:c r="W44" s="46"/>
    </x:row>
    <x:row r="45">
      <x:c r="A45" s="46"/>
      <x:c r="B45" s="46"/>
      <x:c r="C45" s="46"/>
      <x:c r="D45" s="46"/>
      <x:c r="E45" s="46"/>
      <x:c r="F45" s="46"/>
      <x:c r="G45" s="46"/>
      <x:c r="H45" s="46"/>
      <x:c r="I45" s="46"/>
      <x:c r="J45" s="46"/>
      <x:c r="K45" s="46"/>
      <x:c r="L45" s="46"/>
      <x:c r="M45" s="46"/>
      <x:c r="N45" s="46"/>
      <x:c r="O45" s="46"/>
      <x:c r="P45" s="46"/>
      <x:c r="Q45" s="46"/>
      <x:c r="R45" s="46"/>
      <x:c r="S45" s="46"/>
      <x:c r="T45" s="46"/>
      <x:c r="U45" s="46"/>
      <x:c r="V45" s="46"/>
      <x:c r="W45" s="46"/>
    </x:row>
    <x:row r="46">
      <x:c r="A46" s="46"/>
      <x:c r="B46" s="46"/>
      <x:c r="C46" s="46"/>
      <x:c r="D46" s="46"/>
      <x:c r="E46" s="46"/>
      <x:c r="F46" s="46"/>
      <x:c r="G46" s="46"/>
      <x:c r="H46" s="46"/>
      <x:c r="I46" s="46"/>
      <x:c r="J46" s="46"/>
      <x:c r="K46" s="46"/>
      <x:c r="L46" s="46"/>
      <x:c r="M46" s="46"/>
      <x:c r="N46" s="46"/>
      <x:c r="O46" s="46"/>
      <x:c r="P46" s="46"/>
      <x:c r="Q46" s="46"/>
      <x:c r="R46" s="46"/>
      <x:c r="S46" s="46"/>
      <x:c r="T46" s="46"/>
      <x:c r="U46" s="46"/>
      <x:c r="V46" s="46"/>
      <x:c r="W46" s="46"/>
    </x:row>
    <x:row r="47">
      <x:c r="A47" s="46"/>
      <x:c r="B47" s="46"/>
      <x:c r="C47" s="46"/>
      <x:c r="D47" s="46"/>
      <x:c r="E47" s="46"/>
      <x:c r="F47" s="46"/>
      <x:c r="G47" s="46"/>
      <x:c r="H47" s="46"/>
      <x:c r="I47" s="46"/>
      <x:c r="J47" s="46"/>
      <x:c r="K47" s="46"/>
      <x:c r="L47" s="46"/>
      <x:c r="M47" s="46"/>
      <x:c r="N47" s="46"/>
      <x:c r="O47" s="46"/>
      <x:c r="P47" s="46"/>
      <x:c r="Q47" s="46"/>
      <x:c r="R47" s="46"/>
      <x:c r="S47" s="46"/>
      <x:c r="T47" s="46"/>
      <x:c r="U47" s="46"/>
      <x:c r="V47" s="46"/>
      <x:c r="W47" s="46"/>
    </x:row>
    <x:row r="48">
      <x:c r="A48" s="46"/>
      <x:c r="B48" s="46"/>
      <x:c r="C48" s="46"/>
      <x:c r="D48" s="46"/>
      <x:c r="E48" s="46"/>
      <x:c r="F48" s="46"/>
      <x:c r="G48" s="46"/>
      <x:c r="H48" s="46"/>
      <x:c r="I48" s="46"/>
      <x:c r="J48" s="46"/>
      <x:c r="K48" s="46"/>
      <x:c r="L48" s="46"/>
      <x:c r="M48" s="46"/>
      <x:c r="N48" s="46"/>
      <x:c r="O48" s="46"/>
      <x:c r="P48" s="46"/>
      <x:c r="Q48" s="46"/>
      <x:c r="R48" s="46"/>
      <x:c r="S48" s="46"/>
      <x:c r="T48" s="46"/>
      <x:c r="U48" s="46"/>
      <x:c r="V48" s="46"/>
      <x:c r="W48" s="46"/>
    </x:row>
    <x:row r="49">
      <x:c r="A49" s="46"/>
      <x:c r="B49" s="46"/>
      <x:c r="C49" s="46"/>
      <x:c r="D49" s="46"/>
      <x:c r="E49" s="46"/>
      <x:c r="F49" s="46"/>
      <x:c r="G49" s="46"/>
      <x:c r="H49" s="46"/>
      <x:c r="I49" s="46"/>
      <x:c r="J49" s="46"/>
      <x:c r="K49" s="46"/>
      <x:c r="L49" s="46"/>
      <x:c r="M49" s="46"/>
      <x:c r="N49" s="46"/>
      <x:c r="O49" s="46"/>
      <x:c r="P49" s="46"/>
      <x:c r="Q49" s="46"/>
      <x:c r="R49" s="46"/>
      <x:c r="S49" s="46"/>
      <x:c r="T49" s="46"/>
      <x:c r="U49" s="46"/>
      <x:c r="V49" s="46"/>
      <x:c r="W49" s="46"/>
    </x:row>
    <x:row r="50">
      <x:c r="A50" s="46"/>
      <x:c r="B50" s="46"/>
      <x:c r="C50" s="46"/>
      <x:c r="D50" s="46"/>
      <x:c r="E50" s="46"/>
      <x:c r="F50" s="46"/>
      <x:c r="G50" s="46"/>
      <x:c r="H50" s="46"/>
      <x:c r="I50" s="46"/>
      <x:c r="J50" s="46"/>
      <x:c r="K50" s="46"/>
      <x:c r="L50" s="46"/>
      <x:c r="M50" s="46"/>
      <x:c r="N50" s="46"/>
      <x:c r="O50" s="46"/>
      <x:c r="P50" s="46"/>
      <x:c r="Q50" s="46"/>
      <x:c r="R50" s="46"/>
      <x:c r="S50" s="46"/>
      <x:c r="T50" s="46"/>
      <x:c r="U50" s="46"/>
      <x:c r="V50" s="46"/>
      <x:c r="W50" s="46"/>
    </x:row>
    <x:row r="51">
      <x:c r="A51" s="46"/>
      <x:c r="B51" s="46"/>
      <x:c r="C51" s="46"/>
      <x:c r="D51" s="46"/>
      <x:c r="E51" s="46"/>
      <x:c r="F51" s="46"/>
      <x:c r="G51" s="46"/>
      <x:c r="H51" s="46"/>
      <x:c r="I51" s="46"/>
      <x:c r="J51" s="46"/>
      <x:c r="K51" s="46"/>
      <x:c r="L51" s="46"/>
      <x:c r="M51" s="46"/>
      <x:c r="N51" s="46"/>
      <x:c r="O51" s="46"/>
      <x:c r="P51" s="46"/>
      <x:c r="Q51" s="46"/>
      <x:c r="R51" s="46"/>
      <x:c r="S51" s="46"/>
      <x:c r="T51" s="46"/>
      <x:c r="U51" s="46"/>
      <x:c r="V51" s="46"/>
      <x:c r="W51" s="46"/>
    </x:row>
    <x:row r="52">
      <x:c r="A52" s="46"/>
      <x:c r="B52" s="46"/>
      <x:c r="C52" s="46"/>
      <x:c r="D52" s="46"/>
      <x:c r="E52" s="46"/>
      <x:c r="F52" s="46"/>
      <x:c r="G52" s="46"/>
      <x:c r="H52" s="46"/>
      <x:c r="I52" s="46"/>
      <x:c r="J52" s="46"/>
      <x:c r="K52" s="46"/>
      <x:c r="L52" s="46"/>
      <x:c r="M52" s="46"/>
      <x:c r="N52" s="46"/>
      <x:c r="O52" s="46"/>
      <x:c r="P52" s="46"/>
      <x:c r="Q52" s="46"/>
      <x:c r="R52" s="46"/>
      <x:c r="S52" s="46"/>
      <x:c r="T52" s="46"/>
      <x:c r="U52" s="46"/>
      <x:c r="V52" s="46"/>
      <x:c r="W52" s="46"/>
    </x:row>
    <x:row r="53">
      <x:c r="A53" s="46"/>
      <x:c r="B53" s="46"/>
      <x:c r="C53" s="46"/>
      <x:c r="D53" s="46"/>
      <x:c r="E53" s="46"/>
      <x:c r="F53" s="46"/>
      <x:c r="G53" s="46"/>
      <x:c r="H53" s="46"/>
      <x:c r="I53" s="46"/>
      <x:c r="J53" s="46"/>
      <x:c r="K53" s="46"/>
      <x:c r="L53" s="46"/>
      <x:c r="M53" s="46"/>
      <x:c r="N53" s="46"/>
      <x:c r="O53" s="46"/>
      <x:c r="P53" s="46"/>
      <x:c r="Q53" s="46"/>
      <x:c r="R53" s="46"/>
      <x:c r="S53" s="46"/>
      <x:c r="T53" s="46"/>
      <x:c r="U53" s="46"/>
      <x:c r="V53" s="46"/>
      <x:c r="W53" s="46"/>
    </x:row>
    <x:row r="54">
      <x:c r="A54" s="46"/>
      <x:c r="B54" s="46"/>
      <x:c r="C54" s="46"/>
      <x:c r="D54" s="46"/>
      <x:c r="E54" s="46"/>
      <x:c r="F54" s="46"/>
      <x:c r="G54" s="46"/>
      <x:c r="H54" s="46"/>
      <x:c r="I54" s="46"/>
      <x:c r="J54" s="46"/>
      <x:c r="K54" s="46"/>
      <x:c r="L54" s="46"/>
      <x:c r="M54" s="46"/>
      <x:c r="N54" s="46"/>
      <x:c r="O54" s="46"/>
      <x:c r="P54" s="46"/>
      <x:c r="Q54" s="46"/>
      <x:c r="R54" s="46"/>
      <x:c r="S54" s="46"/>
      <x:c r="T54" s="46"/>
      <x:c r="U54" s="46"/>
      <x:c r="V54" s="46"/>
      <x:c r="W54" s="46"/>
    </x:row>
    <x:row r="55">
      <x:c r="A55" s="46"/>
      <x:c r="B55" s="46"/>
      <x:c r="C55" s="46"/>
      <x:c r="D55" s="46"/>
      <x:c r="E55" s="46"/>
      <x:c r="F55" s="46"/>
      <x:c r="G55" s="46"/>
      <x:c r="H55" s="46"/>
      <x:c r="I55" s="46"/>
      <x:c r="J55" s="46"/>
      <x:c r="K55" s="46"/>
      <x:c r="L55" s="46"/>
      <x:c r="M55" s="46"/>
      <x:c r="N55" s="46"/>
      <x:c r="O55" s="46"/>
      <x:c r="P55" s="46"/>
      <x:c r="Q55" s="46"/>
      <x:c r="R55" s="46"/>
      <x:c r="S55" s="46"/>
      <x:c r="T55" s="46"/>
      <x:c r="U55" s="46"/>
      <x:c r="V55" s="46"/>
      <x:c r="W55" s="46"/>
    </x:row>
    <x:row r="56">
      <x:c r="A56" s="46"/>
      <x:c r="B56" s="46"/>
      <x:c r="C56" s="46"/>
      <x:c r="D56" s="46"/>
      <x:c r="E56" s="46"/>
      <x:c r="F56" s="46"/>
      <x:c r="G56" s="46"/>
      <x:c r="H56" s="46"/>
      <x:c r="I56" s="46"/>
      <x:c r="J56" s="46"/>
      <x:c r="K56" s="46"/>
      <x:c r="L56" s="46"/>
      <x:c r="M56" s="46"/>
      <x:c r="N56" s="46"/>
      <x:c r="O56" s="46"/>
      <x:c r="P56" s="46"/>
      <x:c r="Q56" s="46"/>
      <x:c r="R56" s="46"/>
      <x:c r="S56" s="46"/>
      <x:c r="T56" s="46"/>
      <x:c r="U56" s="46"/>
      <x:c r="V56" s="46"/>
      <x:c r="W56" s="46"/>
    </x:row>
    <x:row r="57">
      <x:c r="A57" s="46"/>
      <x:c r="B57" s="46"/>
      <x:c r="C57" s="46"/>
      <x:c r="D57" s="46"/>
      <x:c r="E57" s="46"/>
      <x:c r="F57" s="46"/>
      <x:c r="G57" s="46"/>
      <x:c r="H57" s="46"/>
      <x:c r="I57" s="46"/>
      <x:c r="J57" s="46"/>
      <x:c r="K57" s="46"/>
      <x:c r="L57" s="46"/>
      <x:c r="M57" s="46"/>
      <x:c r="N57" s="46"/>
      <x:c r="O57" s="46"/>
      <x:c r="P57" s="46"/>
      <x:c r="Q57" s="46"/>
      <x:c r="R57" s="46"/>
      <x:c r="S57" s="46"/>
      <x:c r="T57" s="46"/>
      <x:c r="U57" s="46"/>
      <x:c r="V57" s="46"/>
      <x:c r="W57" s="46"/>
    </x:row>
    <x:row r="58">
      <x:c r="A58" s="46"/>
      <x:c r="B58" s="46"/>
      <x:c r="C58" s="46"/>
      <x:c r="D58" s="46"/>
      <x:c r="E58" s="46"/>
      <x:c r="F58" s="46"/>
      <x:c r="G58" s="46"/>
      <x:c r="H58" s="46"/>
      <x:c r="I58" s="46"/>
      <x:c r="J58" s="46"/>
      <x:c r="K58" s="46"/>
      <x:c r="L58" s="46"/>
      <x:c r="M58" s="46"/>
      <x:c r="N58" s="46"/>
      <x:c r="O58" s="46"/>
      <x:c r="P58" s="46"/>
      <x:c r="Q58" s="46"/>
      <x:c r="R58" s="46"/>
      <x:c r="S58" s="46"/>
      <x:c r="T58" s="46"/>
      <x:c r="U58" s="46"/>
      <x:c r="V58" s="46"/>
      <x:c r="W58" s="46"/>
    </x:row>
    <x:row r="59">
      <x:c r="A59" s="46"/>
      <x:c r="B59" s="46"/>
      <x:c r="C59" s="46"/>
      <x:c r="D59" s="46"/>
      <x:c r="E59" s="46"/>
      <x:c r="F59" s="46"/>
      <x:c r="G59" s="46"/>
      <x:c r="H59" s="46"/>
      <x:c r="I59" s="46"/>
      <x:c r="J59" s="46"/>
      <x:c r="K59" s="46"/>
      <x:c r="L59" s="46"/>
      <x:c r="M59" s="46"/>
      <x:c r="N59" s="46"/>
      <x:c r="O59" s="46"/>
      <x:c r="P59" s="46"/>
      <x:c r="Q59" s="46"/>
      <x:c r="R59" s="46"/>
      <x:c r="S59" s="46"/>
      <x:c r="T59" s="46"/>
      <x:c r="U59" s="46"/>
      <x:c r="V59" s="46"/>
      <x:c r="W59" s="46"/>
    </x:row>
    <x:row r="60">
      <x:c r="A60" s="46"/>
      <x:c r="B60" s="46"/>
      <x:c r="C60" s="46"/>
      <x:c r="D60" s="46"/>
      <x:c r="E60" s="46"/>
      <x:c r="F60" s="46"/>
      <x:c r="G60" s="46"/>
      <x:c r="H60" s="46"/>
      <x:c r="I60" s="46"/>
      <x:c r="J60" s="46"/>
      <x:c r="K60" s="46"/>
      <x:c r="L60" s="46"/>
      <x:c r="M60" s="46"/>
      <x:c r="N60" s="46"/>
      <x:c r="O60" s="46"/>
      <x:c r="P60" s="46"/>
      <x:c r="Q60" s="46"/>
      <x:c r="R60" s="46"/>
      <x:c r="S60" s="46"/>
      <x:c r="T60" s="46"/>
      <x:c r="U60" s="46"/>
      <x:c r="V60" s="46"/>
      <x:c r="W60" s="46"/>
    </x:row>
    <x:row r="61">
      <x:c r="A61" s="46"/>
      <x:c r="B61" s="46"/>
      <x:c r="C61" s="46"/>
      <x:c r="D61" s="46"/>
      <x:c r="E61" s="46"/>
      <x:c r="F61" s="46"/>
      <x:c r="G61" s="46"/>
      <x:c r="H61" s="46"/>
      <x:c r="I61" s="46"/>
      <x:c r="J61" s="46"/>
      <x:c r="K61" s="46"/>
      <x:c r="L61" s="46"/>
      <x:c r="M61" s="46"/>
      <x:c r="N61" s="46"/>
      <x:c r="O61" s="46"/>
      <x:c r="P61" s="46"/>
      <x:c r="Q61" s="46"/>
      <x:c r="R61" s="46"/>
      <x:c r="S61" s="46"/>
      <x:c r="T61" s="46"/>
      <x:c r="U61" s="46"/>
      <x:c r="V61" s="46"/>
      <x:c r="W61" s="46"/>
    </x:row>
    <x:row r="62">
      <x:c r="A62" s="46"/>
      <x:c r="B62" s="46"/>
      <x:c r="C62" s="46"/>
      <x:c r="D62" s="46"/>
      <x:c r="E62" s="46"/>
      <x:c r="F62" s="46"/>
      <x:c r="G62" s="46"/>
      <x:c r="H62" s="46"/>
      <x:c r="I62" s="46"/>
      <x:c r="J62" s="46"/>
      <x:c r="K62" s="46"/>
      <x:c r="L62" s="46"/>
      <x:c r="M62" s="46"/>
      <x:c r="N62" s="46"/>
      <x:c r="O62" s="46"/>
      <x:c r="P62" s="46"/>
      <x:c r="Q62" s="46"/>
      <x:c r="R62" s="46"/>
      <x:c r="S62" s="46"/>
      <x:c r="T62" s="46"/>
      <x:c r="U62" s="46"/>
      <x:c r="V62" s="46"/>
      <x:c r="W62" s="46"/>
    </x:row>
    <x:row r="63">
      <x:c r="A63" s="46"/>
      <x:c r="B63" s="46"/>
      <x:c r="C63" s="46"/>
      <x:c r="D63" s="46"/>
      <x:c r="E63" s="46"/>
      <x:c r="F63" s="46"/>
      <x:c r="G63" s="46"/>
      <x:c r="H63" s="46"/>
      <x:c r="I63" s="46"/>
      <x:c r="J63" s="46"/>
      <x:c r="K63" s="46"/>
      <x:c r="L63" s="46"/>
      <x:c r="M63" s="46"/>
      <x:c r="N63" s="46"/>
      <x:c r="O63" s="46"/>
      <x:c r="P63" s="46"/>
      <x:c r="Q63" s="46"/>
      <x:c r="R63" s="46"/>
      <x:c r="S63" s="46"/>
      <x:c r="T63" s="46"/>
      <x:c r="U63" s="46"/>
      <x:c r="V63" s="46"/>
      <x:c r="W63" s="46"/>
    </x:row>
    <x:row r="64">
      <x:c r="A64" s="46"/>
      <x:c r="B64" s="46"/>
      <x:c r="C64" s="46"/>
      <x:c r="D64" s="46"/>
      <x:c r="E64" s="46"/>
      <x:c r="F64" s="46"/>
      <x:c r="G64" s="46"/>
      <x:c r="H64" s="46"/>
      <x:c r="I64" s="46"/>
      <x:c r="J64" s="46"/>
      <x:c r="K64" s="46"/>
      <x:c r="L64" s="46"/>
      <x:c r="M64" s="46"/>
      <x:c r="N64" s="46"/>
      <x:c r="O64" s="46"/>
      <x:c r="P64" s="46"/>
      <x:c r="Q64" s="46"/>
      <x:c r="R64" s="46"/>
      <x:c r="S64" s="46"/>
      <x:c r="T64" s="46"/>
      <x:c r="U64" s="46"/>
      <x:c r="V64" s="46"/>
      <x:c r="W64" s="46"/>
    </x:row>
    <x:row r="65">
      <x:c r="A65" s="46"/>
      <x:c r="B65" s="46"/>
      <x:c r="C65" s="46"/>
      <x:c r="D65" s="46"/>
      <x:c r="E65" s="46"/>
      <x:c r="F65" s="46"/>
      <x:c r="G65" s="46"/>
      <x:c r="H65" s="46"/>
      <x:c r="I65" s="46"/>
      <x:c r="J65" s="46"/>
      <x:c r="K65" s="46"/>
      <x:c r="L65" s="46"/>
      <x:c r="M65" s="46"/>
      <x:c r="N65" s="46"/>
      <x:c r="O65" s="46"/>
      <x:c r="P65" s="46"/>
      <x:c r="Q65" s="46"/>
      <x:c r="R65" s="46"/>
      <x:c r="S65" s="46"/>
      <x:c r="T65" s="46"/>
      <x:c r="U65" s="46"/>
      <x:c r="V65" s="46"/>
      <x:c r="W65" s="46"/>
    </x:row>
    <x:row r="66">
      <x:c r="A66" s="46"/>
      <x:c r="B66" s="46"/>
      <x:c r="C66" s="46"/>
      <x:c r="D66" s="46"/>
      <x:c r="E66" s="46"/>
      <x:c r="F66" s="46"/>
      <x:c r="G66" s="46"/>
      <x:c r="H66" s="46"/>
      <x:c r="I66" s="46"/>
      <x:c r="J66" s="46"/>
      <x:c r="K66" s="46"/>
      <x:c r="L66" s="46"/>
      <x:c r="M66" s="46"/>
      <x:c r="N66" s="46"/>
      <x:c r="O66" s="46"/>
      <x:c r="P66" s="46"/>
      <x:c r="Q66" s="46"/>
      <x:c r="R66" s="46"/>
      <x:c r="S66" s="46"/>
      <x:c r="T66" s="46"/>
      <x:c r="U66" s="46"/>
      <x:c r="V66" s="46"/>
      <x:c r="W66" s="46"/>
    </x:row>
    <x:row r="67">
      <x:c r="A67" s="46"/>
      <x:c r="B67" s="46"/>
      <x:c r="C67" s="46"/>
      <x:c r="D67" s="46"/>
      <x:c r="E67" s="46"/>
      <x:c r="F67" s="46"/>
      <x:c r="G67" s="46"/>
      <x:c r="H67" s="46"/>
      <x:c r="I67" s="46"/>
      <x:c r="J67" s="46"/>
      <x:c r="K67" s="46"/>
      <x:c r="L67" s="46"/>
      <x:c r="M67" s="46"/>
      <x:c r="N67" s="46"/>
      <x:c r="O67" s="46"/>
      <x:c r="P67" s="46"/>
      <x:c r="Q67" s="46"/>
      <x:c r="R67" s="46"/>
      <x:c r="S67" s="46"/>
      <x:c r="T67" s="46"/>
      <x:c r="U67" s="46"/>
      <x:c r="V67" s="46"/>
      <x:c r="W67" s="46"/>
    </x:row>
    <x:row r="68">
      <x:c r="A68" s="46"/>
      <x:c r="B68" s="46"/>
      <x:c r="C68" s="46"/>
      <x:c r="D68" s="46"/>
      <x:c r="E68" s="46"/>
      <x:c r="F68" s="46"/>
      <x:c r="G68" s="46"/>
      <x:c r="H68" s="46"/>
      <x:c r="I68" s="46"/>
      <x:c r="J68" s="46"/>
      <x:c r="K68" s="46"/>
      <x:c r="L68" s="46"/>
      <x:c r="M68" s="46"/>
      <x:c r="N68" s="46"/>
      <x:c r="O68" s="46"/>
      <x:c r="P68" s="46"/>
      <x:c r="Q68" s="46"/>
      <x:c r="R68" s="46"/>
      <x:c r="S68" s="46"/>
      <x:c r="T68" s="46"/>
      <x:c r="U68" s="46"/>
      <x:c r="V68" s="46"/>
      <x:c r="W68" s="46"/>
    </x:row>
    <x:row r="69">
      <x:c r="A69" s="46"/>
      <x:c r="B69" s="46"/>
      <x:c r="C69" s="46"/>
      <x:c r="D69" s="46"/>
      <x:c r="E69" s="46"/>
      <x:c r="F69" s="46"/>
      <x:c r="G69" s="46"/>
      <x:c r="H69" s="46"/>
      <x:c r="I69" s="46"/>
      <x:c r="J69" s="46"/>
      <x:c r="K69" s="46"/>
      <x:c r="L69" s="46"/>
      <x:c r="M69" s="46"/>
      <x:c r="N69" s="46"/>
      <x:c r="O69" s="46"/>
      <x:c r="P69" s="46"/>
      <x:c r="Q69" s="46"/>
      <x:c r="R69" s="46"/>
      <x:c r="S69" s="46"/>
      <x:c r="T69" s="46"/>
      <x:c r="U69" s="46"/>
      <x:c r="V69" s="46"/>
      <x:c r="W69" s="46"/>
    </x:row>
    <x:row r="70">
      <x:c r="A70" s="46"/>
      <x:c r="B70" s="46"/>
      <x:c r="C70" s="46"/>
      <x:c r="D70" s="46"/>
      <x:c r="E70" s="46"/>
      <x:c r="F70" s="46"/>
      <x:c r="G70" s="46"/>
      <x:c r="H70" s="46"/>
      <x:c r="I70" s="46"/>
      <x:c r="J70" s="46"/>
      <x:c r="K70" s="46"/>
      <x:c r="L70" s="46"/>
      <x:c r="M70" s="46"/>
      <x:c r="N70" s="46"/>
      <x:c r="O70" s="46"/>
      <x:c r="P70" s="46"/>
      <x:c r="Q70" s="46"/>
      <x:c r="R70" s="46"/>
      <x:c r="S70" s="46"/>
      <x:c r="T70" s="46"/>
      <x:c r="U70" s="46"/>
      <x:c r="V70" s="46"/>
      <x:c r="W70" s="46"/>
    </x:row>
    <x:row r="71">
      <x:c r="A71" s="46"/>
      <x:c r="B71" s="46"/>
      <x:c r="C71" s="46"/>
      <x:c r="D71" s="46"/>
      <x:c r="E71" s="46"/>
      <x:c r="F71" s="46"/>
      <x:c r="G71" s="46"/>
      <x:c r="H71" s="46"/>
      <x:c r="I71" s="46"/>
      <x:c r="J71" s="46"/>
      <x:c r="K71" s="46"/>
      <x:c r="L71" s="46"/>
      <x:c r="M71" s="46"/>
      <x:c r="N71" s="46"/>
      <x:c r="O71" s="46"/>
      <x:c r="P71" s="46"/>
      <x:c r="Q71" s="46"/>
      <x:c r="R71" s="46"/>
      <x:c r="S71" s="46"/>
      <x:c r="T71" s="46"/>
      <x:c r="U71" s="46"/>
      <x:c r="V71" s="46"/>
      <x:c r="W71" s="46"/>
    </x:row>
    <x:row r="72">
      <x:c r="A72" s="46"/>
      <x:c r="B72" s="46"/>
      <x:c r="C72" s="46"/>
      <x:c r="D72" s="46"/>
      <x:c r="E72" s="46"/>
      <x:c r="F72" s="46"/>
      <x:c r="G72" s="46"/>
      <x:c r="H72" s="46"/>
      <x:c r="I72" s="46"/>
      <x:c r="J72" s="46"/>
      <x:c r="K72" s="46"/>
      <x:c r="L72" s="46"/>
      <x:c r="M72" s="46"/>
      <x:c r="N72" s="46"/>
      <x:c r="O72" s="46"/>
      <x:c r="P72" s="46"/>
      <x:c r="Q72" s="46"/>
      <x:c r="R72" s="46"/>
      <x:c r="S72" s="46"/>
      <x:c r="T72" s="46"/>
      <x:c r="U72" s="46"/>
      <x:c r="V72" s="46"/>
      <x:c r="W72" s="46"/>
    </x:row>
    <x:row r="73">
      <x:c r="A73" s="46"/>
      <x:c r="B73" s="46"/>
      <x:c r="C73" s="46"/>
      <x:c r="D73" s="46"/>
      <x:c r="E73" s="46"/>
      <x:c r="F73" s="46"/>
      <x:c r="G73" s="46"/>
      <x:c r="H73" s="46"/>
      <x:c r="I73" s="46"/>
      <x:c r="J73" s="46"/>
      <x:c r="K73" s="46"/>
      <x:c r="L73" s="46"/>
      <x:c r="M73" s="46"/>
      <x:c r="N73" s="46"/>
      <x:c r="O73" s="46"/>
      <x:c r="P73" s="46"/>
      <x:c r="Q73" s="46"/>
      <x:c r="R73" s="46"/>
      <x:c r="S73" s="46"/>
      <x:c r="T73" s="46"/>
      <x:c r="U73" s="46"/>
      <x:c r="V73" s="46"/>
      <x:c r="W73" s="46"/>
    </x:row>
    <x:row r="74">
      <x:c r="A74" s="46"/>
      <x:c r="B74" s="46"/>
      <x:c r="C74" s="46"/>
      <x:c r="D74" s="46"/>
      <x:c r="E74" s="46"/>
      <x:c r="F74" s="46"/>
      <x:c r="G74" s="46"/>
      <x:c r="H74" s="46"/>
      <x:c r="I74" s="46"/>
      <x:c r="J74" s="46"/>
      <x:c r="K74" s="46"/>
      <x:c r="L74" s="46"/>
      <x:c r="M74" s="46"/>
      <x:c r="N74" s="46"/>
      <x:c r="O74" s="46"/>
      <x:c r="P74" s="46"/>
      <x:c r="Q74" s="46"/>
      <x:c r="R74" s="46"/>
      <x:c r="S74" s="46"/>
      <x:c r="T74" s="46"/>
      <x:c r="U74" s="46"/>
      <x:c r="V74" s="46"/>
      <x:c r="W74" s="46"/>
    </x:row>
    <x:row r="75">
      <x:c r="A75" s="46"/>
      <x:c r="B75" s="46"/>
      <x:c r="C75" s="46"/>
      <x:c r="D75" s="46"/>
      <x:c r="E75" s="46"/>
      <x:c r="F75" s="46"/>
      <x:c r="G75" s="46"/>
      <x:c r="H75" s="46"/>
      <x:c r="I75" s="46"/>
      <x:c r="J75" s="46"/>
      <x:c r="K75" s="46"/>
      <x:c r="L75" s="46"/>
      <x:c r="M75" s="46"/>
      <x:c r="N75" s="46"/>
      <x:c r="O75" s="46"/>
      <x:c r="P75" s="46"/>
      <x:c r="Q75" s="46"/>
      <x:c r="R75" s="46"/>
      <x:c r="S75" s="46"/>
      <x:c r="T75" s="46"/>
      <x:c r="U75" s="46"/>
      <x:c r="V75" s="46"/>
      <x:c r="W75" s="46"/>
    </x:row>
    <x:row r="76">
      <x:c r="A76" s="46"/>
      <x:c r="B76" s="46"/>
      <x:c r="C76" s="46"/>
      <x:c r="D76" s="46"/>
      <x:c r="E76" s="46"/>
      <x:c r="F76" s="46"/>
      <x:c r="G76" s="46"/>
      <x:c r="H76" s="46"/>
      <x:c r="I76" s="46"/>
      <x:c r="J76" s="46"/>
      <x:c r="K76" s="46"/>
      <x:c r="L76" s="46"/>
      <x:c r="M76" s="46"/>
      <x:c r="N76" s="46"/>
      <x:c r="O76" s="46"/>
      <x:c r="P76" s="46"/>
      <x:c r="Q76" s="46"/>
      <x:c r="R76" s="46"/>
      <x:c r="S76" s="46"/>
      <x:c r="T76" s="46"/>
      <x:c r="U76" s="46"/>
      <x:c r="V76" s="46"/>
      <x:c r="W76" s="46"/>
    </x:row>
    <x:row r="77">
      <x:c r="A77" s="46"/>
      <x:c r="B77" s="46"/>
      <x:c r="C77" s="46"/>
      <x:c r="D77" s="46"/>
      <x:c r="E77" s="46"/>
      <x:c r="F77" s="46"/>
      <x:c r="G77" s="46"/>
      <x:c r="H77" s="46"/>
      <x:c r="I77" s="46"/>
      <x:c r="J77" s="46"/>
      <x:c r="K77" s="46"/>
      <x:c r="L77" s="46"/>
      <x:c r="M77" s="46"/>
      <x:c r="N77" s="46"/>
      <x:c r="O77" s="46"/>
      <x:c r="P77" s="46"/>
      <x:c r="Q77" s="46"/>
      <x:c r="R77" s="46"/>
      <x:c r="S77" s="46"/>
      <x:c r="T77" s="46"/>
      <x:c r="U77" s="46"/>
      <x:c r="V77" s="46"/>
      <x:c r="W77" s="46"/>
    </x:row>
    <x:row r="78">
      <x:c r="A78" s="46"/>
      <x:c r="B78" s="46"/>
      <x:c r="C78" s="46"/>
      <x:c r="D78" s="46"/>
      <x:c r="E78" s="46"/>
      <x:c r="F78" s="46"/>
      <x:c r="G78" s="46"/>
      <x:c r="H78" s="46"/>
      <x:c r="I78" s="46"/>
      <x:c r="J78" s="46"/>
      <x:c r="K78" s="46"/>
      <x:c r="L78" s="46"/>
      <x:c r="M78" s="46"/>
      <x:c r="N78" s="46"/>
      <x:c r="O78" s="46"/>
      <x:c r="P78" s="46"/>
      <x:c r="Q78" s="46"/>
      <x:c r="R78" s="46"/>
      <x:c r="S78" s="46"/>
      <x:c r="T78" s="46"/>
      <x:c r="U78" s="46"/>
      <x:c r="V78" s="46"/>
      <x:c r="W78" s="46"/>
    </x:row>
    <x:row r="79">
      <x:c r="A79" s="46"/>
      <x:c r="B79" s="46"/>
      <x:c r="C79" s="46"/>
      <x:c r="D79" s="46"/>
      <x:c r="E79" s="46"/>
      <x:c r="F79" s="46"/>
      <x:c r="G79" s="46"/>
      <x:c r="H79" s="46"/>
      <x:c r="I79" s="46"/>
      <x:c r="J79" s="46"/>
      <x:c r="K79" s="46"/>
      <x:c r="L79" s="46"/>
      <x:c r="M79" s="46"/>
      <x:c r="N79" s="46"/>
      <x:c r="O79" s="46"/>
      <x:c r="P79" s="46"/>
      <x:c r="Q79" s="46"/>
      <x:c r="R79" s="46"/>
      <x:c r="S79" s="46"/>
      <x:c r="T79" s="46"/>
      <x:c r="U79" s="46"/>
      <x:c r="V79" s="46"/>
      <x:c r="W79" s="46"/>
    </x:row>
    <x:row r="80">
      <x:c r="A80" s="46"/>
      <x:c r="B80" s="46"/>
      <x:c r="C80" s="46"/>
      <x:c r="D80" s="46"/>
      <x:c r="E80" s="46"/>
      <x:c r="F80" s="46"/>
      <x:c r="G80" s="46"/>
      <x:c r="H80" s="46"/>
      <x:c r="I80" s="46"/>
      <x:c r="J80" s="46"/>
      <x:c r="K80" s="46"/>
      <x:c r="L80" s="46"/>
      <x:c r="M80" s="46"/>
      <x:c r="N80" s="46"/>
      <x:c r="O80" s="46"/>
      <x:c r="P80" s="46"/>
      <x:c r="Q80" s="46"/>
      <x:c r="R80" s="46"/>
      <x:c r="S80" s="46"/>
      <x:c r="T80" s="46"/>
      <x:c r="U80" s="46"/>
      <x:c r="V80" s="46"/>
      <x:c r="W80" s="46"/>
    </x:row>
    <x:row r="81">
      <x:c r="A81" s="46"/>
      <x:c r="B81" s="46"/>
      <x:c r="C81" s="46"/>
      <x:c r="D81" s="46"/>
      <x:c r="E81" s="46"/>
      <x:c r="F81" s="46"/>
      <x:c r="G81" s="46"/>
      <x:c r="H81" s="46"/>
      <x:c r="I81" s="46"/>
      <x:c r="J81" s="46"/>
      <x:c r="K81" s="46"/>
      <x:c r="L81" s="46"/>
      <x:c r="M81" s="46"/>
      <x:c r="N81" s="46"/>
      <x:c r="O81" s="46"/>
      <x:c r="P81" s="46"/>
      <x:c r="Q81" s="46"/>
      <x:c r="R81" s="46"/>
      <x:c r="S81" s="46"/>
      <x:c r="T81" s="46"/>
      <x:c r="U81" s="46"/>
      <x:c r="V81" s="46"/>
      <x:c r="W81" s="46"/>
    </x:row>
    <x:row r="82">
      <x:c r="A82" s="46"/>
      <x:c r="B82" s="46"/>
      <x:c r="C82" s="46"/>
      <x:c r="D82" s="46"/>
      <x:c r="E82" s="46"/>
      <x:c r="F82" s="46"/>
      <x:c r="G82" s="46"/>
      <x:c r="H82" s="46"/>
      <x:c r="I82" s="46"/>
      <x:c r="J82" s="46"/>
      <x:c r="K82" s="46"/>
      <x:c r="L82" s="46"/>
      <x:c r="M82" s="46"/>
      <x:c r="N82" s="46"/>
      <x:c r="O82" s="46"/>
      <x:c r="P82" s="46"/>
      <x:c r="Q82" s="46"/>
      <x:c r="R82" s="46"/>
      <x:c r="S82" s="46"/>
      <x:c r="T82" s="46"/>
      <x:c r="U82" s="46"/>
      <x:c r="V82" s="46"/>
      <x:c r="W82" s="46"/>
    </x:row>
    <x:row r="83">
      <x:c r="A83" s="46"/>
      <x:c r="B83" s="46"/>
      <x:c r="C83" s="46"/>
      <x:c r="D83" s="46"/>
      <x:c r="E83" s="46"/>
      <x:c r="F83" s="46"/>
      <x:c r="G83" s="46"/>
      <x:c r="H83" s="46"/>
      <x:c r="I83" s="46"/>
      <x:c r="J83" s="46"/>
      <x:c r="K83" s="46"/>
      <x:c r="L83" s="46"/>
      <x:c r="M83" s="46"/>
      <x:c r="N83" s="46"/>
      <x:c r="O83" s="46"/>
      <x:c r="P83" s="46"/>
      <x:c r="Q83" s="46"/>
      <x:c r="R83" s="46"/>
      <x:c r="S83" s="46"/>
      <x:c r="T83" s="46"/>
      <x:c r="U83" s="46"/>
      <x:c r="V83" s="46"/>
      <x:c r="W83" s="46"/>
    </x:row>
    <x:row r="84">
      <x:c r="A84" s="46"/>
      <x:c r="B84" s="46"/>
      <x:c r="C84" s="46"/>
      <x:c r="D84" s="46"/>
      <x:c r="E84" s="46"/>
      <x:c r="F84" s="46"/>
      <x:c r="G84" s="46"/>
      <x:c r="H84" s="46"/>
      <x:c r="I84" s="46"/>
      <x:c r="J84" s="46"/>
      <x:c r="K84" s="46"/>
      <x:c r="L84" s="46"/>
      <x:c r="M84" s="46"/>
      <x:c r="N84" s="46"/>
      <x:c r="O84" s="46"/>
      <x:c r="P84" s="46"/>
      <x:c r="Q84" s="46"/>
      <x:c r="R84" s="46"/>
      <x:c r="S84" s="46"/>
      <x:c r="T84" s="46"/>
      <x:c r="U84" s="46"/>
      <x:c r="V84" s="46"/>
      <x:c r="W84" s="46"/>
    </x:row>
    <x:row r="85">
      <x:c r="A85" s="46"/>
      <x:c r="B85" s="46"/>
      <x:c r="C85" s="46"/>
      <x:c r="D85" s="46"/>
      <x:c r="E85" s="46"/>
      <x:c r="F85" s="46"/>
      <x:c r="G85" s="46"/>
      <x:c r="H85" s="46"/>
      <x:c r="I85" s="46"/>
      <x:c r="J85" s="46"/>
      <x:c r="K85" s="46"/>
      <x:c r="L85" s="46"/>
      <x:c r="M85" s="46"/>
      <x:c r="N85" s="46"/>
      <x:c r="O85" s="46"/>
      <x:c r="P85" s="46"/>
      <x:c r="Q85" s="46"/>
      <x:c r="R85" s="46"/>
      <x:c r="S85" s="46"/>
      <x:c r="T85" s="46"/>
      <x:c r="U85" s="46"/>
      <x:c r="V85" s="46"/>
      <x:c r="W85" s="46"/>
    </x:row>
    <x:row r="86">
      <x:c r="A86" s="46"/>
      <x:c r="B86" s="46"/>
      <x:c r="C86" s="46"/>
      <x:c r="D86" s="46"/>
      <x:c r="E86" s="46"/>
      <x:c r="F86" s="46"/>
      <x:c r="G86" s="46"/>
      <x:c r="H86" s="46"/>
      <x:c r="I86" s="46"/>
      <x:c r="J86" s="46"/>
      <x:c r="K86" s="46"/>
      <x:c r="L86" s="46"/>
      <x:c r="M86" s="46"/>
      <x:c r="N86" s="46"/>
      <x:c r="O86" s="46"/>
      <x:c r="P86" s="46"/>
      <x:c r="Q86" s="46"/>
      <x:c r="R86" s="46"/>
      <x:c r="S86" s="46"/>
      <x:c r="T86" s="46"/>
      <x:c r="U86" s="46"/>
      <x:c r="V86" s="46"/>
      <x:c r="W86" s="46"/>
    </x:row>
    <x:row r="87">
      <x:c r="A87" s="46"/>
      <x:c r="B87" s="46"/>
      <x:c r="C87" s="46"/>
      <x:c r="D87" s="46"/>
      <x:c r="E87" s="46"/>
      <x:c r="F87" s="46"/>
      <x:c r="G87" s="46"/>
      <x:c r="H87" s="46"/>
      <x:c r="I87" s="46"/>
      <x:c r="J87" s="46"/>
      <x:c r="K87" s="46"/>
      <x:c r="L87" s="46"/>
      <x:c r="M87" s="46"/>
      <x:c r="N87" s="46"/>
      <x:c r="O87" s="46"/>
      <x:c r="P87" s="46"/>
      <x:c r="Q87" s="46"/>
      <x:c r="R87" s="46"/>
      <x:c r="S87" s="46"/>
      <x:c r="T87" s="46"/>
      <x:c r="U87" s="46"/>
      <x:c r="V87" s="46"/>
      <x:c r="W87" s="46"/>
    </x:row>
    <x:row r="88">
      <x:c r="A88" s="46"/>
      <x:c r="B88" s="46"/>
      <x:c r="C88" s="46"/>
      <x:c r="D88" s="46"/>
      <x:c r="E88" s="46"/>
      <x:c r="F88" s="46"/>
      <x:c r="G88" s="46"/>
      <x:c r="H88" s="46"/>
      <x:c r="I88" s="46"/>
      <x:c r="J88" s="46"/>
      <x:c r="K88" s="46"/>
      <x:c r="L88" s="46"/>
      <x:c r="M88" s="46"/>
      <x:c r="N88" s="46"/>
      <x:c r="O88" s="46"/>
      <x:c r="P88" s="46"/>
      <x:c r="Q88" s="46"/>
      <x:c r="R88" s="46"/>
      <x:c r="S88" s="46"/>
      <x:c r="T88" s="46"/>
      <x:c r="U88" s="46"/>
      <x:c r="V88" s="46"/>
      <x:c r="W88" s="46"/>
    </x:row>
    <x:row r="89">
      <x:c r="A89" s="46"/>
      <x:c r="B89" s="46"/>
      <x:c r="C89" s="46"/>
      <x:c r="D89" s="46"/>
      <x:c r="E89" s="46"/>
      <x:c r="F89" s="46"/>
      <x:c r="G89" s="46"/>
      <x:c r="H89" s="46"/>
      <x:c r="I89" s="46"/>
      <x:c r="J89" s="46"/>
      <x:c r="K89" s="46"/>
      <x:c r="L89" s="46"/>
      <x:c r="M89" s="46"/>
      <x:c r="N89" s="46"/>
      <x:c r="O89" s="46"/>
      <x:c r="P89" s="46"/>
      <x:c r="Q89" s="46"/>
      <x:c r="R89" s="46"/>
      <x:c r="S89" s="46"/>
      <x:c r="T89" s="46"/>
      <x:c r="U89" s="46"/>
      <x:c r="V89" s="46"/>
      <x:c r="W89" s="46"/>
    </x:row>
    <x:row r="90">
      <x:c r="A90" s="46"/>
      <x:c r="B90" s="46"/>
      <x:c r="C90" s="46"/>
      <x:c r="D90" s="46"/>
      <x:c r="E90" s="46"/>
      <x:c r="F90" s="46"/>
      <x:c r="G90" s="46"/>
      <x:c r="H90" s="46"/>
      <x:c r="I90" s="46"/>
      <x:c r="J90" s="46"/>
      <x:c r="K90" s="46"/>
      <x:c r="L90" s="46"/>
      <x:c r="M90" s="46"/>
      <x:c r="N90" s="46"/>
      <x:c r="O90" s="46"/>
      <x:c r="P90" s="46"/>
      <x:c r="Q90" s="46"/>
      <x:c r="R90" s="46"/>
      <x:c r="S90" s="46"/>
      <x:c r="T90" s="46"/>
      <x:c r="U90" s="46"/>
      <x:c r="V90" s="46"/>
      <x:c r="W90" s="46"/>
    </x:row>
    <x:row r="91">
      <x:c r="A91" s="46"/>
      <x:c r="B91" s="46"/>
      <x:c r="C91" s="46"/>
      <x:c r="D91" s="46"/>
      <x:c r="E91" s="46"/>
      <x:c r="F91" s="46"/>
      <x:c r="G91" s="46"/>
      <x:c r="H91" s="46"/>
      <x:c r="I91" s="46"/>
      <x:c r="J91" s="46"/>
      <x:c r="K91" s="46"/>
      <x:c r="L91" s="46"/>
      <x:c r="M91" s="46"/>
      <x:c r="N91" s="46"/>
      <x:c r="O91" s="46"/>
      <x:c r="P91" s="46"/>
      <x:c r="Q91" s="46"/>
      <x:c r="R91" s="46"/>
      <x:c r="S91" s="46"/>
      <x:c r="T91" s="46"/>
      <x:c r="U91" s="46"/>
      <x:c r="V91" s="46"/>
      <x:c r="W91" s="46"/>
    </x:row>
    <x:row r="92">
      <x:c r="A92" s="46"/>
      <x:c r="B92" s="46"/>
      <x:c r="C92" s="46"/>
      <x:c r="D92" s="46"/>
      <x:c r="E92" s="46"/>
      <x:c r="F92" s="46"/>
      <x:c r="G92" s="46"/>
      <x:c r="H92" s="46"/>
      <x:c r="I92" s="46"/>
      <x:c r="J92" s="46"/>
      <x:c r="K92" s="46"/>
      <x:c r="L92" s="46"/>
      <x:c r="M92" s="46"/>
      <x:c r="N92" s="46"/>
      <x:c r="O92" s="46"/>
      <x:c r="P92" s="46"/>
      <x:c r="Q92" s="46"/>
      <x:c r="R92" s="46"/>
      <x:c r="S92" s="46"/>
      <x:c r="T92" s="46"/>
      <x:c r="U92" s="46"/>
      <x:c r="V92" s="46"/>
      <x:c r="W92" s="46"/>
    </x:row>
    <x:row r="93">
      <x:c r="A93" s="46"/>
      <x:c r="B93" s="46"/>
      <x:c r="C93" s="46"/>
      <x:c r="D93" s="46"/>
      <x:c r="E93" s="46"/>
      <x:c r="F93" s="46"/>
      <x:c r="G93" s="46"/>
      <x:c r="H93" s="46"/>
      <x:c r="I93" s="46"/>
      <x:c r="J93" s="46"/>
      <x:c r="K93" s="46"/>
      <x:c r="L93" s="46"/>
      <x:c r="M93" s="46"/>
      <x:c r="N93" s="46"/>
      <x:c r="O93" s="46"/>
      <x:c r="P93" s="46"/>
      <x:c r="Q93" s="46"/>
      <x:c r="R93" s="46"/>
      <x:c r="S93" s="46"/>
      <x:c r="T93" s="46"/>
      <x:c r="U93" s="46"/>
      <x:c r="V93" s="46"/>
      <x:c r="W93" s="46"/>
    </x:row>
    <x:row r="94">
      <x:c r="A94" s="46"/>
      <x:c r="B94" s="46"/>
      <x:c r="C94" s="46"/>
      <x:c r="D94" s="46"/>
      <x:c r="E94" s="46"/>
      <x:c r="F94" s="46"/>
      <x:c r="G94" s="46"/>
      <x:c r="H94" s="46"/>
      <x:c r="I94" s="46"/>
      <x:c r="J94" s="46"/>
      <x:c r="K94" s="46"/>
      <x:c r="L94" s="46"/>
      <x:c r="M94" s="46"/>
      <x:c r="N94" s="46"/>
      <x:c r="O94" s="46"/>
      <x:c r="P94" s="46"/>
      <x:c r="Q94" s="46"/>
      <x:c r="R94" s="46"/>
      <x:c r="S94" s="46"/>
      <x:c r="T94" s="46"/>
      <x:c r="U94" s="46"/>
      <x:c r="V94" s="46"/>
      <x:c r="W94" s="46"/>
    </x:row>
    <x:row r="95">
      <x:c r="A95" s="46"/>
      <x:c r="B95" s="46"/>
      <x:c r="C95" s="46"/>
      <x:c r="D95" s="46"/>
      <x:c r="E95" s="46"/>
      <x:c r="F95" s="46"/>
      <x:c r="G95" s="46"/>
      <x:c r="H95" s="46"/>
      <x:c r="I95" s="46"/>
      <x:c r="J95" s="46"/>
      <x:c r="K95" s="46"/>
      <x:c r="L95" s="46"/>
      <x:c r="M95" s="46"/>
      <x:c r="N95" s="46"/>
      <x:c r="O95" s="46"/>
      <x:c r="P95" s="46"/>
      <x:c r="Q95" s="46"/>
      <x:c r="R95" s="46"/>
      <x:c r="S95" s="46"/>
      <x:c r="T95" s="46"/>
      <x:c r="U95" s="46"/>
      <x:c r="V95" s="46"/>
      <x:c r="W95" s="46"/>
    </x:row>
    <x:row r="96">
      <x:c r="A96" s="46"/>
      <x:c r="B96" s="46"/>
      <x:c r="C96" s="46"/>
      <x:c r="D96" s="46"/>
      <x:c r="E96" s="46"/>
      <x:c r="F96" s="46"/>
      <x:c r="G96" s="46"/>
      <x:c r="H96" s="46"/>
      <x:c r="I96" s="46"/>
      <x:c r="J96" s="46"/>
      <x:c r="K96" s="46"/>
      <x:c r="L96" s="46"/>
      <x:c r="M96" s="46"/>
      <x:c r="N96" s="46"/>
      <x:c r="O96" s="46"/>
      <x:c r="P96" s="46"/>
      <x:c r="Q96" s="46"/>
      <x:c r="R96" s="46"/>
      <x:c r="S96" s="46"/>
      <x:c r="T96" s="46"/>
      <x:c r="U96" s="46"/>
      <x:c r="V96" s="46"/>
      <x:c r="W96" s="46"/>
    </x:row>
    <x:row r="97">
      <x:c r="A97" s="46"/>
      <x:c r="B97" s="46"/>
      <x:c r="C97" s="46"/>
      <x:c r="D97" s="46"/>
      <x:c r="E97" s="46"/>
      <x:c r="F97" s="46"/>
      <x:c r="G97" s="46"/>
      <x:c r="H97" s="46"/>
      <x:c r="I97" s="46"/>
      <x:c r="J97" s="46"/>
      <x:c r="K97" s="46"/>
      <x:c r="L97" s="46"/>
      <x:c r="M97" s="46"/>
      <x:c r="N97" s="46"/>
      <x:c r="O97" s="46"/>
      <x:c r="P97" s="46"/>
      <x:c r="Q97" s="46"/>
      <x:c r="R97" s="46"/>
      <x:c r="S97" s="46"/>
      <x:c r="T97" s="46"/>
      <x:c r="U97" s="46"/>
      <x:c r="V97" s="46"/>
      <x:c r="W97" s="46"/>
    </x:row>
    <x:row r="98">
      <x:c r="A98" s="46"/>
      <x:c r="B98" s="46"/>
      <x:c r="C98" s="46"/>
      <x:c r="D98" s="46"/>
      <x:c r="E98" s="46"/>
      <x:c r="F98" s="46"/>
      <x:c r="G98" s="46"/>
      <x:c r="H98" s="46"/>
      <x:c r="I98" s="46"/>
      <x:c r="J98" s="46"/>
      <x:c r="K98" s="46"/>
      <x:c r="L98" s="46"/>
      <x:c r="M98" s="46"/>
      <x:c r="N98" s="46"/>
      <x:c r="O98" s="46"/>
      <x:c r="P98" s="46"/>
      <x:c r="Q98" s="46"/>
      <x:c r="R98" s="46"/>
      <x:c r="S98" s="46"/>
      <x:c r="T98" s="46"/>
      <x:c r="U98" s="46"/>
      <x:c r="V98" s="46"/>
      <x:c r="W98" s="46"/>
    </x:row>
    <x:row r="99">
      <x:c r="A99" s="46"/>
      <x:c r="B99" s="46"/>
      <x:c r="C99" s="46"/>
      <x:c r="D99" s="46"/>
      <x:c r="E99" s="46"/>
      <x:c r="F99" s="46"/>
      <x:c r="G99" s="46"/>
      <x:c r="H99" s="46"/>
      <x:c r="I99" s="46"/>
      <x:c r="J99" s="46"/>
      <x:c r="K99" s="46"/>
      <x:c r="L99" s="46"/>
      <x:c r="M99" s="46"/>
      <x:c r="N99" s="46"/>
      <x:c r="O99" s="46"/>
      <x:c r="P99" s="46"/>
      <x:c r="Q99" s="46"/>
      <x:c r="R99" s="46"/>
      <x:c r="S99" s="46"/>
      <x:c r="T99" s="46"/>
      <x:c r="U99" s="46"/>
      <x:c r="V99" s="46"/>
      <x:c r="W99" s="46"/>
    </x:row>
    <x:row r="100">
      <x:c r="A100" s="46"/>
      <x:c r="B100" s="46"/>
      <x:c r="C100" s="46"/>
      <x:c r="D100" s="46"/>
      <x:c r="E100" s="46"/>
      <x:c r="F100" s="46"/>
      <x:c r="G100" s="46"/>
      <x:c r="H100" s="46"/>
      <x:c r="I100" s="46"/>
      <x:c r="J100" s="46"/>
      <x:c r="K100" s="46"/>
      <x:c r="L100" s="46"/>
      <x:c r="M100" s="46"/>
      <x:c r="N100" s="46"/>
      <x:c r="O100" s="46"/>
      <x:c r="P100" s="46"/>
      <x:c r="Q100" s="46"/>
      <x:c r="R100" s="46"/>
      <x:c r="S100" s="46"/>
      <x:c r="T100" s="46"/>
      <x:c r="U100" s="46"/>
      <x:c r="V100" s="46"/>
      <x:c r="W100" s="46"/>
    </x:row>
    <x:row r="101">
      <x:c r="A101" s="46"/>
      <x:c r="B101" s="46"/>
      <x:c r="C101" s="46"/>
      <x:c r="D101" s="46"/>
      <x:c r="E101" s="46"/>
      <x:c r="F101" s="46"/>
      <x:c r="G101" s="46"/>
      <x:c r="H101" s="46"/>
      <x:c r="I101" s="46"/>
      <x:c r="J101" s="46"/>
      <x:c r="K101" s="46"/>
      <x:c r="L101" s="46"/>
      <x:c r="M101" s="46"/>
      <x:c r="N101" s="46"/>
      <x:c r="O101" s="46"/>
      <x:c r="P101" s="46"/>
      <x:c r="Q101" s="46"/>
      <x:c r="R101" s="46"/>
      <x:c r="S101" s="46"/>
      <x:c r="T101" s="46"/>
      <x:c r="U101" s="46"/>
      <x:c r="V101" s="46"/>
      <x:c r="W101" s="46"/>
    </x:row>
    <x:row r="102">
      <x:c r="A102" s="46"/>
      <x:c r="B102" s="46"/>
      <x:c r="C102" s="46"/>
      <x:c r="D102" s="46"/>
      <x:c r="E102" s="46"/>
      <x:c r="F102" s="46"/>
      <x:c r="G102" s="46"/>
      <x:c r="H102" s="46"/>
      <x:c r="I102" s="46"/>
      <x:c r="J102" s="46"/>
      <x:c r="K102" s="46"/>
      <x:c r="L102" s="46"/>
      <x:c r="M102" s="46"/>
      <x:c r="N102" s="46"/>
      <x:c r="O102" s="46"/>
      <x:c r="P102" s="46"/>
      <x:c r="Q102" s="46"/>
      <x:c r="R102" s="46"/>
      <x:c r="S102" s="46"/>
      <x:c r="T102" s="46"/>
      <x:c r="U102" s="46"/>
      <x:c r="V102" s="46"/>
      <x:c r="W102" s="46"/>
    </x:row>
    <x:row r="103">
      <x:c r="A103" s="46"/>
      <x:c r="B103" s="46"/>
      <x:c r="C103" s="46"/>
      <x:c r="D103" s="46"/>
      <x:c r="E103" s="46"/>
      <x:c r="F103" s="46"/>
      <x:c r="G103" s="46"/>
      <x:c r="H103" s="46"/>
      <x:c r="I103" s="46"/>
      <x:c r="J103" s="46"/>
      <x:c r="K103" s="46"/>
      <x:c r="L103" s="46"/>
      <x:c r="M103" s="46"/>
      <x:c r="N103" s="46"/>
      <x:c r="O103" s="46"/>
      <x:c r="P103" s="46"/>
      <x:c r="Q103" s="46"/>
      <x:c r="R103" s="46"/>
      <x:c r="S103" s="46"/>
      <x:c r="T103" s="46"/>
      <x:c r="U103" s="46"/>
      <x:c r="V103" s="46"/>
      <x:c r="W103" s="46"/>
    </x:row>
    <x:row r="104">
      <x:c r="A104" s="46"/>
      <x:c r="B104" s="46"/>
      <x:c r="C104" s="46"/>
      <x:c r="D104" s="46"/>
      <x:c r="E104" s="46"/>
      <x:c r="F104" s="46"/>
      <x:c r="G104" s="46"/>
      <x:c r="H104" s="46"/>
      <x:c r="I104" s="46"/>
      <x:c r="J104" s="46"/>
      <x:c r="K104" s="46"/>
      <x:c r="L104" s="46"/>
      <x:c r="M104" s="46"/>
      <x:c r="N104" s="46"/>
      <x:c r="O104" s="46"/>
      <x:c r="P104" s="46"/>
      <x:c r="Q104" s="46"/>
      <x:c r="R104" s="46"/>
      <x:c r="S104" s="46"/>
      <x:c r="T104" s="46"/>
      <x:c r="U104" s="46"/>
      <x:c r="V104" s="46"/>
      <x:c r="W104" s="46"/>
    </x:row>
    <x:row r="105">
      <x:c r="A105" s="46"/>
      <x:c r="B105" s="46"/>
      <x:c r="C105" s="46"/>
      <x:c r="D105" s="46"/>
      <x:c r="E105" s="46"/>
      <x:c r="F105" s="46"/>
      <x:c r="G105" s="46"/>
      <x:c r="H105" s="46"/>
      <x:c r="I105" s="46"/>
      <x:c r="J105" s="46"/>
      <x:c r="K105" s="46"/>
      <x:c r="L105" s="46"/>
      <x:c r="M105" s="46"/>
      <x:c r="N105" s="46"/>
      <x:c r="O105" s="46"/>
      <x:c r="P105" s="46"/>
      <x:c r="Q105" s="46"/>
      <x:c r="R105" s="46"/>
      <x:c r="S105" s="46"/>
      <x:c r="T105" s="46"/>
      <x:c r="U105" s="46"/>
      <x:c r="V105" s="46"/>
      <x:c r="W105" s="46"/>
    </x:row>
    <x:row r="106">
      <x:c r="A106" s="46"/>
      <x:c r="B106" s="46"/>
      <x:c r="C106" s="46"/>
      <x:c r="D106" s="46"/>
      <x:c r="E106" s="46"/>
      <x:c r="F106" s="46"/>
      <x:c r="G106" s="46"/>
      <x:c r="H106" s="46"/>
      <x:c r="I106" s="46"/>
      <x:c r="J106" s="46"/>
      <x:c r="K106" s="46"/>
      <x:c r="L106" s="46"/>
      <x:c r="M106" s="46"/>
      <x:c r="N106" s="46"/>
      <x:c r="O106" s="46"/>
      <x:c r="P106" s="46"/>
      <x:c r="Q106" s="46"/>
      <x:c r="R106" s="46"/>
      <x:c r="S106" s="46"/>
      <x:c r="T106" s="46"/>
      <x:c r="U106" s="46"/>
      <x:c r="V106" s="46"/>
      <x:c r="W106" s="46"/>
    </x:row>
    <x:row r="107">
      <x:c r="A107" s="46"/>
      <x:c r="B107" s="46"/>
      <x:c r="C107" s="46"/>
      <x:c r="D107" s="46"/>
      <x:c r="E107" s="46"/>
      <x:c r="F107" s="46"/>
      <x:c r="G107" s="46"/>
      <x:c r="H107" s="46"/>
      <x:c r="I107" s="46"/>
      <x:c r="J107" s="46"/>
      <x:c r="K107" s="46"/>
      <x:c r="L107" s="46"/>
      <x:c r="M107" s="46"/>
      <x:c r="N107" s="46"/>
      <x:c r="O107" s="46"/>
      <x:c r="P107" s="46"/>
      <x:c r="Q107" s="46"/>
      <x:c r="R107" s="46"/>
      <x:c r="S107" s="46"/>
      <x:c r="T107" s="46"/>
      <x:c r="U107" s="46"/>
      <x:c r="V107" s="46"/>
      <x:c r="W107" s="46"/>
    </x:row>
    <x:row r="108">
      <x:c r="A108" s="46"/>
      <x:c r="B108" s="46"/>
      <x:c r="C108" s="46"/>
      <x:c r="D108" s="46"/>
      <x:c r="E108" s="46"/>
      <x:c r="F108" s="46"/>
      <x:c r="G108" s="46"/>
      <x:c r="H108" s="46"/>
      <x:c r="I108" s="46"/>
      <x:c r="J108" s="46"/>
      <x:c r="K108" s="46"/>
      <x:c r="L108" s="46"/>
      <x:c r="M108" s="46"/>
      <x:c r="N108" s="46"/>
      <x:c r="O108" s="46"/>
      <x:c r="P108" s="46"/>
      <x:c r="Q108" s="46"/>
      <x:c r="R108" s="46"/>
      <x:c r="S108" s="46"/>
      <x:c r="T108" s="46"/>
      <x:c r="U108" s="46"/>
      <x:c r="V108" s="46"/>
      <x:c r="W108" s="46"/>
    </x:row>
    <x:row r="109">
      <x:c r="A109" s="46"/>
      <x:c r="B109" s="46"/>
      <x:c r="C109" s="46"/>
      <x:c r="D109" s="46"/>
      <x:c r="E109" s="46"/>
      <x:c r="F109" s="46"/>
      <x:c r="G109" s="46"/>
      <x:c r="H109" s="46"/>
      <x:c r="I109" s="46"/>
      <x:c r="J109" s="46"/>
      <x:c r="K109" s="46"/>
      <x:c r="L109" s="46"/>
      <x:c r="M109" s="46"/>
      <x:c r="N109" s="46"/>
      <x:c r="O109" s="46"/>
      <x:c r="P109" s="46"/>
      <x:c r="Q109" s="46"/>
      <x:c r="R109" s="46"/>
      <x:c r="S109" s="46"/>
      <x:c r="T109" s="46"/>
      <x:c r="U109" s="46"/>
      <x:c r="V109" s="46"/>
      <x:c r="W109" s="46"/>
    </x:row>
    <x:row r="110">
      <x:c r="A110" s="46"/>
      <x:c r="B110" s="46"/>
      <x:c r="C110" s="46"/>
      <x:c r="D110" s="46"/>
      <x:c r="E110" s="46"/>
      <x:c r="F110" s="46"/>
      <x:c r="G110" s="46"/>
      <x:c r="H110" s="46"/>
      <x:c r="I110" s="46"/>
      <x:c r="J110" s="46"/>
      <x:c r="K110" s="46"/>
      <x:c r="L110" s="46"/>
      <x:c r="M110" s="46"/>
      <x:c r="N110" s="46"/>
      <x:c r="O110" s="46"/>
      <x:c r="P110" s="46"/>
      <x:c r="Q110" s="46"/>
      <x:c r="R110" s="46"/>
      <x:c r="S110" s="46"/>
      <x:c r="T110" s="46"/>
      <x:c r="U110" s="46"/>
      <x:c r="V110" s="46"/>
      <x:c r="W110" s="46"/>
    </x:row>
    <x:row r="111">
      <x:c r="A111" s="46"/>
      <x:c r="B111" s="46"/>
      <x:c r="C111" s="46"/>
      <x:c r="D111" s="46"/>
      <x:c r="E111" s="46"/>
      <x:c r="F111" s="46"/>
      <x:c r="G111" s="46"/>
      <x:c r="H111" s="46"/>
      <x:c r="I111" s="46"/>
      <x:c r="J111" s="46"/>
      <x:c r="K111" s="46"/>
      <x:c r="L111" s="46"/>
      <x:c r="M111" s="46"/>
      <x:c r="N111" s="46"/>
      <x:c r="O111" s="46"/>
      <x:c r="P111" s="46"/>
      <x:c r="Q111" s="46"/>
      <x:c r="R111" s="46"/>
      <x:c r="S111" s="46"/>
      <x:c r="T111" s="46"/>
      <x:c r="U111" s="46"/>
      <x:c r="V111" s="46"/>
      <x:c r="W111" s="46"/>
    </x:row>
    <x:row r="112">
      <x:c r="A112" s="46"/>
      <x:c r="B112" s="46"/>
      <x:c r="C112" s="46"/>
      <x:c r="D112" s="46"/>
      <x:c r="E112" s="46"/>
      <x:c r="F112" s="46"/>
      <x:c r="G112" s="46"/>
      <x:c r="H112" s="46"/>
      <x:c r="I112" s="46"/>
      <x:c r="J112" s="46"/>
      <x:c r="K112" s="46"/>
      <x:c r="L112" s="46"/>
      <x:c r="M112" s="46"/>
      <x:c r="N112" s="46"/>
      <x:c r="O112" s="46"/>
      <x:c r="P112" s="46"/>
      <x:c r="Q112" s="46"/>
      <x:c r="R112" s="46"/>
      <x:c r="S112" s="46"/>
      <x:c r="T112" s="46"/>
      <x:c r="U112" s="46"/>
      <x:c r="V112" s="46"/>
      <x:c r="W112" s="46"/>
    </x:row>
    <x:row r="113">
      <x:c r="A113" s="46"/>
      <x:c r="B113" s="46"/>
      <x:c r="C113" s="46"/>
      <x:c r="D113" s="46"/>
      <x:c r="E113" s="46"/>
      <x:c r="F113" s="46"/>
      <x:c r="G113" s="46"/>
      <x:c r="H113" s="46"/>
      <x:c r="I113" s="46"/>
      <x:c r="J113" s="46"/>
      <x:c r="K113" s="46"/>
      <x:c r="L113" s="46"/>
      <x:c r="M113" s="46"/>
      <x:c r="N113" s="46"/>
      <x:c r="O113" s="46"/>
      <x:c r="P113" s="46"/>
      <x:c r="Q113" s="46"/>
      <x:c r="R113" s="46"/>
      <x:c r="S113" s="46"/>
      <x:c r="T113" s="46"/>
      <x:c r="U113" s="46"/>
      <x:c r="V113" s="46"/>
      <x:c r="W113" s="46"/>
    </x:row>
    <x:row r="114">
      <x:c r="A114" s="46"/>
      <x:c r="B114" s="46"/>
      <x:c r="C114" s="46"/>
      <x:c r="D114" s="46"/>
      <x:c r="E114" s="46"/>
      <x:c r="F114" s="46"/>
      <x:c r="G114" s="46"/>
      <x:c r="H114" s="46"/>
      <x:c r="I114" s="46"/>
      <x:c r="J114" s="46"/>
      <x:c r="K114" s="46"/>
      <x:c r="L114" s="46"/>
      <x:c r="M114" s="46"/>
      <x:c r="N114" s="46"/>
      <x:c r="O114" s="46"/>
      <x:c r="P114" s="46"/>
      <x:c r="Q114" s="46"/>
      <x:c r="R114" s="46"/>
      <x:c r="S114" s="46"/>
      <x:c r="T114" s="46"/>
      <x:c r="U114" s="46"/>
      <x:c r="V114" s="46"/>
      <x:c r="W114" s="46"/>
    </x:row>
    <x:row r="115">
      <x:c r="A115" s="46"/>
      <x:c r="B115" s="46"/>
      <x:c r="C115" s="46"/>
      <x:c r="D115" s="46"/>
      <x:c r="E115" s="46"/>
      <x:c r="F115" s="46"/>
      <x:c r="G115" s="46"/>
      <x:c r="H115" s="46"/>
      <x:c r="I115" s="46"/>
      <x:c r="J115" s="46"/>
      <x:c r="K115" s="46"/>
      <x:c r="L115" s="46"/>
      <x:c r="M115" s="46"/>
      <x:c r="N115" s="46"/>
      <x:c r="O115" s="46"/>
      <x:c r="P115" s="46"/>
      <x:c r="Q115" s="46"/>
      <x:c r="R115" s="46"/>
      <x:c r="S115" s="46"/>
      <x:c r="T115" s="46"/>
      <x:c r="U115" s="46"/>
      <x:c r="V115" s="46"/>
      <x:c r="W115" s="46"/>
    </x:row>
    <x:row r="116">
      <x:c r="A116" s="46"/>
      <x:c r="B116" s="46"/>
      <x:c r="C116" s="46"/>
      <x:c r="D116" s="46"/>
      <x:c r="E116" s="46"/>
      <x:c r="F116" s="46"/>
      <x:c r="G116" s="46"/>
      <x:c r="H116" s="46"/>
      <x:c r="I116" s="46"/>
      <x:c r="J116" s="46"/>
      <x:c r="K116" s="46"/>
      <x:c r="L116" s="46"/>
      <x:c r="M116" s="46"/>
      <x:c r="N116" s="46"/>
      <x:c r="O116" s="46"/>
      <x:c r="P116" s="46"/>
      <x:c r="Q116" s="46"/>
      <x:c r="R116" s="46"/>
      <x:c r="S116" s="46"/>
      <x:c r="T116" s="46"/>
      <x:c r="U116" s="46"/>
      <x:c r="V116" s="46"/>
      <x:c r="W116" s="46"/>
    </x:row>
    <x:row r="117">
      <x:c r="A117" s="46"/>
      <x:c r="B117" s="46"/>
      <x:c r="C117" s="46"/>
      <x:c r="D117" s="46"/>
      <x:c r="E117" s="46"/>
      <x:c r="F117" s="46"/>
      <x:c r="G117" s="46"/>
      <x:c r="H117" s="46"/>
      <x:c r="I117" s="46"/>
      <x:c r="J117" s="46"/>
      <x:c r="K117" s="46"/>
      <x:c r="L117" s="46"/>
      <x:c r="M117" s="46"/>
      <x:c r="N117" s="46"/>
      <x:c r="O117" s="46"/>
      <x:c r="P117" s="46"/>
      <x:c r="Q117" s="46"/>
      <x:c r="R117" s="46"/>
      <x:c r="S117" s="46"/>
      <x:c r="T117" s="46"/>
      <x:c r="U117" s="46"/>
      <x:c r="V117" s="46"/>
      <x:c r="W117" s="46"/>
    </x:row>
    <x:row r="118">
      <x:c r="A118" s="46"/>
      <x:c r="B118" s="46"/>
      <x:c r="C118" s="46"/>
      <x:c r="D118" s="46"/>
      <x:c r="E118" s="46"/>
      <x:c r="F118" s="46"/>
      <x:c r="G118" s="46"/>
      <x:c r="H118" s="46"/>
      <x:c r="I118" s="46"/>
      <x:c r="J118" s="46"/>
      <x:c r="K118" s="46"/>
      <x:c r="L118" s="46"/>
      <x:c r="M118" s="46"/>
      <x:c r="N118" s="46"/>
      <x:c r="O118" s="46"/>
      <x:c r="P118" s="46"/>
      <x:c r="Q118" s="46"/>
      <x:c r="R118" s="46"/>
      <x:c r="S118" s="46"/>
      <x:c r="T118" s="46"/>
      <x:c r="U118" s="46"/>
      <x:c r="V118" s="46"/>
      <x:c r="W118" s="46"/>
    </x:row>
    <x:row r="119">
      <x:c r="A119" s="46"/>
      <x:c r="B119" s="46"/>
      <x:c r="C119" s="46"/>
      <x:c r="D119" s="46"/>
      <x:c r="E119" s="46"/>
      <x:c r="F119" s="46"/>
      <x:c r="G119" s="46"/>
      <x:c r="H119" s="46"/>
      <x:c r="I119" s="46"/>
      <x:c r="J119" s="46"/>
      <x:c r="K119" s="46"/>
      <x:c r="L119" s="46"/>
      <x:c r="M119" s="46"/>
      <x:c r="N119" s="46"/>
      <x:c r="O119" s="46"/>
      <x:c r="P119" s="46"/>
      <x:c r="Q119" s="46"/>
      <x:c r="R119" s="46"/>
      <x:c r="S119" s="46"/>
      <x:c r="T119" s="46"/>
      <x:c r="U119" s="46"/>
      <x:c r="V119" s="46"/>
      <x:c r="W119" s="46"/>
    </x:row>
    <x:row r="120">
      <x:c r="A120" s="46"/>
      <x:c r="B120" s="46"/>
      <x:c r="C120" s="46"/>
      <x:c r="D120" s="46"/>
      <x:c r="E120" s="46"/>
      <x:c r="F120" s="46"/>
      <x:c r="G120" s="46"/>
      <x:c r="H120" s="46"/>
      <x:c r="I120" s="46"/>
      <x:c r="J120" s="46"/>
      <x:c r="K120" s="46"/>
      <x:c r="L120" s="46"/>
      <x:c r="M120" s="46"/>
      <x:c r="N120" s="46"/>
      <x:c r="O120" s="46"/>
      <x:c r="P120" s="46"/>
      <x:c r="Q120" s="46"/>
      <x:c r="R120" s="46"/>
      <x:c r="S120" s="46"/>
      <x:c r="T120" s="46"/>
      <x:c r="U120" s="46"/>
      <x:c r="V120" s="46"/>
      <x:c r="W120" s="46"/>
    </x:row>
    <x:row r="121">
      <x:c r="A121" s="46"/>
      <x:c r="B121" s="46"/>
      <x:c r="C121" s="46"/>
      <x:c r="D121" s="46"/>
      <x:c r="E121" s="46"/>
      <x:c r="F121" s="46"/>
      <x:c r="G121" s="46"/>
      <x:c r="H121" s="46"/>
      <x:c r="I121" s="46"/>
      <x:c r="J121" s="46"/>
      <x:c r="K121" s="46"/>
      <x:c r="L121" s="46"/>
      <x:c r="M121" s="46"/>
      <x:c r="N121" s="46"/>
      <x:c r="O121" s="46"/>
      <x:c r="P121" s="46"/>
      <x:c r="Q121" s="46"/>
      <x:c r="R121" s="46"/>
      <x:c r="S121" s="46"/>
      <x:c r="T121" s="46"/>
      <x:c r="U121" s="46"/>
      <x:c r="V121" s="46"/>
      <x:c r="W121" s="46"/>
    </x:row>
    <x:row r="122">
      <x:c r="A122" s="46"/>
      <x:c r="B122" s="46"/>
      <x:c r="C122" s="46"/>
      <x:c r="D122" s="46"/>
      <x:c r="E122" s="46"/>
      <x:c r="F122" s="46"/>
      <x:c r="G122" s="46"/>
      <x:c r="H122" s="46"/>
      <x:c r="I122" s="46"/>
      <x:c r="J122" s="46"/>
      <x:c r="K122" s="46"/>
      <x:c r="L122" s="46"/>
      <x:c r="M122" s="46"/>
      <x:c r="N122" s="46"/>
      <x:c r="O122" s="46"/>
      <x:c r="P122" s="46"/>
      <x:c r="Q122" s="46"/>
      <x:c r="R122" s="46"/>
      <x:c r="S122" s="46"/>
      <x:c r="T122" s="46"/>
      <x:c r="U122" s="46"/>
      <x:c r="V122" s="46"/>
      <x:c r="W122" s="46"/>
    </x:row>
    <x:row r="123">
      <x:c r="A123" s="46"/>
      <x:c r="B123" s="46"/>
      <x:c r="C123" s="46"/>
      <x:c r="D123" s="46"/>
      <x:c r="E123" s="46"/>
      <x:c r="F123" s="46"/>
      <x:c r="G123" s="46"/>
      <x:c r="H123" s="46"/>
      <x:c r="I123" s="46"/>
      <x:c r="J123" s="46"/>
      <x:c r="K123" s="46"/>
      <x:c r="L123" s="46"/>
      <x:c r="M123" s="46"/>
      <x:c r="N123" s="46"/>
      <x:c r="O123" s="46"/>
      <x:c r="P123" s="46"/>
      <x:c r="Q123" s="46"/>
      <x:c r="R123" s="46"/>
      <x:c r="S123" s="46"/>
      <x:c r="T123" s="46"/>
      <x:c r="U123" s="46"/>
      <x:c r="V123" s="46"/>
      <x:c r="W123" s="46"/>
    </x:row>
    <x:row r="124">
      <x:c r="A124" s="46"/>
      <x:c r="B124" s="46"/>
      <x:c r="C124" s="46"/>
      <x:c r="D124" s="46"/>
      <x:c r="E124" s="46"/>
      <x:c r="F124" s="46"/>
      <x:c r="G124" s="46"/>
      <x:c r="H124" s="46"/>
      <x:c r="I124" s="46"/>
      <x:c r="J124" s="46"/>
      <x:c r="K124" s="46"/>
      <x:c r="L124" s="46"/>
      <x:c r="M124" s="46"/>
      <x:c r="N124" s="46"/>
      <x:c r="O124" s="46"/>
      <x:c r="P124" s="46"/>
      <x:c r="Q124" s="46"/>
      <x:c r="R124" s="46"/>
      <x:c r="S124" s="46"/>
      <x:c r="T124" s="46"/>
      <x:c r="U124" s="46"/>
      <x:c r="V124" s="46"/>
      <x:c r="W124" s="46"/>
    </x:row>
    <x:row r="125">
      <x:c r="A125" s="46"/>
      <x:c r="B125" s="46"/>
      <x:c r="C125" s="46"/>
      <x:c r="D125" s="46"/>
      <x:c r="E125" s="46"/>
      <x:c r="F125" s="46"/>
      <x:c r="G125" s="46"/>
      <x:c r="H125" s="46"/>
      <x:c r="I125" s="46"/>
      <x:c r="J125" s="46"/>
      <x:c r="K125" s="46"/>
      <x:c r="L125" s="46"/>
      <x:c r="M125" s="46"/>
      <x:c r="N125" s="46"/>
      <x:c r="O125" s="46"/>
      <x:c r="P125" s="46"/>
      <x:c r="Q125" s="46"/>
      <x:c r="R125" s="46"/>
      <x:c r="S125" s="46"/>
      <x:c r="T125" s="46"/>
      <x:c r="U125" s="46"/>
      <x:c r="V125" s="46"/>
      <x:c r="W125" s="46"/>
    </x:row>
    <x:row r="126">
      <x:c r="A126" s="46"/>
      <x:c r="B126" s="46"/>
      <x:c r="C126" s="46"/>
      <x:c r="D126" s="46"/>
      <x:c r="E126" s="46"/>
      <x:c r="F126" s="46"/>
      <x:c r="G126" s="46"/>
      <x:c r="H126" s="46"/>
      <x:c r="I126" s="46"/>
      <x:c r="J126" s="46"/>
      <x:c r="K126" s="46"/>
      <x:c r="L126" s="46"/>
      <x:c r="M126" s="46"/>
      <x:c r="N126" s="46"/>
      <x:c r="O126" s="46"/>
      <x:c r="P126" s="46"/>
      <x:c r="Q126" s="46"/>
      <x:c r="R126" s="46"/>
      <x:c r="S126" s="46"/>
      <x:c r="T126" s="46"/>
      <x:c r="U126" s="46"/>
      <x:c r="V126" s="46"/>
      <x:c r="W126" s="46"/>
    </x:row>
    <x:row r="127">
      <x:c r="A127" s="46"/>
      <x:c r="B127" s="46"/>
      <x:c r="C127" s="46"/>
      <x:c r="D127" s="46"/>
      <x:c r="E127" s="46"/>
      <x:c r="F127" s="46"/>
      <x:c r="G127" s="46"/>
      <x:c r="H127" s="46"/>
      <x:c r="I127" s="46"/>
      <x:c r="J127" s="46"/>
      <x:c r="K127" s="46"/>
      <x:c r="L127" s="46"/>
      <x:c r="M127" s="46"/>
      <x:c r="N127" s="46"/>
      <x:c r="O127" s="46"/>
      <x:c r="P127" s="46"/>
      <x:c r="Q127" s="46"/>
      <x:c r="R127" s="46"/>
      <x:c r="S127" s="46"/>
      <x:c r="T127" s="46"/>
      <x:c r="U127" s="46"/>
      <x:c r="V127" s="46"/>
      <x:c r="W127" s="46"/>
    </x:row>
    <x:row r="128">
      <x:c r="A128" s="46"/>
      <x:c r="B128" s="46"/>
      <x:c r="C128" s="46"/>
      <x:c r="D128" s="46"/>
      <x:c r="E128" s="46"/>
      <x:c r="F128" s="46"/>
      <x:c r="G128" s="46"/>
      <x:c r="H128" s="46"/>
      <x:c r="I128" s="46"/>
      <x:c r="J128" s="46"/>
      <x:c r="K128" s="46"/>
      <x:c r="L128" s="46"/>
      <x:c r="M128" s="46"/>
      <x:c r="N128" s="46"/>
      <x:c r="O128" s="46"/>
      <x:c r="P128" s="46"/>
      <x:c r="Q128" s="46"/>
      <x:c r="R128" s="46"/>
      <x:c r="S128" s="46"/>
      <x:c r="T128" s="46"/>
      <x:c r="U128" s="46"/>
      <x:c r="V128" s="46"/>
      <x:c r="W128" s="46"/>
    </x:row>
    <x:row r="129">
      <x:c r="A129" s="46"/>
      <x:c r="B129" s="46"/>
      <x:c r="C129" s="46"/>
      <x:c r="D129" s="46"/>
      <x:c r="E129" s="46"/>
      <x:c r="F129" s="46"/>
      <x:c r="G129" s="46"/>
      <x:c r="H129" s="46"/>
      <x:c r="I129" s="46"/>
      <x:c r="J129" s="46"/>
      <x:c r="K129" s="46"/>
      <x:c r="L129" s="46"/>
      <x:c r="M129" s="46"/>
      <x:c r="N129" s="46"/>
      <x:c r="O129" s="46"/>
      <x:c r="P129" s="46"/>
      <x:c r="Q129" s="46"/>
      <x:c r="R129" s="46"/>
      <x:c r="S129" s="46"/>
      <x:c r="T129" s="46"/>
      <x:c r="U129" s="46"/>
      <x:c r="V129" s="46"/>
      <x:c r="W129" s="46"/>
    </x:row>
    <x:row r="130">
      <x:c r="A130" s="46"/>
      <x:c r="B130" s="46"/>
      <x:c r="C130" s="46"/>
      <x:c r="D130" s="46"/>
      <x:c r="E130" s="46"/>
      <x:c r="F130" s="46"/>
      <x:c r="G130" s="46"/>
      <x:c r="H130" s="46"/>
      <x:c r="I130" s="46"/>
      <x:c r="J130" s="46"/>
      <x:c r="K130" s="46"/>
      <x:c r="L130" s="46"/>
      <x:c r="M130" s="46"/>
      <x:c r="N130" s="46"/>
      <x:c r="O130" s="46"/>
      <x:c r="P130" s="46"/>
      <x:c r="Q130" s="46"/>
      <x:c r="R130" s="46"/>
      <x:c r="S130" s="46"/>
      <x:c r="T130" s="46"/>
      <x:c r="U130" s="46"/>
      <x:c r="V130" s="46"/>
      <x:c r="W130" s="46"/>
    </x:row>
    <x:row r="131">
      <x:c r="A131" s="46"/>
      <x:c r="B131" s="46"/>
      <x:c r="C131" s="46"/>
      <x:c r="D131" s="46"/>
      <x:c r="E131" s="46"/>
      <x:c r="F131" s="46"/>
      <x:c r="G131" s="46"/>
      <x:c r="H131" s="46"/>
      <x:c r="I131" s="46"/>
      <x:c r="J131" s="46"/>
      <x:c r="K131" s="46"/>
      <x:c r="L131" s="46"/>
      <x:c r="M131" s="46"/>
      <x:c r="N131" s="46"/>
      <x:c r="O131" s="46"/>
      <x:c r="P131" s="46"/>
      <x:c r="Q131" s="46"/>
      <x:c r="R131" s="46"/>
      <x:c r="S131" s="46"/>
      <x:c r="T131" s="46"/>
      <x:c r="U131" s="46"/>
      <x:c r="V131" s="46"/>
      <x:c r="W131" s="46"/>
    </x:row>
    <x:row r="132">
      <x:c r="A132" s="46"/>
      <x:c r="B132" s="46"/>
      <x:c r="C132" s="46"/>
      <x:c r="D132" s="46"/>
      <x:c r="E132" s="46"/>
      <x:c r="F132" s="46"/>
      <x:c r="G132" s="46"/>
      <x:c r="H132" s="46"/>
      <x:c r="I132" s="46"/>
      <x:c r="J132" s="46"/>
      <x:c r="K132" s="46"/>
      <x:c r="L132" s="46"/>
      <x:c r="M132" s="46"/>
      <x:c r="N132" s="46"/>
      <x:c r="O132" s="46"/>
      <x:c r="P132" s="46"/>
      <x:c r="Q132" s="46"/>
      <x:c r="R132" s="46"/>
      <x:c r="S132" s="46"/>
      <x:c r="T132" s="46"/>
      <x:c r="U132" s="46"/>
      <x:c r="V132" s="46"/>
      <x:c r="W132" s="46"/>
    </x:row>
    <x:row r="133">
      <x:c r="A133" s="46"/>
      <x:c r="B133" s="46"/>
      <x:c r="C133" s="46"/>
      <x:c r="D133" s="46"/>
      <x:c r="E133" s="46"/>
      <x:c r="F133" s="46"/>
      <x:c r="G133" s="46"/>
      <x:c r="H133" s="46"/>
      <x:c r="I133" s="46"/>
      <x:c r="J133" s="46"/>
      <x:c r="K133" s="46"/>
      <x:c r="L133" s="46"/>
      <x:c r="M133" s="46"/>
      <x:c r="N133" s="46"/>
      <x:c r="O133" s="46"/>
      <x:c r="P133" s="46"/>
      <x:c r="Q133" s="46"/>
      <x:c r="R133" s="46"/>
      <x:c r="S133" s="46"/>
      <x:c r="T133" s="46"/>
      <x:c r="U133" s="46"/>
      <x:c r="V133" s="46"/>
      <x:c r="W133" s="46"/>
    </x:row>
    <x:row r="134">
      <x:c r="A134" s="46"/>
      <x:c r="B134" s="46"/>
      <x:c r="C134" s="46"/>
      <x:c r="D134" s="46"/>
      <x:c r="E134" s="46"/>
      <x:c r="F134" s="46"/>
      <x:c r="G134" s="46"/>
      <x:c r="H134" s="46"/>
      <x:c r="I134" s="46"/>
      <x:c r="J134" s="46"/>
      <x:c r="K134" s="46"/>
      <x:c r="L134" s="46"/>
      <x:c r="M134" s="46"/>
      <x:c r="N134" s="46"/>
      <x:c r="O134" s="46"/>
      <x:c r="P134" s="46"/>
      <x:c r="Q134" s="46"/>
      <x:c r="R134" s="46"/>
      <x:c r="S134" s="46"/>
      <x:c r="T134" s="46"/>
      <x:c r="U134" s="46"/>
      <x:c r="V134" s="46"/>
      <x:c r="W134" s="46"/>
    </x:row>
    <x:row r="135">
      <x:c r="A135" s="46"/>
      <x:c r="B135" s="46"/>
      <x:c r="C135" s="46"/>
      <x:c r="D135" s="46"/>
      <x:c r="E135" s="46"/>
      <x:c r="F135" s="46"/>
      <x:c r="G135" s="46"/>
      <x:c r="H135" s="46"/>
      <x:c r="I135" s="46"/>
      <x:c r="J135" s="46"/>
      <x:c r="K135" s="46"/>
      <x:c r="L135" s="46"/>
      <x:c r="M135" s="46"/>
      <x:c r="N135" s="46"/>
      <x:c r="O135" s="46"/>
      <x:c r="P135" s="46"/>
      <x:c r="Q135" s="46"/>
      <x:c r="R135" s="46"/>
      <x:c r="S135" s="46"/>
      <x:c r="T135" s="46"/>
      <x:c r="U135" s="46"/>
      <x:c r="V135" s="46"/>
      <x:c r="W135" s="46"/>
    </x:row>
    <x:row r="136">
      <x:c r="A136" s="46"/>
      <x:c r="B136" s="46"/>
      <x:c r="C136" s="46"/>
      <x:c r="D136" s="46"/>
      <x:c r="E136" s="46"/>
      <x:c r="F136" s="46"/>
      <x:c r="G136" s="46"/>
      <x:c r="H136" s="46"/>
      <x:c r="I136" s="46"/>
      <x:c r="J136" s="46"/>
      <x:c r="K136" s="46"/>
      <x:c r="L136" s="46"/>
      <x:c r="M136" s="46"/>
      <x:c r="N136" s="46"/>
      <x:c r="O136" s="46"/>
      <x:c r="P136" s="46"/>
      <x:c r="Q136" s="46"/>
      <x:c r="R136" s="46"/>
      <x:c r="S136" s="46"/>
      <x:c r="T136" s="46"/>
      <x:c r="U136" s="46"/>
      <x:c r="V136" s="46"/>
      <x:c r="W136" s="46"/>
    </x:row>
    <x:row r="137">
      <x:c r="A137" s="46"/>
      <x:c r="B137" s="46"/>
      <x:c r="C137" s="46"/>
      <x:c r="D137" s="46"/>
      <x:c r="E137" s="46"/>
      <x:c r="F137" s="46"/>
      <x:c r="G137" s="46"/>
      <x:c r="H137" s="46"/>
      <x:c r="I137" s="46"/>
      <x:c r="J137" s="46"/>
      <x:c r="K137" s="46"/>
      <x:c r="L137" s="46"/>
      <x:c r="M137" s="46"/>
      <x:c r="N137" s="46"/>
      <x:c r="O137" s="46"/>
      <x:c r="P137" s="46"/>
      <x:c r="Q137" s="46"/>
      <x:c r="R137" s="46"/>
      <x:c r="S137" s="46"/>
      <x:c r="T137" s="46"/>
      <x:c r="U137" s="46"/>
      <x:c r="V137" s="46"/>
      <x:c r="W137" s="46"/>
    </x:row>
    <x:row r="138">
      <x:c r="A138" s="46"/>
      <x:c r="B138" s="46"/>
      <x:c r="C138" s="46"/>
      <x:c r="D138" s="46"/>
      <x:c r="E138" s="46"/>
      <x:c r="F138" s="46"/>
      <x:c r="G138" s="46"/>
      <x:c r="H138" s="46"/>
      <x:c r="I138" s="46"/>
      <x:c r="J138" s="46"/>
      <x:c r="K138" s="46"/>
      <x:c r="L138" s="46"/>
      <x:c r="M138" s="46"/>
      <x:c r="N138" s="46"/>
      <x:c r="O138" s="46"/>
      <x:c r="P138" s="46"/>
      <x:c r="Q138" s="46"/>
      <x:c r="R138" s="46"/>
      <x:c r="S138" s="46"/>
      <x:c r="T138" s="46"/>
      <x:c r="U138" s="46"/>
      <x:c r="V138" s="46"/>
      <x:c r="W138" s="46"/>
    </x:row>
    <x:row r="139">
      <x:c r="A139" s="46"/>
      <x:c r="B139" s="46"/>
      <x:c r="C139" s="46"/>
      <x:c r="D139" s="46"/>
      <x:c r="E139" s="46"/>
      <x:c r="F139" s="46"/>
      <x:c r="G139" s="46"/>
      <x:c r="H139" s="46"/>
      <x:c r="I139" s="46"/>
      <x:c r="J139" s="46"/>
      <x:c r="K139" s="46"/>
      <x:c r="L139" s="46"/>
      <x:c r="M139" s="46"/>
      <x:c r="N139" s="46"/>
      <x:c r="O139" s="46"/>
      <x:c r="P139" s="46"/>
      <x:c r="Q139" s="46"/>
      <x:c r="R139" s="46"/>
      <x:c r="S139" s="46"/>
      <x:c r="T139" s="46"/>
      <x:c r="U139" s="46"/>
      <x:c r="V139" s="46"/>
      <x:c r="W139" s="46"/>
    </x:row>
    <x:row r="140">
      <x:c r="A140" s="46"/>
      <x:c r="B140" s="46"/>
      <x:c r="C140" s="46"/>
      <x:c r="D140" s="46"/>
      <x:c r="E140" s="46"/>
      <x:c r="F140" s="46"/>
      <x:c r="G140" s="46"/>
      <x:c r="H140" s="46"/>
      <x:c r="I140" s="46"/>
      <x:c r="J140" s="46"/>
      <x:c r="K140" s="46"/>
      <x:c r="L140" s="46"/>
      <x:c r="M140" s="46"/>
      <x:c r="N140" s="46"/>
      <x:c r="O140" s="46"/>
      <x:c r="P140" s="46"/>
      <x:c r="Q140" s="46"/>
      <x:c r="R140" s="46"/>
      <x:c r="S140" s="46"/>
      <x:c r="T140" s="46"/>
      <x:c r="U140" s="46"/>
      <x:c r="V140" s="46"/>
      <x:c r="W140" s="46"/>
    </x:row>
    <x:row r="141">
      <x:c r="A141" s="46"/>
      <x:c r="B141" s="46"/>
      <x:c r="C141" s="46"/>
      <x:c r="D141" s="46"/>
      <x:c r="E141" s="46"/>
      <x:c r="F141" s="46"/>
      <x:c r="G141" s="46"/>
      <x:c r="H141" s="46"/>
      <x:c r="I141" s="46"/>
      <x:c r="J141" s="46"/>
      <x:c r="K141" s="46"/>
      <x:c r="L141" s="46"/>
      <x:c r="M141" s="46"/>
      <x:c r="N141" s="46"/>
      <x:c r="O141" s="46"/>
      <x:c r="P141" s="46"/>
      <x:c r="Q141" s="46"/>
      <x:c r="R141" s="46"/>
      <x:c r="S141" s="46"/>
      <x:c r="T141" s="46"/>
      <x:c r="U141" s="46"/>
      <x:c r="V141" s="46"/>
      <x:c r="W141" s="46"/>
    </x:row>
    <x:row r="142">
      <x:c r="A142" s="46"/>
      <x:c r="B142" s="46"/>
      <x:c r="C142" s="46"/>
      <x:c r="D142" s="46"/>
      <x:c r="E142" s="46"/>
      <x:c r="F142" s="46"/>
      <x:c r="G142" s="46"/>
      <x:c r="H142" s="46"/>
      <x:c r="I142" s="46"/>
      <x:c r="J142" s="46"/>
      <x:c r="K142" s="46"/>
      <x:c r="L142" s="46"/>
      <x:c r="M142" s="46"/>
      <x:c r="N142" s="46"/>
      <x:c r="O142" s="46"/>
      <x:c r="P142" s="46"/>
      <x:c r="Q142" s="46"/>
      <x:c r="R142" s="46"/>
      <x:c r="S142" s="46"/>
      <x:c r="T142" s="46"/>
      <x:c r="U142" s="46"/>
      <x:c r="V142" s="46"/>
      <x:c r="W142" s="46"/>
    </x:row>
    <x:row r="143">
      <x:c r="A143" s="46"/>
      <x:c r="B143" s="46"/>
      <x:c r="C143" s="46"/>
      <x:c r="D143" s="46"/>
      <x:c r="E143" s="46"/>
      <x:c r="F143" s="46"/>
      <x:c r="G143" s="46"/>
      <x:c r="H143" s="46"/>
      <x:c r="I143" s="46"/>
      <x:c r="J143" s="46"/>
      <x:c r="K143" s="46"/>
      <x:c r="L143" s="46"/>
      <x:c r="M143" s="46"/>
      <x:c r="N143" s="46"/>
      <x:c r="O143" s="46"/>
      <x:c r="P143" s="46"/>
      <x:c r="Q143" s="46"/>
      <x:c r="R143" s="46"/>
      <x:c r="S143" s="46"/>
      <x:c r="T143" s="46"/>
      <x:c r="U143" s="46"/>
      <x:c r="V143" s="46"/>
      <x:c r="W143" s="46"/>
    </x:row>
    <x:row r="144">
      <x:c r="A144" s="46"/>
      <x:c r="B144" s="46"/>
      <x:c r="C144" s="46"/>
      <x:c r="D144" s="46"/>
      <x:c r="E144" s="46"/>
      <x:c r="F144" s="46"/>
      <x:c r="G144" s="46"/>
      <x:c r="H144" s="46"/>
      <x:c r="I144" s="46"/>
      <x:c r="J144" s="46"/>
      <x:c r="K144" s="46"/>
      <x:c r="L144" s="46"/>
      <x:c r="M144" s="46"/>
      <x:c r="N144" s="46"/>
      <x:c r="O144" s="46"/>
      <x:c r="P144" s="46"/>
      <x:c r="Q144" s="46"/>
      <x:c r="R144" s="46"/>
      <x:c r="S144" s="46"/>
      <x:c r="T144" s="46"/>
      <x:c r="U144" s="46"/>
      <x:c r="V144" s="46"/>
      <x:c r="W144" s="46"/>
    </x:row>
    <x:row r="145">
      <x:c r="A145" s="46"/>
      <x:c r="B145" s="46"/>
      <x:c r="C145" s="46"/>
      <x:c r="D145" s="46"/>
      <x:c r="E145" s="46"/>
      <x:c r="F145" s="46"/>
      <x:c r="G145" s="46"/>
      <x:c r="H145" s="46"/>
      <x:c r="I145" s="46"/>
      <x:c r="J145" s="46"/>
      <x:c r="K145" s="46"/>
      <x:c r="L145" s="46"/>
      <x:c r="M145" s="46"/>
      <x:c r="N145" s="46"/>
      <x:c r="O145" s="46"/>
      <x:c r="P145" s="46"/>
      <x:c r="Q145" s="46"/>
      <x:c r="R145" s="46"/>
      <x:c r="S145" s="46"/>
      <x:c r="T145" s="46"/>
      <x:c r="U145" s="46"/>
      <x:c r="V145" s="46"/>
      <x:c r="W145" s="46"/>
    </x:row>
    <x:row r="146">
      <x:c r="A146" s="46"/>
      <x:c r="B146" s="46"/>
      <x:c r="C146" s="46"/>
      <x:c r="D146" s="46"/>
      <x:c r="E146" s="46"/>
      <x:c r="F146" s="46"/>
      <x:c r="G146" s="46"/>
      <x:c r="H146" s="46"/>
      <x:c r="I146" s="46"/>
      <x:c r="J146" s="46"/>
      <x:c r="K146" s="46"/>
      <x:c r="L146" s="46"/>
      <x:c r="M146" s="46"/>
      <x:c r="N146" s="46"/>
      <x:c r="O146" s="46"/>
      <x:c r="P146" s="46"/>
      <x:c r="Q146" s="46"/>
      <x:c r="R146" s="46"/>
      <x:c r="S146" s="46"/>
      <x:c r="T146" s="46"/>
      <x:c r="U146" s="46"/>
      <x:c r="V146" s="46"/>
      <x:c r="W146" s="46"/>
    </x:row>
    <x:row r="147">
      <x:c r="A147" s="46"/>
      <x:c r="B147" s="46"/>
      <x:c r="C147" s="46"/>
      <x:c r="D147" s="46"/>
      <x:c r="E147" s="46"/>
      <x:c r="F147" s="46"/>
      <x:c r="G147" s="46"/>
      <x:c r="H147" s="46"/>
      <x:c r="I147" s="46"/>
      <x:c r="J147" s="46"/>
      <x:c r="K147" s="46"/>
      <x:c r="L147" s="46"/>
      <x:c r="M147" s="46"/>
      <x:c r="N147" s="46"/>
      <x:c r="O147" s="46"/>
      <x:c r="P147" s="46"/>
      <x:c r="Q147" s="46"/>
      <x:c r="R147" s="46"/>
      <x:c r="S147" s="46"/>
      <x:c r="T147" s="46"/>
      <x:c r="U147" s="46"/>
      <x:c r="V147" s="46"/>
      <x:c r="W147" s="46"/>
    </x:row>
    <x:row r="148">
      <x:c r="A148" s="46"/>
      <x:c r="B148" s="46"/>
      <x:c r="C148" s="46"/>
      <x:c r="D148" s="46"/>
      <x:c r="E148" s="46"/>
      <x:c r="F148" s="46"/>
      <x:c r="G148" s="46"/>
      <x:c r="H148" s="46"/>
      <x:c r="I148" s="46"/>
      <x:c r="J148" s="46"/>
      <x:c r="K148" s="46"/>
      <x:c r="L148" s="46"/>
      <x:c r="M148" s="46"/>
      <x:c r="N148" s="46"/>
      <x:c r="O148" s="46"/>
      <x:c r="P148" s="46"/>
      <x:c r="Q148" s="46"/>
      <x:c r="R148" s="46"/>
      <x:c r="S148" s="46"/>
      <x:c r="T148" s="46"/>
      <x:c r="U148" s="46"/>
      <x:c r="V148" s="46"/>
      <x:c r="W148" s="46"/>
    </x:row>
    <x:row r="149">
      <x:c r="A149" s="46"/>
      <x:c r="B149" s="46"/>
      <x:c r="C149" s="46"/>
      <x:c r="D149" s="46"/>
      <x:c r="E149" s="46"/>
      <x:c r="F149" s="46"/>
      <x:c r="G149" s="46"/>
      <x:c r="H149" s="46"/>
      <x:c r="I149" s="46"/>
      <x:c r="J149" s="46"/>
      <x:c r="K149" s="46"/>
      <x:c r="L149" s="46"/>
      <x:c r="M149" s="46"/>
      <x:c r="N149" s="46"/>
      <x:c r="O149" s="46"/>
      <x:c r="P149" s="46"/>
      <x:c r="Q149" s="46"/>
      <x:c r="R149" s="46"/>
      <x:c r="S149" s="46"/>
      <x:c r="T149" s="46"/>
      <x:c r="U149" s="46"/>
      <x:c r="V149" s="46"/>
      <x:c r="W149" s="46"/>
    </x:row>
    <x:row r="150">
      <x:c r="A150" s="46"/>
      <x:c r="B150" s="46"/>
      <x:c r="C150" s="46"/>
      <x:c r="D150" s="46"/>
      <x:c r="E150" s="46"/>
      <x:c r="F150" s="46"/>
      <x:c r="G150" s="46"/>
      <x:c r="H150" s="46"/>
      <x:c r="I150" s="46"/>
      <x:c r="J150" s="46"/>
      <x:c r="K150" s="46"/>
      <x:c r="L150" s="46"/>
      <x:c r="M150" s="46"/>
      <x:c r="N150" s="46"/>
      <x:c r="O150" s="46"/>
      <x:c r="P150" s="46"/>
      <x:c r="Q150" s="46"/>
      <x:c r="R150" s="46"/>
      <x:c r="S150" s="46"/>
      <x:c r="T150" s="46"/>
      <x:c r="U150" s="46"/>
      <x:c r="V150" s="46"/>
      <x:c r="W150" s="46"/>
    </x:row>
    <x:row r="151">
      <x:c r="A151" s="46"/>
      <x:c r="B151" s="46"/>
      <x:c r="C151" s="46"/>
      <x:c r="D151" s="46"/>
      <x:c r="E151" s="46"/>
      <x:c r="F151" s="46"/>
      <x:c r="G151" s="46"/>
      <x:c r="H151" s="46"/>
      <x:c r="I151" s="46"/>
      <x:c r="J151" s="46"/>
      <x:c r="K151" s="46"/>
      <x:c r="L151" s="46"/>
      <x:c r="M151" s="46"/>
      <x:c r="N151" s="46"/>
      <x:c r="O151" s="46"/>
      <x:c r="P151" s="46"/>
      <x:c r="Q151" s="46"/>
      <x:c r="R151" s="46"/>
      <x:c r="S151" s="46"/>
      <x:c r="T151" s="46"/>
      <x:c r="U151" s="46"/>
      <x:c r="V151" s="46"/>
      <x:c r="W151" s="46"/>
    </x:row>
    <x:row r="152">
      <x:c r="A152" s="46"/>
      <x:c r="B152" s="46"/>
      <x:c r="C152" s="46"/>
      <x:c r="D152" s="46"/>
      <x:c r="E152" s="46"/>
      <x:c r="F152" s="46"/>
      <x:c r="G152" s="46"/>
      <x:c r="H152" s="46"/>
      <x:c r="I152" s="46"/>
      <x:c r="J152" s="46"/>
      <x:c r="K152" s="46"/>
      <x:c r="L152" s="46"/>
      <x:c r="M152" s="46"/>
      <x:c r="N152" s="46"/>
      <x:c r="O152" s="46"/>
      <x:c r="P152" s="46"/>
      <x:c r="Q152" s="46"/>
      <x:c r="R152" s="46"/>
      <x:c r="S152" s="46"/>
      <x:c r="T152" s="46"/>
      <x:c r="U152" s="46"/>
      <x:c r="V152" s="46"/>
      <x:c r="W152" s="46"/>
    </x:row>
    <x:row r="153">
      <x:c r="A153" s="46"/>
      <x:c r="B153" s="46"/>
      <x:c r="C153" s="46"/>
      <x:c r="D153" s="46"/>
      <x:c r="E153" s="46"/>
      <x:c r="F153" s="46"/>
      <x:c r="G153" s="46"/>
      <x:c r="H153" s="46"/>
      <x:c r="I153" s="46"/>
      <x:c r="J153" s="46"/>
      <x:c r="K153" s="46"/>
      <x:c r="L153" s="46"/>
      <x:c r="M153" s="46"/>
      <x:c r="N153" s="46"/>
      <x:c r="O153" s="46"/>
      <x:c r="P153" s="46"/>
      <x:c r="Q153" s="46"/>
      <x:c r="R153" s="46"/>
      <x:c r="S153" s="46"/>
      <x:c r="T153" s="46"/>
      <x:c r="U153" s="46"/>
      <x:c r="V153" s="46"/>
      <x:c r="W153" s="46"/>
    </x:row>
    <x:row r="154">
      <x:c r="A154" s="46"/>
      <x:c r="B154" s="46"/>
      <x:c r="C154" s="46"/>
      <x:c r="D154" s="46"/>
      <x:c r="E154" s="46"/>
      <x:c r="F154" s="46"/>
      <x:c r="G154" s="46"/>
      <x:c r="H154" s="46"/>
      <x:c r="I154" s="46"/>
      <x:c r="J154" s="46"/>
      <x:c r="K154" s="46"/>
      <x:c r="L154" s="46"/>
      <x:c r="M154" s="46"/>
      <x:c r="N154" s="46"/>
      <x:c r="O154" s="46"/>
      <x:c r="P154" s="46"/>
      <x:c r="Q154" s="46"/>
      <x:c r="R154" s="46"/>
      <x:c r="S154" s="46"/>
      <x:c r="T154" s="46"/>
      <x:c r="U154" s="46"/>
      <x:c r="V154" s="46"/>
      <x:c r="W154" s="46"/>
    </x:row>
    <x:row r="155">
      <x:c r="A155" s="46"/>
      <x:c r="B155" s="46"/>
      <x:c r="C155" s="46"/>
      <x:c r="D155" s="46"/>
      <x:c r="E155" s="46"/>
      <x:c r="F155" s="46"/>
      <x:c r="G155" s="46"/>
      <x:c r="H155" s="46"/>
      <x:c r="I155" s="46"/>
      <x:c r="J155" s="46"/>
      <x:c r="K155" s="46"/>
      <x:c r="L155" s="46"/>
      <x:c r="M155" s="46"/>
      <x:c r="N155" s="46"/>
      <x:c r="O155" s="46"/>
      <x:c r="P155" s="46"/>
      <x:c r="Q155" s="46"/>
      <x:c r="R155" s="46"/>
      <x:c r="S155" s="46"/>
      <x:c r="T155" s="46"/>
      <x:c r="U155" s="46"/>
      <x:c r="V155" s="46"/>
      <x:c r="W155" s="46"/>
    </x:row>
    <x:row r="156">
      <x:c r="A156" s="46"/>
      <x:c r="B156" s="46"/>
      <x:c r="C156" s="46"/>
      <x:c r="D156" s="46"/>
      <x:c r="E156" s="46"/>
      <x:c r="F156" s="46"/>
      <x:c r="G156" s="46"/>
      <x:c r="H156" s="46"/>
      <x:c r="I156" s="46"/>
      <x:c r="J156" s="46"/>
      <x:c r="K156" s="46"/>
      <x:c r="L156" s="46"/>
      <x:c r="M156" s="46"/>
      <x:c r="N156" s="46"/>
      <x:c r="O156" s="46"/>
      <x:c r="P156" s="46"/>
      <x:c r="Q156" s="46"/>
      <x:c r="R156" s="46"/>
      <x:c r="S156" s="46"/>
      <x:c r="T156" s="46"/>
      <x:c r="U156" s="46"/>
      <x:c r="V156" s="46"/>
      <x:c r="W156" s="46"/>
    </x:row>
    <x:row r="157">
      <x:c r="A157" s="46"/>
      <x:c r="B157" s="46"/>
      <x:c r="C157" s="46"/>
      <x:c r="D157" s="46"/>
      <x:c r="E157" s="46"/>
      <x:c r="F157" s="46"/>
      <x:c r="G157" s="46"/>
      <x:c r="H157" s="46"/>
      <x:c r="I157" s="46"/>
      <x:c r="J157" s="46"/>
      <x:c r="K157" s="46"/>
      <x:c r="L157" s="46"/>
      <x:c r="M157" s="46"/>
      <x:c r="N157" s="46"/>
      <x:c r="O157" s="46"/>
      <x:c r="P157" s="46"/>
      <x:c r="Q157" s="46"/>
      <x:c r="R157" s="46"/>
      <x:c r="S157" s="46"/>
      <x:c r="T157" s="46"/>
      <x:c r="U157" s="46"/>
      <x:c r="V157" s="46"/>
      <x:c r="W157" s="46"/>
    </x:row>
    <x:row r="158">
      <x:c r="A158" s="46"/>
      <x:c r="B158" s="46"/>
      <x:c r="C158" s="46"/>
      <x:c r="D158" s="46"/>
      <x:c r="E158" s="46"/>
      <x:c r="F158" s="46"/>
      <x:c r="G158" s="46"/>
      <x:c r="H158" s="46"/>
      <x:c r="I158" s="46"/>
      <x:c r="J158" s="46"/>
      <x:c r="K158" s="46"/>
      <x:c r="L158" s="46"/>
      <x:c r="M158" s="46"/>
      <x:c r="N158" s="46"/>
      <x:c r="O158" s="46"/>
      <x:c r="P158" s="46"/>
      <x:c r="Q158" s="46"/>
      <x:c r="R158" s="46"/>
      <x:c r="S158" s="46"/>
      <x:c r="T158" s="46"/>
      <x:c r="U158" s="46"/>
      <x:c r="V158" s="46"/>
      <x:c r="W158" s="46"/>
    </x:row>
    <x:row r="159">
      <x:c r="A159" s="46"/>
      <x:c r="B159" s="46"/>
      <x:c r="C159" s="46"/>
      <x:c r="D159" s="46"/>
      <x:c r="E159" s="46"/>
      <x:c r="F159" s="46"/>
      <x:c r="G159" s="46"/>
      <x:c r="H159" s="46"/>
      <x:c r="I159" s="46"/>
      <x:c r="J159" s="46"/>
      <x:c r="K159" s="46"/>
      <x:c r="L159" s="46"/>
      <x:c r="M159" s="46"/>
      <x:c r="N159" s="46"/>
      <x:c r="O159" s="46"/>
      <x:c r="P159" s="46"/>
      <x:c r="Q159" s="46"/>
      <x:c r="R159" s="46"/>
      <x:c r="S159" s="46"/>
      <x:c r="T159" s="46"/>
      <x:c r="U159" s="46"/>
      <x:c r="V159" s="46"/>
      <x:c r="W159" s="46"/>
    </x:row>
    <x:row r="160">
      <x:c r="A160" s="46"/>
      <x:c r="B160" s="46"/>
      <x:c r="C160" s="46"/>
      <x:c r="D160" s="46"/>
      <x:c r="E160" s="46"/>
      <x:c r="F160" s="46"/>
      <x:c r="G160" s="46"/>
      <x:c r="H160" s="46"/>
      <x:c r="I160" s="46"/>
      <x:c r="J160" s="46"/>
      <x:c r="K160" s="46"/>
      <x:c r="L160" s="46"/>
      <x:c r="M160" s="46"/>
      <x:c r="N160" s="46"/>
      <x:c r="O160" s="46"/>
      <x:c r="P160" s="46"/>
      <x:c r="Q160" s="46"/>
      <x:c r="R160" s="46"/>
      <x:c r="S160" s="46"/>
      <x:c r="T160" s="46"/>
      <x:c r="U160" s="46"/>
      <x:c r="V160" s="46"/>
      <x:c r="W160" s="46"/>
    </x:row>
    <x:row r="161">
      <x:c r="A161" s="46"/>
      <x:c r="B161" s="46"/>
      <x:c r="C161" s="46"/>
      <x:c r="D161" s="46"/>
      <x:c r="E161" s="46"/>
      <x:c r="F161" s="46"/>
      <x:c r="G161" s="46"/>
      <x:c r="H161" s="46"/>
      <x:c r="I161" s="46"/>
      <x:c r="J161" s="46"/>
      <x:c r="K161" s="46"/>
      <x:c r="L161" s="46"/>
      <x:c r="M161" s="46"/>
      <x:c r="N161" s="46"/>
      <x:c r="O161" s="46"/>
      <x:c r="P161" s="46"/>
      <x:c r="Q161" s="46"/>
      <x:c r="R161" s="46"/>
      <x:c r="S161" s="46"/>
      <x:c r="T161" s="46"/>
      <x:c r="U161" s="46"/>
      <x:c r="V161" s="46"/>
      <x:c r="W161" s="46"/>
    </x:row>
    <x:row r="162">
      <x:c r="A162" s="46"/>
      <x:c r="B162" s="46"/>
      <x:c r="C162" s="46"/>
      <x:c r="D162" s="46"/>
      <x:c r="E162" s="46"/>
      <x:c r="F162" s="46"/>
      <x:c r="G162" s="46"/>
      <x:c r="H162" s="46"/>
      <x:c r="I162" s="46"/>
      <x:c r="J162" s="46"/>
      <x:c r="K162" s="46"/>
      <x:c r="L162" s="46"/>
      <x:c r="M162" s="46"/>
      <x:c r="N162" s="46"/>
      <x:c r="O162" s="46"/>
      <x:c r="P162" s="46"/>
      <x:c r="Q162" s="46"/>
      <x:c r="R162" s="46"/>
      <x:c r="S162" s="46"/>
      <x:c r="T162" s="46"/>
      <x:c r="U162" s="46"/>
      <x:c r="V162" s="46"/>
      <x:c r="W162" s="46"/>
    </x:row>
    <x:row r="163">
      <x:c r="A163" s="46"/>
      <x:c r="B163" s="46"/>
      <x:c r="C163" s="46"/>
      <x:c r="D163" s="46"/>
      <x:c r="E163" s="46"/>
      <x:c r="F163" s="46"/>
      <x:c r="G163" s="46"/>
      <x:c r="H163" s="46"/>
      <x:c r="I163" s="46"/>
      <x:c r="J163" s="46"/>
      <x:c r="K163" s="46"/>
      <x:c r="L163" s="46"/>
      <x:c r="M163" s="46"/>
      <x:c r="N163" s="46"/>
      <x:c r="O163" s="46"/>
      <x:c r="P163" s="46"/>
      <x:c r="Q163" s="46"/>
      <x:c r="R163" s="46"/>
      <x:c r="S163" s="46"/>
      <x:c r="T163" s="46"/>
      <x:c r="U163" s="46"/>
      <x:c r="V163" s="46"/>
      <x:c r="W163" s="46"/>
    </x:row>
    <x:row r="164">
      <x:c r="A164" s="46"/>
      <x:c r="B164" s="46"/>
      <x:c r="C164" s="46"/>
      <x:c r="D164" s="46"/>
      <x:c r="E164" s="46"/>
      <x:c r="F164" s="46"/>
      <x:c r="G164" s="46"/>
      <x:c r="H164" s="46"/>
      <x:c r="I164" s="46"/>
      <x:c r="J164" s="46"/>
      <x:c r="K164" s="46"/>
      <x:c r="L164" s="46"/>
      <x:c r="M164" s="46"/>
      <x:c r="N164" s="46"/>
      <x:c r="O164" s="46"/>
      <x:c r="P164" s="46"/>
      <x:c r="Q164" s="46"/>
      <x:c r="R164" s="46"/>
      <x:c r="S164" s="46"/>
      <x:c r="T164" s="46"/>
      <x:c r="U164" s="46"/>
      <x:c r="V164" s="46"/>
      <x:c r="W164" s="46"/>
    </x:row>
    <x:row r="165">
      <x:c r="A165" s="46"/>
      <x:c r="B165" s="46"/>
      <x:c r="C165" s="46"/>
      <x:c r="D165" s="46"/>
      <x:c r="E165" s="46"/>
      <x:c r="F165" s="46"/>
      <x:c r="G165" s="46"/>
      <x:c r="H165" s="46"/>
      <x:c r="I165" s="46"/>
      <x:c r="J165" s="46"/>
      <x:c r="K165" s="46"/>
      <x:c r="L165" s="46"/>
      <x:c r="M165" s="46"/>
      <x:c r="N165" s="46"/>
      <x:c r="O165" s="46"/>
      <x:c r="P165" s="46"/>
      <x:c r="Q165" s="46"/>
      <x:c r="R165" s="46"/>
      <x:c r="S165" s="46"/>
      <x:c r="T165" s="46"/>
      <x:c r="U165" s="46"/>
      <x:c r="V165" s="46"/>
      <x:c r="W165" s="46"/>
    </x:row>
    <x:row r="166">
      <x:c r="A166" s="46"/>
      <x:c r="B166" s="46"/>
      <x:c r="C166" s="46"/>
      <x:c r="D166" s="46"/>
      <x:c r="E166" s="46"/>
      <x:c r="F166" s="46"/>
      <x:c r="G166" s="46"/>
      <x:c r="H166" s="46"/>
      <x:c r="I166" s="46"/>
      <x:c r="J166" s="46"/>
      <x:c r="K166" s="46"/>
      <x:c r="L166" s="46"/>
      <x:c r="M166" s="46"/>
      <x:c r="N166" s="46"/>
      <x:c r="O166" s="46"/>
      <x:c r="P166" s="46"/>
      <x:c r="Q166" s="46"/>
      <x:c r="R166" s="46"/>
      <x:c r="S166" s="46"/>
      <x:c r="T166" s="46"/>
      <x:c r="U166" s="46"/>
      <x:c r="V166" s="46"/>
      <x:c r="W166" s="46"/>
    </x:row>
    <x:row r="167">
      <x:c r="A167" s="46"/>
      <x:c r="B167" s="46"/>
      <x:c r="C167" s="46"/>
      <x:c r="D167" s="46"/>
      <x:c r="E167" s="46"/>
      <x:c r="F167" s="46"/>
      <x:c r="G167" s="46"/>
      <x:c r="H167" s="46"/>
      <x:c r="I167" s="46"/>
      <x:c r="J167" s="46"/>
      <x:c r="K167" s="46"/>
      <x:c r="L167" s="46"/>
      <x:c r="M167" s="46"/>
      <x:c r="N167" s="46"/>
      <x:c r="O167" s="46"/>
      <x:c r="P167" s="46"/>
      <x:c r="Q167" s="46"/>
      <x:c r="R167" s="46"/>
      <x:c r="S167" s="46"/>
      <x:c r="T167" s="46"/>
      <x:c r="U167" s="46"/>
      <x:c r="V167" s="46"/>
      <x:c r="W167" s="46"/>
    </x:row>
    <x:row r="168">
      <x:c r="A168" s="46"/>
      <x:c r="B168" s="46"/>
      <x:c r="C168" s="46"/>
      <x:c r="D168" s="46"/>
      <x:c r="E168" s="46"/>
      <x:c r="F168" s="46"/>
      <x:c r="G168" s="46"/>
      <x:c r="H168" s="46"/>
      <x:c r="I168" s="46"/>
      <x:c r="J168" s="46"/>
      <x:c r="K168" s="46"/>
      <x:c r="L168" s="46"/>
      <x:c r="M168" s="46"/>
      <x:c r="N168" s="46"/>
      <x:c r="O168" s="46"/>
      <x:c r="P168" s="46"/>
      <x:c r="Q168" s="46"/>
      <x:c r="R168" s="46"/>
      <x:c r="S168" s="46"/>
      <x:c r="T168" s="46"/>
      <x:c r="U168" s="46"/>
      <x:c r="V168" s="46"/>
      <x:c r="W168" s="46"/>
    </x:row>
    <x:row r="169">
      <x:c r="A169" s="46"/>
      <x:c r="B169" s="46"/>
      <x:c r="C169" s="46"/>
      <x:c r="D169" s="46"/>
      <x:c r="E169" s="46"/>
      <x:c r="F169" s="46"/>
      <x:c r="G169" s="46"/>
      <x:c r="H169" s="46"/>
      <x:c r="I169" s="46"/>
      <x:c r="J169" s="46"/>
      <x:c r="K169" s="46"/>
      <x:c r="L169" s="46"/>
      <x:c r="M169" s="46"/>
      <x:c r="N169" s="46"/>
      <x:c r="O169" s="46"/>
      <x:c r="P169" s="46"/>
      <x:c r="Q169" s="46"/>
      <x:c r="R169" s="46"/>
      <x:c r="S169" s="46"/>
      <x:c r="T169" s="46"/>
      <x:c r="U169" s="46"/>
      <x:c r="V169" s="46"/>
      <x:c r="W169" s="46"/>
    </x:row>
    <x:row r="170">
      <x:c r="A170" s="46"/>
      <x:c r="B170" s="46"/>
      <x:c r="C170" s="46"/>
      <x:c r="D170" s="46"/>
      <x:c r="E170" s="46"/>
      <x:c r="F170" s="46"/>
      <x:c r="G170" s="46"/>
      <x:c r="H170" s="46"/>
      <x:c r="I170" s="46"/>
      <x:c r="J170" s="46"/>
      <x:c r="K170" s="46"/>
      <x:c r="L170" s="46"/>
      <x:c r="M170" s="46"/>
      <x:c r="N170" s="46"/>
      <x:c r="O170" s="46"/>
      <x:c r="P170" s="46"/>
      <x:c r="Q170" s="46"/>
      <x:c r="R170" s="46"/>
      <x:c r="S170" s="46"/>
      <x:c r="T170" s="46"/>
      <x:c r="U170" s="46"/>
      <x:c r="V170" s="46"/>
      <x:c r="W170" s="46"/>
    </x:row>
    <x:row r="171">
      <x:c r="A171" s="46"/>
      <x:c r="B171" s="46"/>
      <x:c r="C171" s="46"/>
      <x:c r="D171" s="46"/>
      <x:c r="E171" s="46"/>
      <x:c r="F171" s="46"/>
      <x:c r="G171" s="46"/>
      <x:c r="H171" s="46"/>
      <x:c r="I171" s="46"/>
      <x:c r="J171" s="46"/>
      <x:c r="K171" s="46"/>
      <x:c r="L171" s="46"/>
      <x:c r="M171" s="46"/>
      <x:c r="N171" s="46"/>
      <x:c r="O171" s="46"/>
      <x:c r="P171" s="46"/>
      <x:c r="Q171" s="46"/>
      <x:c r="R171" s="46"/>
      <x:c r="S171" s="46"/>
      <x:c r="T171" s="46"/>
      <x:c r="U171" s="46"/>
      <x:c r="V171" s="46"/>
      <x:c r="W171" s="46"/>
    </x:row>
    <x:row r="172">
      <x:c r="A172" s="46"/>
      <x:c r="B172" s="46"/>
      <x:c r="C172" s="46"/>
      <x:c r="D172" s="46"/>
      <x:c r="E172" s="46"/>
      <x:c r="F172" s="46"/>
      <x:c r="G172" s="46"/>
      <x:c r="H172" s="46"/>
      <x:c r="I172" s="46"/>
      <x:c r="J172" s="46"/>
      <x:c r="K172" s="46"/>
      <x:c r="L172" s="46"/>
      <x:c r="M172" s="46"/>
      <x:c r="N172" s="46"/>
      <x:c r="O172" s="46"/>
      <x:c r="P172" s="46"/>
      <x:c r="Q172" s="46"/>
      <x:c r="R172" s="46"/>
      <x:c r="S172" s="46"/>
      <x:c r="T172" s="46"/>
      <x:c r="U172" s="46"/>
      <x:c r="V172" s="46"/>
      <x:c r="W172" s="46"/>
    </x:row>
    <x:row r="173">
      <x:c r="A173" s="46"/>
      <x:c r="B173" s="46"/>
      <x:c r="C173" s="46"/>
      <x:c r="D173" s="46"/>
      <x:c r="E173" s="46"/>
      <x:c r="F173" s="46"/>
      <x:c r="G173" s="46"/>
      <x:c r="H173" s="46"/>
      <x:c r="I173" s="46"/>
      <x:c r="J173" s="46"/>
      <x:c r="K173" s="46"/>
      <x:c r="L173" s="46"/>
      <x:c r="M173" s="46"/>
      <x:c r="N173" s="46"/>
      <x:c r="O173" s="46"/>
      <x:c r="P173" s="46"/>
      <x:c r="Q173" s="46"/>
      <x:c r="R173" s="46"/>
      <x:c r="S173" s="46"/>
      <x:c r="T173" s="46"/>
      <x:c r="U173" s="46"/>
      <x:c r="V173" s="46"/>
      <x:c r="W173" s="46"/>
    </x:row>
    <x:row r="174">
      <x:c r="A174" s="46"/>
      <x:c r="B174" s="46"/>
      <x:c r="C174" s="46"/>
      <x:c r="D174" s="46"/>
      <x:c r="E174" s="46"/>
      <x:c r="F174" s="46"/>
      <x:c r="G174" s="46"/>
      <x:c r="H174" s="46"/>
      <x:c r="I174" s="46"/>
      <x:c r="J174" s="46"/>
      <x:c r="K174" s="46"/>
      <x:c r="L174" s="46"/>
      <x:c r="M174" s="46"/>
      <x:c r="N174" s="46"/>
      <x:c r="O174" s="46"/>
      <x:c r="P174" s="46"/>
      <x:c r="Q174" s="46"/>
      <x:c r="R174" s="46"/>
      <x:c r="S174" s="46"/>
      <x:c r="T174" s="46"/>
      <x:c r="U174" s="46"/>
      <x:c r="V174" s="46"/>
      <x:c r="W174" s="46"/>
    </x:row>
    <x:row r="175">
      <x:c r="A175" s="46"/>
      <x:c r="B175" s="46"/>
      <x:c r="C175" s="46"/>
      <x:c r="D175" s="46"/>
      <x:c r="E175" s="46"/>
      <x:c r="F175" s="46"/>
      <x:c r="G175" s="46"/>
      <x:c r="H175" s="46"/>
      <x:c r="I175" s="46"/>
      <x:c r="J175" s="46"/>
      <x:c r="K175" s="46"/>
      <x:c r="L175" s="46"/>
      <x:c r="M175" s="46"/>
      <x:c r="N175" s="46"/>
      <x:c r="O175" s="46"/>
      <x:c r="P175" s="46"/>
      <x:c r="Q175" s="46"/>
      <x:c r="R175" s="46"/>
      <x:c r="S175" s="46"/>
      <x:c r="T175" s="46"/>
      <x:c r="U175" s="46"/>
      <x:c r="V175" s="46"/>
      <x:c r="W175" s="46"/>
    </x:row>
    <x:row r="176">
      <x:c r="A176" s="46"/>
      <x:c r="B176" s="46"/>
      <x:c r="C176" s="46"/>
      <x:c r="D176" s="46"/>
      <x:c r="E176" s="46"/>
      <x:c r="F176" s="46"/>
      <x:c r="G176" s="46"/>
      <x:c r="H176" s="46"/>
      <x:c r="I176" s="46"/>
      <x:c r="J176" s="46"/>
      <x:c r="K176" s="46"/>
      <x:c r="L176" s="46"/>
      <x:c r="M176" s="46"/>
      <x:c r="N176" s="46"/>
      <x:c r="O176" s="46"/>
      <x:c r="P176" s="46"/>
      <x:c r="Q176" s="46"/>
      <x:c r="R176" s="46"/>
      <x:c r="S176" s="46"/>
      <x:c r="T176" s="46"/>
      <x:c r="U176" s="46"/>
      <x:c r="V176" s="46"/>
      <x:c r="W176" s="46"/>
    </x:row>
    <x:row r="177">
      <x:c r="A177" s="46"/>
      <x:c r="B177" s="46"/>
      <x:c r="C177" s="46"/>
      <x:c r="D177" s="46"/>
      <x:c r="E177" s="46"/>
      <x:c r="F177" s="46"/>
      <x:c r="G177" s="46"/>
      <x:c r="H177" s="46"/>
      <x:c r="I177" s="46"/>
      <x:c r="J177" s="46"/>
      <x:c r="K177" s="46"/>
      <x:c r="L177" s="46"/>
      <x:c r="M177" s="46"/>
      <x:c r="N177" s="46"/>
      <x:c r="O177" s="46"/>
      <x:c r="P177" s="46"/>
      <x:c r="Q177" s="46"/>
      <x:c r="R177" s="46"/>
      <x:c r="S177" s="46"/>
      <x:c r="T177" s="46"/>
      <x:c r="U177" s="46"/>
      <x:c r="V177" s="46"/>
      <x:c r="W177" s="46"/>
    </x:row>
    <x:row r="178">
      <x:c r="A178" s="46"/>
      <x:c r="B178" s="46"/>
      <x:c r="C178" s="46"/>
      <x:c r="D178" s="46"/>
      <x:c r="E178" s="46"/>
      <x:c r="F178" s="46"/>
      <x:c r="G178" s="46"/>
      <x:c r="H178" s="46"/>
      <x:c r="I178" s="46"/>
      <x:c r="J178" s="46"/>
      <x:c r="K178" s="46"/>
      <x:c r="L178" s="46"/>
      <x:c r="M178" s="46"/>
      <x:c r="N178" s="46"/>
      <x:c r="O178" s="46"/>
      <x:c r="P178" s="46"/>
      <x:c r="Q178" s="46"/>
      <x:c r="R178" s="46"/>
      <x:c r="S178" s="46"/>
      <x:c r="T178" s="46"/>
      <x:c r="U178" s="46"/>
      <x:c r="V178" s="46"/>
      <x:c r="W178" s="46"/>
    </x:row>
    <x:row r="179">
      <x:c r="A179" s="46"/>
      <x:c r="B179" s="46"/>
      <x:c r="C179" s="46"/>
      <x:c r="D179" s="46"/>
      <x:c r="E179" s="46"/>
      <x:c r="F179" s="46"/>
      <x:c r="G179" s="46"/>
      <x:c r="H179" s="46"/>
      <x:c r="I179" s="46"/>
      <x:c r="J179" s="46"/>
      <x:c r="K179" s="46"/>
      <x:c r="L179" s="46"/>
      <x:c r="M179" s="46"/>
      <x:c r="N179" s="46"/>
      <x:c r="O179" s="46"/>
      <x:c r="P179" s="46"/>
      <x:c r="Q179" s="46"/>
      <x:c r="R179" s="46"/>
      <x:c r="S179" s="46"/>
      <x:c r="T179" s="46"/>
      <x:c r="U179" s="46"/>
      <x:c r="V179" s="46"/>
      <x:c r="W179" s="46"/>
    </x:row>
    <x:row r="180">
      <x:c r="A180" s="46"/>
      <x:c r="B180" s="46"/>
      <x:c r="C180" s="46"/>
      <x:c r="D180" s="46"/>
      <x:c r="E180" s="46"/>
      <x:c r="F180" s="46"/>
      <x:c r="G180" s="46"/>
      <x:c r="H180" s="46"/>
      <x:c r="I180" s="46"/>
      <x:c r="J180" s="46"/>
      <x:c r="K180" s="46"/>
      <x:c r="L180" s="46"/>
      <x:c r="M180" s="46"/>
      <x:c r="N180" s="46"/>
      <x:c r="O180" s="46"/>
      <x:c r="P180" s="46"/>
      <x:c r="Q180" s="46"/>
      <x:c r="R180" s="46"/>
      <x:c r="S180" s="46"/>
      <x:c r="T180" s="46"/>
      <x:c r="U180" s="46"/>
      <x:c r="V180" s="46"/>
      <x:c r="W180" s="46"/>
    </x:row>
    <x:row r="181">
      <x:c r="A181" s="46"/>
      <x:c r="B181" s="46"/>
      <x:c r="C181" s="46"/>
      <x:c r="D181" s="46"/>
      <x:c r="E181" s="46"/>
      <x:c r="F181" s="46"/>
      <x:c r="G181" s="46"/>
      <x:c r="H181" s="46"/>
      <x:c r="I181" s="46"/>
      <x:c r="J181" s="46"/>
      <x:c r="K181" s="46"/>
      <x:c r="L181" s="46"/>
      <x:c r="M181" s="46"/>
      <x:c r="N181" s="46"/>
      <x:c r="O181" s="46"/>
      <x:c r="P181" s="46"/>
      <x:c r="Q181" s="46"/>
      <x:c r="R181" s="46"/>
      <x:c r="S181" s="46"/>
      <x:c r="T181" s="46"/>
      <x:c r="U181" s="46"/>
      <x:c r="V181" s="46"/>
      <x:c r="W181" s="46"/>
    </x:row>
    <x:row r="182">
      <x:c r="A182" s="46"/>
      <x:c r="B182" s="46"/>
      <x:c r="C182" s="46"/>
      <x:c r="D182" s="46"/>
      <x:c r="E182" s="46"/>
      <x:c r="F182" s="46"/>
      <x:c r="G182" s="46"/>
      <x:c r="H182" s="46"/>
      <x:c r="I182" s="46"/>
      <x:c r="J182" s="46"/>
      <x:c r="K182" s="46"/>
      <x:c r="L182" s="46"/>
      <x:c r="M182" s="46"/>
      <x:c r="N182" s="46"/>
      <x:c r="O182" s="46"/>
      <x:c r="P182" s="46"/>
      <x:c r="Q182" s="46"/>
      <x:c r="R182" s="46"/>
      <x:c r="S182" s="46"/>
      <x:c r="T182" s="46"/>
      <x:c r="U182" s="46"/>
      <x:c r="V182" s="46"/>
      <x:c r="W182" s="46"/>
    </x:row>
    <x:row r="183">
      <x:c r="A183" s="46"/>
      <x:c r="B183" s="46"/>
      <x:c r="C183" s="46"/>
      <x:c r="D183" s="46"/>
      <x:c r="E183" s="46"/>
      <x:c r="F183" s="46"/>
      <x:c r="G183" s="46"/>
      <x:c r="H183" s="46"/>
      <x:c r="I183" s="46"/>
      <x:c r="J183" s="46"/>
      <x:c r="K183" s="46"/>
      <x:c r="L183" s="46"/>
      <x:c r="M183" s="46"/>
      <x:c r="N183" s="46"/>
      <x:c r="O183" s="46"/>
      <x:c r="P183" s="46"/>
      <x:c r="Q183" s="46"/>
      <x:c r="R183" s="46"/>
      <x:c r="S183" s="46"/>
      <x:c r="T183" s="46"/>
      <x:c r="U183" s="46"/>
      <x:c r="V183" s="46"/>
      <x:c r="W183" s="46"/>
    </x:row>
    <x:row r="184">
      <x:c r="A184" s="46"/>
      <x:c r="B184" s="46"/>
      <x:c r="C184" s="46"/>
      <x:c r="D184" s="46"/>
      <x:c r="E184" s="46"/>
      <x:c r="F184" s="46"/>
      <x:c r="G184" s="46"/>
      <x:c r="H184" s="46"/>
      <x:c r="I184" s="46"/>
      <x:c r="J184" s="46"/>
      <x:c r="K184" s="46"/>
      <x:c r="L184" s="46"/>
      <x:c r="M184" s="46"/>
      <x:c r="N184" s="46"/>
      <x:c r="O184" s="46"/>
      <x:c r="P184" s="46"/>
      <x:c r="Q184" s="46"/>
      <x:c r="R184" s="46"/>
      <x:c r="S184" s="46"/>
      <x:c r="T184" s="46"/>
      <x:c r="U184" s="46"/>
      <x:c r="V184" s="46"/>
      <x:c r="W184" s="46"/>
    </x:row>
    <x:row r="185">
      <x:c r="A185" s="46"/>
      <x:c r="B185" s="46"/>
      <x:c r="C185" s="46"/>
      <x:c r="D185" s="46"/>
      <x:c r="E185" s="46"/>
      <x:c r="F185" s="46"/>
      <x:c r="G185" s="46"/>
      <x:c r="H185" s="46"/>
      <x:c r="I185" s="46"/>
      <x:c r="J185" s="46"/>
      <x:c r="K185" s="46"/>
      <x:c r="L185" s="46"/>
      <x:c r="M185" s="46"/>
      <x:c r="N185" s="46"/>
      <x:c r="O185" s="46"/>
      <x:c r="P185" s="46"/>
      <x:c r="Q185" s="46"/>
      <x:c r="R185" s="46"/>
      <x:c r="S185" s="46"/>
      <x:c r="T185" s="46"/>
      <x:c r="U185" s="46"/>
      <x:c r="V185" s="46"/>
      <x:c r="W185" s="46"/>
    </x:row>
    <x:row r="186">
      <x:c r="A186" s="46"/>
      <x:c r="B186" s="46"/>
      <x:c r="C186" s="46"/>
      <x:c r="D186" s="46"/>
      <x:c r="E186" s="46"/>
      <x:c r="F186" s="46"/>
      <x:c r="G186" s="46"/>
      <x:c r="H186" s="46"/>
      <x:c r="I186" s="46"/>
      <x:c r="J186" s="46"/>
      <x:c r="K186" s="46"/>
      <x:c r="L186" s="46"/>
      <x:c r="M186" s="46"/>
      <x:c r="N186" s="46"/>
      <x:c r="O186" s="46"/>
      <x:c r="P186" s="46"/>
      <x:c r="Q186" s="46"/>
      <x:c r="R186" s="46"/>
      <x:c r="S186" s="46"/>
      <x:c r="T186" s="46"/>
      <x:c r="U186" s="46"/>
      <x:c r="V186" s="46"/>
      <x:c r="W186" s="46"/>
    </x:row>
    <x:row r="187">
      <x:c r="A187" s="46"/>
      <x:c r="B187" s="46"/>
      <x:c r="C187" s="46"/>
      <x:c r="D187" s="46"/>
      <x:c r="E187" s="46"/>
      <x:c r="F187" s="46"/>
      <x:c r="G187" s="46"/>
      <x:c r="H187" s="46"/>
      <x:c r="I187" s="46"/>
      <x:c r="J187" s="46"/>
      <x:c r="K187" s="46"/>
      <x:c r="L187" s="46"/>
      <x:c r="M187" s="46"/>
      <x:c r="N187" s="46"/>
      <x:c r="O187" s="46"/>
      <x:c r="P187" s="46"/>
      <x:c r="Q187" s="46"/>
      <x:c r="R187" s="46"/>
      <x:c r="S187" s="46"/>
      <x:c r="T187" s="46"/>
      <x:c r="U187" s="46"/>
      <x:c r="V187" s="46"/>
      <x:c r="W187" s="46"/>
    </x:row>
    <x:row r="188">
      <x:c r="A188" s="46"/>
      <x:c r="B188" s="46"/>
      <x:c r="C188" s="46"/>
      <x:c r="D188" s="46"/>
      <x:c r="E188" s="46"/>
      <x:c r="F188" s="46"/>
      <x:c r="G188" s="46"/>
      <x:c r="H188" s="46"/>
      <x:c r="I188" s="46"/>
      <x:c r="J188" s="46"/>
      <x:c r="K188" s="46"/>
      <x:c r="L188" s="46"/>
      <x:c r="M188" s="46"/>
      <x:c r="N188" s="46"/>
      <x:c r="O188" s="46"/>
      <x:c r="P188" s="46"/>
      <x:c r="Q188" s="46"/>
      <x:c r="R188" s="46"/>
      <x:c r="S188" s="46"/>
      <x:c r="T188" s="46"/>
      <x:c r="U188" s="46"/>
      <x:c r="V188" s="46"/>
      <x:c r="W188" s="46"/>
    </x:row>
    <x:row r="189">
      <x:c r="A189" s="46"/>
      <x:c r="B189" s="46"/>
      <x:c r="C189" s="46"/>
      <x:c r="D189" s="46"/>
      <x:c r="E189" s="46"/>
      <x:c r="F189" s="46"/>
      <x:c r="G189" s="46"/>
      <x:c r="H189" s="46"/>
      <x:c r="I189" s="46"/>
      <x:c r="J189" s="46"/>
      <x:c r="K189" s="46"/>
      <x:c r="L189" s="46"/>
      <x:c r="M189" s="46"/>
      <x:c r="N189" s="46"/>
      <x:c r="O189" s="46"/>
      <x:c r="P189" s="46"/>
      <x:c r="Q189" s="46"/>
      <x:c r="R189" s="46"/>
      <x:c r="S189" s="46"/>
      <x:c r="T189" s="46"/>
      <x:c r="U189" s="46"/>
      <x:c r="V189" s="46"/>
      <x:c r="W189" s="46"/>
    </x:row>
    <x:row r="190">
      <x:c r="A190" s="46"/>
      <x:c r="B190" s="46"/>
      <x:c r="C190" s="46"/>
      <x:c r="D190" s="46"/>
      <x:c r="E190" s="46"/>
      <x:c r="F190" s="46"/>
      <x:c r="G190" s="46"/>
      <x:c r="H190" s="46"/>
      <x:c r="I190" s="46"/>
      <x:c r="J190" s="46"/>
      <x:c r="K190" s="46"/>
      <x:c r="L190" s="46"/>
      <x:c r="M190" s="46"/>
      <x:c r="N190" s="46"/>
      <x:c r="O190" s="46"/>
      <x:c r="P190" s="46"/>
      <x:c r="Q190" s="46"/>
      <x:c r="R190" s="46"/>
      <x:c r="S190" s="46"/>
      <x:c r="T190" s="46"/>
      <x:c r="U190" s="46"/>
      <x:c r="V190" s="46"/>
      <x:c r="W190" s="46"/>
    </x:row>
    <x:row r="191">
      <x:c r="A191" s="46"/>
      <x:c r="B191" s="46"/>
      <x:c r="C191" s="46"/>
      <x:c r="D191" s="46"/>
      <x:c r="E191" s="46"/>
      <x:c r="F191" s="46"/>
      <x:c r="G191" s="46"/>
      <x:c r="H191" s="46"/>
      <x:c r="I191" s="46"/>
      <x:c r="J191" s="46"/>
      <x:c r="K191" s="46"/>
      <x:c r="L191" s="46"/>
      <x:c r="M191" s="46"/>
      <x:c r="N191" s="46"/>
      <x:c r="O191" s="46"/>
      <x:c r="P191" s="46"/>
      <x:c r="Q191" s="46"/>
      <x:c r="R191" s="46"/>
      <x:c r="S191" s="46"/>
      <x:c r="T191" s="46"/>
      <x:c r="U191" s="46"/>
      <x:c r="V191" s="46"/>
      <x:c r="W191" s="46"/>
    </x:row>
    <x:row r="192">
      <x:c r="A192" s="46"/>
      <x:c r="B192" s="46"/>
      <x:c r="C192" s="46"/>
      <x:c r="D192" s="46"/>
      <x:c r="E192" s="46"/>
      <x:c r="F192" s="46"/>
      <x:c r="G192" s="46"/>
      <x:c r="H192" s="46"/>
      <x:c r="I192" s="46"/>
      <x:c r="J192" s="46"/>
      <x:c r="K192" s="46"/>
      <x:c r="L192" s="46"/>
      <x:c r="M192" s="46"/>
      <x:c r="N192" s="46"/>
      <x:c r="O192" s="46"/>
      <x:c r="P192" s="46"/>
      <x:c r="Q192" s="46"/>
      <x:c r="R192" s="46"/>
      <x:c r="S192" s="46"/>
      <x:c r="T192" s="46"/>
      <x:c r="U192" s="46"/>
      <x:c r="V192" s="46"/>
      <x:c r="W192" s="46"/>
    </x:row>
    <x:row r="193">
      <x:c r="A193" s="46"/>
      <x:c r="B193" s="46"/>
      <x:c r="C193" s="46"/>
      <x:c r="D193" s="46"/>
      <x:c r="E193" s="46"/>
      <x:c r="F193" s="46"/>
      <x:c r="G193" s="46"/>
      <x:c r="H193" s="46"/>
      <x:c r="I193" s="46"/>
      <x:c r="J193" s="46"/>
      <x:c r="K193" s="46"/>
      <x:c r="L193" s="46"/>
      <x:c r="M193" s="46"/>
      <x:c r="N193" s="46"/>
      <x:c r="O193" s="46"/>
      <x:c r="P193" s="46"/>
      <x:c r="Q193" s="46"/>
      <x:c r="R193" s="46"/>
      <x:c r="S193" s="46"/>
      <x:c r="T193" s="46"/>
      <x:c r="U193" s="46"/>
      <x:c r="V193" s="46"/>
      <x:c r="W193" s="46"/>
    </x:row>
    <x:row r="194">
      <x:c r="A194" s="46"/>
      <x:c r="B194" s="46"/>
      <x:c r="C194" s="46"/>
      <x:c r="D194" s="46"/>
      <x:c r="E194" s="46"/>
      <x:c r="F194" s="46"/>
      <x:c r="G194" s="46"/>
      <x:c r="H194" s="46"/>
      <x:c r="I194" s="46"/>
      <x:c r="J194" s="46"/>
      <x:c r="K194" s="46"/>
      <x:c r="L194" s="46"/>
      <x:c r="M194" s="46"/>
      <x:c r="N194" s="46"/>
      <x:c r="O194" s="46"/>
      <x:c r="P194" s="46"/>
      <x:c r="Q194" s="46"/>
      <x:c r="R194" s="46"/>
      <x:c r="S194" s="46"/>
      <x:c r="T194" s="46"/>
      <x:c r="U194" s="46"/>
      <x:c r="V194" s="46"/>
      <x:c r="W194" s="46"/>
    </x:row>
    <x:row r="195">
      <x:c r="A195" s="46"/>
      <x:c r="B195" s="46"/>
      <x:c r="C195" s="46"/>
      <x:c r="D195" s="46"/>
      <x:c r="E195" s="46"/>
      <x:c r="F195" s="46"/>
      <x:c r="G195" s="46"/>
      <x:c r="H195" s="46"/>
      <x:c r="I195" s="46"/>
      <x:c r="J195" s="46"/>
      <x:c r="K195" s="46"/>
      <x:c r="L195" s="46"/>
      <x:c r="M195" s="46"/>
      <x:c r="N195" s="46"/>
      <x:c r="O195" s="46"/>
      <x:c r="P195" s="46"/>
      <x:c r="Q195" s="46"/>
      <x:c r="R195" s="46"/>
      <x:c r="S195" s="46"/>
      <x:c r="T195" s="46"/>
      <x:c r="U195" s="46"/>
      <x:c r="V195" s="46"/>
      <x:c r="W195" s="46"/>
    </x:row>
    <x:row r="196">
      <x:c r="A196" s="46"/>
      <x:c r="B196" s="46"/>
      <x:c r="C196" s="46"/>
      <x:c r="D196" s="46"/>
      <x:c r="E196" s="46"/>
      <x:c r="F196" s="46"/>
      <x:c r="G196" s="46"/>
      <x:c r="H196" s="46"/>
      <x:c r="I196" s="46"/>
      <x:c r="J196" s="46"/>
      <x:c r="K196" s="46"/>
      <x:c r="L196" s="46"/>
      <x:c r="M196" s="46"/>
      <x:c r="N196" s="46"/>
      <x:c r="O196" s="46"/>
      <x:c r="P196" s="46"/>
      <x:c r="Q196" s="46"/>
      <x:c r="R196" s="46"/>
      <x:c r="S196" s="46"/>
      <x:c r="T196" s="46"/>
      <x:c r="U196" s="46"/>
      <x:c r="V196" s="46"/>
      <x:c r="W196" s="46"/>
    </x:row>
    <x:row r="197">
      <x:c r="A197" s="46"/>
      <x:c r="B197" s="46"/>
      <x:c r="C197" s="46"/>
      <x:c r="D197" s="46"/>
      <x:c r="E197" s="46"/>
      <x:c r="F197" s="46"/>
      <x:c r="G197" s="46"/>
      <x:c r="H197" s="46"/>
      <x:c r="I197" s="46"/>
      <x:c r="J197" s="46"/>
      <x:c r="K197" s="46"/>
      <x:c r="L197" s="46"/>
      <x:c r="M197" s="46"/>
      <x:c r="N197" s="46"/>
      <x:c r="O197" s="46"/>
      <x:c r="P197" s="46"/>
      <x:c r="Q197" s="46"/>
      <x:c r="R197" s="46"/>
      <x:c r="S197" s="46"/>
      <x:c r="T197" s="46"/>
      <x:c r="U197" s="46"/>
      <x:c r="V197" s="46"/>
      <x:c r="W197" s="46"/>
    </x:row>
    <x:row r="198">
      <x:c r="A198" s="46"/>
      <x:c r="B198" s="46"/>
      <x:c r="C198" s="46"/>
      <x:c r="D198" s="46"/>
      <x:c r="E198" s="46"/>
      <x:c r="F198" s="46"/>
      <x:c r="G198" s="46"/>
      <x:c r="H198" s="46"/>
      <x:c r="I198" s="46"/>
      <x:c r="J198" s="46"/>
      <x:c r="K198" s="46"/>
      <x:c r="L198" s="46"/>
      <x:c r="M198" s="46"/>
      <x:c r="N198" s="46"/>
      <x:c r="O198" s="46"/>
      <x:c r="P198" s="46"/>
      <x:c r="Q198" s="46"/>
      <x:c r="R198" s="46"/>
      <x:c r="S198" s="46"/>
      <x:c r="T198" s="46"/>
      <x:c r="U198" s="46"/>
      <x:c r="V198" s="46"/>
      <x:c r="W198" s="46"/>
    </x:row>
    <x:row r="199">
      <x:c r="A199" s="46"/>
      <x:c r="B199" s="46"/>
      <x:c r="C199" s="46"/>
      <x:c r="D199" s="46"/>
      <x:c r="E199" s="46"/>
      <x:c r="F199" s="46"/>
      <x:c r="G199" s="46"/>
      <x:c r="H199" s="46"/>
      <x:c r="I199" s="46"/>
      <x:c r="J199" s="46"/>
      <x:c r="K199" s="46"/>
      <x:c r="L199" s="46"/>
      <x:c r="M199" s="46"/>
      <x:c r="N199" s="46"/>
      <x:c r="O199" s="46"/>
      <x:c r="P199" s="46"/>
      <x:c r="Q199" s="46"/>
      <x:c r="R199" s="46"/>
      <x:c r="S199" s="46"/>
      <x:c r="T199" s="46"/>
      <x:c r="U199" s="46"/>
      <x:c r="V199" s="46"/>
      <x:c r="W199" s="46"/>
    </x:row>
    <x:row r="200">
      <x:c r="A200" s="46"/>
      <x:c r="B200" s="46"/>
      <x:c r="C200" s="46"/>
      <x:c r="D200" s="46"/>
      <x:c r="E200" s="46"/>
      <x:c r="F200" s="46"/>
      <x:c r="G200" s="46"/>
      <x:c r="H200" s="46"/>
      <x:c r="I200" s="46"/>
      <x:c r="J200" s="46"/>
      <x:c r="K200" s="46"/>
      <x:c r="L200" s="46"/>
      <x:c r="M200" s="46"/>
      <x:c r="N200" s="46"/>
      <x:c r="O200" s="46"/>
      <x:c r="P200" s="46"/>
      <x:c r="Q200" s="46"/>
      <x:c r="R200" s="46"/>
      <x:c r="S200" s="46"/>
      <x:c r="T200" s="46"/>
      <x:c r="U200" s="46"/>
      <x:c r="V200" s="46"/>
      <x:c r="W200" s="46"/>
    </x:row>
    <x:row r="201">
      <x:c r="A201" s="46"/>
      <x:c r="B201" s="46"/>
      <x:c r="C201" s="46"/>
      <x:c r="D201" s="46"/>
      <x:c r="E201" s="46"/>
      <x:c r="F201" s="46"/>
      <x:c r="G201" s="46"/>
      <x:c r="H201" s="46"/>
      <x:c r="I201" s="46"/>
      <x:c r="J201" s="46"/>
      <x:c r="K201" s="46"/>
      <x:c r="L201" s="46"/>
      <x:c r="M201" s="46"/>
      <x:c r="N201" s="46"/>
      <x:c r="O201" s="46"/>
      <x:c r="P201" s="46"/>
      <x:c r="Q201" s="46"/>
      <x:c r="R201" s="46"/>
      <x:c r="S201" s="46"/>
      <x:c r="T201" s="46"/>
      <x:c r="U201" s="46"/>
      <x:c r="V201" s="46"/>
      <x:c r="W201" s="46"/>
    </x:row>
    <x:row r="202">
      <x:c r="A202" s="46"/>
      <x:c r="B202" s="46"/>
      <x:c r="C202" s="46"/>
      <x:c r="D202" s="46"/>
      <x:c r="E202" s="46"/>
      <x:c r="F202" s="46"/>
      <x:c r="G202" s="46"/>
      <x:c r="H202" s="46"/>
      <x:c r="I202" s="46"/>
      <x:c r="J202" s="46"/>
      <x:c r="K202" s="46"/>
      <x:c r="L202" s="46"/>
      <x:c r="M202" s="46"/>
      <x:c r="N202" s="46"/>
      <x:c r="O202" s="46"/>
      <x:c r="P202" s="46"/>
      <x:c r="Q202" s="46"/>
      <x:c r="R202" s="46"/>
      <x:c r="S202" s="46"/>
      <x:c r="T202" s="46"/>
      <x:c r="U202" s="46"/>
      <x:c r="V202" s="46"/>
      <x:c r="W202" s="46"/>
    </x:row>
    <x:row r="203">
      <x:c r="A203" s="46"/>
      <x:c r="B203" s="46"/>
      <x:c r="C203" s="46"/>
      <x:c r="D203" s="46"/>
      <x:c r="E203" s="46"/>
      <x:c r="F203" s="46"/>
      <x:c r="G203" s="46"/>
      <x:c r="H203" s="46"/>
      <x:c r="I203" s="46"/>
      <x:c r="J203" s="46"/>
      <x:c r="K203" s="46"/>
      <x:c r="L203" s="46"/>
      <x:c r="M203" s="46"/>
      <x:c r="N203" s="46"/>
      <x:c r="O203" s="46"/>
      <x:c r="P203" s="46"/>
      <x:c r="Q203" s="46"/>
      <x:c r="R203" s="46"/>
      <x:c r="S203" s="46"/>
      <x:c r="T203" s="46"/>
      <x:c r="U203" s="46"/>
      <x:c r="V203" s="46"/>
      <x:c r="W203" s="46"/>
    </x:row>
    <x:row r="204">
      <x:c r="A204" s="46"/>
      <x:c r="B204" s="46"/>
      <x:c r="C204" s="46"/>
      <x:c r="D204" s="46"/>
      <x:c r="E204" s="46"/>
      <x:c r="F204" s="46"/>
      <x:c r="G204" s="46"/>
      <x:c r="H204" s="46"/>
      <x:c r="I204" s="46"/>
      <x:c r="J204" s="46"/>
      <x:c r="K204" s="46"/>
      <x:c r="L204" s="46"/>
      <x:c r="M204" s="46"/>
      <x:c r="N204" s="46"/>
      <x:c r="O204" s="46"/>
      <x:c r="P204" s="46"/>
      <x:c r="Q204" s="46"/>
      <x:c r="R204" s="46"/>
      <x:c r="S204" s="46"/>
      <x:c r="T204" s="46"/>
      <x:c r="U204" s="46"/>
      <x:c r="V204" s="46"/>
      <x:c r="W204" s="46"/>
    </x:row>
    <x:row r="205">
      <x:c r="A205" s="46"/>
      <x:c r="B205" s="46"/>
      <x:c r="C205" s="46"/>
      <x:c r="D205" s="46"/>
      <x:c r="E205" s="46"/>
      <x:c r="F205" s="46"/>
      <x:c r="G205" s="46"/>
      <x:c r="H205" s="46"/>
      <x:c r="I205" s="46"/>
      <x:c r="J205" s="46"/>
      <x:c r="K205" s="46"/>
      <x:c r="L205" s="46"/>
      <x:c r="M205" s="46"/>
      <x:c r="N205" s="46"/>
      <x:c r="O205" s="46"/>
      <x:c r="P205" s="46"/>
      <x:c r="Q205" s="46"/>
      <x:c r="R205" s="46"/>
      <x:c r="S205" s="46"/>
      <x:c r="T205" s="46"/>
      <x:c r="U205" s="46"/>
      <x:c r="V205" s="46"/>
      <x:c r="W205" s="46"/>
    </x:row>
    <x:row r="206">
      <x:c r="A206" s="46"/>
      <x:c r="B206" s="46"/>
      <x:c r="C206" s="46"/>
      <x:c r="D206" s="46"/>
      <x:c r="E206" s="46"/>
      <x:c r="F206" s="46"/>
      <x:c r="G206" s="46"/>
      <x:c r="H206" s="46"/>
      <x:c r="I206" s="46"/>
      <x:c r="J206" s="46"/>
      <x:c r="K206" s="46"/>
      <x:c r="L206" s="46"/>
      <x:c r="M206" s="46"/>
      <x:c r="N206" s="46"/>
      <x:c r="O206" s="46"/>
      <x:c r="P206" s="46"/>
      <x:c r="Q206" s="46"/>
      <x:c r="R206" s="46"/>
      <x:c r="S206" s="46"/>
      <x:c r="T206" s="46"/>
      <x:c r="U206" s="46"/>
      <x:c r="V206" s="46"/>
      <x:c r="W206" s="46"/>
    </x:row>
    <x:row r="207">
      <x:c r="A207" s="46"/>
      <x:c r="B207" s="46"/>
      <x:c r="C207" s="46"/>
      <x:c r="D207" s="46"/>
      <x:c r="E207" s="46"/>
      <x:c r="F207" s="46"/>
      <x:c r="G207" s="46"/>
      <x:c r="H207" s="46"/>
      <x:c r="I207" s="46"/>
      <x:c r="J207" s="46"/>
      <x:c r="K207" s="46"/>
      <x:c r="L207" s="46"/>
      <x:c r="M207" s="46"/>
      <x:c r="N207" s="46"/>
      <x:c r="O207" s="46"/>
      <x:c r="P207" s="46"/>
      <x:c r="Q207" s="46"/>
      <x:c r="R207" s="46"/>
      <x:c r="S207" s="46"/>
      <x:c r="T207" s="46"/>
      <x:c r="U207" s="46"/>
      <x:c r="V207" s="46"/>
      <x:c r="W207" s="46"/>
    </x:row>
    <x:row r="208">
      <x:c r="A208" s="46"/>
      <x:c r="B208" s="46"/>
      <x:c r="C208" s="46"/>
      <x:c r="D208" s="46"/>
      <x:c r="E208" s="46"/>
      <x:c r="F208" s="46"/>
      <x:c r="G208" s="46"/>
      <x:c r="H208" s="46"/>
      <x:c r="I208" s="46"/>
      <x:c r="J208" s="46"/>
      <x:c r="K208" s="46"/>
      <x:c r="L208" s="46"/>
      <x:c r="M208" s="46"/>
      <x:c r="N208" s="46"/>
      <x:c r="O208" s="46"/>
      <x:c r="P208" s="46"/>
      <x:c r="Q208" s="46"/>
      <x:c r="R208" s="46"/>
      <x:c r="S208" s="46"/>
      <x:c r="T208" s="46"/>
      <x:c r="U208" s="46"/>
      <x:c r="V208" s="46"/>
      <x:c r="W208" s="46"/>
    </x:row>
    <x:row r="209">
      <x:c r="A209" s="46"/>
      <x:c r="B209" s="46"/>
      <x:c r="C209" s="46"/>
      <x:c r="D209" s="46"/>
      <x:c r="E209" s="46"/>
      <x:c r="F209" s="46"/>
      <x:c r="G209" s="46"/>
      <x:c r="H209" s="46"/>
      <x:c r="I209" s="46"/>
      <x:c r="J209" s="46"/>
      <x:c r="K209" s="46"/>
      <x:c r="L209" s="46"/>
      <x:c r="M209" s="46"/>
      <x:c r="N209" s="46"/>
      <x:c r="O209" s="46"/>
      <x:c r="P209" s="46"/>
      <x:c r="Q209" s="46"/>
      <x:c r="R209" s="46"/>
      <x:c r="S209" s="46"/>
      <x:c r="T209" s="46"/>
      <x:c r="U209" s="46"/>
      <x:c r="V209" s="46"/>
      <x:c r="W209" s="46"/>
    </x:row>
    <x:row r="210">
      <x:c r="A210" s="46"/>
      <x:c r="B210" s="46"/>
      <x:c r="C210" s="46"/>
      <x:c r="D210" s="46"/>
      <x:c r="E210" s="46"/>
      <x:c r="F210" s="46"/>
      <x:c r="G210" s="46"/>
      <x:c r="H210" s="46"/>
      <x:c r="I210" s="46"/>
      <x:c r="J210" s="46"/>
      <x:c r="K210" s="46"/>
      <x:c r="L210" s="46"/>
      <x:c r="M210" s="46"/>
      <x:c r="N210" s="46"/>
      <x:c r="O210" s="46"/>
      <x:c r="P210" s="46"/>
      <x:c r="Q210" s="46"/>
      <x:c r="R210" s="46"/>
      <x:c r="S210" s="46"/>
      <x:c r="T210" s="46"/>
      <x:c r="U210" s="46"/>
      <x:c r="V210" s="46"/>
      <x:c r="W210" s="46"/>
    </x:row>
    <x:row r="211">
      <x:c r="A211" s="46"/>
      <x:c r="B211" s="46"/>
      <x:c r="C211" s="46"/>
      <x:c r="D211" s="46"/>
      <x:c r="E211" s="46"/>
      <x:c r="F211" s="46"/>
      <x:c r="G211" s="46"/>
      <x:c r="H211" s="46"/>
      <x:c r="I211" s="46"/>
      <x:c r="J211" s="46"/>
      <x:c r="K211" s="46"/>
      <x:c r="L211" s="46"/>
      <x:c r="M211" s="46"/>
      <x:c r="N211" s="46"/>
      <x:c r="O211" s="46"/>
      <x:c r="P211" s="46"/>
      <x:c r="Q211" s="46"/>
      <x:c r="R211" s="46"/>
      <x:c r="S211" s="46"/>
      <x:c r="T211" s="46"/>
      <x:c r="U211" s="46"/>
      <x:c r="V211" s="46"/>
      <x:c r="W211" s="46"/>
    </x:row>
    <x:row r="212">
      <x:c r="A212" s="46"/>
      <x:c r="B212" s="46"/>
      <x:c r="C212" s="46"/>
      <x:c r="D212" s="46"/>
      <x:c r="E212" s="46"/>
      <x:c r="F212" s="46"/>
      <x:c r="G212" s="46"/>
      <x:c r="H212" s="46"/>
      <x:c r="I212" s="46"/>
      <x:c r="J212" s="46"/>
      <x:c r="K212" s="46"/>
      <x:c r="L212" s="46"/>
      <x:c r="M212" s="46"/>
      <x:c r="N212" s="46"/>
      <x:c r="O212" s="46"/>
      <x:c r="P212" s="46"/>
      <x:c r="Q212" s="46"/>
      <x:c r="R212" s="46"/>
      <x:c r="S212" s="46"/>
      <x:c r="T212" s="46"/>
      <x:c r="U212" s="46"/>
      <x:c r="V212" s="46"/>
      <x:c r="W212" s="46"/>
    </x:row>
    <x:row r="213">
      <x:c r="A213" s="46"/>
      <x:c r="B213" s="46"/>
      <x:c r="C213" s="46"/>
      <x:c r="D213" s="46"/>
      <x:c r="E213" s="46"/>
      <x:c r="F213" s="46"/>
      <x:c r="G213" s="46"/>
      <x:c r="H213" s="46"/>
      <x:c r="I213" s="46"/>
      <x:c r="J213" s="46"/>
      <x:c r="K213" s="46"/>
      <x:c r="L213" s="46"/>
      <x:c r="M213" s="46"/>
      <x:c r="N213" s="46"/>
      <x:c r="O213" s="46"/>
      <x:c r="P213" s="46"/>
      <x:c r="Q213" s="46"/>
      <x:c r="R213" s="46"/>
      <x:c r="S213" s="46"/>
      <x:c r="T213" s="46"/>
      <x:c r="U213" s="46"/>
      <x:c r="V213" s="46"/>
      <x:c r="W213" s="46"/>
    </x:row>
    <x:row r="214">
      <x:c r="A214" s="46"/>
      <x:c r="B214" s="46"/>
      <x:c r="C214" s="46"/>
      <x:c r="D214" s="46"/>
      <x:c r="E214" s="46"/>
      <x:c r="F214" s="46"/>
      <x:c r="G214" s="46"/>
      <x:c r="H214" s="46"/>
      <x:c r="I214" s="46"/>
      <x:c r="J214" s="46"/>
      <x:c r="K214" s="46"/>
      <x:c r="L214" s="46"/>
      <x:c r="M214" s="46"/>
      <x:c r="N214" s="46"/>
      <x:c r="O214" s="46"/>
      <x:c r="P214" s="46"/>
      <x:c r="Q214" s="46"/>
      <x:c r="R214" s="46"/>
      <x:c r="S214" s="46"/>
      <x:c r="T214" s="46"/>
      <x:c r="U214" s="46"/>
      <x:c r="V214" s="46"/>
      <x:c r="W214" s="46"/>
    </x:row>
    <x:row r="215">
      <x:c r="A215" s="46"/>
      <x:c r="B215" s="46"/>
      <x:c r="C215" s="46"/>
      <x:c r="D215" s="46"/>
      <x:c r="E215" s="46"/>
      <x:c r="F215" s="46"/>
      <x:c r="G215" s="46"/>
      <x:c r="H215" s="46"/>
      <x:c r="I215" s="46"/>
      <x:c r="J215" s="46"/>
      <x:c r="K215" s="46"/>
      <x:c r="L215" s="46"/>
      <x:c r="M215" s="46"/>
      <x:c r="N215" s="46"/>
      <x:c r="O215" s="46"/>
      <x:c r="P215" s="46"/>
      <x:c r="Q215" s="46"/>
      <x:c r="R215" s="46"/>
      <x:c r="S215" s="46"/>
      <x:c r="T215" s="46"/>
      <x:c r="U215" s="46"/>
      <x:c r="V215" s="46"/>
      <x:c r="W215" s="46"/>
    </x:row>
    <x:row r="216">
      <x:c r="A216" s="46"/>
      <x:c r="B216" s="46"/>
      <x:c r="C216" s="46"/>
      <x:c r="D216" s="46"/>
      <x:c r="E216" s="46"/>
      <x:c r="F216" s="46"/>
      <x:c r="G216" s="46"/>
      <x:c r="H216" s="46"/>
      <x:c r="I216" s="46"/>
      <x:c r="J216" s="46"/>
      <x:c r="K216" s="46"/>
      <x:c r="L216" s="46"/>
      <x:c r="M216" s="46"/>
      <x:c r="N216" s="46"/>
      <x:c r="O216" s="46"/>
      <x:c r="P216" s="46"/>
      <x:c r="Q216" s="46"/>
      <x:c r="R216" s="46"/>
      <x:c r="S216" s="46"/>
      <x:c r="T216" s="46"/>
      <x:c r="U216" s="46"/>
      <x:c r="V216" s="46"/>
      <x:c r="W216" s="46"/>
    </x:row>
    <x:row r="217">
      <x:c r="A217" s="46"/>
      <x:c r="B217" s="46"/>
      <x:c r="C217" s="46"/>
      <x:c r="D217" s="46"/>
      <x:c r="E217" s="46"/>
      <x:c r="F217" s="46"/>
      <x:c r="G217" s="46"/>
      <x:c r="H217" s="46"/>
      <x:c r="I217" s="46"/>
      <x:c r="J217" s="46"/>
      <x:c r="K217" s="46"/>
      <x:c r="L217" s="46"/>
      <x:c r="M217" s="46"/>
      <x:c r="N217" s="46"/>
      <x:c r="O217" s="46"/>
      <x:c r="P217" s="46"/>
      <x:c r="Q217" s="46"/>
      <x:c r="R217" s="46"/>
      <x:c r="S217" s="46"/>
      <x:c r="T217" s="46"/>
      <x:c r="U217" s="46"/>
      <x:c r="V217" s="46"/>
      <x:c r="W217" s="46"/>
    </x:row>
    <x:row r="218">
      <x:c r="A218" s="46"/>
      <x:c r="B218" s="46"/>
      <x:c r="C218" s="46"/>
      <x:c r="D218" s="46"/>
      <x:c r="E218" s="46"/>
      <x:c r="F218" s="46"/>
      <x:c r="G218" s="46"/>
      <x:c r="H218" s="46"/>
      <x:c r="I218" s="46"/>
      <x:c r="J218" s="46"/>
      <x:c r="K218" s="46"/>
      <x:c r="L218" s="46"/>
      <x:c r="M218" s="46"/>
      <x:c r="N218" s="46"/>
      <x:c r="O218" s="46"/>
      <x:c r="P218" s="46"/>
      <x:c r="Q218" s="46"/>
      <x:c r="R218" s="46"/>
      <x:c r="S218" s="46"/>
      <x:c r="T218" s="46"/>
      <x:c r="U218" s="46"/>
      <x:c r="V218" s="46"/>
      <x:c r="W218" s="46"/>
    </x:row>
    <x:row r="219">
      <x:c r="A219" s="46"/>
      <x:c r="B219" s="46"/>
      <x:c r="C219" s="46"/>
      <x:c r="D219" s="46"/>
      <x:c r="E219" s="46"/>
      <x:c r="F219" s="46"/>
      <x:c r="G219" s="46"/>
      <x:c r="H219" s="46"/>
      <x:c r="I219" s="46"/>
      <x:c r="J219" s="46"/>
      <x:c r="K219" s="46"/>
      <x:c r="L219" s="46"/>
      <x:c r="M219" s="46"/>
      <x:c r="N219" s="46"/>
      <x:c r="O219" s="46"/>
      <x:c r="P219" s="46"/>
      <x:c r="Q219" s="46"/>
      <x:c r="R219" s="46"/>
      <x:c r="S219" s="46"/>
      <x:c r="T219" s="46"/>
      <x:c r="U219" s="46"/>
      <x:c r="V219" s="46"/>
      <x:c r="W219" s="46"/>
    </x:row>
    <x:row r="220">
      <x:c r="A220" s="46"/>
      <x:c r="B220" s="46"/>
      <x:c r="C220" s="46"/>
      <x:c r="D220" s="46"/>
      <x:c r="E220" s="46"/>
      <x:c r="F220" s="46"/>
      <x:c r="G220" s="46"/>
      <x:c r="H220" s="46"/>
      <x:c r="I220" s="46"/>
      <x:c r="J220" s="46"/>
      <x:c r="K220" s="46"/>
      <x:c r="L220" s="46"/>
      <x:c r="M220" s="46"/>
      <x:c r="N220" s="46"/>
      <x:c r="O220" s="46"/>
      <x:c r="P220" s="46"/>
      <x:c r="Q220" s="46"/>
      <x:c r="R220" s="46"/>
      <x:c r="S220" s="46"/>
      <x:c r="T220" s="46"/>
      <x:c r="U220" s="46"/>
      <x:c r="V220" s="46"/>
      <x:c r="W220" s="46"/>
    </x:row>
    <x:row r="221">
      <x:c r="A221" s="46"/>
      <x:c r="B221" s="46"/>
      <x:c r="C221" s="46"/>
      <x:c r="D221" s="46"/>
      <x:c r="E221" s="46"/>
      <x:c r="F221" s="46"/>
      <x:c r="G221" s="46"/>
      <x:c r="H221" s="46"/>
      <x:c r="I221" s="46"/>
      <x:c r="J221" s="46"/>
      <x:c r="K221" s="46"/>
      <x:c r="L221" s="46"/>
      <x:c r="M221" s="46"/>
      <x:c r="N221" s="46"/>
      <x:c r="O221" s="46"/>
      <x:c r="P221" s="46"/>
      <x:c r="Q221" s="46"/>
      <x:c r="R221" s="46"/>
      <x:c r="S221" s="46"/>
      <x:c r="T221" s="46"/>
      <x:c r="U221" s="46"/>
      <x:c r="V221" s="46"/>
      <x:c r="W221" s="46"/>
    </x:row>
    <x:row r="222">
      <x:c r="A222" s="46"/>
      <x:c r="B222" s="46"/>
      <x:c r="C222" s="46"/>
      <x:c r="D222" s="46"/>
      <x:c r="E222" s="46"/>
      <x:c r="F222" s="46"/>
      <x:c r="G222" s="46"/>
      <x:c r="H222" s="46"/>
      <x:c r="I222" s="46"/>
      <x:c r="J222" s="46"/>
      <x:c r="K222" s="46"/>
      <x:c r="L222" s="46"/>
      <x:c r="M222" s="46"/>
      <x:c r="N222" s="46"/>
      <x:c r="O222" s="46"/>
      <x:c r="P222" s="46"/>
      <x:c r="Q222" s="46"/>
      <x:c r="R222" s="46"/>
      <x:c r="S222" s="46"/>
      <x:c r="T222" s="46"/>
      <x:c r="U222" s="46"/>
      <x:c r="V222" s="46"/>
      <x:c r="W222" s="46"/>
    </x:row>
    <x:row r="223">
      <x:c r="A223" s="46"/>
      <x:c r="B223" s="46"/>
      <x:c r="C223" s="46"/>
      <x:c r="D223" s="46"/>
      <x:c r="E223" s="46"/>
      <x:c r="F223" s="46"/>
      <x:c r="G223" s="46"/>
      <x:c r="H223" s="46"/>
      <x:c r="I223" s="46"/>
      <x:c r="J223" s="46"/>
      <x:c r="K223" s="46"/>
      <x:c r="L223" s="46"/>
      <x:c r="M223" s="46"/>
      <x:c r="N223" s="46"/>
      <x:c r="O223" s="46"/>
      <x:c r="P223" s="46"/>
      <x:c r="Q223" s="46"/>
      <x:c r="R223" s="46"/>
      <x:c r="S223" s="46"/>
      <x:c r="T223" s="46"/>
      <x:c r="U223" s="46"/>
      <x:c r="V223" s="46"/>
      <x:c r="W223" s="46"/>
    </x:row>
    <x:row r="224">
      <x:c r="A224" s="46"/>
      <x:c r="B224" s="46"/>
      <x:c r="C224" s="46"/>
      <x:c r="D224" s="46"/>
      <x:c r="E224" s="46"/>
      <x:c r="F224" s="46"/>
      <x:c r="G224" s="46"/>
      <x:c r="H224" s="46"/>
      <x:c r="I224" s="46"/>
      <x:c r="J224" s="46"/>
      <x:c r="K224" s="46"/>
      <x:c r="L224" s="46"/>
      <x:c r="M224" s="46"/>
      <x:c r="N224" s="46"/>
      <x:c r="O224" s="46"/>
      <x:c r="P224" s="46"/>
      <x:c r="Q224" s="46"/>
      <x:c r="R224" s="46"/>
      <x:c r="S224" s="46"/>
      <x:c r="T224" s="46"/>
      <x:c r="U224" s="46"/>
      <x:c r="V224" s="46"/>
      <x:c r="W224" s="46"/>
    </x:row>
    <x:row r="225">
      <x:c r="A225" s="46"/>
      <x:c r="B225" s="46"/>
      <x:c r="C225" s="46"/>
      <x:c r="D225" s="46"/>
      <x:c r="E225" s="46"/>
      <x:c r="F225" s="46"/>
      <x:c r="G225" s="46"/>
      <x:c r="H225" s="46"/>
      <x:c r="I225" s="46"/>
      <x:c r="J225" s="46"/>
      <x:c r="K225" s="46"/>
      <x:c r="L225" s="46"/>
      <x:c r="M225" s="46"/>
      <x:c r="N225" s="46"/>
      <x:c r="O225" s="46"/>
      <x:c r="P225" s="46"/>
      <x:c r="Q225" s="46"/>
      <x:c r="R225" s="46"/>
      <x:c r="S225" s="46"/>
      <x:c r="T225" s="46"/>
      <x:c r="U225" s="46"/>
      <x:c r="V225" s="46"/>
      <x:c r="W225" s="46"/>
    </x:row>
    <x:row r="226">
      <x:c r="A226" s="46"/>
      <x:c r="B226" s="46"/>
      <x:c r="C226" s="46"/>
      <x:c r="D226" s="46"/>
      <x:c r="E226" s="46"/>
      <x:c r="F226" s="46"/>
      <x:c r="G226" s="46"/>
      <x:c r="H226" s="46"/>
      <x:c r="I226" s="46"/>
      <x:c r="J226" s="46"/>
      <x:c r="K226" s="46"/>
      <x:c r="L226" s="46"/>
      <x:c r="M226" s="46"/>
      <x:c r="N226" s="46"/>
      <x:c r="O226" s="46"/>
      <x:c r="P226" s="46"/>
      <x:c r="Q226" s="46"/>
      <x:c r="R226" s="46"/>
      <x:c r="S226" s="46"/>
      <x:c r="T226" s="46"/>
      <x:c r="U226" s="46"/>
      <x:c r="V226" s="46"/>
      <x:c r="W226" s="46"/>
    </x:row>
    <x:row r="227">
      <x:c r="A227" s="46"/>
      <x:c r="B227" s="46"/>
      <x:c r="C227" s="46"/>
      <x:c r="D227" s="46"/>
      <x:c r="E227" s="46"/>
      <x:c r="F227" s="46"/>
      <x:c r="G227" s="46"/>
      <x:c r="H227" s="46"/>
      <x:c r="I227" s="46"/>
      <x:c r="J227" s="46"/>
      <x:c r="K227" s="46"/>
      <x:c r="L227" s="46"/>
      <x:c r="M227" s="46"/>
      <x:c r="N227" s="46"/>
      <x:c r="O227" s="46"/>
      <x:c r="P227" s="46"/>
      <x:c r="Q227" s="46"/>
      <x:c r="R227" s="46"/>
      <x:c r="S227" s="46"/>
      <x:c r="T227" s="46"/>
      <x:c r="U227" s="46"/>
      <x:c r="V227" s="46"/>
      <x:c r="W227" s="46"/>
    </x:row>
    <x:row r="228">
      <x:c r="A228" s="46"/>
      <x:c r="B228" s="46"/>
      <x:c r="C228" s="46"/>
      <x:c r="D228" s="46"/>
      <x:c r="E228" s="46"/>
      <x:c r="F228" s="46"/>
      <x:c r="G228" s="46"/>
      <x:c r="H228" s="46"/>
      <x:c r="I228" s="46"/>
      <x:c r="J228" s="46"/>
      <x:c r="K228" s="46"/>
      <x:c r="L228" s="46"/>
      <x:c r="M228" s="46"/>
      <x:c r="N228" s="46"/>
      <x:c r="O228" s="46"/>
      <x:c r="P228" s="46"/>
      <x:c r="Q228" s="46"/>
      <x:c r="R228" s="46"/>
      <x:c r="S228" s="46"/>
      <x:c r="T228" s="46"/>
      <x:c r="U228" s="46"/>
      <x:c r="V228" s="46"/>
      <x:c r="W228" s="46"/>
    </x:row>
    <x:row r="229">
      <x:c r="A229" s="46"/>
      <x:c r="B229" s="46"/>
      <x:c r="C229" s="46"/>
      <x:c r="D229" s="46"/>
      <x:c r="E229" s="46"/>
      <x:c r="F229" s="46"/>
      <x:c r="G229" s="46"/>
      <x:c r="H229" s="46"/>
      <x:c r="I229" s="46"/>
      <x:c r="J229" s="46"/>
      <x:c r="K229" s="46"/>
      <x:c r="L229" s="46"/>
      <x:c r="M229" s="46"/>
      <x:c r="N229" s="46"/>
      <x:c r="O229" s="46"/>
      <x:c r="P229" s="46"/>
      <x:c r="Q229" s="46"/>
      <x:c r="R229" s="46"/>
      <x:c r="S229" s="46"/>
      <x:c r="T229" s="46"/>
      <x:c r="U229" s="46"/>
      <x:c r="V229" s="46"/>
      <x:c r="W229" s="46"/>
    </x:row>
    <x:row r="230">
      <x:c r="A230" s="46"/>
      <x:c r="B230" s="46"/>
      <x:c r="C230" s="46"/>
      <x:c r="D230" s="46"/>
      <x:c r="E230" s="46"/>
      <x:c r="F230" s="46"/>
      <x:c r="G230" s="46"/>
      <x:c r="H230" s="46"/>
      <x:c r="I230" s="46"/>
      <x:c r="J230" s="46"/>
      <x:c r="K230" s="46"/>
      <x:c r="L230" s="46"/>
      <x:c r="M230" s="46"/>
      <x:c r="N230" s="46"/>
      <x:c r="O230" s="46"/>
      <x:c r="P230" s="46"/>
      <x:c r="Q230" s="46"/>
      <x:c r="R230" s="46"/>
      <x:c r="S230" s="46"/>
      <x:c r="T230" s="46"/>
      <x:c r="U230" s="46"/>
      <x:c r="V230" s="46"/>
      <x:c r="W230" s="46"/>
    </x:row>
    <x:row r="231">
      <x:c r="A231" s="46"/>
      <x:c r="B231" s="46"/>
      <x:c r="C231" s="46"/>
      <x:c r="D231" s="46"/>
      <x:c r="E231" s="46"/>
      <x:c r="F231" s="46"/>
      <x:c r="G231" s="46"/>
      <x:c r="H231" s="46"/>
      <x:c r="I231" s="46"/>
      <x:c r="J231" s="46"/>
      <x:c r="K231" s="46"/>
      <x:c r="L231" s="46"/>
      <x:c r="M231" s="46"/>
      <x:c r="N231" s="46"/>
      <x:c r="O231" s="46"/>
      <x:c r="P231" s="46"/>
      <x:c r="Q231" s="46"/>
      <x:c r="R231" s="46"/>
      <x:c r="S231" s="46"/>
      <x:c r="T231" s="46"/>
      <x:c r="U231" s="46"/>
      <x:c r="V231" s="46"/>
      <x:c r="W231" s="46"/>
    </x:row>
    <x:row r="232">
      <x:c r="A232" s="46"/>
      <x:c r="B232" s="46"/>
      <x:c r="C232" s="46"/>
      <x:c r="D232" s="46"/>
      <x:c r="E232" s="46"/>
      <x:c r="F232" s="46"/>
      <x:c r="G232" s="46"/>
      <x:c r="H232" s="46"/>
      <x:c r="I232" s="46"/>
      <x:c r="J232" s="46"/>
      <x:c r="K232" s="46"/>
      <x:c r="L232" s="46"/>
      <x:c r="M232" s="46"/>
      <x:c r="N232" s="46"/>
      <x:c r="O232" s="46"/>
      <x:c r="P232" s="46"/>
      <x:c r="Q232" s="46"/>
      <x:c r="R232" s="46"/>
      <x:c r="S232" s="46"/>
      <x:c r="T232" s="46"/>
      <x:c r="U232" s="46"/>
      <x:c r="V232" s="46"/>
      <x:c r="W232" s="46"/>
    </x:row>
    <x:row r="233">
      <x:c r="A233" s="46"/>
      <x:c r="B233" s="46"/>
      <x:c r="C233" s="46"/>
      <x:c r="D233" s="46"/>
      <x:c r="E233" s="46"/>
      <x:c r="F233" s="46"/>
      <x:c r="G233" s="46"/>
      <x:c r="H233" s="46"/>
      <x:c r="I233" s="46"/>
      <x:c r="J233" s="46"/>
      <x:c r="K233" s="46"/>
      <x:c r="L233" s="46"/>
      <x:c r="M233" s="46"/>
      <x:c r="N233" s="46"/>
      <x:c r="O233" s="46"/>
      <x:c r="P233" s="46"/>
      <x:c r="Q233" s="46"/>
      <x:c r="R233" s="46"/>
      <x:c r="S233" s="46"/>
      <x:c r="T233" s="46"/>
      <x:c r="U233" s="46"/>
      <x:c r="V233" s="46"/>
      <x:c r="W233" s="46"/>
    </x:row>
    <x:row r="234">
      <x:c r="A234" s="46"/>
      <x:c r="B234" s="46"/>
      <x:c r="C234" s="46"/>
      <x:c r="D234" s="46"/>
      <x:c r="E234" s="46"/>
      <x:c r="F234" s="46"/>
      <x:c r="G234" s="46"/>
      <x:c r="H234" s="46"/>
      <x:c r="I234" s="46"/>
      <x:c r="J234" s="46"/>
      <x:c r="K234" s="46"/>
      <x:c r="L234" s="46"/>
      <x:c r="M234" s="46"/>
      <x:c r="N234" s="46"/>
      <x:c r="O234" s="46"/>
      <x:c r="P234" s="46"/>
      <x:c r="Q234" s="46"/>
      <x:c r="R234" s="46"/>
      <x:c r="S234" s="46"/>
      <x:c r="T234" s="46"/>
      <x:c r="U234" s="46"/>
      <x:c r="V234" s="46"/>
      <x:c r="W234" s="46"/>
    </x:row>
    <x:row r="235">
      <x:c r="A235" s="46"/>
      <x:c r="B235" s="46"/>
      <x:c r="C235" s="46"/>
      <x:c r="D235" s="46"/>
      <x:c r="E235" s="46"/>
      <x:c r="F235" s="46"/>
      <x:c r="G235" s="46"/>
      <x:c r="H235" s="46"/>
      <x:c r="I235" s="46"/>
      <x:c r="J235" s="46"/>
      <x:c r="K235" s="46"/>
      <x:c r="L235" s="46"/>
      <x:c r="M235" s="46"/>
      <x:c r="N235" s="46"/>
      <x:c r="O235" s="46"/>
      <x:c r="P235" s="46"/>
      <x:c r="Q235" s="46"/>
      <x:c r="R235" s="46"/>
      <x:c r="S235" s="46"/>
      <x:c r="T235" s="46"/>
      <x:c r="U235" s="46"/>
      <x:c r="V235" s="46"/>
      <x:c r="W235" s="46"/>
    </x:row>
    <x:row r="236">
      <x:c r="A236" s="46"/>
      <x:c r="B236" s="46"/>
      <x:c r="C236" s="46"/>
      <x:c r="D236" s="46"/>
      <x:c r="E236" s="46"/>
      <x:c r="F236" s="46"/>
      <x:c r="G236" s="46"/>
      <x:c r="H236" s="46"/>
      <x:c r="I236" s="46"/>
      <x:c r="J236" s="46"/>
      <x:c r="K236" s="46"/>
      <x:c r="L236" s="46"/>
      <x:c r="M236" s="46"/>
      <x:c r="N236" s="46"/>
      <x:c r="O236" s="46"/>
      <x:c r="P236" s="46"/>
      <x:c r="Q236" s="46"/>
      <x:c r="R236" s="46"/>
      <x:c r="S236" s="46"/>
      <x:c r="T236" s="46"/>
      <x:c r="U236" s="46"/>
      <x:c r="V236" s="46"/>
      <x:c r="W236" s="46"/>
    </x:row>
    <x:row r="237">
      <x:c r="A237" s="46"/>
      <x:c r="B237" s="46"/>
      <x:c r="C237" s="46"/>
      <x:c r="D237" s="46"/>
      <x:c r="E237" s="46"/>
      <x:c r="F237" s="46"/>
      <x:c r="G237" s="46"/>
      <x:c r="H237" s="46"/>
      <x:c r="I237" s="46"/>
      <x:c r="J237" s="46"/>
      <x:c r="K237" s="46"/>
      <x:c r="L237" s="46"/>
      <x:c r="M237" s="46"/>
      <x:c r="N237" s="46"/>
      <x:c r="O237" s="46"/>
      <x:c r="P237" s="46"/>
      <x:c r="Q237" s="46"/>
      <x:c r="R237" s="46"/>
      <x:c r="S237" s="46"/>
      <x:c r="T237" s="46"/>
      <x:c r="U237" s="46"/>
      <x:c r="V237" s="46"/>
      <x:c r="W237" s="46"/>
    </x:row>
    <x:row r="238">
      <x:c r="A238" s="46"/>
      <x:c r="B238" s="46"/>
      <x:c r="C238" s="46"/>
      <x:c r="D238" s="46"/>
      <x:c r="E238" s="46"/>
      <x:c r="F238" s="46"/>
      <x:c r="G238" s="46"/>
      <x:c r="H238" s="46"/>
      <x:c r="I238" s="46"/>
      <x:c r="J238" s="46"/>
      <x:c r="K238" s="46"/>
      <x:c r="L238" s="46"/>
      <x:c r="M238" s="46"/>
      <x:c r="N238" s="46"/>
      <x:c r="O238" s="46"/>
      <x:c r="P238" s="46"/>
      <x:c r="Q238" s="46"/>
      <x:c r="R238" s="46"/>
      <x:c r="S238" s="46"/>
      <x:c r="T238" s="46"/>
      <x:c r="U238" s="46"/>
      <x:c r="V238" s="46"/>
      <x:c r="W238" s="46"/>
    </x:row>
    <x:row r="239">
      <x:c r="A239" s="46"/>
      <x:c r="B239" s="46"/>
      <x:c r="C239" s="46"/>
      <x:c r="D239" s="46"/>
      <x:c r="E239" s="46"/>
      <x:c r="F239" s="46"/>
      <x:c r="G239" s="46"/>
      <x:c r="H239" s="46"/>
      <x:c r="I239" s="46"/>
      <x:c r="J239" s="46"/>
      <x:c r="K239" s="46"/>
      <x:c r="L239" s="46"/>
      <x:c r="M239" s="46"/>
      <x:c r="N239" s="46"/>
      <x:c r="O239" s="46"/>
      <x:c r="P239" s="46"/>
      <x:c r="Q239" s="46"/>
      <x:c r="R239" s="46"/>
      <x:c r="S239" s="46"/>
      <x:c r="T239" s="46"/>
      <x:c r="U239" s="46"/>
      <x:c r="V239" s="46"/>
      <x:c r="W239" s="46"/>
    </x:row>
    <x:row r="240">
      <x:c r="A240" s="46"/>
      <x:c r="B240" s="46"/>
      <x:c r="C240" s="46"/>
      <x:c r="D240" s="46"/>
      <x:c r="E240" s="46"/>
      <x:c r="F240" s="46"/>
      <x:c r="G240" s="46"/>
      <x:c r="H240" s="46"/>
      <x:c r="I240" s="46"/>
      <x:c r="J240" s="46"/>
      <x:c r="K240" s="46"/>
      <x:c r="L240" s="46"/>
      <x:c r="M240" s="46"/>
      <x:c r="N240" s="46"/>
      <x:c r="O240" s="46"/>
      <x:c r="P240" s="46"/>
      <x:c r="Q240" s="46"/>
      <x:c r="R240" s="46"/>
      <x:c r="S240" s="46"/>
      <x:c r="T240" s="46"/>
      <x:c r="U240" s="46"/>
      <x:c r="V240" s="46"/>
      <x:c r="W240" s="46"/>
    </x:row>
    <x:row r="241">
      <x:c r="A241" s="46"/>
      <x:c r="B241" s="46"/>
      <x:c r="C241" s="46"/>
      <x:c r="D241" s="46"/>
      <x:c r="E241" s="46"/>
      <x:c r="F241" s="46"/>
      <x:c r="G241" s="46"/>
      <x:c r="H241" s="46"/>
      <x:c r="I241" s="46"/>
      <x:c r="J241" s="46"/>
      <x:c r="K241" s="46"/>
      <x:c r="L241" s="46"/>
      <x:c r="M241" s="46"/>
      <x:c r="N241" s="46"/>
      <x:c r="O241" s="46"/>
      <x:c r="P241" s="46"/>
      <x:c r="Q241" s="46"/>
      <x:c r="R241" s="46"/>
      <x:c r="S241" s="46"/>
      <x:c r="T241" s="46"/>
      <x:c r="U241" s="46"/>
      <x:c r="V241" s="46"/>
      <x:c r="W241" s="46"/>
    </x:row>
    <x:row r="242">
      <x:c r="A242" s="46"/>
      <x:c r="B242" s="46"/>
      <x:c r="C242" s="46"/>
      <x:c r="D242" s="46"/>
      <x:c r="E242" s="46"/>
      <x:c r="F242" s="46"/>
      <x:c r="G242" s="46"/>
      <x:c r="H242" s="46"/>
      <x:c r="I242" s="46"/>
      <x:c r="J242" s="46"/>
      <x:c r="K242" s="46"/>
      <x:c r="L242" s="46"/>
      <x:c r="M242" s="46"/>
      <x:c r="N242" s="46"/>
      <x:c r="O242" s="46"/>
      <x:c r="P242" s="46"/>
      <x:c r="Q242" s="46"/>
      <x:c r="R242" s="46"/>
      <x:c r="S242" s="46"/>
      <x:c r="T242" s="46"/>
      <x:c r="U242" s="46"/>
      <x:c r="V242" s="46"/>
      <x:c r="W242" s="46"/>
    </x:row>
    <x:row r="243">
      <x:c r="A243" s="46"/>
      <x:c r="B243" s="46"/>
      <x:c r="C243" s="46"/>
      <x:c r="D243" s="46"/>
      <x:c r="E243" s="46"/>
      <x:c r="F243" s="46"/>
      <x:c r="G243" s="46"/>
      <x:c r="H243" s="46"/>
      <x:c r="I243" s="46"/>
      <x:c r="J243" s="46"/>
      <x:c r="K243" s="46"/>
      <x:c r="L243" s="46"/>
      <x:c r="M243" s="46"/>
      <x:c r="N243" s="46"/>
      <x:c r="O243" s="46"/>
      <x:c r="P243" s="46"/>
      <x:c r="Q243" s="46"/>
      <x:c r="R243" s="46"/>
      <x:c r="S243" s="46"/>
      <x:c r="T243" s="46"/>
      <x:c r="U243" s="46"/>
      <x:c r="V243" s="46"/>
      <x:c r="W243" s="46"/>
    </x:row>
    <x:row r="244">
      <x:c r="A244" s="46"/>
      <x:c r="B244" s="46"/>
      <x:c r="C244" s="46"/>
      <x:c r="D244" s="46"/>
      <x:c r="E244" s="46"/>
      <x:c r="F244" s="46"/>
      <x:c r="G244" s="46"/>
      <x:c r="H244" s="46"/>
      <x:c r="I244" s="46"/>
      <x:c r="J244" s="46"/>
      <x:c r="K244" s="46"/>
      <x:c r="L244" s="46"/>
      <x:c r="M244" s="46"/>
      <x:c r="N244" s="46"/>
      <x:c r="O244" s="46"/>
      <x:c r="P244" s="46"/>
      <x:c r="Q244" s="46"/>
      <x:c r="R244" s="46"/>
      <x:c r="S244" s="46"/>
      <x:c r="T244" s="46"/>
      <x:c r="U244" s="46"/>
      <x:c r="V244" s="46"/>
      <x:c r="W244" s="46"/>
    </x:row>
    <x:row r="245">
      <x:c r="A245" s="46"/>
      <x:c r="B245" s="46"/>
      <x:c r="C245" s="46"/>
      <x:c r="D245" s="46"/>
      <x:c r="E245" s="46"/>
      <x:c r="F245" s="46"/>
      <x:c r="G245" s="46"/>
      <x:c r="H245" s="46"/>
      <x:c r="I245" s="46"/>
      <x:c r="J245" s="46"/>
      <x:c r="K245" s="46"/>
      <x:c r="L245" s="46"/>
      <x:c r="M245" s="46"/>
      <x:c r="N245" s="46"/>
      <x:c r="O245" s="46"/>
      <x:c r="P245" s="46"/>
      <x:c r="Q245" s="46"/>
      <x:c r="R245" s="46"/>
      <x:c r="S245" s="46"/>
      <x:c r="T245" s="46"/>
      <x:c r="U245" s="46"/>
      <x:c r="V245" s="46"/>
      <x:c r="W245" s="46"/>
    </x:row>
    <x:row r="246">
      <x:c r="A246" s="46"/>
      <x:c r="B246" s="46"/>
      <x:c r="C246" s="46"/>
      <x:c r="D246" s="46"/>
      <x:c r="E246" s="46"/>
      <x:c r="F246" s="46"/>
      <x:c r="G246" s="46"/>
      <x:c r="H246" s="46"/>
      <x:c r="I246" s="46"/>
      <x:c r="J246" s="46"/>
      <x:c r="K246" s="46"/>
      <x:c r="L246" s="46"/>
      <x:c r="M246" s="46"/>
      <x:c r="N246" s="46"/>
      <x:c r="O246" s="46"/>
      <x:c r="P246" s="46"/>
      <x:c r="Q246" s="46"/>
      <x:c r="R246" s="46"/>
      <x:c r="S246" s="46"/>
      <x:c r="T246" s="46"/>
      <x:c r="U246" s="46"/>
      <x:c r="V246" s="46"/>
      <x:c r="W246" s="46"/>
    </x:row>
    <x:row r="247">
      <x:c r="A247" s="46"/>
      <x:c r="B247" s="46"/>
      <x:c r="C247" s="46"/>
      <x:c r="D247" s="46"/>
      <x:c r="E247" s="46"/>
      <x:c r="F247" s="46"/>
      <x:c r="G247" s="46"/>
      <x:c r="H247" s="46"/>
      <x:c r="I247" s="46"/>
      <x:c r="J247" s="46"/>
      <x:c r="K247" s="46"/>
      <x:c r="L247" s="46"/>
      <x:c r="M247" s="46"/>
      <x:c r="N247" s="46"/>
      <x:c r="O247" s="46"/>
      <x:c r="P247" s="46"/>
      <x:c r="Q247" s="46"/>
      <x:c r="R247" s="46"/>
      <x:c r="S247" s="46"/>
      <x:c r="T247" s="46"/>
      <x:c r="U247" s="46"/>
      <x:c r="V247" s="46"/>
      <x:c r="W247" s="46"/>
    </x:row>
    <x:row r="248">
      <x:c r="A248" s="46"/>
      <x:c r="B248" s="46"/>
      <x:c r="C248" s="46"/>
      <x:c r="D248" s="46"/>
      <x:c r="E248" s="46"/>
      <x:c r="F248" s="46"/>
      <x:c r="G248" s="46"/>
      <x:c r="H248" s="46"/>
      <x:c r="I248" s="46"/>
      <x:c r="J248" s="46"/>
      <x:c r="K248" s="46"/>
      <x:c r="L248" s="46"/>
      <x:c r="M248" s="46"/>
      <x:c r="N248" s="46"/>
      <x:c r="O248" s="46"/>
      <x:c r="P248" s="46"/>
      <x:c r="Q248" s="46"/>
      <x:c r="R248" s="46"/>
      <x:c r="S248" s="46"/>
      <x:c r="T248" s="46"/>
      <x:c r="U248" s="46"/>
      <x:c r="V248" s="46"/>
      <x:c r="W248" s="46"/>
    </x:row>
    <x:row r="249">
      <x:c r="A249" s="46"/>
      <x:c r="B249" s="46"/>
      <x:c r="C249" s="46"/>
      <x:c r="D249" s="46"/>
      <x:c r="E249" s="46"/>
      <x:c r="F249" s="46"/>
      <x:c r="G249" s="46"/>
      <x:c r="H249" s="46"/>
      <x:c r="I249" s="46"/>
      <x:c r="J249" s="46"/>
      <x:c r="K249" s="46"/>
      <x:c r="L249" s="46"/>
      <x:c r="M249" s="46"/>
      <x:c r="N249" s="46"/>
      <x:c r="O249" s="46"/>
      <x:c r="P249" s="46"/>
      <x:c r="Q249" s="46"/>
      <x:c r="R249" s="46"/>
      <x:c r="S249" s="46"/>
      <x:c r="T249" s="46"/>
      <x:c r="U249" s="46"/>
      <x:c r="V249" s="46"/>
      <x:c r="W249" s="46"/>
    </x:row>
    <x:row r="250">
      <x:c r="A250" s="46"/>
      <x:c r="B250" s="46"/>
      <x:c r="C250" s="46"/>
      <x:c r="D250" s="46"/>
      <x:c r="E250" s="46"/>
      <x:c r="F250" s="46"/>
      <x:c r="G250" s="46"/>
      <x:c r="H250" s="46"/>
      <x:c r="I250" s="46"/>
      <x:c r="J250" s="46"/>
      <x:c r="K250" s="46"/>
      <x:c r="L250" s="46"/>
      <x:c r="M250" s="46"/>
      <x:c r="N250" s="46"/>
      <x:c r="O250" s="46"/>
      <x:c r="P250" s="46"/>
      <x:c r="Q250" s="46"/>
      <x:c r="R250" s="46"/>
      <x:c r="S250" s="46"/>
      <x:c r="T250" s="46"/>
      <x:c r="U250" s="46"/>
      <x:c r="V250" s="46"/>
      <x:c r="W250" s="46"/>
    </x:row>
    <x:row r="251">
      <x:c r="A251" s="46"/>
      <x:c r="B251" s="46"/>
      <x:c r="C251" s="46"/>
      <x:c r="D251" s="46"/>
      <x:c r="E251" s="46"/>
      <x:c r="F251" s="46"/>
      <x:c r="G251" s="46"/>
      <x:c r="H251" s="46"/>
      <x:c r="I251" s="46"/>
      <x:c r="J251" s="46"/>
      <x:c r="K251" s="46"/>
      <x:c r="L251" s="46"/>
      <x:c r="M251" s="46"/>
      <x:c r="N251" s="46"/>
      <x:c r="O251" s="46"/>
      <x:c r="P251" s="46"/>
      <x:c r="Q251" s="46"/>
      <x:c r="R251" s="46"/>
      <x:c r="S251" s="46"/>
      <x:c r="T251" s="46"/>
      <x:c r="U251" s="46"/>
      <x:c r="V251" s="46"/>
      <x:c r="W251" s="46"/>
    </x:row>
    <x:row r="252">
      <x:c r="A252" s="46"/>
      <x:c r="B252" s="46"/>
      <x:c r="C252" s="46"/>
      <x:c r="D252" s="46"/>
      <x:c r="E252" s="46"/>
      <x:c r="F252" s="46"/>
      <x:c r="G252" s="46"/>
      <x:c r="H252" s="46"/>
      <x:c r="I252" s="46"/>
      <x:c r="J252" s="46"/>
      <x:c r="K252" s="46"/>
      <x:c r="L252" s="46"/>
      <x:c r="M252" s="46"/>
      <x:c r="N252" s="46"/>
      <x:c r="O252" s="46"/>
      <x:c r="P252" s="46"/>
      <x:c r="Q252" s="46"/>
      <x:c r="R252" s="46"/>
      <x:c r="S252" s="46"/>
      <x:c r="T252" s="46"/>
      <x:c r="U252" s="46"/>
      <x:c r="V252" s="46"/>
      <x:c r="W252" s="46"/>
    </x:row>
    <x:row r="253">
      <x:c r="A253" s="46"/>
      <x:c r="B253" s="46"/>
      <x:c r="C253" s="46"/>
      <x:c r="D253" s="46"/>
      <x:c r="E253" s="46"/>
      <x:c r="F253" s="46"/>
      <x:c r="G253" s="46"/>
      <x:c r="H253" s="46"/>
      <x:c r="I253" s="46"/>
      <x:c r="J253" s="46"/>
      <x:c r="K253" s="46"/>
      <x:c r="L253" s="46"/>
      <x:c r="M253" s="46"/>
      <x:c r="N253" s="46"/>
      <x:c r="O253" s="46"/>
      <x:c r="P253" s="46"/>
      <x:c r="Q253" s="46"/>
      <x:c r="R253" s="46"/>
      <x:c r="S253" s="46"/>
      <x:c r="T253" s="46"/>
      <x:c r="U253" s="46"/>
      <x:c r="V253" s="46"/>
      <x:c r="W253" s="46"/>
    </x:row>
    <x:row r="254">
      <x:c r="A254" s="46"/>
      <x:c r="B254" s="46"/>
      <x:c r="C254" s="46"/>
      <x:c r="D254" s="46"/>
      <x:c r="E254" s="46"/>
      <x:c r="F254" s="46"/>
      <x:c r="G254" s="46"/>
      <x:c r="H254" s="46"/>
      <x:c r="I254" s="46"/>
      <x:c r="J254" s="46"/>
      <x:c r="K254" s="46"/>
      <x:c r="L254" s="46"/>
      <x:c r="M254" s="46"/>
      <x:c r="N254" s="46"/>
      <x:c r="O254" s="46"/>
      <x:c r="P254" s="46"/>
      <x:c r="Q254" s="46"/>
      <x:c r="R254" s="46"/>
      <x:c r="S254" s="46"/>
      <x:c r="T254" s="46"/>
      <x:c r="U254" s="46"/>
      <x:c r="V254" s="46"/>
      <x:c r="W254" s="46"/>
    </x:row>
    <x:row r="255">
      <x:c r="A255" s="46"/>
      <x:c r="B255" s="46"/>
      <x:c r="C255" s="46"/>
      <x:c r="D255" s="46"/>
      <x:c r="E255" s="46"/>
      <x:c r="F255" s="46"/>
      <x:c r="G255" s="46"/>
      <x:c r="H255" s="46"/>
      <x:c r="I255" s="46"/>
      <x:c r="J255" s="46"/>
      <x:c r="K255" s="46"/>
      <x:c r="L255" s="46"/>
      <x:c r="M255" s="46"/>
      <x:c r="N255" s="46"/>
      <x:c r="O255" s="46"/>
      <x:c r="P255" s="46"/>
      <x:c r="Q255" s="46"/>
      <x:c r="R255" s="46"/>
      <x:c r="S255" s="46"/>
      <x:c r="T255" s="46"/>
      <x:c r="U255" s="46"/>
      <x:c r="V255" s="46"/>
      <x:c r="W255" s="46"/>
    </x:row>
    <x:row r="256">
      <x:c r="A256" s="46"/>
      <x:c r="B256" s="46"/>
      <x:c r="C256" s="46"/>
      <x:c r="D256" s="46"/>
      <x:c r="E256" s="46"/>
      <x:c r="F256" s="46"/>
      <x:c r="G256" s="46"/>
      <x:c r="H256" s="46"/>
      <x:c r="I256" s="46"/>
      <x:c r="J256" s="46"/>
      <x:c r="K256" s="46"/>
      <x:c r="L256" s="46"/>
      <x:c r="M256" s="46"/>
      <x:c r="N256" s="46"/>
      <x:c r="O256" s="46"/>
      <x:c r="P256" s="46"/>
      <x:c r="Q256" s="46"/>
      <x:c r="R256" s="46"/>
      <x:c r="S256" s="46"/>
      <x:c r="T256" s="46"/>
      <x:c r="U256" s="46"/>
      <x:c r="V256" s="46"/>
      <x:c r="W256" s="46"/>
    </x:row>
    <x:row r="257">
      <x:c r="A257" s="46"/>
      <x:c r="B257" s="46"/>
      <x:c r="C257" s="46"/>
      <x:c r="D257" s="46"/>
      <x:c r="E257" s="46"/>
      <x:c r="F257" s="46"/>
      <x:c r="G257" s="46"/>
      <x:c r="H257" s="46"/>
      <x:c r="I257" s="46"/>
      <x:c r="J257" s="46"/>
      <x:c r="K257" s="46"/>
      <x:c r="L257" s="46"/>
      <x:c r="M257" s="46"/>
      <x:c r="N257" s="46"/>
      <x:c r="O257" s="46"/>
      <x:c r="P257" s="46"/>
      <x:c r="Q257" s="46"/>
      <x:c r="R257" s="46"/>
      <x:c r="S257" s="46"/>
      <x:c r="T257" s="46"/>
      <x:c r="U257" s="46"/>
      <x:c r="V257" s="46"/>
      <x:c r="W257" s="46"/>
    </x:row>
    <x:row r="258">
      <x:c r="A258" s="46"/>
      <x:c r="B258" s="46"/>
      <x:c r="C258" s="46"/>
      <x:c r="D258" s="46"/>
      <x:c r="E258" s="46"/>
      <x:c r="F258" s="46"/>
      <x:c r="G258" s="46"/>
      <x:c r="H258" s="46"/>
      <x:c r="I258" s="46"/>
      <x:c r="J258" s="46"/>
      <x:c r="K258" s="46"/>
      <x:c r="L258" s="46"/>
      <x:c r="M258" s="46"/>
      <x:c r="N258" s="46"/>
      <x:c r="O258" s="46"/>
      <x:c r="P258" s="46"/>
      <x:c r="Q258" s="46"/>
      <x:c r="R258" s="46"/>
      <x:c r="S258" s="46"/>
      <x:c r="T258" s="46"/>
      <x:c r="U258" s="46"/>
      <x:c r="V258" s="46"/>
      <x:c r="W258" s="46"/>
    </x:row>
    <x:row r="259">
      <x:c r="A259" s="46"/>
      <x:c r="B259" s="46"/>
      <x:c r="C259" s="46"/>
      <x:c r="D259" s="46"/>
      <x:c r="E259" s="46"/>
      <x:c r="F259" s="46"/>
      <x:c r="G259" s="46"/>
      <x:c r="H259" s="46"/>
      <x:c r="I259" s="46"/>
      <x:c r="J259" s="46"/>
      <x:c r="K259" s="46"/>
      <x:c r="L259" s="46"/>
      <x:c r="M259" s="46"/>
      <x:c r="N259" s="46"/>
      <x:c r="O259" s="46"/>
      <x:c r="P259" s="46"/>
      <x:c r="Q259" s="46"/>
      <x:c r="R259" s="46"/>
      <x:c r="S259" s="46"/>
      <x:c r="T259" s="46"/>
      <x:c r="U259" s="46"/>
      <x:c r="V259" s="46"/>
      <x:c r="W259" s="46"/>
    </x:row>
    <x:row r="260">
      <x:c r="A260" s="46"/>
      <x:c r="B260" s="46"/>
      <x:c r="C260" s="46"/>
      <x:c r="D260" s="46"/>
      <x:c r="E260" s="46"/>
      <x:c r="F260" s="46"/>
      <x:c r="G260" s="46"/>
      <x:c r="H260" s="46"/>
      <x:c r="I260" s="46"/>
      <x:c r="J260" s="46"/>
      <x:c r="K260" s="46"/>
      <x:c r="L260" s="46"/>
      <x:c r="M260" s="46"/>
      <x:c r="N260" s="46"/>
      <x:c r="O260" s="46"/>
      <x:c r="P260" s="46"/>
      <x:c r="Q260" s="46"/>
      <x:c r="R260" s="46"/>
      <x:c r="S260" s="46"/>
      <x:c r="T260" s="46"/>
      <x:c r="U260" s="46"/>
      <x:c r="V260" s="46"/>
      <x:c r="W260" s="46"/>
    </x:row>
    <x:row r="261">
      <x:c r="A261" s="46"/>
      <x:c r="B261" s="46"/>
      <x:c r="C261" s="46"/>
      <x:c r="D261" s="46"/>
      <x:c r="E261" s="46"/>
      <x:c r="F261" s="46"/>
      <x:c r="G261" s="46"/>
      <x:c r="H261" s="46"/>
      <x:c r="I261" s="46"/>
      <x:c r="J261" s="46"/>
      <x:c r="K261" s="46"/>
      <x:c r="L261" s="46"/>
      <x:c r="M261" s="46"/>
      <x:c r="N261" s="46"/>
      <x:c r="O261" s="46"/>
      <x:c r="P261" s="46"/>
      <x:c r="Q261" s="46"/>
      <x:c r="R261" s="46"/>
      <x:c r="S261" s="46"/>
      <x:c r="T261" s="46"/>
      <x:c r="U261" s="46"/>
      <x:c r="V261" s="46"/>
      <x:c r="W261" s="46"/>
    </x:row>
    <x:row r="262">
      <x:c r="A262" s="46"/>
      <x:c r="B262" s="46"/>
      <x:c r="C262" s="46"/>
      <x:c r="D262" s="46"/>
      <x:c r="E262" s="46"/>
      <x:c r="F262" s="46"/>
      <x:c r="G262" s="46"/>
      <x:c r="H262" s="46"/>
      <x:c r="I262" s="46"/>
      <x:c r="J262" s="46"/>
      <x:c r="K262" s="46"/>
      <x:c r="L262" s="46"/>
      <x:c r="M262" s="46"/>
      <x:c r="N262" s="46"/>
      <x:c r="O262" s="46"/>
      <x:c r="P262" s="46"/>
      <x:c r="Q262" s="46"/>
      <x:c r="R262" s="46"/>
      <x:c r="S262" s="46"/>
      <x:c r="T262" s="46"/>
      <x:c r="U262" s="46"/>
      <x:c r="V262" s="46"/>
      <x:c r="W262" s="46"/>
    </x:row>
    <x:row r="263">
      <x:c r="A263" s="46"/>
      <x:c r="B263" s="46"/>
      <x:c r="C263" s="46"/>
      <x:c r="D263" s="46"/>
      <x:c r="E263" s="46"/>
      <x:c r="F263" s="46"/>
      <x:c r="G263" s="46"/>
      <x:c r="H263" s="46"/>
      <x:c r="I263" s="46"/>
      <x:c r="J263" s="46"/>
      <x:c r="K263" s="46"/>
      <x:c r="L263" s="46"/>
      <x:c r="M263" s="46"/>
      <x:c r="N263" s="46"/>
      <x:c r="O263" s="46"/>
      <x:c r="P263" s="46"/>
      <x:c r="Q263" s="46"/>
      <x:c r="R263" s="46"/>
      <x:c r="S263" s="46"/>
      <x:c r="T263" s="46"/>
      <x:c r="U263" s="46"/>
      <x:c r="V263" s="46"/>
      <x:c r="W263" s="46"/>
    </x:row>
    <x:row r="264">
      <x:c r="A264" s="46"/>
      <x:c r="B264" s="46"/>
      <x:c r="C264" s="46"/>
      <x:c r="D264" s="46"/>
      <x:c r="E264" s="46"/>
      <x:c r="F264" s="46"/>
      <x:c r="G264" s="46"/>
      <x:c r="H264" s="46"/>
      <x:c r="I264" s="46"/>
      <x:c r="J264" s="46"/>
      <x:c r="K264" s="46"/>
      <x:c r="L264" s="46"/>
      <x:c r="M264" s="46"/>
      <x:c r="N264" s="46"/>
      <x:c r="O264" s="46"/>
      <x:c r="P264" s="46"/>
      <x:c r="Q264" s="46"/>
      <x:c r="R264" s="46"/>
      <x:c r="S264" s="46"/>
      <x:c r="T264" s="46"/>
      <x:c r="U264" s="46"/>
      <x:c r="V264" s="46"/>
      <x:c r="W264" s="46"/>
    </x:row>
    <x:row r="265">
      <x:c r="A265" s="46"/>
      <x:c r="B265" s="46"/>
      <x:c r="C265" s="46"/>
      <x:c r="D265" s="46"/>
      <x:c r="E265" s="46"/>
      <x:c r="F265" s="46"/>
      <x:c r="G265" s="46"/>
      <x:c r="H265" s="46"/>
      <x:c r="I265" s="46"/>
      <x:c r="J265" s="46"/>
      <x:c r="K265" s="46"/>
      <x:c r="L265" s="46"/>
      <x:c r="M265" s="46"/>
      <x:c r="N265" s="46"/>
      <x:c r="O265" s="46"/>
      <x:c r="P265" s="46"/>
      <x:c r="Q265" s="46"/>
      <x:c r="R265" s="46"/>
      <x:c r="S265" s="46"/>
      <x:c r="T265" s="46"/>
      <x:c r="U265" s="46"/>
      <x:c r="V265" s="46"/>
      <x:c r="W265" s="46"/>
    </x:row>
    <x:row r="266">
      <x:c r="A266" s="46"/>
      <x:c r="B266" s="46"/>
      <x:c r="C266" s="46"/>
      <x:c r="D266" s="46"/>
      <x:c r="E266" s="46"/>
      <x:c r="F266" s="46"/>
      <x:c r="G266" s="46"/>
      <x:c r="H266" s="46"/>
      <x:c r="I266" s="46"/>
      <x:c r="J266" s="46"/>
      <x:c r="K266" s="46"/>
      <x:c r="L266" s="46"/>
      <x:c r="M266" s="46"/>
      <x:c r="N266" s="46"/>
      <x:c r="O266" s="46"/>
      <x:c r="P266" s="46"/>
      <x:c r="Q266" s="46"/>
      <x:c r="R266" s="46"/>
      <x:c r="S266" s="46"/>
      <x:c r="T266" s="46"/>
      <x:c r="U266" s="46"/>
      <x:c r="V266" s="46"/>
      <x:c r="W266" s="46"/>
    </x:row>
    <x:row r="267">
      <x:c r="A267" s="46"/>
      <x:c r="B267" s="46"/>
      <x:c r="C267" s="46"/>
      <x:c r="D267" s="46"/>
      <x:c r="E267" s="46"/>
      <x:c r="F267" s="46"/>
      <x:c r="G267" s="46"/>
      <x:c r="H267" s="46"/>
      <x:c r="I267" s="46"/>
      <x:c r="J267" s="46"/>
      <x:c r="K267" s="46"/>
      <x:c r="L267" s="46"/>
      <x:c r="M267" s="46"/>
      <x:c r="N267" s="46"/>
      <x:c r="O267" s="46"/>
      <x:c r="P267" s="46"/>
      <x:c r="Q267" s="46"/>
      <x:c r="R267" s="46"/>
      <x:c r="S267" s="46"/>
      <x:c r="T267" s="46"/>
      <x:c r="U267" s="46"/>
      <x:c r="V267" s="46"/>
      <x:c r="W267" s="46"/>
    </x:row>
    <x:row r="268">
      <x:c r="A268" s="46"/>
      <x:c r="B268" s="46"/>
      <x:c r="C268" s="46"/>
      <x:c r="D268" s="46"/>
      <x:c r="E268" s="46"/>
      <x:c r="F268" s="46"/>
      <x:c r="G268" s="46"/>
      <x:c r="H268" s="46"/>
      <x:c r="I268" s="46"/>
      <x:c r="J268" s="46"/>
      <x:c r="K268" s="46"/>
      <x:c r="L268" s="46"/>
      <x:c r="M268" s="46"/>
      <x:c r="N268" s="46"/>
      <x:c r="O268" s="46"/>
      <x:c r="P268" s="46"/>
      <x:c r="Q268" s="46"/>
      <x:c r="R268" s="46"/>
      <x:c r="S268" s="46"/>
      <x:c r="T268" s="46"/>
      <x:c r="U268" s="46"/>
      <x:c r="V268" s="46"/>
      <x:c r="W268" s="46"/>
    </x:row>
    <x:row r="269">
      <x:c r="A269" s="46"/>
      <x:c r="B269" s="46"/>
      <x:c r="C269" s="46"/>
      <x:c r="D269" s="46"/>
      <x:c r="E269" s="46"/>
      <x:c r="F269" s="46"/>
      <x:c r="G269" s="46"/>
      <x:c r="H269" s="46"/>
      <x:c r="I269" s="46"/>
      <x:c r="J269" s="46"/>
      <x:c r="K269" s="46"/>
      <x:c r="L269" s="46"/>
      <x:c r="M269" s="46"/>
      <x:c r="N269" s="46"/>
      <x:c r="O269" s="46"/>
      <x:c r="P269" s="46"/>
      <x:c r="Q269" s="46"/>
      <x:c r="R269" s="46"/>
      <x:c r="S269" s="46"/>
      <x:c r="T269" s="46"/>
      <x:c r="U269" s="46"/>
      <x:c r="V269" s="46"/>
      <x:c r="W269" s="46"/>
    </x:row>
    <x:row r="270">
      <x:c r="A270" s="46"/>
      <x:c r="B270" s="46"/>
      <x:c r="C270" s="46"/>
      <x:c r="D270" s="46"/>
      <x:c r="E270" s="46"/>
      <x:c r="F270" s="46"/>
      <x:c r="G270" s="46"/>
      <x:c r="H270" s="46"/>
      <x:c r="I270" s="46"/>
      <x:c r="J270" s="46"/>
      <x:c r="K270" s="46"/>
      <x:c r="L270" s="46"/>
      <x:c r="M270" s="46"/>
      <x:c r="N270" s="46"/>
      <x:c r="O270" s="46"/>
      <x:c r="P270" s="46"/>
      <x:c r="Q270" s="46"/>
      <x:c r="R270" s="46"/>
      <x:c r="S270" s="46"/>
      <x:c r="T270" s="46"/>
      <x:c r="U270" s="46"/>
      <x:c r="V270" s="46"/>
      <x:c r="W270" s="46"/>
    </x:row>
    <x:row r="271">
      <x:c r="A271" s="46"/>
      <x:c r="B271" s="46"/>
      <x:c r="C271" s="46"/>
      <x:c r="D271" s="46"/>
      <x:c r="E271" s="46"/>
      <x:c r="F271" s="46"/>
      <x:c r="G271" s="46"/>
      <x:c r="H271" s="46"/>
      <x:c r="I271" s="46"/>
      <x:c r="J271" s="46"/>
      <x:c r="K271" s="46"/>
      <x:c r="L271" s="46"/>
      <x:c r="M271" s="46"/>
      <x:c r="N271" s="46"/>
      <x:c r="O271" s="46"/>
      <x:c r="P271" s="46"/>
      <x:c r="Q271" s="46"/>
      <x:c r="R271" s="46"/>
      <x:c r="S271" s="46"/>
      <x:c r="T271" s="46"/>
      <x:c r="U271" s="46"/>
      <x:c r="V271" s="46"/>
      <x:c r="W271" s="46"/>
    </x:row>
    <x:row r="272">
      <x:c r="A272" s="46"/>
      <x:c r="B272" s="46"/>
      <x:c r="C272" s="46"/>
      <x:c r="D272" s="46"/>
      <x:c r="E272" s="46"/>
      <x:c r="F272" s="46"/>
      <x:c r="G272" s="46"/>
      <x:c r="H272" s="46"/>
      <x:c r="I272" s="46"/>
      <x:c r="J272" s="46"/>
      <x:c r="K272" s="46"/>
      <x:c r="L272" s="46"/>
      <x:c r="M272" s="46"/>
      <x:c r="N272" s="46"/>
      <x:c r="O272" s="46"/>
      <x:c r="P272" s="46"/>
      <x:c r="Q272" s="46"/>
      <x:c r="R272" s="46"/>
      <x:c r="S272" s="46"/>
      <x:c r="T272" s="46"/>
      <x:c r="U272" s="46"/>
      <x:c r="V272" s="46"/>
      <x:c r="W272" s="46"/>
    </x:row>
    <x:row r="273">
      <x:c r="A273" s="46"/>
      <x:c r="B273" s="46"/>
      <x:c r="C273" s="46"/>
      <x:c r="D273" s="46"/>
      <x:c r="E273" s="46"/>
      <x:c r="F273" s="46"/>
      <x:c r="G273" s="46"/>
      <x:c r="H273" s="46"/>
      <x:c r="I273" s="46"/>
      <x:c r="J273" s="46"/>
      <x:c r="K273" s="46"/>
      <x:c r="L273" s="46"/>
      <x:c r="M273" s="46"/>
      <x:c r="N273" s="46"/>
      <x:c r="O273" s="46"/>
      <x:c r="P273" s="46"/>
      <x:c r="Q273" s="46"/>
      <x:c r="R273" s="46"/>
      <x:c r="S273" s="46"/>
      <x:c r="T273" s="46"/>
      <x:c r="U273" s="46"/>
      <x:c r="V273" s="46"/>
      <x:c r="W273" s="46"/>
    </x:row>
    <x:row r="274">
      <x:c r="A274" s="46"/>
      <x:c r="B274" s="46"/>
      <x:c r="C274" s="46"/>
      <x:c r="D274" s="46"/>
      <x:c r="E274" s="46"/>
      <x:c r="F274" s="46"/>
      <x:c r="G274" s="46"/>
      <x:c r="H274" s="46"/>
      <x:c r="I274" s="46"/>
      <x:c r="J274" s="46"/>
      <x:c r="K274" s="46"/>
      <x:c r="L274" s="46"/>
      <x:c r="M274" s="46"/>
      <x:c r="N274" s="46"/>
      <x:c r="O274" s="46"/>
      <x:c r="P274" s="46"/>
      <x:c r="Q274" s="46"/>
      <x:c r="R274" s="46"/>
      <x:c r="S274" s="46"/>
      <x:c r="T274" s="46"/>
      <x:c r="U274" s="46"/>
      <x:c r="V274" s="46"/>
      <x:c r="W274" s="46"/>
    </x:row>
    <x:row r="275">
      <x:c r="A275" s="46"/>
      <x:c r="B275" s="46"/>
      <x:c r="C275" s="46"/>
      <x:c r="D275" s="46"/>
      <x:c r="E275" s="46"/>
      <x:c r="F275" s="46"/>
      <x:c r="G275" s="46"/>
      <x:c r="H275" s="46"/>
      <x:c r="I275" s="46"/>
      <x:c r="J275" s="46"/>
      <x:c r="K275" s="46"/>
      <x:c r="L275" s="46"/>
      <x:c r="M275" s="46"/>
      <x:c r="N275" s="46"/>
      <x:c r="O275" s="46"/>
      <x:c r="P275" s="46"/>
      <x:c r="Q275" s="46"/>
      <x:c r="R275" s="46"/>
      <x:c r="S275" s="46"/>
      <x:c r="T275" s="46"/>
      <x:c r="U275" s="46"/>
      <x:c r="V275" s="46"/>
      <x:c r="W275" s="46"/>
    </x:row>
    <x:row r="276">
      <x:c r="A276" s="46"/>
      <x:c r="B276" s="46"/>
      <x:c r="C276" s="46"/>
      <x:c r="D276" s="46"/>
      <x:c r="E276" s="46"/>
      <x:c r="F276" s="46"/>
      <x:c r="G276" s="46"/>
      <x:c r="H276" s="46"/>
      <x:c r="I276" s="46"/>
      <x:c r="J276" s="46"/>
      <x:c r="K276" s="46"/>
      <x:c r="L276" s="46"/>
      <x:c r="M276" s="46"/>
      <x:c r="N276" s="46"/>
      <x:c r="O276" s="46"/>
      <x:c r="P276" s="46"/>
      <x:c r="Q276" s="46"/>
      <x:c r="R276" s="46"/>
      <x:c r="S276" s="46"/>
      <x:c r="T276" s="46"/>
      <x:c r="U276" s="46"/>
      <x:c r="V276" s="46"/>
      <x:c r="W276" s="46"/>
    </x:row>
    <x:row r="277">
      <x:c r="A277" s="46"/>
      <x:c r="B277" s="46"/>
      <x:c r="C277" s="46"/>
      <x:c r="D277" s="46"/>
      <x:c r="E277" s="46"/>
      <x:c r="F277" s="46"/>
      <x:c r="G277" s="46"/>
      <x:c r="H277" s="46"/>
      <x:c r="I277" s="46"/>
      <x:c r="J277" s="46"/>
      <x:c r="K277" s="46"/>
      <x:c r="L277" s="46"/>
      <x:c r="M277" s="46"/>
      <x:c r="N277" s="46"/>
      <x:c r="O277" s="46"/>
      <x:c r="P277" s="46"/>
      <x:c r="Q277" s="46"/>
      <x:c r="R277" s="46"/>
      <x:c r="S277" s="46"/>
      <x:c r="T277" s="46"/>
      <x:c r="U277" s="46"/>
      <x:c r="V277" s="46"/>
      <x:c r="W277" s="46"/>
    </x:row>
    <x:row r="278">
      <x:c r="A278" s="46"/>
      <x:c r="B278" s="46"/>
      <x:c r="C278" s="46"/>
      <x:c r="D278" s="46"/>
      <x:c r="E278" s="46"/>
      <x:c r="F278" s="46"/>
      <x:c r="G278" s="46"/>
      <x:c r="H278" s="46"/>
      <x:c r="I278" s="46"/>
      <x:c r="J278" s="46"/>
      <x:c r="K278" s="46"/>
      <x:c r="L278" s="46"/>
      <x:c r="M278" s="46"/>
      <x:c r="N278" s="46"/>
      <x:c r="O278" s="46"/>
      <x:c r="P278" s="46"/>
      <x:c r="Q278" s="46"/>
      <x:c r="R278" s="46"/>
      <x:c r="S278" s="46"/>
      <x:c r="T278" s="46"/>
      <x:c r="U278" s="46"/>
      <x:c r="V278" s="46"/>
      <x:c r="W278" s="46"/>
    </x:row>
    <x:row r="279">
      <x:c r="A279" s="46"/>
      <x:c r="B279" s="46"/>
      <x:c r="C279" s="46"/>
      <x:c r="D279" s="46"/>
      <x:c r="E279" s="46"/>
      <x:c r="F279" s="46"/>
      <x:c r="G279" s="46"/>
      <x:c r="H279" s="46"/>
      <x:c r="I279" s="46"/>
      <x:c r="J279" s="46"/>
      <x:c r="K279" s="46"/>
      <x:c r="L279" s="46"/>
      <x:c r="M279" s="46"/>
      <x:c r="N279" s="46"/>
      <x:c r="O279" s="46"/>
      <x:c r="P279" s="46"/>
      <x:c r="Q279" s="46"/>
      <x:c r="R279" s="46"/>
      <x:c r="S279" s="46"/>
      <x:c r="T279" s="46"/>
      <x:c r="U279" s="46"/>
      <x:c r="V279" s="46"/>
      <x:c r="W279" s="46"/>
    </x:row>
    <x:row r="280">
      <x:c r="A280" s="46"/>
      <x:c r="B280" s="46"/>
      <x:c r="C280" s="46"/>
      <x:c r="D280" s="46"/>
      <x:c r="E280" s="46"/>
      <x:c r="F280" s="46"/>
      <x:c r="G280" s="46"/>
      <x:c r="H280" s="46"/>
      <x:c r="I280" s="46"/>
      <x:c r="J280" s="46"/>
      <x:c r="K280" s="46"/>
      <x:c r="L280" s="46"/>
      <x:c r="M280" s="46"/>
      <x:c r="N280" s="46"/>
      <x:c r="O280" s="46"/>
      <x:c r="P280" s="46"/>
      <x:c r="Q280" s="46"/>
      <x:c r="R280" s="46"/>
      <x:c r="S280" s="46"/>
      <x:c r="T280" s="46"/>
      <x:c r="U280" s="46"/>
      <x:c r="V280" s="46"/>
      <x:c r="W280" s="46"/>
    </x:row>
    <x:row r="281">
      <x:c r="A281" s="46"/>
      <x:c r="B281" s="46"/>
      <x:c r="C281" s="46"/>
      <x:c r="D281" s="46"/>
      <x:c r="E281" s="46"/>
      <x:c r="F281" s="46"/>
      <x:c r="G281" s="46"/>
      <x:c r="H281" s="46"/>
      <x:c r="I281" s="46"/>
      <x:c r="J281" s="46"/>
      <x:c r="K281" s="46"/>
      <x:c r="L281" s="46"/>
      <x:c r="M281" s="46"/>
      <x:c r="N281" s="46"/>
      <x:c r="O281" s="46"/>
      <x:c r="P281" s="46"/>
      <x:c r="Q281" s="46"/>
      <x:c r="R281" s="46"/>
      <x:c r="S281" s="46"/>
      <x:c r="T281" s="46"/>
      <x:c r="U281" s="46"/>
      <x:c r="V281" s="46"/>
      <x:c r="W281" s="46"/>
    </x:row>
    <x:row r="282">
      <x:c r="A282" s="46"/>
      <x:c r="B282" s="46"/>
      <x:c r="C282" s="46"/>
      <x:c r="D282" s="46"/>
      <x:c r="E282" s="46"/>
      <x:c r="F282" s="46"/>
      <x:c r="G282" s="46"/>
      <x:c r="H282" s="46"/>
      <x:c r="I282" s="46"/>
      <x:c r="J282" s="46"/>
      <x:c r="K282" s="46"/>
      <x:c r="L282" s="46"/>
      <x:c r="M282" s="46"/>
      <x:c r="N282" s="46"/>
      <x:c r="O282" s="46"/>
      <x:c r="P282" s="46"/>
      <x:c r="Q282" s="46"/>
      <x:c r="R282" s="46"/>
      <x:c r="S282" s="46"/>
      <x:c r="T282" s="46"/>
      <x:c r="U282" s="46"/>
      <x:c r="V282" s="46"/>
      <x:c r="W282" s="46"/>
    </x:row>
    <x:row r="283">
      <x:c r="A283" s="46"/>
      <x:c r="B283" s="46"/>
      <x:c r="C283" s="46"/>
      <x:c r="D283" s="46"/>
      <x:c r="E283" s="46"/>
      <x:c r="F283" s="46"/>
      <x:c r="G283" s="46"/>
      <x:c r="H283" s="46"/>
      <x:c r="I283" s="46"/>
      <x:c r="J283" s="46"/>
      <x:c r="K283" s="46"/>
      <x:c r="L283" s="46"/>
      <x:c r="M283" s="46"/>
      <x:c r="N283" s="46"/>
      <x:c r="O283" s="46"/>
      <x:c r="P283" s="46"/>
      <x:c r="Q283" s="46"/>
      <x:c r="R283" s="46"/>
      <x:c r="S283" s="46"/>
      <x:c r="T283" s="46"/>
      <x:c r="U283" s="46"/>
      <x:c r="V283" s="46"/>
      <x:c r="W283" s="46"/>
    </x:row>
    <x:row r="284">
      <x:c r="A284" s="46"/>
      <x:c r="B284" s="46"/>
      <x:c r="C284" s="46"/>
      <x:c r="D284" s="46"/>
      <x:c r="E284" s="46"/>
      <x:c r="F284" s="46"/>
      <x:c r="G284" s="46"/>
      <x:c r="H284" s="46"/>
      <x:c r="I284" s="46"/>
      <x:c r="J284" s="46"/>
      <x:c r="K284" s="46"/>
      <x:c r="L284" s="46"/>
      <x:c r="M284" s="46"/>
      <x:c r="N284" s="46"/>
      <x:c r="O284" s="46"/>
      <x:c r="P284" s="46"/>
      <x:c r="Q284" s="46"/>
      <x:c r="R284" s="46"/>
      <x:c r="S284" s="46"/>
      <x:c r="T284" s="46"/>
      <x:c r="U284" s="46"/>
      <x:c r="V284" s="46"/>
      <x:c r="W284" s="46"/>
    </x:row>
    <x:row r="285">
      <x:c r="A285" s="46"/>
      <x:c r="B285" s="46"/>
      <x:c r="C285" s="46"/>
      <x:c r="D285" s="46"/>
      <x:c r="E285" s="46"/>
      <x:c r="F285" s="46"/>
      <x:c r="G285" s="46"/>
      <x:c r="H285" s="46"/>
      <x:c r="I285" s="46"/>
      <x:c r="J285" s="46"/>
      <x:c r="K285" s="46"/>
      <x:c r="L285" s="46"/>
      <x:c r="M285" s="46"/>
      <x:c r="N285" s="46"/>
      <x:c r="O285" s="46"/>
      <x:c r="P285" s="46"/>
      <x:c r="Q285" s="46"/>
      <x:c r="R285" s="46"/>
      <x:c r="S285" s="46"/>
      <x:c r="T285" s="46"/>
      <x:c r="U285" s="46"/>
      <x:c r="V285" s="46"/>
      <x:c r="W285" s="46"/>
    </x:row>
    <x:row r="286">
      <x:c r="A286" s="46"/>
      <x:c r="B286" s="46"/>
      <x:c r="C286" s="46"/>
      <x:c r="D286" s="46"/>
      <x:c r="E286" s="46"/>
      <x:c r="F286" s="46"/>
      <x:c r="G286" s="46"/>
      <x:c r="H286" s="46"/>
      <x:c r="I286" s="46"/>
      <x:c r="J286" s="46"/>
      <x:c r="K286" s="46"/>
      <x:c r="L286" s="46"/>
      <x:c r="M286" s="46"/>
      <x:c r="N286" s="46"/>
      <x:c r="O286" s="46"/>
      <x:c r="P286" s="46"/>
      <x:c r="Q286" s="46"/>
      <x:c r="R286" s="46"/>
      <x:c r="S286" s="46"/>
      <x:c r="T286" s="46"/>
      <x:c r="U286" s="46"/>
      <x:c r="V286" s="46"/>
      <x:c r="W286" s="46"/>
    </x:row>
    <x:row r="287">
      <x:c r="A287" s="46"/>
      <x:c r="B287" s="46"/>
      <x:c r="C287" s="46"/>
      <x:c r="D287" s="46"/>
      <x:c r="E287" s="46"/>
      <x:c r="F287" s="46"/>
      <x:c r="G287" s="46"/>
      <x:c r="H287" s="46"/>
      <x:c r="I287" s="46"/>
      <x:c r="J287" s="46"/>
      <x:c r="K287" s="46"/>
      <x:c r="L287" s="46"/>
      <x:c r="M287" s="46"/>
      <x:c r="N287" s="46"/>
      <x:c r="O287" s="46"/>
      <x:c r="P287" s="46"/>
      <x:c r="Q287" s="46"/>
      <x:c r="R287" s="46"/>
      <x:c r="S287" s="46"/>
      <x:c r="T287" s="46"/>
      <x:c r="U287" s="46"/>
      <x:c r="V287" s="46"/>
      <x:c r="W287" s="46"/>
    </x:row>
    <x:row r="288">
      <x:c r="A288" s="46"/>
      <x:c r="B288" s="46"/>
      <x:c r="C288" s="46"/>
      <x:c r="D288" s="46"/>
      <x:c r="E288" s="46"/>
      <x:c r="F288" s="46"/>
      <x:c r="G288" s="46"/>
      <x:c r="H288" s="46"/>
      <x:c r="I288" s="46"/>
      <x:c r="J288" s="46"/>
      <x:c r="K288" s="46"/>
      <x:c r="L288" s="46"/>
      <x:c r="M288" s="46"/>
      <x:c r="N288" s="46"/>
      <x:c r="O288" s="46"/>
      <x:c r="P288" s="46"/>
      <x:c r="Q288" s="46"/>
      <x:c r="R288" s="46"/>
      <x:c r="S288" s="46"/>
      <x:c r="T288" s="46"/>
      <x:c r="U288" s="46"/>
      <x:c r="V288" s="46"/>
      <x:c r="W288" s="46"/>
    </x:row>
    <x:row r="289">
      <x:c r="A289" s="46"/>
      <x:c r="B289" s="46"/>
      <x:c r="C289" s="46"/>
      <x:c r="D289" s="46"/>
      <x:c r="E289" s="46"/>
      <x:c r="F289" s="46"/>
      <x:c r="G289" s="46"/>
      <x:c r="H289" s="46"/>
      <x:c r="I289" s="46"/>
      <x:c r="J289" s="46"/>
      <x:c r="K289" s="46"/>
      <x:c r="L289" s="46"/>
      <x:c r="M289" s="46"/>
      <x:c r="N289" s="46"/>
      <x:c r="O289" s="46"/>
      <x:c r="P289" s="46"/>
      <x:c r="Q289" s="46"/>
      <x:c r="R289" s="46"/>
      <x:c r="S289" s="46"/>
      <x:c r="T289" s="46"/>
      <x:c r="U289" s="46"/>
      <x:c r="V289" s="46"/>
      <x:c r="W289" s="46"/>
    </x:row>
    <x:row r="290">
      <x:c r="A290" s="46"/>
      <x:c r="B290" s="46"/>
      <x:c r="C290" s="46"/>
      <x:c r="D290" s="46"/>
      <x:c r="E290" s="46"/>
      <x:c r="F290" s="46"/>
      <x:c r="G290" s="46"/>
      <x:c r="H290" s="46"/>
      <x:c r="I290" s="46"/>
      <x:c r="J290" s="46"/>
      <x:c r="K290" s="46"/>
      <x:c r="L290" s="46"/>
      <x:c r="M290" s="46"/>
      <x:c r="N290" s="46"/>
      <x:c r="O290" s="46"/>
      <x:c r="P290" s="46"/>
      <x:c r="Q290" s="46"/>
      <x:c r="R290" s="46"/>
      <x:c r="S290" s="46"/>
      <x:c r="T290" s="46"/>
      <x:c r="U290" s="46"/>
      <x:c r="V290" s="46"/>
      <x:c r="W290" s="46"/>
    </x:row>
    <x:row r="291">
      <x:c r="A291" s="46"/>
      <x:c r="B291" s="46"/>
      <x:c r="C291" s="46"/>
      <x:c r="D291" s="46"/>
      <x:c r="E291" s="46"/>
      <x:c r="F291" s="46"/>
      <x:c r="G291" s="46"/>
      <x:c r="H291" s="46"/>
      <x:c r="I291" s="46"/>
      <x:c r="J291" s="46"/>
      <x:c r="K291" s="46"/>
      <x:c r="L291" s="46"/>
      <x:c r="M291" s="46"/>
      <x:c r="N291" s="46"/>
      <x:c r="O291" s="46"/>
      <x:c r="P291" s="46"/>
      <x:c r="Q291" s="46"/>
      <x:c r="R291" s="46"/>
      <x:c r="S291" s="46"/>
      <x:c r="T291" s="46"/>
      <x:c r="U291" s="46"/>
      <x:c r="V291" s="46"/>
      <x:c r="W291" s="46"/>
    </x:row>
    <x:row r="292">
      <x:c r="A292" s="46"/>
      <x:c r="B292" s="46"/>
      <x:c r="C292" s="46"/>
      <x:c r="D292" s="46"/>
      <x:c r="E292" s="46"/>
      <x:c r="F292" s="46"/>
      <x:c r="G292" s="46"/>
      <x:c r="H292" s="46"/>
      <x:c r="I292" s="46"/>
      <x:c r="J292" s="46"/>
      <x:c r="K292" s="46"/>
      <x:c r="L292" s="46"/>
      <x:c r="M292" s="46"/>
      <x:c r="N292" s="46"/>
      <x:c r="O292" s="46"/>
      <x:c r="P292" s="46"/>
      <x:c r="Q292" s="46"/>
      <x:c r="R292" s="46"/>
      <x:c r="S292" s="46"/>
      <x:c r="T292" s="46"/>
      <x:c r="U292" s="46"/>
      <x:c r="V292" s="46"/>
      <x:c r="W292" s="46"/>
    </x:row>
    <x:row r="293">
      <x:c r="A293" s="46"/>
      <x:c r="B293" s="46"/>
      <x:c r="C293" s="46"/>
      <x:c r="D293" s="46"/>
      <x:c r="E293" s="46"/>
      <x:c r="F293" s="46"/>
      <x:c r="G293" s="46"/>
      <x:c r="H293" s="46"/>
      <x:c r="I293" s="46"/>
      <x:c r="J293" s="46"/>
      <x:c r="K293" s="46"/>
      <x:c r="L293" s="46"/>
      <x:c r="M293" s="46"/>
      <x:c r="N293" s="46"/>
      <x:c r="O293" s="46"/>
      <x:c r="P293" s="46"/>
      <x:c r="Q293" s="46"/>
      <x:c r="R293" s="46"/>
      <x:c r="S293" s="46"/>
      <x:c r="T293" s="46"/>
      <x:c r="U293" s="46"/>
      <x:c r="V293" s="46"/>
      <x:c r="W293" s="46"/>
    </x:row>
    <x:row r="294">
      <x:c r="A294" s="46"/>
      <x:c r="B294" s="46"/>
      <x:c r="C294" s="46"/>
      <x:c r="D294" s="46"/>
      <x:c r="E294" s="46"/>
      <x:c r="F294" s="46"/>
      <x:c r="G294" s="46"/>
      <x:c r="H294" s="46"/>
      <x:c r="I294" s="46"/>
      <x:c r="J294" s="46"/>
      <x:c r="K294" s="46"/>
      <x:c r="L294" s="46"/>
      <x:c r="M294" s="46"/>
      <x:c r="N294" s="46"/>
      <x:c r="O294" s="46"/>
      <x:c r="P294" s="46"/>
      <x:c r="Q294" s="46"/>
      <x:c r="R294" s="46"/>
      <x:c r="S294" s="46"/>
      <x:c r="T294" s="46"/>
      <x:c r="U294" s="46"/>
      <x:c r="V294" s="46"/>
      <x:c r="W294" s="46"/>
    </x:row>
    <x:row r="295">
      <x:c r="A295" s="46"/>
      <x:c r="B295" s="46"/>
      <x:c r="C295" s="46"/>
      <x:c r="D295" s="46"/>
      <x:c r="E295" s="46"/>
      <x:c r="F295" s="46"/>
      <x:c r="G295" s="46"/>
      <x:c r="H295" s="46"/>
      <x:c r="I295" s="46"/>
      <x:c r="J295" s="46"/>
      <x:c r="K295" s="46"/>
      <x:c r="L295" s="46"/>
      <x:c r="M295" s="46"/>
      <x:c r="N295" s="46"/>
      <x:c r="O295" s="46"/>
      <x:c r="P295" s="46"/>
      <x:c r="Q295" s="46"/>
      <x:c r="R295" s="46"/>
      <x:c r="S295" s="46"/>
      <x:c r="T295" s="46"/>
      <x:c r="U295" s="46"/>
      <x:c r="V295" s="46"/>
      <x:c r="W295" s="46"/>
    </x:row>
    <x:row r="296">
      <x:c r="A296" s="46"/>
      <x:c r="B296" s="46"/>
      <x:c r="C296" s="46"/>
      <x:c r="D296" s="46"/>
      <x:c r="E296" s="46"/>
      <x:c r="F296" s="46"/>
      <x:c r="G296" s="46"/>
      <x:c r="H296" s="46"/>
      <x:c r="I296" s="46"/>
      <x:c r="J296" s="46"/>
      <x:c r="K296" s="46"/>
      <x:c r="L296" s="46"/>
      <x:c r="M296" s="46"/>
      <x:c r="N296" s="46"/>
      <x:c r="O296" s="46"/>
      <x:c r="P296" s="46"/>
      <x:c r="Q296" s="46"/>
      <x:c r="R296" s="46"/>
      <x:c r="S296" s="46"/>
      <x:c r="T296" s="46"/>
      <x:c r="U296" s="46"/>
      <x:c r="V296" s="46"/>
      <x:c r="W296" s="46"/>
    </x:row>
    <x:row r="297">
      <x:c r="A297" s="46"/>
      <x:c r="B297" s="46"/>
      <x:c r="C297" s="46"/>
      <x:c r="D297" s="46"/>
      <x:c r="E297" s="46"/>
      <x:c r="F297" s="46"/>
      <x:c r="G297" s="46"/>
      <x:c r="H297" s="46"/>
      <x:c r="I297" s="46"/>
      <x:c r="J297" s="46"/>
      <x:c r="K297" s="46"/>
      <x:c r="L297" s="46"/>
      <x:c r="M297" s="46"/>
      <x:c r="N297" s="46"/>
      <x:c r="O297" s="46"/>
      <x:c r="P297" s="46"/>
      <x:c r="Q297" s="46"/>
      <x:c r="R297" s="46"/>
      <x:c r="S297" s="46"/>
      <x:c r="T297" s="46"/>
      <x:c r="U297" s="46"/>
      <x:c r="V297" s="46"/>
      <x:c r="W297" s="46"/>
    </x:row>
    <x:row r="298">
      <x:c r="A298" s="46"/>
      <x:c r="B298" s="46"/>
      <x:c r="C298" s="46"/>
      <x:c r="D298" s="46"/>
      <x:c r="E298" s="46"/>
      <x:c r="F298" s="46"/>
      <x:c r="G298" s="46"/>
      <x:c r="H298" s="46"/>
      <x:c r="I298" s="46"/>
      <x:c r="J298" s="46"/>
      <x:c r="K298" s="46"/>
      <x:c r="L298" s="46"/>
      <x:c r="M298" s="46"/>
      <x:c r="N298" s="46"/>
      <x:c r="O298" s="46"/>
      <x:c r="P298" s="46"/>
      <x:c r="Q298" s="46"/>
      <x:c r="R298" s="46"/>
      <x:c r="S298" s="46"/>
      <x:c r="T298" s="46"/>
      <x:c r="U298" s="46"/>
      <x:c r="V298" s="46"/>
      <x:c r="W298" s="46"/>
    </x:row>
    <x:row r="299">
      <x:c r="A299" s="46"/>
      <x:c r="B299" s="46"/>
      <x:c r="C299" s="46"/>
      <x:c r="D299" s="46"/>
      <x:c r="E299" s="46"/>
      <x:c r="F299" s="46"/>
      <x:c r="G299" s="46"/>
      <x:c r="H299" s="46"/>
      <x:c r="I299" s="46"/>
      <x:c r="J299" s="46"/>
      <x:c r="K299" s="46"/>
      <x:c r="L299" s="46"/>
      <x:c r="M299" s="46"/>
      <x:c r="N299" s="46"/>
      <x:c r="O299" s="46"/>
      <x:c r="P299" s="46"/>
      <x:c r="Q299" s="46"/>
      <x:c r="R299" s="46"/>
      <x:c r="S299" s="46"/>
      <x:c r="T299" s="46"/>
      <x:c r="U299" s="46"/>
      <x:c r="V299" s="46"/>
      <x:c r="W299" s="46"/>
    </x:row>
    <x:row r="300">
      <x:c r="A300" s="46"/>
      <x:c r="B300" s="46"/>
      <x:c r="C300" s="46"/>
      <x:c r="D300" s="46"/>
      <x:c r="E300" s="46"/>
      <x:c r="F300" s="46"/>
      <x:c r="G300" s="46"/>
      <x:c r="H300" s="46"/>
      <x:c r="I300" s="46"/>
      <x:c r="J300" s="46"/>
      <x:c r="K300" s="46"/>
      <x:c r="L300" s="46"/>
      <x:c r="M300" s="46"/>
      <x:c r="N300" s="46"/>
      <x:c r="O300" s="46"/>
      <x:c r="P300" s="46"/>
      <x:c r="Q300" s="46"/>
      <x:c r="R300" s="46"/>
      <x:c r="S300" s="46"/>
      <x:c r="T300" s="46"/>
      <x:c r="U300" s="46"/>
      <x:c r="V300" s="46"/>
      <x:c r="W300" s="46"/>
    </x:row>
    <x:row r="301">
      <x:c r="A301" s="46"/>
      <x:c r="B301" s="46"/>
      <x:c r="C301" s="46"/>
      <x:c r="D301" s="46"/>
      <x:c r="E301" s="46"/>
      <x:c r="F301" s="46"/>
      <x:c r="G301" s="46"/>
      <x:c r="H301" s="46"/>
      <x:c r="I301" s="46"/>
      <x:c r="J301" s="46"/>
      <x:c r="K301" s="46"/>
      <x:c r="L301" s="46"/>
      <x:c r="M301" s="46"/>
      <x:c r="N301" s="46"/>
      <x:c r="O301" s="46"/>
      <x:c r="P301" s="46"/>
      <x:c r="Q301" s="46"/>
      <x:c r="R301" s="46"/>
      <x:c r="S301" s="46"/>
      <x:c r="T301" s="46"/>
      <x:c r="U301" s="46"/>
      <x:c r="V301" s="46"/>
      <x:c r="W301" s="46"/>
    </x:row>
    <x:row r="302">
      <x:c r="A302" s="46"/>
      <x:c r="B302" s="46"/>
      <x:c r="C302" s="46"/>
      <x:c r="D302" s="46"/>
      <x:c r="E302" s="46"/>
      <x:c r="F302" s="46"/>
      <x:c r="G302" s="46"/>
      <x:c r="H302" s="46"/>
      <x:c r="I302" s="46"/>
      <x:c r="J302" s="46"/>
      <x:c r="K302" s="46"/>
      <x:c r="L302" s="46"/>
      <x:c r="M302" s="46"/>
      <x:c r="N302" s="46"/>
      <x:c r="O302" s="46"/>
      <x:c r="P302" s="46"/>
      <x:c r="Q302" s="46"/>
      <x:c r="R302" s="46"/>
      <x:c r="S302" s="46"/>
      <x:c r="T302" s="46"/>
      <x:c r="U302" s="46"/>
      <x:c r="V302" s="46"/>
      <x:c r="W302" s="46"/>
    </x:row>
    <x:row r="303">
      <x:c r="A303" s="46"/>
      <x:c r="B303" s="46"/>
      <x:c r="C303" s="46"/>
      <x:c r="D303" s="46"/>
      <x:c r="E303" s="46"/>
      <x:c r="F303" s="46"/>
      <x:c r="G303" s="46"/>
      <x:c r="H303" s="46"/>
      <x:c r="I303" s="46"/>
      <x:c r="J303" s="46"/>
      <x:c r="K303" s="46"/>
      <x:c r="L303" s="46"/>
      <x:c r="M303" s="46"/>
      <x:c r="N303" s="46"/>
      <x:c r="O303" s="46"/>
      <x:c r="P303" s="46"/>
      <x:c r="Q303" s="46"/>
      <x:c r="R303" s="46"/>
      <x:c r="S303" s="46"/>
      <x:c r="T303" s="46"/>
      <x:c r="U303" s="46"/>
      <x:c r="V303" s="46"/>
      <x:c r="W303" s="46"/>
    </x:row>
    <x:row r="304">
      <x:c r="A304" s="46"/>
      <x:c r="B304" s="46"/>
      <x:c r="C304" s="46"/>
      <x:c r="D304" s="46"/>
      <x:c r="E304" s="46"/>
      <x:c r="F304" s="46"/>
      <x:c r="G304" s="46"/>
      <x:c r="H304" s="46"/>
      <x:c r="I304" s="46"/>
      <x:c r="J304" s="46"/>
      <x:c r="K304" s="46"/>
      <x:c r="L304" s="46"/>
      <x:c r="M304" s="46"/>
      <x:c r="N304" s="46"/>
      <x:c r="O304" s="46"/>
      <x:c r="P304" s="46"/>
      <x:c r="Q304" s="46"/>
      <x:c r="R304" s="46"/>
      <x:c r="S304" s="46"/>
      <x:c r="T304" s="46"/>
      <x:c r="U304" s="46"/>
      <x:c r="V304" s="46"/>
      <x:c r="W304" s="46"/>
    </x:row>
    <x:row r="305">
      <x:c r="A305" s="46"/>
      <x:c r="B305" s="46"/>
      <x:c r="C305" s="46"/>
      <x:c r="D305" s="46"/>
      <x:c r="E305" s="46"/>
      <x:c r="F305" s="46"/>
      <x:c r="G305" s="46"/>
      <x:c r="H305" s="46"/>
      <x:c r="I305" s="46"/>
      <x:c r="J305" s="46"/>
      <x:c r="K305" s="46"/>
      <x:c r="L305" s="46"/>
      <x:c r="M305" s="46"/>
      <x:c r="N305" s="46"/>
      <x:c r="O305" s="46"/>
      <x:c r="P305" s="46"/>
      <x:c r="Q305" s="46"/>
      <x:c r="R305" s="46"/>
      <x:c r="S305" s="46"/>
      <x:c r="T305" s="46"/>
      <x:c r="U305" s="46"/>
      <x:c r="V305" s="46"/>
      <x:c r="W305" s="46"/>
    </x:row>
    <x:row r="306">
      <x:c r="A306" s="46"/>
      <x:c r="B306" s="46"/>
      <x:c r="C306" s="46"/>
      <x:c r="D306" s="46"/>
      <x:c r="E306" s="46"/>
      <x:c r="F306" s="46"/>
      <x:c r="G306" s="46"/>
      <x:c r="H306" s="46"/>
      <x:c r="I306" s="46"/>
      <x:c r="J306" s="46"/>
      <x:c r="K306" s="46"/>
      <x:c r="L306" s="46"/>
      <x:c r="M306" s="46"/>
      <x:c r="N306" s="46"/>
      <x:c r="O306" s="46"/>
      <x:c r="P306" s="46"/>
      <x:c r="Q306" s="46"/>
      <x:c r="R306" s="46"/>
      <x:c r="S306" s="46"/>
      <x:c r="T306" s="46"/>
      <x:c r="U306" s="46"/>
      <x:c r="V306" s="46"/>
      <x:c r="W306" s="46"/>
    </x:row>
    <x:row r="307">
      <x:c r="A307" s="46"/>
      <x:c r="B307" s="46"/>
      <x:c r="C307" s="46"/>
      <x:c r="D307" s="46"/>
      <x:c r="E307" s="46"/>
      <x:c r="F307" s="46"/>
      <x:c r="G307" s="46"/>
      <x:c r="H307" s="46"/>
      <x:c r="I307" s="46"/>
      <x:c r="J307" s="46"/>
      <x:c r="K307" s="46"/>
      <x:c r="L307" s="46"/>
      <x:c r="M307" s="46"/>
      <x:c r="N307" s="46"/>
      <x:c r="O307" s="46"/>
      <x:c r="P307" s="46"/>
      <x:c r="Q307" s="46"/>
      <x:c r="R307" s="46"/>
      <x:c r="S307" s="46"/>
      <x:c r="T307" s="46"/>
      <x:c r="U307" s="46"/>
      <x:c r="V307" s="46"/>
      <x:c r="W307" s="46"/>
    </x:row>
    <x:row r="308">
      <x:c r="A308" s="46"/>
      <x:c r="B308" s="46"/>
      <x:c r="C308" s="46"/>
      <x:c r="D308" s="46"/>
      <x:c r="E308" s="46"/>
      <x:c r="F308" s="46"/>
      <x:c r="G308" s="46"/>
      <x:c r="H308" s="46"/>
      <x:c r="I308" s="46"/>
      <x:c r="J308" s="46"/>
      <x:c r="K308" s="46"/>
      <x:c r="L308" s="46"/>
      <x:c r="M308" s="46"/>
      <x:c r="N308" s="46"/>
      <x:c r="O308" s="46"/>
      <x:c r="P308" s="46"/>
      <x:c r="Q308" s="46"/>
      <x:c r="R308" s="46"/>
      <x:c r="S308" s="46"/>
      <x:c r="T308" s="46"/>
      <x:c r="U308" s="46"/>
      <x:c r="V308" s="46"/>
      <x:c r="W308" s="46"/>
    </x:row>
    <x:row r="309">
      <x:c r="A309" s="46"/>
      <x:c r="B309" s="46"/>
      <x:c r="C309" s="46"/>
      <x:c r="D309" s="46"/>
      <x:c r="E309" s="46"/>
      <x:c r="F309" s="46"/>
      <x:c r="G309" s="46"/>
      <x:c r="H309" s="46"/>
      <x:c r="I309" s="46"/>
      <x:c r="J309" s="46"/>
      <x:c r="K309" s="46"/>
      <x:c r="L309" s="46"/>
      <x:c r="M309" s="46"/>
      <x:c r="N309" s="46"/>
      <x:c r="O309" s="46"/>
      <x:c r="P309" s="46"/>
      <x:c r="Q309" s="46"/>
      <x:c r="R309" s="46"/>
      <x:c r="S309" s="46"/>
      <x:c r="T309" s="46"/>
      <x:c r="U309" s="46"/>
      <x:c r="V309" s="46"/>
      <x:c r="W309" s="46"/>
    </x:row>
    <x:row r="310">
      <x:c r="A310" s="46"/>
      <x:c r="B310" s="46"/>
      <x:c r="C310" s="46"/>
      <x:c r="D310" s="46"/>
      <x:c r="E310" s="46"/>
      <x:c r="F310" s="46"/>
      <x:c r="G310" s="46"/>
      <x:c r="H310" s="46"/>
      <x:c r="I310" s="46"/>
      <x:c r="J310" s="46"/>
      <x:c r="K310" s="46"/>
      <x:c r="L310" s="46"/>
      <x:c r="M310" s="46"/>
      <x:c r="N310" s="46"/>
      <x:c r="O310" s="46"/>
      <x:c r="P310" s="46"/>
      <x:c r="Q310" s="46"/>
      <x:c r="R310" s="46"/>
      <x:c r="S310" s="46"/>
      <x:c r="T310" s="46"/>
      <x:c r="U310" s="46"/>
      <x:c r="V310" s="46"/>
      <x:c r="W310" s="46"/>
    </x:row>
    <x:row r="311">
      <x:c r="A311" s="46"/>
      <x:c r="B311" s="46"/>
      <x:c r="C311" s="46"/>
      <x:c r="D311" s="46"/>
      <x:c r="E311" s="46"/>
      <x:c r="F311" s="46"/>
      <x:c r="G311" s="46"/>
      <x:c r="H311" s="46"/>
      <x:c r="I311" s="46"/>
      <x:c r="J311" s="46"/>
      <x:c r="K311" s="46"/>
      <x:c r="L311" s="46"/>
      <x:c r="M311" s="46"/>
      <x:c r="N311" s="46"/>
      <x:c r="O311" s="46"/>
      <x:c r="P311" s="46"/>
      <x:c r="Q311" s="46"/>
      <x:c r="R311" s="46"/>
      <x:c r="S311" s="46"/>
      <x:c r="T311" s="46"/>
      <x:c r="U311" s="46"/>
      <x:c r="V311" s="46"/>
      <x:c r="W311" s="46"/>
    </x:row>
    <x:row r="312">
      <x:c r="A312" s="46"/>
      <x:c r="B312" s="46"/>
      <x:c r="C312" s="46"/>
      <x:c r="D312" s="46"/>
      <x:c r="E312" s="46"/>
      <x:c r="F312" s="46"/>
      <x:c r="G312" s="46"/>
      <x:c r="H312" s="46"/>
      <x:c r="I312" s="46"/>
      <x:c r="J312" s="46"/>
      <x:c r="K312" s="46"/>
      <x:c r="L312" s="46"/>
      <x:c r="M312" s="46"/>
      <x:c r="N312" s="46"/>
      <x:c r="O312" s="46"/>
      <x:c r="P312" s="46"/>
      <x:c r="Q312" s="46"/>
      <x:c r="R312" s="46"/>
      <x:c r="S312" s="46"/>
      <x:c r="T312" s="46"/>
      <x:c r="U312" s="46"/>
      <x:c r="V312" s="46"/>
      <x:c r="W312" s="46"/>
    </x:row>
    <x:row r="313">
      <x:c r="A313" s="46"/>
      <x:c r="B313" s="46"/>
      <x:c r="C313" s="46"/>
      <x:c r="D313" s="46"/>
      <x:c r="E313" s="46"/>
      <x:c r="F313" s="46"/>
      <x:c r="G313" s="46"/>
      <x:c r="H313" s="46"/>
      <x:c r="I313" s="46"/>
      <x:c r="J313" s="46"/>
      <x:c r="K313" s="46"/>
      <x:c r="L313" s="46"/>
      <x:c r="M313" s="46"/>
      <x:c r="N313" s="46"/>
      <x:c r="O313" s="46"/>
      <x:c r="P313" s="46"/>
      <x:c r="Q313" s="46"/>
      <x:c r="R313" s="46"/>
      <x:c r="S313" s="46"/>
      <x:c r="T313" s="46"/>
      <x:c r="U313" s="46"/>
      <x:c r="V313" s="46"/>
      <x:c r="W313" s="46"/>
    </x:row>
    <x:row r="314">
      <x:c r="A314" s="46"/>
      <x:c r="B314" s="46"/>
      <x:c r="C314" s="46"/>
      <x:c r="D314" s="46"/>
      <x:c r="E314" s="46"/>
      <x:c r="F314" s="46"/>
      <x:c r="G314" s="46"/>
      <x:c r="H314" s="46"/>
      <x:c r="I314" s="46"/>
      <x:c r="J314" s="46"/>
      <x:c r="K314" s="46"/>
      <x:c r="L314" s="46"/>
      <x:c r="M314" s="46"/>
      <x:c r="N314" s="46"/>
      <x:c r="O314" s="46"/>
      <x:c r="P314" s="46"/>
      <x:c r="Q314" s="46"/>
      <x:c r="R314" s="46"/>
      <x:c r="S314" s="46"/>
      <x:c r="T314" s="46"/>
      <x:c r="U314" s="46"/>
      <x:c r="V314" s="46"/>
      <x:c r="W314" s="46"/>
    </x:row>
    <x:row r="315">
      <x:c r="A315" s="46"/>
      <x:c r="B315" s="46"/>
      <x:c r="C315" s="46"/>
      <x:c r="D315" s="46"/>
      <x:c r="E315" s="46"/>
      <x:c r="F315" s="46"/>
      <x:c r="G315" s="46"/>
      <x:c r="H315" s="46"/>
      <x:c r="I315" s="46"/>
      <x:c r="J315" s="46"/>
      <x:c r="K315" s="46"/>
      <x:c r="L315" s="46"/>
      <x:c r="M315" s="46"/>
      <x:c r="N315" s="46"/>
      <x:c r="O315" s="46"/>
      <x:c r="P315" s="46"/>
      <x:c r="Q315" s="46"/>
      <x:c r="R315" s="46"/>
      <x:c r="S315" s="46"/>
      <x:c r="T315" s="46"/>
      <x:c r="U315" s="46"/>
      <x:c r="V315" s="46"/>
      <x:c r="W315" s="46"/>
    </x:row>
    <x:row r="316">
      <x:c r="A316" s="46"/>
      <x:c r="B316" s="46"/>
      <x:c r="C316" s="46"/>
      <x:c r="D316" s="46"/>
      <x:c r="E316" s="46"/>
      <x:c r="F316" s="46"/>
      <x:c r="G316" s="46"/>
      <x:c r="H316" s="46"/>
      <x:c r="I316" s="46"/>
      <x:c r="J316" s="46"/>
      <x:c r="K316" s="46"/>
      <x:c r="L316" s="46"/>
      <x:c r="M316" s="46"/>
      <x:c r="N316" s="46"/>
      <x:c r="O316" s="46"/>
      <x:c r="P316" s="46"/>
      <x:c r="Q316" s="46"/>
      <x:c r="R316" s="46"/>
      <x:c r="S316" s="46"/>
      <x:c r="T316" s="46"/>
      <x:c r="U316" s="46"/>
      <x:c r="V316" s="46"/>
      <x:c r="W316" s="46"/>
    </x:row>
    <x:row r="317">
      <x:c r="A317" s="46"/>
      <x:c r="B317" s="46"/>
      <x:c r="C317" s="46"/>
      <x:c r="D317" s="46"/>
      <x:c r="E317" s="46"/>
      <x:c r="F317" s="46"/>
      <x:c r="G317" s="46"/>
      <x:c r="H317" s="46"/>
      <x:c r="I317" s="46"/>
      <x:c r="J317" s="46"/>
      <x:c r="K317" s="46"/>
      <x:c r="L317" s="46"/>
      <x:c r="M317" s="46"/>
      <x:c r="N317" s="46"/>
      <x:c r="O317" s="46"/>
      <x:c r="P317" s="46"/>
      <x:c r="Q317" s="46"/>
      <x:c r="R317" s="46"/>
      <x:c r="S317" s="46"/>
      <x:c r="T317" s="46"/>
      <x:c r="U317" s="46"/>
      <x:c r="V317" s="46"/>
      <x:c r="W317" s="46"/>
    </x:row>
    <x:row r="318">
      <x:c r="A318" s="46"/>
      <x:c r="B318" s="46"/>
      <x:c r="C318" s="46"/>
      <x:c r="D318" s="46"/>
      <x:c r="E318" s="46"/>
      <x:c r="F318" s="46"/>
      <x:c r="G318" s="46"/>
      <x:c r="H318" s="46"/>
      <x:c r="I318" s="46"/>
      <x:c r="J318" s="46"/>
      <x:c r="K318" s="46"/>
      <x:c r="L318" s="46"/>
      <x:c r="M318" s="46"/>
      <x:c r="N318" s="46"/>
      <x:c r="O318" s="46"/>
      <x:c r="P318" s="46"/>
      <x:c r="Q318" s="46"/>
      <x:c r="R318" s="46"/>
      <x:c r="S318" s="46"/>
      <x:c r="T318" s="46"/>
      <x:c r="U318" s="46"/>
      <x:c r="V318" s="46"/>
      <x:c r="W318" s="46"/>
    </x:row>
    <x:row r="319">
      <x:c r="A319" s="46"/>
      <x:c r="B319" s="46"/>
      <x:c r="C319" s="46"/>
      <x:c r="D319" s="46"/>
      <x:c r="E319" s="46"/>
      <x:c r="F319" s="46"/>
      <x:c r="G319" s="46"/>
      <x:c r="H319" s="46"/>
      <x:c r="I319" s="46"/>
      <x:c r="J319" s="46"/>
      <x:c r="K319" s="46"/>
      <x:c r="L319" s="46"/>
      <x:c r="M319" s="46"/>
      <x:c r="N319" s="46"/>
      <x:c r="O319" s="46"/>
      <x:c r="P319" s="46"/>
      <x:c r="Q319" s="46"/>
      <x:c r="R319" s="46"/>
      <x:c r="S319" s="46"/>
      <x:c r="T319" s="46"/>
      <x:c r="U319" s="46"/>
      <x:c r="V319" s="46"/>
      <x:c r="W319" s="46"/>
    </x:row>
    <x:row r="320">
      <x:c r="A320" s="46"/>
      <x:c r="B320" s="46"/>
      <x:c r="C320" s="46"/>
      <x:c r="D320" s="46"/>
      <x:c r="E320" s="46"/>
      <x:c r="F320" s="46"/>
      <x:c r="G320" s="46"/>
      <x:c r="H320" s="46"/>
      <x:c r="I320" s="46"/>
      <x:c r="J320" s="46"/>
      <x:c r="K320" s="46"/>
      <x:c r="L320" s="46"/>
      <x:c r="M320" s="46"/>
      <x:c r="N320" s="46"/>
      <x:c r="O320" s="46"/>
      <x:c r="P320" s="46"/>
      <x:c r="Q320" s="46"/>
      <x:c r="R320" s="46"/>
      <x:c r="S320" s="46"/>
      <x:c r="T320" s="46"/>
      <x:c r="U320" s="46"/>
      <x:c r="V320" s="46"/>
      <x:c r="W320" s="46"/>
    </x:row>
    <x:row r="321">
      <x:c r="A321" s="46"/>
      <x:c r="B321" s="46"/>
      <x:c r="C321" s="46"/>
      <x:c r="D321" s="46"/>
      <x:c r="E321" s="46"/>
      <x:c r="F321" s="46"/>
      <x:c r="G321" s="46"/>
      <x:c r="H321" s="46"/>
      <x:c r="I321" s="46"/>
      <x:c r="J321" s="46"/>
      <x:c r="K321" s="46"/>
      <x:c r="L321" s="46"/>
      <x:c r="M321" s="46"/>
      <x:c r="N321" s="46"/>
      <x:c r="O321" s="46"/>
      <x:c r="P321" s="46"/>
      <x:c r="Q321" s="46"/>
      <x:c r="R321" s="46"/>
      <x:c r="S321" s="46"/>
      <x:c r="T321" s="46"/>
      <x:c r="U321" s="46"/>
      <x:c r="V321" s="46"/>
      <x:c r="W321" s="46"/>
    </x:row>
    <x:row r="322">
      <x:c r="A322" s="46"/>
      <x:c r="B322" s="46"/>
      <x:c r="C322" s="46"/>
      <x:c r="D322" s="46"/>
      <x:c r="E322" s="46"/>
      <x:c r="F322" s="46"/>
      <x:c r="G322" s="46"/>
      <x:c r="H322" s="46"/>
      <x:c r="I322" s="46"/>
      <x:c r="J322" s="46"/>
      <x:c r="K322" s="46"/>
      <x:c r="L322" s="46"/>
      <x:c r="M322" s="46"/>
      <x:c r="N322" s="46"/>
      <x:c r="O322" s="46"/>
      <x:c r="P322" s="46"/>
      <x:c r="Q322" s="46"/>
      <x:c r="R322" s="46"/>
      <x:c r="S322" s="46"/>
      <x:c r="T322" s="46"/>
      <x:c r="U322" s="46"/>
      <x:c r="V322" s="46"/>
      <x:c r="W322" s="46"/>
    </x:row>
    <x:row r="323">
      <x:c r="A323" s="46"/>
      <x:c r="B323" s="46"/>
      <x:c r="C323" s="46"/>
      <x:c r="D323" s="46"/>
      <x:c r="E323" s="46"/>
      <x:c r="F323" s="46"/>
      <x:c r="G323" s="46"/>
      <x:c r="H323" s="46"/>
      <x:c r="I323" s="46"/>
      <x:c r="J323" s="46"/>
      <x:c r="K323" s="46"/>
      <x:c r="L323" s="46"/>
      <x:c r="M323" s="46"/>
      <x:c r="N323" s="46"/>
      <x:c r="O323" s="46"/>
      <x:c r="P323" s="46"/>
      <x:c r="Q323" s="46"/>
      <x:c r="R323" s="46"/>
      <x:c r="S323" s="46"/>
      <x:c r="T323" s="46"/>
      <x:c r="U323" s="46"/>
      <x:c r="V323" s="46"/>
      <x:c r="W323" s="46"/>
    </x:row>
    <x:row r="324">
      <x:c r="A324" s="46"/>
      <x:c r="B324" s="46"/>
      <x:c r="C324" s="46"/>
      <x:c r="D324" s="46"/>
      <x:c r="E324" s="46"/>
      <x:c r="F324" s="46"/>
      <x:c r="G324" s="46"/>
      <x:c r="H324" s="46"/>
      <x:c r="I324" s="46"/>
      <x:c r="J324" s="46"/>
      <x:c r="K324" s="46"/>
      <x:c r="L324" s="46"/>
      <x:c r="M324" s="46"/>
      <x:c r="N324" s="46"/>
      <x:c r="O324" s="46"/>
      <x:c r="P324" s="46"/>
      <x:c r="Q324" s="46"/>
      <x:c r="R324" s="46"/>
      <x:c r="S324" s="46"/>
      <x:c r="T324" s="46"/>
      <x:c r="U324" s="46"/>
      <x:c r="V324" s="46"/>
      <x:c r="W324" s="46"/>
    </x:row>
    <x:row r="325">
      <x:c r="A325" s="46"/>
      <x:c r="B325" s="46"/>
      <x:c r="C325" s="46"/>
      <x:c r="D325" s="46"/>
      <x:c r="E325" s="46"/>
      <x:c r="F325" s="46"/>
      <x:c r="G325" s="46"/>
      <x:c r="H325" s="46"/>
      <x:c r="I325" s="46"/>
      <x:c r="J325" s="46"/>
      <x:c r="K325" s="46"/>
      <x:c r="L325" s="46"/>
      <x:c r="M325" s="46"/>
      <x:c r="N325" s="46"/>
      <x:c r="O325" s="46"/>
      <x:c r="P325" s="46"/>
      <x:c r="Q325" s="46"/>
      <x:c r="R325" s="46"/>
      <x:c r="S325" s="46"/>
      <x:c r="T325" s="46"/>
      <x:c r="U325" s="46"/>
      <x:c r="V325" s="46"/>
      <x:c r="W325" s="46"/>
    </x:row>
    <x:row r="326">
      <x:c r="A326" s="46"/>
      <x:c r="B326" s="46"/>
      <x:c r="C326" s="46"/>
      <x:c r="D326" s="46"/>
      <x:c r="E326" s="46"/>
      <x:c r="F326" s="46"/>
      <x:c r="G326" s="46"/>
      <x:c r="H326" s="46"/>
      <x:c r="I326" s="46"/>
      <x:c r="J326" s="46"/>
      <x:c r="K326" s="46"/>
      <x:c r="L326" s="46"/>
      <x:c r="M326" s="46"/>
      <x:c r="N326" s="46"/>
      <x:c r="O326" s="46"/>
      <x:c r="P326" s="46"/>
      <x:c r="Q326" s="46"/>
      <x:c r="R326" s="46"/>
      <x:c r="S326" s="46"/>
      <x:c r="T326" s="46"/>
      <x:c r="U326" s="46"/>
      <x:c r="V326" s="46"/>
      <x:c r="W326" s="46"/>
    </x:row>
    <x:row r="327">
      <x:c r="A327" s="46"/>
      <x:c r="B327" s="46"/>
      <x:c r="C327" s="46"/>
      <x:c r="D327" s="46"/>
      <x:c r="E327" s="46"/>
      <x:c r="F327" s="46"/>
      <x:c r="G327" s="46"/>
      <x:c r="H327" s="46"/>
      <x:c r="I327" s="46"/>
      <x:c r="J327" s="46"/>
      <x:c r="K327" s="46"/>
      <x:c r="L327" s="46"/>
      <x:c r="M327" s="46"/>
      <x:c r="N327" s="46"/>
      <x:c r="O327" s="46"/>
      <x:c r="P327" s="46"/>
      <x:c r="Q327" s="46"/>
      <x:c r="R327" s="46"/>
      <x:c r="S327" s="46"/>
      <x:c r="T327" s="46"/>
      <x:c r="U327" s="46"/>
      <x:c r="V327" s="46"/>
      <x:c r="W327" s="46"/>
    </x:row>
    <x:row r="328">
      <x:c r="A328" s="46"/>
      <x:c r="B328" s="46"/>
      <x:c r="C328" s="46"/>
      <x:c r="D328" s="46"/>
      <x:c r="E328" s="46"/>
      <x:c r="F328" s="46"/>
      <x:c r="G328" s="46"/>
      <x:c r="H328" s="46"/>
      <x:c r="I328" s="46"/>
      <x:c r="J328" s="46"/>
      <x:c r="K328" s="46"/>
      <x:c r="L328" s="46"/>
      <x:c r="M328" s="46"/>
      <x:c r="N328" s="46"/>
      <x:c r="O328" s="46"/>
      <x:c r="P328" s="46"/>
      <x:c r="Q328" s="46"/>
      <x:c r="R328" s="46"/>
      <x:c r="S328" s="46"/>
      <x:c r="T328" s="46"/>
      <x:c r="U328" s="46"/>
      <x:c r="V328" s="46"/>
      <x:c r="W328" s="46"/>
    </x:row>
    <x:row r="329">
      <x:c r="A329" s="46"/>
      <x:c r="B329" s="46"/>
      <x:c r="C329" s="46"/>
      <x:c r="D329" s="46"/>
      <x:c r="E329" s="46"/>
      <x:c r="F329" s="46"/>
      <x:c r="G329" s="46"/>
      <x:c r="H329" s="46"/>
      <x:c r="I329" s="46"/>
      <x:c r="J329" s="46"/>
      <x:c r="K329" s="46"/>
      <x:c r="L329" s="46"/>
      <x:c r="M329" s="46"/>
      <x:c r="N329" s="46"/>
      <x:c r="O329" s="46"/>
      <x:c r="P329" s="46"/>
      <x:c r="Q329" s="46"/>
      <x:c r="R329" s="46"/>
      <x:c r="S329" s="46"/>
      <x:c r="T329" s="46"/>
      <x:c r="U329" s="46"/>
      <x:c r="V329" s="46"/>
      <x:c r="W329" s="46"/>
    </x:row>
    <x:row r="330">
      <x:c r="A330" s="46"/>
      <x:c r="B330" s="46"/>
      <x:c r="C330" s="46"/>
      <x:c r="D330" s="46"/>
      <x:c r="E330" s="46"/>
      <x:c r="F330" s="46"/>
      <x:c r="G330" s="46"/>
      <x:c r="H330" s="46"/>
      <x:c r="I330" s="46"/>
      <x:c r="J330" s="46"/>
      <x:c r="K330" s="46"/>
      <x:c r="L330" s="46"/>
      <x:c r="M330" s="46"/>
      <x:c r="N330" s="46"/>
      <x:c r="O330" s="46"/>
      <x:c r="P330" s="46"/>
      <x:c r="Q330" s="46"/>
      <x:c r="R330" s="46"/>
      <x:c r="S330" s="46"/>
      <x:c r="T330" s="46"/>
      <x:c r="U330" s="46"/>
      <x:c r="V330" s="46"/>
      <x:c r="W330" s="46"/>
    </x:row>
    <x:row r="331">
      <x:c r="A331" s="46"/>
      <x:c r="B331" s="46"/>
      <x:c r="C331" s="46"/>
      <x:c r="D331" s="46"/>
      <x:c r="E331" s="46"/>
      <x:c r="F331" s="46"/>
      <x:c r="G331" s="46"/>
      <x:c r="H331" s="46"/>
      <x:c r="I331" s="46"/>
      <x:c r="J331" s="46"/>
      <x:c r="K331" s="46"/>
      <x:c r="L331" s="46"/>
      <x:c r="M331" s="46"/>
      <x:c r="N331" s="46"/>
      <x:c r="O331" s="46"/>
      <x:c r="P331" s="46"/>
      <x:c r="Q331" s="46"/>
      <x:c r="R331" s="46"/>
      <x:c r="S331" s="46"/>
      <x:c r="T331" s="46"/>
      <x:c r="U331" s="46"/>
      <x:c r="V331" s="46"/>
      <x:c r="W331" s="46"/>
    </x:row>
    <x:row r="332">
      <x:c r="A332" s="46"/>
      <x:c r="B332" s="46"/>
      <x:c r="C332" s="46"/>
      <x:c r="D332" s="46"/>
      <x:c r="E332" s="46"/>
      <x:c r="F332" s="46"/>
      <x:c r="G332" s="46"/>
      <x:c r="H332" s="46"/>
      <x:c r="I332" s="46"/>
      <x:c r="J332" s="46"/>
      <x:c r="K332" s="46"/>
      <x:c r="L332" s="46"/>
      <x:c r="M332" s="46"/>
      <x:c r="N332" s="46"/>
      <x:c r="O332" s="46"/>
      <x:c r="P332" s="46"/>
      <x:c r="Q332" s="46"/>
      <x:c r="R332" s="46"/>
      <x:c r="S332" s="46"/>
      <x:c r="T332" s="46"/>
      <x:c r="U332" s="46"/>
      <x:c r="V332" s="46"/>
      <x:c r="W332" s="46"/>
    </x:row>
    <x:row r="333">
      <x:c r="A333" s="46"/>
      <x:c r="B333" s="46"/>
      <x:c r="C333" s="46"/>
      <x:c r="D333" s="46"/>
      <x:c r="E333" s="46"/>
      <x:c r="F333" s="46"/>
      <x:c r="G333" s="46"/>
      <x:c r="H333" s="46"/>
      <x:c r="I333" s="46"/>
      <x:c r="J333" s="46"/>
      <x:c r="K333" s="46"/>
      <x:c r="L333" s="46"/>
      <x:c r="M333" s="46"/>
      <x:c r="N333" s="46"/>
      <x:c r="O333" s="46"/>
      <x:c r="P333" s="46"/>
      <x:c r="Q333" s="46"/>
      <x:c r="R333" s="46"/>
      <x:c r="S333" s="46"/>
      <x:c r="T333" s="46"/>
      <x:c r="U333" s="46"/>
      <x:c r="V333" s="46"/>
      <x:c r="W333" s="46"/>
    </x:row>
    <x:row r="334">
      <x:c r="A334" s="46"/>
      <x:c r="B334" s="46"/>
      <x:c r="C334" s="46"/>
      <x:c r="D334" s="46"/>
      <x:c r="E334" s="46"/>
      <x:c r="F334" s="46"/>
      <x:c r="G334" s="46"/>
      <x:c r="H334" s="46"/>
      <x:c r="I334" s="46"/>
      <x:c r="J334" s="46"/>
      <x:c r="K334" s="46"/>
      <x:c r="L334" s="46"/>
      <x:c r="M334" s="46"/>
      <x:c r="N334" s="46"/>
      <x:c r="O334" s="46"/>
      <x:c r="P334" s="46"/>
      <x:c r="Q334" s="46"/>
      <x:c r="R334" s="46"/>
      <x:c r="S334" s="46"/>
      <x:c r="T334" s="46"/>
      <x:c r="U334" s="46"/>
      <x:c r="V334" s="46"/>
      <x:c r="W334" s="46"/>
    </x:row>
    <x:row r="335">
      <x:c r="A335" s="46"/>
      <x:c r="B335" s="46"/>
      <x:c r="C335" s="46"/>
      <x:c r="D335" s="46"/>
      <x:c r="E335" s="46"/>
      <x:c r="F335" s="46"/>
      <x:c r="G335" s="46"/>
      <x:c r="H335" s="46"/>
      <x:c r="I335" s="46"/>
      <x:c r="J335" s="46"/>
      <x:c r="K335" s="46"/>
      <x:c r="L335" s="46"/>
      <x:c r="M335" s="46"/>
      <x:c r="N335" s="46"/>
      <x:c r="O335" s="46"/>
      <x:c r="P335" s="46"/>
      <x:c r="Q335" s="46"/>
      <x:c r="R335" s="46"/>
      <x:c r="S335" s="46"/>
      <x:c r="T335" s="46"/>
      <x:c r="U335" s="46"/>
      <x:c r="V335" s="46"/>
      <x:c r="W335" s="46"/>
    </x:row>
    <x:row r="336">
      <x:c r="A336" s="46"/>
      <x:c r="B336" s="46"/>
      <x:c r="C336" s="46"/>
      <x:c r="D336" s="46"/>
      <x:c r="E336" s="46"/>
      <x:c r="F336" s="46"/>
      <x:c r="G336" s="46"/>
      <x:c r="H336" s="46"/>
      <x:c r="I336" s="46"/>
      <x:c r="J336" s="46"/>
      <x:c r="K336" s="46"/>
      <x:c r="L336" s="46"/>
      <x:c r="M336" s="46"/>
      <x:c r="N336" s="46"/>
      <x:c r="O336" s="46"/>
      <x:c r="P336" s="46"/>
      <x:c r="Q336" s="46"/>
      <x:c r="R336" s="46"/>
      <x:c r="S336" s="46"/>
      <x:c r="T336" s="46"/>
      <x:c r="U336" s="46"/>
      <x:c r="V336" s="46"/>
      <x:c r="W336" s="46"/>
    </x:row>
    <x:row r="337">
      <x:c r="A337" s="46"/>
      <x:c r="B337" s="46"/>
      <x:c r="C337" s="46"/>
      <x:c r="D337" s="46"/>
      <x:c r="E337" s="46"/>
      <x:c r="F337" s="46"/>
      <x:c r="G337" s="46"/>
      <x:c r="H337" s="46"/>
      <x:c r="I337" s="46"/>
      <x:c r="J337" s="46"/>
      <x:c r="K337" s="46"/>
      <x:c r="L337" s="46"/>
      <x:c r="M337" s="46"/>
      <x:c r="N337" s="46"/>
      <x:c r="O337" s="46"/>
      <x:c r="P337" s="46"/>
      <x:c r="Q337" s="46"/>
      <x:c r="R337" s="46"/>
      <x:c r="S337" s="46"/>
      <x:c r="T337" s="46"/>
      <x:c r="U337" s="46"/>
      <x:c r="V337" s="46"/>
      <x:c r="W337" s="46"/>
    </x:row>
    <x:row r="338">
      <x:c r="A338" s="46"/>
      <x:c r="B338" s="46"/>
      <x:c r="C338" s="46"/>
      <x:c r="D338" s="46"/>
      <x:c r="E338" s="46"/>
      <x:c r="F338" s="46"/>
      <x:c r="G338" s="46"/>
      <x:c r="H338" s="46"/>
      <x:c r="I338" s="46"/>
      <x:c r="J338" s="46"/>
      <x:c r="K338" s="46"/>
      <x:c r="L338" s="46"/>
      <x:c r="M338" s="46"/>
      <x:c r="N338" s="46"/>
      <x:c r="O338" s="46"/>
      <x:c r="P338" s="46"/>
      <x:c r="Q338" s="46"/>
      <x:c r="R338" s="46"/>
      <x:c r="S338" s="46"/>
      <x:c r="T338" s="46"/>
      <x:c r="U338" s="46"/>
      <x:c r="V338" s="46"/>
      <x:c r="W338" s="46"/>
    </x:row>
    <x:row r="339">
      <x:c r="A339" s="46"/>
      <x:c r="B339" s="46"/>
      <x:c r="C339" s="46"/>
      <x:c r="D339" s="46"/>
      <x:c r="E339" s="46"/>
      <x:c r="F339" s="46"/>
      <x:c r="G339" s="46"/>
      <x:c r="H339" s="46"/>
      <x:c r="I339" s="46"/>
      <x:c r="J339" s="46"/>
      <x:c r="K339" s="46"/>
      <x:c r="L339" s="46"/>
      <x:c r="M339" s="46"/>
      <x:c r="N339" s="46"/>
      <x:c r="O339" s="46"/>
      <x:c r="P339" s="46"/>
      <x:c r="Q339" s="46"/>
      <x:c r="R339" s="46"/>
      <x:c r="S339" s="46"/>
      <x:c r="T339" s="46"/>
      <x:c r="U339" s="46"/>
      <x:c r="V339" s="46"/>
      <x:c r="W339" s="46"/>
    </x:row>
    <x:row r="340">
      <x:c r="A340" s="46"/>
      <x:c r="B340" s="46"/>
      <x:c r="C340" s="46"/>
      <x:c r="D340" s="46"/>
      <x:c r="E340" s="46"/>
      <x:c r="F340" s="46"/>
      <x:c r="G340" s="46"/>
      <x:c r="H340" s="46"/>
      <x:c r="I340" s="46"/>
      <x:c r="J340" s="46"/>
      <x:c r="K340" s="46"/>
      <x:c r="L340" s="46"/>
      <x:c r="M340" s="46"/>
      <x:c r="N340" s="46"/>
      <x:c r="O340" s="46"/>
      <x:c r="P340" s="46"/>
      <x:c r="Q340" s="46"/>
      <x:c r="R340" s="46"/>
      <x:c r="S340" s="46"/>
      <x:c r="T340" s="46"/>
      <x:c r="U340" s="46"/>
      <x:c r="V340" s="46"/>
      <x:c r="W340" s="46"/>
    </x:row>
    <x:row r="341">
      <x:c r="A341" s="46"/>
      <x:c r="B341" s="46"/>
      <x:c r="C341" s="46"/>
      <x:c r="D341" s="46"/>
      <x:c r="E341" s="46"/>
      <x:c r="F341" s="46"/>
      <x:c r="G341" s="46"/>
      <x:c r="H341" s="46"/>
      <x:c r="I341" s="46"/>
      <x:c r="J341" s="46"/>
      <x:c r="K341" s="46"/>
      <x:c r="L341" s="46"/>
      <x:c r="M341" s="46"/>
      <x:c r="N341" s="46"/>
      <x:c r="O341" s="46"/>
      <x:c r="P341" s="46"/>
      <x:c r="Q341" s="46"/>
      <x:c r="R341" s="46"/>
      <x:c r="S341" s="46"/>
      <x:c r="T341" s="46"/>
      <x:c r="U341" s="46"/>
      <x:c r="V341" s="46"/>
      <x:c r="W341" s="46"/>
    </x:row>
    <x:row r="342">
      <x:c r="A342" s="46"/>
      <x:c r="B342" s="46"/>
      <x:c r="C342" s="46"/>
      <x:c r="D342" s="46"/>
      <x:c r="E342" s="46"/>
      <x:c r="F342" s="46"/>
      <x:c r="G342" s="46"/>
      <x:c r="H342" s="46"/>
      <x:c r="I342" s="46"/>
      <x:c r="J342" s="46"/>
      <x:c r="K342" s="46"/>
      <x:c r="L342" s="46"/>
      <x:c r="M342" s="46"/>
      <x:c r="N342" s="46"/>
      <x:c r="O342" s="46"/>
      <x:c r="P342" s="46"/>
      <x:c r="Q342" s="46"/>
      <x:c r="R342" s="46"/>
      <x:c r="S342" s="46"/>
      <x:c r="T342" s="46"/>
      <x:c r="U342" s="46"/>
      <x:c r="V342" s="46"/>
      <x:c r="W342" s="46"/>
    </x:row>
    <x:row r="343">
      <x:c r="A343" s="46"/>
      <x:c r="B343" s="46"/>
      <x:c r="C343" s="46"/>
      <x:c r="D343" s="46"/>
      <x:c r="E343" s="46"/>
      <x:c r="F343" s="46"/>
      <x:c r="G343" s="46"/>
      <x:c r="H343" s="46"/>
      <x:c r="I343" s="46"/>
      <x:c r="J343" s="46"/>
      <x:c r="K343" s="46"/>
      <x:c r="L343" s="46"/>
      <x:c r="M343" s="46"/>
      <x:c r="N343" s="46"/>
      <x:c r="O343" s="46"/>
      <x:c r="P343" s="46"/>
      <x:c r="Q343" s="46"/>
      <x:c r="R343" s="46"/>
      <x:c r="S343" s="46"/>
      <x:c r="T343" s="46"/>
      <x:c r="U343" s="46"/>
      <x:c r="V343" s="46"/>
      <x:c r="W343" s="46"/>
    </x:row>
    <x:row r="344">
      <x:c r="A344" s="46"/>
      <x:c r="B344" s="46"/>
      <x:c r="C344" s="46"/>
      <x:c r="D344" s="46"/>
      <x:c r="E344" s="46"/>
      <x:c r="F344" s="46"/>
      <x:c r="G344" s="46"/>
      <x:c r="H344" s="46"/>
      <x:c r="I344" s="46"/>
      <x:c r="J344" s="46"/>
      <x:c r="K344" s="46"/>
      <x:c r="L344" s="46"/>
      <x:c r="M344" s="46"/>
      <x:c r="N344" s="46"/>
      <x:c r="O344" s="46"/>
      <x:c r="P344" s="46"/>
      <x:c r="Q344" s="46"/>
      <x:c r="R344" s="46"/>
      <x:c r="S344" s="46"/>
      <x:c r="T344" s="46"/>
      <x:c r="U344" s="46"/>
      <x:c r="V344" s="46"/>
      <x:c r="W344" s="46"/>
    </x:row>
    <x:row r="345">
      <x:c r="A345" s="46"/>
      <x:c r="B345" s="46"/>
      <x:c r="C345" s="46"/>
      <x:c r="D345" s="46"/>
      <x:c r="E345" s="46"/>
      <x:c r="F345" s="46"/>
      <x:c r="G345" s="46"/>
      <x:c r="H345" s="46"/>
      <x:c r="I345" s="46"/>
      <x:c r="J345" s="46"/>
      <x:c r="K345" s="46"/>
      <x:c r="L345" s="46"/>
      <x:c r="M345" s="46"/>
      <x:c r="N345" s="46"/>
      <x:c r="O345" s="46"/>
      <x:c r="P345" s="46"/>
      <x:c r="Q345" s="46"/>
      <x:c r="R345" s="46"/>
      <x:c r="S345" s="46"/>
      <x:c r="T345" s="46"/>
      <x:c r="U345" s="46"/>
      <x:c r="V345" s="46"/>
      <x:c r="W345" s="46"/>
    </x:row>
    <x:row r="346">
      <x:c r="A346" s="46"/>
      <x:c r="B346" s="46"/>
      <x:c r="C346" s="46"/>
      <x:c r="D346" s="46"/>
      <x:c r="E346" s="46"/>
      <x:c r="F346" s="46"/>
      <x:c r="G346" s="46"/>
      <x:c r="H346" s="46"/>
      <x:c r="I346" s="46"/>
      <x:c r="J346" s="46"/>
      <x:c r="K346" s="46"/>
      <x:c r="L346" s="46"/>
      <x:c r="M346" s="46"/>
      <x:c r="N346" s="46"/>
      <x:c r="O346" s="46"/>
      <x:c r="P346" s="46"/>
      <x:c r="Q346" s="46"/>
      <x:c r="R346" s="46"/>
      <x:c r="S346" s="46"/>
      <x:c r="T346" s="46"/>
      <x:c r="U346" s="46"/>
      <x:c r="V346" s="46"/>
      <x:c r="W346" s="46"/>
    </x:row>
    <x:row r="347">
      <x:c r="A347" s="46"/>
      <x:c r="B347" s="46"/>
      <x:c r="C347" s="46"/>
      <x:c r="D347" s="46"/>
      <x:c r="E347" s="46"/>
      <x:c r="F347" s="46"/>
      <x:c r="G347" s="46"/>
      <x:c r="H347" s="46"/>
      <x:c r="I347" s="46"/>
      <x:c r="J347" s="46"/>
      <x:c r="K347" s="46"/>
      <x:c r="L347" s="46"/>
      <x:c r="M347" s="46"/>
      <x:c r="N347" s="46"/>
      <x:c r="O347" s="46"/>
      <x:c r="P347" s="46"/>
      <x:c r="Q347" s="46"/>
      <x:c r="R347" s="46"/>
      <x:c r="S347" s="46"/>
      <x:c r="T347" s="46"/>
      <x:c r="U347" s="46"/>
      <x:c r="V347" s="46"/>
      <x:c r="W347" s="46"/>
    </x:row>
    <x:row r="348">
      <x:c r="A348" s="46"/>
      <x:c r="B348" s="46"/>
      <x:c r="C348" s="46"/>
      <x:c r="D348" s="46"/>
      <x:c r="E348" s="46"/>
      <x:c r="F348" s="46"/>
      <x:c r="G348" s="46"/>
      <x:c r="H348" s="46"/>
      <x:c r="I348" s="46"/>
      <x:c r="J348" s="46"/>
      <x:c r="K348" s="46"/>
      <x:c r="L348" s="46"/>
      <x:c r="M348" s="46"/>
      <x:c r="N348" s="46"/>
      <x:c r="O348" s="46"/>
      <x:c r="P348" s="46"/>
      <x:c r="Q348" s="46"/>
      <x:c r="R348" s="46"/>
      <x:c r="S348" s="46"/>
      <x:c r="T348" s="46"/>
      <x:c r="U348" s="46"/>
      <x:c r="V348" s="46"/>
      <x:c r="W348" s="46"/>
    </x:row>
    <x:row r="349">
      <x:c r="A349" s="46"/>
      <x:c r="B349" s="46"/>
      <x:c r="C349" s="46"/>
      <x:c r="D349" s="46"/>
      <x:c r="E349" s="46"/>
      <x:c r="F349" s="46"/>
      <x:c r="G349" s="46"/>
      <x:c r="H349" s="46"/>
      <x:c r="I349" s="46"/>
      <x:c r="J349" s="46"/>
      <x:c r="K349" s="46"/>
      <x:c r="L349" s="46"/>
      <x:c r="M349" s="46"/>
      <x:c r="N349" s="46"/>
      <x:c r="O349" s="46"/>
      <x:c r="P349" s="46"/>
      <x:c r="Q349" s="46"/>
      <x:c r="R349" s="46"/>
      <x:c r="S349" s="46"/>
      <x:c r="T349" s="46"/>
      <x:c r="U349" s="46"/>
      <x:c r="V349" s="46"/>
      <x:c r="W349" s="46"/>
    </x:row>
    <x:row r="350">
      <x:c r="A350" s="46"/>
      <x:c r="B350" s="46"/>
      <x:c r="C350" s="46"/>
      <x:c r="D350" s="46"/>
      <x:c r="E350" s="46"/>
      <x:c r="F350" s="46"/>
      <x:c r="G350" s="46"/>
      <x:c r="H350" s="46"/>
      <x:c r="I350" s="46"/>
      <x:c r="J350" s="46"/>
      <x:c r="K350" s="46"/>
      <x:c r="L350" s="46"/>
      <x:c r="M350" s="46"/>
      <x:c r="N350" s="46"/>
      <x:c r="O350" s="46"/>
      <x:c r="P350" s="46"/>
      <x:c r="Q350" s="46"/>
      <x:c r="R350" s="46"/>
      <x:c r="S350" s="46"/>
      <x:c r="T350" s="46"/>
      <x:c r="U350" s="46"/>
      <x:c r="V350" s="46"/>
      <x:c r="W350" s="46"/>
    </x:row>
    <x:row r="351">
      <x:c r="A351" s="46"/>
      <x:c r="B351" s="46"/>
      <x:c r="C351" s="46"/>
      <x:c r="D351" s="46"/>
      <x:c r="E351" s="46"/>
      <x:c r="F351" s="46"/>
      <x:c r="G351" s="46"/>
      <x:c r="H351" s="46"/>
      <x:c r="I351" s="46"/>
      <x:c r="J351" s="46"/>
      <x:c r="K351" s="46"/>
      <x:c r="L351" s="46"/>
      <x:c r="M351" s="46"/>
      <x:c r="N351" s="46"/>
      <x:c r="O351" s="46"/>
      <x:c r="P351" s="46"/>
      <x:c r="Q351" s="46"/>
      <x:c r="R351" s="46"/>
      <x:c r="S351" s="46"/>
      <x:c r="T351" s="46"/>
      <x:c r="U351" s="46"/>
      <x:c r="V351" s="46"/>
      <x:c r="W351" s="46"/>
    </x:row>
    <x:row r="352">
      <x:c r="A352" s="46"/>
      <x:c r="B352" s="46"/>
      <x:c r="C352" s="46"/>
      <x:c r="D352" s="46"/>
      <x:c r="E352" s="46"/>
      <x:c r="F352" s="46"/>
      <x:c r="G352" s="46"/>
      <x:c r="H352" s="46"/>
      <x:c r="I352" s="46"/>
      <x:c r="J352" s="46"/>
      <x:c r="K352" s="46"/>
      <x:c r="L352" s="46"/>
      <x:c r="M352" s="46"/>
      <x:c r="N352" s="46"/>
      <x:c r="O352" s="46"/>
      <x:c r="P352" s="46"/>
      <x:c r="Q352" s="46"/>
      <x:c r="R352" s="46"/>
      <x:c r="S352" s="46"/>
      <x:c r="T352" s="46"/>
      <x:c r="U352" s="46"/>
      <x:c r="V352" s="46"/>
      <x:c r="W352" s="46"/>
    </x:row>
    <x:row r="353">
      <x:c r="A353" s="46"/>
      <x:c r="B353" s="46"/>
      <x:c r="C353" s="46"/>
      <x:c r="D353" s="46"/>
      <x:c r="E353" s="46"/>
      <x:c r="F353" s="46"/>
      <x:c r="G353" s="46"/>
      <x:c r="H353" s="46"/>
      <x:c r="I353" s="46"/>
      <x:c r="J353" s="46"/>
      <x:c r="K353" s="46"/>
      <x:c r="L353" s="46"/>
      <x:c r="M353" s="46"/>
      <x:c r="N353" s="46"/>
      <x:c r="O353" s="46"/>
      <x:c r="P353" s="46"/>
      <x:c r="Q353" s="46"/>
      <x:c r="R353" s="46"/>
      <x:c r="S353" s="46"/>
      <x:c r="T353" s="46"/>
      <x:c r="U353" s="46"/>
      <x:c r="V353" s="46"/>
      <x:c r="W353" s="46"/>
    </x:row>
    <x:row r="354">
      <x:c r="A354" s="46"/>
      <x:c r="B354" s="46"/>
      <x:c r="C354" s="46"/>
      <x:c r="D354" s="46"/>
      <x:c r="E354" s="46"/>
      <x:c r="F354" s="46"/>
      <x:c r="G354" s="46"/>
      <x:c r="H354" s="46"/>
      <x:c r="I354" s="46"/>
      <x:c r="J354" s="46"/>
      <x:c r="K354" s="46"/>
      <x:c r="L354" s="46"/>
      <x:c r="M354" s="46"/>
      <x:c r="N354" s="46"/>
      <x:c r="O354" s="46"/>
      <x:c r="P354" s="46"/>
      <x:c r="Q354" s="46"/>
      <x:c r="R354" s="46"/>
      <x:c r="S354" s="46"/>
      <x:c r="T354" s="46"/>
      <x:c r="U354" s="46"/>
      <x:c r="V354" s="46"/>
      <x:c r="W354" s="46"/>
    </x:row>
    <x:row r="355">
      <x:c r="A355" s="46"/>
      <x:c r="B355" s="46"/>
      <x:c r="C355" s="46"/>
      <x:c r="D355" s="46"/>
      <x:c r="E355" s="46"/>
      <x:c r="F355" s="46"/>
      <x:c r="G355" s="46"/>
      <x:c r="H355" s="46"/>
      <x:c r="I355" s="46"/>
      <x:c r="J355" s="46"/>
      <x:c r="K355" s="46"/>
      <x:c r="L355" s="46"/>
      <x:c r="M355" s="46"/>
      <x:c r="N355" s="46"/>
      <x:c r="O355" s="46"/>
      <x:c r="P355" s="46"/>
      <x:c r="Q355" s="46"/>
      <x:c r="R355" s="46"/>
      <x:c r="S355" s="46"/>
      <x:c r="T355" s="46"/>
      <x:c r="U355" s="46"/>
      <x:c r="V355" s="46"/>
      <x:c r="W355" s="46"/>
    </x:row>
    <x:row r="356">
      <x:c r="A356" s="46"/>
      <x:c r="B356" s="46"/>
      <x:c r="C356" s="46"/>
      <x:c r="D356" s="46"/>
      <x:c r="E356" s="46"/>
      <x:c r="F356" s="46"/>
      <x:c r="G356" s="46"/>
      <x:c r="H356" s="46"/>
      <x:c r="I356" s="46"/>
      <x:c r="J356" s="46"/>
      <x:c r="K356" s="46"/>
      <x:c r="L356" s="46"/>
      <x:c r="M356" s="46"/>
      <x:c r="N356" s="46"/>
      <x:c r="O356" s="46"/>
      <x:c r="P356" s="46"/>
      <x:c r="Q356" s="46"/>
      <x:c r="R356" s="46"/>
      <x:c r="S356" s="46"/>
      <x:c r="T356" s="46"/>
      <x:c r="U356" s="46"/>
      <x:c r="V356" s="46"/>
      <x:c r="W356" s="46"/>
    </x:row>
    <x:row r="357">
      <x:c r="A357" s="46"/>
      <x:c r="B357" s="46"/>
      <x:c r="C357" s="46"/>
      <x:c r="D357" s="46"/>
      <x:c r="E357" s="46"/>
      <x:c r="F357" s="46"/>
      <x:c r="G357" s="46"/>
      <x:c r="H357" s="46"/>
      <x:c r="I357" s="46"/>
      <x:c r="J357" s="46"/>
      <x:c r="K357" s="46"/>
      <x:c r="L357" s="46"/>
      <x:c r="M357" s="46"/>
      <x:c r="N357" s="46"/>
      <x:c r="O357" s="46"/>
      <x:c r="P357" s="46"/>
      <x:c r="Q357" s="46"/>
      <x:c r="R357" s="46"/>
      <x:c r="S357" s="46"/>
      <x:c r="T357" s="46"/>
      <x:c r="U357" s="46"/>
      <x:c r="V357" s="46"/>
      <x:c r="W357" s="46"/>
    </x:row>
    <x:row r="358">
      <x:c r="A358" s="46"/>
      <x:c r="B358" s="46"/>
      <x:c r="C358" s="46"/>
      <x:c r="D358" s="46"/>
      <x:c r="E358" s="46"/>
      <x:c r="F358" s="46"/>
      <x:c r="G358" s="46"/>
      <x:c r="H358" s="46"/>
      <x:c r="I358" s="46"/>
      <x:c r="J358" s="46"/>
      <x:c r="K358" s="46"/>
      <x:c r="L358" s="46"/>
      <x:c r="M358" s="46"/>
      <x:c r="N358" s="46"/>
      <x:c r="O358" s="46"/>
      <x:c r="P358" s="46"/>
      <x:c r="Q358" s="46"/>
      <x:c r="R358" s="46"/>
      <x:c r="S358" s="46"/>
      <x:c r="T358" s="46"/>
      <x:c r="U358" s="46"/>
      <x:c r="V358" s="46"/>
      <x:c r="W358" s="46"/>
    </x:row>
    <x:row r="359">
      <x:c r="A359" s="46"/>
      <x:c r="B359" s="46"/>
      <x:c r="C359" s="46"/>
      <x:c r="D359" s="46"/>
      <x:c r="E359" s="46"/>
      <x:c r="F359" s="46"/>
      <x:c r="G359" s="46"/>
      <x:c r="H359" s="46"/>
      <x:c r="I359" s="46"/>
      <x:c r="J359" s="46"/>
      <x:c r="K359" s="46"/>
      <x:c r="L359" s="46"/>
      <x:c r="M359" s="46"/>
      <x:c r="N359" s="46"/>
      <x:c r="O359" s="46"/>
      <x:c r="P359" s="46"/>
      <x:c r="Q359" s="46"/>
      <x:c r="R359" s="46"/>
      <x:c r="S359" s="46"/>
      <x:c r="T359" s="46"/>
      <x:c r="U359" s="46"/>
      <x:c r="V359" s="46"/>
      <x:c r="W359" s="46"/>
    </x:row>
    <x:row r="360">
      <x:c r="A360" s="46"/>
      <x:c r="B360" s="46"/>
      <x:c r="C360" s="46"/>
      <x:c r="D360" s="46"/>
      <x:c r="E360" s="46"/>
      <x:c r="F360" s="46"/>
      <x:c r="G360" s="46"/>
      <x:c r="H360" s="46"/>
      <x:c r="I360" s="46"/>
      <x:c r="J360" s="46"/>
      <x:c r="K360" s="46"/>
      <x:c r="L360" s="46"/>
      <x:c r="M360" s="46"/>
      <x:c r="N360" s="46"/>
      <x:c r="O360" s="46"/>
      <x:c r="P360" s="46"/>
      <x:c r="Q360" s="46"/>
      <x:c r="R360" s="46"/>
      <x:c r="S360" s="46"/>
      <x:c r="T360" s="46"/>
      <x:c r="U360" s="46"/>
      <x:c r="V360" s="46"/>
      <x:c r="W360" s="46"/>
    </x:row>
    <x:row r="361">
      <x:c r="A361" s="46"/>
      <x:c r="B361" s="46"/>
      <x:c r="C361" s="46"/>
      <x:c r="D361" s="46"/>
      <x:c r="E361" s="46"/>
      <x:c r="F361" s="46"/>
      <x:c r="G361" s="46"/>
      <x:c r="H361" s="46"/>
      <x:c r="I361" s="46"/>
      <x:c r="J361" s="46"/>
      <x:c r="K361" s="46"/>
      <x:c r="L361" s="46"/>
      <x:c r="M361" s="46"/>
      <x:c r="N361" s="46"/>
      <x:c r="O361" s="46"/>
      <x:c r="P361" s="46"/>
      <x:c r="Q361" s="46"/>
      <x:c r="R361" s="46"/>
      <x:c r="S361" s="46"/>
      <x:c r="T361" s="46"/>
      <x:c r="U361" s="46"/>
      <x:c r="V361" s="46"/>
      <x:c r="W361" s="46"/>
    </x:row>
    <x:row r="362">
      <x:c r="A362" s="46"/>
      <x:c r="B362" s="46"/>
      <x:c r="C362" s="46"/>
      <x:c r="D362" s="46"/>
      <x:c r="E362" s="46"/>
      <x:c r="F362" s="46"/>
      <x:c r="G362" s="46"/>
      <x:c r="H362" s="46"/>
      <x:c r="I362" s="46"/>
      <x:c r="J362" s="46"/>
      <x:c r="K362" s="46"/>
      <x:c r="L362" s="46"/>
      <x:c r="M362" s="46"/>
      <x:c r="N362" s="46"/>
      <x:c r="O362" s="46"/>
      <x:c r="P362" s="46"/>
      <x:c r="Q362" s="46"/>
      <x:c r="R362" s="46"/>
      <x:c r="S362" s="46"/>
      <x:c r="T362" s="46"/>
      <x:c r="U362" s="46"/>
      <x:c r="V362" s="46"/>
      <x:c r="W362" s="46"/>
    </x:row>
    <x:row r="363">
      <x:c r="A363" s="46"/>
      <x:c r="B363" s="46"/>
      <x:c r="C363" s="46"/>
      <x:c r="D363" s="46"/>
      <x:c r="E363" s="46"/>
      <x:c r="F363" s="46"/>
      <x:c r="G363" s="46"/>
      <x:c r="H363" s="46"/>
      <x:c r="I363" s="46"/>
      <x:c r="J363" s="46"/>
      <x:c r="K363" s="46"/>
      <x:c r="L363" s="46"/>
      <x:c r="M363" s="46"/>
      <x:c r="N363" s="46"/>
      <x:c r="O363" s="46"/>
      <x:c r="P363" s="46"/>
      <x:c r="Q363" s="46"/>
      <x:c r="R363" s="46"/>
      <x:c r="S363" s="46"/>
      <x:c r="T363" s="46"/>
      <x:c r="U363" s="46"/>
      <x:c r="V363" s="46"/>
      <x:c r="W363" s="46"/>
    </x:row>
    <x:row r="364">
      <x:c r="A364" s="46"/>
      <x:c r="B364" s="46"/>
      <x:c r="C364" s="46"/>
      <x:c r="D364" s="46"/>
      <x:c r="E364" s="46"/>
      <x:c r="F364" s="46"/>
      <x:c r="G364" s="46"/>
      <x:c r="H364" s="46"/>
      <x:c r="I364" s="46"/>
      <x:c r="J364" s="46"/>
      <x:c r="K364" s="46"/>
      <x:c r="L364" s="46"/>
      <x:c r="M364" s="46"/>
      <x:c r="N364" s="46"/>
      <x:c r="O364" s="46"/>
      <x:c r="P364" s="46"/>
      <x:c r="Q364" s="46"/>
      <x:c r="R364" s="46"/>
      <x:c r="S364" s="46"/>
      <x:c r="T364" s="46"/>
      <x:c r="U364" s="46"/>
      <x:c r="V364" s="46"/>
      <x:c r="W364" s="46"/>
    </x:row>
    <x:row r="365">
      <x:c r="A365" s="46"/>
      <x:c r="B365" s="46"/>
      <x:c r="C365" s="46"/>
      <x:c r="D365" s="46"/>
      <x:c r="E365" s="46"/>
      <x:c r="F365" s="46"/>
      <x:c r="G365" s="46"/>
      <x:c r="H365" s="46"/>
      <x:c r="I365" s="46"/>
      <x:c r="J365" s="46"/>
      <x:c r="K365" s="46"/>
      <x:c r="L365" s="46"/>
      <x:c r="M365" s="46"/>
      <x:c r="N365" s="46"/>
      <x:c r="O365" s="46"/>
      <x:c r="P365" s="46"/>
      <x:c r="Q365" s="46"/>
      <x:c r="R365" s="46"/>
      <x:c r="S365" s="46"/>
      <x:c r="T365" s="46"/>
      <x:c r="U365" s="46"/>
      <x:c r="V365" s="46"/>
      <x:c r="W365" s="46"/>
    </x:row>
    <x:row r="366">
      <x:c r="A366" s="46"/>
      <x:c r="B366" s="46"/>
      <x:c r="C366" s="46"/>
      <x:c r="D366" s="46"/>
      <x:c r="E366" s="46"/>
      <x:c r="F366" s="46"/>
      <x:c r="G366" s="46"/>
      <x:c r="H366" s="46"/>
      <x:c r="I366" s="46"/>
      <x:c r="J366" s="46"/>
      <x:c r="K366" s="46"/>
      <x:c r="L366" s="46"/>
      <x:c r="M366" s="46"/>
      <x:c r="N366" s="46"/>
      <x:c r="O366" s="46"/>
      <x:c r="P366" s="46"/>
      <x:c r="Q366" s="46"/>
      <x:c r="R366" s="46"/>
      <x:c r="S366" s="46"/>
      <x:c r="T366" s="46"/>
      <x:c r="U366" s="46"/>
      <x:c r="V366" s="46"/>
      <x:c r="W366" s="46"/>
    </x:row>
    <x:row r="367">
      <x:c r="A367" s="46"/>
      <x:c r="B367" s="46"/>
      <x:c r="C367" s="46"/>
      <x:c r="D367" s="46"/>
      <x:c r="E367" s="46"/>
      <x:c r="F367" s="46"/>
      <x:c r="G367" s="46"/>
      <x:c r="H367" s="46"/>
      <x:c r="I367" s="46"/>
      <x:c r="J367" s="46"/>
      <x:c r="K367" s="46"/>
      <x:c r="L367" s="46"/>
      <x:c r="M367" s="46"/>
      <x:c r="N367" s="46"/>
      <x:c r="O367" s="46"/>
      <x:c r="P367" s="46"/>
      <x:c r="Q367" s="46"/>
      <x:c r="R367" s="46"/>
      <x:c r="S367" s="46"/>
      <x:c r="T367" s="46"/>
      <x:c r="U367" s="46"/>
      <x:c r="V367" s="46"/>
      <x:c r="W367" s="46"/>
    </x:row>
    <x:row r="368">
      <x:c r="A368" s="46"/>
      <x:c r="B368" s="46"/>
      <x:c r="C368" s="46"/>
      <x:c r="D368" s="46"/>
      <x:c r="E368" s="46"/>
      <x:c r="F368" s="46"/>
      <x:c r="G368" s="46"/>
      <x:c r="H368" s="46"/>
      <x:c r="I368" s="46"/>
      <x:c r="J368" s="46"/>
      <x:c r="K368" s="46"/>
      <x:c r="L368" s="46"/>
      <x:c r="M368" s="46"/>
      <x:c r="N368" s="46"/>
      <x:c r="O368" s="46"/>
      <x:c r="P368" s="46"/>
      <x:c r="Q368" s="46"/>
      <x:c r="R368" s="46"/>
      <x:c r="S368" s="46"/>
      <x:c r="T368" s="46"/>
      <x:c r="U368" s="46"/>
      <x:c r="V368" s="46"/>
      <x:c r="W368" s="46"/>
    </x:row>
    <x:row r="369">
      <x:c r="A369" s="46"/>
      <x:c r="B369" s="46"/>
      <x:c r="C369" s="46"/>
      <x:c r="D369" s="46"/>
      <x:c r="E369" s="46"/>
      <x:c r="F369" s="46"/>
      <x:c r="G369" s="46"/>
      <x:c r="H369" s="46"/>
      <x:c r="I369" s="46"/>
      <x:c r="J369" s="46"/>
      <x:c r="K369" s="46"/>
      <x:c r="L369" s="46"/>
      <x:c r="M369" s="46"/>
      <x:c r="N369" s="46"/>
      <x:c r="O369" s="46"/>
      <x:c r="P369" s="46"/>
      <x:c r="Q369" s="46"/>
      <x:c r="R369" s="46"/>
      <x:c r="S369" s="46"/>
      <x:c r="T369" s="46"/>
      <x:c r="U369" s="46"/>
      <x:c r="V369" s="46"/>
      <x:c r="W369" s="46"/>
    </x:row>
    <x:row r="370">
      <x:c r="A370" s="46"/>
      <x:c r="B370" s="46"/>
      <x:c r="C370" s="46"/>
      <x:c r="D370" s="46"/>
      <x:c r="E370" s="46"/>
      <x:c r="F370" s="46"/>
      <x:c r="G370" s="46"/>
      <x:c r="H370" s="46"/>
      <x:c r="I370" s="46"/>
      <x:c r="J370" s="46"/>
      <x:c r="K370" s="46"/>
      <x:c r="L370" s="46"/>
      <x:c r="M370" s="46"/>
      <x:c r="N370" s="46"/>
      <x:c r="O370" s="46"/>
      <x:c r="P370" s="46"/>
      <x:c r="Q370" s="46"/>
      <x:c r="R370" s="46"/>
      <x:c r="S370" s="46"/>
      <x:c r="T370" s="46"/>
      <x:c r="U370" s="46"/>
      <x:c r="V370" s="46"/>
      <x:c r="W370" s="46"/>
    </x:row>
    <x:row r="371">
      <x:c r="A371" s="46"/>
      <x:c r="B371" s="46"/>
      <x:c r="C371" s="46"/>
      <x:c r="D371" s="46"/>
      <x:c r="E371" s="46"/>
      <x:c r="F371" s="46"/>
      <x:c r="G371" s="46"/>
      <x:c r="H371" s="46"/>
      <x:c r="I371" s="46"/>
      <x:c r="J371" s="46"/>
      <x:c r="K371" s="46"/>
      <x:c r="L371" s="46"/>
      <x:c r="M371" s="46"/>
      <x:c r="N371" s="46"/>
      <x:c r="O371" s="46"/>
      <x:c r="P371" s="46"/>
      <x:c r="Q371" s="46"/>
      <x:c r="R371" s="46"/>
      <x:c r="S371" s="46"/>
      <x:c r="T371" s="46"/>
      <x:c r="U371" s="46"/>
      <x:c r="V371" s="46"/>
      <x:c r="W371" s="46"/>
    </x:row>
    <x:row r="372">
      <x:c r="A372" s="46"/>
      <x:c r="B372" s="46"/>
      <x:c r="C372" s="46"/>
      <x:c r="D372" s="46"/>
      <x:c r="E372" s="46"/>
      <x:c r="F372" s="46"/>
      <x:c r="G372" s="46"/>
      <x:c r="H372" s="46"/>
      <x:c r="I372" s="46"/>
      <x:c r="J372" s="46"/>
      <x:c r="K372" s="46"/>
      <x:c r="L372" s="46"/>
      <x:c r="M372" s="46"/>
      <x:c r="N372" s="46"/>
      <x:c r="O372" s="46"/>
      <x:c r="P372" s="46"/>
      <x:c r="Q372" s="46"/>
      <x:c r="R372" s="46"/>
      <x:c r="S372" s="46"/>
      <x:c r="T372" s="46"/>
      <x:c r="U372" s="46"/>
      <x:c r="V372" s="46"/>
      <x:c r="W372" s="46"/>
    </x:row>
    <x:row r="373">
      <x:c r="A373" s="46"/>
      <x:c r="B373" s="46"/>
      <x:c r="C373" s="46"/>
      <x:c r="D373" s="46"/>
      <x:c r="E373" s="46"/>
      <x:c r="F373" s="46"/>
      <x:c r="G373" s="46"/>
      <x:c r="H373" s="46"/>
      <x:c r="I373" s="46"/>
      <x:c r="J373" s="46"/>
      <x:c r="K373" s="46"/>
      <x:c r="L373" s="46"/>
      <x:c r="M373" s="46"/>
      <x:c r="N373" s="46"/>
      <x:c r="O373" s="46"/>
      <x:c r="P373" s="46"/>
      <x:c r="Q373" s="46"/>
      <x:c r="R373" s="46"/>
      <x:c r="S373" s="46"/>
      <x:c r="T373" s="46"/>
      <x:c r="U373" s="46"/>
      <x:c r="V373" s="46"/>
      <x:c r="W373" s="46"/>
    </x:row>
    <x:row r="374">
      <x:c r="A374" s="46"/>
      <x:c r="B374" s="46"/>
      <x:c r="C374" s="46"/>
      <x:c r="D374" s="46"/>
      <x:c r="E374" s="46"/>
      <x:c r="F374" s="46"/>
      <x:c r="G374" s="46"/>
      <x:c r="H374" s="46"/>
      <x:c r="I374" s="46"/>
      <x:c r="J374" s="46"/>
      <x:c r="K374" s="46"/>
      <x:c r="L374" s="46"/>
      <x:c r="M374" s="46"/>
      <x:c r="N374" s="46"/>
      <x:c r="O374" s="46"/>
      <x:c r="P374" s="46"/>
      <x:c r="Q374" s="46"/>
      <x:c r="R374" s="46"/>
      <x:c r="S374" s="46"/>
      <x:c r="T374" s="46"/>
      <x:c r="U374" s="46"/>
      <x:c r="V374" s="46"/>
      <x:c r="W374" s="46"/>
    </x:row>
    <x:row r="375">
      <x:c r="A375" s="46"/>
      <x:c r="B375" s="46"/>
      <x:c r="C375" s="46"/>
      <x:c r="D375" s="46"/>
      <x:c r="E375" s="46"/>
      <x:c r="F375" s="46"/>
      <x:c r="G375" s="46"/>
      <x:c r="H375" s="46"/>
      <x:c r="I375" s="46"/>
      <x:c r="J375" s="46"/>
      <x:c r="K375" s="46"/>
      <x:c r="L375" s="46"/>
      <x:c r="M375" s="46"/>
      <x:c r="N375" s="46"/>
      <x:c r="O375" s="46"/>
      <x:c r="P375" s="46"/>
      <x:c r="Q375" s="46"/>
      <x:c r="R375" s="46"/>
      <x:c r="S375" s="46"/>
      <x:c r="T375" s="46"/>
      <x:c r="U375" s="46"/>
      <x:c r="V375" s="46"/>
      <x:c r="W375" s="46"/>
    </x:row>
    <x:row r="376">
      <x:c r="A376" s="46"/>
      <x:c r="B376" s="46"/>
      <x:c r="C376" s="46"/>
      <x:c r="D376" s="46"/>
      <x:c r="E376" s="46"/>
      <x:c r="F376" s="46"/>
      <x:c r="G376" s="46"/>
      <x:c r="H376" s="46"/>
      <x:c r="I376" s="46"/>
      <x:c r="J376" s="46"/>
      <x:c r="K376" s="46"/>
      <x:c r="L376" s="46"/>
      <x:c r="M376" s="46"/>
      <x:c r="N376" s="46"/>
      <x:c r="O376" s="46"/>
      <x:c r="P376" s="46"/>
      <x:c r="Q376" s="46"/>
      <x:c r="R376" s="46"/>
      <x:c r="S376" s="46"/>
      <x:c r="T376" s="46"/>
      <x:c r="U376" s="46"/>
      <x:c r="V376" s="46"/>
      <x:c r="W376" s="46"/>
    </x:row>
    <x:row r="377">
      <x:c r="A377" s="46"/>
      <x:c r="B377" s="46"/>
      <x:c r="C377" s="46"/>
      <x:c r="D377" s="46"/>
      <x:c r="E377" s="46"/>
      <x:c r="F377" s="46"/>
      <x:c r="G377" s="46"/>
      <x:c r="H377" s="46"/>
      <x:c r="I377" s="46"/>
      <x:c r="J377" s="46"/>
      <x:c r="K377" s="46"/>
      <x:c r="L377" s="46"/>
      <x:c r="M377" s="46"/>
      <x:c r="N377" s="46"/>
      <x:c r="O377" s="46"/>
      <x:c r="P377" s="46"/>
      <x:c r="Q377" s="46"/>
      <x:c r="R377" s="46"/>
      <x:c r="S377" s="46"/>
      <x:c r="T377" s="46"/>
      <x:c r="U377" s="46"/>
      <x:c r="V377" s="46"/>
      <x:c r="W377" s="46"/>
    </x:row>
    <x:row r="378">
      <x:c r="A378" s="46"/>
      <x:c r="B378" s="46"/>
      <x:c r="C378" s="46"/>
      <x:c r="D378" s="46"/>
      <x:c r="E378" s="46"/>
      <x:c r="F378" s="46"/>
      <x:c r="G378" s="46"/>
      <x:c r="H378" s="46"/>
      <x:c r="I378" s="46"/>
      <x:c r="J378" s="46"/>
      <x:c r="K378" s="46"/>
      <x:c r="L378" s="46"/>
      <x:c r="M378" s="46"/>
      <x:c r="N378" s="46"/>
      <x:c r="O378" s="46"/>
      <x:c r="P378" s="46"/>
      <x:c r="Q378" s="46"/>
      <x:c r="R378" s="46"/>
      <x:c r="S378" s="46"/>
      <x:c r="T378" s="46"/>
      <x:c r="U378" s="46"/>
      <x:c r="V378" s="46"/>
      <x:c r="W378" s="46"/>
    </x:row>
    <x:row r="379">
      <x:c r="A379" s="46"/>
      <x:c r="B379" s="46"/>
      <x:c r="C379" s="46"/>
      <x:c r="D379" s="46"/>
      <x:c r="E379" s="46"/>
      <x:c r="F379" s="46"/>
      <x:c r="G379" s="46"/>
      <x:c r="H379" s="46"/>
      <x:c r="I379" s="46"/>
      <x:c r="J379" s="46"/>
      <x:c r="K379" s="46"/>
      <x:c r="L379" s="46"/>
      <x:c r="M379" s="46"/>
      <x:c r="N379" s="46"/>
      <x:c r="O379" s="46"/>
      <x:c r="P379" s="46"/>
      <x:c r="Q379" s="46"/>
      <x:c r="R379" s="46"/>
      <x:c r="S379" s="46"/>
      <x:c r="T379" s="46"/>
      <x:c r="U379" s="46"/>
      <x:c r="V379" s="46"/>
      <x:c r="W379" s="46"/>
    </x:row>
    <x:row r="380">
      <x:c r="A380" s="46"/>
      <x:c r="B380" s="46"/>
      <x:c r="C380" s="46"/>
      <x:c r="D380" s="46"/>
      <x:c r="E380" s="46"/>
      <x:c r="F380" s="46"/>
      <x:c r="G380" s="46"/>
      <x:c r="H380" s="46"/>
      <x:c r="I380" s="46"/>
      <x:c r="J380" s="46"/>
      <x:c r="K380" s="46"/>
      <x:c r="L380" s="46"/>
      <x:c r="M380" s="46"/>
      <x:c r="N380" s="46"/>
      <x:c r="O380" s="46"/>
      <x:c r="P380" s="46"/>
      <x:c r="Q380" s="46"/>
      <x:c r="R380" s="46"/>
      <x:c r="S380" s="46"/>
      <x:c r="T380" s="46"/>
      <x:c r="U380" s="46"/>
      <x:c r="V380" s="46"/>
      <x:c r="W380" s="46"/>
    </x:row>
    <x:row r="381">
      <x:c r="A381" s="46"/>
      <x:c r="B381" s="46"/>
      <x:c r="C381" s="46"/>
      <x:c r="D381" s="46"/>
      <x:c r="E381" s="46"/>
      <x:c r="F381" s="46"/>
      <x:c r="G381" s="46"/>
      <x:c r="H381" s="46"/>
      <x:c r="I381" s="46"/>
      <x:c r="J381" s="46"/>
      <x:c r="K381" s="46"/>
      <x:c r="L381" s="46"/>
      <x:c r="M381" s="46"/>
      <x:c r="N381" s="46"/>
      <x:c r="O381" s="46"/>
      <x:c r="P381" s="46"/>
      <x:c r="Q381" s="46"/>
      <x:c r="R381" s="46"/>
      <x:c r="S381" s="46"/>
      <x:c r="T381" s="46"/>
      <x:c r="U381" s="46"/>
      <x:c r="V381" s="46"/>
      <x:c r="W381" s="46"/>
    </x:row>
    <x:row r="382">
      <x:c r="A382" s="46"/>
      <x:c r="B382" s="46"/>
      <x:c r="C382" s="46"/>
      <x:c r="D382" s="46"/>
      <x:c r="E382" s="46"/>
      <x:c r="F382" s="46"/>
      <x:c r="G382" s="46"/>
      <x:c r="H382" s="46"/>
      <x:c r="I382" s="46"/>
      <x:c r="J382" s="46"/>
      <x:c r="K382" s="46"/>
      <x:c r="L382" s="46"/>
      <x:c r="M382" s="46"/>
      <x:c r="N382" s="46"/>
      <x:c r="O382" s="46"/>
      <x:c r="P382" s="46"/>
      <x:c r="Q382" s="46"/>
      <x:c r="R382" s="46"/>
      <x:c r="S382" s="46"/>
      <x:c r="T382" s="46"/>
      <x:c r="U382" s="46"/>
      <x:c r="V382" s="46"/>
      <x:c r="W382" s="46"/>
    </x:row>
    <x:row r="383">
      <x:c r="A383" s="46"/>
      <x:c r="B383" s="46"/>
      <x:c r="C383" s="46"/>
      <x:c r="D383" s="46"/>
      <x:c r="E383" s="46"/>
      <x:c r="F383" s="46"/>
      <x:c r="G383" s="46"/>
      <x:c r="H383" s="46"/>
      <x:c r="I383" s="46"/>
      <x:c r="J383" s="46"/>
      <x:c r="K383" s="46"/>
      <x:c r="L383" s="46"/>
      <x:c r="M383" s="46"/>
      <x:c r="N383" s="46"/>
      <x:c r="O383" s="46"/>
      <x:c r="P383" s="46"/>
      <x:c r="Q383" s="46"/>
      <x:c r="R383" s="46"/>
      <x:c r="S383" s="46"/>
      <x:c r="T383" s="46"/>
      <x:c r="U383" s="46"/>
      <x:c r="V383" s="46"/>
      <x:c r="W383" s="46"/>
    </x:row>
    <x:row r="384">
      <x:c r="A384" s="46"/>
      <x:c r="B384" s="46"/>
      <x:c r="C384" s="46"/>
      <x:c r="D384" s="46"/>
      <x:c r="E384" s="46"/>
      <x:c r="F384" s="46"/>
      <x:c r="G384" s="46"/>
      <x:c r="H384" s="46"/>
      <x:c r="I384" s="46"/>
      <x:c r="J384" s="46"/>
      <x:c r="K384" s="46"/>
      <x:c r="L384" s="46"/>
      <x:c r="M384" s="46"/>
      <x:c r="N384" s="46"/>
      <x:c r="O384" s="46"/>
      <x:c r="P384" s="46"/>
      <x:c r="Q384" s="46"/>
      <x:c r="R384" s="46"/>
      <x:c r="S384" s="46"/>
      <x:c r="T384" s="46"/>
      <x:c r="U384" s="46"/>
      <x:c r="V384" s="46"/>
      <x:c r="W384" s="46"/>
    </x:row>
    <x:row r="385">
      <x:c r="A385" s="46"/>
      <x:c r="B385" s="46"/>
      <x:c r="C385" s="46"/>
      <x:c r="D385" s="46"/>
      <x:c r="E385" s="46"/>
      <x:c r="F385" s="46"/>
      <x:c r="G385" s="46"/>
      <x:c r="H385" s="46"/>
      <x:c r="I385" s="46"/>
      <x:c r="J385" s="46"/>
      <x:c r="K385" s="46"/>
      <x:c r="L385" s="46"/>
      <x:c r="M385" s="46"/>
      <x:c r="N385" s="46"/>
      <x:c r="O385" s="46"/>
      <x:c r="P385" s="46"/>
      <x:c r="Q385" s="46"/>
      <x:c r="R385" s="46"/>
      <x:c r="S385" s="46"/>
      <x:c r="T385" s="46"/>
      <x:c r="U385" s="46"/>
      <x:c r="V385" s="46"/>
      <x:c r="W385" s="46"/>
    </x:row>
    <x:row r="386">
      <x:c r="A386" s="46"/>
      <x:c r="B386" s="46"/>
      <x:c r="C386" s="46"/>
      <x:c r="D386" s="46"/>
      <x:c r="E386" s="46"/>
      <x:c r="F386" s="46"/>
      <x:c r="G386" s="46"/>
      <x:c r="H386" s="46"/>
      <x:c r="I386" s="46"/>
      <x:c r="J386" s="46"/>
      <x:c r="K386" s="46"/>
      <x:c r="L386" s="46"/>
      <x:c r="M386" s="46"/>
      <x:c r="N386" s="46"/>
      <x:c r="O386" s="46"/>
      <x:c r="P386" s="46"/>
      <x:c r="Q386" s="46"/>
      <x:c r="R386" s="46"/>
      <x:c r="S386" s="46"/>
      <x:c r="T386" s="46"/>
      <x:c r="U386" s="46"/>
      <x:c r="V386" s="46"/>
      <x:c r="W386" s="46"/>
    </x:row>
    <x:row r="387">
      <x:c r="A387" s="46"/>
      <x:c r="B387" s="46"/>
      <x:c r="C387" s="46"/>
      <x:c r="D387" s="46"/>
      <x:c r="E387" s="46"/>
      <x:c r="F387" s="46"/>
      <x:c r="G387" s="46"/>
      <x:c r="H387" s="46"/>
      <x:c r="I387" s="46"/>
      <x:c r="J387" s="46"/>
      <x:c r="K387" s="46"/>
      <x:c r="L387" s="46"/>
      <x:c r="M387" s="46"/>
      <x:c r="N387" s="46"/>
      <x:c r="O387" s="46"/>
      <x:c r="P387" s="46"/>
      <x:c r="Q387" s="46"/>
      <x:c r="R387" s="46"/>
      <x:c r="S387" s="46"/>
      <x:c r="T387" s="46"/>
      <x:c r="U387" s="46"/>
      <x:c r="V387" s="46"/>
      <x:c r="W387" s="46"/>
    </x:row>
    <x:row r="388">
      <x:c r="A388" s="46"/>
      <x:c r="B388" s="46"/>
      <x:c r="C388" s="46"/>
      <x:c r="D388" s="46"/>
      <x:c r="E388" s="46"/>
      <x:c r="F388" s="46"/>
      <x:c r="G388" s="46"/>
      <x:c r="H388" s="46"/>
      <x:c r="I388" s="46"/>
      <x:c r="J388" s="46"/>
      <x:c r="K388" s="46"/>
      <x:c r="L388" s="46"/>
      <x:c r="M388" s="46"/>
      <x:c r="N388" s="46"/>
      <x:c r="O388" s="46"/>
      <x:c r="P388" s="46"/>
      <x:c r="Q388" s="46"/>
      <x:c r="R388" s="46"/>
      <x:c r="S388" s="46"/>
      <x:c r="T388" s="46"/>
      <x:c r="U388" s="46"/>
      <x:c r="V388" s="46"/>
      <x:c r="W388" s="46"/>
    </x:row>
    <x:row r="389">
      <x:c r="A389" s="46"/>
      <x:c r="B389" s="46"/>
      <x:c r="C389" s="46"/>
      <x:c r="D389" s="46"/>
      <x:c r="E389" s="46"/>
      <x:c r="F389" s="46"/>
      <x:c r="G389" s="46"/>
      <x:c r="H389" s="46"/>
      <x:c r="I389" s="46"/>
      <x:c r="J389" s="46"/>
      <x:c r="K389" s="46"/>
      <x:c r="L389" s="46"/>
      <x:c r="M389" s="46"/>
      <x:c r="N389" s="46"/>
      <x:c r="O389" s="46"/>
      <x:c r="P389" s="46"/>
      <x:c r="Q389" s="46"/>
      <x:c r="R389" s="46"/>
      <x:c r="S389" s="46"/>
      <x:c r="T389" s="46"/>
      <x:c r="U389" s="46"/>
      <x:c r="V389" s="46"/>
      <x:c r="W389" s="46"/>
    </x:row>
    <x:row r="390">
      <x:c r="A390" s="46"/>
      <x:c r="B390" s="46"/>
      <x:c r="C390" s="46"/>
      <x:c r="D390" s="46"/>
      <x:c r="E390" s="46"/>
      <x:c r="F390" s="46"/>
      <x:c r="G390" s="46"/>
      <x:c r="H390" s="46"/>
      <x:c r="I390" s="46"/>
      <x:c r="J390" s="46"/>
      <x:c r="K390" s="46"/>
      <x:c r="L390" s="46"/>
      <x:c r="M390" s="46"/>
      <x:c r="N390" s="46"/>
      <x:c r="O390" s="46"/>
      <x:c r="P390" s="46"/>
      <x:c r="Q390" s="46"/>
      <x:c r="R390" s="46"/>
      <x:c r="S390" s="46"/>
      <x:c r="T390" s="46"/>
      <x:c r="U390" s="46"/>
      <x:c r="V390" s="46"/>
      <x:c r="W390" s="46"/>
    </x:row>
    <x:row r="391">
      <x:c r="A391" s="46"/>
      <x:c r="B391" s="46"/>
      <x:c r="C391" s="46"/>
      <x:c r="D391" s="46"/>
      <x:c r="E391" s="46"/>
      <x:c r="F391" s="46"/>
      <x:c r="G391" s="46"/>
      <x:c r="H391" s="46"/>
      <x:c r="I391" s="46"/>
      <x:c r="J391" s="46"/>
      <x:c r="K391" s="46"/>
      <x:c r="L391" s="46"/>
      <x:c r="M391" s="46"/>
      <x:c r="N391" s="46"/>
      <x:c r="O391" s="46"/>
      <x:c r="P391" s="46"/>
      <x:c r="Q391" s="46"/>
      <x:c r="R391" s="46"/>
      <x:c r="S391" s="46"/>
      <x:c r="T391" s="46"/>
      <x:c r="U391" s="46"/>
      <x:c r="V391" s="46"/>
      <x:c r="W391" s="46"/>
    </x:row>
    <x:row r="392">
      <x:c r="A392" s="46"/>
      <x:c r="B392" s="46"/>
      <x:c r="C392" s="46"/>
      <x:c r="D392" s="46"/>
      <x:c r="E392" s="46"/>
      <x:c r="F392" s="46"/>
      <x:c r="G392" s="46"/>
      <x:c r="H392" s="46"/>
      <x:c r="I392" s="46"/>
      <x:c r="J392" s="46"/>
      <x:c r="K392" s="46"/>
      <x:c r="L392" s="46"/>
      <x:c r="M392" s="46"/>
      <x:c r="N392" s="46"/>
      <x:c r="O392" s="46"/>
      <x:c r="P392" s="46"/>
      <x:c r="Q392" s="46"/>
      <x:c r="R392" s="46"/>
      <x:c r="S392" s="46"/>
      <x:c r="T392" s="46"/>
      <x:c r="U392" s="46"/>
      <x:c r="V392" s="46"/>
      <x:c r="W392" s="46"/>
    </x:row>
    <x:row r="393">
      <x:c r="A393" s="46"/>
      <x:c r="B393" s="46"/>
      <x:c r="C393" s="46"/>
      <x:c r="D393" s="46"/>
      <x:c r="E393" s="46"/>
      <x:c r="F393" s="46"/>
      <x:c r="G393" s="46"/>
      <x:c r="H393" s="46"/>
      <x:c r="I393" s="46"/>
      <x:c r="J393" s="46"/>
      <x:c r="K393" s="46"/>
      <x:c r="L393" s="46"/>
      <x:c r="M393" s="46"/>
      <x:c r="N393" s="46"/>
      <x:c r="O393" s="46"/>
      <x:c r="P393" s="46"/>
      <x:c r="Q393" s="46"/>
      <x:c r="R393" s="46"/>
      <x:c r="S393" s="46"/>
      <x:c r="T393" s="46"/>
      <x:c r="U393" s="46"/>
      <x:c r="V393" s="46"/>
      <x:c r="W393" s="46"/>
    </x:row>
    <x:row r="394">
      <x:c r="A394" s="46"/>
      <x:c r="B394" s="46"/>
      <x:c r="C394" s="46"/>
      <x:c r="D394" s="46"/>
      <x:c r="E394" s="46"/>
      <x:c r="F394" s="46"/>
      <x:c r="G394" s="46"/>
      <x:c r="H394" s="46"/>
      <x:c r="I394" s="46"/>
      <x:c r="J394" s="46"/>
      <x:c r="K394" s="46"/>
      <x:c r="L394" s="46"/>
      <x:c r="M394" s="46"/>
      <x:c r="N394" s="46"/>
      <x:c r="O394" s="46"/>
      <x:c r="P394" s="46"/>
      <x:c r="Q394" s="46"/>
      <x:c r="R394" s="46"/>
      <x:c r="S394" s="46"/>
      <x:c r="T394" s="46"/>
      <x:c r="U394" s="46"/>
      <x:c r="V394" s="46"/>
      <x:c r="W394" s="46"/>
    </x:row>
    <x:row r="395">
      <x:c r="A395" s="46"/>
      <x:c r="B395" s="46"/>
      <x:c r="C395" s="46"/>
      <x:c r="D395" s="46"/>
      <x:c r="E395" s="46"/>
      <x:c r="F395" s="46"/>
      <x:c r="G395" s="46"/>
      <x:c r="H395" s="46"/>
      <x:c r="I395" s="46"/>
      <x:c r="J395" s="46"/>
      <x:c r="K395" s="46"/>
      <x:c r="L395" s="46"/>
      <x:c r="M395" s="46"/>
      <x:c r="N395" s="46"/>
      <x:c r="O395" s="46"/>
      <x:c r="P395" s="46"/>
      <x:c r="Q395" s="46"/>
      <x:c r="R395" s="46"/>
      <x:c r="S395" s="46"/>
      <x:c r="T395" s="46"/>
      <x:c r="U395" s="46"/>
      <x:c r="V395" s="46"/>
      <x:c r="W395" s="46"/>
    </x:row>
    <x:row r="396">
      <x:c r="A396" s="46"/>
      <x:c r="B396" s="46"/>
      <x:c r="C396" s="46"/>
      <x:c r="D396" s="46"/>
      <x:c r="E396" s="46"/>
      <x:c r="F396" s="46"/>
      <x:c r="G396" s="46"/>
      <x:c r="H396" s="46"/>
      <x:c r="I396" s="46"/>
      <x:c r="J396" s="46"/>
      <x:c r="K396" s="46"/>
      <x:c r="L396" s="46"/>
      <x:c r="M396" s="46"/>
      <x:c r="N396" s="46"/>
      <x:c r="O396" s="46"/>
      <x:c r="P396" s="46"/>
      <x:c r="Q396" s="46"/>
      <x:c r="R396" s="46"/>
      <x:c r="S396" s="46"/>
      <x:c r="T396" s="46"/>
      <x:c r="U396" s="46"/>
      <x:c r="V396" s="46"/>
      <x:c r="W396" s="46"/>
    </x:row>
    <x:row r="397">
      <x:c r="A397" s="46"/>
      <x:c r="B397" s="46"/>
      <x:c r="C397" s="46"/>
      <x:c r="D397" s="46"/>
      <x:c r="E397" s="46"/>
      <x:c r="F397" s="46"/>
      <x:c r="G397" s="46"/>
      <x:c r="H397" s="46"/>
      <x:c r="I397" s="46"/>
      <x:c r="J397" s="46"/>
      <x:c r="K397" s="46"/>
      <x:c r="L397" s="46"/>
      <x:c r="M397" s="46"/>
      <x:c r="N397" s="46"/>
      <x:c r="O397" s="46"/>
      <x:c r="P397" s="46"/>
      <x:c r="Q397" s="46"/>
      <x:c r="R397" s="46"/>
      <x:c r="S397" s="46"/>
      <x:c r="T397" s="46"/>
      <x:c r="U397" s="46"/>
      <x:c r="V397" s="46"/>
      <x:c r="W397" s="46"/>
    </x:row>
    <x:row r="398">
      <x:c r="A398" s="46"/>
      <x:c r="B398" s="46"/>
      <x:c r="C398" s="46"/>
      <x:c r="D398" s="46"/>
      <x:c r="E398" s="46"/>
      <x:c r="F398" s="46"/>
      <x:c r="G398" s="46"/>
      <x:c r="H398" s="46"/>
      <x:c r="I398" s="46"/>
      <x:c r="J398" s="46"/>
      <x:c r="K398" s="46"/>
      <x:c r="L398" s="46"/>
      <x:c r="M398" s="46"/>
      <x:c r="N398" s="46"/>
      <x:c r="O398" s="46"/>
      <x:c r="P398" s="46"/>
      <x:c r="Q398" s="46"/>
      <x:c r="R398" s="46"/>
      <x:c r="S398" s="46"/>
      <x:c r="T398" s="46"/>
      <x:c r="U398" s="46"/>
      <x:c r="V398" s="46"/>
      <x:c r="W398" s="46"/>
    </x:row>
    <x:row r="399">
      <x:c r="A399" s="46"/>
      <x:c r="B399" s="46"/>
      <x:c r="C399" s="46"/>
      <x:c r="D399" s="46"/>
      <x:c r="E399" s="46"/>
      <x:c r="F399" s="46"/>
      <x:c r="G399" s="46"/>
      <x:c r="H399" s="46"/>
      <x:c r="I399" s="46"/>
      <x:c r="J399" s="46"/>
      <x:c r="K399" s="46"/>
      <x:c r="L399" s="46"/>
      <x:c r="M399" s="46"/>
      <x:c r="N399" s="46"/>
      <x:c r="O399" s="46"/>
      <x:c r="P399" s="46"/>
      <x:c r="Q399" s="46"/>
      <x:c r="R399" s="46"/>
      <x:c r="S399" s="46"/>
      <x:c r="T399" s="46"/>
      <x:c r="U399" s="46"/>
      <x:c r="V399" s="46"/>
      <x:c r="W399" s="46"/>
    </x:row>
    <x:row r="400">
      <x:c r="A400" s="46"/>
      <x:c r="B400" s="46"/>
      <x:c r="C400" s="46"/>
      <x:c r="D400" s="46"/>
      <x:c r="E400" s="46"/>
      <x:c r="F400" s="46"/>
      <x:c r="G400" s="46"/>
      <x:c r="H400" s="46"/>
      <x:c r="I400" s="46"/>
      <x:c r="J400" s="46"/>
      <x:c r="K400" s="46"/>
      <x:c r="L400" s="46"/>
      <x:c r="M400" s="46"/>
      <x:c r="N400" s="46"/>
      <x:c r="O400" s="46"/>
      <x:c r="P400" s="46"/>
      <x:c r="Q400" s="46"/>
      <x:c r="R400" s="46"/>
      <x:c r="S400" s="46"/>
      <x:c r="T400" s="46"/>
      <x:c r="U400" s="46"/>
      <x:c r="V400" s="46"/>
      <x:c r="W400" s="46"/>
    </x:row>
    <x:row r="401">
      <x:c r="A401" s="46"/>
      <x:c r="B401" s="46"/>
      <x:c r="C401" s="46"/>
      <x:c r="D401" s="46"/>
      <x:c r="E401" s="46"/>
      <x:c r="F401" s="46"/>
      <x:c r="G401" s="46"/>
      <x:c r="H401" s="46"/>
      <x:c r="I401" s="46"/>
      <x:c r="J401" s="46"/>
      <x:c r="K401" s="46"/>
      <x:c r="L401" s="46"/>
      <x:c r="M401" s="46"/>
      <x:c r="N401" s="46"/>
      <x:c r="O401" s="46"/>
      <x:c r="P401" s="46"/>
      <x:c r="Q401" s="46"/>
      <x:c r="R401" s="46"/>
      <x:c r="S401" s="46"/>
      <x:c r="T401" s="46"/>
      <x:c r="U401" s="46"/>
      <x:c r="V401" s="46"/>
      <x:c r="W401" s="46"/>
    </x:row>
    <x:row r="402">
      <x:c r="A402" s="46"/>
      <x:c r="B402" s="46"/>
      <x:c r="C402" s="46"/>
      <x:c r="D402" s="46"/>
      <x:c r="E402" s="46"/>
      <x:c r="F402" s="46"/>
      <x:c r="G402" s="46"/>
      <x:c r="H402" s="46"/>
      <x:c r="I402" s="46"/>
      <x:c r="J402" s="46"/>
      <x:c r="K402" s="46"/>
      <x:c r="L402" s="46"/>
      <x:c r="M402" s="46"/>
      <x:c r="N402" s="46"/>
      <x:c r="O402" s="46"/>
      <x:c r="P402" s="46"/>
      <x:c r="Q402" s="46"/>
      <x:c r="R402" s="46"/>
      <x:c r="S402" s="46"/>
      <x:c r="T402" s="46"/>
      <x:c r="U402" s="46"/>
      <x:c r="V402" s="46"/>
      <x:c r="W402" s="46"/>
    </x:row>
    <x:row r="403">
      <x:c r="A403" s="46"/>
      <x:c r="B403" s="46"/>
      <x:c r="C403" s="46"/>
      <x:c r="D403" s="46"/>
      <x:c r="E403" s="46"/>
      <x:c r="F403" s="46"/>
      <x:c r="G403" s="46"/>
      <x:c r="H403" s="46"/>
      <x:c r="I403" s="46"/>
      <x:c r="J403" s="46"/>
      <x:c r="K403" s="46"/>
      <x:c r="L403" s="46"/>
      <x:c r="M403" s="46"/>
      <x:c r="N403" s="46"/>
      <x:c r="O403" s="46"/>
      <x:c r="P403" s="46"/>
      <x:c r="Q403" s="46"/>
      <x:c r="R403" s="46"/>
      <x:c r="S403" s="46"/>
      <x:c r="T403" s="46"/>
      <x:c r="U403" s="46"/>
      <x:c r="V403" s="46"/>
      <x:c r="W403" s="46"/>
    </x:row>
    <x:row r="404">
      <x:c r="A404" s="46"/>
      <x:c r="B404" s="46"/>
      <x:c r="C404" s="46"/>
      <x:c r="D404" s="46"/>
      <x:c r="E404" s="46"/>
      <x:c r="F404" s="46"/>
      <x:c r="G404" s="46"/>
      <x:c r="H404" s="46"/>
      <x:c r="I404" s="46"/>
      <x:c r="J404" s="46"/>
      <x:c r="K404" s="46"/>
      <x:c r="L404" s="46"/>
      <x:c r="M404" s="46"/>
      <x:c r="N404" s="46"/>
      <x:c r="O404" s="46"/>
      <x:c r="P404" s="46"/>
      <x:c r="Q404" s="46"/>
      <x:c r="R404" s="46"/>
      <x:c r="S404" s="46"/>
      <x:c r="T404" s="46"/>
      <x:c r="U404" s="46"/>
      <x:c r="V404" s="46"/>
      <x:c r="W404" s="46"/>
    </x:row>
    <x:row r="405">
      <x:c r="A405" s="46"/>
      <x:c r="B405" s="46"/>
      <x:c r="C405" s="46"/>
      <x:c r="D405" s="46"/>
      <x:c r="E405" s="46"/>
      <x:c r="F405" s="46"/>
      <x:c r="G405" s="46"/>
      <x:c r="H405" s="46"/>
      <x:c r="I405" s="46"/>
      <x:c r="J405" s="46"/>
      <x:c r="K405" s="46"/>
      <x:c r="L405" s="46"/>
      <x:c r="M405" s="46"/>
      <x:c r="N405" s="46"/>
      <x:c r="O405" s="46"/>
      <x:c r="P405" s="46"/>
      <x:c r="Q405" s="46"/>
      <x:c r="R405" s="46"/>
      <x:c r="S405" s="46"/>
      <x:c r="T405" s="46"/>
      <x:c r="U405" s="46"/>
      <x:c r="V405" s="46"/>
      <x:c r="W405" s="46"/>
    </x:row>
    <x:row r="406">
      <x:c r="A406" s="46"/>
      <x:c r="B406" s="46"/>
      <x:c r="C406" s="46"/>
      <x:c r="D406" s="46"/>
      <x:c r="E406" s="46"/>
      <x:c r="F406" s="46"/>
      <x:c r="G406" s="46"/>
      <x:c r="H406" s="46"/>
      <x:c r="I406" s="46"/>
      <x:c r="J406" s="46"/>
      <x:c r="K406" s="46"/>
      <x:c r="L406" s="46"/>
      <x:c r="M406" s="46"/>
      <x:c r="N406" s="46"/>
      <x:c r="O406" s="46"/>
      <x:c r="P406" s="46"/>
      <x:c r="Q406" s="46"/>
      <x:c r="R406" s="46"/>
      <x:c r="S406" s="46"/>
      <x:c r="T406" s="46"/>
      <x:c r="U406" s="46"/>
      <x:c r="V406" s="46"/>
      <x:c r="W406" s="46"/>
    </x:row>
    <x:row r="407">
      <x:c r="A407" s="46"/>
      <x:c r="B407" s="46"/>
      <x:c r="C407" s="46"/>
      <x:c r="D407" s="46"/>
      <x:c r="E407" s="46"/>
      <x:c r="F407" s="46"/>
      <x:c r="G407" s="46"/>
      <x:c r="H407" s="46"/>
      <x:c r="I407" s="46"/>
      <x:c r="J407" s="46"/>
      <x:c r="K407" s="46"/>
      <x:c r="L407" s="46"/>
      <x:c r="M407" s="46"/>
      <x:c r="N407" s="46"/>
      <x:c r="O407" s="46"/>
      <x:c r="P407" s="46"/>
      <x:c r="Q407" s="46"/>
      <x:c r="R407" s="46"/>
      <x:c r="S407" s="46"/>
      <x:c r="T407" s="46"/>
      <x:c r="U407" s="46"/>
      <x:c r="V407" s="46"/>
      <x:c r="W407" s="46"/>
    </x:row>
    <x:row r="408">
      <x:c r="A408" s="46"/>
      <x:c r="B408" s="46"/>
      <x:c r="C408" s="46"/>
      <x:c r="D408" s="46"/>
      <x:c r="E408" s="46"/>
      <x:c r="F408" s="46"/>
      <x:c r="G408" s="46"/>
      <x:c r="H408" s="46"/>
      <x:c r="I408" s="46"/>
      <x:c r="J408" s="46"/>
      <x:c r="K408" s="46"/>
      <x:c r="L408" s="46"/>
      <x:c r="M408" s="46"/>
      <x:c r="N408" s="46"/>
      <x:c r="O408" s="46"/>
      <x:c r="P408" s="46"/>
      <x:c r="Q408" s="46"/>
      <x:c r="R408" s="46"/>
      <x:c r="S408" s="46"/>
      <x:c r="T408" s="46"/>
      <x:c r="U408" s="46"/>
      <x:c r="V408" s="46"/>
      <x:c r="W408" s="46"/>
    </x:row>
    <x:row r="409">
      <x:c r="A409" s="46"/>
      <x:c r="B409" s="46"/>
      <x:c r="C409" s="46"/>
      <x:c r="D409" s="46"/>
      <x:c r="E409" s="46"/>
      <x:c r="F409" s="46"/>
      <x:c r="G409" s="46"/>
      <x:c r="H409" s="46"/>
      <x:c r="I409" s="46"/>
      <x:c r="J409" s="46"/>
      <x:c r="K409" s="46"/>
      <x:c r="L409" s="46"/>
      <x:c r="M409" s="46"/>
      <x:c r="N409" s="46"/>
      <x:c r="O409" s="46"/>
      <x:c r="P409" s="46"/>
      <x:c r="Q409" s="46"/>
      <x:c r="R409" s="46"/>
      <x:c r="S409" s="46"/>
      <x:c r="T409" s="46"/>
      <x:c r="U409" s="46"/>
      <x:c r="V409" s="46"/>
      <x:c r="W409" s="46"/>
    </x:row>
    <x:row r="410">
      <x:c r="A410" s="46"/>
      <x:c r="B410" s="46"/>
      <x:c r="C410" s="46"/>
      <x:c r="D410" s="46"/>
      <x:c r="E410" s="46"/>
      <x:c r="F410" s="46"/>
      <x:c r="G410" s="46"/>
      <x:c r="H410" s="46"/>
      <x:c r="I410" s="46"/>
      <x:c r="J410" s="46"/>
      <x:c r="K410" s="46"/>
      <x:c r="L410" s="46"/>
      <x:c r="M410" s="46"/>
      <x:c r="N410" s="46"/>
      <x:c r="O410" s="46"/>
      <x:c r="P410" s="46"/>
      <x:c r="Q410" s="46"/>
      <x:c r="R410" s="46"/>
      <x:c r="S410" s="46"/>
      <x:c r="T410" s="46"/>
      <x:c r="U410" s="46"/>
      <x:c r="V410" s="46"/>
      <x:c r="W410" s="46"/>
    </x:row>
    <x:row r="411">
      <x:c r="A411" s="46"/>
      <x:c r="B411" s="46"/>
      <x:c r="C411" s="46"/>
      <x:c r="D411" s="46"/>
      <x:c r="E411" s="46"/>
      <x:c r="F411" s="46"/>
      <x:c r="G411" s="46"/>
      <x:c r="H411" s="46"/>
      <x:c r="I411" s="46"/>
      <x:c r="J411" s="46"/>
      <x:c r="K411" s="46"/>
      <x:c r="L411" s="46"/>
      <x:c r="M411" s="46"/>
      <x:c r="N411" s="46"/>
      <x:c r="O411" s="46"/>
      <x:c r="P411" s="46"/>
      <x:c r="Q411" s="46"/>
      <x:c r="R411" s="46"/>
      <x:c r="S411" s="46"/>
      <x:c r="T411" s="46"/>
      <x:c r="U411" s="46"/>
      <x:c r="V411" s="46"/>
      <x:c r="W411" s="46"/>
    </x:row>
    <x:row r="412">
      <x:c r="A412" s="46"/>
      <x:c r="B412" s="46"/>
      <x:c r="C412" s="46"/>
      <x:c r="D412" s="46"/>
      <x:c r="E412" s="46"/>
      <x:c r="F412" s="46"/>
      <x:c r="G412" s="46"/>
      <x:c r="H412" s="46"/>
      <x:c r="I412" s="46"/>
      <x:c r="J412" s="46"/>
      <x:c r="K412" s="46"/>
      <x:c r="L412" s="46"/>
      <x:c r="M412" s="46"/>
      <x:c r="N412" s="46"/>
      <x:c r="O412" s="46"/>
      <x:c r="P412" s="46"/>
      <x:c r="Q412" s="46"/>
      <x:c r="R412" s="46"/>
      <x:c r="S412" s="46"/>
      <x:c r="T412" s="46"/>
      <x:c r="U412" s="46"/>
      <x:c r="V412" s="46"/>
      <x:c r="W412" s="46"/>
    </x:row>
    <x:row r="413">
      <x:c r="A413" s="46"/>
      <x:c r="B413" s="46"/>
      <x:c r="C413" s="46"/>
      <x:c r="D413" s="46"/>
      <x:c r="E413" s="46"/>
      <x:c r="F413" s="46"/>
      <x:c r="G413" s="46"/>
      <x:c r="H413" s="46"/>
      <x:c r="I413" s="46"/>
      <x:c r="J413" s="46"/>
      <x:c r="K413" s="46"/>
      <x:c r="L413" s="46"/>
      <x:c r="M413" s="46"/>
      <x:c r="N413" s="46"/>
      <x:c r="O413" s="46"/>
      <x:c r="P413" s="46"/>
      <x:c r="Q413" s="46"/>
      <x:c r="R413" s="46"/>
      <x:c r="S413" s="46"/>
      <x:c r="T413" s="46"/>
      <x:c r="U413" s="46"/>
      <x:c r="V413" s="46"/>
      <x:c r="W413" s="46"/>
    </x:row>
    <x:row r="414">
      <x:c r="A414" s="46"/>
      <x:c r="B414" s="46"/>
      <x:c r="C414" s="46"/>
      <x:c r="D414" s="46"/>
      <x:c r="E414" s="46"/>
      <x:c r="F414" s="46"/>
      <x:c r="G414" s="46"/>
      <x:c r="H414" s="46"/>
      <x:c r="I414" s="46"/>
      <x:c r="J414" s="46"/>
      <x:c r="K414" s="46"/>
      <x:c r="L414" s="46"/>
      <x:c r="M414" s="46"/>
      <x:c r="N414" s="46"/>
      <x:c r="O414" s="46"/>
      <x:c r="P414" s="46"/>
      <x:c r="Q414" s="46"/>
      <x:c r="R414" s="46"/>
      <x:c r="S414" s="46"/>
      <x:c r="T414" s="46"/>
      <x:c r="U414" s="46"/>
      <x:c r="V414" s="46"/>
      <x:c r="W414" s="46"/>
    </x:row>
    <x:row r="415">
      <x:c r="A415" s="46"/>
      <x:c r="B415" s="46"/>
      <x:c r="C415" s="46"/>
      <x:c r="D415" s="46"/>
      <x:c r="E415" s="46"/>
      <x:c r="F415" s="46"/>
      <x:c r="G415" s="46"/>
      <x:c r="H415" s="46"/>
      <x:c r="I415" s="46"/>
      <x:c r="J415" s="46"/>
      <x:c r="K415" s="46"/>
      <x:c r="L415" s="46"/>
      <x:c r="M415" s="46"/>
      <x:c r="N415" s="46"/>
      <x:c r="O415" s="46"/>
      <x:c r="P415" s="46"/>
      <x:c r="Q415" s="46"/>
      <x:c r="R415" s="46"/>
      <x:c r="S415" s="46"/>
      <x:c r="T415" s="46"/>
      <x:c r="U415" s="46"/>
      <x:c r="V415" s="46"/>
      <x:c r="W415" s="46"/>
    </x:row>
    <x:row r="416">
      <x:c r="A416" s="46"/>
      <x:c r="B416" s="46"/>
      <x:c r="C416" s="46"/>
      <x:c r="D416" s="46"/>
      <x:c r="E416" s="46"/>
      <x:c r="F416" s="46"/>
      <x:c r="G416" s="46"/>
      <x:c r="H416" s="46"/>
      <x:c r="I416" s="46"/>
      <x:c r="J416" s="46"/>
      <x:c r="K416" s="46"/>
      <x:c r="L416" s="46"/>
      <x:c r="M416" s="46"/>
      <x:c r="N416" s="46"/>
      <x:c r="O416" s="46"/>
      <x:c r="P416" s="46"/>
      <x:c r="Q416" s="46"/>
      <x:c r="R416" s="46"/>
      <x:c r="S416" s="46"/>
      <x:c r="T416" s="46"/>
      <x:c r="U416" s="46"/>
      <x:c r="V416" s="46"/>
      <x:c r="W416" s="46"/>
    </x:row>
    <x:row r="417">
      <x:c r="A417" s="46"/>
      <x:c r="B417" s="46"/>
      <x:c r="C417" s="46"/>
      <x:c r="D417" s="46"/>
      <x:c r="E417" s="46"/>
      <x:c r="F417" s="46"/>
      <x:c r="G417" s="46"/>
      <x:c r="H417" s="46"/>
      <x:c r="I417" s="46"/>
      <x:c r="J417" s="46"/>
      <x:c r="K417" s="46"/>
      <x:c r="L417" s="46"/>
      <x:c r="M417" s="46"/>
      <x:c r="N417" s="46"/>
      <x:c r="O417" s="46"/>
      <x:c r="P417" s="46"/>
      <x:c r="Q417" s="46"/>
      <x:c r="R417" s="46"/>
      <x:c r="S417" s="46"/>
      <x:c r="T417" s="46"/>
      <x:c r="U417" s="46"/>
      <x:c r="V417" s="46"/>
      <x:c r="W417" s="46"/>
    </x:row>
    <x:row r="418">
      <x:c r="A418" s="46"/>
      <x:c r="B418" s="46"/>
      <x:c r="C418" s="46"/>
      <x:c r="D418" s="46"/>
      <x:c r="E418" s="46"/>
      <x:c r="F418" s="46"/>
      <x:c r="G418" s="46"/>
      <x:c r="H418" s="46"/>
      <x:c r="I418" s="46"/>
      <x:c r="J418" s="46"/>
      <x:c r="K418" s="46"/>
      <x:c r="L418" s="46"/>
      <x:c r="M418" s="46"/>
      <x:c r="N418" s="46"/>
      <x:c r="O418" s="46"/>
      <x:c r="P418" s="46"/>
      <x:c r="Q418" s="46"/>
      <x:c r="R418" s="46"/>
      <x:c r="S418" s="46"/>
      <x:c r="T418" s="46"/>
      <x:c r="U418" s="46"/>
      <x:c r="V418" s="46"/>
      <x:c r="W418" s="46"/>
    </x:row>
    <x:row r="419">
      <x:c r="A419" s="46"/>
      <x:c r="B419" s="46"/>
      <x:c r="C419" s="46"/>
      <x:c r="D419" s="46"/>
      <x:c r="E419" s="46"/>
      <x:c r="F419" s="46"/>
      <x:c r="G419" s="46"/>
      <x:c r="H419" s="46"/>
      <x:c r="I419" s="46"/>
      <x:c r="J419" s="46"/>
      <x:c r="K419" s="46"/>
      <x:c r="L419" s="46"/>
      <x:c r="M419" s="46"/>
      <x:c r="N419" s="46"/>
      <x:c r="O419" s="46"/>
      <x:c r="P419" s="46"/>
      <x:c r="Q419" s="46"/>
      <x:c r="R419" s="46"/>
      <x:c r="S419" s="46"/>
      <x:c r="T419" s="46"/>
      <x:c r="U419" s="46"/>
      <x:c r="V419" s="46"/>
      <x:c r="W419" s="46"/>
    </x:row>
    <x:row r="420">
      <x:c r="A420" s="46"/>
      <x:c r="B420" s="46"/>
      <x:c r="C420" s="46"/>
      <x:c r="D420" s="46"/>
      <x:c r="E420" s="46"/>
      <x:c r="F420" s="46"/>
      <x:c r="G420" s="46"/>
      <x:c r="H420" s="46"/>
      <x:c r="I420" s="46"/>
      <x:c r="J420" s="46"/>
      <x:c r="K420" s="46"/>
      <x:c r="L420" s="46"/>
      <x:c r="M420" s="46"/>
      <x:c r="N420" s="46"/>
      <x:c r="O420" s="46"/>
      <x:c r="P420" s="46"/>
      <x:c r="Q420" s="46"/>
      <x:c r="R420" s="46"/>
      <x:c r="S420" s="46"/>
      <x:c r="T420" s="46"/>
      <x:c r="U420" s="46"/>
      <x:c r="V420" s="46"/>
      <x:c r="W420" s="46"/>
    </x:row>
    <x:row r="421">
      <x:c r="A421" s="46"/>
      <x:c r="B421" s="46"/>
      <x:c r="C421" s="46"/>
      <x:c r="D421" s="46"/>
      <x:c r="E421" s="46"/>
      <x:c r="F421" s="46"/>
      <x:c r="G421" s="46"/>
      <x:c r="H421" s="46"/>
      <x:c r="I421" s="46"/>
      <x:c r="J421" s="46"/>
      <x:c r="K421" s="46"/>
      <x:c r="L421" s="46"/>
      <x:c r="M421" s="46"/>
      <x:c r="N421" s="46"/>
      <x:c r="O421" s="46"/>
      <x:c r="P421" s="46"/>
      <x:c r="Q421" s="46"/>
      <x:c r="R421" s="46"/>
      <x:c r="S421" s="46"/>
      <x:c r="T421" s="46"/>
      <x:c r="U421" s="46"/>
      <x:c r="V421" s="46"/>
      <x:c r="W421" s="46"/>
    </x:row>
    <x:row r="422">
      <x:c r="A422" s="46"/>
      <x:c r="B422" s="46"/>
      <x:c r="C422" s="46"/>
      <x:c r="D422" s="46"/>
      <x:c r="E422" s="46"/>
      <x:c r="F422" s="46"/>
      <x:c r="G422" s="46"/>
      <x:c r="H422" s="46"/>
      <x:c r="I422" s="46"/>
      <x:c r="J422" s="46"/>
      <x:c r="K422" s="46"/>
      <x:c r="L422" s="46"/>
      <x:c r="M422" s="46"/>
      <x:c r="N422" s="46"/>
      <x:c r="O422" s="46"/>
      <x:c r="P422" s="46"/>
      <x:c r="Q422" s="46"/>
      <x:c r="R422" s="46"/>
      <x:c r="S422" s="46"/>
      <x:c r="T422" s="46"/>
      <x:c r="U422" s="46"/>
      <x:c r="V422" s="46"/>
      <x:c r="W422" s="46"/>
    </x:row>
    <x:row r="423">
      <x:c r="A423" s="46"/>
      <x:c r="B423" s="46"/>
      <x:c r="C423" s="46"/>
      <x:c r="D423" s="46"/>
      <x:c r="E423" s="46"/>
      <x:c r="F423" s="46"/>
      <x:c r="G423" s="46"/>
      <x:c r="H423" s="46"/>
      <x:c r="I423" s="46"/>
      <x:c r="J423" s="46"/>
      <x:c r="K423" s="46"/>
      <x:c r="L423" s="46"/>
      <x:c r="M423" s="46"/>
      <x:c r="N423" s="46"/>
      <x:c r="O423" s="46"/>
      <x:c r="P423" s="46"/>
      <x:c r="Q423" s="46"/>
      <x:c r="R423" s="46"/>
      <x:c r="S423" s="46"/>
      <x:c r="T423" s="46"/>
      <x:c r="U423" s="46"/>
      <x:c r="V423" s="46"/>
      <x:c r="W423" s="46"/>
    </x:row>
    <x:row r="424">
      <x:c r="A424" s="46"/>
      <x:c r="B424" s="46"/>
      <x:c r="C424" s="46"/>
      <x:c r="D424" s="46"/>
      <x:c r="E424" s="46"/>
      <x:c r="F424" s="46"/>
      <x:c r="G424" s="46"/>
      <x:c r="H424" s="46"/>
      <x:c r="I424" s="46"/>
      <x:c r="J424" s="46"/>
      <x:c r="K424" s="46"/>
      <x:c r="L424" s="46"/>
      <x:c r="M424" s="46"/>
      <x:c r="N424" s="46"/>
      <x:c r="O424" s="46"/>
      <x:c r="P424" s="46"/>
      <x:c r="Q424" s="46"/>
      <x:c r="R424" s="46"/>
      <x:c r="S424" s="46"/>
      <x:c r="T424" s="46"/>
      <x:c r="U424" s="46"/>
      <x:c r="V424" s="46"/>
      <x:c r="W424" s="46"/>
    </x:row>
    <x:row r="425">
      <x:c r="A425" s="46"/>
      <x:c r="B425" s="46"/>
      <x:c r="C425" s="46"/>
      <x:c r="D425" s="46"/>
      <x:c r="E425" s="46"/>
      <x:c r="F425" s="46"/>
      <x:c r="G425" s="46"/>
      <x:c r="H425" s="46"/>
      <x:c r="I425" s="46"/>
      <x:c r="J425" s="46"/>
      <x:c r="K425" s="46"/>
      <x:c r="L425" s="46"/>
      <x:c r="M425" s="46"/>
      <x:c r="N425" s="46"/>
      <x:c r="O425" s="46"/>
      <x:c r="P425" s="46"/>
      <x:c r="Q425" s="46"/>
      <x:c r="R425" s="46"/>
      <x:c r="S425" s="46"/>
      <x:c r="T425" s="46"/>
      <x:c r="U425" s="46"/>
      <x:c r="V425" s="46"/>
      <x:c r="W425" s="46"/>
    </x:row>
    <x:row r="426">
      <x:c r="A426" s="46"/>
      <x:c r="B426" s="46"/>
      <x:c r="C426" s="46"/>
      <x:c r="D426" s="46"/>
      <x:c r="E426" s="46"/>
      <x:c r="F426" s="46"/>
      <x:c r="G426" s="46"/>
      <x:c r="H426" s="46"/>
      <x:c r="I426" s="46"/>
      <x:c r="J426" s="46"/>
      <x:c r="K426" s="46"/>
      <x:c r="L426" s="46"/>
      <x:c r="M426" s="46"/>
      <x:c r="N426" s="46"/>
      <x:c r="O426" s="46"/>
      <x:c r="P426" s="46"/>
      <x:c r="Q426" s="46"/>
      <x:c r="R426" s="46"/>
      <x:c r="S426" s="46"/>
      <x:c r="T426" s="46"/>
      <x:c r="U426" s="46"/>
      <x:c r="V426" s="46"/>
      <x:c r="W426" s="46"/>
    </x:row>
    <x:row r="427">
      <x:c r="A427" s="46"/>
      <x:c r="B427" s="46"/>
      <x:c r="C427" s="46"/>
      <x:c r="D427" s="46"/>
      <x:c r="E427" s="46"/>
      <x:c r="F427" s="46"/>
      <x:c r="G427" s="46"/>
      <x:c r="H427" s="46"/>
      <x:c r="I427" s="46"/>
      <x:c r="J427" s="46"/>
      <x:c r="K427" s="46"/>
      <x:c r="L427" s="46"/>
      <x:c r="M427" s="46"/>
      <x:c r="N427" s="46"/>
      <x:c r="O427" s="46"/>
      <x:c r="P427" s="46"/>
      <x:c r="Q427" s="46"/>
      <x:c r="R427" s="46"/>
      <x:c r="S427" s="46"/>
      <x:c r="T427" s="46"/>
      <x:c r="U427" s="46"/>
      <x:c r="V427" s="46"/>
      <x:c r="W427" s="46"/>
    </x:row>
    <x:row r="428">
      <x:c r="A428" s="46"/>
      <x:c r="B428" s="46"/>
      <x:c r="C428" s="46"/>
      <x:c r="D428" s="46"/>
      <x:c r="E428" s="46"/>
      <x:c r="F428" s="46"/>
      <x:c r="G428" s="46"/>
      <x:c r="H428" s="46"/>
      <x:c r="I428" s="46"/>
      <x:c r="J428" s="46"/>
      <x:c r="K428" s="46"/>
      <x:c r="L428" s="46"/>
      <x:c r="M428" s="46"/>
      <x:c r="N428" s="46"/>
      <x:c r="O428" s="46"/>
      <x:c r="P428" s="46"/>
      <x:c r="Q428" s="46"/>
      <x:c r="R428" s="46"/>
      <x:c r="S428" s="46"/>
      <x:c r="T428" s="46"/>
      <x:c r="U428" s="46"/>
      <x:c r="V428" s="46"/>
      <x:c r="W428" s="46"/>
    </x:row>
    <x:row r="429">
      <x:c r="A429" s="46"/>
      <x:c r="B429" s="46"/>
      <x:c r="C429" s="46"/>
      <x:c r="D429" s="46"/>
      <x:c r="E429" s="46"/>
      <x:c r="F429" s="46"/>
      <x:c r="G429" s="46"/>
      <x:c r="H429" s="46"/>
      <x:c r="I429" s="46"/>
      <x:c r="J429" s="46"/>
      <x:c r="K429" s="46"/>
      <x:c r="L429" s="46"/>
      <x:c r="M429" s="46"/>
      <x:c r="N429" s="46"/>
      <x:c r="O429" s="46"/>
      <x:c r="P429" s="46"/>
      <x:c r="Q429" s="46"/>
      <x:c r="R429" s="46"/>
      <x:c r="S429" s="46"/>
      <x:c r="T429" s="46"/>
      <x:c r="U429" s="46"/>
      <x:c r="V429" s="46"/>
      <x:c r="W429" s="46"/>
    </x:row>
    <x:row r="430">
      <x:c r="A430" s="46"/>
      <x:c r="B430" s="46"/>
      <x:c r="C430" s="46"/>
      <x:c r="D430" s="46"/>
      <x:c r="E430" s="46"/>
      <x:c r="F430" s="46"/>
      <x:c r="G430" s="46"/>
      <x:c r="H430" s="46"/>
      <x:c r="I430" s="46"/>
      <x:c r="J430" s="46"/>
      <x:c r="K430" s="46"/>
      <x:c r="L430" s="46"/>
      <x:c r="M430" s="46"/>
      <x:c r="N430" s="46"/>
      <x:c r="O430" s="46"/>
      <x:c r="P430" s="46"/>
      <x:c r="Q430" s="46"/>
      <x:c r="R430" s="46"/>
      <x:c r="S430" s="46"/>
      <x:c r="T430" s="46"/>
      <x:c r="U430" s="46"/>
      <x:c r="V430" s="46"/>
      <x:c r="W430" s="46"/>
    </x:row>
    <x:row r="431">
      <x:c r="A431" s="46"/>
      <x:c r="B431" s="46"/>
      <x:c r="C431" s="46"/>
      <x:c r="D431" s="46"/>
      <x:c r="E431" s="46"/>
      <x:c r="F431" s="46"/>
      <x:c r="G431" s="46"/>
      <x:c r="H431" s="46"/>
      <x:c r="I431" s="46"/>
      <x:c r="J431" s="46"/>
      <x:c r="K431" s="46"/>
      <x:c r="L431" s="46"/>
      <x:c r="M431" s="46"/>
      <x:c r="N431" s="46"/>
      <x:c r="O431" s="46"/>
      <x:c r="P431" s="46"/>
      <x:c r="Q431" s="46"/>
      <x:c r="R431" s="46"/>
      <x:c r="S431" s="46"/>
      <x:c r="T431" s="46"/>
      <x:c r="U431" s="46"/>
      <x:c r="V431" s="46"/>
      <x:c r="W431" s="46"/>
    </x:row>
    <x:row r="432">
      <x:c r="A432" s="46"/>
      <x:c r="B432" s="46"/>
      <x:c r="C432" s="46"/>
      <x:c r="D432" s="46"/>
      <x:c r="E432" s="46"/>
      <x:c r="F432" s="46"/>
      <x:c r="G432" s="46"/>
      <x:c r="H432" s="46"/>
      <x:c r="I432" s="46"/>
      <x:c r="J432" s="46"/>
      <x:c r="K432" s="46"/>
      <x:c r="L432" s="46"/>
      <x:c r="M432" s="46"/>
      <x:c r="N432" s="46"/>
      <x:c r="O432" s="46"/>
      <x:c r="P432" s="46"/>
      <x:c r="Q432" s="46"/>
      <x:c r="R432" s="46"/>
      <x:c r="S432" s="46"/>
      <x:c r="T432" s="46"/>
      <x:c r="U432" s="46"/>
      <x:c r="V432" s="46"/>
      <x:c r="W432" s="46"/>
    </x:row>
    <x:row r="433">
      <x:c r="A433" s="46"/>
      <x:c r="B433" s="46"/>
      <x:c r="C433" s="46"/>
      <x:c r="D433" s="46"/>
      <x:c r="E433" s="46"/>
      <x:c r="F433" s="46"/>
      <x:c r="G433" s="46"/>
      <x:c r="H433" s="46"/>
      <x:c r="I433" s="46"/>
      <x:c r="J433" s="46"/>
      <x:c r="K433" s="46"/>
      <x:c r="L433" s="46"/>
      <x:c r="M433" s="46"/>
      <x:c r="N433" s="46"/>
      <x:c r="O433" s="46"/>
      <x:c r="P433" s="46"/>
      <x:c r="Q433" s="46"/>
      <x:c r="R433" s="46"/>
      <x:c r="S433" s="46"/>
      <x:c r="T433" s="46"/>
      <x:c r="U433" s="46"/>
      <x:c r="V433" s="46"/>
      <x:c r="W433" s="46"/>
    </x:row>
    <x:row r="434">
      <x:c r="A434" s="46"/>
      <x:c r="B434" s="46"/>
      <x:c r="C434" s="46"/>
      <x:c r="D434" s="46"/>
      <x:c r="E434" s="46"/>
      <x:c r="F434" s="46"/>
      <x:c r="G434" s="46"/>
      <x:c r="H434" s="46"/>
      <x:c r="I434" s="46"/>
      <x:c r="J434" s="46"/>
      <x:c r="K434" s="46"/>
      <x:c r="L434" s="46"/>
      <x:c r="M434" s="46"/>
      <x:c r="N434" s="46"/>
      <x:c r="O434" s="46"/>
      <x:c r="P434" s="46"/>
      <x:c r="Q434" s="46"/>
      <x:c r="R434" s="46"/>
      <x:c r="S434" s="46"/>
      <x:c r="T434" s="46"/>
      <x:c r="U434" s="46"/>
      <x:c r="V434" s="46"/>
      <x:c r="W434" s="46"/>
    </x:row>
    <x:row r="435">
      <x:c r="A435" s="46"/>
      <x:c r="B435" s="46"/>
      <x:c r="C435" s="46"/>
      <x:c r="D435" s="46"/>
      <x:c r="E435" s="46"/>
      <x:c r="F435" s="46"/>
      <x:c r="G435" s="46"/>
      <x:c r="H435" s="46"/>
      <x:c r="I435" s="46"/>
      <x:c r="J435" s="46"/>
      <x:c r="K435" s="46"/>
      <x:c r="L435" s="46"/>
      <x:c r="M435" s="46"/>
      <x:c r="N435" s="46"/>
      <x:c r="O435" s="46"/>
      <x:c r="P435" s="46"/>
      <x:c r="Q435" s="46"/>
      <x:c r="R435" s="46"/>
      <x:c r="S435" s="46"/>
      <x:c r="T435" s="46"/>
      <x:c r="U435" s="46"/>
      <x:c r="V435" s="46"/>
      <x:c r="W435" s="46"/>
    </x:row>
    <x:row r="436">
      <x:c r="A436" s="46"/>
      <x:c r="B436" s="46"/>
      <x:c r="C436" s="46"/>
      <x:c r="D436" s="46"/>
      <x:c r="E436" s="46"/>
      <x:c r="F436" s="46"/>
      <x:c r="G436" s="46"/>
      <x:c r="H436" s="46"/>
      <x:c r="I436" s="46"/>
      <x:c r="J436" s="46"/>
      <x:c r="K436" s="46"/>
      <x:c r="L436" s="46"/>
      <x:c r="M436" s="46"/>
      <x:c r="N436" s="46"/>
      <x:c r="O436" s="46"/>
      <x:c r="P436" s="46"/>
      <x:c r="Q436" s="46"/>
      <x:c r="R436" s="46"/>
      <x:c r="S436" s="46"/>
      <x:c r="T436" s="46"/>
      <x:c r="U436" s="46"/>
      <x:c r="V436" s="46"/>
      <x:c r="W436" s="46"/>
    </x:row>
    <x:row r="437">
      <x:c r="A437" s="46"/>
      <x:c r="B437" s="46"/>
      <x:c r="C437" s="46"/>
      <x:c r="D437" s="46"/>
      <x:c r="E437" s="46"/>
      <x:c r="F437" s="46"/>
      <x:c r="G437" s="46"/>
      <x:c r="H437" s="46"/>
      <x:c r="I437" s="46"/>
      <x:c r="J437" s="46"/>
      <x:c r="K437" s="46"/>
      <x:c r="L437" s="46"/>
      <x:c r="M437" s="46"/>
      <x:c r="N437" s="46"/>
      <x:c r="O437" s="46"/>
      <x:c r="P437" s="46"/>
      <x:c r="Q437" s="46"/>
      <x:c r="R437" s="46"/>
      <x:c r="S437" s="46"/>
      <x:c r="T437" s="46"/>
      <x:c r="U437" s="46"/>
      <x:c r="V437" s="46"/>
      <x:c r="W437" s="46"/>
    </x:row>
    <x:row r="438">
      <x:c r="A438" s="46"/>
      <x:c r="B438" s="46"/>
      <x:c r="C438" s="46"/>
      <x:c r="D438" s="46"/>
      <x:c r="E438" s="46"/>
      <x:c r="F438" s="46"/>
      <x:c r="G438" s="46"/>
      <x:c r="H438" s="46"/>
      <x:c r="I438" s="46"/>
      <x:c r="J438" s="46"/>
      <x:c r="K438" s="46"/>
      <x:c r="L438" s="46"/>
      <x:c r="M438" s="46"/>
      <x:c r="N438" s="46"/>
      <x:c r="O438" s="46"/>
      <x:c r="P438" s="46"/>
      <x:c r="Q438" s="46"/>
      <x:c r="R438" s="46"/>
      <x:c r="S438" s="46"/>
      <x:c r="T438" s="46"/>
      <x:c r="U438" s="46"/>
      <x:c r="V438" s="46"/>
      <x:c r="W438" s="46"/>
    </x:row>
    <x:row r="439">
      <x:c r="A439" s="46"/>
      <x:c r="B439" s="46"/>
      <x:c r="C439" s="46"/>
      <x:c r="D439" s="46"/>
      <x:c r="E439" s="46"/>
      <x:c r="F439" s="46"/>
      <x:c r="G439" s="46"/>
      <x:c r="H439" s="46"/>
      <x:c r="I439" s="46"/>
      <x:c r="J439" s="46"/>
      <x:c r="K439" s="46"/>
      <x:c r="L439" s="46"/>
      <x:c r="M439" s="46"/>
      <x:c r="N439" s="46"/>
      <x:c r="O439" s="46"/>
      <x:c r="P439" s="46"/>
      <x:c r="Q439" s="46"/>
      <x:c r="R439" s="46"/>
      <x:c r="S439" s="46"/>
      <x:c r="T439" s="46"/>
      <x:c r="U439" s="46"/>
      <x:c r="V439" s="46"/>
      <x:c r="W439" s="46"/>
    </x:row>
    <x:row r="440">
      <x:c r="A440" s="46"/>
      <x:c r="B440" s="46"/>
      <x:c r="C440" s="46"/>
      <x:c r="D440" s="46"/>
      <x:c r="E440" s="46"/>
      <x:c r="F440" s="46"/>
      <x:c r="G440" s="46"/>
      <x:c r="H440" s="46"/>
      <x:c r="I440" s="46"/>
      <x:c r="J440" s="46"/>
      <x:c r="K440" s="46"/>
      <x:c r="L440" s="46"/>
      <x:c r="M440" s="46"/>
      <x:c r="N440" s="46"/>
      <x:c r="O440" s="46"/>
      <x:c r="P440" s="46"/>
      <x:c r="Q440" s="46"/>
      <x:c r="R440" s="46"/>
      <x:c r="S440" s="46"/>
      <x:c r="T440" s="46"/>
      <x:c r="U440" s="46"/>
      <x:c r="V440" s="46"/>
      <x:c r="W440" s="46"/>
    </x:row>
    <x:row r="441">
      <x:c r="A441" s="46"/>
      <x:c r="B441" s="46"/>
      <x:c r="C441" s="46"/>
      <x:c r="D441" s="46"/>
      <x:c r="E441" s="46"/>
      <x:c r="F441" s="46"/>
      <x:c r="G441" s="46"/>
      <x:c r="H441" s="46"/>
      <x:c r="I441" s="46"/>
      <x:c r="J441" s="46"/>
      <x:c r="K441" s="46"/>
      <x:c r="L441" s="46"/>
      <x:c r="M441" s="46"/>
      <x:c r="N441" s="46"/>
      <x:c r="O441" s="46"/>
      <x:c r="P441" s="46"/>
      <x:c r="Q441" s="46"/>
      <x:c r="R441" s="46"/>
      <x:c r="S441" s="46"/>
      <x:c r="T441" s="46"/>
      <x:c r="U441" s="46"/>
      <x:c r="V441" s="46"/>
      <x:c r="W441" s="46"/>
    </x:row>
    <x:row r="442">
      <x:c r="A442" s="46"/>
      <x:c r="B442" s="46"/>
      <x:c r="C442" s="46"/>
      <x:c r="D442" s="46"/>
      <x:c r="E442" s="46"/>
      <x:c r="F442" s="46"/>
      <x:c r="G442" s="46"/>
      <x:c r="H442" s="46"/>
      <x:c r="I442" s="46"/>
      <x:c r="J442" s="46"/>
      <x:c r="K442" s="46"/>
      <x:c r="L442" s="46"/>
      <x:c r="M442" s="46"/>
      <x:c r="N442" s="46"/>
      <x:c r="O442" s="46"/>
      <x:c r="P442" s="46"/>
      <x:c r="Q442" s="46"/>
      <x:c r="R442" s="46"/>
      <x:c r="S442" s="46"/>
      <x:c r="T442" s="46"/>
      <x:c r="U442" s="46"/>
      <x:c r="V442" s="46"/>
      <x:c r="W442" s="46"/>
    </x:row>
    <x:row r="443">
      <x:c r="A443" s="46"/>
      <x:c r="B443" s="46"/>
      <x:c r="C443" s="46"/>
      <x:c r="D443" s="46"/>
      <x:c r="E443" s="46"/>
      <x:c r="F443" s="46"/>
      <x:c r="G443" s="46"/>
      <x:c r="H443" s="46"/>
      <x:c r="I443" s="46"/>
      <x:c r="J443" s="46"/>
      <x:c r="K443" s="46"/>
      <x:c r="L443" s="46"/>
      <x:c r="M443" s="46"/>
      <x:c r="N443" s="46"/>
      <x:c r="O443" s="46"/>
      <x:c r="P443" s="46"/>
      <x:c r="Q443" s="46"/>
      <x:c r="R443" s="46"/>
      <x:c r="S443" s="46"/>
      <x:c r="T443" s="46"/>
      <x:c r="U443" s="46"/>
      <x:c r="V443" s="46"/>
      <x:c r="W443" s="46"/>
    </x:row>
    <x:row r="444">
      <x:c r="A444" s="46"/>
      <x:c r="B444" s="46"/>
      <x:c r="C444" s="46"/>
      <x:c r="D444" s="46"/>
      <x:c r="E444" s="46"/>
      <x:c r="F444" s="46"/>
      <x:c r="G444" s="46"/>
      <x:c r="H444" s="46"/>
      <x:c r="I444" s="46"/>
      <x:c r="J444" s="46"/>
      <x:c r="K444" s="46"/>
      <x:c r="L444" s="46"/>
      <x:c r="M444" s="46"/>
      <x:c r="N444" s="46"/>
      <x:c r="O444" s="46"/>
      <x:c r="P444" s="46"/>
      <x:c r="Q444" s="46"/>
      <x:c r="R444" s="46"/>
      <x:c r="S444" s="46"/>
      <x:c r="T444" s="46"/>
      <x:c r="U444" s="46"/>
      <x:c r="V444" s="46"/>
      <x:c r="W444" s="46"/>
    </x:row>
    <x:row r="445">
      <x:c r="A445" s="46"/>
      <x:c r="B445" s="46"/>
      <x:c r="C445" s="46"/>
      <x:c r="D445" s="46"/>
      <x:c r="E445" s="46"/>
      <x:c r="F445" s="46"/>
      <x:c r="G445" s="46"/>
      <x:c r="H445" s="46"/>
      <x:c r="I445" s="46"/>
      <x:c r="J445" s="46"/>
      <x:c r="K445" s="46"/>
      <x:c r="L445" s="46"/>
      <x:c r="M445" s="46"/>
      <x:c r="N445" s="46"/>
      <x:c r="O445" s="46"/>
      <x:c r="P445" s="46"/>
      <x:c r="Q445" s="46"/>
      <x:c r="R445" s="46"/>
      <x:c r="S445" s="46"/>
      <x:c r="T445" s="46"/>
      <x:c r="U445" s="46"/>
      <x:c r="V445" s="46"/>
      <x:c r="W445" s="46"/>
    </x:row>
    <x:row r="446">
      <x:c r="A446" s="46"/>
      <x:c r="B446" s="46"/>
      <x:c r="C446" s="46"/>
      <x:c r="D446" s="46"/>
      <x:c r="E446" s="46"/>
      <x:c r="F446" s="46"/>
      <x:c r="G446" s="46"/>
      <x:c r="H446" s="46"/>
      <x:c r="I446" s="46"/>
      <x:c r="J446" s="46"/>
      <x:c r="K446" s="46"/>
      <x:c r="L446" s="46"/>
      <x:c r="M446" s="46"/>
      <x:c r="N446" s="46"/>
      <x:c r="O446" s="46"/>
      <x:c r="P446" s="46"/>
      <x:c r="Q446" s="46"/>
      <x:c r="R446" s="46"/>
      <x:c r="S446" s="46"/>
      <x:c r="T446" s="46"/>
      <x:c r="U446" s="46"/>
      <x:c r="V446" s="46"/>
      <x:c r="W446" s="46"/>
    </x:row>
    <x:row r="447">
      <x:c r="A447" s="46"/>
      <x:c r="B447" s="46"/>
      <x:c r="C447" s="46"/>
      <x:c r="D447" s="46"/>
      <x:c r="E447" s="46"/>
      <x:c r="F447" s="46"/>
      <x:c r="G447" s="46"/>
      <x:c r="H447" s="46"/>
      <x:c r="I447" s="46"/>
      <x:c r="J447" s="46"/>
      <x:c r="K447" s="46"/>
      <x:c r="L447" s="46"/>
      <x:c r="M447" s="46"/>
      <x:c r="N447" s="46"/>
      <x:c r="O447" s="46"/>
      <x:c r="P447" s="46"/>
      <x:c r="Q447" s="46"/>
      <x:c r="R447" s="46"/>
      <x:c r="S447" s="46"/>
      <x:c r="T447" s="46"/>
      <x:c r="U447" s="46"/>
      <x:c r="V447" s="46"/>
      <x:c r="W447" s="46"/>
    </x:row>
    <x:row r="448">
      <x:c r="A448" s="46"/>
      <x:c r="B448" s="46"/>
      <x:c r="C448" s="46"/>
      <x:c r="D448" s="46"/>
      <x:c r="E448" s="46"/>
      <x:c r="F448" s="46"/>
      <x:c r="G448" s="46"/>
      <x:c r="H448" s="46"/>
      <x:c r="I448" s="46"/>
      <x:c r="J448" s="46"/>
      <x:c r="K448" s="46"/>
      <x:c r="L448" s="46"/>
      <x:c r="M448" s="46"/>
      <x:c r="N448" s="46"/>
      <x:c r="O448" s="46"/>
      <x:c r="P448" s="46"/>
      <x:c r="Q448" s="46"/>
      <x:c r="R448" s="46"/>
      <x:c r="S448" s="46"/>
      <x:c r="T448" s="46"/>
      <x:c r="U448" s="46"/>
      <x:c r="V448" s="46"/>
      <x:c r="W448" s="46"/>
    </x:row>
    <x:row r="449">
      <x:c r="A449" s="46"/>
      <x:c r="B449" s="46"/>
      <x:c r="C449" s="46"/>
      <x:c r="D449" s="46"/>
      <x:c r="E449" s="46"/>
      <x:c r="F449" s="46"/>
      <x:c r="G449" s="46"/>
      <x:c r="H449" s="46"/>
      <x:c r="I449" s="46"/>
      <x:c r="J449" s="46"/>
      <x:c r="K449" s="46"/>
      <x:c r="L449" s="46"/>
      <x:c r="M449" s="46"/>
      <x:c r="N449" s="46"/>
      <x:c r="O449" s="46"/>
      <x:c r="P449" s="46"/>
      <x:c r="Q449" s="46"/>
      <x:c r="R449" s="46"/>
      <x:c r="S449" s="46"/>
      <x:c r="T449" s="46"/>
      <x:c r="U449" s="46"/>
      <x:c r="V449" s="46"/>
      <x:c r="W449" s="46"/>
    </x:row>
    <x:row r="450">
      <x:c r="A450" s="46"/>
      <x:c r="B450" s="46"/>
      <x:c r="C450" s="46"/>
      <x:c r="D450" s="46"/>
      <x:c r="E450" s="46"/>
      <x:c r="F450" s="46"/>
      <x:c r="G450" s="46"/>
      <x:c r="H450" s="46"/>
      <x:c r="I450" s="46"/>
      <x:c r="J450" s="46"/>
      <x:c r="K450" s="46"/>
      <x:c r="L450" s="46"/>
      <x:c r="M450" s="46"/>
      <x:c r="N450" s="46"/>
      <x:c r="O450" s="46"/>
      <x:c r="P450" s="46"/>
      <x:c r="Q450" s="46"/>
      <x:c r="R450" s="46"/>
      <x:c r="S450" s="46"/>
      <x:c r="T450" s="46"/>
      <x:c r="U450" s="46"/>
      <x:c r="V450" s="46"/>
      <x:c r="W450" s="46"/>
    </x:row>
    <x:row r="451">
      <x:c r="A451" s="46"/>
      <x:c r="B451" s="46"/>
      <x:c r="C451" s="46"/>
      <x:c r="D451" s="46"/>
      <x:c r="E451" s="46"/>
      <x:c r="F451" s="46"/>
      <x:c r="G451" s="46"/>
      <x:c r="H451" s="46"/>
      <x:c r="I451" s="46"/>
      <x:c r="J451" s="46"/>
      <x:c r="K451" s="46"/>
      <x:c r="L451" s="46"/>
      <x:c r="M451" s="46"/>
      <x:c r="N451" s="46"/>
      <x:c r="O451" s="46"/>
      <x:c r="P451" s="46"/>
      <x:c r="Q451" s="46"/>
      <x:c r="R451" s="46"/>
      <x:c r="S451" s="46"/>
      <x:c r="T451" s="46"/>
      <x:c r="U451" s="46"/>
      <x:c r="V451" s="46"/>
      <x:c r="W451" s="46"/>
    </x:row>
    <x:row r="452">
      <x:c r="A452" s="46"/>
      <x:c r="B452" s="46"/>
      <x:c r="C452" s="46"/>
      <x:c r="D452" s="46"/>
      <x:c r="E452" s="46"/>
      <x:c r="F452" s="46"/>
      <x:c r="G452" s="46"/>
      <x:c r="H452" s="46"/>
      <x:c r="I452" s="46"/>
      <x:c r="J452" s="46"/>
      <x:c r="K452" s="46"/>
      <x:c r="L452" s="46"/>
      <x:c r="M452" s="46"/>
      <x:c r="N452" s="46"/>
      <x:c r="O452" s="46"/>
      <x:c r="P452" s="46"/>
      <x:c r="Q452" s="46"/>
      <x:c r="R452" s="46"/>
      <x:c r="S452" s="46"/>
      <x:c r="T452" s="46"/>
      <x:c r="U452" s="46"/>
      <x:c r="V452" s="46"/>
      <x:c r="W452" s="46"/>
    </x:row>
    <x:row r="453">
      <x:c r="A453" s="46"/>
      <x:c r="B453" s="46"/>
      <x:c r="C453" s="46"/>
      <x:c r="D453" s="46"/>
      <x:c r="E453" s="46"/>
      <x:c r="F453" s="46"/>
      <x:c r="G453" s="46"/>
      <x:c r="H453" s="46"/>
      <x:c r="I453" s="46"/>
      <x:c r="J453" s="46"/>
      <x:c r="K453" s="46"/>
      <x:c r="L453" s="46"/>
      <x:c r="M453" s="46"/>
      <x:c r="N453" s="46"/>
      <x:c r="O453" s="46"/>
      <x:c r="P453" s="46"/>
      <x:c r="Q453" s="46"/>
      <x:c r="R453" s="46"/>
      <x:c r="S453" s="46"/>
      <x:c r="T453" s="46"/>
      <x:c r="U453" s="46"/>
      <x:c r="V453" s="46"/>
      <x:c r="W453" s="46"/>
    </x:row>
    <x:row r="454">
      <x:c r="A454" s="46"/>
      <x:c r="B454" s="46"/>
      <x:c r="C454" s="46"/>
      <x:c r="D454" s="46"/>
      <x:c r="E454" s="46"/>
      <x:c r="F454" s="46"/>
      <x:c r="G454" s="46"/>
      <x:c r="H454" s="46"/>
      <x:c r="I454" s="46"/>
      <x:c r="J454" s="46"/>
      <x:c r="K454" s="46"/>
      <x:c r="L454" s="46"/>
      <x:c r="M454" s="46"/>
      <x:c r="N454" s="46"/>
      <x:c r="O454" s="46"/>
      <x:c r="P454" s="46"/>
      <x:c r="Q454" s="46"/>
      <x:c r="R454" s="46"/>
      <x:c r="S454" s="46"/>
      <x:c r="T454" s="46"/>
      <x:c r="U454" s="46"/>
      <x:c r="V454" s="46"/>
      <x:c r="W454" s="46"/>
    </x:row>
    <x:row r="455">
      <x:c r="A455" s="46"/>
      <x:c r="B455" s="46"/>
      <x:c r="C455" s="46"/>
      <x:c r="D455" s="46"/>
      <x:c r="E455" s="46"/>
      <x:c r="F455" s="46"/>
      <x:c r="G455" s="46"/>
      <x:c r="H455" s="46"/>
      <x:c r="I455" s="46"/>
      <x:c r="J455" s="46"/>
      <x:c r="K455" s="46"/>
      <x:c r="L455" s="46"/>
      <x:c r="M455" s="46"/>
      <x:c r="N455" s="46"/>
      <x:c r="O455" s="46"/>
      <x:c r="P455" s="46"/>
      <x:c r="Q455" s="46"/>
      <x:c r="R455" s="46"/>
      <x:c r="S455" s="46"/>
      <x:c r="T455" s="46"/>
      <x:c r="U455" s="46"/>
      <x:c r="V455" s="46"/>
      <x:c r="W455" s="46"/>
    </x:row>
    <x:row r="456">
      <x:c r="A456" s="46"/>
      <x:c r="B456" s="46"/>
      <x:c r="C456" s="46"/>
      <x:c r="D456" s="46"/>
      <x:c r="E456" s="46"/>
      <x:c r="F456" s="46"/>
      <x:c r="G456" s="46"/>
      <x:c r="H456" s="46"/>
      <x:c r="I456" s="46"/>
      <x:c r="J456" s="46"/>
      <x:c r="K456" s="46"/>
      <x:c r="L456" s="46"/>
      <x:c r="M456" s="46"/>
      <x:c r="N456" s="46"/>
      <x:c r="O456" s="46"/>
      <x:c r="P456" s="46"/>
      <x:c r="Q456" s="46"/>
      <x:c r="R456" s="46"/>
      <x:c r="S456" s="46"/>
      <x:c r="T456" s="46"/>
      <x:c r="U456" s="46"/>
      <x:c r="V456" s="46"/>
      <x:c r="W456" s="46"/>
    </x:row>
    <x:row r="457">
      <x:c r="A457" s="46"/>
      <x:c r="B457" s="46"/>
      <x:c r="C457" s="46"/>
      <x:c r="D457" s="46"/>
      <x:c r="E457" s="46"/>
      <x:c r="F457" s="46"/>
      <x:c r="G457" s="46"/>
      <x:c r="H457" s="46"/>
      <x:c r="I457" s="46"/>
      <x:c r="J457" s="46"/>
      <x:c r="K457" s="46"/>
      <x:c r="L457" s="46"/>
      <x:c r="M457" s="46"/>
      <x:c r="N457" s="46"/>
      <x:c r="O457" s="46"/>
      <x:c r="P457" s="46"/>
      <x:c r="Q457" s="46"/>
      <x:c r="R457" s="46"/>
      <x:c r="S457" s="46"/>
      <x:c r="T457" s="46"/>
      <x:c r="U457" s="46"/>
      <x:c r="V457" s="46"/>
      <x:c r="W457" s="46"/>
    </x:row>
    <x:row r="458">
      <x:c r="A458" s="46"/>
      <x:c r="B458" s="46"/>
      <x:c r="C458" s="46"/>
      <x:c r="D458" s="46"/>
      <x:c r="E458" s="46"/>
      <x:c r="F458" s="46"/>
      <x:c r="G458" s="46"/>
      <x:c r="H458" s="46"/>
      <x:c r="I458" s="46"/>
      <x:c r="J458" s="46"/>
      <x:c r="K458" s="46"/>
      <x:c r="L458" s="46"/>
      <x:c r="M458" s="46"/>
      <x:c r="N458" s="46"/>
      <x:c r="O458" s="46"/>
      <x:c r="P458" s="46"/>
      <x:c r="Q458" s="46"/>
      <x:c r="R458" s="46"/>
      <x:c r="S458" s="46"/>
      <x:c r="T458" s="46"/>
      <x:c r="U458" s="46"/>
      <x:c r="V458" s="46"/>
      <x:c r="W458" s="46"/>
    </x:row>
    <x:row r="459">
      <x:c r="A459" s="46"/>
      <x:c r="B459" s="46"/>
      <x:c r="C459" s="46"/>
      <x:c r="D459" s="46"/>
      <x:c r="E459" s="46"/>
      <x:c r="F459" s="46"/>
      <x:c r="G459" s="46"/>
      <x:c r="H459" s="46"/>
      <x:c r="I459" s="46"/>
      <x:c r="J459" s="46"/>
      <x:c r="K459" s="46"/>
      <x:c r="L459" s="46"/>
      <x:c r="M459" s="46"/>
      <x:c r="N459" s="46"/>
      <x:c r="O459" s="46"/>
      <x:c r="P459" s="46"/>
      <x:c r="Q459" s="46"/>
      <x:c r="R459" s="46"/>
      <x:c r="S459" s="46"/>
      <x:c r="T459" s="46"/>
      <x:c r="U459" s="46"/>
      <x:c r="V459" s="46"/>
      <x:c r="W459" s="46"/>
    </x:row>
    <x:row r="460">
      <x:c r="A460" s="46"/>
      <x:c r="B460" s="46"/>
      <x:c r="C460" s="46"/>
      <x:c r="D460" s="46"/>
      <x:c r="E460" s="46"/>
      <x:c r="F460" s="46"/>
      <x:c r="G460" s="46"/>
      <x:c r="H460" s="46"/>
      <x:c r="I460" s="46"/>
      <x:c r="J460" s="46"/>
      <x:c r="K460" s="46"/>
      <x:c r="L460" s="46"/>
      <x:c r="M460" s="46"/>
      <x:c r="N460" s="46"/>
      <x:c r="O460" s="46"/>
      <x:c r="P460" s="46"/>
      <x:c r="Q460" s="46"/>
      <x:c r="R460" s="46"/>
      <x:c r="S460" s="46"/>
      <x:c r="T460" s="46"/>
      <x:c r="U460" s="46"/>
      <x:c r="V460" s="46"/>
      <x:c r="W460" s="46"/>
    </x:row>
    <x:row r="461">
      <x:c r="A461" s="46"/>
      <x:c r="B461" s="46"/>
      <x:c r="C461" s="46"/>
      <x:c r="D461" s="46"/>
      <x:c r="E461" s="46"/>
      <x:c r="F461" s="46"/>
      <x:c r="G461" s="46"/>
      <x:c r="H461" s="46"/>
      <x:c r="I461" s="46"/>
      <x:c r="J461" s="46"/>
      <x:c r="K461" s="46"/>
      <x:c r="L461" s="46"/>
      <x:c r="M461" s="46"/>
      <x:c r="N461" s="46"/>
      <x:c r="O461" s="46"/>
      <x:c r="P461" s="46"/>
      <x:c r="Q461" s="46"/>
      <x:c r="R461" s="46"/>
      <x:c r="S461" s="46"/>
      <x:c r="T461" s="46"/>
      <x:c r="U461" s="46"/>
      <x:c r="V461" s="46"/>
      <x:c r="W461" s="46"/>
    </x:row>
    <x:row r="462">
      <x:c r="A462" s="46"/>
      <x:c r="B462" s="46"/>
      <x:c r="C462" s="46"/>
      <x:c r="D462" s="46"/>
      <x:c r="E462" s="46"/>
      <x:c r="F462" s="46"/>
      <x:c r="G462" s="46"/>
      <x:c r="H462" s="46"/>
      <x:c r="I462" s="46"/>
      <x:c r="J462" s="46"/>
      <x:c r="K462" s="46"/>
      <x:c r="L462" s="46"/>
      <x:c r="M462" s="46"/>
      <x:c r="N462" s="46"/>
      <x:c r="O462" s="46"/>
      <x:c r="P462" s="46"/>
      <x:c r="Q462" s="46"/>
      <x:c r="R462" s="46"/>
      <x:c r="S462" s="46"/>
      <x:c r="T462" s="46"/>
      <x:c r="U462" s="46"/>
      <x:c r="V462" s="46"/>
      <x:c r="W462" s="46"/>
    </x:row>
    <x:row r="463">
      <x:c r="A463" s="46"/>
      <x:c r="B463" s="46"/>
      <x:c r="C463" s="46"/>
      <x:c r="D463" s="46"/>
      <x:c r="E463" s="46"/>
      <x:c r="F463" s="46"/>
      <x:c r="G463" s="46"/>
      <x:c r="H463" s="46"/>
      <x:c r="I463" s="46"/>
      <x:c r="J463" s="46"/>
      <x:c r="K463" s="46"/>
      <x:c r="L463" s="46"/>
      <x:c r="M463" s="46"/>
      <x:c r="N463" s="46"/>
      <x:c r="O463" s="46"/>
      <x:c r="P463" s="46"/>
      <x:c r="Q463" s="46"/>
      <x:c r="R463" s="46"/>
      <x:c r="S463" s="46"/>
      <x:c r="T463" s="46"/>
      <x:c r="U463" s="46"/>
      <x:c r="V463" s="46"/>
      <x:c r="W463" s="46"/>
    </x:row>
    <x:row r="464">
      <x:c r="A464" s="46"/>
      <x:c r="B464" s="46"/>
      <x:c r="C464" s="46"/>
      <x:c r="D464" s="46"/>
      <x:c r="E464" s="46"/>
      <x:c r="F464" s="46"/>
      <x:c r="G464" s="46"/>
      <x:c r="H464" s="46"/>
      <x:c r="I464" s="46"/>
      <x:c r="J464" s="46"/>
      <x:c r="K464" s="46"/>
      <x:c r="L464" s="46"/>
      <x:c r="M464" s="46"/>
      <x:c r="N464" s="46"/>
      <x:c r="O464" s="46"/>
      <x:c r="P464" s="46"/>
      <x:c r="Q464" s="46"/>
      <x:c r="R464" s="46"/>
      <x:c r="S464" s="46"/>
      <x:c r="T464" s="46"/>
      <x:c r="U464" s="46"/>
      <x:c r="V464" s="46"/>
      <x:c r="W464" s="46"/>
    </x:row>
    <x:row r="465">
      <x:c r="A465" s="46"/>
      <x:c r="B465" s="46"/>
      <x:c r="C465" s="46"/>
      <x:c r="D465" s="46"/>
      <x:c r="E465" s="46"/>
      <x:c r="F465" s="46"/>
      <x:c r="G465" s="46"/>
      <x:c r="H465" s="46"/>
      <x:c r="I465" s="46"/>
      <x:c r="J465" s="46"/>
      <x:c r="K465" s="46"/>
      <x:c r="L465" s="46"/>
      <x:c r="M465" s="46"/>
      <x:c r="N465" s="46"/>
      <x:c r="O465" s="46"/>
      <x:c r="P465" s="46"/>
      <x:c r="Q465" s="46"/>
      <x:c r="R465" s="46"/>
      <x:c r="S465" s="46"/>
      <x:c r="T465" s="46"/>
      <x:c r="U465" s="46"/>
      <x:c r="V465" s="46"/>
      <x:c r="W465" s="46"/>
    </x:row>
    <x:row r="466">
      <x:c r="A466" s="46"/>
      <x:c r="B466" s="46"/>
      <x:c r="C466" s="46"/>
      <x:c r="D466" s="46"/>
      <x:c r="E466" s="46"/>
      <x:c r="F466" s="46"/>
      <x:c r="G466" s="46"/>
      <x:c r="H466" s="46"/>
      <x:c r="I466" s="46"/>
      <x:c r="J466" s="46"/>
      <x:c r="K466" s="46"/>
      <x:c r="L466" s="46"/>
      <x:c r="M466" s="46"/>
      <x:c r="N466" s="46"/>
      <x:c r="O466" s="46"/>
      <x:c r="P466" s="46"/>
      <x:c r="Q466" s="46"/>
      <x:c r="R466" s="46"/>
      <x:c r="S466" s="46"/>
      <x:c r="T466" s="46"/>
      <x:c r="U466" s="46"/>
      <x:c r="V466" s="46"/>
      <x:c r="W466" s="46"/>
    </x:row>
    <x:row r="467">
      <x:c r="A467" s="46"/>
      <x:c r="B467" s="46"/>
      <x:c r="C467" s="46"/>
      <x:c r="D467" s="46"/>
      <x:c r="E467" s="46"/>
      <x:c r="F467" s="46"/>
      <x:c r="G467" s="46"/>
      <x:c r="H467" s="46"/>
      <x:c r="I467" s="46"/>
      <x:c r="J467" s="46"/>
      <x:c r="K467" s="46"/>
      <x:c r="L467" s="46"/>
      <x:c r="M467" s="46"/>
      <x:c r="N467" s="46"/>
      <x:c r="O467" s="46"/>
      <x:c r="P467" s="46"/>
      <x:c r="Q467" s="46"/>
      <x:c r="R467" s="46"/>
      <x:c r="S467" s="46"/>
      <x:c r="T467" s="46"/>
      <x:c r="U467" s="46"/>
      <x:c r="V467" s="46"/>
      <x:c r="W467" s="46"/>
    </x:row>
    <x:row r="468">
      <x:c r="A468" s="46"/>
      <x:c r="B468" s="46"/>
      <x:c r="C468" s="46"/>
      <x:c r="D468" s="46"/>
      <x:c r="E468" s="46"/>
      <x:c r="F468" s="46"/>
      <x:c r="G468" s="46"/>
      <x:c r="H468" s="46"/>
      <x:c r="I468" s="46"/>
      <x:c r="J468" s="46"/>
      <x:c r="K468" s="46"/>
      <x:c r="L468" s="46"/>
      <x:c r="M468" s="46"/>
      <x:c r="N468" s="46"/>
      <x:c r="O468" s="46"/>
      <x:c r="P468" s="46"/>
      <x:c r="Q468" s="46"/>
      <x:c r="R468" s="46"/>
      <x:c r="S468" s="46"/>
      <x:c r="T468" s="46"/>
      <x:c r="U468" s="46"/>
      <x:c r="V468" s="46"/>
      <x:c r="W468" s="46"/>
    </x:row>
    <x:row r="469">
      <x:c r="A469" s="46"/>
      <x:c r="B469" s="46"/>
      <x:c r="C469" s="46"/>
      <x:c r="D469" s="46"/>
      <x:c r="E469" s="46"/>
      <x:c r="F469" s="46"/>
      <x:c r="G469" s="46"/>
      <x:c r="H469" s="46"/>
      <x:c r="I469" s="46"/>
      <x:c r="J469" s="46"/>
      <x:c r="K469" s="46"/>
      <x:c r="L469" s="46"/>
      <x:c r="M469" s="46"/>
      <x:c r="N469" s="46"/>
      <x:c r="O469" s="46"/>
      <x:c r="P469" s="46"/>
      <x:c r="Q469" s="46"/>
      <x:c r="R469" s="46"/>
      <x:c r="S469" s="46"/>
      <x:c r="T469" s="46"/>
      <x:c r="U469" s="46"/>
      <x:c r="V469" s="46"/>
      <x:c r="W469" s="46"/>
    </x:row>
    <x:row r="470">
      <x:c r="A470" s="46"/>
      <x:c r="B470" s="46"/>
      <x:c r="C470" s="46"/>
      <x:c r="D470" s="46"/>
      <x:c r="E470" s="46"/>
      <x:c r="F470" s="46"/>
      <x:c r="G470" s="46"/>
      <x:c r="H470" s="46"/>
      <x:c r="I470" s="46"/>
      <x:c r="J470" s="46"/>
      <x:c r="K470" s="46"/>
      <x:c r="L470" s="46"/>
      <x:c r="M470" s="46"/>
      <x:c r="N470" s="46"/>
      <x:c r="O470" s="46"/>
      <x:c r="P470" s="46"/>
      <x:c r="Q470" s="46"/>
      <x:c r="R470" s="46"/>
      <x:c r="S470" s="46"/>
      <x:c r="T470" s="46"/>
      <x:c r="U470" s="46"/>
      <x:c r="V470" s="46"/>
      <x:c r="W470" s="46"/>
    </x:row>
    <x:row r="471">
      <x:c r="A471" s="46"/>
      <x:c r="B471" s="46"/>
      <x:c r="C471" s="46"/>
      <x:c r="D471" s="46"/>
      <x:c r="E471" s="46"/>
      <x:c r="F471" s="46"/>
      <x:c r="G471" s="46"/>
      <x:c r="H471" s="46"/>
      <x:c r="I471" s="46"/>
      <x:c r="J471" s="46"/>
      <x:c r="K471" s="46"/>
      <x:c r="L471" s="46"/>
      <x:c r="M471" s="46"/>
      <x:c r="N471" s="46"/>
      <x:c r="O471" s="46"/>
      <x:c r="P471" s="46"/>
      <x:c r="Q471" s="46"/>
      <x:c r="R471" s="46"/>
      <x:c r="S471" s="46"/>
      <x:c r="T471" s="46"/>
      <x:c r="U471" s="46"/>
      <x:c r="V471" s="46"/>
      <x:c r="W471" s="46"/>
    </x:row>
    <x:row r="472">
      <x:c r="A472" s="46"/>
      <x:c r="B472" s="46"/>
      <x:c r="C472" s="46"/>
      <x:c r="D472" s="46"/>
      <x:c r="E472" s="46"/>
      <x:c r="F472" s="46"/>
      <x:c r="G472" s="46"/>
      <x:c r="H472" s="46"/>
      <x:c r="I472" s="46"/>
      <x:c r="J472" s="46"/>
      <x:c r="K472" s="46"/>
      <x:c r="L472" s="46"/>
      <x:c r="M472" s="46"/>
      <x:c r="N472" s="46"/>
      <x:c r="O472" s="46"/>
      <x:c r="P472" s="46"/>
      <x:c r="Q472" s="46"/>
      <x:c r="R472" s="46"/>
      <x:c r="S472" s="46"/>
      <x:c r="T472" s="46"/>
      <x:c r="U472" s="46"/>
      <x:c r="V472" s="46"/>
      <x:c r="W472" s="46"/>
    </x:row>
    <x:row r="473">
      <x:c r="A473" s="46"/>
      <x:c r="B473" s="46"/>
      <x:c r="C473" s="46"/>
      <x:c r="D473" s="46"/>
      <x:c r="E473" s="46"/>
      <x:c r="F473" s="46"/>
      <x:c r="G473" s="46"/>
      <x:c r="H473" s="46"/>
      <x:c r="I473" s="46"/>
      <x:c r="J473" s="46"/>
      <x:c r="K473" s="46"/>
      <x:c r="L473" s="46"/>
      <x:c r="M473" s="46"/>
      <x:c r="N473" s="46"/>
      <x:c r="O473" s="46"/>
      <x:c r="P473" s="46"/>
      <x:c r="Q473" s="46"/>
      <x:c r="R473" s="46"/>
      <x:c r="S473" s="46"/>
      <x:c r="T473" s="46"/>
      <x:c r="U473" s="46"/>
      <x:c r="V473" s="46"/>
      <x:c r="W473" s="46"/>
    </x:row>
    <x:row r="474">
      <x:c r="A474" s="46"/>
      <x:c r="B474" s="46"/>
      <x:c r="C474" s="46"/>
      <x:c r="D474" s="46"/>
      <x:c r="E474" s="46"/>
      <x:c r="F474" s="46"/>
      <x:c r="G474" s="46"/>
      <x:c r="H474" s="46"/>
      <x:c r="I474" s="46"/>
      <x:c r="J474" s="46"/>
      <x:c r="K474" s="46"/>
      <x:c r="L474" s="46"/>
      <x:c r="M474" s="46"/>
      <x:c r="N474" s="46"/>
      <x:c r="O474" s="46"/>
      <x:c r="P474" s="46"/>
      <x:c r="Q474" s="46"/>
      <x:c r="R474" s="46"/>
      <x:c r="S474" s="46"/>
      <x:c r="T474" s="46"/>
      <x:c r="U474" s="46"/>
      <x:c r="V474" s="46"/>
      <x:c r="W474" s="46"/>
    </x:row>
    <x:row r="475">
      <x:c r="A475" s="46"/>
      <x:c r="B475" s="46"/>
      <x:c r="C475" s="46"/>
      <x:c r="D475" s="46"/>
      <x:c r="E475" s="46"/>
      <x:c r="F475" s="46"/>
      <x:c r="G475" s="46"/>
      <x:c r="H475" s="46"/>
      <x:c r="I475" s="46"/>
      <x:c r="J475" s="46"/>
      <x:c r="K475" s="46"/>
      <x:c r="L475" s="46"/>
      <x:c r="M475" s="46"/>
      <x:c r="N475" s="46"/>
      <x:c r="O475" s="46"/>
      <x:c r="P475" s="46"/>
      <x:c r="Q475" s="46"/>
      <x:c r="R475" s="46"/>
      <x:c r="S475" s="46"/>
      <x:c r="T475" s="46"/>
      <x:c r="U475" s="46"/>
      <x:c r="V475" s="46"/>
      <x:c r="W475" s="46"/>
    </x:row>
    <x:row r="476">
      <x:c r="A476" s="46"/>
      <x:c r="B476" s="46"/>
      <x:c r="C476" s="46"/>
      <x:c r="D476" s="46"/>
      <x:c r="E476" s="46"/>
      <x:c r="F476" s="46"/>
      <x:c r="G476" s="46"/>
      <x:c r="H476" s="46"/>
      <x:c r="I476" s="46"/>
      <x:c r="J476" s="46"/>
      <x:c r="K476" s="46"/>
      <x:c r="L476" s="46"/>
      <x:c r="M476" s="46"/>
      <x:c r="N476" s="46"/>
      <x:c r="O476" s="46"/>
      <x:c r="P476" s="46"/>
      <x:c r="Q476" s="46"/>
      <x:c r="R476" s="46"/>
      <x:c r="S476" s="46"/>
      <x:c r="T476" s="46"/>
      <x:c r="U476" s="46"/>
      <x:c r="V476" s="46"/>
      <x:c r="W476" s="46"/>
    </x:row>
    <x:row r="477">
      <x:c r="A477" s="46"/>
      <x:c r="B477" s="46"/>
      <x:c r="C477" s="46"/>
      <x:c r="D477" s="46"/>
      <x:c r="E477" s="46"/>
      <x:c r="F477" s="46"/>
      <x:c r="G477" s="46"/>
      <x:c r="H477" s="46"/>
      <x:c r="I477" s="46"/>
      <x:c r="J477" s="46"/>
      <x:c r="K477" s="46"/>
      <x:c r="L477" s="46"/>
      <x:c r="M477" s="46"/>
      <x:c r="N477" s="46"/>
      <x:c r="O477" s="46"/>
      <x:c r="P477" s="46"/>
      <x:c r="Q477" s="46"/>
      <x:c r="R477" s="46"/>
      <x:c r="S477" s="46"/>
      <x:c r="T477" s="46"/>
      <x:c r="U477" s="46"/>
      <x:c r="V477" s="46"/>
      <x:c r="W477" s="46"/>
    </x:row>
    <x:row r="478">
      <x:c r="A478" s="46"/>
      <x:c r="B478" s="46"/>
      <x:c r="C478" s="46"/>
      <x:c r="D478" s="46"/>
      <x:c r="E478" s="46"/>
      <x:c r="F478" s="46"/>
      <x:c r="G478" s="46"/>
      <x:c r="H478" s="46"/>
      <x:c r="I478" s="46"/>
      <x:c r="J478" s="46"/>
      <x:c r="K478" s="46"/>
      <x:c r="L478" s="46"/>
      <x:c r="M478" s="46"/>
      <x:c r="N478" s="46"/>
      <x:c r="O478" s="46"/>
      <x:c r="P478" s="46"/>
      <x:c r="Q478" s="46"/>
      <x:c r="R478" s="46"/>
      <x:c r="S478" s="46"/>
      <x:c r="T478" s="46"/>
      <x:c r="U478" s="46"/>
      <x:c r="V478" s="46"/>
      <x:c r="W478" s="46"/>
    </x:row>
    <x:row r="479">
      <x:c r="A479" s="46"/>
      <x:c r="B479" s="46"/>
      <x:c r="C479" s="46"/>
      <x:c r="D479" s="46"/>
      <x:c r="E479" s="46"/>
      <x:c r="F479" s="46"/>
      <x:c r="G479" s="46"/>
      <x:c r="H479" s="46"/>
      <x:c r="I479" s="46"/>
      <x:c r="J479" s="46"/>
      <x:c r="K479" s="46"/>
      <x:c r="L479" s="46"/>
      <x:c r="M479" s="46"/>
      <x:c r="N479" s="46"/>
      <x:c r="O479" s="46"/>
      <x:c r="P479" s="46"/>
      <x:c r="Q479" s="46"/>
      <x:c r="R479" s="46"/>
      <x:c r="S479" s="46"/>
      <x:c r="T479" s="46"/>
      <x:c r="U479" s="46"/>
      <x:c r="V479" s="46"/>
      <x:c r="W479" s="46"/>
    </x:row>
    <x:row r="480">
      <x:c r="A480" s="46"/>
      <x:c r="B480" s="46"/>
      <x:c r="C480" s="46"/>
      <x:c r="D480" s="46"/>
      <x:c r="E480" s="46"/>
      <x:c r="F480" s="46"/>
      <x:c r="G480" s="46"/>
      <x:c r="H480" s="46"/>
      <x:c r="I480" s="46"/>
      <x:c r="J480" s="46"/>
      <x:c r="K480" s="46"/>
      <x:c r="L480" s="46"/>
      <x:c r="M480" s="46"/>
      <x:c r="N480" s="46"/>
      <x:c r="O480" s="46"/>
      <x:c r="P480" s="46"/>
      <x:c r="Q480" s="46"/>
      <x:c r="R480" s="46"/>
      <x:c r="S480" s="46"/>
      <x:c r="T480" s="46"/>
      <x:c r="U480" s="46"/>
      <x:c r="V480" s="46"/>
      <x:c r="W480" s="46"/>
    </x:row>
    <x:row r="481">
      <x:c r="A481" s="46"/>
      <x:c r="B481" s="46"/>
      <x:c r="C481" s="46"/>
      <x:c r="D481" s="46"/>
      <x:c r="E481" s="46"/>
      <x:c r="F481" s="46"/>
      <x:c r="G481" s="46"/>
      <x:c r="H481" s="46"/>
      <x:c r="I481" s="46"/>
      <x:c r="J481" s="46"/>
      <x:c r="K481" s="46"/>
      <x:c r="L481" s="46"/>
      <x:c r="M481" s="46"/>
      <x:c r="N481" s="46"/>
      <x:c r="O481" s="46"/>
      <x:c r="P481" s="46"/>
      <x:c r="Q481" s="46"/>
      <x:c r="R481" s="46"/>
      <x:c r="S481" s="46"/>
      <x:c r="T481" s="46"/>
      <x:c r="U481" s="46"/>
      <x:c r="V481" s="46"/>
      <x:c r="W481" s="46"/>
    </x:row>
    <x:row r="482">
      <x:c r="A482" s="46"/>
      <x:c r="B482" s="46"/>
      <x:c r="C482" s="46"/>
      <x:c r="D482" s="46"/>
      <x:c r="E482" s="46"/>
      <x:c r="F482" s="46"/>
      <x:c r="G482" s="46"/>
      <x:c r="H482" s="46"/>
      <x:c r="I482" s="46"/>
      <x:c r="J482" s="46"/>
      <x:c r="K482" s="46"/>
      <x:c r="L482" s="46"/>
      <x:c r="M482" s="46"/>
      <x:c r="N482" s="46"/>
      <x:c r="O482" s="46"/>
      <x:c r="P482" s="46"/>
      <x:c r="Q482" s="46"/>
      <x:c r="R482" s="46"/>
      <x:c r="S482" s="46"/>
      <x:c r="T482" s="46"/>
      <x:c r="U482" s="46"/>
      <x:c r="V482" s="46"/>
      <x:c r="W482" s="46"/>
    </x:row>
    <x:row r="483">
      <x:c r="A483" s="46"/>
      <x:c r="B483" s="46"/>
      <x:c r="C483" s="46"/>
      <x:c r="D483" s="46"/>
      <x:c r="E483" s="46"/>
      <x:c r="F483" s="46"/>
      <x:c r="G483" s="46"/>
      <x:c r="H483" s="46"/>
      <x:c r="I483" s="46"/>
      <x:c r="J483" s="46"/>
      <x:c r="K483" s="46"/>
      <x:c r="L483" s="46"/>
      <x:c r="M483" s="46"/>
      <x:c r="N483" s="46"/>
      <x:c r="O483" s="46"/>
      <x:c r="P483" s="46"/>
      <x:c r="Q483" s="46"/>
      <x:c r="R483" s="46"/>
      <x:c r="S483" s="46"/>
      <x:c r="T483" s="46"/>
      <x:c r="U483" s="46"/>
      <x:c r="V483" s="46"/>
      <x:c r="W483" s="46"/>
    </x:row>
    <x:row r="484">
      <x:c r="A484" s="46"/>
      <x:c r="B484" s="46"/>
      <x:c r="C484" s="46"/>
      <x:c r="D484" s="46"/>
      <x:c r="E484" s="46"/>
      <x:c r="F484" s="46"/>
      <x:c r="G484" s="46"/>
      <x:c r="H484" s="46"/>
      <x:c r="I484" s="46"/>
      <x:c r="J484" s="46"/>
      <x:c r="K484" s="46"/>
      <x:c r="L484" s="46"/>
      <x:c r="M484" s="46"/>
      <x:c r="N484" s="46"/>
      <x:c r="O484" s="46"/>
      <x:c r="P484" s="46"/>
      <x:c r="Q484" s="46"/>
      <x:c r="R484" s="46"/>
      <x:c r="S484" s="46"/>
      <x:c r="T484" s="46"/>
      <x:c r="U484" s="46"/>
      <x:c r="V484" s="46"/>
      <x:c r="W484" s="46"/>
    </x:row>
    <x:row r="485">
      <x:c r="A485" s="46"/>
      <x:c r="B485" s="46"/>
      <x:c r="C485" s="46"/>
      <x:c r="D485" s="46"/>
      <x:c r="E485" s="46"/>
      <x:c r="F485" s="46"/>
      <x:c r="G485" s="46"/>
      <x:c r="H485" s="46"/>
      <x:c r="I485" s="46"/>
      <x:c r="J485" s="46"/>
      <x:c r="K485" s="46"/>
      <x:c r="L485" s="46"/>
      <x:c r="M485" s="46"/>
      <x:c r="N485" s="46"/>
      <x:c r="O485" s="46"/>
      <x:c r="P485" s="46"/>
      <x:c r="Q485" s="46"/>
      <x:c r="R485" s="46"/>
      <x:c r="S485" s="46"/>
      <x:c r="T485" s="46"/>
      <x:c r="U485" s="46"/>
      <x:c r="V485" s="46"/>
      <x:c r="W485" s="46"/>
    </x:row>
    <x:row r="486">
      <x:c r="A486" s="46"/>
      <x:c r="B486" s="46"/>
      <x:c r="C486" s="46"/>
      <x:c r="D486" s="46"/>
      <x:c r="E486" s="46"/>
      <x:c r="F486" s="46"/>
      <x:c r="G486" s="46"/>
      <x:c r="H486" s="46"/>
      <x:c r="I486" s="46"/>
      <x:c r="J486" s="46"/>
      <x:c r="K486" s="46"/>
      <x:c r="L486" s="46"/>
      <x:c r="M486" s="46"/>
      <x:c r="N486" s="46"/>
      <x:c r="O486" s="46"/>
      <x:c r="P486" s="46"/>
      <x:c r="Q486" s="46"/>
      <x:c r="R486" s="46"/>
      <x:c r="S486" s="46"/>
      <x:c r="T486" s="46"/>
      <x:c r="U486" s="46"/>
      <x:c r="V486" s="46"/>
      <x:c r="W486" s="46"/>
    </x:row>
    <x:row r="487">
      <x:c r="A487" s="46"/>
      <x:c r="B487" s="46"/>
      <x:c r="C487" s="46"/>
      <x:c r="D487" s="46"/>
      <x:c r="E487" s="46"/>
      <x:c r="F487" s="46"/>
      <x:c r="G487" s="46"/>
      <x:c r="H487" s="46"/>
      <x:c r="I487" s="46"/>
      <x:c r="J487" s="46"/>
      <x:c r="K487" s="46"/>
      <x:c r="L487" s="46"/>
      <x:c r="M487" s="46"/>
      <x:c r="N487" s="46"/>
      <x:c r="O487" s="46"/>
      <x:c r="P487" s="46"/>
      <x:c r="Q487" s="46"/>
      <x:c r="R487" s="46"/>
      <x:c r="S487" s="46"/>
      <x:c r="T487" s="46"/>
      <x:c r="U487" s="46"/>
      <x:c r="V487" s="46"/>
      <x:c r="W487" s="46"/>
    </x:row>
    <x:row r="488">
      <x:c r="A488" s="46"/>
      <x:c r="B488" s="46"/>
      <x:c r="C488" s="46"/>
      <x:c r="D488" s="46"/>
      <x:c r="E488" s="46"/>
      <x:c r="F488" s="46"/>
      <x:c r="G488" s="46"/>
      <x:c r="H488" s="46"/>
      <x:c r="I488" s="46"/>
      <x:c r="J488" s="46"/>
      <x:c r="K488" s="46"/>
      <x:c r="L488" s="46"/>
      <x:c r="M488" s="46"/>
      <x:c r="N488" s="46"/>
      <x:c r="O488" s="46"/>
      <x:c r="P488" s="46"/>
      <x:c r="Q488" s="46"/>
      <x:c r="R488" s="46"/>
      <x:c r="S488" s="46"/>
      <x:c r="T488" s="46"/>
      <x:c r="U488" s="46"/>
      <x:c r="V488" s="46"/>
      <x:c r="W488" s="46"/>
    </x:row>
    <x:row r="489">
      <x:c r="A489" s="46"/>
      <x:c r="B489" s="46"/>
      <x:c r="C489" s="46"/>
      <x:c r="D489" s="46"/>
      <x:c r="E489" s="46"/>
      <x:c r="F489" s="46"/>
      <x:c r="G489" s="46"/>
      <x:c r="H489" s="46"/>
      <x:c r="I489" s="46"/>
      <x:c r="J489" s="46"/>
      <x:c r="K489" s="46"/>
      <x:c r="L489" s="46"/>
      <x:c r="M489" s="46"/>
      <x:c r="N489" s="46"/>
      <x:c r="O489" s="46"/>
      <x:c r="P489" s="46"/>
      <x:c r="Q489" s="46"/>
      <x:c r="R489" s="46"/>
      <x:c r="S489" s="46"/>
      <x:c r="T489" s="46"/>
      <x:c r="U489" s="46"/>
      <x:c r="V489" s="46"/>
      <x:c r="W489" s="46"/>
    </x:row>
    <x:row r="490">
      <x:c r="A490" s="46"/>
      <x:c r="B490" s="46"/>
      <x:c r="C490" s="46"/>
      <x:c r="D490" s="46"/>
      <x:c r="E490" s="46"/>
      <x:c r="F490" s="46"/>
      <x:c r="G490" s="46"/>
      <x:c r="H490" s="46"/>
      <x:c r="I490" s="46"/>
      <x:c r="J490" s="46"/>
      <x:c r="K490" s="46"/>
      <x:c r="L490" s="46"/>
      <x:c r="M490" s="46"/>
      <x:c r="N490" s="46"/>
      <x:c r="O490" s="46"/>
      <x:c r="P490" s="46"/>
      <x:c r="Q490" s="46"/>
      <x:c r="R490" s="46"/>
      <x:c r="S490" s="46"/>
      <x:c r="T490" s="46"/>
      <x:c r="U490" s="46"/>
      <x:c r="V490" s="46"/>
      <x:c r="W490" s="46"/>
    </x:row>
    <x:row r="491">
      <x:c r="A491" s="46"/>
      <x:c r="B491" s="46"/>
      <x:c r="C491" s="46"/>
      <x:c r="D491" s="46"/>
      <x:c r="E491" s="46"/>
      <x:c r="F491" s="46"/>
      <x:c r="G491" s="46"/>
      <x:c r="H491" s="46"/>
      <x:c r="I491" s="46"/>
      <x:c r="J491" s="46"/>
      <x:c r="K491" s="46"/>
      <x:c r="L491" s="46"/>
      <x:c r="M491" s="46"/>
      <x:c r="N491" s="46"/>
      <x:c r="O491" s="46"/>
      <x:c r="P491" s="46"/>
      <x:c r="Q491" s="46"/>
      <x:c r="R491" s="46"/>
      <x:c r="S491" s="46"/>
      <x:c r="T491" s="46"/>
      <x:c r="U491" s="46"/>
      <x:c r="V491" s="46"/>
      <x:c r="W491" s="46"/>
    </x:row>
    <x:row r="492">
      <x:c r="A492" s="46"/>
      <x:c r="B492" s="46"/>
      <x:c r="C492" s="46"/>
      <x:c r="D492" s="46"/>
      <x:c r="E492" s="46"/>
      <x:c r="F492" s="46"/>
      <x:c r="G492" s="46"/>
      <x:c r="H492" s="46"/>
      <x:c r="I492" s="46"/>
      <x:c r="J492" s="46"/>
      <x:c r="K492" s="46"/>
      <x:c r="L492" s="46"/>
      <x:c r="M492" s="46"/>
      <x:c r="N492" s="46"/>
      <x:c r="O492" s="46"/>
      <x:c r="P492" s="46"/>
      <x:c r="Q492" s="46"/>
      <x:c r="R492" s="46"/>
      <x:c r="S492" s="46"/>
      <x:c r="T492" s="46"/>
      <x:c r="U492" s="46"/>
      <x:c r="V492" s="46"/>
      <x:c r="W492" s="46"/>
    </x:row>
    <x:row r="493">
      <x:c r="A493" s="46"/>
      <x:c r="B493" s="46"/>
      <x:c r="C493" s="46"/>
      <x:c r="D493" s="46"/>
      <x:c r="E493" s="46"/>
      <x:c r="F493" s="46"/>
      <x:c r="G493" s="46"/>
      <x:c r="H493" s="46"/>
      <x:c r="I493" s="46"/>
      <x:c r="J493" s="46"/>
      <x:c r="K493" s="46"/>
      <x:c r="L493" s="46"/>
      <x:c r="M493" s="46"/>
      <x:c r="N493" s="46"/>
      <x:c r="O493" s="46"/>
      <x:c r="P493" s="46"/>
      <x:c r="Q493" s="46"/>
      <x:c r="R493" s="46"/>
      <x:c r="S493" s="46"/>
      <x:c r="T493" s="46"/>
      <x:c r="U493" s="46"/>
      <x:c r="V493" s="46"/>
      <x:c r="W493" s="46"/>
    </x:row>
    <x:row r="494">
      <x:c r="A494" s="46"/>
      <x:c r="B494" s="46"/>
      <x:c r="C494" s="46"/>
      <x:c r="D494" s="46"/>
      <x:c r="E494" s="46"/>
      <x:c r="F494" s="46"/>
      <x:c r="G494" s="46"/>
      <x:c r="H494" s="46"/>
      <x:c r="I494" s="46"/>
      <x:c r="J494" s="46"/>
      <x:c r="K494" s="46"/>
      <x:c r="L494" s="46"/>
      <x:c r="M494" s="46"/>
      <x:c r="N494" s="46"/>
      <x:c r="O494" s="46"/>
      <x:c r="P494" s="46"/>
      <x:c r="Q494" s="46"/>
      <x:c r="R494" s="46"/>
      <x:c r="S494" s="46"/>
      <x:c r="T494" s="46"/>
      <x:c r="U494" s="46"/>
      <x:c r="V494" s="46"/>
      <x:c r="W494" s="46"/>
    </x:row>
    <x:row r="495">
      <x:c r="A495" s="46"/>
      <x:c r="B495" s="46"/>
      <x:c r="C495" s="46"/>
      <x:c r="D495" s="46"/>
      <x:c r="E495" s="46"/>
      <x:c r="F495" s="46"/>
      <x:c r="G495" s="46"/>
      <x:c r="H495" s="46"/>
      <x:c r="I495" s="46"/>
      <x:c r="J495" s="46"/>
      <x:c r="K495" s="46"/>
      <x:c r="L495" s="46"/>
      <x:c r="M495" s="46"/>
      <x:c r="N495" s="46"/>
      <x:c r="O495" s="46"/>
      <x:c r="P495" s="46"/>
      <x:c r="Q495" s="46"/>
      <x:c r="R495" s="46"/>
      <x:c r="S495" s="46"/>
      <x:c r="T495" s="46"/>
      <x:c r="U495" s="46"/>
      <x:c r="V495" s="46"/>
      <x:c r="W495" s="46"/>
    </x:row>
    <x:row r="496">
      <x:c r="A496" s="46"/>
      <x:c r="B496" s="46"/>
      <x:c r="C496" s="46"/>
      <x:c r="D496" s="46"/>
      <x:c r="E496" s="46"/>
      <x:c r="F496" s="46"/>
      <x:c r="G496" s="46"/>
      <x:c r="H496" s="46"/>
      <x:c r="I496" s="46"/>
      <x:c r="J496" s="46"/>
      <x:c r="K496" s="46"/>
      <x:c r="L496" s="46"/>
      <x:c r="M496" s="46"/>
      <x:c r="N496" s="46"/>
      <x:c r="O496" s="46"/>
      <x:c r="P496" s="46"/>
      <x:c r="Q496" s="46"/>
      <x:c r="R496" s="46"/>
      <x:c r="S496" s="46"/>
      <x:c r="T496" s="46"/>
      <x:c r="U496" s="46"/>
      <x:c r="V496" s="46"/>
      <x:c r="W496" s="46"/>
    </x:row>
    <x:row r="497">
      <x:c r="A497" s="46"/>
      <x:c r="B497" s="46"/>
      <x:c r="C497" s="46"/>
      <x:c r="D497" s="46"/>
      <x:c r="E497" s="46"/>
      <x:c r="F497" s="46"/>
      <x:c r="G497" s="46"/>
      <x:c r="H497" s="46"/>
      <x:c r="I497" s="46"/>
      <x:c r="J497" s="46"/>
      <x:c r="K497" s="46"/>
      <x:c r="L497" s="46"/>
      <x:c r="M497" s="46"/>
      <x:c r="N497" s="46"/>
      <x:c r="O497" s="46"/>
      <x:c r="P497" s="46"/>
      <x:c r="Q497" s="46"/>
      <x:c r="R497" s="46"/>
      <x:c r="S497" s="46"/>
      <x:c r="T497" s="46"/>
      <x:c r="U497" s="46"/>
      <x:c r="V497" s="46"/>
      <x:c r="W497" s="46"/>
    </x:row>
    <x:row r="498">
      <x:c r="A498" s="46"/>
      <x:c r="B498" s="46"/>
      <x:c r="C498" s="46"/>
      <x:c r="D498" s="46"/>
      <x:c r="E498" s="46"/>
      <x:c r="F498" s="46"/>
      <x:c r="G498" s="46"/>
      <x:c r="H498" s="46"/>
      <x:c r="I498" s="46"/>
      <x:c r="J498" s="46"/>
      <x:c r="K498" s="46"/>
      <x:c r="L498" s="46"/>
      <x:c r="M498" s="46"/>
      <x:c r="N498" s="46"/>
      <x:c r="O498" s="46"/>
      <x:c r="P498" s="46"/>
      <x:c r="Q498" s="46"/>
      <x:c r="R498" s="46"/>
      <x:c r="S498" s="46"/>
      <x:c r="T498" s="46"/>
      <x:c r="U498" s="46"/>
      <x:c r="V498" s="46"/>
      <x:c r="W498" s="46"/>
    </x:row>
    <x:row r="499">
      <x:c r="A499" s="46"/>
      <x:c r="B499" s="46"/>
      <x:c r="C499" s="46"/>
      <x:c r="D499" s="46"/>
      <x:c r="E499" s="46"/>
      <x:c r="F499" s="46"/>
      <x:c r="G499" s="46"/>
      <x:c r="H499" s="46"/>
      <x:c r="I499" s="46"/>
      <x:c r="J499" s="46"/>
      <x:c r="K499" s="46"/>
      <x:c r="L499" s="46"/>
      <x:c r="M499" s="46"/>
      <x:c r="N499" s="46"/>
      <x:c r="O499" s="46"/>
      <x:c r="P499" s="46"/>
      <x:c r="Q499" s="46"/>
      <x:c r="R499" s="46"/>
      <x:c r="S499" s="46"/>
      <x:c r="T499" s="46"/>
      <x:c r="U499" s="46"/>
      <x:c r="V499" s="46"/>
      <x:c r="W499" s="46"/>
    </x:row>
    <x:row r="500">
      <x:c r="A500" s="46"/>
      <x:c r="B500" s="46"/>
      <x:c r="C500" s="46"/>
      <x:c r="D500" s="46"/>
      <x:c r="E500" s="46"/>
      <x:c r="F500" s="46"/>
      <x:c r="G500" s="46"/>
      <x:c r="H500" s="46"/>
      <x:c r="I500" s="46"/>
      <x:c r="J500" s="46"/>
      <x:c r="K500" s="46"/>
      <x:c r="L500" s="46"/>
      <x:c r="M500" s="46"/>
      <x:c r="N500" s="46"/>
      <x:c r="O500" s="46"/>
      <x:c r="P500" s="46"/>
      <x:c r="Q500" s="46"/>
      <x:c r="R500" s="46"/>
      <x:c r="S500" s="46"/>
      <x:c r="T500" s="46"/>
      <x:c r="U500" s="46"/>
      <x:c r="V500" s="46"/>
      <x:c r="W500" s="46"/>
    </x:row>
    <x:row r="501">
      <x:c r="A501" s="46"/>
      <x:c r="B501" s="46"/>
      <x:c r="C501" s="46"/>
      <x:c r="D501" s="46"/>
      <x:c r="E501" s="46"/>
      <x:c r="F501" s="46"/>
      <x:c r="G501" s="46"/>
      <x:c r="H501" s="46"/>
      <x:c r="I501" s="46"/>
      <x:c r="J501" s="46"/>
      <x:c r="K501" s="46"/>
      <x:c r="L501" s="46"/>
      <x:c r="M501" s="46"/>
      <x:c r="N501" s="46"/>
      <x:c r="O501" s="46"/>
      <x:c r="P501" s="46"/>
      <x:c r="Q501" s="46"/>
      <x:c r="R501" s="46"/>
      <x:c r="S501" s="46"/>
      <x:c r="T501" s="46"/>
      <x:c r="U501" s="46"/>
      <x:c r="V501" s="46"/>
      <x:c r="W501" s="46"/>
    </x:row>
    <x:row r="502">
      <x:c r="A502" s="46"/>
      <x:c r="B502" s="46"/>
      <x:c r="C502" s="46"/>
      <x:c r="D502" s="46"/>
      <x:c r="E502" s="46"/>
      <x:c r="F502" s="46"/>
      <x:c r="G502" s="46"/>
      <x:c r="H502" s="46"/>
      <x:c r="I502" s="46"/>
      <x:c r="J502" s="46"/>
      <x:c r="K502" s="46"/>
      <x:c r="L502" s="46"/>
      <x:c r="M502" s="46"/>
      <x:c r="N502" s="46"/>
      <x:c r="O502" s="46"/>
      <x:c r="P502" s="46"/>
      <x:c r="Q502" s="46"/>
      <x:c r="R502" s="46"/>
      <x:c r="S502" s="46"/>
      <x:c r="T502" s="46"/>
      <x:c r="U502" s="46"/>
      <x:c r="V502" s="46"/>
      <x:c r="W502" s="46"/>
    </x:row>
    <x:row r="503">
      <x:c r="A503" s="46"/>
      <x:c r="B503" s="46"/>
      <x:c r="C503" s="46"/>
      <x:c r="D503" s="46"/>
      <x:c r="E503" s="46"/>
      <x:c r="F503" s="46"/>
      <x:c r="G503" s="46"/>
      <x:c r="H503" s="46"/>
      <x:c r="I503" s="46"/>
      <x:c r="J503" s="46"/>
      <x:c r="K503" s="46"/>
      <x:c r="L503" s="46"/>
      <x:c r="M503" s="46"/>
      <x:c r="N503" s="46"/>
      <x:c r="O503" s="46"/>
      <x:c r="P503" s="46"/>
      <x:c r="Q503" s="46"/>
      <x:c r="R503" s="46"/>
      <x:c r="S503" s="46"/>
      <x:c r="T503" s="46"/>
      <x:c r="U503" s="46"/>
      <x:c r="V503" s="46"/>
      <x:c r="W503" s="46"/>
    </x:row>
    <x:row r="504">
      <x:c r="A504" s="46"/>
      <x:c r="B504" s="46"/>
      <x:c r="C504" s="46"/>
      <x:c r="D504" s="46"/>
      <x:c r="E504" s="46"/>
      <x:c r="F504" s="46"/>
      <x:c r="G504" s="46"/>
      <x:c r="H504" s="46"/>
      <x:c r="I504" s="46"/>
      <x:c r="J504" s="46"/>
      <x:c r="K504" s="46"/>
      <x:c r="L504" s="46"/>
      <x:c r="M504" s="46"/>
      <x:c r="N504" s="46"/>
      <x:c r="O504" s="46"/>
      <x:c r="P504" s="46"/>
      <x:c r="Q504" s="46"/>
      <x:c r="R504" s="46"/>
      <x:c r="S504" s="46"/>
      <x:c r="T504" s="46"/>
      <x:c r="U504" s="46"/>
      <x:c r="V504" s="46"/>
      <x:c r="W504" s="46"/>
    </x:row>
    <x:row r="505">
      <x:c r="A505" s="46"/>
      <x:c r="B505" s="46"/>
      <x:c r="C505" s="46"/>
      <x:c r="D505" s="46"/>
      <x:c r="E505" s="46"/>
      <x:c r="F505" s="46"/>
      <x:c r="G505" s="46"/>
      <x:c r="H505" s="46"/>
      <x:c r="I505" s="46"/>
      <x:c r="J505" s="46"/>
      <x:c r="K505" s="46"/>
      <x:c r="L505" s="46"/>
      <x:c r="M505" s="46"/>
      <x:c r="N505" s="46"/>
      <x:c r="O505" s="46"/>
      <x:c r="P505" s="46"/>
      <x:c r="Q505" s="46"/>
      <x:c r="R505" s="46"/>
      <x:c r="S505" s="46"/>
      <x:c r="T505" s="46"/>
      <x:c r="U505" s="46"/>
      <x:c r="V505" s="46"/>
      <x:c r="W505" s="46"/>
    </x:row>
    <x:row r="506">
      <x:c r="A506" s="46"/>
      <x:c r="B506" s="46"/>
      <x:c r="C506" s="46"/>
      <x:c r="D506" s="46"/>
      <x:c r="E506" s="46"/>
      <x:c r="F506" s="46"/>
      <x:c r="G506" s="46"/>
      <x:c r="H506" s="46"/>
      <x:c r="I506" s="46"/>
      <x:c r="J506" s="46"/>
      <x:c r="K506" s="46"/>
      <x:c r="L506" s="46"/>
      <x:c r="M506" s="46"/>
      <x:c r="N506" s="46"/>
      <x:c r="O506" s="46"/>
      <x:c r="P506" s="46"/>
      <x:c r="Q506" s="46"/>
      <x:c r="R506" s="46"/>
      <x:c r="S506" s="46"/>
      <x:c r="T506" s="46"/>
      <x:c r="U506" s="46"/>
      <x:c r="V506" s="46"/>
      <x:c r="W506" s="46"/>
    </x:row>
    <x:row r="507">
      <x:c r="A507" s="46"/>
      <x:c r="B507" s="46"/>
      <x:c r="C507" s="46"/>
      <x:c r="D507" s="46"/>
      <x:c r="E507" s="46"/>
      <x:c r="F507" s="46"/>
      <x:c r="G507" s="46"/>
      <x:c r="H507" s="46"/>
      <x:c r="I507" s="46"/>
      <x:c r="J507" s="46"/>
      <x:c r="K507" s="46"/>
      <x:c r="L507" s="46"/>
      <x:c r="M507" s="46"/>
      <x:c r="N507" s="46"/>
      <x:c r="O507" s="46"/>
      <x:c r="P507" s="46"/>
      <x:c r="Q507" s="46"/>
      <x:c r="R507" s="46"/>
      <x:c r="S507" s="46"/>
      <x:c r="T507" s="46"/>
      <x:c r="U507" s="46"/>
      <x:c r="V507" s="46"/>
      <x:c r="W507" s="46"/>
    </x:row>
    <x:row r="508">
      <x:c r="A508" s="46"/>
      <x:c r="B508" s="46"/>
      <x:c r="C508" s="46"/>
      <x:c r="D508" s="46"/>
      <x:c r="E508" s="46"/>
      <x:c r="F508" s="46"/>
      <x:c r="G508" s="46"/>
      <x:c r="H508" s="46"/>
      <x:c r="I508" s="46"/>
      <x:c r="J508" s="46"/>
      <x:c r="K508" s="46"/>
      <x:c r="L508" s="46"/>
      <x:c r="M508" s="46"/>
      <x:c r="N508" s="46"/>
      <x:c r="O508" s="46"/>
      <x:c r="P508" s="46"/>
      <x:c r="Q508" s="46"/>
      <x:c r="R508" s="46"/>
      <x:c r="S508" s="46"/>
      <x:c r="T508" s="46"/>
      <x:c r="U508" s="46"/>
      <x:c r="V508" s="46"/>
      <x:c r="W508" s="46"/>
    </x:row>
    <x:row r="509">
      <x:c r="A509" s="46"/>
      <x:c r="B509" s="46"/>
      <x:c r="C509" s="46"/>
      <x:c r="D509" s="46"/>
      <x:c r="E509" s="46"/>
      <x:c r="F509" s="46"/>
      <x:c r="G509" s="46"/>
      <x:c r="H509" s="46"/>
      <x:c r="I509" s="46"/>
      <x:c r="J509" s="46"/>
      <x:c r="K509" s="46"/>
      <x:c r="L509" s="46"/>
      <x:c r="M509" s="46"/>
      <x:c r="N509" s="46"/>
      <x:c r="O509" s="46"/>
      <x:c r="P509" s="46"/>
      <x:c r="Q509" s="46"/>
      <x:c r="R509" s="46"/>
      <x:c r="S509" s="46"/>
      <x:c r="T509" s="46"/>
      <x:c r="U509" s="46"/>
      <x:c r="V509" s="46"/>
      <x:c r="W509" s="46"/>
    </x:row>
    <x:row r="510">
      <x:c r="A510" s="46"/>
      <x:c r="B510" s="46"/>
      <x:c r="C510" s="46"/>
      <x:c r="D510" s="46"/>
      <x:c r="E510" s="46"/>
      <x:c r="F510" s="46"/>
      <x:c r="G510" s="46"/>
      <x:c r="H510" s="46"/>
      <x:c r="I510" s="46"/>
      <x:c r="J510" s="46"/>
      <x:c r="K510" s="46"/>
      <x:c r="L510" s="46"/>
      <x:c r="M510" s="46"/>
      <x:c r="N510" s="46"/>
      <x:c r="O510" s="46"/>
      <x:c r="P510" s="46"/>
      <x:c r="Q510" s="46"/>
      <x:c r="R510" s="46"/>
      <x:c r="S510" s="46"/>
      <x:c r="T510" s="46"/>
      <x:c r="U510" s="46"/>
      <x:c r="V510" s="46"/>
      <x:c r="W510" s="46"/>
    </x:row>
    <x:row r="511">
      <x:c r="A511" s="46"/>
      <x:c r="B511" s="46"/>
      <x:c r="C511" s="46"/>
      <x:c r="D511" s="46"/>
      <x:c r="E511" s="46"/>
      <x:c r="F511" s="46"/>
      <x:c r="G511" s="46"/>
      <x:c r="H511" s="46"/>
      <x:c r="I511" s="46"/>
      <x:c r="J511" s="46"/>
      <x:c r="K511" s="46"/>
      <x:c r="L511" s="46"/>
      <x:c r="M511" s="46"/>
      <x:c r="N511" s="46"/>
      <x:c r="O511" s="46"/>
      <x:c r="P511" s="46"/>
      <x:c r="Q511" s="46"/>
      <x:c r="R511" s="46"/>
      <x:c r="S511" s="46"/>
      <x:c r="T511" s="46"/>
      <x:c r="U511" s="46"/>
      <x:c r="V511" s="46"/>
      <x:c r="W511" s="46"/>
    </x:row>
    <x:row r="512">
      <x:c r="A512" s="46"/>
      <x:c r="B512" s="46"/>
      <x:c r="C512" s="46"/>
      <x:c r="D512" s="46"/>
      <x:c r="E512" s="46"/>
      <x:c r="F512" s="46"/>
      <x:c r="G512" s="46"/>
      <x:c r="H512" s="46"/>
      <x:c r="I512" s="46"/>
      <x:c r="J512" s="46"/>
      <x:c r="K512" s="46"/>
      <x:c r="L512" s="46"/>
      <x:c r="M512" s="46"/>
      <x:c r="N512" s="46"/>
      <x:c r="O512" s="46"/>
      <x:c r="P512" s="46"/>
      <x:c r="Q512" s="46"/>
      <x:c r="R512" s="46"/>
      <x:c r="S512" s="46"/>
      <x:c r="T512" s="46"/>
      <x:c r="U512" s="46"/>
      <x:c r="V512" s="46"/>
      <x:c r="W512" s="46"/>
    </x:row>
    <x:row r="513">
      <x:c r="A513" s="46"/>
      <x:c r="B513" s="46"/>
      <x:c r="C513" s="46"/>
      <x:c r="D513" s="46"/>
      <x:c r="E513" s="46"/>
      <x:c r="F513" s="46"/>
      <x:c r="G513" s="46"/>
      <x:c r="H513" s="46"/>
      <x:c r="I513" s="46"/>
      <x:c r="J513" s="46"/>
      <x:c r="K513" s="46"/>
      <x:c r="L513" s="46"/>
      <x:c r="M513" s="46"/>
      <x:c r="N513" s="46"/>
      <x:c r="O513" s="46"/>
      <x:c r="P513" s="46"/>
      <x:c r="Q513" s="46"/>
      <x:c r="R513" s="46"/>
      <x:c r="S513" s="46"/>
      <x:c r="T513" s="46"/>
      <x:c r="U513" s="46"/>
      <x:c r="V513" s="46"/>
      <x:c r="W513" s="46"/>
    </x:row>
    <x:row r="514">
      <x:c r="A514" s="46"/>
      <x:c r="B514" s="46"/>
      <x:c r="C514" s="46"/>
      <x:c r="D514" s="46"/>
      <x:c r="E514" s="46"/>
      <x:c r="F514" s="46"/>
      <x:c r="G514" s="46"/>
      <x:c r="H514" s="46"/>
      <x:c r="I514" s="46"/>
      <x:c r="J514" s="46"/>
      <x:c r="K514" s="46"/>
      <x:c r="L514" s="46"/>
      <x:c r="M514" s="46"/>
      <x:c r="N514" s="46"/>
      <x:c r="O514" s="46"/>
      <x:c r="P514" s="46"/>
      <x:c r="Q514" s="46"/>
      <x:c r="R514" s="46"/>
      <x:c r="S514" s="46"/>
      <x:c r="T514" s="46"/>
      <x:c r="U514" s="46"/>
      <x:c r="V514" s="46"/>
      <x:c r="W514" s="46"/>
    </x:row>
    <x:row r="515">
      <x:c r="A515" s="46"/>
      <x:c r="B515" s="46"/>
      <x:c r="C515" s="46"/>
      <x:c r="D515" s="46"/>
      <x:c r="E515" s="46"/>
      <x:c r="F515" s="46"/>
      <x:c r="G515" s="46"/>
      <x:c r="H515" s="46"/>
      <x:c r="I515" s="46"/>
      <x:c r="J515" s="46"/>
      <x:c r="K515" s="46"/>
      <x:c r="L515" s="46"/>
      <x:c r="M515" s="46"/>
      <x:c r="N515" s="46"/>
      <x:c r="O515" s="46"/>
      <x:c r="P515" s="46"/>
      <x:c r="Q515" s="46"/>
      <x:c r="R515" s="46"/>
      <x:c r="S515" s="46"/>
      <x:c r="T515" s="46"/>
      <x:c r="U515" s="46"/>
      <x:c r="V515" s="46"/>
      <x:c r="W515" s="46"/>
    </x:row>
    <x:row r="516">
      <x:c r="A516" s="46"/>
      <x:c r="B516" s="46"/>
      <x:c r="C516" s="46"/>
      <x:c r="D516" s="46"/>
      <x:c r="E516" s="46"/>
      <x:c r="F516" s="46"/>
      <x:c r="G516" s="46"/>
      <x:c r="H516" s="46"/>
      <x:c r="I516" s="46"/>
      <x:c r="J516" s="46"/>
      <x:c r="K516" s="46"/>
      <x:c r="L516" s="46"/>
      <x:c r="M516" s="46"/>
      <x:c r="N516" s="46"/>
      <x:c r="O516" s="46"/>
      <x:c r="P516" s="46"/>
      <x:c r="Q516" s="46"/>
      <x:c r="R516" s="46"/>
      <x:c r="S516" s="46"/>
      <x:c r="T516" s="46"/>
      <x:c r="U516" s="46"/>
      <x:c r="V516" s="46"/>
      <x:c r="W516" s="46"/>
    </x:row>
    <x:row r="517">
      <x:c r="A517" s="46"/>
      <x:c r="B517" s="46"/>
      <x:c r="C517" s="46"/>
      <x:c r="D517" s="46"/>
      <x:c r="E517" s="46"/>
      <x:c r="F517" s="46"/>
      <x:c r="G517" s="46"/>
      <x:c r="H517" s="46"/>
      <x:c r="I517" s="46"/>
      <x:c r="J517" s="46"/>
      <x:c r="K517" s="46"/>
      <x:c r="L517" s="46"/>
      <x:c r="M517" s="46"/>
      <x:c r="N517" s="46"/>
      <x:c r="O517" s="46"/>
      <x:c r="P517" s="46"/>
      <x:c r="Q517" s="46"/>
      <x:c r="R517" s="46"/>
      <x:c r="S517" s="46"/>
      <x:c r="T517" s="46"/>
      <x:c r="U517" s="46"/>
      <x:c r="V517" s="46"/>
      <x:c r="W517" s="46"/>
    </x:row>
    <x:row r="518">
      <x:c r="A518" s="46"/>
      <x:c r="B518" s="46"/>
      <x:c r="C518" s="46"/>
      <x:c r="D518" s="46"/>
      <x:c r="E518" s="46"/>
      <x:c r="F518" s="46"/>
      <x:c r="G518" s="46"/>
      <x:c r="H518" s="46"/>
      <x:c r="I518" s="46"/>
      <x:c r="J518" s="46"/>
      <x:c r="K518" s="46"/>
      <x:c r="L518" s="46"/>
      <x:c r="M518" s="46"/>
      <x:c r="N518" s="46"/>
      <x:c r="O518" s="46"/>
      <x:c r="P518" s="46"/>
      <x:c r="Q518" s="46"/>
      <x:c r="R518" s="46"/>
      <x:c r="S518" s="46"/>
      <x:c r="T518" s="46"/>
      <x:c r="U518" s="46"/>
      <x:c r="V518" s="46"/>
      <x:c r="W518" s="46"/>
    </x:row>
    <x:row r="519">
      <x:c r="A519" s="46"/>
      <x:c r="B519" s="46"/>
      <x:c r="C519" s="46"/>
      <x:c r="D519" s="46"/>
      <x:c r="E519" s="46"/>
      <x:c r="F519" s="46"/>
      <x:c r="G519" s="46"/>
      <x:c r="H519" s="46"/>
      <x:c r="I519" s="46"/>
      <x:c r="J519" s="46"/>
      <x:c r="K519" s="46"/>
      <x:c r="L519" s="46"/>
      <x:c r="M519" s="46"/>
      <x:c r="N519" s="46"/>
      <x:c r="O519" s="46"/>
      <x:c r="P519" s="46"/>
      <x:c r="Q519" s="46"/>
      <x:c r="R519" s="46"/>
      <x:c r="S519" s="46"/>
      <x:c r="T519" s="46"/>
      <x:c r="U519" s="46"/>
      <x:c r="V519" s="46"/>
      <x:c r="W519" s="46"/>
    </x:row>
    <x:row r="520">
      <x:c r="A520" s="46"/>
      <x:c r="B520" s="46"/>
      <x:c r="C520" s="46"/>
      <x:c r="D520" s="46"/>
      <x:c r="E520" s="46"/>
      <x:c r="F520" s="46"/>
      <x:c r="G520" s="46"/>
      <x:c r="H520" s="46"/>
      <x:c r="I520" s="46"/>
      <x:c r="J520" s="46"/>
      <x:c r="K520" s="46"/>
      <x:c r="L520" s="46"/>
      <x:c r="M520" s="46"/>
      <x:c r="N520" s="46"/>
      <x:c r="O520" s="46"/>
      <x:c r="P520" s="46"/>
      <x:c r="Q520" s="46"/>
      <x:c r="R520" s="46"/>
      <x:c r="S520" s="46"/>
      <x:c r="T520" s="46"/>
      <x:c r="U520" s="46"/>
      <x:c r="V520" s="46"/>
      <x:c r="W520" s="46"/>
    </x:row>
    <x:row r="521">
      <x:c r="A521" s="46"/>
      <x:c r="B521" s="46"/>
      <x:c r="C521" s="46"/>
      <x:c r="D521" s="46"/>
      <x:c r="E521" s="46"/>
      <x:c r="F521" s="46"/>
      <x:c r="G521" s="46"/>
      <x:c r="H521" s="46"/>
      <x:c r="I521" s="46"/>
      <x:c r="J521" s="46"/>
      <x:c r="K521" s="46"/>
      <x:c r="L521" s="46"/>
      <x:c r="M521" s="46"/>
      <x:c r="N521" s="46"/>
      <x:c r="O521" s="46"/>
      <x:c r="P521" s="46"/>
      <x:c r="Q521" s="46"/>
      <x:c r="R521" s="46"/>
      <x:c r="S521" s="46"/>
      <x:c r="T521" s="46"/>
      <x:c r="U521" s="46"/>
      <x:c r="V521" s="46"/>
      <x:c r="W521" s="46"/>
    </x:row>
    <x:row r="522">
      <x:c r="A522" s="46"/>
      <x:c r="B522" s="46"/>
      <x:c r="C522" s="46"/>
      <x:c r="D522" s="46"/>
      <x:c r="E522" s="46"/>
      <x:c r="F522" s="46"/>
      <x:c r="G522" s="46"/>
      <x:c r="H522" s="46"/>
      <x:c r="I522" s="46"/>
      <x:c r="J522" s="46"/>
      <x:c r="K522" s="46"/>
      <x:c r="L522" s="46"/>
      <x:c r="M522" s="46"/>
      <x:c r="N522" s="46"/>
      <x:c r="O522" s="46"/>
      <x:c r="P522" s="46"/>
      <x:c r="Q522" s="46"/>
      <x:c r="R522" s="46"/>
      <x:c r="S522" s="46"/>
      <x:c r="T522" s="46"/>
      <x:c r="U522" s="46"/>
      <x:c r="V522" s="46"/>
      <x:c r="W522" s="46"/>
    </x:row>
    <x:row r="523">
      <x:c r="A523" s="46"/>
      <x:c r="B523" s="46"/>
      <x:c r="C523" s="46"/>
      <x:c r="D523" s="46"/>
      <x:c r="E523" s="46"/>
      <x:c r="F523" s="46"/>
      <x:c r="G523" s="46"/>
      <x:c r="H523" s="46"/>
      <x:c r="I523" s="46"/>
      <x:c r="J523" s="46"/>
      <x:c r="K523" s="46"/>
      <x:c r="L523" s="46"/>
      <x:c r="M523" s="46"/>
      <x:c r="N523" s="46"/>
      <x:c r="O523" s="46"/>
      <x:c r="P523" s="46"/>
      <x:c r="Q523" s="46"/>
      <x:c r="R523" s="46"/>
      <x:c r="S523" s="46"/>
      <x:c r="T523" s="46"/>
      <x:c r="U523" s="46"/>
      <x:c r="V523" s="46"/>
      <x:c r="W523" s="46"/>
    </x:row>
    <x:row r="524">
      <x:c r="A524" s="46"/>
      <x:c r="B524" s="46"/>
      <x:c r="C524" s="46"/>
      <x:c r="D524" s="46"/>
      <x:c r="E524" s="46"/>
      <x:c r="F524" s="46"/>
      <x:c r="G524" s="46"/>
      <x:c r="H524" s="46"/>
      <x:c r="I524" s="46"/>
      <x:c r="J524" s="46"/>
      <x:c r="K524" s="46"/>
      <x:c r="L524" s="46"/>
      <x:c r="M524" s="46"/>
      <x:c r="N524" s="46"/>
      <x:c r="O524" s="46"/>
      <x:c r="P524" s="46"/>
      <x:c r="Q524" s="46"/>
      <x:c r="R524" s="46"/>
      <x:c r="S524" s="46"/>
      <x:c r="T524" s="46"/>
      <x:c r="U524" s="46"/>
      <x:c r="V524" s="46"/>
      <x:c r="W524" s="46"/>
    </x:row>
    <x:row r="525">
      <x:c r="A525" s="46"/>
      <x:c r="B525" s="46"/>
      <x:c r="C525" s="46"/>
      <x:c r="D525" s="46"/>
      <x:c r="E525" s="46"/>
      <x:c r="F525" s="46"/>
      <x:c r="G525" s="46"/>
      <x:c r="H525" s="46"/>
      <x:c r="I525" s="46"/>
      <x:c r="J525" s="46"/>
      <x:c r="K525" s="46"/>
      <x:c r="L525" s="46"/>
      <x:c r="M525" s="46"/>
      <x:c r="N525" s="46"/>
      <x:c r="O525" s="46"/>
      <x:c r="P525" s="46"/>
      <x:c r="Q525" s="46"/>
      <x:c r="R525" s="46"/>
      <x:c r="S525" s="46"/>
      <x:c r="T525" s="46"/>
      <x:c r="U525" s="46"/>
      <x:c r="V525" s="46"/>
      <x:c r="W525" s="46"/>
    </x:row>
    <x:row r="526">
      <x:c r="A526" s="46"/>
      <x:c r="B526" s="46"/>
      <x:c r="C526" s="46"/>
      <x:c r="D526" s="46"/>
      <x:c r="E526" s="46"/>
      <x:c r="F526" s="46"/>
      <x:c r="G526" s="46"/>
      <x:c r="H526" s="46"/>
      <x:c r="I526" s="46"/>
      <x:c r="J526" s="46"/>
      <x:c r="K526" s="46"/>
      <x:c r="L526" s="46"/>
      <x:c r="M526" s="46"/>
      <x:c r="N526" s="46"/>
      <x:c r="O526" s="46"/>
      <x:c r="P526" s="46"/>
      <x:c r="Q526" s="46"/>
      <x:c r="R526" s="46"/>
      <x:c r="S526" s="46"/>
      <x:c r="T526" s="46"/>
      <x:c r="U526" s="46"/>
      <x:c r="V526" s="46"/>
      <x:c r="W526" s="46"/>
    </x:row>
    <x:row r="527">
      <x:c r="A527" s="46"/>
      <x:c r="B527" s="46"/>
      <x:c r="C527" s="46"/>
      <x:c r="D527" s="46"/>
      <x:c r="E527" s="46"/>
      <x:c r="F527" s="46"/>
      <x:c r="G527" s="46"/>
      <x:c r="H527" s="46"/>
      <x:c r="I527" s="46"/>
      <x:c r="J527" s="46"/>
      <x:c r="K527" s="46"/>
      <x:c r="L527" s="46"/>
      <x:c r="M527" s="46"/>
      <x:c r="N527" s="46"/>
      <x:c r="O527" s="46"/>
      <x:c r="P527" s="46"/>
      <x:c r="Q527" s="46"/>
      <x:c r="R527" s="46"/>
      <x:c r="S527" s="46"/>
      <x:c r="T527" s="46"/>
      <x:c r="U527" s="46"/>
      <x:c r="V527" s="46"/>
      <x:c r="W527" s="46"/>
    </x:row>
    <x:row r="528">
      <x:c r="A528" s="46"/>
      <x:c r="B528" s="46"/>
      <x:c r="C528" s="46"/>
      <x:c r="D528" s="46"/>
      <x:c r="E528" s="46"/>
      <x:c r="F528" s="46"/>
      <x:c r="G528" s="46"/>
      <x:c r="H528" s="46"/>
      <x:c r="I528" s="46"/>
      <x:c r="J528" s="46"/>
      <x:c r="K528" s="46"/>
      <x:c r="L528" s="46"/>
      <x:c r="M528" s="46"/>
      <x:c r="N528" s="46"/>
      <x:c r="O528" s="46"/>
      <x:c r="P528" s="46"/>
      <x:c r="Q528" s="46"/>
      <x:c r="R528" s="46"/>
      <x:c r="S528" s="46"/>
      <x:c r="T528" s="46"/>
      <x:c r="U528" s="46"/>
      <x:c r="V528" s="46"/>
      <x:c r="W528" s="46"/>
    </x:row>
    <x:row r="529">
      <x:c r="A529" s="46"/>
      <x:c r="B529" s="46"/>
      <x:c r="C529" s="46"/>
      <x:c r="D529" s="46"/>
      <x:c r="E529" s="46"/>
      <x:c r="F529" s="46"/>
      <x:c r="G529" s="46"/>
      <x:c r="H529" s="46"/>
      <x:c r="I529" s="46"/>
      <x:c r="J529" s="46"/>
      <x:c r="K529" s="46"/>
      <x:c r="L529" s="46"/>
      <x:c r="M529" s="46"/>
      <x:c r="N529" s="46"/>
      <x:c r="O529" s="46"/>
      <x:c r="P529" s="46"/>
      <x:c r="Q529" s="46"/>
      <x:c r="R529" s="46"/>
      <x:c r="S529" s="46"/>
      <x:c r="T529" s="46"/>
      <x:c r="U529" s="46"/>
      <x:c r="V529" s="46"/>
      <x:c r="W529" s="46"/>
    </x:row>
    <x:row r="530">
      <x:c r="A530" s="46"/>
      <x:c r="B530" s="46"/>
      <x:c r="C530" s="46"/>
      <x:c r="D530" s="46"/>
      <x:c r="E530" s="46"/>
      <x:c r="F530" s="46"/>
      <x:c r="G530" s="46"/>
      <x:c r="H530" s="46"/>
      <x:c r="I530" s="46"/>
      <x:c r="J530" s="46"/>
      <x:c r="K530" s="46"/>
      <x:c r="L530" s="46"/>
      <x:c r="M530" s="46"/>
      <x:c r="N530" s="46"/>
      <x:c r="O530" s="46"/>
      <x:c r="P530" s="46"/>
      <x:c r="Q530" s="46"/>
      <x:c r="R530" s="46"/>
      <x:c r="S530" s="46"/>
      <x:c r="T530" s="46"/>
      <x:c r="U530" s="46"/>
      <x:c r="V530" s="46"/>
      <x:c r="W530" s="46"/>
    </x:row>
    <x:row r="531">
      <x:c r="A531" s="46"/>
      <x:c r="B531" s="46"/>
      <x:c r="C531" s="46"/>
      <x:c r="D531" s="46"/>
      <x:c r="E531" s="46"/>
      <x:c r="F531" s="46"/>
      <x:c r="G531" s="46"/>
      <x:c r="H531" s="46"/>
      <x:c r="I531" s="46"/>
      <x:c r="J531" s="46"/>
      <x:c r="K531" s="46"/>
      <x:c r="L531" s="46"/>
      <x:c r="M531" s="46"/>
      <x:c r="N531" s="46"/>
      <x:c r="O531" s="46"/>
      <x:c r="P531" s="46"/>
      <x:c r="Q531" s="46"/>
      <x:c r="R531" s="46"/>
      <x:c r="S531" s="46"/>
      <x:c r="T531" s="46"/>
      <x:c r="U531" s="46"/>
      <x:c r="V531" s="46"/>
      <x:c r="W531" s="46"/>
    </x:row>
    <x:row r="532">
      <x:c r="A532" s="46"/>
      <x:c r="B532" s="46"/>
      <x:c r="C532" s="46"/>
      <x:c r="D532" s="46"/>
      <x:c r="E532" s="46"/>
      <x:c r="F532" s="46"/>
      <x:c r="G532" s="46"/>
      <x:c r="H532" s="46"/>
      <x:c r="I532" s="46"/>
      <x:c r="J532" s="46"/>
      <x:c r="K532" s="46"/>
      <x:c r="L532" s="46"/>
      <x:c r="M532" s="46"/>
      <x:c r="N532" s="46"/>
      <x:c r="O532" s="46"/>
      <x:c r="P532" s="46"/>
      <x:c r="Q532" s="46"/>
      <x:c r="R532" s="46"/>
      <x:c r="S532" s="46"/>
      <x:c r="T532" s="46"/>
      <x:c r="U532" s="46"/>
      <x:c r="V532" s="46"/>
      <x:c r="W532" s="46"/>
    </x:row>
    <x:row r="533">
      <x:c r="A533" s="46"/>
      <x:c r="B533" s="46"/>
      <x:c r="C533" s="46"/>
      <x:c r="D533" s="46"/>
      <x:c r="E533" s="46"/>
      <x:c r="F533" s="46"/>
      <x:c r="G533" s="46"/>
      <x:c r="H533" s="46"/>
      <x:c r="I533" s="46"/>
      <x:c r="J533" s="46"/>
      <x:c r="K533" s="46"/>
      <x:c r="L533" s="46"/>
      <x:c r="M533" s="46"/>
      <x:c r="N533" s="46"/>
      <x:c r="O533" s="46"/>
      <x:c r="P533" s="46"/>
      <x:c r="Q533" s="46"/>
      <x:c r="R533" s="46"/>
      <x:c r="S533" s="46"/>
      <x:c r="T533" s="46"/>
      <x:c r="U533" s="46"/>
      <x:c r="V533" s="46"/>
      <x:c r="W533" s="46"/>
    </x:row>
    <x:row r="534">
      <x:c r="A534" s="46"/>
      <x:c r="B534" s="46"/>
      <x:c r="C534" s="46"/>
      <x:c r="D534" s="46"/>
      <x:c r="E534" s="46"/>
      <x:c r="F534" s="46"/>
      <x:c r="G534" s="46"/>
      <x:c r="H534" s="46"/>
      <x:c r="I534" s="46"/>
      <x:c r="J534" s="46"/>
      <x:c r="K534" s="46"/>
      <x:c r="L534" s="46"/>
      <x:c r="M534" s="46"/>
      <x:c r="N534" s="46"/>
      <x:c r="O534" s="46"/>
      <x:c r="P534" s="46"/>
      <x:c r="Q534" s="46"/>
      <x:c r="R534" s="46"/>
      <x:c r="S534" s="46"/>
      <x:c r="T534" s="46"/>
      <x:c r="U534" s="46"/>
      <x:c r="V534" s="46"/>
      <x:c r="W534" s="46"/>
    </x:row>
    <x:row r="535">
      <x:c r="A535" s="46"/>
      <x:c r="B535" s="46"/>
      <x:c r="C535" s="46"/>
      <x:c r="D535" s="46"/>
      <x:c r="E535" s="46"/>
      <x:c r="F535" s="46"/>
      <x:c r="G535" s="46"/>
      <x:c r="H535" s="46"/>
      <x:c r="I535" s="46"/>
      <x:c r="J535" s="46"/>
      <x:c r="K535" s="46"/>
      <x:c r="L535" s="46"/>
      <x:c r="M535" s="46"/>
      <x:c r="N535" s="46"/>
      <x:c r="O535" s="46"/>
      <x:c r="P535" s="46"/>
      <x:c r="Q535" s="46"/>
      <x:c r="R535" s="46"/>
      <x:c r="S535" s="46"/>
      <x:c r="T535" s="46"/>
      <x:c r="U535" s="46"/>
      <x:c r="V535" s="46"/>
      <x:c r="W535" s="46"/>
    </x:row>
    <x:row r="536">
      <x:c r="A536" s="46"/>
      <x:c r="B536" s="46"/>
      <x:c r="C536" s="46"/>
      <x:c r="D536" s="46"/>
      <x:c r="E536" s="46"/>
      <x:c r="F536" s="46"/>
      <x:c r="G536" s="46"/>
      <x:c r="H536" s="46"/>
      <x:c r="I536" s="46"/>
      <x:c r="J536" s="46"/>
      <x:c r="K536" s="46"/>
      <x:c r="L536" s="46"/>
      <x:c r="M536" s="46"/>
      <x:c r="N536" s="46"/>
      <x:c r="O536" s="46"/>
      <x:c r="P536" s="46"/>
      <x:c r="Q536" s="46"/>
      <x:c r="R536" s="46"/>
      <x:c r="S536" s="46"/>
      <x:c r="T536" s="46"/>
      <x:c r="U536" s="46"/>
      <x:c r="V536" s="46"/>
      <x:c r="W536" s="46"/>
    </x:row>
    <x:row r="537">
      <x:c r="A537" s="46"/>
      <x:c r="B537" s="46"/>
      <x:c r="C537" s="46"/>
      <x:c r="D537" s="46"/>
      <x:c r="E537" s="46"/>
      <x:c r="F537" s="46"/>
      <x:c r="G537" s="46"/>
      <x:c r="H537" s="46"/>
      <x:c r="I537" s="46"/>
      <x:c r="J537" s="46"/>
      <x:c r="K537" s="46"/>
      <x:c r="L537" s="46"/>
      <x:c r="M537" s="46"/>
      <x:c r="N537" s="46"/>
      <x:c r="O537" s="46"/>
      <x:c r="P537" s="46"/>
      <x:c r="Q537" s="46"/>
      <x:c r="R537" s="46"/>
      <x:c r="S537" s="46"/>
      <x:c r="T537" s="46"/>
      <x:c r="U537" s="46"/>
      <x:c r="V537" s="46"/>
      <x:c r="W537" s="46"/>
    </x:row>
    <x:row r="538">
      <x:c r="A538" s="46"/>
      <x:c r="B538" s="46"/>
      <x:c r="C538" s="46"/>
      <x:c r="D538" s="46"/>
      <x:c r="E538" s="46"/>
      <x:c r="F538" s="46"/>
      <x:c r="G538" s="46"/>
      <x:c r="H538" s="46"/>
      <x:c r="I538" s="46"/>
      <x:c r="J538" s="46"/>
      <x:c r="K538" s="46"/>
      <x:c r="L538" s="46"/>
      <x:c r="M538" s="46"/>
      <x:c r="N538" s="46"/>
      <x:c r="O538" s="46"/>
      <x:c r="P538" s="46"/>
      <x:c r="Q538" s="46"/>
      <x:c r="R538" s="46"/>
      <x:c r="S538" s="46"/>
      <x:c r="T538" s="46"/>
      <x:c r="U538" s="46"/>
      <x:c r="V538" s="46"/>
      <x:c r="W538" s="46"/>
    </x:row>
    <x:row r="539">
      <x:c r="A539" s="46"/>
      <x:c r="B539" s="46"/>
      <x:c r="C539" s="46"/>
      <x:c r="D539" s="46"/>
      <x:c r="E539" s="46"/>
      <x:c r="F539" s="46"/>
      <x:c r="G539" s="46"/>
      <x:c r="H539" s="46"/>
      <x:c r="I539" s="46"/>
      <x:c r="J539" s="46"/>
      <x:c r="K539" s="46"/>
      <x:c r="L539" s="46"/>
      <x:c r="M539" s="46"/>
      <x:c r="N539" s="46"/>
      <x:c r="O539" s="46"/>
      <x:c r="P539" s="46"/>
      <x:c r="Q539" s="46"/>
      <x:c r="R539" s="46"/>
      <x:c r="S539" s="46"/>
      <x:c r="T539" s="46"/>
      <x:c r="U539" s="46"/>
      <x:c r="V539" s="46"/>
      <x:c r="W539" s="46"/>
    </x:row>
    <x:row r="540">
      <x:c r="A540" s="46"/>
      <x:c r="B540" s="46"/>
      <x:c r="C540" s="46"/>
      <x:c r="D540" s="46"/>
      <x:c r="E540" s="46"/>
      <x:c r="F540" s="46"/>
      <x:c r="G540" s="46"/>
      <x:c r="H540" s="46"/>
      <x:c r="I540" s="46"/>
      <x:c r="J540" s="46"/>
      <x:c r="K540" s="46"/>
      <x:c r="L540" s="46"/>
      <x:c r="M540" s="46"/>
      <x:c r="N540" s="46"/>
      <x:c r="O540" s="46"/>
      <x:c r="P540" s="46"/>
      <x:c r="Q540" s="46"/>
      <x:c r="R540" s="46"/>
      <x:c r="S540" s="46"/>
      <x:c r="T540" s="46"/>
      <x:c r="U540" s="46"/>
      <x:c r="V540" s="46"/>
      <x:c r="W540" s="46"/>
    </x:row>
    <x:row r="541">
      <x:c r="A541" s="46"/>
      <x:c r="B541" s="46"/>
      <x:c r="C541" s="46"/>
      <x:c r="D541" s="46"/>
      <x:c r="E541" s="46"/>
      <x:c r="F541" s="46"/>
      <x:c r="G541" s="46"/>
      <x:c r="H541" s="46"/>
      <x:c r="I541" s="46"/>
      <x:c r="J541" s="46"/>
      <x:c r="K541" s="46"/>
      <x:c r="L541" s="46"/>
      <x:c r="M541" s="46"/>
      <x:c r="N541" s="46"/>
      <x:c r="O541" s="46"/>
      <x:c r="P541" s="46"/>
      <x:c r="Q541" s="46"/>
      <x:c r="R541" s="46"/>
      <x:c r="S541" s="46"/>
      <x:c r="T541" s="46"/>
      <x:c r="U541" s="46"/>
      <x:c r="V541" s="46"/>
      <x:c r="W541" s="46"/>
    </x:row>
    <x:row r="542">
      <x:c r="A542" s="46"/>
      <x:c r="B542" s="46"/>
      <x:c r="C542" s="46"/>
      <x:c r="D542" s="46"/>
      <x:c r="E542" s="46"/>
      <x:c r="F542" s="46"/>
      <x:c r="G542" s="46"/>
      <x:c r="H542" s="46"/>
      <x:c r="I542" s="46"/>
      <x:c r="J542" s="46"/>
      <x:c r="K542" s="46"/>
      <x:c r="L542" s="46"/>
      <x:c r="M542" s="46"/>
      <x:c r="N542" s="46"/>
      <x:c r="O542" s="46"/>
      <x:c r="P542" s="46"/>
      <x:c r="Q542" s="46"/>
      <x:c r="R542" s="46"/>
      <x:c r="S542" s="46"/>
      <x:c r="T542" s="46"/>
      <x:c r="U542" s="46"/>
      <x:c r="V542" s="46"/>
      <x:c r="W542" s="46"/>
    </x:row>
    <x:row r="543">
      <x:c r="A543" s="46"/>
      <x:c r="B543" s="46"/>
      <x:c r="C543" s="46"/>
      <x:c r="D543" s="46"/>
      <x:c r="E543" s="46"/>
      <x:c r="F543" s="46"/>
      <x:c r="G543" s="46"/>
      <x:c r="H543" s="46"/>
      <x:c r="I543" s="46"/>
      <x:c r="J543" s="46"/>
      <x:c r="K543" s="46"/>
      <x:c r="L543" s="46"/>
      <x:c r="M543" s="46"/>
      <x:c r="N543" s="46"/>
      <x:c r="O543" s="46"/>
      <x:c r="P543" s="46"/>
      <x:c r="Q543" s="46"/>
      <x:c r="R543" s="46"/>
      <x:c r="S543" s="46"/>
      <x:c r="T543" s="46"/>
      <x:c r="U543" s="46"/>
      <x:c r="V543" s="46"/>
      <x:c r="W543" s="46"/>
    </x:row>
    <x:row r="544">
      <x:c r="A544" s="46"/>
      <x:c r="B544" s="46"/>
      <x:c r="C544" s="46"/>
      <x:c r="D544" s="46"/>
      <x:c r="E544" s="46"/>
      <x:c r="F544" s="46"/>
      <x:c r="G544" s="46"/>
      <x:c r="H544" s="46"/>
      <x:c r="I544" s="46"/>
      <x:c r="J544" s="46"/>
      <x:c r="K544" s="46"/>
      <x:c r="L544" s="46"/>
      <x:c r="M544" s="46"/>
      <x:c r="N544" s="46"/>
      <x:c r="O544" s="46"/>
      <x:c r="P544" s="46"/>
      <x:c r="Q544" s="46"/>
      <x:c r="R544" s="46"/>
      <x:c r="S544" s="46"/>
      <x:c r="T544" s="46"/>
      <x:c r="U544" s="46"/>
      <x:c r="V544" s="46"/>
      <x:c r="W544" s="46"/>
    </x:row>
    <x:row r="545">
      <x:c r="A545" s="46"/>
      <x:c r="B545" s="46"/>
      <x:c r="C545" s="46"/>
      <x:c r="D545" s="46"/>
      <x:c r="E545" s="46"/>
      <x:c r="F545" s="46"/>
      <x:c r="G545" s="46"/>
      <x:c r="H545" s="46"/>
      <x:c r="I545" s="46"/>
      <x:c r="J545" s="46"/>
      <x:c r="K545" s="46"/>
      <x:c r="L545" s="46"/>
      <x:c r="M545" s="46"/>
      <x:c r="N545" s="46"/>
      <x:c r="O545" s="46"/>
      <x:c r="P545" s="46"/>
      <x:c r="Q545" s="46"/>
      <x:c r="R545" s="46"/>
      <x:c r="S545" s="46"/>
      <x:c r="T545" s="46"/>
      <x:c r="U545" s="46"/>
      <x:c r="V545" s="46"/>
      <x:c r="W545" s="46"/>
    </x:row>
    <x:row r="546">
      <x:c r="A546" s="46"/>
      <x:c r="B546" s="46"/>
      <x:c r="C546" s="46"/>
      <x:c r="D546" s="46"/>
      <x:c r="E546" s="46"/>
      <x:c r="F546" s="46"/>
      <x:c r="G546" s="46"/>
      <x:c r="H546" s="46"/>
      <x:c r="I546" s="46"/>
      <x:c r="J546" s="46"/>
      <x:c r="K546" s="46"/>
      <x:c r="L546" s="46"/>
      <x:c r="M546" s="46"/>
      <x:c r="N546" s="46"/>
      <x:c r="O546" s="46"/>
      <x:c r="P546" s="46"/>
      <x:c r="Q546" s="46"/>
      <x:c r="R546" s="46"/>
      <x:c r="S546" s="46"/>
      <x:c r="T546" s="46"/>
      <x:c r="U546" s="46"/>
      <x:c r="V546" s="46"/>
      <x:c r="W546" s="46"/>
    </x:row>
    <x:row r="547">
      <x:c r="A547" s="46"/>
      <x:c r="B547" s="46"/>
      <x:c r="C547" s="46"/>
      <x:c r="D547" s="46"/>
      <x:c r="E547" s="46"/>
      <x:c r="F547" s="46"/>
      <x:c r="G547" s="46"/>
      <x:c r="H547" s="46"/>
      <x:c r="I547" s="46"/>
      <x:c r="J547" s="46"/>
      <x:c r="K547" s="46"/>
      <x:c r="L547" s="46"/>
      <x:c r="M547" s="46"/>
      <x:c r="N547" s="46"/>
      <x:c r="O547" s="46"/>
      <x:c r="P547" s="46"/>
      <x:c r="Q547" s="46"/>
      <x:c r="R547" s="46"/>
      <x:c r="S547" s="46"/>
      <x:c r="T547" s="46"/>
      <x:c r="U547" s="46"/>
      <x:c r="V547" s="46"/>
      <x:c r="W547" s="46"/>
    </x:row>
    <x:row r="548">
      <x:c r="A548" s="46"/>
      <x:c r="B548" s="46"/>
      <x:c r="C548" s="46"/>
      <x:c r="D548" s="46"/>
      <x:c r="E548" s="46"/>
      <x:c r="F548" s="46"/>
      <x:c r="G548" s="46"/>
      <x:c r="H548" s="46"/>
      <x:c r="I548" s="46"/>
      <x:c r="J548" s="46"/>
      <x:c r="K548" s="46"/>
      <x:c r="L548" s="46"/>
      <x:c r="M548" s="46"/>
      <x:c r="N548" s="46"/>
      <x:c r="O548" s="46"/>
      <x:c r="P548" s="46"/>
      <x:c r="Q548" s="46"/>
      <x:c r="R548" s="46"/>
      <x:c r="S548" s="46"/>
      <x:c r="T548" s="46"/>
      <x:c r="U548" s="46"/>
      <x:c r="V548" s="46"/>
      <x:c r="W548" s="46"/>
    </x:row>
    <x:row r="549">
      <x:c r="A549" s="46"/>
      <x:c r="B549" s="46"/>
      <x:c r="C549" s="46"/>
      <x:c r="D549" s="46"/>
      <x:c r="E549" s="46"/>
      <x:c r="F549" s="46"/>
      <x:c r="G549" s="46"/>
      <x:c r="H549" s="46"/>
      <x:c r="I549" s="46"/>
      <x:c r="J549" s="46"/>
      <x:c r="K549" s="46"/>
      <x:c r="L549" s="46"/>
      <x:c r="M549" s="46"/>
      <x:c r="N549" s="46"/>
      <x:c r="O549" s="46"/>
      <x:c r="P549" s="46"/>
      <x:c r="Q549" s="46"/>
      <x:c r="R549" s="46"/>
      <x:c r="S549" s="46"/>
      <x:c r="T549" s="46"/>
      <x:c r="U549" s="46"/>
      <x:c r="V549" s="46"/>
      <x:c r="W549" s="46"/>
    </x:row>
    <x:row r="550">
      <x:c r="A550" s="46"/>
      <x:c r="B550" s="46"/>
      <x:c r="C550" s="46"/>
      <x:c r="D550" s="46"/>
      <x:c r="E550" s="46"/>
      <x:c r="F550" s="46"/>
      <x:c r="G550" s="46"/>
      <x:c r="H550" s="46"/>
      <x:c r="I550" s="46"/>
      <x:c r="J550" s="46"/>
      <x:c r="K550" s="46"/>
      <x:c r="L550" s="46"/>
      <x:c r="M550" s="46"/>
      <x:c r="N550" s="46"/>
      <x:c r="O550" s="46"/>
      <x:c r="P550" s="46"/>
      <x:c r="Q550" s="46"/>
      <x:c r="R550" s="46"/>
      <x:c r="S550" s="46"/>
      <x:c r="T550" s="46"/>
      <x:c r="U550" s="46"/>
      <x:c r="V550" s="46"/>
      <x:c r="W550" s="46"/>
    </x:row>
    <x:row r="551">
      <x:c r="A551" s="46"/>
      <x:c r="B551" s="46"/>
      <x:c r="C551" s="46"/>
      <x:c r="D551" s="46"/>
      <x:c r="E551" s="46"/>
      <x:c r="F551" s="46"/>
      <x:c r="G551" s="46"/>
      <x:c r="H551" s="46"/>
      <x:c r="I551" s="46"/>
      <x:c r="J551" s="46"/>
      <x:c r="K551" s="46"/>
      <x:c r="L551" s="46"/>
      <x:c r="M551" s="46"/>
      <x:c r="N551" s="46"/>
      <x:c r="O551" s="46"/>
      <x:c r="P551" s="46"/>
      <x:c r="Q551" s="46"/>
      <x:c r="R551" s="46"/>
      <x:c r="S551" s="46"/>
      <x:c r="T551" s="46"/>
      <x:c r="U551" s="46"/>
      <x:c r="V551" s="46"/>
      <x:c r="W551" s="46"/>
    </x:row>
    <x:row r="552">
      <x:c r="A552" s="46"/>
      <x:c r="B552" s="46"/>
      <x:c r="C552" s="46"/>
      <x:c r="D552" s="46"/>
      <x:c r="E552" s="46"/>
      <x:c r="F552" s="46"/>
      <x:c r="G552" s="46"/>
      <x:c r="H552" s="46"/>
      <x:c r="I552" s="46"/>
      <x:c r="J552" s="46"/>
      <x:c r="K552" s="46"/>
      <x:c r="L552" s="46"/>
      <x:c r="M552" s="46"/>
      <x:c r="N552" s="46"/>
      <x:c r="O552" s="46"/>
      <x:c r="P552" s="46"/>
      <x:c r="Q552" s="46"/>
      <x:c r="R552" s="46"/>
      <x:c r="S552" s="46"/>
      <x:c r="T552" s="46"/>
      <x:c r="U552" s="46"/>
      <x:c r="V552" s="46"/>
      <x:c r="W552" s="46"/>
    </x:row>
    <x:row r="553">
      <x:c r="A553" s="46"/>
      <x:c r="B553" s="46"/>
      <x:c r="C553" s="46"/>
      <x:c r="D553" s="46"/>
      <x:c r="E553" s="46"/>
      <x:c r="F553" s="46"/>
      <x:c r="G553" s="46"/>
      <x:c r="H553" s="46"/>
      <x:c r="I553" s="46"/>
      <x:c r="J553" s="46"/>
      <x:c r="K553" s="46"/>
      <x:c r="L553" s="46"/>
      <x:c r="M553" s="46"/>
      <x:c r="N553" s="46"/>
      <x:c r="O553" s="46"/>
      <x:c r="P553" s="46"/>
      <x:c r="Q553" s="46"/>
      <x:c r="R553" s="46"/>
      <x:c r="S553" s="46"/>
      <x:c r="T553" s="46"/>
      <x:c r="U553" s="46"/>
      <x:c r="V553" s="46"/>
      <x:c r="W553" s="46"/>
    </x:row>
    <x:row r="554">
      <x:c r="A554" s="46"/>
      <x:c r="B554" s="46"/>
      <x:c r="C554" s="46"/>
      <x:c r="D554" s="46"/>
      <x:c r="E554" s="46"/>
      <x:c r="F554" s="46"/>
      <x:c r="G554" s="46"/>
      <x:c r="H554" s="46"/>
      <x:c r="I554" s="46"/>
      <x:c r="J554" s="46"/>
      <x:c r="K554" s="46"/>
      <x:c r="L554" s="46"/>
      <x:c r="M554" s="46"/>
      <x:c r="N554" s="46"/>
      <x:c r="O554" s="46"/>
      <x:c r="P554" s="46"/>
      <x:c r="Q554" s="46"/>
      <x:c r="R554" s="46"/>
      <x:c r="S554" s="46"/>
      <x:c r="T554" s="46"/>
      <x:c r="U554" s="46"/>
      <x:c r="V554" s="46"/>
      <x:c r="W554" s="46"/>
    </x:row>
    <x:row r="555">
      <x:c r="A555" s="46"/>
      <x:c r="B555" s="46"/>
      <x:c r="C555" s="46"/>
      <x:c r="D555" s="46"/>
      <x:c r="E555" s="46"/>
      <x:c r="F555" s="46"/>
      <x:c r="G555" s="46"/>
      <x:c r="H555" s="46"/>
      <x:c r="I555" s="46"/>
      <x:c r="J555" s="46"/>
      <x:c r="K555" s="46"/>
      <x:c r="L555" s="46"/>
      <x:c r="M555" s="46"/>
      <x:c r="N555" s="46"/>
      <x:c r="O555" s="46"/>
      <x:c r="P555" s="46"/>
      <x:c r="Q555" s="46"/>
      <x:c r="R555" s="46"/>
      <x:c r="S555" s="46"/>
      <x:c r="T555" s="46"/>
      <x:c r="U555" s="46"/>
      <x:c r="V555" s="46"/>
      <x:c r="W555" s="46"/>
    </x:row>
    <x:row r="556">
      <x:c r="A556" s="46"/>
      <x:c r="B556" s="46"/>
      <x:c r="C556" s="46"/>
      <x:c r="D556" s="46"/>
      <x:c r="E556" s="46"/>
      <x:c r="F556" s="46"/>
      <x:c r="G556" s="46"/>
      <x:c r="H556" s="46"/>
      <x:c r="I556" s="46"/>
      <x:c r="J556" s="46"/>
      <x:c r="K556" s="46"/>
      <x:c r="L556" s="46"/>
      <x:c r="M556" s="46"/>
      <x:c r="N556" s="46"/>
      <x:c r="O556" s="46"/>
      <x:c r="P556" s="46"/>
      <x:c r="Q556" s="46"/>
      <x:c r="R556" s="46"/>
      <x:c r="S556" s="46"/>
      <x:c r="T556" s="46"/>
      <x:c r="U556" s="46"/>
      <x:c r="V556" s="46"/>
      <x:c r="W556" s="46"/>
    </x:row>
    <x:row r="557">
      <x:c r="A557" s="46"/>
      <x:c r="B557" s="46"/>
      <x:c r="C557" s="46"/>
      <x:c r="D557" s="46"/>
      <x:c r="E557" s="46"/>
      <x:c r="F557" s="46"/>
      <x:c r="G557" s="46"/>
      <x:c r="H557" s="46"/>
      <x:c r="I557" s="46"/>
      <x:c r="J557" s="46"/>
      <x:c r="K557" s="46"/>
      <x:c r="L557" s="46"/>
      <x:c r="M557" s="46"/>
      <x:c r="N557" s="46"/>
      <x:c r="O557" s="46"/>
      <x:c r="P557" s="46"/>
      <x:c r="Q557" s="46"/>
      <x:c r="R557" s="46"/>
      <x:c r="S557" s="46"/>
      <x:c r="T557" s="46"/>
      <x:c r="U557" s="46"/>
      <x:c r="V557" s="46"/>
      <x:c r="W557" s="46"/>
    </x:row>
    <x:row r="558">
      <x:c r="A558" s="46"/>
      <x:c r="B558" s="46"/>
      <x:c r="C558" s="46"/>
      <x:c r="D558" s="46"/>
      <x:c r="E558" s="46"/>
      <x:c r="F558" s="46"/>
      <x:c r="G558" s="46"/>
      <x:c r="H558" s="46"/>
      <x:c r="I558" s="46"/>
      <x:c r="J558" s="46"/>
      <x:c r="K558" s="46"/>
      <x:c r="L558" s="46"/>
      <x:c r="M558" s="46"/>
      <x:c r="N558" s="46"/>
      <x:c r="O558" s="46"/>
      <x:c r="P558" s="46"/>
      <x:c r="Q558" s="46"/>
      <x:c r="R558" s="46"/>
      <x:c r="S558" s="46"/>
      <x:c r="T558" s="46"/>
      <x:c r="U558" s="46"/>
      <x:c r="V558" s="46"/>
      <x:c r="W558" s="46"/>
    </x:row>
    <x:row r="559">
      <x:c r="A559" s="46"/>
      <x:c r="B559" s="46"/>
      <x:c r="C559" s="46"/>
      <x:c r="D559" s="46"/>
      <x:c r="E559" s="46"/>
      <x:c r="F559" s="46"/>
      <x:c r="G559" s="46"/>
      <x:c r="H559" s="46"/>
      <x:c r="I559" s="46"/>
      <x:c r="J559" s="46"/>
      <x:c r="K559" s="46"/>
      <x:c r="L559" s="46"/>
      <x:c r="M559" s="46"/>
      <x:c r="N559" s="46"/>
      <x:c r="O559" s="46"/>
      <x:c r="P559" s="46"/>
      <x:c r="Q559" s="46"/>
      <x:c r="R559" s="46"/>
      <x:c r="S559" s="46"/>
      <x:c r="T559" s="46"/>
      <x:c r="U559" s="46"/>
      <x:c r="V559" s="46"/>
      <x:c r="W559" s="46"/>
    </x:row>
    <x:row r="560">
      <x:c r="A560" s="46"/>
      <x:c r="B560" s="46"/>
      <x:c r="C560" s="46"/>
      <x:c r="D560" s="46"/>
      <x:c r="E560" s="46"/>
      <x:c r="F560" s="46"/>
      <x:c r="G560" s="46"/>
      <x:c r="H560" s="46"/>
      <x:c r="I560" s="46"/>
      <x:c r="J560" s="46"/>
      <x:c r="K560" s="46"/>
      <x:c r="L560" s="46"/>
      <x:c r="M560" s="46"/>
      <x:c r="N560" s="46"/>
      <x:c r="O560" s="46"/>
      <x:c r="P560" s="46"/>
      <x:c r="Q560" s="46"/>
      <x:c r="R560" s="46"/>
      <x:c r="S560" s="46"/>
      <x:c r="T560" s="46"/>
      <x:c r="U560" s="46"/>
      <x:c r="V560" s="46"/>
      <x:c r="W560" s="46"/>
    </x:row>
    <x:row r="561">
      <x:c r="A561" s="46"/>
      <x:c r="B561" s="46"/>
      <x:c r="C561" s="46"/>
      <x:c r="D561" s="46"/>
      <x:c r="E561" s="46"/>
      <x:c r="F561" s="46"/>
      <x:c r="G561" s="46"/>
      <x:c r="H561" s="46"/>
      <x:c r="I561" s="46"/>
      <x:c r="J561" s="46"/>
      <x:c r="K561" s="46"/>
      <x:c r="L561" s="46"/>
      <x:c r="M561" s="46"/>
      <x:c r="N561" s="46"/>
      <x:c r="O561" s="46"/>
      <x:c r="P561" s="46"/>
      <x:c r="Q561" s="46"/>
      <x:c r="R561" s="46"/>
      <x:c r="S561" s="46"/>
      <x:c r="T561" s="46"/>
      <x:c r="U561" s="46"/>
      <x:c r="V561" s="46"/>
      <x:c r="W561" s="46"/>
    </x:row>
    <x:row r="562">
      <x:c r="A562" s="46"/>
      <x:c r="B562" s="46"/>
      <x:c r="C562" s="46"/>
      <x:c r="D562" s="46"/>
      <x:c r="E562" s="46"/>
      <x:c r="F562" s="46"/>
      <x:c r="G562" s="46"/>
      <x:c r="H562" s="46"/>
      <x:c r="I562" s="46"/>
      <x:c r="J562" s="46"/>
      <x:c r="K562" s="46"/>
      <x:c r="L562" s="46"/>
      <x:c r="M562" s="46"/>
      <x:c r="N562" s="46"/>
      <x:c r="O562" s="46"/>
      <x:c r="P562" s="46"/>
      <x:c r="Q562" s="46"/>
      <x:c r="R562" s="46"/>
      <x:c r="S562" s="46"/>
      <x:c r="T562" s="46"/>
      <x:c r="U562" s="46"/>
      <x:c r="V562" s="46"/>
      <x:c r="W562" s="46"/>
    </x:row>
    <x:row r="563">
      <x:c r="A563" s="46"/>
      <x:c r="B563" s="46"/>
      <x:c r="C563" s="46"/>
      <x:c r="D563" s="46"/>
      <x:c r="E563" s="46"/>
      <x:c r="F563" s="46"/>
      <x:c r="G563" s="46"/>
      <x:c r="H563" s="46"/>
      <x:c r="I563" s="46"/>
      <x:c r="J563" s="46"/>
      <x:c r="K563" s="46"/>
      <x:c r="L563" s="46"/>
      <x:c r="M563" s="46"/>
      <x:c r="N563" s="46"/>
      <x:c r="O563" s="46"/>
      <x:c r="P563" s="46"/>
      <x:c r="Q563" s="46"/>
      <x:c r="R563" s="46"/>
      <x:c r="S563" s="46"/>
      <x:c r="T563" s="46"/>
      <x:c r="U563" s="46"/>
      <x:c r="V563" s="46"/>
      <x:c r="W563" s="46"/>
    </x:row>
    <x:row r="564">
      <x:c r="A564" s="46"/>
      <x:c r="B564" s="46"/>
      <x:c r="C564" s="46"/>
      <x:c r="D564" s="46"/>
      <x:c r="E564" s="46"/>
      <x:c r="F564" s="46"/>
      <x:c r="G564" s="46"/>
      <x:c r="H564" s="46"/>
      <x:c r="I564" s="46"/>
      <x:c r="J564" s="46"/>
      <x:c r="K564" s="46"/>
      <x:c r="L564" s="46"/>
      <x:c r="M564" s="46"/>
      <x:c r="N564" s="46"/>
      <x:c r="O564" s="46"/>
      <x:c r="P564" s="46"/>
      <x:c r="Q564" s="46"/>
      <x:c r="R564" s="46"/>
      <x:c r="S564" s="46"/>
      <x:c r="T564" s="46"/>
      <x:c r="U564" s="46"/>
      <x:c r="V564" s="46"/>
      <x:c r="W564" s="46"/>
    </x:row>
    <x:row r="565">
      <x:c r="A565" s="46"/>
      <x:c r="B565" s="46"/>
      <x:c r="C565" s="46"/>
      <x:c r="D565" s="46"/>
      <x:c r="E565" s="46"/>
      <x:c r="F565" s="46"/>
      <x:c r="G565" s="46"/>
      <x:c r="H565" s="46"/>
      <x:c r="I565" s="46"/>
      <x:c r="J565" s="46"/>
      <x:c r="K565" s="46"/>
      <x:c r="L565" s="46"/>
      <x:c r="M565" s="46"/>
      <x:c r="N565" s="46"/>
      <x:c r="O565" s="46"/>
      <x:c r="P565" s="46"/>
      <x:c r="Q565" s="46"/>
      <x:c r="R565" s="46"/>
      <x:c r="S565" s="46"/>
      <x:c r="T565" s="46"/>
      <x:c r="U565" s="46"/>
      <x:c r="V565" s="46"/>
      <x:c r="W565" s="46"/>
    </x:row>
    <x:row r="566">
      <x:c r="A566" s="46"/>
      <x:c r="B566" s="46"/>
      <x:c r="C566" s="46"/>
      <x:c r="D566" s="46"/>
      <x:c r="E566" s="46"/>
      <x:c r="F566" s="46"/>
      <x:c r="G566" s="46"/>
      <x:c r="H566" s="46"/>
      <x:c r="I566" s="46"/>
      <x:c r="J566" s="46"/>
      <x:c r="K566" s="46"/>
      <x:c r="L566" s="46"/>
      <x:c r="M566" s="46"/>
      <x:c r="N566" s="46"/>
      <x:c r="O566" s="46"/>
      <x:c r="P566" s="46"/>
      <x:c r="Q566" s="46"/>
      <x:c r="R566" s="46"/>
      <x:c r="S566" s="46"/>
      <x:c r="T566" s="46"/>
      <x:c r="U566" s="46"/>
      <x:c r="V566" s="46"/>
      <x:c r="W566" s="46"/>
    </x:row>
    <x:row r="567">
      <x:c r="A567" s="46"/>
      <x:c r="B567" s="46"/>
      <x:c r="C567" s="46"/>
      <x:c r="D567" s="46"/>
      <x:c r="E567" s="46"/>
      <x:c r="F567" s="46"/>
      <x:c r="G567" s="46"/>
      <x:c r="H567" s="46"/>
      <x:c r="I567" s="46"/>
      <x:c r="J567" s="46"/>
      <x:c r="K567" s="46"/>
      <x:c r="L567" s="46"/>
      <x:c r="M567" s="46"/>
      <x:c r="N567" s="46"/>
      <x:c r="O567" s="46"/>
      <x:c r="P567" s="46"/>
      <x:c r="Q567" s="46"/>
      <x:c r="R567" s="46"/>
      <x:c r="S567" s="46"/>
      <x:c r="T567" s="46"/>
      <x:c r="U567" s="46"/>
      <x:c r="V567" s="46"/>
      <x:c r="W567" s="46"/>
    </x:row>
    <x:row r="568">
      <x:c r="A568" s="46"/>
      <x:c r="B568" s="46"/>
      <x:c r="C568" s="46"/>
      <x:c r="D568" s="46"/>
      <x:c r="E568" s="46"/>
      <x:c r="F568" s="46"/>
      <x:c r="G568" s="46"/>
      <x:c r="H568" s="46"/>
      <x:c r="I568" s="46"/>
      <x:c r="J568" s="46"/>
      <x:c r="K568" s="46"/>
      <x:c r="L568" s="46"/>
      <x:c r="M568" s="46"/>
      <x:c r="N568" s="46"/>
      <x:c r="O568" s="46"/>
      <x:c r="P568" s="46"/>
      <x:c r="Q568" s="46"/>
      <x:c r="R568" s="46"/>
      <x:c r="S568" s="46"/>
      <x:c r="T568" s="46"/>
      <x:c r="U568" s="46"/>
      <x:c r="V568" s="46"/>
      <x:c r="W568" s="46"/>
    </x:row>
    <x:row r="569">
      <x:c r="A569" s="46"/>
      <x:c r="B569" s="46"/>
      <x:c r="C569" s="46"/>
      <x:c r="D569" s="46"/>
      <x:c r="E569" s="46"/>
      <x:c r="F569" s="46"/>
      <x:c r="G569" s="46"/>
      <x:c r="H569" s="46"/>
      <x:c r="I569" s="46"/>
      <x:c r="J569" s="46"/>
      <x:c r="K569" s="46"/>
      <x:c r="L569" s="46"/>
      <x:c r="M569" s="46"/>
      <x:c r="N569" s="46"/>
      <x:c r="O569" s="46"/>
      <x:c r="P569" s="46"/>
      <x:c r="Q569" s="46"/>
      <x:c r="R569" s="46"/>
      <x:c r="S569" s="46"/>
      <x:c r="T569" s="46"/>
      <x:c r="U569" s="46"/>
      <x:c r="V569" s="46"/>
      <x:c r="W569" s="46"/>
    </x:row>
    <x:row r="570">
      <x:c r="A570" s="46"/>
      <x:c r="B570" s="46"/>
      <x:c r="C570" s="46"/>
      <x:c r="D570" s="46"/>
      <x:c r="E570" s="46"/>
      <x:c r="F570" s="46"/>
      <x:c r="G570" s="46"/>
      <x:c r="H570" s="46"/>
      <x:c r="I570" s="46"/>
      <x:c r="J570" s="46"/>
      <x:c r="K570" s="46"/>
      <x:c r="L570" s="46"/>
      <x:c r="M570" s="46"/>
      <x:c r="N570" s="46"/>
      <x:c r="O570" s="46"/>
      <x:c r="P570" s="46"/>
      <x:c r="Q570" s="46"/>
      <x:c r="R570" s="46"/>
      <x:c r="S570" s="46"/>
      <x:c r="T570" s="46"/>
      <x:c r="U570" s="46"/>
      <x:c r="V570" s="46"/>
      <x:c r="W570" s="46"/>
    </x:row>
    <x:row r="571">
      <x:c r="A571" s="46"/>
      <x:c r="B571" s="46"/>
      <x:c r="C571" s="46"/>
      <x:c r="D571" s="46"/>
      <x:c r="E571" s="46"/>
      <x:c r="F571" s="46"/>
      <x:c r="G571" s="46"/>
      <x:c r="H571" s="46"/>
      <x:c r="I571" s="46"/>
      <x:c r="J571" s="46"/>
      <x:c r="K571" s="46"/>
      <x:c r="L571" s="46"/>
      <x:c r="M571" s="46"/>
      <x:c r="N571" s="46"/>
      <x:c r="O571" s="46"/>
      <x:c r="P571" s="46"/>
      <x:c r="Q571" s="46"/>
      <x:c r="R571" s="46"/>
      <x:c r="S571" s="46"/>
      <x:c r="T571" s="46"/>
      <x:c r="U571" s="46"/>
      <x:c r="V571" s="46"/>
      <x:c r="W571" s="46"/>
    </x:row>
    <x:row r="572">
      <x:c r="A572" s="46"/>
      <x:c r="B572" s="46"/>
      <x:c r="C572" s="46"/>
      <x:c r="D572" s="46"/>
      <x:c r="E572" s="46"/>
      <x:c r="F572" s="46"/>
      <x:c r="G572" s="46"/>
      <x:c r="H572" s="46"/>
      <x:c r="I572" s="46"/>
      <x:c r="J572" s="46"/>
      <x:c r="K572" s="46"/>
      <x:c r="L572" s="46"/>
      <x:c r="M572" s="46"/>
      <x:c r="N572" s="46"/>
      <x:c r="O572" s="46"/>
      <x:c r="P572" s="46"/>
      <x:c r="Q572" s="46"/>
      <x:c r="R572" s="46"/>
      <x:c r="S572" s="46"/>
      <x:c r="T572" s="46"/>
      <x:c r="U572" s="46"/>
      <x:c r="V572" s="46"/>
      <x:c r="W572" s="46"/>
    </x:row>
    <x:row r="573">
      <x:c r="A573" s="46"/>
      <x:c r="B573" s="46"/>
      <x:c r="C573" s="46"/>
      <x:c r="D573" s="46"/>
      <x:c r="E573" s="46"/>
      <x:c r="F573" s="46"/>
      <x:c r="G573" s="46"/>
      <x:c r="H573" s="46"/>
      <x:c r="I573" s="46"/>
      <x:c r="J573" s="46"/>
      <x:c r="K573" s="46"/>
      <x:c r="L573" s="46"/>
      <x:c r="M573" s="46"/>
      <x:c r="N573" s="46"/>
      <x:c r="O573" s="46"/>
      <x:c r="P573" s="46"/>
      <x:c r="Q573" s="46"/>
      <x:c r="R573" s="46"/>
      <x:c r="S573" s="46"/>
      <x:c r="T573" s="46"/>
      <x:c r="U573" s="46"/>
      <x:c r="V573" s="46"/>
      <x:c r="W573" s="46"/>
    </x:row>
    <x:row r="574">
      <x:c r="A574" s="46"/>
      <x:c r="B574" s="46"/>
      <x:c r="C574" s="46"/>
      <x:c r="D574" s="46"/>
      <x:c r="E574" s="46"/>
      <x:c r="F574" s="46"/>
      <x:c r="G574" s="46"/>
      <x:c r="H574" s="46"/>
      <x:c r="I574" s="46"/>
      <x:c r="J574" s="46"/>
      <x:c r="K574" s="46"/>
      <x:c r="L574" s="46"/>
      <x:c r="M574" s="46"/>
      <x:c r="N574" s="46"/>
      <x:c r="O574" s="46"/>
      <x:c r="P574" s="46"/>
      <x:c r="Q574" s="46"/>
      <x:c r="R574" s="46"/>
      <x:c r="S574" s="46"/>
      <x:c r="T574" s="46"/>
      <x:c r="U574" s="46"/>
      <x:c r="V574" s="46"/>
      <x:c r="W574" s="46"/>
    </x:row>
    <x:row r="575">
      <x:c r="A575" s="46"/>
      <x:c r="B575" s="46"/>
      <x:c r="C575" s="46"/>
      <x:c r="D575" s="46"/>
      <x:c r="E575" s="46"/>
      <x:c r="F575" s="46"/>
      <x:c r="G575" s="46"/>
      <x:c r="H575" s="46"/>
      <x:c r="I575" s="46"/>
      <x:c r="J575" s="46"/>
      <x:c r="K575" s="46"/>
      <x:c r="L575" s="46"/>
      <x:c r="M575" s="46"/>
      <x:c r="N575" s="46"/>
      <x:c r="O575" s="46"/>
      <x:c r="P575" s="46"/>
      <x:c r="Q575" s="46"/>
      <x:c r="R575" s="46"/>
      <x:c r="S575" s="46"/>
      <x:c r="T575" s="46"/>
      <x:c r="U575" s="46"/>
      <x:c r="V575" s="46"/>
      <x:c r="W575" s="46"/>
    </x:row>
    <x:row r="576">
      <x:c r="A576" s="46"/>
      <x:c r="B576" s="46"/>
      <x:c r="C576" s="46"/>
      <x:c r="D576" s="46"/>
      <x:c r="E576" s="46"/>
      <x:c r="F576" s="46"/>
      <x:c r="G576" s="46"/>
      <x:c r="H576" s="46"/>
      <x:c r="I576" s="46"/>
      <x:c r="J576" s="46"/>
      <x:c r="K576" s="46"/>
      <x:c r="L576" s="46"/>
      <x:c r="M576" s="46"/>
      <x:c r="N576" s="46"/>
      <x:c r="O576" s="46"/>
      <x:c r="P576" s="46"/>
      <x:c r="Q576" s="46"/>
      <x:c r="R576" s="46"/>
      <x:c r="S576" s="46"/>
      <x:c r="T576" s="46"/>
      <x:c r="U576" s="46"/>
      <x:c r="V576" s="46"/>
      <x:c r="W576" s="46"/>
    </x:row>
    <x:row r="577">
      <x:c r="A577" s="46"/>
      <x:c r="B577" s="46"/>
      <x:c r="C577" s="46"/>
      <x:c r="D577" s="46"/>
      <x:c r="E577" s="46"/>
      <x:c r="F577" s="46"/>
      <x:c r="G577" s="46"/>
      <x:c r="H577" s="46"/>
      <x:c r="I577" s="46"/>
      <x:c r="J577" s="46"/>
      <x:c r="K577" s="46"/>
      <x:c r="L577" s="46"/>
      <x:c r="M577" s="46"/>
      <x:c r="N577" s="46"/>
      <x:c r="O577" s="46"/>
      <x:c r="P577" s="46"/>
      <x:c r="Q577" s="46"/>
      <x:c r="R577" s="46"/>
      <x:c r="S577" s="46"/>
      <x:c r="T577" s="46"/>
      <x:c r="U577" s="46"/>
      <x:c r="V577" s="46"/>
      <x:c r="W577" s="46"/>
    </x:row>
    <x:row r="578">
      <x:c r="A578" s="46"/>
      <x:c r="B578" s="46"/>
      <x:c r="C578" s="46"/>
      <x:c r="D578" s="46"/>
      <x:c r="E578" s="46"/>
      <x:c r="F578" s="46"/>
      <x:c r="G578" s="46"/>
      <x:c r="H578" s="46"/>
      <x:c r="I578" s="46"/>
      <x:c r="J578" s="46"/>
      <x:c r="K578" s="46"/>
      <x:c r="L578" s="46"/>
      <x:c r="M578" s="46"/>
      <x:c r="N578" s="46"/>
      <x:c r="O578" s="46"/>
      <x:c r="P578" s="46"/>
      <x:c r="Q578" s="46"/>
      <x:c r="R578" s="46"/>
      <x:c r="S578" s="46"/>
      <x:c r="T578" s="46"/>
      <x:c r="U578" s="46"/>
      <x:c r="V578" s="46"/>
      <x:c r="W578" s="46"/>
    </x:row>
    <x:row r="579">
      <x:c r="A579" s="46"/>
      <x:c r="B579" s="46"/>
      <x:c r="C579" s="46"/>
      <x:c r="D579" s="46"/>
      <x:c r="E579" s="46"/>
      <x:c r="F579" s="46"/>
      <x:c r="G579" s="46"/>
      <x:c r="H579" s="46"/>
      <x:c r="I579" s="46"/>
      <x:c r="J579" s="46"/>
      <x:c r="K579" s="46"/>
      <x:c r="L579" s="46"/>
      <x:c r="M579" s="46"/>
      <x:c r="N579" s="46"/>
      <x:c r="O579" s="46"/>
      <x:c r="P579" s="46"/>
      <x:c r="Q579" s="46"/>
      <x:c r="R579" s="46"/>
      <x:c r="S579" s="46"/>
      <x:c r="T579" s="46"/>
      <x:c r="U579" s="46"/>
      <x:c r="V579" s="46"/>
      <x:c r="W579" s="46"/>
    </x:row>
    <x:row r="580">
      <x:c r="A580" s="46"/>
      <x:c r="B580" s="46"/>
      <x:c r="C580" s="46"/>
      <x:c r="D580" s="46"/>
      <x:c r="E580" s="46"/>
      <x:c r="F580" s="46"/>
      <x:c r="G580" s="46"/>
      <x:c r="H580" s="46"/>
      <x:c r="I580" s="46"/>
      <x:c r="J580" s="46"/>
      <x:c r="K580" s="46"/>
      <x:c r="L580" s="46"/>
      <x:c r="M580" s="46"/>
      <x:c r="N580" s="46"/>
      <x:c r="O580" s="46"/>
      <x:c r="P580" s="46"/>
      <x:c r="Q580" s="46"/>
      <x:c r="R580" s="46"/>
      <x:c r="S580" s="46"/>
      <x:c r="T580" s="46"/>
      <x:c r="U580" s="46"/>
      <x:c r="V580" s="46"/>
      <x:c r="W580" s="46"/>
    </x:row>
    <x:row r="581">
      <x:c r="A581" s="46"/>
      <x:c r="B581" s="46"/>
      <x:c r="C581" s="46"/>
      <x:c r="D581" s="46"/>
      <x:c r="E581" s="46"/>
      <x:c r="F581" s="46"/>
      <x:c r="G581" s="46"/>
      <x:c r="H581" s="46"/>
      <x:c r="I581" s="46"/>
      <x:c r="J581" s="46"/>
      <x:c r="K581" s="46"/>
      <x:c r="L581" s="46"/>
      <x:c r="M581" s="46"/>
      <x:c r="N581" s="46"/>
      <x:c r="O581" s="46"/>
      <x:c r="P581" s="46"/>
      <x:c r="Q581" s="46"/>
      <x:c r="R581" s="46"/>
      <x:c r="S581" s="46"/>
      <x:c r="T581" s="46"/>
      <x:c r="U581" s="46"/>
      <x:c r="V581" s="46"/>
      <x:c r="W581" s="46"/>
    </x:row>
    <x:row r="582">
      <x:c r="A582" s="46"/>
      <x:c r="B582" s="46"/>
      <x:c r="C582" s="46"/>
      <x:c r="D582" s="46"/>
      <x:c r="E582" s="46"/>
      <x:c r="F582" s="46"/>
      <x:c r="G582" s="46"/>
      <x:c r="H582" s="46"/>
      <x:c r="I582" s="46"/>
      <x:c r="J582" s="46"/>
      <x:c r="K582" s="46"/>
      <x:c r="L582" s="46"/>
      <x:c r="M582" s="46"/>
      <x:c r="N582" s="46"/>
      <x:c r="O582" s="46"/>
      <x:c r="P582" s="46"/>
      <x:c r="Q582" s="46"/>
      <x:c r="R582" s="46"/>
      <x:c r="S582" s="46"/>
      <x:c r="T582" s="46"/>
      <x:c r="U582" s="46"/>
      <x:c r="V582" s="46"/>
      <x:c r="W582" s="46"/>
    </x:row>
    <x:row r="583">
      <x:c r="A583" s="46"/>
      <x:c r="B583" s="46"/>
      <x:c r="C583" s="46"/>
      <x:c r="D583" s="46"/>
      <x:c r="E583" s="46"/>
      <x:c r="F583" s="46"/>
      <x:c r="G583" s="46"/>
      <x:c r="H583" s="46"/>
      <x:c r="I583" s="46"/>
      <x:c r="J583" s="46"/>
      <x:c r="K583" s="46"/>
      <x:c r="L583" s="46"/>
      <x:c r="M583" s="46"/>
      <x:c r="N583" s="46"/>
      <x:c r="O583" s="46"/>
      <x:c r="P583" s="46"/>
      <x:c r="Q583" s="46"/>
      <x:c r="R583" s="46"/>
      <x:c r="S583" s="46"/>
      <x:c r="T583" s="46"/>
      <x:c r="U583" s="46"/>
      <x:c r="V583" s="46"/>
      <x:c r="W583" s="46"/>
    </x:row>
    <x:row r="584">
      <x:c r="A584" s="46"/>
      <x:c r="B584" s="46"/>
      <x:c r="C584" s="46"/>
      <x:c r="D584" s="46"/>
      <x:c r="E584" s="46"/>
      <x:c r="F584" s="46"/>
      <x:c r="G584" s="46"/>
      <x:c r="H584" s="46"/>
      <x:c r="I584" s="46"/>
      <x:c r="J584" s="46"/>
      <x:c r="K584" s="46"/>
      <x:c r="L584" s="46"/>
      <x:c r="M584" s="46"/>
      <x:c r="N584" s="46"/>
      <x:c r="O584" s="46"/>
      <x:c r="P584" s="46"/>
      <x:c r="Q584" s="46"/>
      <x:c r="R584" s="46"/>
      <x:c r="S584" s="46"/>
      <x:c r="T584" s="46"/>
      <x:c r="U584" s="46"/>
      <x:c r="V584" s="46"/>
      <x:c r="W584" s="46"/>
    </x:row>
    <x:row r="585">
      <x:c r="A585" s="46"/>
      <x:c r="B585" s="46"/>
      <x:c r="C585" s="46"/>
      <x:c r="D585" s="46"/>
      <x:c r="E585" s="46"/>
      <x:c r="F585" s="46"/>
      <x:c r="G585" s="46"/>
      <x:c r="H585" s="46"/>
      <x:c r="I585" s="46"/>
      <x:c r="J585" s="46"/>
      <x:c r="K585" s="46"/>
      <x:c r="L585" s="46"/>
      <x:c r="M585" s="46"/>
      <x:c r="N585" s="46"/>
      <x:c r="O585" s="46"/>
      <x:c r="P585" s="46"/>
      <x:c r="Q585" s="46"/>
      <x:c r="R585" s="46"/>
      <x:c r="S585" s="46"/>
      <x:c r="T585" s="46"/>
      <x:c r="U585" s="46"/>
      <x:c r="V585" s="46"/>
      <x:c r="W585" s="46"/>
    </x:row>
    <x:row r="586">
      <x:c r="A586" s="46"/>
      <x:c r="B586" s="46"/>
      <x:c r="C586" s="46"/>
      <x:c r="D586" s="46"/>
      <x:c r="E586" s="46"/>
      <x:c r="F586" s="46"/>
      <x:c r="G586" s="46"/>
      <x:c r="H586" s="46"/>
      <x:c r="I586" s="46"/>
      <x:c r="J586" s="46"/>
      <x:c r="K586" s="46"/>
      <x:c r="L586" s="46"/>
      <x:c r="M586" s="46"/>
      <x:c r="N586" s="46"/>
      <x:c r="O586" s="46"/>
      <x:c r="P586" s="46"/>
      <x:c r="Q586" s="46"/>
      <x:c r="R586" s="46"/>
      <x:c r="S586" s="46"/>
      <x:c r="T586" s="46"/>
      <x:c r="U586" s="46"/>
      <x:c r="V586" s="46"/>
      <x:c r="W586" s="46"/>
    </x:row>
    <x:row r="587">
      <x:c r="A587" s="46"/>
      <x:c r="B587" s="46"/>
      <x:c r="C587" s="46"/>
      <x:c r="D587" s="46"/>
      <x:c r="E587" s="46"/>
      <x:c r="F587" s="46"/>
      <x:c r="G587" s="46"/>
      <x:c r="H587" s="46"/>
      <x:c r="I587" s="46"/>
      <x:c r="J587" s="46"/>
      <x:c r="K587" s="46"/>
      <x:c r="L587" s="46"/>
      <x:c r="M587" s="46"/>
      <x:c r="N587" s="46"/>
      <x:c r="O587" s="46"/>
      <x:c r="P587" s="46"/>
      <x:c r="Q587" s="46"/>
      <x:c r="R587" s="46"/>
      <x:c r="S587" s="46"/>
      <x:c r="T587" s="46"/>
      <x:c r="U587" s="46"/>
      <x:c r="V587" s="46"/>
      <x:c r="W587" s="46"/>
    </x:row>
    <x:row r="588">
      <x:c r="A588" s="46"/>
      <x:c r="B588" s="46"/>
      <x:c r="C588" s="46"/>
      <x:c r="D588" s="46"/>
      <x:c r="E588" s="46"/>
      <x:c r="F588" s="46"/>
      <x:c r="G588" s="46"/>
      <x:c r="H588" s="46"/>
      <x:c r="I588" s="46"/>
      <x:c r="J588" s="46"/>
      <x:c r="K588" s="46"/>
      <x:c r="L588" s="46"/>
      <x:c r="M588" s="46"/>
      <x:c r="N588" s="46"/>
      <x:c r="O588" s="46"/>
      <x:c r="P588" s="46"/>
      <x:c r="Q588" s="46"/>
      <x:c r="R588" s="46"/>
      <x:c r="S588" s="46"/>
      <x:c r="T588" s="46"/>
      <x:c r="U588" s="46"/>
      <x:c r="V588" s="46"/>
      <x:c r="W588" s="46"/>
    </x:row>
    <x:row r="589">
      <x:c r="A589" s="46"/>
      <x:c r="B589" s="46"/>
      <x:c r="C589" s="46"/>
      <x:c r="D589" s="46"/>
      <x:c r="E589" s="46"/>
      <x:c r="F589" s="46"/>
      <x:c r="G589" s="46"/>
      <x:c r="H589" s="46"/>
      <x:c r="I589" s="46"/>
      <x:c r="J589" s="46"/>
      <x:c r="K589" s="46"/>
      <x:c r="L589" s="46"/>
      <x:c r="M589" s="46"/>
      <x:c r="N589" s="46"/>
      <x:c r="O589" s="46"/>
      <x:c r="P589" s="46"/>
      <x:c r="Q589" s="46"/>
      <x:c r="R589" s="46"/>
      <x:c r="S589" s="46"/>
      <x:c r="T589" s="46"/>
      <x:c r="U589" s="46"/>
      <x:c r="V589" s="46"/>
      <x:c r="W589" s="46"/>
    </x:row>
    <x:row r="590">
      <x:c r="A590" s="46"/>
      <x:c r="B590" s="46"/>
      <x:c r="C590" s="46"/>
      <x:c r="D590" s="46"/>
      <x:c r="E590" s="46"/>
      <x:c r="F590" s="46"/>
      <x:c r="G590" s="46"/>
      <x:c r="H590" s="46"/>
      <x:c r="I590" s="46"/>
      <x:c r="J590" s="46"/>
      <x:c r="K590" s="46"/>
      <x:c r="L590" s="46"/>
      <x:c r="M590" s="46"/>
      <x:c r="N590" s="46"/>
      <x:c r="O590" s="46"/>
      <x:c r="P590" s="46"/>
      <x:c r="Q590" s="46"/>
      <x:c r="R590" s="46"/>
      <x:c r="S590" s="46"/>
      <x:c r="T590" s="46"/>
      <x:c r="U590" s="46"/>
      <x:c r="V590" s="46"/>
      <x:c r="W590" s="46"/>
    </x:row>
    <x:row r="591">
      <x:c r="A591" s="46"/>
      <x:c r="B591" s="46"/>
      <x:c r="C591" s="46"/>
      <x:c r="D591" s="46"/>
      <x:c r="E591" s="46"/>
      <x:c r="F591" s="46"/>
      <x:c r="G591" s="46"/>
      <x:c r="H591" s="46"/>
      <x:c r="I591" s="46"/>
      <x:c r="J591" s="46"/>
      <x:c r="K591" s="46"/>
      <x:c r="L591" s="46"/>
      <x:c r="M591" s="46"/>
      <x:c r="N591" s="46"/>
      <x:c r="O591" s="46"/>
      <x:c r="P591" s="46"/>
      <x:c r="Q591" s="46"/>
      <x:c r="R591" s="46"/>
      <x:c r="S591" s="46"/>
      <x:c r="T591" s="46"/>
      <x:c r="U591" s="46"/>
      <x:c r="V591" s="46"/>
      <x:c r="W591" s="46"/>
    </x:row>
    <x:row r="592">
      <x:c r="A592" s="46"/>
      <x:c r="B592" s="46"/>
      <x:c r="C592" s="46"/>
      <x:c r="D592" s="46"/>
      <x:c r="E592" s="46"/>
      <x:c r="F592" s="46"/>
      <x:c r="G592" s="46"/>
      <x:c r="H592" s="46"/>
      <x:c r="I592" s="46"/>
      <x:c r="J592" s="46"/>
      <x:c r="K592" s="46"/>
      <x:c r="L592" s="46"/>
      <x:c r="M592" s="46"/>
      <x:c r="N592" s="46"/>
      <x:c r="O592" s="46"/>
      <x:c r="P592" s="46"/>
      <x:c r="Q592" s="46"/>
      <x:c r="R592" s="46"/>
      <x:c r="S592" s="46"/>
      <x:c r="T592" s="46"/>
      <x:c r="U592" s="46"/>
      <x:c r="V592" s="46"/>
      <x:c r="W592" s="46"/>
    </x:row>
    <x:row r="593">
      <x:c r="A593" s="46"/>
      <x:c r="B593" s="46"/>
      <x:c r="C593" s="46"/>
      <x:c r="D593" s="46"/>
      <x:c r="E593" s="46"/>
      <x:c r="F593" s="46"/>
      <x:c r="G593" s="46"/>
      <x:c r="H593" s="46"/>
      <x:c r="I593" s="46"/>
      <x:c r="J593" s="46"/>
      <x:c r="K593" s="46"/>
      <x:c r="L593" s="46"/>
      <x:c r="M593" s="46"/>
      <x:c r="N593" s="46"/>
      <x:c r="O593" s="46"/>
      <x:c r="P593" s="46"/>
      <x:c r="Q593" s="46"/>
      <x:c r="R593" s="46"/>
      <x:c r="S593" s="46"/>
      <x:c r="T593" s="46"/>
      <x:c r="U593" s="46"/>
      <x:c r="V593" s="46"/>
      <x:c r="W593" s="46"/>
    </x:row>
    <x:row r="594">
      <x:c r="A594" s="46"/>
      <x:c r="B594" s="46"/>
      <x:c r="C594" s="46"/>
      <x:c r="D594" s="46"/>
      <x:c r="E594" s="46"/>
      <x:c r="F594" s="46"/>
      <x:c r="G594" s="46"/>
      <x:c r="H594" s="46"/>
      <x:c r="I594" s="46"/>
      <x:c r="J594" s="46"/>
      <x:c r="K594" s="46"/>
      <x:c r="L594" s="46"/>
      <x:c r="M594" s="46"/>
      <x:c r="N594" s="46"/>
      <x:c r="O594" s="46"/>
      <x:c r="P594" s="46"/>
      <x:c r="Q594" s="46"/>
      <x:c r="R594" s="46"/>
      <x:c r="S594" s="46"/>
      <x:c r="T594" s="46"/>
      <x:c r="U594" s="46"/>
      <x:c r="V594" s="46"/>
      <x:c r="W594" s="46"/>
    </x:row>
    <x:row r="595">
      <x:c r="A595" s="46"/>
      <x:c r="B595" s="46"/>
      <x:c r="C595" s="46"/>
      <x:c r="D595" s="46"/>
      <x:c r="E595" s="46"/>
      <x:c r="F595" s="46"/>
      <x:c r="G595" s="46"/>
      <x:c r="H595" s="46"/>
      <x:c r="I595" s="46"/>
      <x:c r="J595" s="46"/>
      <x:c r="K595" s="46"/>
      <x:c r="L595" s="46"/>
      <x:c r="M595" s="46"/>
      <x:c r="N595" s="46"/>
      <x:c r="O595" s="46"/>
      <x:c r="P595" s="46"/>
      <x:c r="Q595" s="46"/>
      <x:c r="R595" s="46"/>
      <x:c r="S595" s="46"/>
      <x:c r="T595" s="46"/>
      <x:c r="U595" s="46"/>
      <x:c r="V595" s="46"/>
      <x:c r="W595" s="46"/>
    </x:row>
    <x:row r="596">
      <x:c r="A596" s="46"/>
      <x:c r="B596" s="46"/>
      <x:c r="C596" s="46"/>
      <x:c r="D596" s="46"/>
      <x:c r="E596" s="46"/>
      <x:c r="F596" s="46"/>
      <x:c r="G596" s="46"/>
      <x:c r="H596" s="46"/>
      <x:c r="I596" s="46"/>
      <x:c r="J596" s="46"/>
      <x:c r="K596" s="46"/>
      <x:c r="L596" s="46"/>
      <x:c r="M596" s="46"/>
      <x:c r="N596" s="46"/>
      <x:c r="O596" s="46"/>
      <x:c r="P596" s="46"/>
      <x:c r="Q596" s="46"/>
      <x:c r="R596" s="46"/>
      <x:c r="S596" s="46"/>
      <x:c r="T596" s="46"/>
      <x:c r="U596" s="46"/>
      <x:c r="V596" s="46"/>
      <x:c r="W596" s="46"/>
    </x:row>
    <x:row r="597">
      <x:c r="A597" s="46"/>
      <x:c r="B597" s="46"/>
      <x:c r="C597" s="46"/>
      <x:c r="D597" s="46"/>
      <x:c r="E597" s="46"/>
      <x:c r="F597" s="46"/>
      <x:c r="G597" s="46"/>
      <x:c r="H597" s="46"/>
      <x:c r="I597" s="46"/>
      <x:c r="J597" s="46"/>
      <x:c r="K597" s="46"/>
      <x:c r="L597" s="46"/>
      <x:c r="M597" s="46"/>
      <x:c r="N597" s="46"/>
      <x:c r="O597" s="46"/>
      <x:c r="P597" s="46"/>
      <x:c r="Q597" s="46"/>
      <x:c r="R597" s="46"/>
      <x:c r="S597" s="46"/>
      <x:c r="T597" s="46"/>
      <x:c r="U597" s="46"/>
      <x:c r="V597" s="46"/>
      <x:c r="W597" s="46"/>
    </x:row>
    <x:row r="598">
      <x:c r="A598" s="46"/>
      <x:c r="B598" s="46"/>
      <x:c r="C598" s="46"/>
      <x:c r="D598" s="46"/>
      <x:c r="E598" s="46"/>
      <x:c r="F598" s="46"/>
      <x:c r="G598" s="46"/>
      <x:c r="H598" s="46"/>
      <x:c r="I598" s="46"/>
      <x:c r="J598" s="46"/>
      <x:c r="K598" s="46"/>
      <x:c r="L598" s="46"/>
      <x:c r="M598" s="46"/>
      <x:c r="N598" s="46"/>
      <x:c r="O598" s="46"/>
      <x:c r="P598" s="46"/>
      <x:c r="Q598" s="46"/>
      <x:c r="R598" s="46"/>
      <x:c r="S598" s="46"/>
      <x:c r="T598" s="46"/>
      <x:c r="U598" s="46"/>
      <x:c r="V598" s="46"/>
      <x:c r="W598" s="46"/>
    </x:row>
    <x:row r="599">
      <x:c r="A599" s="46"/>
      <x:c r="B599" s="46"/>
      <x:c r="C599" s="46"/>
      <x:c r="D599" s="46"/>
      <x:c r="E599" s="46"/>
      <x:c r="F599" s="46"/>
      <x:c r="G599" s="46"/>
      <x:c r="H599" s="46"/>
      <x:c r="I599" s="46"/>
      <x:c r="J599" s="46"/>
      <x:c r="K599" s="46"/>
      <x:c r="L599" s="46"/>
      <x:c r="M599" s="46"/>
      <x:c r="N599" s="46"/>
      <x:c r="O599" s="46"/>
      <x:c r="P599" s="46"/>
      <x:c r="Q599" s="46"/>
      <x:c r="R599" s="46"/>
      <x:c r="S599" s="46"/>
      <x:c r="T599" s="46"/>
      <x:c r="U599" s="46"/>
      <x:c r="V599" s="46"/>
      <x:c r="W599" s="46"/>
    </x:row>
    <x:row r="600">
      <x:c r="A600" s="46"/>
      <x:c r="B600" s="46"/>
      <x:c r="C600" s="46"/>
      <x:c r="D600" s="46"/>
      <x:c r="E600" s="46"/>
      <x:c r="F600" s="46"/>
      <x:c r="G600" s="46"/>
      <x:c r="H600" s="46"/>
      <x:c r="I600" s="46"/>
      <x:c r="J600" s="46"/>
      <x:c r="K600" s="46"/>
      <x:c r="L600" s="46"/>
      <x:c r="M600" s="46"/>
      <x:c r="N600" s="46"/>
      <x:c r="O600" s="46"/>
      <x:c r="P600" s="46"/>
      <x:c r="Q600" s="46"/>
      <x:c r="R600" s="46"/>
      <x:c r="S600" s="46"/>
      <x:c r="T600" s="46"/>
      <x:c r="U600" s="46"/>
      <x:c r="V600" s="46"/>
      <x:c r="W600" s="46"/>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36" hidden="0" customWidth="1"/>
    <x:col min="3" max="3" width="16" hidden="0" customWidth="1"/>
    <x:col min="4" max="4" width="25" hidden="0" customWidth="1"/>
    <x:col min="5" max="5" width="28" hidden="0" customWidth="1"/>
    <x:col min="6" max="6" width="50" hidden="0" customWidth="1"/>
    <x:col min="7" max="7" width="24" hidden="0" customWidth="1"/>
    <x:col min="8" max="8" width="24" hidden="0" customWidth="1"/>
    <x:col min="9" max="9" width="35" hidden="0" customWidth="1"/>
    <x:col min="10" max="10" width="32" hidden="0" customWidth="1"/>
    <x:col min="11" max="11" width="32" hidden="0" customWidth="1"/>
    <x:col min="12" max="12" width="32" hidden="0" customWidth="1"/>
    <x:col min="13" max="13" width="58" hidden="0" customWidth="1"/>
  </x:cols>
  <x:sheetData>
    <x:row r="1" ht="36" customHeight="1">
      <x:c r="A1" s="93" t="str">
        <x:v>compound_id</x:v>
      </x:c>
      <x:c r="B1" s="93" t="str">
        <x:v>canonical_name</x:v>
      </x:c>
      <x:c r="C1" s="93" t="str">
        <x:v>cas</x:v>
      </x:c>
      <x:c r="D1" s="93" t="str">
        <x:v>compound_group</x:v>
      </x:c>
      <x:c r="E1" s="93" t="str">
        <x:v>identity_source_type</x:v>
      </x:c>
      <x:c r="F1" s="93" t="str">
        <x:v>identity_source_url</x:v>
      </x:c>
      <x:c r="G1" s="93" t="str">
        <x:v>identity_status</x:v>
      </x:c>
      <x:c r="H1" s="93" t="str">
        <x:v>native_raw_origin_evidence</x:v>
      </x:c>
      <x:c r="I1" s="93" t="str">
        <x:v>braised_squab_role</x:v>
      </x:c>
      <x:c r="J1" s="93" t="str">
        <x:v>roasted_pigeon_role</x:v>
      </x:c>
      <x:c r="K1" s="93" t="str">
        <x:v>source_refs</x:v>
      </x:c>
      <x:c r="L1" s="93" t="str">
        <x:v>promotion_status</x:v>
      </x:c>
      <x:c r="M1" s="93" t="str">
        <x:v>registry_notes</x:v>
      </x:c>
    </x:row>
    <x:row r="2">
      <x:c r="A2" s="46" t="str">
        <x:v>PIG-CMP-001</x:v>
      </x:c>
      <x:c r="B2" s="46" t="str">
        <x:v>methional</x:v>
      </x:c>
      <x:c r="C2" s="46" t="str">
        <x:v>3268-49-3</x:v>
      </x:c>
      <x:c r="D2" s="46" t="str">
        <x:v>Sulfur compounds</x:v>
      </x:c>
      <x:c r="E2" s="46" t="str">
        <x:v>institutional chemical registry</x:v>
      </x:c>
      <x:c r="F2" s="46" t="str">
        <x:v>https://pubchem.ncbi.nlm.nih.gov/compound/Methional</x:v>
      </x:c>
      <x:c r="G2" s="46" t="str">
        <x:v>verified</x:v>
      </x:c>
      <x:c r="H2" s="46" t="str">
        <x:v>yes_source_attributed</x:v>
      </x:c>
      <x:c r="I2" s="46" t="str">
        <x:v>yes</x:v>
      </x:c>
      <x:c r="J2" s="46" t="str"/>
      <x:c r="K2" s="46" t="str">
        <x:v>SRC-SQUAB-BRAISE-001</x:v>
      </x:c>
      <x:c r="L2" s="46" t="str">
        <x:v>eligible_with_source_role_boundary</x:v>
      </x:c>
      <x:c r="M2" s="46" t="str"/>
    </x:row>
    <x:row r="3">
      <x:c r="A3" s="46" t="str">
        <x:v>PIG-CMP-002</x:v>
      </x:c>
      <x:c r="B3" s="46" t="str">
        <x:v>1-octen-3-ol</x:v>
      </x:c>
      <x:c r="C3" s="46" t="str">
        <x:v>3391-86-4</x:v>
      </x:c>
      <x:c r="D3" s="46" t="str">
        <x:v>Alcohols</x:v>
      </x:c>
      <x:c r="E3" s="46" t="str">
        <x:v>institutional chemical registry</x:v>
      </x:c>
      <x:c r="F3" s="46" t="str">
        <x:v>https://pubchem.ncbi.nlm.nih.gov/compound/1-Octen-3-Ol</x:v>
      </x:c>
      <x:c r="G3" s="46" t="str">
        <x:v>verified</x:v>
      </x:c>
      <x:c r="H3" s="46" t="str">
        <x:v>yes_source_attributed</x:v>
      </x:c>
      <x:c r="I3" s="46" t="str">
        <x:v>yes</x:v>
      </x:c>
      <x:c r="J3" s="46" t="str"/>
      <x:c r="K3" s="46" t="str">
        <x:v>SRC-SQUAB-BRAISE-001</x:v>
      </x:c>
      <x:c r="L3" s="46" t="str">
        <x:v>eligible_with_source_role_boundary</x:v>
      </x:c>
      <x:c r="M3" s="46" t="str"/>
    </x:row>
    <x:row r="4">
      <x:c r="A4" s="46" t="str">
        <x:v>PIG-CMP-003</x:v>
      </x:c>
      <x:c r="B4" s="46" t="str">
        <x:v>hexanal</x:v>
      </x:c>
      <x:c r="C4" s="46" t="str">
        <x:v>66-25-1</x:v>
      </x:c>
      <x:c r="D4" s="46" t="str">
        <x:v>Carbonyls, aldehydes</x:v>
      </x:c>
      <x:c r="E4" s="46" t="str">
        <x:v>institutional chemical registry</x:v>
      </x:c>
      <x:c r="F4" s="46" t="str">
        <x:v>https://pubchem.ncbi.nlm.nih.gov/compound/Hexanal</x:v>
      </x:c>
      <x:c r="G4" s="46" t="str">
        <x:v>verified</x:v>
      </x:c>
      <x:c r="H4" s="46" t="str">
        <x:v>yes_source_attributed</x:v>
      </x:c>
      <x:c r="I4" s="46" t="str">
        <x:v>yes</x:v>
      </x:c>
      <x:c r="J4" s="46" t="str"/>
      <x:c r="K4" s="46" t="str">
        <x:v>SRC-SQUAB-BRAISE-001</x:v>
      </x:c>
      <x:c r="L4" s="46" t="str">
        <x:v>eligible_with_source_role_boundary</x:v>
      </x:c>
      <x:c r="M4" s="46" t="str"/>
    </x:row>
    <x:row r="5">
      <x:c r="A5" s="46" t="str">
        <x:v>PIG-CMP-004</x:v>
      </x:c>
      <x:c r="B5" s="46" t="str">
        <x:v>phenylacetaldehyde</x:v>
      </x:c>
      <x:c r="C5" s="46" t="str">
        <x:v>122-78-1</x:v>
      </x:c>
      <x:c r="D5" s="46" t="str">
        <x:v>Carbonyls, aldehydes</x:v>
      </x:c>
      <x:c r="E5" s="46" t="str">
        <x:v>institutional chemical registry</x:v>
      </x:c>
      <x:c r="F5" s="46" t="str">
        <x:v>https://pubchem.ncbi.nlm.nih.gov/compound/Phenylacetaldehyde</x:v>
      </x:c>
      <x:c r="G5" s="46" t="str">
        <x:v>verified</x:v>
      </x:c>
      <x:c r="H5" s="46" t="str">
        <x:v>yes_source_attributed</x:v>
      </x:c>
      <x:c r="I5" s="46" t="str">
        <x:v>yes</x:v>
      </x:c>
      <x:c r="J5" s="46" t="str"/>
      <x:c r="K5" s="46" t="str">
        <x:v>SRC-SQUAB-BRAISE-001</x:v>
      </x:c>
      <x:c r="L5" s="46" t="str">
        <x:v>eligible_with_source_role_boundary</x:v>
      </x:c>
      <x:c r="M5" s="46" t="str"/>
    </x:row>
    <x:row r="6">
      <x:c r="A6" s="46" t="str">
        <x:v>PIG-CMP-005</x:v>
      </x:c>
      <x:c r="B6" s="46" t="str">
        <x:v>2-pentylfuran</x:v>
      </x:c>
      <x:c r="C6" s="46" t="str">
        <x:v>3777-69-3</x:v>
      </x:c>
      <x:c r="D6" s="46" t="str">
        <x:v>Furans</x:v>
      </x:c>
      <x:c r="E6" s="46" t="str">
        <x:v>institutional chemical registry</x:v>
      </x:c>
      <x:c r="F6" s="46" t="str">
        <x:v>https://pubchem.ncbi.nlm.nih.gov/compound/2-Pentylfuran</x:v>
      </x:c>
      <x:c r="G6" s="46" t="str">
        <x:v>verified</x:v>
      </x:c>
      <x:c r="H6" s="46" t="str">
        <x:v>yes_source_attributed</x:v>
      </x:c>
      <x:c r="I6" s="46" t="str">
        <x:v>yes</x:v>
      </x:c>
      <x:c r="J6" s="46" t="str"/>
      <x:c r="K6" s="46" t="str">
        <x:v>SRC-SQUAB-BRAISE-001</x:v>
      </x:c>
      <x:c r="L6" s="46" t="str">
        <x:v>eligible_with_source_role_boundary</x:v>
      </x:c>
      <x:c r="M6" s="46" t="str"/>
    </x:row>
    <x:row r="7">
      <x:c r="A7" s="46" t="str">
        <x:v>PIG-CMP-006</x:v>
      </x:c>
      <x:c r="B7" s="46" t="str">
        <x:v>2,5-dimethylpyrazine</x:v>
      </x:c>
      <x:c r="C7" s="46" t="str">
        <x:v>123-32-0</x:v>
      </x:c>
      <x:c r="D7" s="46" t="str">
        <x:v>Bases</x:v>
      </x:c>
      <x:c r="E7" s="46" t="str">
        <x:v>institutional chemical registry</x:v>
      </x:c>
      <x:c r="F7" s="46" t="str">
        <x:v>https://pubchem.ncbi.nlm.nih.gov/compound/2_5-Dimethylpyrazine</x:v>
      </x:c>
      <x:c r="G7" s="46" t="str">
        <x:v>verified</x:v>
      </x:c>
      <x:c r="H7" s="46" t="str"/>
      <x:c r="I7" s="46" t="str">
        <x:v>yes</x:v>
      </x:c>
      <x:c r="J7" s="46" t="str"/>
      <x:c r="K7" s="46" t="str">
        <x:v>SRC-SQUAB-BRAISE-001</x:v>
      </x:c>
      <x:c r="L7" s="46" t="str">
        <x:v>eligible_with_source_role_boundary</x:v>
      </x:c>
      <x:c r="M7" s="46" t="str"/>
    </x:row>
    <x:row r="8">
      <x:c r="A8" s="46" t="str">
        <x:v>PIG-CMP-007</x:v>
      </x:c>
      <x:c r="B8" s="46" t="str">
        <x:v>3-ethyl-2,5-dimethylpyrazine</x:v>
      </x:c>
      <x:c r="C8" s="46" t="str">
        <x:v>13360-65-1</x:v>
      </x:c>
      <x:c r="D8" s="46" t="str">
        <x:v>Bases</x:v>
      </x:c>
      <x:c r="E8" s="46" t="str">
        <x:v>institutional chemical registry</x:v>
      </x:c>
      <x:c r="F8" s="46" t="str">
        <x:v>https://pubchem.ncbi.nlm.nih.gov/compound/3-Ethyl-2_5-dimethylpyrazine</x:v>
      </x:c>
      <x:c r="G8" s="46" t="str">
        <x:v>verified</x:v>
      </x:c>
      <x:c r="H8" s="46" t="str"/>
      <x:c r="I8" s="46" t="str">
        <x:v>yes</x:v>
      </x:c>
      <x:c r="J8" s="46" t="str"/>
      <x:c r="K8" s="46" t="str">
        <x:v>SRC-SQUAB-BRAISE-001</x:v>
      </x:c>
      <x:c r="L8" s="46" t="str">
        <x:v>eligible_with_source_role_boundary</x:v>
      </x:c>
      <x:c r="M8" s="46" t="str"/>
    </x:row>
    <x:row r="9">
      <x:c r="A9" s="46" t="str">
        <x:v>PIG-CMP-008</x:v>
      </x:c>
      <x:c r="B9" s="46" t="str">
        <x:v>furfural</x:v>
      </x:c>
      <x:c r="C9" s="46" t="str">
        <x:v>98-01-1</x:v>
      </x:c>
      <x:c r="D9" s="46" t="str">
        <x:v>Furans</x:v>
      </x:c>
      <x:c r="E9" s="46" t="str">
        <x:v>institutional chemical registry</x:v>
      </x:c>
      <x:c r="F9" s="46" t="str">
        <x:v>https://pubchem.ncbi.nlm.nih.gov/compound/Furfural</x:v>
      </x:c>
      <x:c r="G9" s="46" t="str">
        <x:v>verified</x:v>
      </x:c>
      <x:c r="H9" s="46" t="str"/>
      <x:c r="I9" s="46" t="str">
        <x:v>yes</x:v>
      </x:c>
      <x:c r="J9" s="46" t="str"/>
      <x:c r="K9" s="46" t="str">
        <x:v>SRC-SQUAB-BRAISE-001</x:v>
      </x:c>
      <x:c r="L9" s="46" t="str">
        <x:v>eligible_with_source_role_boundary</x:v>
      </x:c>
      <x:c r="M9" s="46" t="str"/>
    </x:row>
    <x:row r="10">
      <x:c r="A10" s="46" t="str">
        <x:v>PIG-CMP-009</x:v>
      </x:c>
      <x:c r="B10" s="46" t="str">
        <x:v>maltol</x:v>
      </x:c>
      <x:c r="C10" s="46" t="str">
        <x:v>118-71-8</x:v>
      </x:c>
      <x:c r="D10" s="46" t="str">
        <x:v>(Ep)oxides, pyrans, coumarins</x:v>
      </x:c>
      <x:c r="E10" s="46" t="str">
        <x:v>institutional chemical registry</x:v>
      </x:c>
      <x:c r="F10" s="46" t="str">
        <x:v>https://pubchem.ncbi.nlm.nih.gov/compound/Maltol</x:v>
      </x:c>
      <x:c r="G10" s="46" t="str">
        <x:v>verified</x:v>
      </x:c>
      <x:c r="H10" s="46" t="str"/>
      <x:c r="I10" s="46" t="str">
        <x:v>yes</x:v>
      </x:c>
      <x:c r="J10" s="46" t="str"/>
      <x:c r="K10" s="46" t="str">
        <x:v>SRC-SQUAB-BRAISE-001</x:v>
      </x:c>
      <x:c r="L10" s="46" t="str">
        <x:v>eligible_with_source_role_boundary</x:v>
      </x:c>
      <x:c r="M10" s="46" t="str"/>
    </x:row>
    <x:row r="11">
      <x:c r="A11" s="46" t="str">
        <x:v>PIG-CMP-010</x:v>
      </x:c>
      <x:c r="B11" s="46" t="str">
        <x:v>terpinen-4-ol</x:v>
      </x:c>
      <x:c r="C11" s="46" t="str">
        <x:v>562-74-3</x:v>
      </x:c>
      <x:c r="D11" s="46" t="str">
        <x:v>Alcohols</x:v>
      </x:c>
      <x:c r="E11" s="46" t="str">
        <x:v>institutional chemical registry</x:v>
      </x:c>
      <x:c r="F11" s="46" t="str">
        <x:v>https://pubchem.ncbi.nlm.nih.gov/compound/Terpinen-4-ol</x:v>
      </x:c>
      <x:c r="G11" s="46" t="str">
        <x:v>verified</x:v>
      </x:c>
      <x:c r="H11" s="46" t="str"/>
      <x:c r="I11" s="46" t="str">
        <x:v>yes</x:v>
      </x:c>
      <x:c r="J11" s="46" t="str"/>
      <x:c r="K11" s="46" t="str">
        <x:v>SRC-SQUAB-BRAISE-001</x:v>
      </x:c>
      <x:c r="L11" s="46" t="str">
        <x:v>eligible_with_source_role_boundary</x:v>
      </x:c>
      <x:c r="M11" s="46" t="str"/>
    </x:row>
    <x:row r="12">
      <x:c r="A12" s="46" t="str">
        <x:v>PIG-CMP-011</x:v>
      </x:c>
      <x:c r="B12" s="46" t="str">
        <x:v>o-cymene</x:v>
      </x:c>
      <x:c r="C12" s="46" t="str">
        <x:v>527-84-4</x:v>
      </x:c>
      <x:c r="D12" s="46" t="str">
        <x:v>Hydrocarbons</x:v>
      </x:c>
      <x:c r="E12" s="46" t="str">
        <x:v>institutional chemical registry</x:v>
      </x:c>
      <x:c r="F12" s="46" t="str">
        <x:v>https://pubchem.ncbi.nlm.nih.gov/compound/O-Cymene</x:v>
      </x:c>
      <x:c r="G12" s="46" t="str">
        <x:v>verified</x:v>
      </x:c>
      <x:c r="H12" s="46" t="str"/>
      <x:c r="I12" s="46" t="str">
        <x:v>yes</x:v>
      </x:c>
      <x:c r="J12" s="46" t="str"/>
      <x:c r="K12" s="46" t="str">
        <x:v>SRC-SQUAB-BRAISE-001</x:v>
      </x:c>
      <x:c r="L12" s="46" t="str">
        <x:v>eligible_with_source_role_boundary</x:v>
      </x:c>
      <x:c r="M12" s="46" t="str"/>
    </x:row>
    <x:row r="13">
      <x:c r="A13" s="46" t="str">
        <x:v>PIG-CMP-012</x:v>
      </x:c>
      <x:c r="B13" s="46" t="str">
        <x:v>D-limonene</x:v>
      </x:c>
      <x:c r="C13" s="46" t="str">
        <x:v>5989-27-5</x:v>
      </x:c>
      <x:c r="D13" s="46" t="str">
        <x:v>Hydrocarbons</x:v>
      </x:c>
      <x:c r="E13" s="46" t="str">
        <x:v>institutional chemical registry</x:v>
      </x:c>
      <x:c r="F13" s="46" t="str">
        <x:v>https://pubchem.ncbi.nlm.nih.gov/compound/D-Limonene</x:v>
      </x:c>
      <x:c r="G13" s="46" t="str">
        <x:v>verified</x:v>
      </x:c>
      <x:c r="H13" s="46" t="str"/>
      <x:c r="I13" s="46" t="str">
        <x:v>yes</x:v>
      </x:c>
      <x:c r="J13" s="46" t="str"/>
      <x:c r="K13" s="46" t="str">
        <x:v>SRC-SQUAB-BRAISE-001</x:v>
      </x:c>
      <x:c r="L13" s="46" t="str">
        <x:v>eligible_with_source_role_boundary</x:v>
      </x:c>
      <x:c r="M13" s="46" t="str"/>
    </x:row>
    <x:row r="14">
      <x:c r="A14" s="46" t="str">
        <x:v>PIG-CMP-013</x:v>
      </x:c>
      <x:c r="B14" s="46" t="str">
        <x:v>eucalyptol</x:v>
      </x:c>
      <x:c r="C14" s="46" t="str">
        <x:v>470-82-6</x:v>
      </x:c>
      <x:c r="D14" s="46" t="str">
        <x:v>Ethers</x:v>
      </x:c>
      <x:c r="E14" s="46" t="str">
        <x:v>institutional chemical registry</x:v>
      </x:c>
      <x:c r="F14" s="46" t="str">
        <x:v>https://pubchem.ncbi.nlm.nih.gov/compound/Eucalyptol</x:v>
      </x:c>
      <x:c r="G14" s="46" t="str">
        <x:v>verified</x:v>
      </x:c>
      <x:c r="H14" s="46" t="str"/>
      <x:c r="I14" s="46" t="str">
        <x:v>yes</x:v>
      </x:c>
      <x:c r="J14" s="46" t="str"/>
      <x:c r="K14" s="46" t="str">
        <x:v>SRC-SQUAB-BRAISE-001</x:v>
      </x:c>
      <x:c r="L14" s="46" t="str">
        <x:v>eligible_with_source_role_boundary</x:v>
      </x:c>
      <x:c r="M14" s="46" t="str"/>
    </x:row>
    <x:row r="15">
      <x:c r="A15" s="46" t="str">
        <x:v>PIG-CMP-014</x:v>
      </x:c>
      <x:c r="B15" s="46" t="str">
        <x:v>anethole</x:v>
      </x:c>
      <x:c r="C15" s="46" t="str">
        <x:v>104-46-1</x:v>
      </x:c>
      <x:c r="D15" s="46" t="str">
        <x:v>Ethers</x:v>
      </x:c>
      <x:c r="E15" s="46" t="str">
        <x:v>institutional chemical registry</x:v>
      </x:c>
      <x:c r="F15" s="46" t="str">
        <x:v>https://pubchem.ncbi.nlm.nih.gov/compound/Anethole</x:v>
      </x:c>
      <x:c r="G15" s="46" t="str">
        <x:v>verified</x:v>
      </x:c>
      <x:c r="H15" s="46" t="str"/>
      <x:c r="I15" s="46" t="str">
        <x:v>yes</x:v>
      </x:c>
      <x:c r="J15" s="46" t="str"/>
      <x:c r="K15" s="46" t="str">
        <x:v>SRC-SQUAB-BRAISE-001</x:v>
      </x:c>
      <x:c r="L15" s="46" t="str">
        <x:v>eligible_with_source_role_boundary</x:v>
      </x:c>
      <x:c r="M15" s="46" t="str">
        <x:v>Primary squab source names anethole without resolving a stereochemical/isomer claim in accessible text; use generic/common identity only.</x:v>
      </x:c>
    </x:row>
    <x:row r="16">
      <x:c r="A16" s="46" t="str">
        <x:v>PIG-CMP-015</x:v>
      </x:c>
      <x:c r="B16" s="46" t="str">
        <x:v>5-methyl-2,3-diethylpyrazine</x:v>
      </x:c>
      <x:c r="C16" s="46" t="str">
        <x:v>18138-04-0</x:v>
      </x:c>
      <x:c r="D16" s="46" t="str">
        <x:v>Bases</x:v>
      </x:c>
      <x:c r="E16" s="46" t="str">
        <x:v>institutional chemical registry</x:v>
      </x:c>
      <x:c r="F16" s="46" t="str">
        <x:v>https://webbook.nist.gov/cgi/cbook.cgi?ID=C18138040</x:v>
      </x:c>
      <x:c r="G16" s="46" t="str">
        <x:v>verified</x:v>
      </x:c>
      <x:c r="H16" s="46" t="str"/>
      <x:c r="I16" s="46" t="str"/>
      <x:c r="J16" s="46" t="str">
        <x:v>explicit_named_key</x:v>
      </x:c>
      <x:c r="K16" s="46" t="str">
        <x:v>SRC-PIGEON-ROAST-001</x:v>
      </x:c>
      <x:c r="L16" s="46" t="str">
        <x:v>eligible_with_source_role_boundary</x:v>
      </x:c>
      <x:c r="M16" s="46" t="str"/>
    </x:row>
    <x:row r="17">
      <x:c r="A17" s="46"/>
      <x:c r="B17" s="46"/>
      <x:c r="C17" s="46"/>
      <x:c r="D17" s="46"/>
      <x:c r="E17" s="46"/>
      <x:c r="F17" s="46"/>
      <x:c r="G17" s="46"/>
      <x:c r="H17" s="46"/>
      <x:c r="I17" s="46"/>
      <x:c r="J17" s="46"/>
      <x:c r="K17" s="46"/>
      <x:c r="L17" s="46"/>
      <x:c r="M17" s="46"/>
    </x:row>
    <x:row r="18">
      <x:c r="A18" s="46"/>
      <x:c r="B18" s="46"/>
      <x:c r="C18" s="46"/>
      <x:c r="D18" s="46"/>
      <x:c r="E18" s="46"/>
      <x:c r="F18" s="46"/>
      <x:c r="G18" s="46"/>
      <x:c r="H18" s="46"/>
      <x:c r="I18" s="46"/>
      <x:c r="J18" s="46"/>
      <x:c r="K18" s="46"/>
      <x:c r="L18" s="46"/>
      <x:c r="M18" s="46"/>
    </x:row>
    <x:row r="19">
      <x:c r="A19" s="46"/>
      <x:c r="B19" s="46"/>
      <x:c r="C19" s="46"/>
      <x:c r="D19" s="46"/>
      <x:c r="E19" s="46"/>
      <x:c r="F19" s="46"/>
      <x:c r="G19" s="46"/>
      <x:c r="H19" s="46"/>
      <x:c r="I19" s="46"/>
      <x:c r="J19" s="46"/>
      <x:c r="K19" s="46"/>
      <x:c r="L19" s="46"/>
      <x:c r="M19" s="46"/>
    </x:row>
    <x:row r="20">
      <x:c r="A20" s="46"/>
      <x:c r="B20" s="46"/>
      <x:c r="C20" s="46"/>
      <x:c r="D20" s="46"/>
      <x:c r="E20" s="46"/>
      <x:c r="F20" s="46"/>
      <x:c r="G20" s="46"/>
      <x:c r="H20" s="46"/>
      <x:c r="I20" s="46"/>
      <x:c r="J20" s="46"/>
      <x:c r="K20" s="46"/>
      <x:c r="L20" s="46"/>
      <x:c r="M20" s="46"/>
    </x:row>
    <x:row r="21">
      <x:c r="A21" s="46"/>
      <x:c r="B21" s="46"/>
      <x:c r="C21" s="46"/>
      <x:c r="D21" s="46"/>
      <x:c r="E21" s="46"/>
      <x:c r="F21" s="46"/>
      <x:c r="G21" s="46"/>
      <x:c r="H21" s="46"/>
      <x:c r="I21" s="46"/>
      <x:c r="J21" s="46"/>
      <x:c r="K21" s="46"/>
      <x:c r="L21" s="46"/>
      <x:c r="M21" s="46"/>
    </x:row>
    <x:row r="22">
      <x:c r="A22" s="46"/>
      <x:c r="B22" s="46"/>
      <x:c r="C22" s="46"/>
      <x:c r="D22" s="46"/>
      <x:c r="E22" s="46"/>
      <x:c r="F22" s="46"/>
      <x:c r="G22" s="46"/>
      <x:c r="H22" s="46"/>
      <x:c r="I22" s="46"/>
      <x:c r="J22" s="46"/>
      <x:c r="K22" s="46"/>
      <x:c r="L22" s="46"/>
      <x:c r="M22" s="46"/>
    </x:row>
    <x:row r="23">
      <x:c r="A23" s="46"/>
      <x:c r="B23" s="46"/>
      <x:c r="C23" s="46"/>
      <x:c r="D23" s="46"/>
      <x:c r="E23" s="46"/>
      <x:c r="F23" s="46"/>
      <x:c r="G23" s="46"/>
      <x:c r="H23" s="46"/>
      <x:c r="I23" s="46"/>
      <x:c r="J23" s="46"/>
      <x:c r="K23" s="46"/>
      <x:c r="L23" s="46"/>
      <x:c r="M23" s="46"/>
    </x:row>
    <x:row r="24">
      <x:c r="A24" s="46"/>
      <x:c r="B24" s="46"/>
      <x:c r="C24" s="46"/>
      <x:c r="D24" s="46"/>
      <x:c r="E24" s="46"/>
      <x:c r="F24" s="46"/>
      <x:c r="G24" s="46"/>
      <x:c r="H24" s="46"/>
      <x:c r="I24" s="46"/>
      <x:c r="J24" s="46"/>
      <x:c r="K24" s="46"/>
      <x:c r="L24" s="46"/>
      <x:c r="M24" s="46"/>
    </x:row>
    <x:row r="25">
      <x:c r="A25" s="46"/>
      <x:c r="B25" s="46"/>
      <x:c r="C25" s="46"/>
      <x:c r="D25" s="46"/>
      <x:c r="E25" s="46"/>
      <x:c r="F25" s="46"/>
      <x:c r="G25" s="46"/>
      <x:c r="H25" s="46"/>
      <x:c r="I25" s="46"/>
      <x:c r="J25" s="46"/>
      <x:c r="K25" s="46"/>
      <x:c r="L25" s="46"/>
      <x:c r="M25" s="46"/>
    </x:row>
    <x:row r="26">
      <x:c r="A26" s="46"/>
      <x:c r="B26" s="46"/>
      <x:c r="C26" s="46"/>
      <x:c r="D26" s="46"/>
      <x:c r="E26" s="46"/>
      <x:c r="F26" s="46"/>
      <x:c r="G26" s="46"/>
      <x:c r="H26" s="46"/>
      <x:c r="I26" s="46"/>
      <x:c r="J26" s="46"/>
      <x:c r="K26" s="46"/>
      <x:c r="L26" s="46"/>
      <x:c r="M26" s="46"/>
    </x:row>
    <x:row r="27">
      <x:c r="A27" s="46"/>
      <x:c r="B27" s="46"/>
      <x:c r="C27" s="46"/>
      <x:c r="D27" s="46"/>
      <x:c r="E27" s="46"/>
      <x:c r="F27" s="46"/>
      <x:c r="G27" s="46"/>
      <x:c r="H27" s="46"/>
      <x:c r="I27" s="46"/>
      <x:c r="J27" s="46"/>
      <x:c r="K27" s="46"/>
      <x:c r="L27" s="46"/>
      <x:c r="M27" s="46"/>
    </x:row>
    <x:row r="28">
      <x:c r="A28" s="46"/>
      <x:c r="B28" s="46"/>
      <x:c r="C28" s="46"/>
      <x:c r="D28" s="46"/>
      <x:c r="E28" s="46"/>
      <x:c r="F28" s="46"/>
      <x:c r="G28" s="46"/>
      <x:c r="H28" s="46"/>
      <x:c r="I28" s="46"/>
      <x:c r="J28" s="46"/>
      <x:c r="K28" s="46"/>
      <x:c r="L28" s="46"/>
      <x:c r="M28" s="46"/>
    </x:row>
    <x:row r="29">
      <x:c r="A29" s="46"/>
      <x:c r="B29" s="46"/>
      <x:c r="C29" s="46"/>
      <x:c r="D29" s="46"/>
      <x:c r="E29" s="46"/>
      <x:c r="F29" s="46"/>
      <x:c r="G29" s="46"/>
      <x:c r="H29" s="46"/>
      <x:c r="I29" s="46"/>
      <x:c r="J29" s="46"/>
      <x:c r="K29" s="46"/>
      <x:c r="L29" s="46"/>
      <x:c r="M29" s="46"/>
    </x:row>
    <x:row r="30">
      <x:c r="A30" s="46"/>
      <x:c r="B30" s="46"/>
      <x:c r="C30" s="46"/>
      <x:c r="D30" s="46"/>
      <x:c r="E30" s="46"/>
      <x:c r="F30" s="46"/>
      <x:c r="G30" s="46"/>
      <x:c r="H30" s="46"/>
      <x:c r="I30" s="46"/>
      <x:c r="J30" s="46"/>
      <x:c r="K30" s="46"/>
      <x:c r="L30" s="46"/>
      <x:c r="M30" s="46"/>
    </x:row>
    <x:row r="31">
      <x:c r="A31" s="46"/>
      <x:c r="B31" s="46"/>
      <x:c r="C31" s="46"/>
      <x:c r="D31" s="46"/>
      <x:c r="E31" s="46"/>
      <x:c r="F31" s="46"/>
      <x:c r="G31" s="46"/>
      <x:c r="H31" s="46"/>
      <x:c r="I31" s="46"/>
      <x:c r="J31" s="46"/>
      <x:c r="K31" s="46"/>
      <x:c r="L31" s="46"/>
      <x:c r="M31" s="46"/>
    </x:row>
    <x:row r="32">
      <x:c r="A32" s="46"/>
      <x:c r="B32" s="46"/>
      <x:c r="C32" s="46"/>
      <x:c r="D32" s="46"/>
      <x:c r="E32" s="46"/>
      <x:c r="F32" s="46"/>
      <x:c r="G32" s="46"/>
      <x:c r="H32" s="46"/>
      <x:c r="I32" s="46"/>
      <x:c r="J32" s="46"/>
      <x:c r="K32" s="46"/>
      <x:c r="L32" s="46"/>
      <x:c r="M32" s="46"/>
    </x:row>
    <x:row r="33">
      <x:c r="A33" s="46"/>
      <x:c r="B33" s="46"/>
      <x:c r="C33" s="46"/>
      <x:c r="D33" s="46"/>
      <x:c r="E33" s="46"/>
      <x:c r="F33" s="46"/>
      <x:c r="G33" s="46"/>
      <x:c r="H33" s="46"/>
      <x:c r="I33" s="46"/>
      <x:c r="J33" s="46"/>
      <x:c r="K33" s="46"/>
      <x:c r="L33" s="46"/>
      <x:c r="M33" s="46"/>
    </x:row>
    <x:row r="34">
      <x:c r="A34" s="46"/>
      <x:c r="B34" s="46"/>
      <x:c r="C34" s="46"/>
      <x:c r="D34" s="46"/>
      <x:c r="E34" s="46"/>
      <x:c r="F34" s="46"/>
      <x:c r="G34" s="46"/>
      <x:c r="H34" s="46"/>
      <x:c r="I34" s="46"/>
      <x:c r="J34" s="46"/>
      <x:c r="K34" s="46"/>
      <x:c r="L34" s="46"/>
      <x:c r="M34" s="46"/>
    </x:row>
    <x:row r="35">
      <x:c r="A35" s="46"/>
      <x:c r="B35" s="46"/>
      <x:c r="C35" s="46"/>
      <x:c r="D35" s="46"/>
      <x:c r="E35" s="46"/>
      <x:c r="F35" s="46"/>
      <x:c r="G35" s="46"/>
      <x:c r="H35" s="46"/>
      <x:c r="I35" s="46"/>
      <x:c r="J35" s="46"/>
      <x:c r="K35" s="46"/>
      <x:c r="L35" s="46"/>
      <x:c r="M35" s="46"/>
    </x:row>
    <x:row r="36">
      <x:c r="A36" s="46"/>
      <x:c r="B36" s="46"/>
      <x:c r="C36" s="46"/>
      <x:c r="D36" s="46"/>
      <x:c r="E36" s="46"/>
      <x:c r="F36" s="46"/>
      <x:c r="G36" s="46"/>
      <x:c r="H36" s="46"/>
      <x:c r="I36" s="46"/>
      <x:c r="J36" s="46"/>
      <x:c r="K36" s="46"/>
      <x:c r="L36" s="46"/>
      <x:c r="M36" s="46"/>
    </x:row>
    <x:row r="37">
      <x:c r="A37" s="46"/>
      <x:c r="B37" s="46"/>
      <x:c r="C37" s="46"/>
      <x:c r="D37" s="46"/>
      <x:c r="E37" s="46"/>
      <x:c r="F37" s="46"/>
      <x:c r="G37" s="46"/>
      <x:c r="H37" s="46"/>
      <x:c r="I37" s="46"/>
      <x:c r="J37" s="46"/>
      <x:c r="K37" s="46"/>
      <x:c r="L37" s="46"/>
      <x:c r="M37" s="46"/>
    </x:row>
    <x:row r="38">
      <x:c r="A38" s="46"/>
      <x:c r="B38" s="46"/>
      <x:c r="C38" s="46"/>
      <x:c r="D38" s="46"/>
      <x:c r="E38" s="46"/>
      <x:c r="F38" s="46"/>
      <x:c r="G38" s="46"/>
      <x:c r="H38" s="46"/>
      <x:c r="I38" s="46"/>
      <x:c r="J38" s="46"/>
      <x:c r="K38" s="46"/>
      <x:c r="L38" s="46"/>
      <x:c r="M38" s="46"/>
    </x:row>
    <x:row r="39">
      <x:c r="A39" s="46"/>
      <x:c r="B39" s="46"/>
      <x:c r="C39" s="46"/>
      <x:c r="D39" s="46"/>
      <x:c r="E39" s="46"/>
      <x:c r="F39" s="46"/>
      <x:c r="G39" s="46"/>
      <x:c r="H39" s="46"/>
      <x:c r="I39" s="46"/>
      <x:c r="J39" s="46"/>
      <x:c r="K39" s="46"/>
      <x:c r="L39" s="46"/>
      <x:c r="M39" s="46"/>
    </x:row>
    <x:row r="40">
      <x:c r="A40" s="46"/>
      <x:c r="B40" s="46"/>
      <x:c r="C40" s="46"/>
      <x:c r="D40" s="46"/>
      <x:c r="E40" s="46"/>
      <x:c r="F40" s="46"/>
      <x:c r="G40" s="46"/>
      <x:c r="H40" s="46"/>
      <x:c r="I40" s="46"/>
      <x:c r="J40" s="46"/>
      <x:c r="K40" s="46"/>
      <x:c r="L40" s="46"/>
      <x:c r="M40" s="46"/>
    </x:row>
    <x:row r="41">
      <x:c r="A41" s="46"/>
      <x:c r="B41" s="46"/>
      <x:c r="C41" s="46"/>
      <x:c r="D41" s="46"/>
      <x:c r="E41" s="46"/>
      <x:c r="F41" s="46"/>
      <x:c r="G41" s="46"/>
      <x:c r="H41" s="46"/>
      <x:c r="I41" s="46"/>
      <x:c r="J41" s="46"/>
      <x:c r="K41" s="46"/>
      <x:c r="L41" s="46"/>
      <x:c r="M41" s="46"/>
    </x:row>
    <x:row r="42">
      <x:c r="A42" s="46"/>
      <x:c r="B42" s="46"/>
      <x:c r="C42" s="46"/>
      <x:c r="D42" s="46"/>
      <x:c r="E42" s="46"/>
      <x:c r="F42" s="46"/>
      <x:c r="G42" s="46"/>
      <x:c r="H42" s="46"/>
      <x:c r="I42" s="46"/>
      <x:c r="J42" s="46"/>
      <x:c r="K42" s="46"/>
      <x:c r="L42" s="46"/>
      <x:c r="M42" s="46"/>
    </x:row>
    <x:row r="43">
      <x:c r="A43" s="46"/>
      <x:c r="B43" s="46"/>
      <x:c r="C43" s="46"/>
      <x:c r="D43" s="46"/>
      <x:c r="E43" s="46"/>
      <x:c r="F43" s="46"/>
      <x:c r="G43" s="46"/>
      <x:c r="H43" s="46"/>
      <x:c r="I43" s="46"/>
      <x:c r="J43" s="46"/>
      <x:c r="K43" s="46"/>
      <x:c r="L43" s="46"/>
      <x:c r="M43" s="46"/>
    </x:row>
    <x:row r="44">
      <x:c r="A44" s="46"/>
      <x:c r="B44" s="46"/>
      <x:c r="C44" s="46"/>
      <x:c r="D44" s="46"/>
      <x:c r="E44" s="46"/>
      <x:c r="F44" s="46"/>
      <x:c r="G44" s="46"/>
      <x:c r="H44" s="46"/>
      <x:c r="I44" s="46"/>
      <x:c r="J44" s="46"/>
      <x:c r="K44" s="46"/>
      <x:c r="L44" s="46"/>
      <x:c r="M44" s="46"/>
    </x:row>
    <x:row r="45">
      <x:c r="A45" s="46"/>
      <x:c r="B45" s="46"/>
      <x:c r="C45" s="46"/>
      <x:c r="D45" s="46"/>
      <x:c r="E45" s="46"/>
      <x:c r="F45" s="46"/>
      <x:c r="G45" s="46"/>
      <x:c r="H45" s="46"/>
      <x:c r="I45" s="46"/>
      <x:c r="J45" s="46"/>
      <x:c r="K45" s="46"/>
      <x:c r="L45" s="46"/>
      <x:c r="M45" s="46"/>
    </x:row>
    <x:row r="46">
      <x:c r="A46" s="46"/>
      <x:c r="B46" s="46"/>
      <x:c r="C46" s="46"/>
      <x:c r="D46" s="46"/>
      <x:c r="E46" s="46"/>
      <x:c r="F46" s="46"/>
      <x:c r="G46" s="46"/>
      <x:c r="H46" s="46"/>
      <x:c r="I46" s="46"/>
      <x:c r="J46" s="46"/>
      <x:c r="K46" s="46"/>
      <x:c r="L46" s="46"/>
      <x:c r="M46" s="46"/>
    </x:row>
    <x:row r="47">
      <x:c r="A47" s="46"/>
      <x:c r="B47" s="46"/>
      <x:c r="C47" s="46"/>
      <x:c r="D47" s="46"/>
      <x:c r="E47" s="46"/>
      <x:c r="F47" s="46"/>
      <x:c r="G47" s="46"/>
      <x:c r="H47" s="46"/>
      <x:c r="I47" s="46"/>
      <x:c r="J47" s="46"/>
      <x:c r="K47" s="46"/>
      <x:c r="L47" s="46"/>
      <x:c r="M47" s="46"/>
    </x:row>
    <x:row r="48">
      <x:c r="A48" s="46"/>
      <x:c r="B48" s="46"/>
      <x:c r="C48" s="46"/>
      <x:c r="D48" s="46"/>
      <x:c r="E48" s="46"/>
      <x:c r="F48" s="46"/>
      <x:c r="G48" s="46"/>
      <x:c r="H48" s="46"/>
      <x:c r="I48" s="46"/>
      <x:c r="J48" s="46"/>
      <x:c r="K48" s="46"/>
      <x:c r="L48" s="46"/>
      <x:c r="M48" s="46"/>
    </x:row>
    <x:row r="49">
      <x:c r="A49" s="46"/>
      <x:c r="B49" s="46"/>
      <x:c r="C49" s="46"/>
      <x:c r="D49" s="46"/>
      <x:c r="E49" s="46"/>
      <x:c r="F49" s="46"/>
      <x:c r="G49" s="46"/>
      <x:c r="H49" s="46"/>
      <x:c r="I49" s="46"/>
      <x:c r="J49" s="46"/>
      <x:c r="K49" s="46"/>
      <x:c r="L49" s="46"/>
      <x:c r="M49" s="46"/>
    </x:row>
    <x:row r="50">
      <x:c r="A50" s="46"/>
      <x:c r="B50" s="46"/>
      <x:c r="C50" s="46"/>
      <x:c r="D50" s="46"/>
      <x:c r="E50" s="46"/>
      <x:c r="F50" s="46"/>
      <x:c r="G50" s="46"/>
      <x:c r="H50" s="46"/>
      <x:c r="I50" s="46"/>
      <x:c r="J50" s="46"/>
      <x:c r="K50" s="46"/>
      <x:c r="L50" s="46"/>
      <x:c r="M50" s="46"/>
    </x:row>
    <x:row r="51">
      <x:c r="A51" s="46"/>
      <x:c r="B51" s="46"/>
      <x:c r="C51" s="46"/>
      <x:c r="D51" s="46"/>
      <x:c r="E51" s="46"/>
      <x:c r="F51" s="46"/>
      <x:c r="G51" s="46"/>
      <x:c r="H51" s="46"/>
      <x:c r="I51" s="46"/>
      <x:c r="J51" s="46"/>
      <x:c r="K51" s="46"/>
      <x:c r="L51" s="46"/>
      <x:c r="M51" s="46"/>
    </x:row>
    <x:row r="52">
      <x:c r="A52" s="46"/>
      <x:c r="B52" s="46"/>
      <x:c r="C52" s="46"/>
      <x:c r="D52" s="46"/>
      <x:c r="E52" s="46"/>
      <x:c r="F52" s="46"/>
      <x:c r="G52" s="46"/>
      <x:c r="H52" s="46"/>
      <x:c r="I52" s="46"/>
      <x:c r="J52" s="46"/>
      <x:c r="K52" s="46"/>
      <x:c r="L52" s="46"/>
      <x:c r="M52" s="46"/>
    </x:row>
    <x:row r="53">
      <x:c r="A53" s="46"/>
      <x:c r="B53" s="46"/>
      <x:c r="C53" s="46"/>
      <x:c r="D53" s="46"/>
      <x:c r="E53" s="46"/>
      <x:c r="F53" s="46"/>
      <x:c r="G53" s="46"/>
      <x:c r="H53" s="46"/>
      <x:c r="I53" s="46"/>
      <x:c r="J53" s="46"/>
      <x:c r="K53" s="46"/>
      <x:c r="L53" s="46"/>
      <x:c r="M53" s="46"/>
    </x:row>
    <x:row r="54">
      <x:c r="A54" s="46"/>
      <x:c r="B54" s="46"/>
      <x:c r="C54" s="46"/>
      <x:c r="D54" s="46"/>
      <x:c r="E54" s="46"/>
      <x:c r="F54" s="46"/>
      <x:c r="G54" s="46"/>
      <x:c r="H54" s="46"/>
      <x:c r="I54" s="46"/>
      <x:c r="J54" s="46"/>
      <x:c r="K54" s="46"/>
      <x:c r="L54" s="46"/>
      <x:c r="M54" s="46"/>
    </x:row>
    <x:row r="55">
      <x:c r="A55" s="46"/>
      <x:c r="B55" s="46"/>
      <x:c r="C55" s="46"/>
      <x:c r="D55" s="46"/>
      <x:c r="E55" s="46"/>
      <x:c r="F55" s="46"/>
      <x:c r="G55" s="46"/>
      <x:c r="H55" s="46"/>
      <x:c r="I55" s="46"/>
      <x:c r="J55" s="46"/>
      <x:c r="K55" s="46"/>
      <x:c r="L55" s="46"/>
      <x:c r="M55" s="46"/>
    </x:row>
    <x:row r="56">
      <x:c r="A56" s="46"/>
      <x:c r="B56" s="46"/>
      <x:c r="C56" s="46"/>
      <x:c r="D56" s="46"/>
      <x:c r="E56" s="46"/>
      <x:c r="F56" s="46"/>
      <x:c r="G56" s="46"/>
      <x:c r="H56" s="46"/>
      <x:c r="I56" s="46"/>
      <x:c r="J56" s="46"/>
      <x:c r="K56" s="46"/>
      <x:c r="L56" s="46"/>
      <x:c r="M56" s="46"/>
    </x:row>
    <x:row r="57">
      <x:c r="A57" s="46"/>
      <x:c r="B57" s="46"/>
      <x:c r="C57" s="46"/>
      <x:c r="D57" s="46"/>
      <x:c r="E57" s="46"/>
      <x:c r="F57" s="46"/>
      <x:c r="G57" s="46"/>
      <x:c r="H57" s="46"/>
      <x:c r="I57" s="46"/>
      <x:c r="J57" s="46"/>
      <x:c r="K57" s="46"/>
      <x:c r="L57" s="46"/>
      <x:c r="M57" s="46"/>
    </x:row>
    <x:row r="58">
      <x:c r="A58" s="46"/>
      <x:c r="B58" s="46"/>
      <x:c r="C58" s="46"/>
      <x:c r="D58" s="46"/>
      <x:c r="E58" s="46"/>
      <x:c r="F58" s="46"/>
      <x:c r="G58" s="46"/>
      <x:c r="H58" s="46"/>
      <x:c r="I58" s="46"/>
      <x:c r="J58" s="46"/>
      <x:c r="K58" s="46"/>
      <x:c r="L58" s="46"/>
      <x:c r="M58" s="46"/>
    </x:row>
    <x:row r="59">
      <x:c r="A59" s="46"/>
      <x:c r="B59" s="46"/>
      <x:c r="C59" s="46"/>
      <x:c r="D59" s="46"/>
      <x:c r="E59" s="46"/>
      <x:c r="F59" s="46"/>
      <x:c r="G59" s="46"/>
      <x:c r="H59" s="46"/>
      <x:c r="I59" s="46"/>
      <x:c r="J59" s="46"/>
      <x:c r="K59" s="46"/>
      <x:c r="L59" s="46"/>
      <x:c r="M59" s="46"/>
    </x:row>
    <x:row r="60">
      <x:c r="A60" s="46"/>
      <x:c r="B60" s="46"/>
      <x:c r="C60" s="46"/>
      <x:c r="D60" s="46"/>
      <x:c r="E60" s="46"/>
      <x:c r="F60" s="46"/>
      <x:c r="G60" s="46"/>
      <x:c r="H60" s="46"/>
      <x:c r="I60" s="46"/>
      <x:c r="J60" s="46"/>
      <x:c r="K60" s="46"/>
      <x:c r="L60" s="46"/>
      <x:c r="M60" s="46"/>
    </x:row>
    <x:row r="61">
      <x:c r="A61" s="46"/>
      <x:c r="B61" s="46"/>
      <x:c r="C61" s="46"/>
      <x:c r="D61" s="46"/>
      <x:c r="E61" s="46"/>
      <x:c r="F61" s="46"/>
      <x:c r="G61" s="46"/>
      <x:c r="H61" s="46"/>
      <x:c r="I61" s="46"/>
      <x:c r="J61" s="46"/>
      <x:c r="K61" s="46"/>
      <x:c r="L61" s="46"/>
      <x:c r="M61" s="46"/>
    </x:row>
    <x:row r="62">
      <x:c r="A62" s="46"/>
      <x:c r="B62" s="46"/>
      <x:c r="C62" s="46"/>
      <x:c r="D62" s="46"/>
      <x:c r="E62" s="46"/>
      <x:c r="F62" s="46"/>
      <x:c r="G62" s="46"/>
      <x:c r="H62" s="46"/>
      <x:c r="I62" s="46"/>
      <x:c r="J62" s="46"/>
      <x:c r="K62" s="46"/>
      <x:c r="L62" s="46"/>
      <x:c r="M62" s="46"/>
    </x:row>
    <x:row r="63">
      <x:c r="A63" s="46"/>
      <x:c r="B63" s="46"/>
      <x:c r="C63" s="46"/>
      <x:c r="D63" s="46"/>
      <x:c r="E63" s="46"/>
      <x:c r="F63" s="46"/>
      <x:c r="G63" s="46"/>
      <x:c r="H63" s="46"/>
      <x:c r="I63" s="46"/>
      <x:c r="J63" s="46"/>
      <x:c r="K63" s="46"/>
      <x:c r="L63" s="46"/>
      <x:c r="M63" s="46"/>
    </x:row>
    <x:row r="64">
      <x:c r="A64" s="46"/>
      <x:c r="B64" s="46"/>
      <x:c r="C64" s="46"/>
      <x:c r="D64" s="46"/>
      <x:c r="E64" s="46"/>
      <x:c r="F64" s="46"/>
      <x:c r="G64" s="46"/>
      <x:c r="H64" s="46"/>
      <x:c r="I64" s="46"/>
      <x:c r="J64" s="46"/>
      <x:c r="K64" s="46"/>
      <x:c r="L64" s="46"/>
      <x:c r="M64" s="46"/>
    </x:row>
    <x:row r="65">
      <x:c r="A65" s="46"/>
      <x:c r="B65" s="46"/>
      <x:c r="C65" s="46"/>
      <x:c r="D65" s="46"/>
      <x:c r="E65" s="46"/>
      <x:c r="F65" s="46"/>
      <x:c r="G65" s="46"/>
      <x:c r="H65" s="46"/>
      <x:c r="I65" s="46"/>
      <x:c r="J65" s="46"/>
      <x:c r="K65" s="46"/>
      <x:c r="L65" s="46"/>
      <x:c r="M65" s="46"/>
    </x:row>
    <x:row r="66">
      <x:c r="A66" s="46"/>
      <x:c r="B66" s="46"/>
      <x:c r="C66" s="46"/>
      <x:c r="D66" s="46"/>
      <x:c r="E66" s="46"/>
      <x:c r="F66" s="46"/>
      <x:c r="G66" s="46"/>
      <x:c r="H66" s="46"/>
      <x:c r="I66" s="46"/>
      <x:c r="J66" s="46"/>
      <x:c r="K66" s="46"/>
      <x:c r="L66" s="46"/>
      <x:c r="M66" s="46"/>
    </x:row>
    <x:row r="67">
      <x:c r="A67" s="46"/>
      <x:c r="B67" s="46"/>
      <x:c r="C67" s="46"/>
      <x:c r="D67" s="46"/>
      <x:c r="E67" s="46"/>
      <x:c r="F67" s="46"/>
      <x:c r="G67" s="46"/>
      <x:c r="H67" s="46"/>
      <x:c r="I67" s="46"/>
      <x:c r="J67" s="46"/>
      <x:c r="K67" s="46"/>
      <x:c r="L67" s="46"/>
      <x:c r="M67" s="46"/>
    </x:row>
    <x:row r="68">
      <x:c r="A68" s="46"/>
      <x:c r="B68" s="46"/>
      <x:c r="C68" s="46"/>
      <x:c r="D68" s="46"/>
      <x:c r="E68" s="46"/>
      <x:c r="F68" s="46"/>
      <x:c r="G68" s="46"/>
      <x:c r="H68" s="46"/>
      <x:c r="I68" s="46"/>
      <x:c r="J68" s="46"/>
      <x:c r="K68" s="46"/>
      <x:c r="L68" s="46"/>
      <x:c r="M68" s="46"/>
    </x:row>
    <x:row r="69">
      <x:c r="A69" s="46"/>
      <x:c r="B69" s="46"/>
      <x:c r="C69" s="46"/>
      <x:c r="D69" s="46"/>
      <x:c r="E69" s="46"/>
      <x:c r="F69" s="46"/>
      <x:c r="G69" s="46"/>
      <x:c r="H69" s="46"/>
      <x:c r="I69" s="46"/>
      <x:c r="J69" s="46"/>
      <x:c r="K69" s="46"/>
      <x:c r="L69" s="46"/>
      <x:c r="M69" s="46"/>
    </x:row>
    <x:row r="70">
      <x:c r="A70" s="46"/>
      <x:c r="B70" s="46"/>
      <x:c r="C70" s="46"/>
      <x:c r="D70" s="46"/>
      <x:c r="E70" s="46"/>
      <x:c r="F70" s="46"/>
      <x:c r="G70" s="46"/>
      <x:c r="H70" s="46"/>
      <x:c r="I70" s="46"/>
      <x:c r="J70" s="46"/>
      <x:c r="K70" s="46"/>
      <x:c r="L70" s="46"/>
      <x:c r="M70" s="46"/>
    </x:row>
    <x:row r="71">
      <x:c r="A71" s="46"/>
      <x:c r="B71" s="46"/>
      <x:c r="C71" s="46"/>
      <x:c r="D71" s="46"/>
      <x:c r="E71" s="46"/>
      <x:c r="F71" s="46"/>
      <x:c r="G71" s="46"/>
      <x:c r="H71" s="46"/>
      <x:c r="I71" s="46"/>
      <x:c r="J71" s="46"/>
      <x:c r="K71" s="46"/>
      <x:c r="L71" s="46"/>
      <x:c r="M71" s="46"/>
    </x:row>
    <x:row r="72">
      <x:c r="A72" s="46"/>
      <x:c r="B72" s="46"/>
      <x:c r="C72" s="46"/>
      <x:c r="D72" s="46"/>
      <x:c r="E72" s="46"/>
      <x:c r="F72" s="46"/>
      <x:c r="G72" s="46"/>
      <x:c r="H72" s="46"/>
      <x:c r="I72" s="46"/>
      <x:c r="J72" s="46"/>
      <x:c r="K72" s="46"/>
      <x:c r="L72" s="46"/>
      <x:c r="M72" s="46"/>
    </x:row>
    <x:row r="73">
      <x:c r="A73" s="46"/>
      <x:c r="B73" s="46"/>
      <x:c r="C73" s="46"/>
      <x:c r="D73" s="46"/>
      <x:c r="E73" s="46"/>
      <x:c r="F73" s="46"/>
      <x:c r="G73" s="46"/>
      <x:c r="H73" s="46"/>
      <x:c r="I73" s="46"/>
      <x:c r="J73" s="46"/>
      <x:c r="K73" s="46"/>
      <x:c r="L73" s="46"/>
      <x:c r="M73" s="46"/>
    </x:row>
    <x:row r="74">
      <x:c r="A74" s="46"/>
      <x:c r="B74" s="46"/>
      <x:c r="C74" s="46"/>
      <x:c r="D74" s="46"/>
      <x:c r="E74" s="46"/>
      <x:c r="F74" s="46"/>
      <x:c r="G74" s="46"/>
      <x:c r="H74" s="46"/>
      <x:c r="I74" s="46"/>
      <x:c r="J74" s="46"/>
      <x:c r="K74" s="46"/>
      <x:c r="L74" s="46"/>
      <x:c r="M74" s="46"/>
    </x:row>
    <x:row r="75">
      <x:c r="A75" s="46"/>
      <x:c r="B75" s="46"/>
      <x:c r="C75" s="46"/>
      <x:c r="D75" s="46"/>
      <x:c r="E75" s="46"/>
      <x:c r="F75" s="46"/>
      <x:c r="G75" s="46"/>
      <x:c r="H75" s="46"/>
      <x:c r="I75" s="46"/>
      <x:c r="J75" s="46"/>
      <x:c r="K75" s="46"/>
      <x:c r="L75" s="46"/>
      <x:c r="M75" s="46"/>
    </x:row>
    <x:row r="76">
      <x:c r="A76" s="46"/>
      <x:c r="B76" s="46"/>
      <x:c r="C76" s="46"/>
      <x:c r="D76" s="46"/>
      <x:c r="E76" s="46"/>
      <x:c r="F76" s="46"/>
      <x:c r="G76" s="46"/>
      <x:c r="H76" s="46"/>
      <x:c r="I76" s="46"/>
      <x:c r="J76" s="46"/>
      <x:c r="K76" s="46"/>
      <x:c r="L76" s="46"/>
      <x:c r="M76" s="46"/>
    </x:row>
    <x:row r="77">
      <x:c r="A77" s="46"/>
      <x:c r="B77" s="46"/>
      <x:c r="C77" s="46"/>
      <x:c r="D77" s="46"/>
      <x:c r="E77" s="46"/>
      <x:c r="F77" s="46"/>
      <x:c r="G77" s="46"/>
      <x:c r="H77" s="46"/>
      <x:c r="I77" s="46"/>
      <x:c r="J77" s="46"/>
      <x:c r="K77" s="46"/>
      <x:c r="L77" s="46"/>
      <x:c r="M77" s="46"/>
    </x:row>
    <x:row r="78">
      <x:c r="A78" s="46"/>
      <x:c r="B78" s="46"/>
      <x:c r="C78" s="46"/>
      <x:c r="D78" s="46"/>
      <x:c r="E78" s="46"/>
      <x:c r="F78" s="46"/>
      <x:c r="G78" s="46"/>
      <x:c r="H78" s="46"/>
      <x:c r="I78" s="46"/>
      <x:c r="J78" s="46"/>
      <x:c r="K78" s="46"/>
      <x:c r="L78" s="46"/>
      <x:c r="M78" s="46"/>
    </x:row>
    <x:row r="79">
      <x:c r="A79" s="46"/>
      <x:c r="B79" s="46"/>
      <x:c r="C79" s="46"/>
      <x:c r="D79" s="46"/>
      <x:c r="E79" s="46"/>
      <x:c r="F79" s="46"/>
      <x:c r="G79" s="46"/>
      <x:c r="H79" s="46"/>
      <x:c r="I79" s="46"/>
      <x:c r="J79" s="46"/>
      <x:c r="K79" s="46"/>
      <x:c r="L79" s="46"/>
      <x:c r="M79" s="46"/>
    </x:row>
    <x:row r="80">
      <x:c r="A80" s="46"/>
      <x:c r="B80" s="46"/>
      <x:c r="C80" s="46"/>
      <x:c r="D80" s="46"/>
      <x:c r="E80" s="46"/>
      <x:c r="F80" s="46"/>
      <x:c r="G80" s="46"/>
      <x:c r="H80" s="46"/>
      <x:c r="I80" s="46"/>
      <x:c r="J80" s="46"/>
      <x:c r="K80" s="46"/>
      <x:c r="L80" s="46"/>
      <x:c r="M80" s="46"/>
    </x:row>
    <x:row r="81">
      <x:c r="A81" s="46"/>
      <x:c r="B81" s="46"/>
      <x:c r="C81" s="46"/>
      <x:c r="D81" s="46"/>
      <x:c r="E81" s="46"/>
      <x:c r="F81" s="46"/>
      <x:c r="G81" s="46"/>
      <x:c r="H81" s="46"/>
      <x:c r="I81" s="46"/>
      <x:c r="J81" s="46"/>
      <x:c r="K81" s="46"/>
      <x:c r="L81" s="46"/>
      <x:c r="M81" s="46"/>
    </x:row>
    <x:row r="82">
      <x:c r="A82" s="46"/>
      <x:c r="B82" s="46"/>
      <x:c r="C82" s="46"/>
      <x:c r="D82" s="46"/>
      <x:c r="E82" s="46"/>
      <x:c r="F82" s="46"/>
      <x:c r="G82" s="46"/>
      <x:c r="H82" s="46"/>
      <x:c r="I82" s="46"/>
      <x:c r="J82" s="46"/>
      <x:c r="K82" s="46"/>
      <x:c r="L82" s="46"/>
      <x:c r="M82" s="46"/>
    </x:row>
    <x:row r="83">
      <x:c r="A83" s="46"/>
      <x:c r="B83" s="46"/>
      <x:c r="C83" s="46"/>
      <x:c r="D83" s="46"/>
      <x:c r="E83" s="46"/>
      <x:c r="F83" s="46"/>
      <x:c r="G83" s="46"/>
      <x:c r="H83" s="46"/>
      <x:c r="I83" s="46"/>
      <x:c r="J83" s="46"/>
      <x:c r="K83" s="46"/>
      <x:c r="L83" s="46"/>
      <x:c r="M83" s="46"/>
    </x:row>
    <x:row r="84">
      <x:c r="A84" s="46"/>
      <x:c r="B84" s="46"/>
      <x:c r="C84" s="46"/>
      <x:c r="D84" s="46"/>
      <x:c r="E84" s="46"/>
      <x:c r="F84" s="46"/>
      <x:c r="G84" s="46"/>
      <x:c r="H84" s="46"/>
      <x:c r="I84" s="46"/>
      <x:c r="J84" s="46"/>
      <x:c r="K84" s="46"/>
      <x:c r="L84" s="46"/>
      <x:c r="M84" s="46"/>
    </x:row>
    <x:row r="85">
      <x:c r="A85" s="46"/>
      <x:c r="B85" s="46"/>
      <x:c r="C85" s="46"/>
      <x:c r="D85" s="46"/>
      <x:c r="E85" s="46"/>
      <x:c r="F85" s="46"/>
      <x:c r="G85" s="46"/>
      <x:c r="H85" s="46"/>
      <x:c r="I85" s="46"/>
      <x:c r="J85" s="46"/>
      <x:c r="K85" s="46"/>
      <x:c r="L85" s="46"/>
      <x:c r="M85" s="46"/>
    </x:row>
    <x:row r="86">
      <x:c r="A86" s="46"/>
      <x:c r="B86" s="46"/>
      <x:c r="C86" s="46"/>
      <x:c r="D86" s="46"/>
      <x:c r="E86" s="46"/>
      <x:c r="F86" s="46"/>
      <x:c r="G86" s="46"/>
      <x:c r="H86" s="46"/>
      <x:c r="I86" s="46"/>
      <x:c r="J86" s="46"/>
      <x:c r="K86" s="46"/>
      <x:c r="L86" s="46"/>
      <x:c r="M86" s="46"/>
    </x:row>
    <x:row r="87">
      <x:c r="A87" s="46"/>
      <x:c r="B87" s="46"/>
      <x:c r="C87" s="46"/>
      <x:c r="D87" s="46"/>
      <x:c r="E87" s="46"/>
      <x:c r="F87" s="46"/>
      <x:c r="G87" s="46"/>
      <x:c r="H87" s="46"/>
      <x:c r="I87" s="46"/>
      <x:c r="J87" s="46"/>
      <x:c r="K87" s="46"/>
      <x:c r="L87" s="46"/>
      <x:c r="M87" s="46"/>
    </x:row>
    <x:row r="88">
      <x:c r="A88" s="46"/>
      <x:c r="B88" s="46"/>
      <x:c r="C88" s="46"/>
      <x:c r="D88" s="46"/>
      <x:c r="E88" s="46"/>
      <x:c r="F88" s="46"/>
      <x:c r="G88" s="46"/>
      <x:c r="H88" s="46"/>
      <x:c r="I88" s="46"/>
      <x:c r="J88" s="46"/>
      <x:c r="K88" s="46"/>
      <x:c r="L88" s="46"/>
      <x:c r="M88" s="46"/>
    </x:row>
    <x:row r="89">
      <x:c r="A89" s="46"/>
      <x:c r="B89" s="46"/>
      <x:c r="C89" s="46"/>
      <x:c r="D89" s="46"/>
      <x:c r="E89" s="46"/>
      <x:c r="F89" s="46"/>
      <x:c r="G89" s="46"/>
      <x:c r="H89" s="46"/>
      <x:c r="I89" s="46"/>
      <x:c r="J89" s="46"/>
      <x:c r="K89" s="46"/>
      <x:c r="L89" s="46"/>
      <x:c r="M89" s="46"/>
    </x:row>
    <x:row r="90">
      <x:c r="A90" s="46"/>
      <x:c r="B90" s="46"/>
      <x:c r="C90" s="46"/>
      <x:c r="D90" s="46"/>
      <x:c r="E90" s="46"/>
      <x:c r="F90" s="46"/>
      <x:c r="G90" s="46"/>
      <x:c r="H90" s="46"/>
      <x:c r="I90" s="46"/>
      <x:c r="J90" s="46"/>
      <x:c r="K90" s="46"/>
      <x:c r="L90" s="46"/>
      <x:c r="M90" s="46"/>
    </x:row>
    <x:row r="91">
      <x:c r="A91" s="46"/>
      <x:c r="B91" s="46"/>
      <x:c r="C91" s="46"/>
      <x:c r="D91" s="46"/>
      <x:c r="E91" s="46"/>
      <x:c r="F91" s="46"/>
      <x:c r="G91" s="46"/>
      <x:c r="H91" s="46"/>
      <x:c r="I91" s="46"/>
      <x:c r="J91" s="46"/>
      <x:c r="K91" s="46"/>
      <x:c r="L91" s="46"/>
      <x:c r="M91" s="46"/>
    </x:row>
    <x:row r="92">
      <x:c r="A92" s="46"/>
      <x:c r="B92" s="46"/>
      <x:c r="C92" s="46"/>
      <x:c r="D92" s="46"/>
      <x:c r="E92" s="46"/>
      <x:c r="F92" s="46"/>
      <x:c r="G92" s="46"/>
      <x:c r="H92" s="46"/>
      <x:c r="I92" s="46"/>
      <x:c r="J92" s="46"/>
      <x:c r="K92" s="46"/>
      <x:c r="L92" s="46"/>
      <x:c r="M92" s="46"/>
    </x:row>
    <x:row r="93">
      <x:c r="A93" s="46"/>
      <x:c r="B93" s="46"/>
      <x:c r="C93" s="46"/>
      <x:c r="D93" s="46"/>
      <x:c r="E93" s="46"/>
      <x:c r="F93" s="46"/>
      <x:c r="G93" s="46"/>
      <x:c r="H93" s="46"/>
      <x:c r="I93" s="46"/>
      <x:c r="J93" s="46"/>
      <x:c r="K93" s="46"/>
      <x:c r="L93" s="46"/>
      <x:c r="M93" s="46"/>
    </x:row>
    <x:row r="94">
      <x:c r="A94" s="46"/>
      <x:c r="B94" s="46"/>
      <x:c r="C94" s="46"/>
      <x:c r="D94" s="46"/>
      <x:c r="E94" s="46"/>
      <x:c r="F94" s="46"/>
      <x:c r="G94" s="46"/>
      <x:c r="H94" s="46"/>
      <x:c r="I94" s="46"/>
      <x:c r="J94" s="46"/>
      <x:c r="K94" s="46"/>
      <x:c r="L94" s="46"/>
      <x:c r="M94" s="46"/>
    </x:row>
    <x:row r="95">
      <x:c r="A95" s="46"/>
      <x:c r="B95" s="46"/>
      <x:c r="C95" s="46"/>
      <x:c r="D95" s="46"/>
      <x:c r="E95" s="46"/>
      <x:c r="F95" s="46"/>
      <x:c r="G95" s="46"/>
      <x:c r="H95" s="46"/>
      <x:c r="I95" s="46"/>
      <x:c r="J95" s="46"/>
      <x:c r="K95" s="46"/>
      <x:c r="L95" s="46"/>
      <x:c r="M95" s="46"/>
    </x:row>
    <x:row r="96">
      <x:c r="A96" s="46"/>
      <x:c r="B96" s="46"/>
      <x:c r="C96" s="46"/>
      <x:c r="D96" s="46"/>
      <x:c r="E96" s="46"/>
      <x:c r="F96" s="46"/>
      <x:c r="G96" s="46"/>
      <x:c r="H96" s="46"/>
      <x:c r="I96" s="46"/>
      <x:c r="J96" s="46"/>
      <x:c r="K96" s="46"/>
      <x:c r="L96" s="46"/>
      <x:c r="M96" s="46"/>
    </x:row>
    <x:row r="97">
      <x:c r="A97" s="46"/>
      <x:c r="B97" s="46"/>
      <x:c r="C97" s="46"/>
      <x:c r="D97" s="46"/>
      <x:c r="E97" s="46"/>
      <x:c r="F97" s="46"/>
      <x:c r="G97" s="46"/>
      <x:c r="H97" s="46"/>
      <x:c r="I97" s="46"/>
      <x:c r="J97" s="46"/>
      <x:c r="K97" s="46"/>
      <x:c r="L97" s="46"/>
      <x:c r="M97" s="46"/>
    </x:row>
    <x:row r="98">
      <x:c r="A98" s="46"/>
      <x:c r="B98" s="46"/>
      <x:c r="C98" s="46"/>
      <x:c r="D98" s="46"/>
      <x:c r="E98" s="46"/>
      <x:c r="F98" s="46"/>
      <x:c r="G98" s="46"/>
      <x:c r="H98" s="46"/>
      <x:c r="I98" s="46"/>
      <x:c r="J98" s="46"/>
      <x:c r="K98" s="46"/>
      <x:c r="L98" s="46"/>
      <x:c r="M98" s="46"/>
    </x:row>
    <x:row r="99">
      <x:c r="A99" s="46"/>
      <x:c r="B99" s="46"/>
      <x:c r="C99" s="46"/>
      <x:c r="D99" s="46"/>
      <x:c r="E99" s="46"/>
      <x:c r="F99" s="46"/>
      <x:c r="G99" s="46"/>
      <x:c r="H99" s="46"/>
      <x:c r="I99" s="46"/>
      <x:c r="J99" s="46"/>
      <x:c r="K99" s="46"/>
      <x:c r="L99" s="46"/>
      <x:c r="M99" s="46"/>
    </x:row>
    <x:row r="100">
      <x:c r="A100" s="46"/>
      <x:c r="B100" s="46"/>
      <x:c r="C100" s="46"/>
      <x:c r="D100" s="46"/>
      <x:c r="E100" s="46"/>
      <x:c r="F100" s="46"/>
      <x:c r="G100" s="46"/>
      <x:c r="H100" s="46"/>
      <x:c r="I100" s="46"/>
      <x:c r="J100" s="46"/>
      <x:c r="K100" s="46"/>
      <x:c r="L100" s="46"/>
      <x:c r="M100" s="46"/>
    </x:row>
    <x:row r="101">
      <x:c r="A101" s="46"/>
      <x:c r="B101" s="46"/>
      <x:c r="C101" s="46"/>
      <x:c r="D101" s="46"/>
      <x:c r="E101" s="46"/>
      <x:c r="F101" s="46"/>
      <x:c r="G101" s="46"/>
      <x:c r="H101" s="46"/>
      <x:c r="I101" s="46"/>
      <x:c r="J101" s="46"/>
      <x:c r="K101" s="46"/>
      <x:c r="L101" s="46"/>
      <x:c r="M101" s="46"/>
    </x:row>
    <x:row r="102">
      <x:c r="A102" s="46"/>
      <x:c r="B102" s="46"/>
      <x:c r="C102" s="46"/>
      <x:c r="D102" s="46"/>
      <x:c r="E102" s="46"/>
      <x:c r="F102" s="46"/>
      <x:c r="G102" s="46"/>
      <x:c r="H102" s="46"/>
      <x:c r="I102" s="46"/>
      <x:c r="J102" s="46"/>
      <x:c r="K102" s="46"/>
      <x:c r="L102" s="46"/>
      <x:c r="M102" s="46"/>
    </x:row>
    <x:row r="103">
      <x:c r="A103" s="46"/>
      <x:c r="B103" s="46"/>
      <x:c r="C103" s="46"/>
      <x:c r="D103" s="46"/>
      <x:c r="E103" s="46"/>
      <x:c r="F103" s="46"/>
      <x:c r="G103" s="46"/>
      <x:c r="H103" s="46"/>
      <x:c r="I103" s="46"/>
      <x:c r="J103" s="46"/>
      <x:c r="K103" s="46"/>
      <x:c r="L103" s="46"/>
      <x:c r="M103" s="46"/>
    </x:row>
    <x:row r="104">
      <x:c r="A104" s="46"/>
      <x:c r="B104" s="46"/>
      <x:c r="C104" s="46"/>
      <x:c r="D104" s="46"/>
      <x:c r="E104" s="46"/>
      <x:c r="F104" s="46"/>
      <x:c r="G104" s="46"/>
      <x:c r="H104" s="46"/>
      <x:c r="I104" s="46"/>
      <x:c r="J104" s="46"/>
      <x:c r="K104" s="46"/>
      <x:c r="L104" s="46"/>
      <x:c r="M104" s="46"/>
    </x:row>
    <x:row r="105">
      <x:c r="A105" s="46"/>
      <x:c r="B105" s="46"/>
      <x:c r="C105" s="46"/>
      <x:c r="D105" s="46"/>
      <x:c r="E105" s="46"/>
      <x:c r="F105" s="46"/>
      <x:c r="G105" s="46"/>
      <x:c r="H105" s="46"/>
      <x:c r="I105" s="46"/>
      <x:c r="J105" s="46"/>
      <x:c r="K105" s="46"/>
      <x:c r="L105" s="46"/>
      <x:c r="M105" s="46"/>
    </x:row>
    <x:row r="106">
      <x:c r="A106" s="46"/>
      <x:c r="B106" s="46"/>
      <x:c r="C106" s="46"/>
      <x:c r="D106" s="46"/>
      <x:c r="E106" s="46"/>
      <x:c r="F106" s="46"/>
      <x:c r="G106" s="46"/>
      <x:c r="H106" s="46"/>
      <x:c r="I106" s="46"/>
      <x:c r="J106" s="46"/>
      <x:c r="K106" s="46"/>
      <x:c r="L106" s="46"/>
      <x:c r="M106" s="46"/>
    </x:row>
    <x:row r="107">
      <x:c r="A107" s="46"/>
      <x:c r="B107" s="46"/>
      <x:c r="C107" s="46"/>
      <x:c r="D107" s="46"/>
      <x:c r="E107" s="46"/>
      <x:c r="F107" s="46"/>
      <x:c r="G107" s="46"/>
      <x:c r="H107" s="46"/>
      <x:c r="I107" s="46"/>
      <x:c r="J107" s="46"/>
      <x:c r="K107" s="46"/>
      <x:c r="L107" s="46"/>
      <x:c r="M107" s="46"/>
    </x:row>
    <x:row r="108">
      <x:c r="A108" s="46"/>
      <x:c r="B108" s="46"/>
      <x:c r="C108" s="46"/>
      <x:c r="D108" s="46"/>
      <x:c r="E108" s="46"/>
      <x:c r="F108" s="46"/>
      <x:c r="G108" s="46"/>
      <x:c r="H108" s="46"/>
      <x:c r="I108" s="46"/>
      <x:c r="J108" s="46"/>
      <x:c r="K108" s="46"/>
      <x:c r="L108" s="46"/>
      <x:c r="M108" s="46"/>
    </x:row>
    <x:row r="109">
      <x:c r="A109" s="46"/>
      <x:c r="B109" s="46"/>
      <x:c r="C109" s="46"/>
      <x:c r="D109" s="46"/>
      <x:c r="E109" s="46"/>
      <x:c r="F109" s="46"/>
      <x:c r="G109" s="46"/>
      <x:c r="H109" s="46"/>
      <x:c r="I109" s="46"/>
      <x:c r="J109" s="46"/>
      <x:c r="K109" s="46"/>
      <x:c r="L109" s="46"/>
      <x:c r="M109" s="46"/>
    </x:row>
    <x:row r="110">
      <x:c r="A110" s="46"/>
      <x:c r="B110" s="46"/>
      <x:c r="C110" s="46"/>
      <x:c r="D110" s="46"/>
      <x:c r="E110" s="46"/>
      <x:c r="F110" s="46"/>
      <x:c r="G110" s="46"/>
      <x:c r="H110" s="46"/>
      <x:c r="I110" s="46"/>
      <x:c r="J110" s="46"/>
      <x:c r="K110" s="46"/>
      <x:c r="L110" s="46"/>
      <x:c r="M110" s="46"/>
    </x:row>
    <x:row r="111">
      <x:c r="A111" s="46"/>
      <x:c r="B111" s="46"/>
      <x:c r="C111" s="46"/>
      <x:c r="D111" s="46"/>
      <x:c r="E111" s="46"/>
      <x:c r="F111" s="46"/>
      <x:c r="G111" s="46"/>
      <x:c r="H111" s="46"/>
      <x:c r="I111" s="46"/>
      <x:c r="J111" s="46"/>
      <x:c r="K111" s="46"/>
      <x:c r="L111" s="46"/>
      <x:c r="M111" s="46"/>
    </x:row>
    <x:row r="112">
      <x:c r="A112" s="46"/>
      <x:c r="B112" s="46"/>
      <x:c r="C112" s="46"/>
      <x:c r="D112" s="46"/>
      <x:c r="E112" s="46"/>
      <x:c r="F112" s="46"/>
      <x:c r="G112" s="46"/>
      <x:c r="H112" s="46"/>
      <x:c r="I112" s="46"/>
      <x:c r="J112" s="46"/>
      <x:c r="K112" s="46"/>
      <x:c r="L112" s="46"/>
      <x:c r="M112" s="46"/>
    </x:row>
    <x:row r="113">
      <x:c r="A113" s="46"/>
      <x:c r="B113" s="46"/>
      <x:c r="C113" s="46"/>
      <x:c r="D113" s="46"/>
      <x:c r="E113" s="46"/>
      <x:c r="F113" s="46"/>
      <x:c r="G113" s="46"/>
      <x:c r="H113" s="46"/>
      <x:c r="I113" s="46"/>
      <x:c r="J113" s="46"/>
      <x:c r="K113" s="46"/>
      <x:c r="L113" s="46"/>
      <x:c r="M113" s="46"/>
    </x:row>
    <x:row r="114">
      <x:c r="A114" s="46"/>
      <x:c r="B114" s="46"/>
      <x:c r="C114" s="46"/>
      <x:c r="D114" s="46"/>
      <x:c r="E114" s="46"/>
      <x:c r="F114" s="46"/>
      <x:c r="G114" s="46"/>
      <x:c r="H114" s="46"/>
      <x:c r="I114" s="46"/>
      <x:c r="J114" s="46"/>
      <x:c r="K114" s="46"/>
      <x:c r="L114" s="46"/>
      <x:c r="M114" s="46"/>
    </x:row>
    <x:row r="115">
      <x:c r="A115" s="46"/>
      <x:c r="B115" s="46"/>
      <x:c r="C115" s="46"/>
      <x:c r="D115" s="46"/>
      <x:c r="E115" s="46"/>
      <x:c r="F115" s="46"/>
      <x:c r="G115" s="46"/>
      <x:c r="H115" s="46"/>
      <x:c r="I115" s="46"/>
      <x:c r="J115" s="46"/>
      <x:c r="K115" s="46"/>
      <x:c r="L115" s="46"/>
      <x:c r="M115" s="46"/>
    </x:row>
    <x:row r="116">
      <x:c r="A116" s="46"/>
      <x:c r="B116" s="46"/>
      <x:c r="C116" s="46"/>
      <x:c r="D116" s="46"/>
      <x:c r="E116" s="46"/>
      <x:c r="F116" s="46"/>
      <x:c r="G116" s="46"/>
      <x:c r="H116" s="46"/>
      <x:c r="I116" s="46"/>
      <x:c r="J116" s="46"/>
      <x:c r="K116" s="46"/>
      <x:c r="L116" s="46"/>
      <x:c r="M116" s="46"/>
    </x:row>
    <x:row r="117">
      <x:c r="A117" s="46"/>
      <x:c r="B117" s="46"/>
      <x:c r="C117" s="46"/>
      <x:c r="D117" s="46"/>
      <x:c r="E117" s="46"/>
      <x:c r="F117" s="46"/>
      <x:c r="G117" s="46"/>
      <x:c r="H117" s="46"/>
      <x:c r="I117" s="46"/>
      <x:c r="J117" s="46"/>
      <x:c r="K117" s="46"/>
      <x:c r="L117" s="46"/>
      <x:c r="M117" s="46"/>
    </x:row>
    <x:row r="118">
      <x:c r="A118" s="46"/>
      <x:c r="B118" s="46"/>
      <x:c r="C118" s="46"/>
      <x:c r="D118" s="46"/>
      <x:c r="E118" s="46"/>
      <x:c r="F118" s="46"/>
      <x:c r="G118" s="46"/>
      <x:c r="H118" s="46"/>
      <x:c r="I118" s="46"/>
      <x:c r="J118" s="46"/>
      <x:c r="K118" s="46"/>
      <x:c r="L118" s="46"/>
      <x:c r="M118" s="46"/>
    </x:row>
    <x:row r="119">
      <x:c r="A119" s="46"/>
      <x:c r="B119" s="46"/>
      <x:c r="C119" s="46"/>
      <x:c r="D119" s="46"/>
      <x:c r="E119" s="46"/>
      <x:c r="F119" s="46"/>
      <x:c r="G119" s="46"/>
      <x:c r="H119" s="46"/>
      <x:c r="I119" s="46"/>
      <x:c r="J119" s="46"/>
      <x:c r="K119" s="46"/>
      <x:c r="L119" s="46"/>
      <x:c r="M119" s="46"/>
    </x:row>
    <x:row r="120">
      <x:c r="A120" s="46"/>
      <x:c r="B120" s="46"/>
      <x:c r="C120" s="46"/>
      <x:c r="D120" s="46"/>
      <x:c r="E120" s="46"/>
      <x:c r="F120" s="46"/>
      <x:c r="G120" s="46"/>
      <x:c r="H120" s="46"/>
      <x:c r="I120" s="46"/>
      <x:c r="J120" s="46"/>
      <x:c r="K120" s="46"/>
      <x:c r="L120" s="46"/>
      <x:c r="M120" s="46"/>
    </x:row>
    <x:row r="121">
      <x:c r="A121" s="46"/>
      <x:c r="B121" s="46"/>
      <x:c r="C121" s="46"/>
      <x:c r="D121" s="46"/>
      <x:c r="E121" s="46"/>
      <x:c r="F121" s="46"/>
      <x:c r="G121" s="46"/>
      <x:c r="H121" s="46"/>
      <x:c r="I121" s="46"/>
      <x:c r="J121" s="46"/>
      <x:c r="K121" s="46"/>
      <x:c r="L121" s="46"/>
      <x:c r="M121" s="46"/>
    </x:row>
    <x:row r="122">
      <x:c r="A122" s="46"/>
      <x:c r="B122" s="46"/>
      <x:c r="C122" s="46"/>
      <x:c r="D122" s="46"/>
      <x:c r="E122" s="46"/>
      <x:c r="F122" s="46"/>
      <x:c r="G122" s="46"/>
      <x:c r="H122" s="46"/>
      <x:c r="I122" s="46"/>
      <x:c r="J122" s="46"/>
      <x:c r="K122" s="46"/>
      <x:c r="L122" s="46"/>
      <x:c r="M122" s="46"/>
    </x:row>
    <x:row r="123">
      <x:c r="A123" s="46"/>
      <x:c r="B123" s="46"/>
      <x:c r="C123" s="46"/>
      <x:c r="D123" s="46"/>
      <x:c r="E123" s="46"/>
      <x:c r="F123" s="46"/>
      <x:c r="G123" s="46"/>
      <x:c r="H123" s="46"/>
      <x:c r="I123" s="46"/>
      <x:c r="J123" s="46"/>
      <x:c r="K123" s="46"/>
      <x:c r="L123" s="46"/>
      <x:c r="M123" s="46"/>
    </x:row>
    <x:row r="124">
      <x:c r="A124" s="46"/>
      <x:c r="B124" s="46"/>
      <x:c r="C124" s="46"/>
      <x:c r="D124" s="46"/>
      <x:c r="E124" s="46"/>
      <x:c r="F124" s="46"/>
      <x:c r="G124" s="46"/>
      <x:c r="H124" s="46"/>
      <x:c r="I124" s="46"/>
      <x:c r="J124" s="46"/>
      <x:c r="K124" s="46"/>
      <x:c r="L124" s="46"/>
      <x:c r="M124" s="46"/>
    </x:row>
    <x:row r="125">
      <x:c r="A125" s="46"/>
      <x:c r="B125" s="46"/>
      <x:c r="C125" s="46"/>
      <x:c r="D125" s="46"/>
      <x:c r="E125" s="46"/>
      <x:c r="F125" s="46"/>
      <x:c r="G125" s="46"/>
      <x:c r="H125" s="46"/>
      <x:c r="I125" s="46"/>
      <x:c r="J125" s="46"/>
      <x:c r="K125" s="46"/>
      <x:c r="L125" s="46"/>
      <x:c r="M125" s="46"/>
    </x:row>
    <x:row r="126">
      <x:c r="A126" s="46"/>
      <x:c r="B126" s="46"/>
      <x:c r="C126" s="46"/>
      <x:c r="D126" s="46"/>
      <x:c r="E126" s="46"/>
      <x:c r="F126" s="46"/>
      <x:c r="G126" s="46"/>
      <x:c r="H126" s="46"/>
      <x:c r="I126" s="46"/>
      <x:c r="J126" s="46"/>
      <x:c r="K126" s="46"/>
      <x:c r="L126" s="46"/>
      <x:c r="M126" s="46"/>
    </x:row>
    <x:row r="127">
      <x:c r="A127" s="46"/>
      <x:c r="B127" s="46"/>
      <x:c r="C127" s="46"/>
      <x:c r="D127" s="46"/>
      <x:c r="E127" s="46"/>
      <x:c r="F127" s="46"/>
      <x:c r="G127" s="46"/>
      <x:c r="H127" s="46"/>
      <x:c r="I127" s="46"/>
      <x:c r="J127" s="46"/>
      <x:c r="K127" s="46"/>
      <x:c r="L127" s="46"/>
      <x:c r="M127" s="46"/>
    </x:row>
    <x:row r="128">
      <x:c r="A128" s="46"/>
      <x:c r="B128" s="46"/>
      <x:c r="C128" s="46"/>
      <x:c r="D128" s="46"/>
      <x:c r="E128" s="46"/>
      <x:c r="F128" s="46"/>
      <x:c r="G128" s="46"/>
      <x:c r="H128" s="46"/>
      <x:c r="I128" s="46"/>
      <x:c r="J128" s="46"/>
      <x:c r="K128" s="46"/>
      <x:c r="L128" s="46"/>
      <x:c r="M128" s="46"/>
    </x:row>
    <x:row r="129">
      <x:c r="A129" s="46"/>
      <x:c r="B129" s="46"/>
      <x:c r="C129" s="46"/>
      <x:c r="D129" s="46"/>
      <x:c r="E129" s="46"/>
      <x:c r="F129" s="46"/>
      <x:c r="G129" s="46"/>
      <x:c r="H129" s="46"/>
      <x:c r="I129" s="46"/>
      <x:c r="J129" s="46"/>
      <x:c r="K129" s="46"/>
      <x:c r="L129" s="46"/>
      <x:c r="M129" s="46"/>
    </x:row>
    <x:row r="130">
      <x:c r="A130" s="46"/>
      <x:c r="B130" s="46"/>
      <x:c r="C130" s="46"/>
      <x:c r="D130" s="46"/>
      <x:c r="E130" s="46"/>
      <x:c r="F130" s="46"/>
      <x:c r="G130" s="46"/>
      <x:c r="H130" s="46"/>
      <x:c r="I130" s="46"/>
      <x:c r="J130" s="46"/>
      <x:c r="K130" s="46"/>
      <x:c r="L130" s="46"/>
      <x:c r="M130" s="46"/>
    </x:row>
    <x:row r="131">
      <x:c r="A131" s="46"/>
      <x:c r="B131" s="46"/>
      <x:c r="C131" s="46"/>
      <x:c r="D131" s="46"/>
      <x:c r="E131" s="46"/>
      <x:c r="F131" s="46"/>
      <x:c r="G131" s="46"/>
      <x:c r="H131" s="46"/>
      <x:c r="I131" s="46"/>
      <x:c r="J131" s="46"/>
      <x:c r="K131" s="46"/>
      <x:c r="L131" s="46"/>
      <x:c r="M131" s="46"/>
    </x:row>
    <x:row r="132">
      <x:c r="A132" s="46"/>
      <x:c r="B132" s="46"/>
      <x:c r="C132" s="46"/>
      <x:c r="D132" s="46"/>
      <x:c r="E132" s="46"/>
      <x:c r="F132" s="46"/>
      <x:c r="G132" s="46"/>
      <x:c r="H132" s="46"/>
      <x:c r="I132" s="46"/>
      <x:c r="J132" s="46"/>
      <x:c r="K132" s="46"/>
      <x:c r="L132" s="46"/>
      <x:c r="M132" s="46"/>
    </x:row>
    <x:row r="133">
      <x:c r="A133" s="46"/>
      <x:c r="B133" s="46"/>
      <x:c r="C133" s="46"/>
      <x:c r="D133" s="46"/>
      <x:c r="E133" s="46"/>
      <x:c r="F133" s="46"/>
      <x:c r="G133" s="46"/>
      <x:c r="H133" s="46"/>
      <x:c r="I133" s="46"/>
      <x:c r="J133" s="46"/>
      <x:c r="K133" s="46"/>
      <x:c r="L133" s="46"/>
      <x:c r="M133" s="46"/>
    </x:row>
    <x:row r="134">
      <x:c r="A134" s="46"/>
      <x:c r="B134" s="46"/>
      <x:c r="C134" s="46"/>
      <x:c r="D134" s="46"/>
      <x:c r="E134" s="46"/>
      <x:c r="F134" s="46"/>
      <x:c r="G134" s="46"/>
      <x:c r="H134" s="46"/>
      <x:c r="I134" s="46"/>
      <x:c r="J134" s="46"/>
      <x:c r="K134" s="46"/>
      <x:c r="L134" s="46"/>
      <x:c r="M134" s="46"/>
    </x:row>
    <x:row r="135">
      <x:c r="A135" s="46"/>
      <x:c r="B135" s="46"/>
      <x:c r="C135" s="46"/>
      <x:c r="D135" s="46"/>
      <x:c r="E135" s="46"/>
      <x:c r="F135" s="46"/>
      <x:c r="G135" s="46"/>
      <x:c r="H135" s="46"/>
      <x:c r="I135" s="46"/>
      <x:c r="J135" s="46"/>
      <x:c r="K135" s="46"/>
      <x:c r="L135" s="46"/>
      <x:c r="M135" s="46"/>
    </x:row>
    <x:row r="136">
      <x:c r="A136" s="46"/>
      <x:c r="B136" s="46"/>
      <x:c r="C136" s="46"/>
      <x:c r="D136" s="46"/>
      <x:c r="E136" s="46"/>
      <x:c r="F136" s="46"/>
      <x:c r="G136" s="46"/>
      <x:c r="H136" s="46"/>
      <x:c r="I136" s="46"/>
      <x:c r="J136" s="46"/>
      <x:c r="K136" s="46"/>
      <x:c r="L136" s="46"/>
      <x:c r="M136" s="46"/>
    </x:row>
    <x:row r="137">
      <x:c r="A137" s="46"/>
      <x:c r="B137" s="46"/>
      <x:c r="C137" s="46"/>
      <x:c r="D137" s="46"/>
      <x:c r="E137" s="46"/>
      <x:c r="F137" s="46"/>
      <x:c r="G137" s="46"/>
      <x:c r="H137" s="46"/>
      <x:c r="I137" s="46"/>
      <x:c r="J137" s="46"/>
      <x:c r="K137" s="46"/>
      <x:c r="L137" s="46"/>
      <x:c r="M137" s="46"/>
    </x:row>
    <x:row r="138">
      <x:c r="A138" s="46"/>
      <x:c r="B138" s="46"/>
      <x:c r="C138" s="46"/>
      <x:c r="D138" s="46"/>
      <x:c r="E138" s="46"/>
      <x:c r="F138" s="46"/>
      <x:c r="G138" s="46"/>
      <x:c r="H138" s="46"/>
      <x:c r="I138" s="46"/>
      <x:c r="J138" s="46"/>
      <x:c r="K138" s="46"/>
      <x:c r="L138" s="46"/>
      <x:c r="M138" s="46"/>
    </x:row>
    <x:row r="139">
      <x:c r="A139" s="46"/>
      <x:c r="B139" s="46"/>
      <x:c r="C139" s="46"/>
      <x:c r="D139" s="46"/>
      <x:c r="E139" s="46"/>
      <x:c r="F139" s="46"/>
      <x:c r="G139" s="46"/>
      <x:c r="H139" s="46"/>
      <x:c r="I139" s="46"/>
      <x:c r="J139" s="46"/>
      <x:c r="K139" s="46"/>
      <x:c r="L139" s="46"/>
      <x:c r="M139" s="46"/>
    </x:row>
    <x:row r="140">
      <x:c r="A140" s="46"/>
      <x:c r="B140" s="46"/>
      <x:c r="C140" s="46"/>
      <x:c r="D140" s="46"/>
      <x:c r="E140" s="46"/>
      <x:c r="F140" s="46"/>
      <x:c r="G140" s="46"/>
      <x:c r="H140" s="46"/>
      <x:c r="I140" s="46"/>
      <x:c r="J140" s="46"/>
      <x:c r="K140" s="46"/>
      <x:c r="L140" s="46"/>
      <x:c r="M140" s="46"/>
    </x:row>
    <x:row r="141">
      <x:c r="A141" s="46"/>
      <x:c r="B141" s="46"/>
      <x:c r="C141" s="46"/>
      <x:c r="D141" s="46"/>
      <x:c r="E141" s="46"/>
      <x:c r="F141" s="46"/>
      <x:c r="G141" s="46"/>
      <x:c r="H141" s="46"/>
      <x:c r="I141" s="46"/>
      <x:c r="J141" s="46"/>
      <x:c r="K141" s="46"/>
      <x:c r="L141" s="46"/>
      <x:c r="M141" s="46"/>
    </x:row>
    <x:row r="142">
      <x:c r="A142" s="46"/>
      <x:c r="B142" s="46"/>
      <x:c r="C142" s="46"/>
      <x:c r="D142" s="46"/>
      <x:c r="E142" s="46"/>
      <x:c r="F142" s="46"/>
      <x:c r="G142" s="46"/>
      <x:c r="H142" s="46"/>
      <x:c r="I142" s="46"/>
      <x:c r="J142" s="46"/>
      <x:c r="K142" s="46"/>
      <x:c r="L142" s="46"/>
      <x:c r="M142" s="46"/>
    </x:row>
    <x:row r="143">
      <x:c r="A143" s="46"/>
      <x:c r="B143" s="46"/>
      <x:c r="C143" s="46"/>
      <x:c r="D143" s="46"/>
      <x:c r="E143" s="46"/>
      <x:c r="F143" s="46"/>
      <x:c r="G143" s="46"/>
      <x:c r="H143" s="46"/>
      <x:c r="I143" s="46"/>
      <x:c r="J143" s="46"/>
      <x:c r="K143" s="46"/>
      <x:c r="L143" s="46"/>
      <x:c r="M143" s="46"/>
    </x:row>
    <x:row r="144">
      <x:c r="A144" s="46"/>
      <x:c r="B144" s="46"/>
      <x:c r="C144" s="46"/>
      <x:c r="D144" s="46"/>
      <x:c r="E144" s="46"/>
      <x:c r="F144" s="46"/>
      <x:c r="G144" s="46"/>
      <x:c r="H144" s="46"/>
      <x:c r="I144" s="46"/>
      <x:c r="J144" s="46"/>
      <x:c r="K144" s="46"/>
      <x:c r="L144" s="46"/>
      <x:c r="M144" s="46"/>
    </x:row>
    <x:row r="145">
      <x:c r="A145" s="46"/>
      <x:c r="B145" s="46"/>
      <x:c r="C145" s="46"/>
      <x:c r="D145" s="46"/>
      <x:c r="E145" s="46"/>
      <x:c r="F145" s="46"/>
      <x:c r="G145" s="46"/>
      <x:c r="H145" s="46"/>
      <x:c r="I145" s="46"/>
      <x:c r="J145" s="46"/>
      <x:c r="K145" s="46"/>
      <x:c r="L145" s="46"/>
      <x:c r="M145" s="46"/>
    </x:row>
    <x:row r="146">
      <x:c r="A146" s="46"/>
      <x:c r="B146" s="46"/>
      <x:c r="C146" s="46"/>
      <x:c r="D146" s="46"/>
      <x:c r="E146" s="46"/>
      <x:c r="F146" s="46"/>
      <x:c r="G146" s="46"/>
      <x:c r="H146" s="46"/>
      <x:c r="I146" s="46"/>
      <x:c r="J146" s="46"/>
      <x:c r="K146" s="46"/>
      <x:c r="L146" s="46"/>
      <x:c r="M146" s="46"/>
    </x:row>
    <x:row r="147">
      <x:c r="A147" s="46"/>
      <x:c r="B147" s="46"/>
      <x:c r="C147" s="46"/>
      <x:c r="D147" s="46"/>
      <x:c r="E147" s="46"/>
      <x:c r="F147" s="46"/>
      <x:c r="G147" s="46"/>
      <x:c r="H147" s="46"/>
      <x:c r="I147" s="46"/>
      <x:c r="J147" s="46"/>
      <x:c r="K147" s="46"/>
      <x:c r="L147" s="46"/>
      <x:c r="M147" s="46"/>
    </x:row>
    <x:row r="148">
      <x:c r="A148" s="46"/>
      <x:c r="B148" s="46"/>
      <x:c r="C148" s="46"/>
      <x:c r="D148" s="46"/>
      <x:c r="E148" s="46"/>
      <x:c r="F148" s="46"/>
      <x:c r="G148" s="46"/>
      <x:c r="H148" s="46"/>
      <x:c r="I148" s="46"/>
      <x:c r="J148" s="46"/>
      <x:c r="K148" s="46"/>
      <x:c r="L148" s="46"/>
      <x:c r="M148" s="46"/>
    </x:row>
    <x:row r="149">
      <x:c r="A149" s="46"/>
      <x:c r="B149" s="46"/>
      <x:c r="C149" s="46"/>
      <x:c r="D149" s="46"/>
      <x:c r="E149" s="46"/>
      <x:c r="F149" s="46"/>
      <x:c r="G149" s="46"/>
      <x:c r="H149" s="46"/>
      <x:c r="I149" s="46"/>
      <x:c r="J149" s="46"/>
      <x:c r="K149" s="46"/>
      <x:c r="L149" s="46"/>
      <x:c r="M149" s="46"/>
    </x:row>
    <x:row r="150">
      <x:c r="A150" s="46"/>
      <x:c r="B150" s="46"/>
      <x:c r="C150" s="46"/>
      <x:c r="D150" s="46"/>
      <x:c r="E150" s="46"/>
      <x:c r="F150" s="46"/>
      <x:c r="G150" s="46"/>
      <x:c r="H150" s="46"/>
      <x:c r="I150" s="46"/>
      <x:c r="J150" s="46"/>
      <x:c r="K150" s="46"/>
      <x:c r="L150" s="46"/>
      <x:c r="M150" s="46"/>
    </x:row>
    <x:row r="151">
      <x:c r="A151" s="46"/>
      <x:c r="B151" s="46"/>
      <x:c r="C151" s="46"/>
      <x:c r="D151" s="46"/>
      <x:c r="E151" s="46"/>
      <x:c r="F151" s="46"/>
      <x:c r="G151" s="46"/>
      <x:c r="H151" s="46"/>
      <x:c r="I151" s="46"/>
      <x:c r="J151" s="46"/>
      <x:c r="K151" s="46"/>
      <x:c r="L151" s="46"/>
      <x:c r="M151" s="46"/>
    </x:row>
    <x:row r="152">
      <x:c r="A152" s="46"/>
      <x:c r="B152" s="46"/>
      <x:c r="C152" s="46"/>
      <x:c r="D152" s="46"/>
      <x:c r="E152" s="46"/>
      <x:c r="F152" s="46"/>
      <x:c r="G152" s="46"/>
      <x:c r="H152" s="46"/>
      <x:c r="I152" s="46"/>
      <x:c r="J152" s="46"/>
      <x:c r="K152" s="46"/>
      <x:c r="L152" s="46"/>
      <x:c r="M152" s="46"/>
    </x:row>
    <x:row r="153">
      <x:c r="A153" s="46"/>
      <x:c r="B153" s="46"/>
      <x:c r="C153" s="46"/>
      <x:c r="D153" s="46"/>
      <x:c r="E153" s="46"/>
      <x:c r="F153" s="46"/>
      <x:c r="G153" s="46"/>
      <x:c r="H153" s="46"/>
      <x:c r="I153" s="46"/>
      <x:c r="J153" s="46"/>
      <x:c r="K153" s="46"/>
      <x:c r="L153" s="46"/>
      <x:c r="M153" s="46"/>
    </x:row>
    <x:row r="154">
      <x:c r="A154" s="46"/>
      <x:c r="B154" s="46"/>
      <x:c r="C154" s="46"/>
      <x:c r="D154" s="46"/>
      <x:c r="E154" s="46"/>
      <x:c r="F154" s="46"/>
      <x:c r="G154" s="46"/>
      <x:c r="H154" s="46"/>
      <x:c r="I154" s="46"/>
      <x:c r="J154" s="46"/>
      <x:c r="K154" s="46"/>
      <x:c r="L154" s="46"/>
      <x:c r="M154" s="46"/>
    </x:row>
    <x:row r="155">
      <x:c r="A155" s="46"/>
      <x:c r="B155" s="46"/>
      <x:c r="C155" s="46"/>
      <x:c r="D155" s="46"/>
      <x:c r="E155" s="46"/>
      <x:c r="F155" s="46"/>
      <x:c r="G155" s="46"/>
      <x:c r="H155" s="46"/>
      <x:c r="I155" s="46"/>
      <x:c r="J155" s="46"/>
      <x:c r="K155" s="46"/>
      <x:c r="L155" s="46"/>
      <x:c r="M155" s="46"/>
    </x:row>
    <x:row r="156">
      <x:c r="A156" s="46"/>
      <x:c r="B156" s="46"/>
      <x:c r="C156" s="46"/>
      <x:c r="D156" s="46"/>
      <x:c r="E156" s="46"/>
      <x:c r="F156" s="46"/>
      <x:c r="G156" s="46"/>
      <x:c r="H156" s="46"/>
      <x:c r="I156" s="46"/>
      <x:c r="J156" s="46"/>
      <x:c r="K156" s="46"/>
      <x:c r="L156" s="46"/>
      <x:c r="M156" s="46"/>
    </x:row>
    <x:row r="157">
      <x:c r="A157" s="46"/>
      <x:c r="B157" s="46"/>
      <x:c r="C157" s="46"/>
      <x:c r="D157" s="46"/>
      <x:c r="E157" s="46"/>
      <x:c r="F157" s="46"/>
      <x:c r="G157" s="46"/>
      <x:c r="H157" s="46"/>
      <x:c r="I157" s="46"/>
      <x:c r="J157" s="46"/>
      <x:c r="K157" s="46"/>
      <x:c r="L157" s="46"/>
      <x:c r="M157" s="46"/>
    </x:row>
    <x:row r="158">
      <x:c r="A158" s="46"/>
      <x:c r="B158" s="46"/>
      <x:c r="C158" s="46"/>
      <x:c r="D158" s="46"/>
      <x:c r="E158" s="46"/>
      <x:c r="F158" s="46"/>
      <x:c r="G158" s="46"/>
      <x:c r="H158" s="46"/>
      <x:c r="I158" s="46"/>
      <x:c r="J158" s="46"/>
      <x:c r="K158" s="46"/>
      <x:c r="L158" s="46"/>
      <x:c r="M158" s="46"/>
    </x:row>
    <x:row r="159">
      <x:c r="A159" s="46"/>
      <x:c r="B159" s="46"/>
      <x:c r="C159" s="46"/>
      <x:c r="D159" s="46"/>
      <x:c r="E159" s="46"/>
      <x:c r="F159" s="46"/>
      <x:c r="G159" s="46"/>
      <x:c r="H159" s="46"/>
      <x:c r="I159" s="46"/>
      <x:c r="J159" s="46"/>
      <x:c r="K159" s="46"/>
      <x:c r="L159" s="46"/>
      <x:c r="M159" s="46"/>
    </x:row>
    <x:row r="160">
      <x:c r="A160" s="46"/>
      <x:c r="B160" s="46"/>
      <x:c r="C160" s="46"/>
      <x:c r="D160" s="46"/>
      <x:c r="E160" s="46"/>
      <x:c r="F160" s="46"/>
      <x:c r="G160" s="46"/>
      <x:c r="H160" s="46"/>
      <x:c r="I160" s="46"/>
      <x:c r="J160" s="46"/>
      <x:c r="K160" s="46"/>
      <x:c r="L160" s="46"/>
      <x:c r="M160" s="46"/>
    </x:row>
    <x:row r="161">
      <x:c r="A161" s="46"/>
      <x:c r="B161" s="46"/>
      <x:c r="C161" s="46"/>
      <x:c r="D161" s="46"/>
      <x:c r="E161" s="46"/>
      <x:c r="F161" s="46"/>
      <x:c r="G161" s="46"/>
      <x:c r="H161" s="46"/>
      <x:c r="I161" s="46"/>
      <x:c r="J161" s="46"/>
      <x:c r="K161" s="46"/>
      <x:c r="L161" s="46"/>
      <x:c r="M161" s="46"/>
    </x:row>
    <x:row r="162">
      <x:c r="A162" s="46"/>
      <x:c r="B162" s="46"/>
      <x:c r="C162" s="46"/>
      <x:c r="D162" s="46"/>
      <x:c r="E162" s="46"/>
      <x:c r="F162" s="46"/>
      <x:c r="G162" s="46"/>
      <x:c r="H162" s="46"/>
      <x:c r="I162" s="46"/>
      <x:c r="J162" s="46"/>
      <x:c r="K162" s="46"/>
      <x:c r="L162" s="46"/>
      <x:c r="M162" s="46"/>
    </x:row>
    <x:row r="163">
      <x:c r="A163" s="46"/>
      <x:c r="B163" s="46"/>
      <x:c r="C163" s="46"/>
      <x:c r="D163" s="46"/>
      <x:c r="E163" s="46"/>
      <x:c r="F163" s="46"/>
      <x:c r="G163" s="46"/>
      <x:c r="H163" s="46"/>
      <x:c r="I163" s="46"/>
      <x:c r="J163" s="46"/>
      <x:c r="K163" s="46"/>
      <x:c r="L163" s="46"/>
      <x:c r="M163" s="46"/>
    </x:row>
    <x:row r="164">
      <x:c r="A164" s="46"/>
      <x:c r="B164" s="46"/>
      <x:c r="C164" s="46"/>
      <x:c r="D164" s="46"/>
      <x:c r="E164" s="46"/>
      <x:c r="F164" s="46"/>
      <x:c r="G164" s="46"/>
      <x:c r="H164" s="46"/>
      <x:c r="I164" s="46"/>
      <x:c r="J164" s="46"/>
      <x:c r="K164" s="46"/>
      <x:c r="L164" s="46"/>
      <x:c r="M164" s="46"/>
    </x:row>
    <x:row r="165">
      <x:c r="A165" s="46"/>
      <x:c r="B165" s="46"/>
      <x:c r="C165" s="46"/>
      <x:c r="D165" s="46"/>
      <x:c r="E165" s="46"/>
      <x:c r="F165" s="46"/>
      <x:c r="G165" s="46"/>
      <x:c r="H165" s="46"/>
      <x:c r="I165" s="46"/>
      <x:c r="J165" s="46"/>
      <x:c r="K165" s="46"/>
      <x:c r="L165" s="46"/>
      <x:c r="M165" s="46"/>
    </x:row>
    <x:row r="166">
      <x:c r="A166" s="46"/>
      <x:c r="B166" s="46"/>
      <x:c r="C166" s="46"/>
      <x:c r="D166" s="46"/>
      <x:c r="E166" s="46"/>
      <x:c r="F166" s="46"/>
      <x:c r="G166" s="46"/>
      <x:c r="H166" s="46"/>
      <x:c r="I166" s="46"/>
      <x:c r="J166" s="46"/>
      <x:c r="K166" s="46"/>
      <x:c r="L166" s="46"/>
      <x:c r="M166" s="46"/>
    </x:row>
    <x:row r="167">
      <x:c r="A167" s="46"/>
      <x:c r="B167" s="46"/>
      <x:c r="C167" s="46"/>
      <x:c r="D167" s="46"/>
      <x:c r="E167" s="46"/>
      <x:c r="F167" s="46"/>
      <x:c r="G167" s="46"/>
      <x:c r="H167" s="46"/>
      <x:c r="I167" s="46"/>
      <x:c r="J167" s="46"/>
      <x:c r="K167" s="46"/>
      <x:c r="L167" s="46"/>
      <x:c r="M167" s="46"/>
    </x:row>
    <x:row r="168">
      <x:c r="A168" s="46"/>
      <x:c r="B168" s="46"/>
      <x:c r="C168" s="46"/>
      <x:c r="D168" s="46"/>
      <x:c r="E168" s="46"/>
      <x:c r="F168" s="46"/>
      <x:c r="G168" s="46"/>
      <x:c r="H168" s="46"/>
      <x:c r="I168" s="46"/>
      <x:c r="J168" s="46"/>
      <x:c r="K168" s="46"/>
      <x:c r="L168" s="46"/>
      <x:c r="M168" s="46"/>
    </x:row>
    <x:row r="169">
      <x:c r="A169" s="46"/>
      <x:c r="B169" s="46"/>
      <x:c r="C169" s="46"/>
      <x:c r="D169" s="46"/>
      <x:c r="E169" s="46"/>
      <x:c r="F169" s="46"/>
      <x:c r="G169" s="46"/>
      <x:c r="H169" s="46"/>
      <x:c r="I169" s="46"/>
      <x:c r="J169" s="46"/>
      <x:c r="K169" s="46"/>
      <x:c r="L169" s="46"/>
      <x:c r="M169" s="46"/>
    </x:row>
    <x:row r="170">
      <x:c r="A170" s="46"/>
      <x:c r="B170" s="46"/>
      <x:c r="C170" s="46"/>
      <x:c r="D170" s="46"/>
      <x:c r="E170" s="46"/>
      <x:c r="F170" s="46"/>
      <x:c r="G170" s="46"/>
      <x:c r="H170" s="46"/>
      <x:c r="I170" s="46"/>
      <x:c r="J170" s="46"/>
      <x:c r="K170" s="46"/>
      <x:c r="L170" s="46"/>
      <x:c r="M170" s="46"/>
    </x:row>
    <x:row r="171">
      <x:c r="A171" s="46"/>
      <x:c r="B171" s="46"/>
      <x:c r="C171" s="46"/>
      <x:c r="D171" s="46"/>
      <x:c r="E171" s="46"/>
      <x:c r="F171" s="46"/>
      <x:c r="G171" s="46"/>
      <x:c r="H171" s="46"/>
      <x:c r="I171" s="46"/>
      <x:c r="J171" s="46"/>
      <x:c r="K171" s="46"/>
      <x:c r="L171" s="46"/>
      <x:c r="M171" s="46"/>
    </x:row>
    <x:row r="172">
      <x:c r="A172" s="46"/>
      <x:c r="B172" s="46"/>
      <x:c r="C172" s="46"/>
      <x:c r="D172" s="46"/>
      <x:c r="E172" s="46"/>
      <x:c r="F172" s="46"/>
      <x:c r="G172" s="46"/>
      <x:c r="H172" s="46"/>
      <x:c r="I172" s="46"/>
      <x:c r="J172" s="46"/>
      <x:c r="K172" s="46"/>
      <x:c r="L172" s="46"/>
      <x:c r="M172" s="46"/>
    </x:row>
    <x:row r="173">
      <x:c r="A173" s="46"/>
      <x:c r="B173" s="46"/>
      <x:c r="C173" s="46"/>
      <x:c r="D173" s="46"/>
      <x:c r="E173" s="46"/>
      <x:c r="F173" s="46"/>
      <x:c r="G173" s="46"/>
      <x:c r="H173" s="46"/>
      <x:c r="I173" s="46"/>
      <x:c r="J173" s="46"/>
      <x:c r="K173" s="46"/>
      <x:c r="L173" s="46"/>
      <x:c r="M173" s="46"/>
    </x:row>
    <x:row r="174">
      <x:c r="A174" s="46"/>
      <x:c r="B174" s="46"/>
      <x:c r="C174" s="46"/>
      <x:c r="D174" s="46"/>
      <x:c r="E174" s="46"/>
      <x:c r="F174" s="46"/>
      <x:c r="G174" s="46"/>
      <x:c r="H174" s="46"/>
      <x:c r="I174" s="46"/>
      <x:c r="J174" s="46"/>
      <x:c r="K174" s="46"/>
      <x:c r="L174" s="46"/>
      <x:c r="M174" s="46"/>
    </x:row>
    <x:row r="175">
      <x:c r="A175" s="46"/>
      <x:c r="B175" s="46"/>
      <x:c r="C175" s="46"/>
      <x:c r="D175" s="46"/>
      <x:c r="E175" s="46"/>
      <x:c r="F175" s="46"/>
      <x:c r="G175" s="46"/>
      <x:c r="H175" s="46"/>
      <x:c r="I175" s="46"/>
      <x:c r="J175" s="46"/>
      <x:c r="K175" s="46"/>
      <x:c r="L175" s="46"/>
      <x:c r="M175" s="46"/>
    </x:row>
    <x:row r="176">
      <x:c r="A176" s="46"/>
      <x:c r="B176" s="46"/>
      <x:c r="C176" s="46"/>
      <x:c r="D176" s="46"/>
      <x:c r="E176" s="46"/>
      <x:c r="F176" s="46"/>
      <x:c r="G176" s="46"/>
      <x:c r="H176" s="46"/>
      <x:c r="I176" s="46"/>
      <x:c r="J176" s="46"/>
      <x:c r="K176" s="46"/>
      <x:c r="L176" s="46"/>
      <x:c r="M176" s="46"/>
    </x:row>
    <x:row r="177">
      <x:c r="A177" s="46"/>
      <x:c r="B177" s="46"/>
      <x:c r="C177" s="46"/>
      <x:c r="D177" s="46"/>
      <x:c r="E177" s="46"/>
      <x:c r="F177" s="46"/>
      <x:c r="G177" s="46"/>
      <x:c r="H177" s="46"/>
      <x:c r="I177" s="46"/>
      <x:c r="J177" s="46"/>
      <x:c r="K177" s="46"/>
      <x:c r="L177" s="46"/>
      <x:c r="M177" s="46"/>
    </x:row>
    <x:row r="178">
      <x:c r="A178" s="46"/>
      <x:c r="B178" s="46"/>
      <x:c r="C178" s="46"/>
      <x:c r="D178" s="46"/>
      <x:c r="E178" s="46"/>
      <x:c r="F178" s="46"/>
      <x:c r="G178" s="46"/>
      <x:c r="H178" s="46"/>
      <x:c r="I178" s="46"/>
      <x:c r="J178" s="46"/>
      <x:c r="K178" s="46"/>
      <x:c r="L178" s="46"/>
      <x:c r="M178" s="46"/>
    </x:row>
    <x:row r="179">
      <x:c r="A179" s="46"/>
      <x:c r="B179" s="46"/>
      <x:c r="C179" s="46"/>
      <x:c r="D179" s="46"/>
      <x:c r="E179" s="46"/>
      <x:c r="F179" s="46"/>
      <x:c r="G179" s="46"/>
      <x:c r="H179" s="46"/>
      <x:c r="I179" s="46"/>
      <x:c r="J179" s="46"/>
      <x:c r="K179" s="46"/>
      <x:c r="L179" s="46"/>
      <x:c r="M179" s="46"/>
    </x:row>
    <x:row r="180">
      <x:c r="A180" s="46"/>
      <x:c r="B180" s="46"/>
      <x:c r="C180" s="46"/>
      <x:c r="D180" s="46"/>
      <x:c r="E180" s="46"/>
      <x:c r="F180" s="46"/>
      <x:c r="G180" s="46"/>
      <x:c r="H180" s="46"/>
      <x:c r="I180" s="46"/>
      <x:c r="J180" s="46"/>
      <x:c r="K180" s="46"/>
      <x:c r="L180" s="46"/>
      <x:c r="M180" s="46"/>
    </x:row>
    <x:row r="181">
      <x:c r="A181" s="46"/>
      <x:c r="B181" s="46"/>
      <x:c r="C181" s="46"/>
      <x:c r="D181" s="46"/>
      <x:c r="E181" s="46"/>
      <x:c r="F181" s="46"/>
      <x:c r="G181" s="46"/>
      <x:c r="H181" s="46"/>
      <x:c r="I181" s="46"/>
      <x:c r="J181" s="46"/>
      <x:c r="K181" s="46"/>
      <x:c r="L181" s="46"/>
      <x:c r="M181" s="46"/>
    </x:row>
    <x:row r="182">
      <x:c r="A182" s="46"/>
      <x:c r="B182" s="46"/>
      <x:c r="C182" s="46"/>
      <x:c r="D182" s="46"/>
      <x:c r="E182" s="46"/>
      <x:c r="F182" s="46"/>
      <x:c r="G182" s="46"/>
      <x:c r="H182" s="46"/>
      <x:c r="I182" s="46"/>
      <x:c r="J182" s="46"/>
      <x:c r="K182" s="46"/>
      <x:c r="L182" s="46"/>
      <x:c r="M182" s="46"/>
    </x:row>
    <x:row r="183">
      <x:c r="A183" s="46"/>
      <x:c r="B183" s="46"/>
      <x:c r="C183" s="46"/>
      <x:c r="D183" s="46"/>
      <x:c r="E183" s="46"/>
      <x:c r="F183" s="46"/>
      <x:c r="G183" s="46"/>
      <x:c r="H183" s="46"/>
      <x:c r="I183" s="46"/>
      <x:c r="J183" s="46"/>
      <x:c r="K183" s="46"/>
      <x:c r="L183" s="46"/>
      <x:c r="M183" s="46"/>
    </x:row>
    <x:row r="184">
      <x:c r="A184" s="46"/>
      <x:c r="B184" s="46"/>
      <x:c r="C184" s="46"/>
      <x:c r="D184" s="46"/>
      <x:c r="E184" s="46"/>
      <x:c r="F184" s="46"/>
      <x:c r="G184" s="46"/>
      <x:c r="H184" s="46"/>
      <x:c r="I184" s="46"/>
      <x:c r="J184" s="46"/>
      <x:c r="K184" s="46"/>
      <x:c r="L184" s="46"/>
      <x:c r="M184" s="46"/>
    </x:row>
    <x:row r="185">
      <x:c r="A185" s="46"/>
      <x:c r="B185" s="46"/>
      <x:c r="C185" s="46"/>
      <x:c r="D185" s="46"/>
      <x:c r="E185" s="46"/>
      <x:c r="F185" s="46"/>
      <x:c r="G185" s="46"/>
      <x:c r="H185" s="46"/>
      <x:c r="I185" s="46"/>
      <x:c r="J185" s="46"/>
      <x:c r="K185" s="46"/>
      <x:c r="L185" s="46"/>
      <x:c r="M185" s="46"/>
    </x:row>
    <x:row r="186">
      <x:c r="A186" s="46"/>
      <x:c r="B186" s="46"/>
      <x:c r="C186" s="46"/>
      <x:c r="D186" s="46"/>
      <x:c r="E186" s="46"/>
      <x:c r="F186" s="46"/>
      <x:c r="G186" s="46"/>
      <x:c r="H186" s="46"/>
      <x:c r="I186" s="46"/>
      <x:c r="J186" s="46"/>
      <x:c r="K186" s="46"/>
      <x:c r="L186" s="46"/>
      <x:c r="M186" s="46"/>
    </x:row>
    <x:row r="187">
      <x:c r="A187" s="46"/>
      <x:c r="B187" s="46"/>
      <x:c r="C187" s="46"/>
      <x:c r="D187" s="46"/>
      <x:c r="E187" s="46"/>
      <x:c r="F187" s="46"/>
      <x:c r="G187" s="46"/>
      <x:c r="H187" s="46"/>
      <x:c r="I187" s="46"/>
      <x:c r="J187" s="46"/>
      <x:c r="K187" s="46"/>
      <x:c r="L187" s="46"/>
      <x:c r="M187" s="46"/>
    </x:row>
    <x:row r="188">
      <x:c r="A188" s="46"/>
      <x:c r="B188" s="46"/>
      <x:c r="C188" s="46"/>
      <x:c r="D188" s="46"/>
      <x:c r="E188" s="46"/>
      <x:c r="F188" s="46"/>
      <x:c r="G188" s="46"/>
      <x:c r="H188" s="46"/>
      <x:c r="I188" s="46"/>
      <x:c r="J188" s="46"/>
      <x:c r="K188" s="46"/>
      <x:c r="L188" s="46"/>
      <x:c r="M188" s="46"/>
    </x:row>
    <x:row r="189">
      <x:c r="A189" s="46"/>
      <x:c r="B189" s="46"/>
      <x:c r="C189" s="46"/>
      <x:c r="D189" s="46"/>
      <x:c r="E189" s="46"/>
      <x:c r="F189" s="46"/>
      <x:c r="G189" s="46"/>
      <x:c r="H189" s="46"/>
      <x:c r="I189" s="46"/>
      <x:c r="J189" s="46"/>
      <x:c r="K189" s="46"/>
      <x:c r="L189" s="46"/>
      <x:c r="M189" s="46"/>
    </x:row>
    <x:row r="190">
      <x:c r="A190" s="46"/>
      <x:c r="B190" s="46"/>
      <x:c r="C190" s="46"/>
      <x:c r="D190" s="46"/>
      <x:c r="E190" s="46"/>
      <x:c r="F190" s="46"/>
      <x:c r="G190" s="46"/>
      <x:c r="H190" s="46"/>
      <x:c r="I190" s="46"/>
      <x:c r="J190" s="46"/>
      <x:c r="K190" s="46"/>
      <x:c r="L190" s="46"/>
      <x:c r="M190" s="46"/>
    </x:row>
    <x:row r="191">
      <x:c r="A191" s="46"/>
      <x:c r="B191" s="46"/>
      <x:c r="C191" s="46"/>
      <x:c r="D191" s="46"/>
      <x:c r="E191" s="46"/>
      <x:c r="F191" s="46"/>
      <x:c r="G191" s="46"/>
      <x:c r="H191" s="46"/>
      <x:c r="I191" s="46"/>
      <x:c r="J191" s="46"/>
      <x:c r="K191" s="46"/>
      <x:c r="L191" s="46"/>
      <x:c r="M191" s="46"/>
    </x:row>
    <x:row r="192">
      <x:c r="A192" s="46"/>
      <x:c r="B192" s="46"/>
      <x:c r="C192" s="46"/>
      <x:c r="D192" s="46"/>
      <x:c r="E192" s="46"/>
      <x:c r="F192" s="46"/>
      <x:c r="G192" s="46"/>
      <x:c r="H192" s="46"/>
      <x:c r="I192" s="46"/>
      <x:c r="J192" s="46"/>
      <x:c r="K192" s="46"/>
      <x:c r="L192" s="46"/>
      <x:c r="M192" s="46"/>
    </x:row>
    <x:row r="193">
      <x:c r="A193" s="46"/>
      <x:c r="B193" s="46"/>
      <x:c r="C193" s="46"/>
      <x:c r="D193" s="46"/>
      <x:c r="E193" s="46"/>
      <x:c r="F193" s="46"/>
      <x:c r="G193" s="46"/>
      <x:c r="H193" s="46"/>
      <x:c r="I193" s="46"/>
      <x:c r="J193" s="46"/>
      <x:c r="K193" s="46"/>
      <x:c r="L193" s="46"/>
      <x:c r="M193" s="46"/>
    </x:row>
    <x:row r="194">
      <x:c r="A194" s="46"/>
      <x:c r="B194" s="46"/>
      <x:c r="C194" s="46"/>
      <x:c r="D194" s="46"/>
      <x:c r="E194" s="46"/>
      <x:c r="F194" s="46"/>
      <x:c r="G194" s="46"/>
      <x:c r="H194" s="46"/>
      <x:c r="I194" s="46"/>
      <x:c r="J194" s="46"/>
      <x:c r="K194" s="46"/>
      <x:c r="L194" s="46"/>
      <x:c r="M194" s="46"/>
    </x:row>
    <x:row r="195">
      <x:c r="A195" s="46"/>
      <x:c r="B195" s="46"/>
      <x:c r="C195" s="46"/>
      <x:c r="D195" s="46"/>
      <x:c r="E195" s="46"/>
      <x:c r="F195" s="46"/>
      <x:c r="G195" s="46"/>
      <x:c r="H195" s="46"/>
      <x:c r="I195" s="46"/>
      <x:c r="J195" s="46"/>
      <x:c r="K195" s="46"/>
      <x:c r="L195" s="46"/>
      <x:c r="M195" s="46"/>
    </x:row>
    <x:row r="196">
      <x:c r="A196" s="46"/>
      <x:c r="B196" s="46"/>
      <x:c r="C196" s="46"/>
      <x:c r="D196" s="46"/>
      <x:c r="E196" s="46"/>
      <x:c r="F196" s="46"/>
      <x:c r="G196" s="46"/>
      <x:c r="H196" s="46"/>
      <x:c r="I196" s="46"/>
      <x:c r="J196" s="46"/>
      <x:c r="K196" s="46"/>
      <x:c r="L196" s="46"/>
      <x:c r="M196" s="46"/>
    </x:row>
    <x:row r="197">
      <x:c r="A197" s="46"/>
      <x:c r="B197" s="46"/>
      <x:c r="C197" s="46"/>
      <x:c r="D197" s="46"/>
      <x:c r="E197" s="46"/>
      <x:c r="F197" s="46"/>
      <x:c r="G197" s="46"/>
      <x:c r="H197" s="46"/>
      <x:c r="I197" s="46"/>
      <x:c r="J197" s="46"/>
      <x:c r="K197" s="46"/>
      <x:c r="L197" s="46"/>
      <x:c r="M197" s="46"/>
    </x:row>
    <x:row r="198">
      <x:c r="A198" s="46"/>
      <x:c r="B198" s="46"/>
      <x:c r="C198" s="46"/>
      <x:c r="D198" s="46"/>
      <x:c r="E198" s="46"/>
      <x:c r="F198" s="46"/>
      <x:c r="G198" s="46"/>
      <x:c r="H198" s="46"/>
      <x:c r="I198" s="46"/>
      <x:c r="J198" s="46"/>
      <x:c r="K198" s="46"/>
      <x:c r="L198" s="46"/>
      <x:c r="M198" s="46"/>
    </x:row>
    <x:row r="199">
      <x:c r="A199" s="46"/>
      <x:c r="B199" s="46"/>
      <x:c r="C199" s="46"/>
      <x:c r="D199" s="46"/>
      <x:c r="E199" s="46"/>
      <x:c r="F199" s="46"/>
      <x:c r="G199" s="46"/>
      <x:c r="H199" s="46"/>
      <x:c r="I199" s="46"/>
      <x:c r="J199" s="46"/>
      <x:c r="K199" s="46"/>
      <x:c r="L199" s="46"/>
      <x:c r="M199" s="46"/>
    </x:row>
    <x:row r="200">
      <x:c r="A200" s="46"/>
      <x:c r="B200" s="46"/>
      <x:c r="C200" s="46"/>
      <x:c r="D200" s="46"/>
      <x:c r="E200" s="46"/>
      <x:c r="F200" s="46"/>
      <x:c r="G200" s="46"/>
      <x:c r="H200" s="46"/>
      <x:c r="I200" s="46"/>
      <x:c r="J200" s="46"/>
      <x:c r="K200" s="46"/>
      <x:c r="L200" s="46"/>
      <x:c r="M200" s="46"/>
    </x:row>
    <x:row r="201">
      <x:c r="A201" s="46"/>
      <x:c r="B201" s="46"/>
      <x:c r="C201" s="46"/>
      <x:c r="D201" s="46"/>
      <x:c r="E201" s="46"/>
      <x:c r="F201" s="46"/>
      <x:c r="G201" s="46"/>
      <x:c r="H201" s="46"/>
      <x:c r="I201" s="46"/>
      <x:c r="J201" s="46"/>
      <x:c r="K201" s="46"/>
      <x:c r="L201" s="46"/>
      <x:c r="M201" s="46"/>
    </x:row>
    <x:row r="202">
      <x:c r="A202" s="46"/>
      <x:c r="B202" s="46"/>
      <x:c r="C202" s="46"/>
      <x:c r="D202" s="46"/>
      <x:c r="E202" s="46"/>
      <x:c r="F202" s="46"/>
      <x:c r="G202" s="46"/>
      <x:c r="H202" s="46"/>
      <x:c r="I202" s="46"/>
      <x:c r="J202" s="46"/>
      <x:c r="K202" s="46"/>
      <x:c r="L202" s="46"/>
      <x:c r="M202" s="46"/>
    </x:row>
    <x:row r="203">
      <x:c r="A203" s="46"/>
      <x:c r="B203" s="46"/>
      <x:c r="C203" s="46"/>
      <x:c r="D203" s="46"/>
      <x:c r="E203" s="46"/>
      <x:c r="F203" s="46"/>
      <x:c r="G203" s="46"/>
      <x:c r="H203" s="46"/>
      <x:c r="I203" s="46"/>
      <x:c r="J203" s="46"/>
      <x:c r="K203" s="46"/>
      <x:c r="L203" s="46"/>
      <x:c r="M203" s="46"/>
    </x:row>
    <x:row r="204">
      <x:c r="A204" s="46"/>
      <x:c r="B204" s="46"/>
      <x:c r="C204" s="46"/>
      <x:c r="D204" s="46"/>
      <x:c r="E204" s="46"/>
      <x:c r="F204" s="46"/>
      <x:c r="G204" s="46"/>
      <x:c r="H204" s="46"/>
      <x:c r="I204" s="46"/>
      <x:c r="J204" s="46"/>
      <x:c r="K204" s="46"/>
      <x:c r="L204" s="46"/>
      <x:c r="M204" s="46"/>
    </x:row>
    <x:row r="205">
      <x:c r="A205" s="46"/>
      <x:c r="B205" s="46"/>
      <x:c r="C205" s="46"/>
      <x:c r="D205" s="46"/>
      <x:c r="E205" s="46"/>
      <x:c r="F205" s="46"/>
      <x:c r="G205" s="46"/>
      <x:c r="H205" s="46"/>
      <x:c r="I205" s="46"/>
      <x:c r="J205" s="46"/>
      <x:c r="K205" s="46"/>
      <x:c r="L205" s="46"/>
      <x:c r="M205" s="46"/>
    </x:row>
    <x:row r="206">
      <x:c r="A206" s="46"/>
      <x:c r="B206" s="46"/>
      <x:c r="C206" s="46"/>
      <x:c r="D206" s="46"/>
      <x:c r="E206" s="46"/>
      <x:c r="F206" s="46"/>
      <x:c r="G206" s="46"/>
      <x:c r="H206" s="46"/>
      <x:c r="I206" s="46"/>
      <x:c r="J206" s="46"/>
      <x:c r="K206" s="46"/>
      <x:c r="L206" s="46"/>
      <x:c r="M206" s="46"/>
    </x:row>
    <x:row r="207">
      <x:c r="A207" s="46"/>
      <x:c r="B207" s="46"/>
      <x:c r="C207" s="46"/>
      <x:c r="D207" s="46"/>
      <x:c r="E207" s="46"/>
      <x:c r="F207" s="46"/>
      <x:c r="G207" s="46"/>
      <x:c r="H207" s="46"/>
      <x:c r="I207" s="46"/>
      <x:c r="J207" s="46"/>
      <x:c r="K207" s="46"/>
      <x:c r="L207" s="46"/>
      <x:c r="M207" s="46"/>
    </x:row>
    <x:row r="208">
      <x:c r="A208" s="46"/>
      <x:c r="B208" s="46"/>
      <x:c r="C208" s="46"/>
      <x:c r="D208" s="46"/>
      <x:c r="E208" s="46"/>
      <x:c r="F208" s="46"/>
      <x:c r="G208" s="46"/>
      <x:c r="H208" s="46"/>
      <x:c r="I208" s="46"/>
      <x:c r="J208" s="46"/>
      <x:c r="K208" s="46"/>
      <x:c r="L208" s="46"/>
      <x:c r="M208" s="46"/>
    </x:row>
    <x:row r="209">
      <x:c r="A209" s="46"/>
      <x:c r="B209" s="46"/>
      <x:c r="C209" s="46"/>
      <x:c r="D209" s="46"/>
      <x:c r="E209" s="46"/>
      <x:c r="F209" s="46"/>
      <x:c r="G209" s="46"/>
      <x:c r="H209" s="46"/>
      <x:c r="I209" s="46"/>
      <x:c r="J209" s="46"/>
      <x:c r="K209" s="46"/>
      <x:c r="L209" s="46"/>
      <x:c r="M209" s="46"/>
    </x:row>
    <x:row r="210">
      <x:c r="A210" s="46"/>
      <x:c r="B210" s="46"/>
      <x:c r="C210" s="46"/>
      <x:c r="D210" s="46"/>
      <x:c r="E210" s="46"/>
      <x:c r="F210" s="46"/>
      <x:c r="G210" s="46"/>
      <x:c r="H210" s="46"/>
      <x:c r="I210" s="46"/>
      <x:c r="J210" s="46"/>
      <x:c r="K210" s="46"/>
      <x:c r="L210" s="46"/>
      <x:c r="M210" s="46"/>
    </x:row>
    <x:row r="211">
      <x:c r="A211" s="46"/>
      <x:c r="B211" s="46"/>
      <x:c r="C211" s="46"/>
      <x:c r="D211" s="46"/>
      <x:c r="E211" s="46"/>
      <x:c r="F211" s="46"/>
      <x:c r="G211" s="46"/>
      <x:c r="H211" s="46"/>
      <x:c r="I211" s="46"/>
      <x:c r="J211" s="46"/>
      <x:c r="K211" s="46"/>
      <x:c r="L211" s="46"/>
      <x:c r="M211" s="46"/>
    </x:row>
    <x:row r="212">
      <x:c r="A212" s="46"/>
      <x:c r="B212" s="46"/>
      <x:c r="C212" s="46"/>
      <x:c r="D212" s="46"/>
      <x:c r="E212" s="46"/>
      <x:c r="F212" s="46"/>
      <x:c r="G212" s="46"/>
      <x:c r="H212" s="46"/>
      <x:c r="I212" s="46"/>
      <x:c r="J212" s="46"/>
      <x:c r="K212" s="46"/>
      <x:c r="L212" s="46"/>
      <x:c r="M212" s="46"/>
    </x:row>
    <x:row r="213">
      <x:c r="A213" s="46"/>
      <x:c r="B213" s="46"/>
      <x:c r="C213" s="46"/>
      <x:c r="D213" s="46"/>
      <x:c r="E213" s="46"/>
      <x:c r="F213" s="46"/>
      <x:c r="G213" s="46"/>
      <x:c r="H213" s="46"/>
      <x:c r="I213" s="46"/>
      <x:c r="J213" s="46"/>
      <x:c r="K213" s="46"/>
      <x:c r="L213" s="46"/>
      <x:c r="M213" s="46"/>
    </x:row>
    <x:row r="214">
      <x:c r="A214" s="46"/>
      <x:c r="B214" s="46"/>
      <x:c r="C214" s="46"/>
      <x:c r="D214" s="46"/>
      <x:c r="E214" s="46"/>
      <x:c r="F214" s="46"/>
      <x:c r="G214" s="46"/>
      <x:c r="H214" s="46"/>
      <x:c r="I214" s="46"/>
      <x:c r="J214" s="46"/>
      <x:c r="K214" s="46"/>
      <x:c r="L214" s="46"/>
      <x:c r="M214" s="46"/>
    </x:row>
    <x:row r="215">
      <x:c r="A215" s="46"/>
      <x:c r="B215" s="46"/>
      <x:c r="C215" s="46"/>
      <x:c r="D215" s="46"/>
      <x:c r="E215" s="46"/>
      <x:c r="F215" s="46"/>
      <x:c r="G215" s="46"/>
      <x:c r="H215" s="46"/>
      <x:c r="I215" s="46"/>
      <x:c r="J215" s="46"/>
      <x:c r="K215" s="46"/>
      <x:c r="L215" s="46"/>
      <x:c r="M215" s="46"/>
    </x:row>
    <x:row r="216">
      <x:c r="A216" s="46"/>
      <x:c r="B216" s="46"/>
      <x:c r="C216" s="46"/>
      <x:c r="D216" s="46"/>
      <x:c r="E216" s="46"/>
      <x:c r="F216" s="46"/>
      <x:c r="G216" s="46"/>
      <x:c r="H216" s="46"/>
      <x:c r="I216" s="46"/>
      <x:c r="J216" s="46"/>
      <x:c r="K216" s="46"/>
      <x:c r="L216" s="46"/>
      <x:c r="M216" s="46"/>
    </x:row>
    <x:row r="217">
      <x:c r="A217" s="46"/>
      <x:c r="B217" s="46"/>
      <x:c r="C217" s="46"/>
      <x:c r="D217" s="46"/>
      <x:c r="E217" s="46"/>
      <x:c r="F217" s="46"/>
      <x:c r="G217" s="46"/>
      <x:c r="H217" s="46"/>
      <x:c r="I217" s="46"/>
      <x:c r="J217" s="46"/>
      <x:c r="K217" s="46"/>
      <x:c r="L217" s="46"/>
      <x:c r="M217" s="46"/>
    </x:row>
    <x:row r="218">
      <x:c r="A218" s="46"/>
      <x:c r="B218" s="46"/>
      <x:c r="C218" s="46"/>
      <x:c r="D218" s="46"/>
      <x:c r="E218" s="46"/>
      <x:c r="F218" s="46"/>
      <x:c r="G218" s="46"/>
      <x:c r="H218" s="46"/>
      <x:c r="I218" s="46"/>
      <x:c r="J218" s="46"/>
      <x:c r="K218" s="46"/>
      <x:c r="L218" s="46"/>
      <x:c r="M218" s="46"/>
    </x:row>
    <x:row r="219">
      <x:c r="A219" s="46"/>
      <x:c r="B219" s="46"/>
      <x:c r="C219" s="46"/>
      <x:c r="D219" s="46"/>
      <x:c r="E219" s="46"/>
      <x:c r="F219" s="46"/>
      <x:c r="G219" s="46"/>
      <x:c r="H219" s="46"/>
      <x:c r="I219" s="46"/>
      <x:c r="J219" s="46"/>
      <x:c r="K219" s="46"/>
      <x:c r="L219" s="46"/>
      <x:c r="M219" s="46"/>
    </x:row>
    <x:row r="220">
      <x:c r="A220" s="46"/>
      <x:c r="B220" s="46"/>
      <x:c r="C220" s="46"/>
      <x:c r="D220" s="46"/>
      <x:c r="E220" s="46"/>
      <x:c r="F220" s="46"/>
      <x:c r="G220" s="46"/>
      <x:c r="H220" s="46"/>
      <x:c r="I220" s="46"/>
      <x:c r="J220" s="46"/>
      <x:c r="K220" s="46"/>
      <x:c r="L220" s="46"/>
      <x:c r="M220" s="46"/>
    </x:row>
    <x:row r="221">
      <x:c r="A221" s="46"/>
      <x:c r="B221" s="46"/>
      <x:c r="C221" s="46"/>
      <x:c r="D221" s="46"/>
      <x:c r="E221" s="46"/>
      <x:c r="F221" s="46"/>
      <x:c r="G221" s="46"/>
      <x:c r="H221" s="46"/>
      <x:c r="I221" s="46"/>
      <x:c r="J221" s="46"/>
      <x:c r="K221" s="46"/>
      <x:c r="L221" s="46"/>
      <x:c r="M221" s="46"/>
    </x:row>
    <x:row r="222">
      <x:c r="A222" s="46"/>
      <x:c r="B222" s="46"/>
      <x:c r="C222" s="46"/>
      <x:c r="D222" s="46"/>
      <x:c r="E222" s="46"/>
      <x:c r="F222" s="46"/>
      <x:c r="G222" s="46"/>
      <x:c r="H222" s="46"/>
      <x:c r="I222" s="46"/>
      <x:c r="J222" s="46"/>
      <x:c r="K222" s="46"/>
      <x:c r="L222" s="46"/>
      <x:c r="M222" s="46"/>
    </x:row>
    <x:row r="223">
      <x:c r="A223" s="46"/>
      <x:c r="B223" s="46"/>
      <x:c r="C223" s="46"/>
      <x:c r="D223" s="46"/>
      <x:c r="E223" s="46"/>
      <x:c r="F223" s="46"/>
      <x:c r="G223" s="46"/>
      <x:c r="H223" s="46"/>
      <x:c r="I223" s="46"/>
      <x:c r="J223" s="46"/>
      <x:c r="K223" s="46"/>
      <x:c r="L223" s="46"/>
      <x:c r="M223" s="46"/>
    </x:row>
    <x:row r="224">
      <x:c r="A224" s="46"/>
      <x:c r="B224" s="46"/>
      <x:c r="C224" s="46"/>
      <x:c r="D224" s="46"/>
      <x:c r="E224" s="46"/>
      <x:c r="F224" s="46"/>
      <x:c r="G224" s="46"/>
      <x:c r="H224" s="46"/>
      <x:c r="I224" s="46"/>
      <x:c r="J224" s="46"/>
      <x:c r="K224" s="46"/>
      <x:c r="L224" s="46"/>
      <x:c r="M224" s="46"/>
    </x:row>
    <x:row r="225">
      <x:c r="A225" s="46"/>
      <x:c r="B225" s="46"/>
      <x:c r="C225" s="46"/>
      <x:c r="D225" s="46"/>
      <x:c r="E225" s="46"/>
      <x:c r="F225" s="46"/>
      <x:c r="G225" s="46"/>
      <x:c r="H225" s="46"/>
      <x:c r="I225" s="46"/>
      <x:c r="J225" s="46"/>
      <x:c r="K225" s="46"/>
      <x:c r="L225" s="46"/>
      <x:c r="M225" s="46"/>
    </x:row>
    <x:row r="226">
      <x:c r="A226" s="46"/>
      <x:c r="B226" s="46"/>
      <x:c r="C226" s="46"/>
      <x:c r="D226" s="46"/>
      <x:c r="E226" s="46"/>
      <x:c r="F226" s="46"/>
      <x:c r="G226" s="46"/>
      <x:c r="H226" s="46"/>
      <x:c r="I226" s="46"/>
      <x:c r="J226" s="46"/>
      <x:c r="K226" s="46"/>
      <x:c r="L226" s="46"/>
      <x:c r="M226" s="46"/>
    </x:row>
    <x:row r="227">
      <x:c r="A227" s="46"/>
      <x:c r="B227" s="46"/>
      <x:c r="C227" s="46"/>
      <x:c r="D227" s="46"/>
      <x:c r="E227" s="46"/>
      <x:c r="F227" s="46"/>
      <x:c r="G227" s="46"/>
      <x:c r="H227" s="46"/>
      <x:c r="I227" s="46"/>
      <x:c r="J227" s="46"/>
      <x:c r="K227" s="46"/>
      <x:c r="L227" s="46"/>
      <x:c r="M227" s="46"/>
    </x:row>
    <x:row r="228">
      <x:c r="A228" s="46"/>
      <x:c r="B228" s="46"/>
      <x:c r="C228" s="46"/>
      <x:c r="D228" s="46"/>
      <x:c r="E228" s="46"/>
      <x:c r="F228" s="46"/>
      <x:c r="G228" s="46"/>
      <x:c r="H228" s="46"/>
      <x:c r="I228" s="46"/>
      <x:c r="J228" s="46"/>
      <x:c r="K228" s="46"/>
      <x:c r="L228" s="46"/>
      <x:c r="M228" s="46"/>
    </x:row>
    <x:row r="229">
      <x:c r="A229" s="46"/>
      <x:c r="B229" s="46"/>
      <x:c r="C229" s="46"/>
      <x:c r="D229" s="46"/>
      <x:c r="E229" s="46"/>
      <x:c r="F229" s="46"/>
      <x:c r="G229" s="46"/>
      <x:c r="H229" s="46"/>
      <x:c r="I229" s="46"/>
      <x:c r="J229" s="46"/>
      <x:c r="K229" s="46"/>
      <x:c r="L229" s="46"/>
      <x:c r="M229" s="46"/>
    </x:row>
    <x:row r="230">
      <x:c r="A230" s="46"/>
      <x:c r="B230" s="46"/>
      <x:c r="C230" s="46"/>
      <x:c r="D230" s="46"/>
      <x:c r="E230" s="46"/>
      <x:c r="F230" s="46"/>
      <x:c r="G230" s="46"/>
      <x:c r="H230" s="46"/>
      <x:c r="I230" s="46"/>
      <x:c r="J230" s="46"/>
      <x:c r="K230" s="46"/>
      <x:c r="L230" s="46"/>
      <x:c r="M230" s="46"/>
    </x:row>
    <x:row r="231">
      <x:c r="A231" s="46"/>
      <x:c r="B231" s="46"/>
      <x:c r="C231" s="46"/>
      <x:c r="D231" s="46"/>
      <x:c r="E231" s="46"/>
      <x:c r="F231" s="46"/>
      <x:c r="G231" s="46"/>
      <x:c r="H231" s="46"/>
      <x:c r="I231" s="46"/>
      <x:c r="J231" s="46"/>
      <x:c r="K231" s="46"/>
      <x:c r="L231" s="46"/>
      <x:c r="M231" s="46"/>
    </x:row>
    <x:row r="232">
      <x:c r="A232" s="46"/>
      <x:c r="B232" s="46"/>
      <x:c r="C232" s="46"/>
      <x:c r="D232" s="46"/>
      <x:c r="E232" s="46"/>
      <x:c r="F232" s="46"/>
      <x:c r="G232" s="46"/>
      <x:c r="H232" s="46"/>
      <x:c r="I232" s="46"/>
      <x:c r="J232" s="46"/>
      <x:c r="K232" s="46"/>
      <x:c r="L232" s="46"/>
      <x:c r="M232" s="46"/>
    </x:row>
    <x:row r="233">
      <x:c r="A233" s="46"/>
      <x:c r="B233" s="46"/>
      <x:c r="C233" s="46"/>
      <x:c r="D233" s="46"/>
      <x:c r="E233" s="46"/>
      <x:c r="F233" s="46"/>
      <x:c r="G233" s="46"/>
      <x:c r="H233" s="46"/>
      <x:c r="I233" s="46"/>
      <x:c r="J233" s="46"/>
      <x:c r="K233" s="46"/>
      <x:c r="L233" s="46"/>
      <x:c r="M233" s="46"/>
    </x:row>
    <x:row r="234">
      <x:c r="A234" s="46"/>
      <x:c r="B234" s="46"/>
      <x:c r="C234" s="46"/>
      <x:c r="D234" s="46"/>
      <x:c r="E234" s="46"/>
      <x:c r="F234" s="46"/>
      <x:c r="G234" s="46"/>
      <x:c r="H234" s="46"/>
      <x:c r="I234" s="46"/>
      <x:c r="J234" s="46"/>
      <x:c r="K234" s="46"/>
      <x:c r="L234" s="46"/>
      <x:c r="M234" s="46"/>
    </x:row>
    <x:row r="235">
      <x:c r="A235" s="46"/>
      <x:c r="B235" s="46"/>
      <x:c r="C235" s="46"/>
      <x:c r="D235" s="46"/>
      <x:c r="E235" s="46"/>
      <x:c r="F235" s="46"/>
      <x:c r="G235" s="46"/>
      <x:c r="H235" s="46"/>
      <x:c r="I235" s="46"/>
      <x:c r="J235" s="46"/>
      <x:c r="K235" s="46"/>
      <x:c r="L235" s="46"/>
      <x:c r="M235" s="46"/>
    </x:row>
    <x:row r="236">
      <x:c r="A236" s="46"/>
      <x:c r="B236" s="46"/>
      <x:c r="C236" s="46"/>
      <x:c r="D236" s="46"/>
      <x:c r="E236" s="46"/>
      <x:c r="F236" s="46"/>
      <x:c r="G236" s="46"/>
      <x:c r="H236" s="46"/>
      <x:c r="I236" s="46"/>
      <x:c r="J236" s="46"/>
      <x:c r="K236" s="46"/>
      <x:c r="L236" s="46"/>
      <x:c r="M236" s="46"/>
    </x:row>
    <x:row r="237">
      <x:c r="A237" s="46"/>
      <x:c r="B237" s="46"/>
      <x:c r="C237" s="46"/>
      <x:c r="D237" s="46"/>
      <x:c r="E237" s="46"/>
      <x:c r="F237" s="46"/>
      <x:c r="G237" s="46"/>
      <x:c r="H237" s="46"/>
      <x:c r="I237" s="46"/>
      <x:c r="J237" s="46"/>
      <x:c r="K237" s="46"/>
      <x:c r="L237" s="46"/>
      <x:c r="M237" s="46"/>
    </x:row>
    <x:row r="238">
      <x:c r="A238" s="46"/>
      <x:c r="B238" s="46"/>
      <x:c r="C238" s="46"/>
      <x:c r="D238" s="46"/>
      <x:c r="E238" s="46"/>
      <x:c r="F238" s="46"/>
      <x:c r="G238" s="46"/>
      <x:c r="H238" s="46"/>
      <x:c r="I238" s="46"/>
      <x:c r="J238" s="46"/>
      <x:c r="K238" s="46"/>
      <x:c r="L238" s="46"/>
      <x:c r="M238" s="46"/>
    </x:row>
    <x:row r="239">
      <x:c r="A239" s="46"/>
      <x:c r="B239" s="46"/>
      <x:c r="C239" s="46"/>
      <x:c r="D239" s="46"/>
      <x:c r="E239" s="46"/>
      <x:c r="F239" s="46"/>
      <x:c r="G239" s="46"/>
      <x:c r="H239" s="46"/>
      <x:c r="I239" s="46"/>
      <x:c r="J239" s="46"/>
      <x:c r="K239" s="46"/>
      <x:c r="L239" s="46"/>
      <x:c r="M239" s="46"/>
    </x:row>
    <x:row r="240">
      <x:c r="A240" s="46"/>
      <x:c r="B240" s="46"/>
      <x:c r="C240" s="46"/>
      <x:c r="D240" s="46"/>
      <x:c r="E240" s="46"/>
      <x:c r="F240" s="46"/>
      <x:c r="G240" s="46"/>
      <x:c r="H240" s="46"/>
      <x:c r="I240" s="46"/>
      <x:c r="J240" s="46"/>
      <x:c r="K240" s="46"/>
      <x:c r="L240" s="46"/>
      <x:c r="M240" s="46"/>
    </x:row>
    <x:row r="241">
      <x:c r="A241" s="46"/>
      <x:c r="B241" s="46"/>
      <x:c r="C241" s="46"/>
      <x:c r="D241" s="46"/>
      <x:c r="E241" s="46"/>
      <x:c r="F241" s="46"/>
      <x:c r="G241" s="46"/>
      <x:c r="H241" s="46"/>
      <x:c r="I241" s="46"/>
      <x:c r="J241" s="46"/>
      <x:c r="K241" s="46"/>
      <x:c r="L241" s="46"/>
      <x:c r="M241" s="46"/>
    </x:row>
    <x:row r="242">
      <x:c r="A242" s="46"/>
      <x:c r="B242" s="46"/>
      <x:c r="C242" s="46"/>
      <x:c r="D242" s="46"/>
      <x:c r="E242" s="46"/>
      <x:c r="F242" s="46"/>
      <x:c r="G242" s="46"/>
      <x:c r="H242" s="46"/>
      <x:c r="I242" s="46"/>
      <x:c r="J242" s="46"/>
      <x:c r="K242" s="46"/>
      <x:c r="L242" s="46"/>
      <x:c r="M242" s="46"/>
    </x:row>
    <x:row r="243">
      <x:c r="A243" s="46"/>
      <x:c r="B243" s="46"/>
      <x:c r="C243" s="46"/>
      <x:c r="D243" s="46"/>
      <x:c r="E243" s="46"/>
      <x:c r="F243" s="46"/>
      <x:c r="G243" s="46"/>
      <x:c r="H243" s="46"/>
      <x:c r="I243" s="46"/>
      <x:c r="J243" s="46"/>
      <x:c r="K243" s="46"/>
      <x:c r="L243" s="46"/>
      <x:c r="M243" s="46"/>
    </x:row>
    <x:row r="244">
      <x:c r="A244" s="46"/>
      <x:c r="B244" s="46"/>
      <x:c r="C244" s="46"/>
      <x:c r="D244" s="46"/>
      <x:c r="E244" s="46"/>
      <x:c r="F244" s="46"/>
      <x:c r="G244" s="46"/>
      <x:c r="H244" s="46"/>
      <x:c r="I244" s="46"/>
      <x:c r="J244" s="46"/>
      <x:c r="K244" s="46"/>
      <x:c r="L244" s="46"/>
      <x:c r="M244" s="46"/>
    </x:row>
    <x:row r="245">
      <x:c r="A245" s="46"/>
      <x:c r="B245" s="46"/>
      <x:c r="C245" s="46"/>
      <x:c r="D245" s="46"/>
      <x:c r="E245" s="46"/>
      <x:c r="F245" s="46"/>
      <x:c r="G245" s="46"/>
      <x:c r="H245" s="46"/>
      <x:c r="I245" s="46"/>
      <x:c r="J245" s="46"/>
      <x:c r="K245" s="46"/>
      <x:c r="L245" s="46"/>
      <x:c r="M245" s="46"/>
    </x:row>
    <x:row r="246">
      <x:c r="A246" s="46"/>
      <x:c r="B246" s="46"/>
      <x:c r="C246" s="46"/>
      <x:c r="D246" s="46"/>
      <x:c r="E246" s="46"/>
      <x:c r="F246" s="46"/>
      <x:c r="G246" s="46"/>
      <x:c r="H246" s="46"/>
      <x:c r="I246" s="46"/>
      <x:c r="J246" s="46"/>
      <x:c r="K246" s="46"/>
      <x:c r="L246" s="46"/>
      <x:c r="M246" s="46"/>
    </x:row>
    <x:row r="247">
      <x:c r="A247" s="46"/>
      <x:c r="B247" s="46"/>
      <x:c r="C247" s="46"/>
      <x:c r="D247" s="46"/>
      <x:c r="E247" s="46"/>
      <x:c r="F247" s="46"/>
      <x:c r="G247" s="46"/>
      <x:c r="H247" s="46"/>
      <x:c r="I247" s="46"/>
      <x:c r="J247" s="46"/>
      <x:c r="K247" s="46"/>
      <x:c r="L247" s="46"/>
      <x:c r="M247" s="46"/>
    </x:row>
    <x:row r="248">
      <x:c r="A248" s="46"/>
      <x:c r="B248" s="46"/>
      <x:c r="C248" s="46"/>
      <x:c r="D248" s="46"/>
      <x:c r="E248" s="46"/>
      <x:c r="F248" s="46"/>
      <x:c r="G248" s="46"/>
      <x:c r="H248" s="46"/>
      <x:c r="I248" s="46"/>
      <x:c r="J248" s="46"/>
      <x:c r="K248" s="46"/>
      <x:c r="L248" s="46"/>
      <x:c r="M248" s="46"/>
    </x:row>
    <x:row r="249">
      <x:c r="A249" s="46"/>
      <x:c r="B249" s="46"/>
      <x:c r="C249" s="46"/>
      <x:c r="D249" s="46"/>
      <x:c r="E249" s="46"/>
      <x:c r="F249" s="46"/>
      <x:c r="G249" s="46"/>
      <x:c r="H249" s="46"/>
      <x:c r="I249" s="46"/>
      <x:c r="J249" s="46"/>
      <x:c r="K249" s="46"/>
      <x:c r="L249" s="46"/>
      <x:c r="M249" s="46"/>
    </x:row>
    <x:row r="250">
      <x:c r="A250" s="46"/>
      <x:c r="B250" s="46"/>
      <x:c r="C250" s="46"/>
      <x:c r="D250" s="46"/>
      <x:c r="E250" s="46"/>
      <x:c r="F250" s="46"/>
      <x:c r="G250" s="46"/>
      <x:c r="H250" s="46"/>
      <x:c r="I250" s="46"/>
      <x:c r="J250" s="46"/>
      <x:c r="K250" s="46"/>
      <x:c r="L250" s="46"/>
      <x:c r="M250" s="46"/>
    </x:row>
    <x:row r="251">
      <x:c r="A251" s="46"/>
      <x:c r="B251" s="46"/>
      <x:c r="C251" s="46"/>
      <x:c r="D251" s="46"/>
      <x:c r="E251" s="46"/>
      <x:c r="F251" s="46"/>
      <x:c r="G251" s="46"/>
      <x:c r="H251" s="46"/>
      <x:c r="I251" s="46"/>
      <x:c r="J251" s="46"/>
      <x:c r="K251" s="46"/>
      <x:c r="L251" s="46"/>
      <x:c r="M251" s="46"/>
    </x:row>
    <x:row r="252">
      <x:c r="A252" s="46"/>
      <x:c r="B252" s="46"/>
      <x:c r="C252" s="46"/>
      <x:c r="D252" s="46"/>
      <x:c r="E252" s="46"/>
      <x:c r="F252" s="46"/>
      <x:c r="G252" s="46"/>
      <x:c r="H252" s="46"/>
      <x:c r="I252" s="46"/>
      <x:c r="J252" s="46"/>
      <x:c r="K252" s="46"/>
      <x:c r="L252" s="46"/>
      <x:c r="M252" s="46"/>
    </x:row>
    <x:row r="253">
      <x:c r="A253" s="46"/>
      <x:c r="B253" s="46"/>
      <x:c r="C253" s="46"/>
      <x:c r="D253" s="46"/>
      <x:c r="E253" s="46"/>
      <x:c r="F253" s="46"/>
      <x:c r="G253" s="46"/>
      <x:c r="H253" s="46"/>
      <x:c r="I253" s="46"/>
      <x:c r="J253" s="46"/>
      <x:c r="K253" s="46"/>
      <x:c r="L253" s="46"/>
      <x:c r="M253" s="46"/>
    </x:row>
    <x:row r="254">
      <x:c r="A254" s="46"/>
      <x:c r="B254" s="46"/>
      <x:c r="C254" s="46"/>
      <x:c r="D254" s="46"/>
      <x:c r="E254" s="46"/>
      <x:c r="F254" s="46"/>
      <x:c r="G254" s="46"/>
      <x:c r="H254" s="46"/>
      <x:c r="I254" s="46"/>
      <x:c r="J254" s="46"/>
      <x:c r="K254" s="46"/>
      <x:c r="L254" s="46"/>
      <x:c r="M254" s="46"/>
    </x:row>
    <x:row r="255">
      <x:c r="A255" s="46"/>
      <x:c r="B255" s="46"/>
      <x:c r="C255" s="46"/>
      <x:c r="D255" s="46"/>
      <x:c r="E255" s="46"/>
      <x:c r="F255" s="46"/>
      <x:c r="G255" s="46"/>
      <x:c r="H255" s="46"/>
      <x:c r="I255" s="46"/>
      <x:c r="J255" s="46"/>
      <x:c r="K255" s="46"/>
      <x:c r="L255" s="46"/>
      <x:c r="M255" s="46"/>
    </x:row>
    <x:row r="256">
      <x:c r="A256" s="46"/>
      <x:c r="B256" s="46"/>
      <x:c r="C256" s="46"/>
      <x:c r="D256" s="46"/>
      <x:c r="E256" s="46"/>
      <x:c r="F256" s="46"/>
      <x:c r="G256" s="46"/>
      <x:c r="H256" s="46"/>
      <x:c r="I256" s="46"/>
      <x:c r="J256" s="46"/>
      <x:c r="K256" s="46"/>
      <x:c r="L256" s="46"/>
      <x:c r="M256" s="46"/>
    </x:row>
    <x:row r="257">
      <x:c r="A257" s="46"/>
      <x:c r="B257" s="46"/>
      <x:c r="C257" s="46"/>
      <x:c r="D257" s="46"/>
      <x:c r="E257" s="46"/>
      <x:c r="F257" s="46"/>
      <x:c r="G257" s="46"/>
      <x:c r="H257" s="46"/>
      <x:c r="I257" s="46"/>
      <x:c r="J257" s="46"/>
      <x:c r="K257" s="46"/>
      <x:c r="L257" s="46"/>
      <x:c r="M257" s="46"/>
    </x:row>
    <x:row r="258">
      <x:c r="A258" s="46"/>
      <x:c r="B258" s="46"/>
      <x:c r="C258" s="46"/>
      <x:c r="D258" s="46"/>
      <x:c r="E258" s="46"/>
      <x:c r="F258" s="46"/>
      <x:c r="G258" s="46"/>
      <x:c r="H258" s="46"/>
      <x:c r="I258" s="46"/>
      <x:c r="J258" s="46"/>
      <x:c r="K258" s="46"/>
      <x:c r="L258" s="46"/>
      <x:c r="M258" s="46"/>
    </x:row>
    <x:row r="259">
      <x:c r="A259" s="46"/>
      <x:c r="B259" s="46"/>
      <x:c r="C259" s="46"/>
      <x:c r="D259" s="46"/>
      <x:c r="E259" s="46"/>
      <x:c r="F259" s="46"/>
      <x:c r="G259" s="46"/>
      <x:c r="H259" s="46"/>
      <x:c r="I259" s="46"/>
      <x:c r="J259" s="46"/>
      <x:c r="K259" s="46"/>
      <x:c r="L259" s="46"/>
      <x:c r="M259" s="46"/>
    </x:row>
    <x:row r="260">
      <x:c r="A260" s="46"/>
      <x:c r="B260" s="46"/>
      <x:c r="C260" s="46"/>
      <x:c r="D260" s="46"/>
      <x:c r="E260" s="46"/>
      <x:c r="F260" s="46"/>
      <x:c r="G260" s="46"/>
      <x:c r="H260" s="46"/>
      <x:c r="I260" s="46"/>
      <x:c r="J260" s="46"/>
      <x:c r="K260" s="46"/>
      <x:c r="L260" s="46"/>
      <x:c r="M260" s="46"/>
    </x:row>
    <x:row r="261">
      <x:c r="A261" s="46"/>
      <x:c r="B261" s="46"/>
      <x:c r="C261" s="46"/>
      <x:c r="D261" s="46"/>
      <x:c r="E261" s="46"/>
      <x:c r="F261" s="46"/>
      <x:c r="G261" s="46"/>
      <x:c r="H261" s="46"/>
      <x:c r="I261" s="46"/>
      <x:c r="J261" s="46"/>
      <x:c r="K261" s="46"/>
      <x:c r="L261" s="46"/>
      <x:c r="M261" s="46"/>
    </x:row>
    <x:row r="262">
      <x:c r="A262" s="46"/>
      <x:c r="B262" s="46"/>
      <x:c r="C262" s="46"/>
      <x:c r="D262" s="46"/>
      <x:c r="E262" s="46"/>
      <x:c r="F262" s="46"/>
      <x:c r="G262" s="46"/>
      <x:c r="H262" s="46"/>
      <x:c r="I262" s="46"/>
      <x:c r="J262" s="46"/>
      <x:c r="K262" s="46"/>
      <x:c r="L262" s="46"/>
      <x:c r="M262" s="46"/>
    </x:row>
    <x:row r="263">
      <x:c r="A263" s="46"/>
      <x:c r="B263" s="46"/>
      <x:c r="C263" s="46"/>
      <x:c r="D263" s="46"/>
      <x:c r="E263" s="46"/>
      <x:c r="F263" s="46"/>
      <x:c r="G263" s="46"/>
      <x:c r="H263" s="46"/>
      <x:c r="I263" s="46"/>
      <x:c r="J263" s="46"/>
      <x:c r="K263" s="46"/>
      <x:c r="L263" s="46"/>
      <x:c r="M263" s="46"/>
    </x:row>
    <x:row r="264">
      <x:c r="A264" s="46"/>
      <x:c r="B264" s="46"/>
      <x:c r="C264" s="46"/>
      <x:c r="D264" s="46"/>
      <x:c r="E264" s="46"/>
      <x:c r="F264" s="46"/>
      <x:c r="G264" s="46"/>
      <x:c r="H264" s="46"/>
      <x:c r="I264" s="46"/>
      <x:c r="J264" s="46"/>
      <x:c r="K264" s="46"/>
      <x:c r="L264" s="46"/>
      <x:c r="M264" s="46"/>
    </x:row>
    <x:row r="265">
      <x:c r="A265" s="46"/>
      <x:c r="B265" s="46"/>
      <x:c r="C265" s="46"/>
      <x:c r="D265" s="46"/>
      <x:c r="E265" s="46"/>
      <x:c r="F265" s="46"/>
      <x:c r="G265" s="46"/>
      <x:c r="H265" s="46"/>
      <x:c r="I265" s="46"/>
      <x:c r="J265" s="46"/>
      <x:c r="K265" s="46"/>
      <x:c r="L265" s="46"/>
      <x:c r="M265" s="46"/>
    </x:row>
    <x:row r="266">
      <x:c r="A266" s="46"/>
      <x:c r="B266" s="46"/>
      <x:c r="C266" s="46"/>
      <x:c r="D266" s="46"/>
      <x:c r="E266" s="46"/>
      <x:c r="F266" s="46"/>
      <x:c r="G266" s="46"/>
      <x:c r="H266" s="46"/>
      <x:c r="I266" s="46"/>
      <x:c r="J266" s="46"/>
      <x:c r="K266" s="46"/>
      <x:c r="L266" s="46"/>
      <x:c r="M266" s="46"/>
    </x:row>
    <x:row r="267">
      <x:c r="A267" s="46"/>
      <x:c r="B267" s="46"/>
      <x:c r="C267" s="46"/>
      <x:c r="D267" s="46"/>
      <x:c r="E267" s="46"/>
      <x:c r="F267" s="46"/>
      <x:c r="G267" s="46"/>
      <x:c r="H267" s="46"/>
      <x:c r="I267" s="46"/>
      <x:c r="J267" s="46"/>
      <x:c r="K267" s="46"/>
      <x:c r="L267" s="46"/>
      <x:c r="M267" s="46"/>
    </x:row>
    <x:row r="268">
      <x:c r="A268" s="46"/>
      <x:c r="B268" s="46"/>
      <x:c r="C268" s="46"/>
      <x:c r="D268" s="46"/>
      <x:c r="E268" s="46"/>
      <x:c r="F268" s="46"/>
      <x:c r="G268" s="46"/>
      <x:c r="H268" s="46"/>
      <x:c r="I268" s="46"/>
      <x:c r="J268" s="46"/>
      <x:c r="K268" s="46"/>
      <x:c r="L268" s="46"/>
      <x:c r="M268" s="46"/>
    </x:row>
    <x:row r="269">
      <x:c r="A269" s="46"/>
      <x:c r="B269" s="46"/>
      <x:c r="C269" s="46"/>
      <x:c r="D269" s="46"/>
      <x:c r="E269" s="46"/>
      <x:c r="F269" s="46"/>
      <x:c r="G269" s="46"/>
      <x:c r="H269" s="46"/>
      <x:c r="I269" s="46"/>
      <x:c r="J269" s="46"/>
      <x:c r="K269" s="46"/>
      <x:c r="L269" s="46"/>
      <x:c r="M269" s="46"/>
    </x:row>
    <x:row r="270">
      <x:c r="A270" s="46"/>
      <x:c r="B270" s="46"/>
      <x:c r="C270" s="46"/>
      <x:c r="D270" s="46"/>
      <x:c r="E270" s="46"/>
      <x:c r="F270" s="46"/>
      <x:c r="G270" s="46"/>
      <x:c r="H270" s="46"/>
      <x:c r="I270" s="46"/>
      <x:c r="J270" s="46"/>
      <x:c r="K270" s="46"/>
      <x:c r="L270" s="46"/>
      <x:c r="M270" s="46"/>
    </x:row>
    <x:row r="271">
      <x:c r="A271" s="46"/>
      <x:c r="B271" s="46"/>
      <x:c r="C271" s="46"/>
      <x:c r="D271" s="46"/>
      <x:c r="E271" s="46"/>
      <x:c r="F271" s="46"/>
      <x:c r="G271" s="46"/>
      <x:c r="H271" s="46"/>
      <x:c r="I271" s="46"/>
      <x:c r="J271" s="46"/>
      <x:c r="K271" s="46"/>
      <x:c r="L271" s="46"/>
      <x:c r="M271" s="46"/>
    </x:row>
    <x:row r="272">
      <x:c r="A272" s="46"/>
      <x:c r="B272" s="46"/>
      <x:c r="C272" s="46"/>
      <x:c r="D272" s="46"/>
      <x:c r="E272" s="46"/>
      <x:c r="F272" s="46"/>
      <x:c r="G272" s="46"/>
      <x:c r="H272" s="46"/>
      <x:c r="I272" s="46"/>
      <x:c r="J272" s="46"/>
      <x:c r="K272" s="46"/>
      <x:c r="L272" s="46"/>
      <x:c r="M272" s="46"/>
    </x:row>
    <x:row r="273">
      <x:c r="A273" s="46"/>
      <x:c r="B273" s="46"/>
      <x:c r="C273" s="46"/>
      <x:c r="D273" s="46"/>
      <x:c r="E273" s="46"/>
      <x:c r="F273" s="46"/>
      <x:c r="G273" s="46"/>
      <x:c r="H273" s="46"/>
      <x:c r="I273" s="46"/>
      <x:c r="J273" s="46"/>
      <x:c r="K273" s="46"/>
      <x:c r="L273" s="46"/>
      <x:c r="M273" s="46"/>
    </x:row>
    <x:row r="274">
      <x:c r="A274" s="46"/>
      <x:c r="B274" s="46"/>
      <x:c r="C274" s="46"/>
      <x:c r="D274" s="46"/>
      <x:c r="E274" s="46"/>
      <x:c r="F274" s="46"/>
      <x:c r="G274" s="46"/>
      <x:c r="H274" s="46"/>
      <x:c r="I274" s="46"/>
      <x:c r="J274" s="46"/>
      <x:c r="K274" s="46"/>
      <x:c r="L274" s="46"/>
      <x:c r="M274" s="46"/>
    </x:row>
    <x:row r="275">
      <x:c r="A275" s="46"/>
      <x:c r="B275" s="46"/>
      <x:c r="C275" s="46"/>
      <x:c r="D275" s="46"/>
      <x:c r="E275" s="46"/>
      <x:c r="F275" s="46"/>
      <x:c r="G275" s="46"/>
      <x:c r="H275" s="46"/>
      <x:c r="I275" s="46"/>
      <x:c r="J275" s="46"/>
      <x:c r="K275" s="46"/>
      <x:c r="L275" s="46"/>
      <x:c r="M275" s="46"/>
    </x:row>
    <x:row r="276">
      <x:c r="A276" s="46"/>
      <x:c r="B276" s="46"/>
      <x:c r="C276" s="46"/>
      <x:c r="D276" s="46"/>
      <x:c r="E276" s="46"/>
      <x:c r="F276" s="46"/>
      <x:c r="G276" s="46"/>
      <x:c r="H276" s="46"/>
      <x:c r="I276" s="46"/>
      <x:c r="J276" s="46"/>
      <x:c r="K276" s="46"/>
      <x:c r="L276" s="46"/>
      <x:c r="M276" s="46"/>
    </x:row>
    <x:row r="277">
      <x:c r="A277" s="46"/>
      <x:c r="B277" s="46"/>
      <x:c r="C277" s="46"/>
      <x:c r="D277" s="46"/>
      <x:c r="E277" s="46"/>
      <x:c r="F277" s="46"/>
      <x:c r="G277" s="46"/>
      <x:c r="H277" s="46"/>
      <x:c r="I277" s="46"/>
      <x:c r="J277" s="46"/>
      <x:c r="K277" s="46"/>
      <x:c r="L277" s="46"/>
      <x:c r="M277" s="46"/>
    </x:row>
    <x:row r="278">
      <x:c r="A278" s="46"/>
      <x:c r="B278" s="46"/>
      <x:c r="C278" s="46"/>
      <x:c r="D278" s="46"/>
      <x:c r="E278" s="46"/>
      <x:c r="F278" s="46"/>
      <x:c r="G278" s="46"/>
      <x:c r="H278" s="46"/>
      <x:c r="I278" s="46"/>
      <x:c r="J278" s="46"/>
      <x:c r="K278" s="46"/>
      <x:c r="L278" s="46"/>
      <x:c r="M278" s="46"/>
    </x:row>
    <x:row r="279">
      <x:c r="A279" s="46"/>
      <x:c r="B279" s="46"/>
      <x:c r="C279" s="46"/>
      <x:c r="D279" s="46"/>
      <x:c r="E279" s="46"/>
      <x:c r="F279" s="46"/>
      <x:c r="G279" s="46"/>
      <x:c r="H279" s="46"/>
      <x:c r="I279" s="46"/>
      <x:c r="J279" s="46"/>
      <x:c r="K279" s="46"/>
      <x:c r="L279" s="46"/>
      <x:c r="M279" s="46"/>
    </x:row>
    <x:row r="280">
      <x:c r="A280" s="46"/>
      <x:c r="B280" s="46"/>
      <x:c r="C280" s="46"/>
      <x:c r="D280" s="46"/>
      <x:c r="E280" s="46"/>
      <x:c r="F280" s="46"/>
      <x:c r="G280" s="46"/>
      <x:c r="H280" s="46"/>
      <x:c r="I280" s="46"/>
      <x:c r="J280" s="46"/>
      <x:c r="K280" s="46"/>
      <x:c r="L280" s="46"/>
      <x:c r="M280" s="46"/>
    </x:row>
    <x:row r="281">
      <x:c r="A281" s="46"/>
      <x:c r="B281" s="46"/>
      <x:c r="C281" s="46"/>
      <x:c r="D281" s="46"/>
      <x:c r="E281" s="46"/>
      <x:c r="F281" s="46"/>
      <x:c r="G281" s="46"/>
      <x:c r="H281" s="46"/>
      <x:c r="I281" s="46"/>
      <x:c r="J281" s="46"/>
      <x:c r="K281" s="46"/>
      <x:c r="L281" s="46"/>
      <x:c r="M281" s="46"/>
    </x:row>
    <x:row r="282">
      <x:c r="A282" s="46"/>
      <x:c r="B282" s="46"/>
      <x:c r="C282" s="46"/>
      <x:c r="D282" s="46"/>
      <x:c r="E282" s="46"/>
      <x:c r="F282" s="46"/>
      <x:c r="G282" s="46"/>
      <x:c r="H282" s="46"/>
      <x:c r="I282" s="46"/>
      <x:c r="J282" s="46"/>
      <x:c r="K282" s="46"/>
      <x:c r="L282" s="46"/>
      <x:c r="M282" s="46"/>
    </x:row>
    <x:row r="283">
      <x:c r="A283" s="46"/>
      <x:c r="B283" s="46"/>
      <x:c r="C283" s="46"/>
      <x:c r="D283" s="46"/>
      <x:c r="E283" s="46"/>
      <x:c r="F283" s="46"/>
      <x:c r="G283" s="46"/>
      <x:c r="H283" s="46"/>
      <x:c r="I283" s="46"/>
      <x:c r="J283" s="46"/>
      <x:c r="K283" s="46"/>
      <x:c r="L283" s="46"/>
      <x:c r="M283" s="46"/>
    </x:row>
    <x:row r="284">
      <x:c r="A284" s="46"/>
      <x:c r="B284" s="46"/>
      <x:c r="C284" s="46"/>
      <x:c r="D284" s="46"/>
      <x:c r="E284" s="46"/>
      <x:c r="F284" s="46"/>
      <x:c r="G284" s="46"/>
      <x:c r="H284" s="46"/>
      <x:c r="I284" s="46"/>
      <x:c r="J284" s="46"/>
      <x:c r="K284" s="46"/>
      <x:c r="L284" s="46"/>
      <x:c r="M284" s="46"/>
    </x:row>
    <x:row r="285">
      <x:c r="A285" s="46"/>
      <x:c r="B285" s="46"/>
      <x:c r="C285" s="46"/>
      <x:c r="D285" s="46"/>
      <x:c r="E285" s="46"/>
      <x:c r="F285" s="46"/>
      <x:c r="G285" s="46"/>
      <x:c r="H285" s="46"/>
      <x:c r="I285" s="46"/>
      <x:c r="J285" s="46"/>
      <x:c r="K285" s="46"/>
      <x:c r="L285" s="46"/>
      <x:c r="M285" s="46"/>
    </x:row>
    <x:row r="286">
      <x:c r="A286" s="46"/>
      <x:c r="B286" s="46"/>
      <x:c r="C286" s="46"/>
      <x:c r="D286" s="46"/>
      <x:c r="E286" s="46"/>
      <x:c r="F286" s="46"/>
      <x:c r="G286" s="46"/>
      <x:c r="H286" s="46"/>
      <x:c r="I286" s="46"/>
      <x:c r="J286" s="46"/>
      <x:c r="K286" s="46"/>
      <x:c r="L286" s="46"/>
      <x:c r="M286" s="46"/>
    </x:row>
    <x:row r="287">
      <x:c r="A287" s="46"/>
      <x:c r="B287" s="46"/>
      <x:c r="C287" s="46"/>
      <x:c r="D287" s="46"/>
      <x:c r="E287" s="46"/>
      <x:c r="F287" s="46"/>
      <x:c r="G287" s="46"/>
      <x:c r="H287" s="46"/>
      <x:c r="I287" s="46"/>
      <x:c r="J287" s="46"/>
      <x:c r="K287" s="46"/>
      <x:c r="L287" s="46"/>
      <x:c r="M287" s="46"/>
    </x:row>
    <x:row r="288">
      <x:c r="A288" s="46"/>
      <x:c r="B288" s="46"/>
      <x:c r="C288" s="46"/>
      <x:c r="D288" s="46"/>
      <x:c r="E288" s="46"/>
      <x:c r="F288" s="46"/>
      <x:c r="G288" s="46"/>
      <x:c r="H288" s="46"/>
      <x:c r="I288" s="46"/>
      <x:c r="J288" s="46"/>
      <x:c r="K288" s="46"/>
      <x:c r="L288" s="46"/>
      <x:c r="M288" s="46"/>
    </x:row>
    <x:row r="289">
      <x:c r="A289" s="46"/>
      <x:c r="B289" s="46"/>
      <x:c r="C289" s="46"/>
      <x:c r="D289" s="46"/>
      <x:c r="E289" s="46"/>
      <x:c r="F289" s="46"/>
      <x:c r="G289" s="46"/>
      <x:c r="H289" s="46"/>
      <x:c r="I289" s="46"/>
      <x:c r="J289" s="46"/>
      <x:c r="K289" s="46"/>
      <x:c r="L289" s="46"/>
      <x:c r="M289" s="46"/>
    </x:row>
    <x:row r="290">
      <x:c r="A290" s="46"/>
      <x:c r="B290" s="46"/>
      <x:c r="C290" s="46"/>
      <x:c r="D290" s="46"/>
      <x:c r="E290" s="46"/>
      <x:c r="F290" s="46"/>
      <x:c r="G290" s="46"/>
      <x:c r="H290" s="46"/>
      <x:c r="I290" s="46"/>
      <x:c r="J290" s="46"/>
      <x:c r="K290" s="46"/>
      <x:c r="L290" s="46"/>
      <x:c r="M290" s="46"/>
    </x:row>
    <x:row r="291">
      <x:c r="A291" s="46"/>
      <x:c r="B291" s="46"/>
      <x:c r="C291" s="46"/>
      <x:c r="D291" s="46"/>
      <x:c r="E291" s="46"/>
      <x:c r="F291" s="46"/>
      <x:c r="G291" s="46"/>
      <x:c r="H291" s="46"/>
      <x:c r="I291" s="46"/>
      <x:c r="J291" s="46"/>
      <x:c r="K291" s="46"/>
      <x:c r="L291" s="46"/>
      <x:c r="M291" s="46"/>
    </x:row>
    <x:row r="292">
      <x:c r="A292" s="46"/>
      <x:c r="B292" s="46"/>
      <x:c r="C292" s="46"/>
      <x:c r="D292" s="46"/>
      <x:c r="E292" s="46"/>
      <x:c r="F292" s="46"/>
      <x:c r="G292" s="46"/>
      <x:c r="H292" s="46"/>
      <x:c r="I292" s="46"/>
      <x:c r="J292" s="46"/>
      <x:c r="K292" s="46"/>
      <x:c r="L292" s="46"/>
      <x:c r="M292" s="46"/>
    </x:row>
    <x:row r="293">
      <x:c r="A293" s="46"/>
      <x:c r="B293" s="46"/>
      <x:c r="C293" s="46"/>
      <x:c r="D293" s="46"/>
      <x:c r="E293" s="46"/>
      <x:c r="F293" s="46"/>
      <x:c r="G293" s="46"/>
      <x:c r="H293" s="46"/>
      <x:c r="I293" s="46"/>
      <x:c r="J293" s="46"/>
      <x:c r="K293" s="46"/>
      <x:c r="L293" s="46"/>
      <x:c r="M293" s="46"/>
    </x:row>
    <x:row r="294">
      <x:c r="A294" s="46"/>
      <x:c r="B294" s="46"/>
      <x:c r="C294" s="46"/>
      <x:c r="D294" s="46"/>
      <x:c r="E294" s="46"/>
      <x:c r="F294" s="46"/>
      <x:c r="G294" s="46"/>
      <x:c r="H294" s="46"/>
      <x:c r="I294" s="46"/>
      <x:c r="J294" s="46"/>
      <x:c r="K294" s="46"/>
      <x:c r="L294" s="46"/>
      <x:c r="M294" s="46"/>
    </x:row>
    <x:row r="295">
      <x:c r="A295" s="46"/>
      <x:c r="B295" s="46"/>
      <x:c r="C295" s="46"/>
      <x:c r="D295" s="46"/>
      <x:c r="E295" s="46"/>
      <x:c r="F295" s="46"/>
      <x:c r="G295" s="46"/>
      <x:c r="H295" s="46"/>
      <x:c r="I295" s="46"/>
      <x:c r="J295" s="46"/>
      <x:c r="K295" s="46"/>
      <x:c r="L295" s="46"/>
      <x:c r="M295" s="46"/>
    </x:row>
    <x:row r="296">
      <x:c r="A296" s="46"/>
      <x:c r="B296" s="46"/>
      <x:c r="C296" s="46"/>
      <x:c r="D296" s="46"/>
      <x:c r="E296" s="46"/>
      <x:c r="F296" s="46"/>
      <x:c r="G296" s="46"/>
      <x:c r="H296" s="46"/>
      <x:c r="I296" s="46"/>
      <x:c r="J296" s="46"/>
      <x:c r="K296" s="46"/>
      <x:c r="L296" s="46"/>
      <x:c r="M296" s="46"/>
    </x:row>
    <x:row r="297">
      <x:c r="A297" s="46"/>
      <x:c r="B297" s="46"/>
      <x:c r="C297" s="46"/>
      <x:c r="D297" s="46"/>
      <x:c r="E297" s="46"/>
      <x:c r="F297" s="46"/>
      <x:c r="G297" s="46"/>
      <x:c r="H297" s="46"/>
      <x:c r="I297" s="46"/>
      <x:c r="J297" s="46"/>
      <x:c r="K297" s="46"/>
      <x:c r="L297" s="46"/>
      <x:c r="M297" s="46"/>
    </x:row>
    <x:row r="298">
      <x:c r="A298" s="46"/>
      <x:c r="B298" s="46"/>
      <x:c r="C298" s="46"/>
      <x:c r="D298" s="46"/>
      <x:c r="E298" s="46"/>
      <x:c r="F298" s="46"/>
      <x:c r="G298" s="46"/>
      <x:c r="H298" s="46"/>
      <x:c r="I298" s="46"/>
      <x:c r="J298" s="46"/>
      <x:c r="K298" s="46"/>
      <x:c r="L298" s="46"/>
      <x:c r="M298" s="46"/>
    </x:row>
    <x:row r="299">
      <x:c r="A299" s="46"/>
      <x:c r="B299" s="46"/>
      <x:c r="C299" s="46"/>
      <x:c r="D299" s="46"/>
      <x:c r="E299" s="46"/>
      <x:c r="F299" s="46"/>
      <x:c r="G299" s="46"/>
      <x:c r="H299" s="46"/>
      <x:c r="I299" s="46"/>
      <x:c r="J299" s="46"/>
      <x:c r="K299" s="46"/>
      <x:c r="L299" s="46"/>
      <x:c r="M299" s="46"/>
    </x:row>
    <x:row r="300">
      <x:c r="A300" s="46"/>
      <x:c r="B300" s="46"/>
      <x:c r="C300" s="46"/>
      <x:c r="D300" s="46"/>
      <x:c r="E300" s="46"/>
      <x:c r="F300" s="46"/>
      <x:c r="G300" s="46"/>
      <x:c r="H300" s="46"/>
      <x:c r="I300" s="46"/>
      <x:c r="J300" s="46"/>
      <x:c r="K300" s="46"/>
      <x:c r="L300" s="46"/>
      <x:c r="M300" s="46"/>
    </x:row>
    <x:row r="301">
      <x:c r="A301" s="46"/>
      <x:c r="B301" s="46"/>
      <x:c r="C301" s="46"/>
      <x:c r="D301" s="46"/>
      <x:c r="E301" s="46"/>
      <x:c r="F301" s="46"/>
      <x:c r="G301" s="46"/>
      <x:c r="H301" s="46"/>
      <x:c r="I301" s="46"/>
      <x:c r="J301" s="46"/>
      <x:c r="K301" s="46"/>
      <x:c r="L301" s="46"/>
      <x:c r="M301" s="46"/>
    </x:row>
    <x:row r="302">
      <x:c r="A302" s="46"/>
      <x:c r="B302" s="46"/>
      <x:c r="C302" s="46"/>
      <x:c r="D302" s="46"/>
      <x:c r="E302" s="46"/>
      <x:c r="F302" s="46"/>
      <x:c r="G302" s="46"/>
      <x:c r="H302" s="46"/>
      <x:c r="I302" s="46"/>
      <x:c r="J302" s="46"/>
      <x:c r="K302" s="46"/>
      <x:c r="L302" s="46"/>
      <x:c r="M302" s="46"/>
    </x:row>
    <x:row r="303">
      <x:c r="A303" s="46"/>
      <x:c r="B303" s="46"/>
      <x:c r="C303" s="46"/>
      <x:c r="D303" s="46"/>
      <x:c r="E303" s="46"/>
      <x:c r="F303" s="46"/>
      <x:c r="G303" s="46"/>
      <x:c r="H303" s="46"/>
      <x:c r="I303" s="46"/>
      <x:c r="J303" s="46"/>
      <x:c r="K303" s="46"/>
      <x:c r="L303" s="46"/>
      <x:c r="M303" s="46"/>
    </x:row>
    <x:row r="304">
      <x:c r="A304" s="46"/>
      <x:c r="B304" s="46"/>
      <x:c r="C304" s="46"/>
      <x:c r="D304" s="46"/>
      <x:c r="E304" s="46"/>
      <x:c r="F304" s="46"/>
      <x:c r="G304" s="46"/>
      <x:c r="H304" s="46"/>
      <x:c r="I304" s="46"/>
      <x:c r="J304" s="46"/>
      <x:c r="K304" s="46"/>
      <x:c r="L304" s="46"/>
      <x:c r="M304" s="46"/>
    </x:row>
    <x:row r="305">
      <x:c r="A305" s="46"/>
      <x:c r="B305" s="46"/>
      <x:c r="C305" s="46"/>
      <x:c r="D305" s="46"/>
      <x:c r="E305" s="46"/>
      <x:c r="F305" s="46"/>
      <x:c r="G305" s="46"/>
      <x:c r="H305" s="46"/>
      <x:c r="I305" s="46"/>
      <x:c r="J305" s="46"/>
      <x:c r="K305" s="46"/>
      <x:c r="L305" s="46"/>
      <x:c r="M305" s="46"/>
    </x:row>
    <x:row r="306">
      <x:c r="A306" s="46"/>
      <x:c r="B306" s="46"/>
      <x:c r="C306" s="46"/>
      <x:c r="D306" s="46"/>
      <x:c r="E306" s="46"/>
      <x:c r="F306" s="46"/>
      <x:c r="G306" s="46"/>
      <x:c r="H306" s="46"/>
      <x:c r="I306" s="46"/>
      <x:c r="J306" s="46"/>
      <x:c r="K306" s="46"/>
      <x:c r="L306" s="46"/>
      <x:c r="M306" s="46"/>
    </x:row>
    <x:row r="307">
      <x:c r="A307" s="46"/>
      <x:c r="B307" s="46"/>
      <x:c r="C307" s="46"/>
      <x:c r="D307" s="46"/>
      <x:c r="E307" s="46"/>
      <x:c r="F307" s="46"/>
      <x:c r="G307" s="46"/>
      <x:c r="H307" s="46"/>
      <x:c r="I307" s="46"/>
      <x:c r="J307" s="46"/>
      <x:c r="K307" s="46"/>
      <x:c r="L307" s="46"/>
      <x:c r="M307" s="46"/>
    </x:row>
    <x:row r="308">
      <x:c r="A308" s="46"/>
      <x:c r="B308" s="46"/>
      <x:c r="C308" s="46"/>
      <x:c r="D308" s="46"/>
      <x:c r="E308" s="46"/>
      <x:c r="F308" s="46"/>
      <x:c r="G308" s="46"/>
      <x:c r="H308" s="46"/>
      <x:c r="I308" s="46"/>
      <x:c r="J308" s="46"/>
      <x:c r="K308" s="46"/>
      <x:c r="L308" s="46"/>
      <x:c r="M308" s="46"/>
    </x:row>
    <x:row r="309">
      <x:c r="A309" s="46"/>
      <x:c r="B309" s="46"/>
      <x:c r="C309" s="46"/>
      <x:c r="D309" s="46"/>
      <x:c r="E309" s="46"/>
      <x:c r="F309" s="46"/>
      <x:c r="G309" s="46"/>
      <x:c r="H309" s="46"/>
      <x:c r="I309" s="46"/>
      <x:c r="J309" s="46"/>
      <x:c r="K309" s="46"/>
      <x:c r="L309" s="46"/>
      <x:c r="M309" s="46"/>
    </x:row>
    <x:row r="310">
      <x:c r="A310" s="46"/>
      <x:c r="B310" s="46"/>
      <x:c r="C310" s="46"/>
      <x:c r="D310" s="46"/>
      <x:c r="E310" s="46"/>
      <x:c r="F310" s="46"/>
      <x:c r="G310" s="46"/>
      <x:c r="H310" s="46"/>
      <x:c r="I310" s="46"/>
      <x:c r="J310" s="46"/>
      <x:c r="K310" s="46"/>
      <x:c r="L310" s="46"/>
      <x:c r="M310" s="46"/>
    </x:row>
    <x:row r="311">
      <x:c r="A311" s="46"/>
      <x:c r="B311" s="46"/>
      <x:c r="C311" s="46"/>
      <x:c r="D311" s="46"/>
      <x:c r="E311" s="46"/>
      <x:c r="F311" s="46"/>
      <x:c r="G311" s="46"/>
      <x:c r="H311" s="46"/>
      <x:c r="I311" s="46"/>
      <x:c r="J311" s="46"/>
      <x:c r="K311" s="46"/>
      <x:c r="L311" s="46"/>
      <x:c r="M311" s="46"/>
    </x:row>
    <x:row r="312">
      <x:c r="A312" s="46"/>
      <x:c r="B312" s="46"/>
      <x:c r="C312" s="46"/>
      <x:c r="D312" s="46"/>
      <x:c r="E312" s="46"/>
      <x:c r="F312" s="46"/>
      <x:c r="G312" s="46"/>
      <x:c r="H312" s="46"/>
      <x:c r="I312" s="46"/>
      <x:c r="J312" s="46"/>
      <x:c r="K312" s="46"/>
      <x:c r="L312" s="46"/>
      <x:c r="M312" s="46"/>
    </x:row>
    <x:row r="313">
      <x:c r="A313" s="46"/>
      <x:c r="B313" s="46"/>
      <x:c r="C313" s="46"/>
      <x:c r="D313" s="46"/>
      <x:c r="E313" s="46"/>
      <x:c r="F313" s="46"/>
      <x:c r="G313" s="46"/>
      <x:c r="H313" s="46"/>
      <x:c r="I313" s="46"/>
      <x:c r="J313" s="46"/>
      <x:c r="K313" s="46"/>
      <x:c r="L313" s="46"/>
      <x:c r="M313" s="46"/>
    </x:row>
    <x:row r="314">
      <x:c r="A314" s="46"/>
      <x:c r="B314" s="46"/>
      <x:c r="C314" s="46"/>
      <x:c r="D314" s="46"/>
      <x:c r="E314" s="46"/>
      <x:c r="F314" s="46"/>
      <x:c r="G314" s="46"/>
      <x:c r="H314" s="46"/>
      <x:c r="I314" s="46"/>
      <x:c r="J314" s="46"/>
      <x:c r="K314" s="46"/>
      <x:c r="L314" s="46"/>
      <x:c r="M314" s="46"/>
    </x:row>
    <x:row r="315">
      <x:c r="A315" s="46"/>
      <x:c r="B315" s="46"/>
      <x:c r="C315" s="46"/>
      <x:c r="D315" s="46"/>
      <x:c r="E315" s="46"/>
      <x:c r="F315" s="46"/>
      <x:c r="G315" s="46"/>
      <x:c r="H315" s="46"/>
      <x:c r="I315" s="46"/>
      <x:c r="J315" s="46"/>
      <x:c r="K315" s="46"/>
      <x:c r="L315" s="46"/>
      <x:c r="M315" s="46"/>
    </x:row>
    <x:row r="316">
      <x:c r="A316" s="46"/>
      <x:c r="B316" s="46"/>
      <x:c r="C316" s="46"/>
      <x:c r="D316" s="46"/>
      <x:c r="E316" s="46"/>
      <x:c r="F316" s="46"/>
      <x:c r="G316" s="46"/>
      <x:c r="H316" s="46"/>
      <x:c r="I316" s="46"/>
      <x:c r="J316" s="46"/>
      <x:c r="K316" s="46"/>
      <x:c r="L316" s="46"/>
      <x:c r="M316" s="46"/>
    </x:row>
    <x:row r="317">
      <x:c r="A317" s="46"/>
      <x:c r="B317" s="46"/>
      <x:c r="C317" s="46"/>
      <x:c r="D317" s="46"/>
      <x:c r="E317" s="46"/>
      <x:c r="F317" s="46"/>
      <x:c r="G317" s="46"/>
      <x:c r="H317" s="46"/>
      <x:c r="I317" s="46"/>
      <x:c r="J317" s="46"/>
      <x:c r="K317" s="46"/>
      <x:c r="L317" s="46"/>
      <x:c r="M317" s="46"/>
    </x:row>
    <x:row r="318">
      <x:c r="A318" s="46"/>
      <x:c r="B318" s="46"/>
      <x:c r="C318" s="46"/>
      <x:c r="D318" s="46"/>
      <x:c r="E318" s="46"/>
      <x:c r="F318" s="46"/>
      <x:c r="G318" s="46"/>
      <x:c r="H318" s="46"/>
      <x:c r="I318" s="46"/>
      <x:c r="J318" s="46"/>
      <x:c r="K318" s="46"/>
      <x:c r="L318" s="46"/>
      <x:c r="M318" s="46"/>
    </x:row>
    <x:row r="319">
      <x:c r="A319" s="46"/>
      <x:c r="B319" s="46"/>
      <x:c r="C319" s="46"/>
      <x:c r="D319" s="46"/>
      <x:c r="E319" s="46"/>
      <x:c r="F319" s="46"/>
      <x:c r="G319" s="46"/>
      <x:c r="H319" s="46"/>
      <x:c r="I319" s="46"/>
      <x:c r="J319" s="46"/>
      <x:c r="K319" s="46"/>
      <x:c r="L319" s="46"/>
      <x:c r="M319" s="46"/>
    </x:row>
    <x:row r="320">
      <x:c r="A320" s="46"/>
      <x:c r="B320" s="46"/>
      <x:c r="C320" s="46"/>
      <x:c r="D320" s="46"/>
      <x:c r="E320" s="46"/>
      <x:c r="F320" s="46"/>
      <x:c r="G320" s="46"/>
      <x:c r="H320" s="46"/>
      <x:c r="I320" s="46"/>
      <x:c r="J320" s="46"/>
      <x:c r="K320" s="46"/>
      <x:c r="L320" s="46"/>
      <x:c r="M320" s="46"/>
    </x:row>
    <x:row r="321">
      <x:c r="A321" s="46"/>
      <x:c r="B321" s="46"/>
      <x:c r="C321" s="46"/>
      <x:c r="D321" s="46"/>
      <x:c r="E321" s="46"/>
      <x:c r="F321" s="46"/>
      <x:c r="G321" s="46"/>
      <x:c r="H321" s="46"/>
      <x:c r="I321" s="46"/>
      <x:c r="J321" s="46"/>
      <x:c r="K321" s="46"/>
      <x:c r="L321" s="46"/>
      <x:c r="M321" s="46"/>
    </x:row>
    <x:row r="322">
      <x:c r="A322" s="46"/>
      <x:c r="B322" s="46"/>
      <x:c r="C322" s="46"/>
      <x:c r="D322" s="46"/>
      <x:c r="E322" s="46"/>
      <x:c r="F322" s="46"/>
      <x:c r="G322" s="46"/>
      <x:c r="H322" s="46"/>
      <x:c r="I322" s="46"/>
      <x:c r="J322" s="46"/>
      <x:c r="K322" s="46"/>
      <x:c r="L322" s="46"/>
      <x:c r="M322" s="46"/>
    </x:row>
    <x:row r="323">
      <x:c r="A323" s="46"/>
      <x:c r="B323" s="46"/>
      <x:c r="C323" s="46"/>
      <x:c r="D323" s="46"/>
      <x:c r="E323" s="46"/>
      <x:c r="F323" s="46"/>
      <x:c r="G323" s="46"/>
      <x:c r="H323" s="46"/>
      <x:c r="I323" s="46"/>
      <x:c r="J323" s="46"/>
      <x:c r="K323" s="46"/>
      <x:c r="L323" s="46"/>
      <x:c r="M323" s="46"/>
    </x:row>
    <x:row r="324">
      <x:c r="A324" s="46"/>
      <x:c r="B324" s="46"/>
      <x:c r="C324" s="46"/>
      <x:c r="D324" s="46"/>
      <x:c r="E324" s="46"/>
      <x:c r="F324" s="46"/>
      <x:c r="G324" s="46"/>
      <x:c r="H324" s="46"/>
      <x:c r="I324" s="46"/>
      <x:c r="J324" s="46"/>
      <x:c r="K324" s="46"/>
      <x:c r="L324" s="46"/>
      <x:c r="M324" s="46"/>
    </x:row>
    <x:row r="325">
      <x:c r="A325" s="46"/>
      <x:c r="B325" s="46"/>
      <x:c r="C325" s="46"/>
      <x:c r="D325" s="46"/>
      <x:c r="E325" s="46"/>
      <x:c r="F325" s="46"/>
      <x:c r="G325" s="46"/>
      <x:c r="H325" s="46"/>
      <x:c r="I325" s="46"/>
      <x:c r="J325" s="46"/>
      <x:c r="K325" s="46"/>
      <x:c r="L325" s="46"/>
      <x:c r="M325" s="46"/>
    </x:row>
    <x:row r="326">
      <x:c r="A326" s="46"/>
      <x:c r="B326" s="46"/>
      <x:c r="C326" s="46"/>
      <x:c r="D326" s="46"/>
      <x:c r="E326" s="46"/>
      <x:c r="F326" s="46"/>
      <x:c r="G326" s="46"/>
      <x:c r="H326" s="46"/>
      <x:c r="I326" s="46"/>
      <x:c r="J326" s="46"/>
      <x:c r="K326" s="46"/>
      <x:c r="L326" s="46"/>
      <x:c r="M326" s="46"/>
    </x:row>
    <x:row r="327">
      <x:c r="A327" s="46"/>
      <x:c r="B327" s="46"/>
      <x:c r="C327" s="46"/>
      <x:c r="D327" s="46"/>
      <x:c r="E327" s="46"/>
      <x:c r="F327" s="46"/>
      <x:c r="G327" s="46"/>
      <x:c r="H327" s="46"/>
      <x:c r="I327" s="46"/>
      <x:c r="J327" s="46"/>
      <x:c r="K327" s="46"/>
      <x:c r="L327" s="46"/>
      <x:c r="M327" s="46"/>
    </x:row>
    <x:row r="328">
      <x:c r="A328" s="46"/>
      <x:c r="B328" s="46"/>
      <x:c r="C328" s="46"/>
      <x:c r="D328" s="46"/>
      <x:c r="E328" s="46"/>
      <x:c r="F328" s="46"/>
      <x:c r="G328" s="46"/>
      <x:c r="H328" s="46"/>
      <x:c r="I328" s="46"/>
      <x:c r="J328" s="46"/>
      <x:c r="K328" s="46"/>
      <x:c r="L328" s="46"/>
      <x:c r="M328" s="46"/>
    </x:row>
    <x:row r="329">
      <x:c r="A329" s="46"/>
      <x:c r="B329" s="46"/>
      <x:c r="C329" s="46"/>
      <x:c r="D329" s="46"/>
      <x:c r="E329" s="46"/>
      <x:c r="F329" s="46"/>
      <x:c r="G329" s="46"/>
      <x:c r="H329" s="46"/>
      <x:c r="I329" s="46"/>
      <x:c r="J329" s="46"/>
      <x:c r="K329" s="46"/>
      <x:c r="L329" s="46"/>
      <x:c r="M329" s="46"/>
    </x:row>
    <x:row r="330">
      <x:c r="A330" s="46"/>
      <x:c r="B330" s="46"/>
      <x:c r="C330" s="46"/>
      <x:c r="D330" s="46"/>
      <x:c r="E330" s="46"/>
      <x:c r="F330" s="46"/>
      <x:c r="G330" s="46"/>
      <x:c r="H330" s="46"/>
      <x:c r="I330" s="46"/>
      <x:c r="J330" s="46"/>
      <x:c r="K330" s="46"/>
      <x:c r="L330" s="46"/>
      <x:c r="M330" s="46"/>
    </x:row>
    <x:row r="331">
      <x:c r="A331" s="46"/>
      <x:c r="B331" s="46"/>
      <x:c r="C331" s="46"/>
      <x:c r="D331" s="46"/>
      <x:c r="E331" s="46"/>
      <x:c r="F331" s="46"/>
      <x:c r="G331" s="46"/>
      <x:c r="H331" s="46"/>
      <x:c r="I331" s="46"/>
      <x:c r="J331" s="46"/>
      <x:c r="K331" s="46"/>
      <x:c r="L331" s="46"/>
      <x:c r="M331" s="46"/>
    </x:row>
    <x:row r="332">
      <x:c r="A332" s="46"/>
      <x:c r="B332" s="46"/>
      <x:c r="C332" s="46"/>
      <x:c r="D332" s="46"/>
      <x:c r="E332" s="46"/>
      <x:c r="F332" s="46"/>
      <x:c r="G332" s="46"/>
      <x:c r="H332" s="46"/>
      <x:c r="I332" s="46"/>
      <x:c r="J332" s="46"/>
      <x:c r="K332" s="46"/>
      <x:c r="L332" s="46"/>
      <x:c r="M332" s="46"/>
    </x:row>
    <x:row r="333">
      <x:c r="A333" s="46"/>
      <x:c r="B333" s="46"/>
      <x:c r="C333" s="46"/>
      <x:c r="D333" s="46"/>
      <x:c r="E333" s="46"/>
      <x:c r="F333" s="46"/>
      <x:c r="G333" s="46"/>
      <x:c r="H333" s="46"/>
      <x:c r="I333" s="46"/>
      <x:c r="J333" s="46"/>
      <x:c r="K333" s="46"/>
      <x:c r="L333" s="46"/>
      <x:c r="M333" s="46"/>
    </x:row>
    <x:row r="334">
      <x:c r="A334" s="46"/>
      <x:c r="B334" s="46"/>
      <x:c r="C334" s="46"/>
      <x:c r="D334" s="46"/>
      <x:c r="E334" s="46"/>
      <x:c r="F334" s="46"/>
      <x:c r="G334" s="46"/>
      <x:c r="H334" s="46"/>
      <x:c r="I334" s="46"/>
      <x:c r="J334" s="46"/>
      <x:c r="K334" s="46"/>
      <x:c r="L334" s="46"/>
      <x:c r="M334" s="46"/>
    </x:row>
    <x:row r="335">
      <x:c r="A335" s="46"/>
      <x:c r="B335" s="46"/>
      <x:c r="C335" s="46"/>
      <x:c r="D335" s="46"/>
      <x:c r="E335" s="46"/>
      <x:c r="F335" s="46"/>
      <x:c r="G335" s="46"/>
      <x:c r="H335" s="46"/>
      <x:c r="I335" s="46"/>
      <x:c r="J335" s="46"/>
      <x:c r="K335" s="46"/>
      <x:c r="L335" s="46"/>
      <x:c r="M335" s="46"/>
    </x:row>
    <x:row r="336">
      <x:c r="A336" s="46"/>
      <x:c r="B336" s="46"/>
      <x:c r="C336" s="46"/>
      <x:c r="D336" s="46"/>
      <x:c r="E336" s="46"/>
      <x:c r="F336" s="46"/>
      <x:c r="G336" s="46"/>
      <x:c r="H336" s="46"/>
      <x:c r="I336" s="46"/>
      <x:c r="J336" s="46"/>
      <x:c r="K336" s="46"/>
      <x:c r="L336" s="46"/>
      <x:c r="M336" s="46"/>
    </x:row>
    <x:row r="337">
      <x:c r="A337" s="46"/>
      <x:c r="B337" s="46"/>
      <x:c r="C337" s="46"/>
      <x:c r="D337" s="46"/>
      <x:c r="E337" s="46"/>
      <x:c r="F337" s="46"/>
      <x:c r="G337" s="46"/>
      <x:c r="H337" s="46"/>
      <x:c r="I337" s="46"/>
      <x:c r="J337" s="46"/>
      <x:c r="K337" s="46"/>
      <x:c r="L337" s="46"/>
      <x:c r="M337" s="46"/>
    </x:row>
    <x:row r="338">
      <x:c r="A338" s="46"/>
      <x:c r="B338" s="46"/>
      <x:c r="C338" s="46"/>
      <x:c r="D338" s="46"/>
      <x:c r="E338" s="46"/>
      <x:c r="F338" s="46"/>
      <x:c r="G338" s="46"/>
      <x:c r="H338" s="46"/>
      <x:c r="I338" s="46"/>
      <x:c r="J338" s="46"/>
      <x:c r="K338" s="46"/>
      <x:c r="L338" s="46"/>
      <x:c r="M338" s="46"/>
    </x:row>
    <x:row r="339">
      <x:c r="A339" s="46"/>
      <x:c r="B339" s="46"/>
      <x:c r="C339" s="46"/>
      <x:c r="D339" s="46"/>
      <x:c r="E339" s="46"/>
      <x:c r="F339" s="46"/>
      <x:c r="G339" s="46"/>
      <x:c r="H339" s="46"/>
      <x:c r="I339" s="46"/>
      <x:c r="J339" s="46"/>
      <x:c r="K339" s="46"/>
      <x:c r="L339" s="46"/>
      <x:c r="M339" s="46"/>
    </x:row>
    <x:row r="340">
      <x:c r="A340" s="46"/>
      <x:c r="B340" s="46"/>
      <x:c r="C340" s="46"/>
      <x:c r="D340" s="46"/>
      <x:c r="E340" s="46"/>
      <x:c r="F340" s="46"/>
      <x:c r="G340" s="46"/>
      <x:c r="H340" s="46"/>
      <x:c r="I340" s="46"/>
      <x:c r="J340" s="46"/>
      <x:c r="K340" s="46"/>
      <x:c r="L340" s="46"/>
      <x:c r="M340" s="46"/>
    </x:row>
    <x:row r="341">
      <x:c r="A341" s="46"/>
      <x:c r="B341" s="46"/>
      <x:c r="C341" s="46"/>
      <x:c r="D341" s="46"/>
      <x:c r="E341" s="46"/>
      <x:c r="F341" s="46"/>
      <x:c r="G341" s="46"/>
      <x:c r="H341" s="46"/>
      <x:c r="I341" s="46"/>
      <x:c r="J341" s="46"/>
      <x:c r="K341" s="46"/>
      <x:c r="L341" s="46"/>
      <x:c r="M341" s="46"/>
    </x:row>
    <x:row r="342">
      <x:c r="A342" s="46"/>
      <x:c r="B342" s="46"/>
      <x:c r="C342" s="46"/>
      <x:c r="D342" s="46"/>
      <x:c r="E342" s="46"/>
      <x:c r="F342" s="46"/>
      <x:c r="G342" s="46"/>
      <x:c r="H342" s="46"/>
      <x:c r="I342" s="46"/>
      <x:c r="J342" s="46"/>
      <x:c r="K342" s="46"/>
      <x:c r="L342" s="46"/>
      <x:c r="M342" s="46"/>
    </x:row>
    <x:row r="343">
      <x:c r="A343" s="46"/>
      <x:c r="B343" s="46"/>
      <x:c r="C343" s="46"/>
      <x:c r="D343" s="46"/>
      <x:c r="E343" s="46"/>
      <x:c r="F343" s="46"/>
      <x:c r="G343" s="46"/>
      <x:c r="H343" s="46"/>
      <x:c r="I343" s="46"/>
      <x:c r="J343" s="46"/>
      <x:c r="K343" s="46"/>
      <x:c r="L343" s="46"/>
      <x:c r="M343" s="46"/>
    </x:row>
    <x:row r="344">
      <x:c r="A344" s="46"/>
      <x:c r="B344" s="46"/>
      <x:c r="C344" s="46"/>
      <x:c r="D344" s="46"/>
      <x:c r="E344" s="46"/>
      <x:c r="F344" s="46"/>
      <x:c r="G344" s="46"/>
      <x:c r="H344" s="46"/>
      <x:c r="I344" s="46"/>
      <x:c r="J344" s="46"/>
      <x:c r="K344" s="46"/>
      <x:c r="L344" s="46"/>
      <x:c r="M344" s="46"/>
    </x:row>
    <x:row r="345">
      <x:c r="A345" s="46"/>
      <x:c r="B345" s="46"/>
      <x:c r="C345" s="46"/>
      <x:c r="D345" s="46"/>
      <x:c r="E345" s="46"/>
      <x:c r="F345" s="46"/>
      <x:c r="G345" s="46"/>
      <x:c r="H345" s="46"/>
      <x:c r="I345" s="46"/>
      <x:c r="J345" s="46"/>
      <x:c r="K345" s="46"/>
      <x:c r="L345" s="46"/>
      <x:c r="M345" s="46"/>
    </x:row>
    <x:row r="346">
      <x:c r="A346" s="46"/>
      <x:c r="B346" s="46"/>
      <x:c r="C346" s="46"/>
      <x:c r="D346" s="46"/>
      <x:c r="E346" s="46"/>
      <x:c r="F346" s="46"/>
      <x:c r="G346" s="46"/>
      <x:c r="H346" s="46"/>
      <x:c r="I346" s="46"/>
      <x:c r="J346" s="46"/>
      <x:c r="K346" s="46"/>
      <x:c r="L346" s="46"/>
      <x:c r="M346" s="46"/>
    </x:row>
    <x:row r="347">
      <x:c r="A347" s="46"/>
      <x:c r="B347" s="46"/>
      <x:c r="C347" s="46"/>
      <x:c r="D347" s="46"/>
      <x:c r="E347" s="46"/>
      <x:c r="F347" s="46"/>
      <x:c r="G347" s="46"/>
      <x:c r="H347" s="46"/>
      <x:c r="I347" s="46"/>
      <x:c r="J347" s="46"/>
      <x:c r="K347" s="46"/>
      <x:c r="L347" s="46"/>
      <x:c r="M347" s="46"/>
    </x:row>
    <x:row r="348">
      <x:c r="A348" s="46"/>
      <x:c r="B348" s="46"/>
      <x:c r="C348" s="46"/>
      <x:c r="D348" s="46"/>
      <x:c r="E348" s="46"/>
      <x:c r="F348" s="46"/>
      <x:c r="G348" s="46"/>
      <x:c r="H348" s="46"/>
      <x:c r="I348" s="46"/>
      <x:c r="J348" s="46"/>
      <x:c r="K348" s="46"/>
      <x:c r="L348" s="46"/>
      <x:c r="M348" s="46"/>
    </x:row>
    <x:row r="349">
      <x:c r="A349" s="46"/>
      <x:c r="B349" s="46"/>
      <x:c r="C349" s="46"/>
      <x:c r="D349" s="46"/>
      <x:c r="E349" s="46"/>
      <x:c r="F349" s="46"/>
      <x:c r="G349" s="46"/>
      <x:c r="H349" s="46"/>
      <x:c r="I349" s="46"/>
      <x:c r="J349" s="46"/>
      <x:c r="K349" s="46"/>
      <x:c r="L349" s="46"/>
      <x:c r="M349" s="46"/>
    </x:row>
    <x:row r="350">
      <x:c r="A350" s="46"/>
      <x:c r="B350" s="46"/>
      <x:c r="C350" s="46"/>
      <x:c r="D350" s="46"/>
      <x:c r="E350" s="46"/>
      <x:c r="F350" s="46"/>
      <x:c r="G350" s="46"/>
      <x:c r="H350" s="46"/>
      <x:c r="I350" s="46"/>
      <x:c r="J350" s="46"/>
      <x:c r="K350" s="46"/>
      <x:c r="L350" s="46"/>
      <x:c r="M350" s="46"/>
    </x:row>
    <x:row r="351">
      <x:c r="A351" s="46"/>
      <x:c r="B351" s="46"/>
      <x:c r="C351" s="46"/>
      <x:c r="D351" s="46"/>
      <x:c r="E351" s="46"/>
      <x:c r="F351" s="46"/>
      <x:c r="G351" s="46"/>
      <x:c r="H351" s="46"/>
      <x:c r="I351" s="46"/>
      <x:c r="J351" s="46"/>
      <x:c r="K351" s="46"/>
      <x:c r="L351" s="46"/>
      <x:c r="M351" s="46"/>
    </x:row>
    <x:row r="352">
      <x:c r="A352" s="46"/>
      <x:c r="B352" s="46"/>
      <x:c r="C352" s="46"/>
      <x:c r="D352" s="46"/>
      <x:c r="E352" s="46"/>
      <x:c r="F352" s="46"/>
      <x:c r="G352" s="46"/>
      <x:c r="H352" s="46"/>
      <x:c r="I352" s="46"/>
      <x:c r="J352" s="46"/>
      <x:c r="K352" s="46"/>
      <x:c r="L352" s="46"/>
      <x:c r="M352" s="46"/>
    </x:row>
    <x:row r="353">
      <x:c r="A353" s="46"/>
      <x:c r="B353" s="46"/>
      <x:c r="C353" s="46"/>
      <x:c r="D353" s="46"/>
      <x:c r="E353" s="46"/>
      <x:c r="F353" s="46"/>
      <x:c r="G353" s="46"/>
      <x:c r="H353" s="46"/>
      <x:c r="I353" s="46"/>
      <x:c r="J353" s="46"/>
      <x:c r="K353" s="46"/>
      <x:c r="L353" s="46"/>
      <x:c r="M353" s="46"/>
    </x:row>
    <x:row r="354">
      <x:c r="A354" s="46"/>
      <x:c r="B354" s="46"/>
      <x:c r="C354" s="46"/>
      <x:c r="D354" s="46"/>
      <x:c r="E354" s="46"/>
      <x:c r="F354" s="46"/>
      <x:c r="G354" s="46"/>
      <x:c r="H354" s="46"/>
      <x:c r="I354" s="46"/>
      <x:c r="J354" s="46"/>
      <x:c r="K354" s="46"/>
      <x:c r="L354" s="46"/>
      <x:c r="M354" s="46"/>
    </x:row>
    <x:row r="355">
      <x:c r="A355" s="46"/>
      <x:c r="B355" s="46"/>
      <x:c r="C355" s="46"/>
      <x:c r="D355" s="46"/>
      <x:c r="E355" s="46"/>
      <x:c r="F355" s="46"/>
      <x:c r="G355" s="46"/>
      <x:c r="H355" s="46"/>
      <x:c r="I355" s="46"/>
      <x:c r="J355" s="46"/>
      <x:c r="K355" s="46"/>
      <x:c r="L355" s="46"/>
      <x:c r="M355" s="46"/>
    </x:row>
    <x:row r="356">
      <x:c r="A356" s="46"/>
      <x:c r="B356" s="46"/>
      <x:c r="C356" s="46"/>
      <x:c r="D356" s="46"/>
      <x:c r="E356" s="46"/>
      <x:c r="F356" s="46"/>
      <x:c r="G356" s="46"/>
      <x:c r="H356" s="46"/>
      <x:c r="I356" s="46"/>
      <x:c r="J356" s="46"/>
      <x:c r="K356" s="46"/>
      <x:c r="L356" s="46"/>
      <x:c r="M356" s="46"/>
    </x:row>
    <x:row r="357">
      <x:c r="A357" s="46"/>
      <x:c r="B357" s="46"/>
      <x:c r="C357" s="46"/>
      <x:c r="D357" s="46"/>
      <x:c r="E357" s="46"/>
      <x:c r="F357" s="46"/>
      <x:c r="G357" s="46"/>
      <x:c r="H357" s="46"/>
      <x:c r="I357" s="46"/>
      <x:c r="J357" s="46"/>
      <x:c r="K357" s="46"/>
      <x:c r="L357" s="46"/>
      <x:c r="M357" s="46"/>
    </x:row>
    <x:row r="358">
      <x:c r="A358" s="46"/>
      <x:c r="B358" s="46"/>
      <x:c r="C358" s="46"/>
      <x:c r="D358" s="46"/>
      <x:c r="E358" s="46"/>
      <x:c r="F358" s="46"/>
      <x:c r="G358" s="46"/>
      <x:c r="H358" s="46"/>
      <x:c r="I358" s="46"/>
      <x:c r="J358" s="46"/>
      <x:c r="K358" s="46"/>
      <x:c r="L358" s="46"/>
      <x:c r="M358" s="46"/>
    </x:row>
    <x:row r="359">
      <x:c r="A359" s="46"/>
      <x:c r="B359" s="46"/>
      <x:c r="C359" s="46"/>
      <x:c r="D359" s="46"/>
      <x:c r="E359" s="46"/>
      <x:c r="F359" s="46"/>
      <x:c r="G359" s="46"/>
      <x:c r="H359" s="46"/>
      <x:c r="I359" s="46"/>
      <x:c r="J359" s="46"/>
      <x:c r="K359" s="46"/>
      <x:c r="L359" s="46"/>
      <x:c r="M359" s="46"/>
    </x:row>
    <x:row r="360">
      <x:c r="A360" s="46"/>
      <x:c r="B360" s="46"/>
      <x:c r="C360" s="46"/>
      <x:c r="D360" s="46"/>
      <x:c r="E360" s="46"/>
      <x:c r="F360" s="46"/>
      <x:c r="G360" s="46"/>
      <x:c r="H360" s="46"/>
      <x:c r="I360" s="46"/>
      <x:c r="J360" s="46"/>
      <x:c r="K360" s="46"/>
      <x:c r="L360" s="46"/>
      <x:c r="M360" s="46"/>
    </x:row>
    <x:row r="361">
      <x:c r="A361" s="46"/>
      <x:c r="B361" s="46"/>
      <x:c r="C361" s="46"/>
      <x:c r="D361" s="46"/>
      <x:c r="E361" s="46"/>
      <x:c r="F361" s="46"/>
      <x:c r="G361" s="46"/>
      <x:c r="H361" s="46"/>
      <x:c r="I361" s="46"/>
      <x:c r="J361" s="46"/>
      <x:c r="K361" s="46"/>
      <x:c r="L361" s="46"/>
      <x:c r="M361" s="46"/>
    </x:row>
    <x:row r="362">
      <x:c r="A362" s="46"/>
      <x:c r="B362" s="46"/>
      <x:c r="C362" s="46"/>
      <x:c r="D362" s="46"/>
      <x:c r="E362" s="46"/>
      <x:c r="F362" s="46"/>
      <x:c r="G362" s="46"/>
      <x:c r="H362" s="46"/>
      <x:c r="I362" s="46"/>
      <x:c r="J362" s="46"/>
      <x:c r="K362" s="46"/>
      <x:c r="L362" s="46"/>
      <x:c r="M362" s="46"/>
    </x:row>
    <x:row r="363">
      <x:c r="A363" s="46"/>
      <x:c r="B363" s="46"/>
      <x:c r="C363" s="46"/>
      <x:c r="D363" s="46"/>
      <x:c r="E363" s="46"/>
      <x:c r="F363" s="46"/>
      <x:c r="G363" s="46"/>
      <x:c r="H363" s="46"/>
      <x:c r="I363" s="46"/>
      <x:c r="J363" s="46"/>
      <x:c r="K363" s="46"/>
      <x:c r="L363" s="46"/>
      <x:c r="M363" s="46"/>
    </x:row>
    <x:row r="364">
      <x:c r="A364" s="46"/>
      <x:c r="B364" s="46"/>
      <x:c r="C364" s="46"/>
      <x:c r="D364" s="46"/>
      <x:c r="E364" s="46"/>
      <x:c r="F364" s="46"/>
      <x:c r="G364" s="46"/>
      <x:c r="H364" s="46"/>
      <x:c r="I364" s="46"/>
      <x:c r="J364" s="46"/>
      <x:c r="K364" s="46"/>
      <x:c r="L364" s="46"/>
      <x:c r="M364" s="46"/>
    </x:row>
    <x:row r="365">
      <x:c r="A365" s="46"/>
      <x:c r="B365" s="46"/>
      <x:c r="C365" s="46"/>
      <x:c r="D365" s="46"/>
      <x:c r="E365" s="46"/>
      <x:c r="F365" s="46"/>
      <x:c r="G365" s="46"/>
      <x:c r="H365" s="46"/>
      <x:c r="I365" s="46"/>
      <x:c r="J365" s="46"/>
      <x:c r="K365" s="46"/>
      <x:c r="L365" s="46"/>
      <x:c r="M365" s="46"/>
    </x:row>
    <x:row r="366">
      <x:c r="A366" s="46"/>
      <x:c r="B366" s="46"/>
      <x:c r="C366" s="46"/>
      <x:c r="D366" s="46"/>
      <x:c r="E366" s="46"/>
      <x:c r="F366" s="46"/>
      <x:c r="G366" s="46"/>
      <x:c r="H366" s="46"/>
      <x:c r="I366" s="46"/>
      <x:c r="J366" s="46"/>
      <x:c r="K366" s="46"/>
      <x:c r="L366" s="46"/>
      <x:c r="M366" s="46"/>
    </x:row>
    <x:row r="367">
      <x:c r="A367" s="46"/>
      <x:c r="B367" s="46"/>
      <x:c r="C367" s="46"/>
      <x:c r="D367" s="46"/>
      <x:c r="E367" s="46"/>
      <x:c r="F367" s="46"/>
      <x:c r="G367" s="46"/>
      <x:c r="H367" s="46"/>
      <x:c r="I367" s="46"/>
      <x:c r="J367" s="46"/>
      <x:c r="K367" s="46"/>
      <x:c r="L367" s="46"/>
      <x:c r="M367" s="46"/>
    </x:row>
    <x:row r="368">
      <x:c r="A368" s="46"/>
      <x:c r="B368" s="46"/>
      <x:c r="C368" s="46"/>
      <x:c r="D368" s="46"/>
      <x:c r="E368" s="46"/>
      <x:c r="F368" s="46"/>
      <x:c r="G368" s="46"/>
      <x:c r="H368" s="46"/>
      <x:c r="I368" s="46"/>
      <x:c r="J368" s="46"/>
      <x:c r="K368" s="46"/>
      <x:c r="L368" s="46"/>
      <x:c r="M368" s="46"/>
    </x:row>
    <x:row r="369">
      <x:c r="A369" s="46"/>
      <x:c r="B369" s="46"/>
      <x:c r="C369" s="46"/>
      <x:c r="D369" s="46"/>
      <x:c r="E369" s="46"/>
      <x:c r="F369" s="46"/>
      <x:c r="G369" s="46"/>
      <x:c r="H369" s="46"/>
      <x:c r="I369" s="46"/>
      <x:c r="J369" s="46"/>
      <x:c r="K369" s="46"/>
      <x:c r="L369" s="46"/>
      <x:c r="M369" s="46"/>
    </x:row>
    <x:row r="370">
      <x:c r="A370" s="46"/>
      <x:c r="B370" s="46"/>
      <x:c r="C370" s="46"/>
      <x:c r="D370" s="46"/>
      <x:c r="E370" s="46"/>
      <x:c r="F370" s="46"/>
      <x:c r="G370" s="46"/>
      <x:c r="H370" s="46"/>
      <x:c r="I370" s="46"/>
      <x:c r="J370" s="46"/>
      <x:c r="K370" s="46"/>
      <x:c r="L370" s="46"/>
      <x:c r="M370" s="46"/>
    </x:row>
    <x:row r="371">
      <x:c r="A371" s="46"/>
      <x:c r="B371" s="46"/>
      <x:c r="C371" s="46"/>
      <x:c r="D371" s="46"/>
      <x:c r="E371" s="46"/>
      <x:c r="F371" s="46"/>
      <x:c r="G371" s="46"/>
      <x:c r="H371" s="46"/>
      <x:c r="I371" s="46"/>
      <x:c r="J371" s="46"/>
      <x:c r="K371" s="46"/>
      <x:c r="L371" s="46"/>
      <x:c r="M371" s="46"/>
    </x:row>
    <x:row r="372">
      <x:c r="A372" s="46"/>
      <x:c r="B372" s="46"/>
      <x:c r="C372" s="46"/>
      <x:c r="D372" s="46"/>
      <x:c r="E372" s="46"/>
      <x:c r="F372" s="46"/>
      <x:c r="G372" s="46"/>
      <x:c r="H372" s="46"/>
      <x:c r="I372" s="46"/>
      <x:c r="J372" s="46"/>
      <x:c r="K372" s="46"/>
      <x:c r="L372" s="46"/>
      <x:c r="M372" s="46"/>
    </x:row>
    <x:row r="373">
      <x:c r="A373" s="46"/>
      <x:c r="B373" s="46"/>
      <x:c r="C373" s="46"/>
      <x:c r="D373" s="46"/>
      <x:c r="E373" s="46"/>
      <x:c r="F373" s="46"/>
      <x:c r="G373" s="46"/>
      <x:c r="H373" s="46"/>
      <x:c r="I373" s="46"/>
      <x:c r="J373" s="46"/>
      <x:c r="K373" s="46"/>
      <x:c r="L373" s="46"/>
      <x:c r="M373" s="46"/>
    </x:row>
    <x:row r="374">
      <x:c r="A374" s="46"/>
      <x:c r="B374" s="46"/>
      <x:c r="C374" s="46"/>
      <x:c r="D374" s="46"/>
      <x:c r="E374" s="46"/>
      <x:c r="F374" s="46"/>
      <x:c r="G374" s="46"/>
      <x:c r="H374" s="46"/>
      <x:c r="I374" s="46"/>
      <x:c r="J374" s="46"/>
      <x:c r="K374" s="46"/>
      <x:c r="L374" s="46"/>
      <x:c r="M374" s="46"/>
    </x:row>
    <x:row r="375">
      <x:c r="A375" s="46"/>
      <x:c r="B375" s="46"/>
      <x:c r="C375" s="46"/>
      <x:c r="D375" s="46"/>
      <x:c r="E375" s="46"/>
      <x:c r="F375" s="46"/>
      <x:c r="G375" s="46"/>
      <x:c r="H375" s="46"/>
      <x:c r="I375" s="46"/>
      <x:c r="J375" s="46"/>
      <x:c r="K375" s="46"/>
      <x:c r="L375" s="46"/>
      <x:c r="M375" s="46"/>
    </x:row>
    <x:row r="376">
      <x:c r="A376" s="46"/>
      <x:c r="B376" s="46"/>
      <x:c r="C376" s="46"/>
      <x:c r="D376" s="46"/>
      <x:c r="E376" s="46"/>
      <x:c r="F376" s="46"/>
      <x:c r="G376" s="46"/>
      <x:c r="H376" s="46"/>
      <x:c r="I376" s="46"/>
      <x:c r="J376" s="46"/>
      <x:c r="K376" s="46"/>
      <x:c r="L376" s="46"/>
      <x:c r="M376" s="46"/>
    </x:row>
    <x:row r="377">
      <x:c r="A377" s="46"/>
      <x:c r="B377" s="46"/>
      <x:c r="C377" s="46"/>
      <x:c r="D377" s="46"/>
      <x:c r="E377" s="46"/>
      <x:c r="F377" s="46"/>
      <x:c r="G377" s="46"/>
      <x:c r="H377" s="46"/>
      <x:c r="I377" s="46"/>
      <x:c r="J377" s="46"/>
      <x:c r="K377" s="46"/>
      <x:c r="L377" s="46"/>
      <x:c r="M377" s="46"/>
    </x:row>
    <x:row r="378">
      <x:c r="A378" s="46"/>
      <x:c r="B378" s="46"/>
      <x:c r="C378" s="46"/>
      <x:c r="D378" s="46"/>
      <x:c r="E378" s="46"/>
      <x:c r="F378" s="46"/>
      <x:c r="G378" s="46"/>
      <x:c r="H378" s="46"/>
      <x:c r="I378" s="46"/>
      <x:c r="J378" s="46"/>
      <x:c r="K378" s="46"/>
      <x:c r="L378" s="46"/>
      <x:c r="M378" s="46"/>
    </x:row>
    <x:row r="379">
      <x:c r="A379" s="46"/>
      <x:c r="B379" s="46"/>
      <x:c r="C379" s="46"/>
      <x:c r="D379" s="46"/>
      <x:c r="E379" s="46"/>
      <x:c r="F379" s="46"/>
      <x:c r="G379" s="46"/>
      <x:c r="H379" s="46"/>
      <x:c r="I379" s="46"/>
      <x:c r="J379" s="46"/>
      <x:c r="K379" s="46"/>
      <x:c r="L379" s="46"/>
      <x:c r="M379" s="46"/>
    </x:row>
    <x:row r="380">
      <x:c r="A380" s="46"/>
      <x:c r="B380" s="46"/>
      <x:c r="C380" s="46"/>
      <x:c r="D380" s="46"/>
      <x:c r="E380" s="46"/>
      <x:c r="F380" s="46"/>
      <x:c r="G380" s="46"/>
      <x:c r="H380" s="46"/>
      <x:c r="I380" s="46"/>
      <x:c r="J380" s="46"/>
      <x:c r="K380" s="46"/>
      <x:c r="L380" s="46"/>
      <x:c r="M380" s="46"/>
    </x:row>
    <x:row r="381">
      <x:c r="A381" s="46"/>
      <x:c r="B381" s="46"/>
      <x:c r="C381" s="46"/>
      <x:c r="D381" s="46"/>
      <x:c r="E381" s="46"/>
      <x:c r="F381" s="46"/>
      <x:c r="G381" s="46"/>
      <x:c r="H381" s="46"/>
      <x:c r="I381" s="46"/>
      <x:c r="J381" s="46"/>
      <x:c r="K381" s="46"/>
      <x:c r="L381" s="46"/>
      <x:c r="M381" s="46"/>
    </x:row>
    <x:row r="382">
      <x:c r="A382" s="46"/>
      <x:c r="B382" s="46"/>
      <x:c r="C382" s="46"/>
      <x:c r="D382" s="46"/>
      <x:c r="E382" s="46"/>
      <x:c r="F382" s="46"/>
      <x:c r="G382" s="46"/>
      <x:c r="H382" s="46"/>
      <x:c r="I382" s="46"/>
      <x:c r="J382" s="46"/>
      <x:c r="K382" s="46"/>
      <x:c r="L382" s="46"/>
      <x:c r="M382" s="46"/>
    </x:row>
    <x:row r="383">
      <x:c r="A383" s="46"/>
      <x:c r="B383" s="46"/>
      <x:c r="C383" s="46"/>
      <x:c r="D383" s="46"/>
      <x:c r="E383" s="46"/>
      <x:c r="F383" s="46"/>
      <x:c r="G383" s="46"/>
      <x:c r="H383" s="46"/>
      <x:c r="I383" s="46"/>
      <x:c r="J383" s="46"/>
      <x:c r="K383" s="46"/>
      <x:c r="L383" s="46"/>
      <x:c r="M383" s="46"/>
    </x:row>
    <x:row r="384">
      <x:c r="A384" s="46"/>
      <x:c r="B384" s="46"/>
      <x:c r="C384" s="46"/>
      <x:c r="D384" s="46"/>
      <x:c r="E384" s="46"/>
      <x:c r="F384" s="46"/>
      <x:c r="G384" s="46"/>
      <x:c r="H384" s="46"/>
      <x:c r="I384" s="46"/>
      <x:c r="J384" s="46"/>
      <x:c r="K384" s="46"/>
      <x:c r="L384" s="46"/>
      <x:c r="M384" s="46"/>
    </x:row>
    <x:row r="385">
      <x:c r="A385" s="46"/>
      <x:c r="B385" s="46"/>
      <x:c r="C385" s="46"/>
      <x:c r="D385" s="46"/>
      <x:c r="E385" s="46"/>
      <x:c r="F385" s="46"/>
      <x:c r="G385" s="46"/>
      <x:c r="H385" s="46"/>
      <x:c r="I385" s="46"/>
      <x:c r="J385" s="46"/>
      <x:c r="K385" s="46"/>
      <x:c r="L385" s="46"/>
      <x:c r="M385" s="46"/>
    </x:row>
    <x:row r="386">
      <x:c r="A386" s="46"/>
      <x:c r="B386" s="46"/>
      <x:c r="C386" s="46"/>
      <x:c r="D386" s="46"/>
      <x:c r="E386" s="46"/>
      <x:c r="F386" s="46"/>
      <x:c r="G386" s="46"/>
      <x:c r="H386" s="46"/>
      <x:c r="I386" s="46"/>
      <x:c r="J386" s="46"/>
      <x:c r="K386" s="46"/>
      <x:c r="L386" s="46"/>
      <x:c r="M386" s="46"/>
    </x:row>
    <x:row r="387">
      <x:c r="A387" s="46"/>
      <x:c r="B387" s="46"/>
      <x:c r="C387" s="46"/>
      <x:c r="D387" s="46"/>
      <x:c r="E387" s="46"/>
      <x:c r="F387" s="46"/>
      <x:c r="G387" s="46"/>
      <x:c r="H387" s="46"/>
      <x:c r="I387" s="46"/>
      <x:c r="J387" s="46"/>
      <x:c r="K387" s="46"/>
      <x:c r="L387" s="46"/>
      <x:c r="M387" s="46"/>
    </x:row>
    <x:row r="388">
      <x:c r="A388" s="46"/>
      <x:c r="B388" s="46"/>
      <x:c r="C388" s="46"/>
      <x:c r="D388" s="46"/>
      <x:c r="E388" s="46"/>
      <x:c r="F388" s="46"/>
      <x:c r="G388" s="46"/>
      <x:c r="H388" s="46"/>
      <x:c r="I388" s="46"/>
      <x:c r="J388" s="46"/>
      <x:c r="K388" s="46"/>
      <x:c r="L388" s="46"/>
      <x:c r="M388" s="46"/>
    </x:row>
    <x:row r="389">
      <x:c r="A389" s="46"/>
      <x:c r="B389" s="46"/>
      <x:c r="C389" s="46"/>
      <x:c r="D389" s="46"/>
      <x:c r="E389" s="46"/>
      <x:c r="F389" s="46"/>
      <x:c r="G389" s="46"/>
      <x:c r="H389" s="46"/>
      <x:c r="I389" s="46"/>
      <x:c r="J389" s="46"/>
      <x:c r="K389" s="46"/>
      <x:c r="L389" s="46"/>
      <x:c r="M389" s="46"/>
    </x:row>
    <x:row r="390">
      <x:c r="A390" s="46"/>
      <x:c r="B390" s="46"/>
      <x:c r="C390" s="46"/>
      <x:c r="D390" s="46"/>
      <x:c r="E390" s="46"/>
      <x:c r="F390" s="46"/>
      <x:c r="G390" s="46"/>
      <x:c r="H390" s="46"/>
      <x:c r="I390" s="46"/>
      <x:c r="J390" s="46"/>
      <x:c r="K390" s="46"/>
      <x:c r="L390" s="46"/>
      <x:c r="M390" s="46"/>
    </x:row>
    <x:row r="391">
      <x:c r="A391" s="46"/>
      <x:c r="B391" s="46"/>
      <x:c r="C391" s="46"/>
      <x:c r="D391" s="46"/>
      <x:c r="E391" s="46"/>
      <x:c r="F391" s="46"/>
      <x:c r="G391" s="46"/>
      <x:c r="H391" s="46"/>
      <x:c r="I391" s="46"/>
      <x:c r="J391" s="46"/>
      <x:c r="K391" s="46"/>
      <x:c r="L391" s="46"/>
      <x:c r="M391" s="46"/>
    </x:row>
    <x:row r="392">
      <x:c r="A392" s="46"/>
      <x:c r="B392" s="46"/>
      <x:c r="C392" s="46"/>
      <x:c r="D392" s="46"/>
      <x:c r="E392" s="46"/>
      <x:c r="F392" s="46"/>
      <x:c r="G392" s="46"/>
      <x:c r="H392" s="46"/>
      <x:c r="I392" s="46"/>
      <x:c r="J392" s="46"/>
      <x:c r="K392" s="46"/>
      <x:c r="L392" s="46"/>
      <x:c r="M392" s="46"/>
    </x:row>
    <x:row r="393">
      <x:c r="A393" s="46"/>
      <x:c r="B393" s="46"/>
      <x:c r="C393" s="46"/>
      <x:c r="D393" s="46"/>
      <x:c r="E393" s="46"/>
      <x:c r="F393" s="46"/>
      <x:c r="G393" s="46"/>
      <x:c r="H393" s="46"/>
      <x:c r="I393" s="46"/>
      <x:c r="J393" s="46"/>
      <x:c r="K393" s="46"/>
      <x:c r="L393" s="46"/>
      <x:c r="M393" s="46"/>
    </x:row>
    <x:row r="394">
      <x:c r="A394" s="46"/>
      <x:c r="B394" s="46"/>
      <x:c r="C394" s="46"/>
      <x:c r="D394" s="46"/>
      <x:c r="E394" s="46"/>
      <x:c r="F394" s="46"/>
      <x:c r="G394" s="46"/>
      <x:c r="H394" s="46"/>
      <x:c r="I394" s="46"/>
      <x:c r="J394" s="46"/>
      <x:c r="K394" s="46"/>
      <x:c r="L394" s="46"/>
      <x:c r="M394" s="46"/>
    </x:row>
    <x:row r="395">
      <x:c r="A395" s="46"/>
      <x:c r="B395" s="46"/>
      <x:c r="C395" s="46"/>
      <x:c r="D395" s="46"/>
      <x:c r="E395" s="46"/>
      <x:c r="F395" s="46"/>
      <x:c r="G395" s="46"/>
      <x:c r="H395" s="46"/>
      <x:c r="I395" s="46"/>
      <x:c r="J395" s="46"/>
      <x:c r="K395" s="46"/>
      <x:c r="L395" s="46"/>
      <x:c r="M395" s="46"/>
    </x:row>
    <x:row r="396">
      <x:c r="A396" s="46"/>
      <x:c r="B396" s="46"/>
      <x:c r="C396" s="46"/>
      <x:c r="D396" s="46"/>
      <x:c r="E396" s="46"/>
      <x:c r="F396" s="46"/>
      <x:c r="G396" s="46"/>
      <x:c r="H396" s="46"/>
      <x:c r="I396" s="46"/>
      <x:c r="J396" s="46"/>
      <x:c r="K396" s="46"/>
      <x:c r="L396" s="46"/>
      <x:c r="M396" s="46"/>
    </x:row>
    <x:row r="397">
      <x:c r="A397" s="46"/>
      <x:c r="B397" s="46"/>
      <x:c r="C397" s="46"/>
      <x:c r="D397" s="46"/>
      <x:c r="E397" s="46"/>
      <x:c r="F397" s="46"/>
      <x:c r="G397" s="46"/>
      <x:c r="H397" s="46"/>
      <x:c r="I397" s="46"/>
      <x:c r="J397" s="46"/>
      <x:c r="K397" s="46"/>
      <x:c r="L397" s="46"/>
      <x:c r="M397" s="46"/>
    </x:row>
    <x:row r="398">
      <x:c r="A398" s="46"/>
      <x:c r="B398" s="46"/>
      <x:c r="C398" s="46"/>
      <x:c r="D398" s="46"/>
      <x:c r="E398" s="46"/>
      <x:c r="F398" s="46"/>
      <x:c r="G398" s="46"/>
      <x:c r="H398" s="46"/>
      <x:c r="I398" s="46"/>
      <x:c r="J398" s="46"/>
      <x:c r="K398" s="46"/>
      <x:c r="L398" s="46"/>
      <x:c r="M398" s="46"/>
    </x:row>
    <x:row r="399">
      <x:c r="A399" s="46"/>
      <x:c r="B399" s="46"/>
      <x:c r="C399" s="46"/>
      <x:c r="D399" s="46"/>
      <x:c r="E399" s="46"/>
      <x:c r="F399" s="46"/>
      <x:c r="G399" s="46"/>
      <x:c r="H399" s="46"/>
      <x:c r="I399" s="46"/>
      <x:c r="J399" s="46"/>
      <x:c r="K399" s="46"/>
      <x:c r="L399" s="46"/>
      <x:c r="M399" s="46"/>
    </x:row>
    <x:row r="400">
      <x:c r="A400" s="46"/>
      <x:c r="B400" s="46"/>
      <x:c r="C400" s="46"/>
      <x:c r="D400" s="46"/>
      <x:c r="E400" s="46"/>
      <x:c r="F400" s="46"/>
      <x:c r="G400" s="46"/>
      <x:c r="H400" s="46"/>
      <x:c r="I400" s="46"/>
      <x:c r="J400" s="46"/>
      <x:c r="K400" s="46"/>
      <x:c r="L400" s="46"/>
      <x:c r="M400" s="46"/>
    </x:row>
    <x:row r="401">
      <x:c r="A401" s="46"/>
      <x:c r="B401" s="46"/>
      <x:c r="C401" s="46"/>
      <x:c r="D401" s="46"/>
      <x:c r="E401" s="46"/>
      <x:c r="F401" s="46"/>
      <x:c r="G401" s="46"/>
      <x:c r="H401" s="46"/>
      <x:c r="I401" s="46"/>
      <x:c r="J401" s="46"/>
      <x:c r="K401" s="46"/>
      <x:c r="L401" s="46"/>
      <x:c r="M401" s="46"/>
    </x:row>
    <x:row r="402">
      <x:c r="A402" s="46"/>
      <x:c r="B402" s="46"/>
      <x:c r="C402" s="46"/>
      <x:c r="D402" s="46"/>
      <x:c r="E402" s="46"/>
      <x:c r="F402" s="46"/>
      <x:c r="G402" s="46"/>
      <x:c r="H402" s="46"/>
      <x:c r="I402" s="46"/>
      <x:c r="J402" s="46"/>
      <x:c r="K402" s="46"/>
      <x:c r="L402" s="46"/>
      <x:c r="M402" s="46"/>
    </x:row>
    <x:row r="403">
      <x:c r="A403" s="46"/>
      <x:c r="B403" s="46"/>
      <x:c r="C403" s="46"/>
      <x:c r="D403" s="46"/>
      <x:c r="E403" s="46"/>
      <x:c r="F403" s="46"/>
      <x:c r="G403" s="46"/>
      <x:c r="H403" s="46"/>
      <x:c r="I403" s="46"/>
      <x:c r="J403" s="46"/>
      <x:c r="K403" s="46"/>
      <x:c r="L403" s="46"/>
      <x:c r="M403" s="46"/>
    </x:row>
    <x:row r="404">
      <x:c r="A404" s="46"/>
      <x:c r="B404" s="46"/>
      <x:c r="C404" s="46"/>
      <x:c r="D404" s="46"/>
      <x:c r="E404" s="46"/>
      <x:c r="F404" s="46"/>
      <x:c r="G404" s="46"/>
      <x:c r="H404" s="46"/>
      <x:c r="I404" s="46"/>
      <x:c r="J404" s="46"/>
      <x:c r="K404" s="46"/>
      <x:c r="L404" s="46"/>
      <x:c r="M404" s="46"/>
    </x:row>
    <x:row r="405">
      <x:c r="A405" s="46"/>
      <x:c r="B405" s="46"/>
      <x:c r="C405" s="46"/>
      <x:c r="D405" s="46"/>
      <x:c r="E405" s="46"/>
      <x:c r="F405" s="46"/>
      <x:c r="G405" s="46"/>
      <x:c r="H405" s="46"/>
      <x:c r="I405" s="46"/>
      <x:c r="J405" s="46"/>
      <x:c r="K405" s="46"/>
      <x:c r="L405" s="46"/>
      <x:c r="M405" s="46"/>
    </x:row>
    <x:row r="406">
      <x:c r="A406" s="46"/>
      <x:c r="B406" s="46"/>
      <x:c r="C406" s="46"/>
      <x:c r="D406" s="46"/>
      <x:c r="E406" s="46"/>
      <x:c r="F406" s="46"/>
      <x:c r="G406" s="46"/>
      <x:c r="H406" s="46"/>
      <x:c r="I406" s="46"/>
      <x:c r="J406" s="46"/>
      <x:c r="K406" s="46"/>
      <x:c r="L406" s="46"/>
      <x:c r="M406" s="46"/>
    </x:row>
    <x:row r="407">
      <x:c r="A407" s="46"/>
      <x:c r="B407" s="46"/>
      <x:c r="C407" s="46"/>
      <x:c r="D407" s="46"/>
      <x:c r="E407" s="46"/>
      <x:c r="F407" s="46"/>
      <x:c r="G407" s="46"/>
      <x:c r="H407" s="46"/>
      <x:c r="I407" s="46"/>
      <x:c r="J407" s="46"/>
      <x:c r="K407" s="46"/>
      <x:c r="L407" s="46"/>
      <x:c r="M407" s="46"/>
    </x:row>
    <x:row r="408">
      <x:c r="A408" s="46"/>
      <x:c r="B408" s="46"/>
      <x:c r="C408" s="46"/>
      <x:c r="D408" s="46"/>
      <x:c r="E408" s="46"/>
      <x:c r="F408" s="46"/>
      <x:c r="G408" s="46"/>
      <x:c r="H408" s="46"/>
      <x:c r="I408" s="46"/>
      <x:c r="J408" s="46"/>
      <x:c r="K408" s="46"/>
      <x:c r="L408" s="46"/>
      <x:c r="M408" s="46"/>
    </x:row>
    <x:row r="409">
      <x:c r="A409" s="46"/>
      <x:c r="B409" s="46"/>
      <x:c r="C409" s="46"/>
      <x:c r="D409" s="46"/>
      <x:c r="E409" s="46"/>
      <x:c r="F409" s="46"/>
      <x:c r="G409" s="46"/>
      <x:c r="H409" s="46"/>
      <x:c r="I409" s="46"/>
      <x:c r="J409" s="46"/>
      <x:c r="K409" s="46"/>
      <x:c r="L409" s="46"/>
      <x:c r="M409" s="46"/>
    </x:row>
    <x:row r="410">
      <x:c r="A410" s="46"/>
      <x:c r="B410" s="46"/>
      <x:c r="C410" s="46"/>
      <x:c r="D410" s="46"/>
      <x:c r="E410" s="46"/>
      <x:c r="F410" s="46"/>
      <x:c r="G410" s="46"/>
      <x:c r="H410" s="46"/>
      <x:c r="I410" s="46"/>
      <x:c r="J410" s="46"/>
      <x:c r="K410" s="46"/>
      <x:c r="L410" s="46"/>
      <x:c r="M410" s="46"/>
    </x:row>
    <x:row r="411">
      <x:c r="A411" s="46"/>
      <x:c r="B411" s="46"/>
      <x:c r="C411" s="46"/>
      <x:c r="D411" s="46"/>
      <x:c r="E411" s="46"/>
      <x:c r="F411" s="46"/>
      <x:c r="G411" s="46"/>
      <x:c r="H411" s="46"/>
      <x:c r="I411" s="46"/>
      <x:c r="J411" s="46"/>
      <x:c r="K411" s="46"/>
      <x:c r="L411" s="46"/>
      <x:c r="M411" s="46"/>
    </x:row>
    <x:row r="412">
      <x:c r="A412" s="46"/>
      <x:c r="B412" s="46"/>
      <x:c r="C412" s="46"/>
      <x:c r="D412" s="46"/>
      <x:c r="E412" s="46"/>
      <x:c r="F412" s="46"/>
      <x:c r="G412" s="46"/>
      <x:c r="H412" s="46"/>
      <x:c r="I412" s="46"/>
      <x:c r="J412" s="46"/>
      <x:c r="K412" s="46"/>
      <x:c r="L412" s="46"/>
      <x:c r="M412" s="46"/>
    </x:row>
    <x:row r="413">
      <x:c r="A413" s="46"/>
      <x:c r="B413" s="46"/>
      <x:c r="C413" s="46"/>
      <x:c r="D413" s="46"/>
      <x:c r="E413" s="46"/>
      <x:c r="F413" s="46"/>
      <x:c r="G413" s="46"/>
      <x:c r="H413" s="46"/>
      <x:c r="I413" s="46"/>
      <x:c r="J413" s="46"/>
      <x:c r="K413" s="46"/>
      <x:c r="L413" s="46"/>
      <x:c r="M413" s="46"/>
    </x:row>
    <x:row r="414">
      <x:c r="A414" s="46"/>
      <x:c r="B414" s="46"/>
      <x:c r="C414" s="46"/>
      <x:c r="D414" s="46"/>
      <x:c r="E414" s="46"/>
      <x:c r="F414" s="46"/>
      <x:c r="G414" s="46"/>
      <x:c r="H414" s="46"/>
      <x:c r="I414" s="46"/>
      <x:c r="J414" s="46"/>
      <x:c r="K414" s="46"/>
      <x:c r="L414" s="46"/>
      <x:c r="M414" s="46"/>
    </x:row>
    <x:row r="415">
      <x:c r="A415" s="46"/>
      <x:c r="B415" s="46"/>
      <x:c r="C415" s="46"/>
      <x:c r="D415" s="46"/>
      <x:c r="E415" s="46"/>
      <x:c r="F415" s="46"/>
      <x:c r="G415" s="46"/>
      <x:c r="H415" s="46"/>
      <x:c r="I415" s="46"/>
      <x:c r="J415" s="46"/>
      <x:c r="K415" s="46"/>
      <x:c r="L415" s="46"/>
      <x:c r="M415" s="46"/>
    </x:row>
    <x:row r="416">
      <x:c r="A416" s="46"/>
      <x:c r="B416" s="46"/>
      <x:c r="C416" s="46"/>
      <x:c r="D416" s="46"/>
      <x:c r="E416" s="46"/>
      <x:c r="F416" s="46"/>
      <x:c r="G416" s="46"/>
      <x:c r="H416" s="46"/>
      <x:c r="I416" s="46"/>
      <x:c r="J416" s="46"/>
      <x:c r="K416" s="46"/>
      <x:c r="L416" s="46"/>
      <x:c r="M416" s="46"/>
    </x:row>
    <x:row r="417">
      <x:c r="A417" s="46"/>
      <x:c r="B417" s="46"/>
      <x:c r="C417" s="46"/>
      <x:c r="D417" s="46"/>
      <x:c r="E417" s="46"/>
      <x:c r="F417" s="46"/>
      <x:c r="G417" s="46"/>
      <x:c r="H417" s="46"/>
      <x:c r="I417" s="46"/>
      <x:c r="J417" s="46"/>
      <x:c r="K417" s="46"/>
      <x:c r="L417" s="46"/>
      <x:c r="M417" s="46"/>
    </x:row>
    <x:row r="418">
      <x:c r="A418" s="46"/>
      <x:c r="B418" s="46"/>
      <x:c r="C418" s="46"/>
      <x:c r="D418" s="46"/>
      <x:c r="E418" s="46"/>
      <x:c r="F418" s="46"/>
      <x:c r="G418" s="46"/>
      <x:c r="H418" s="46"/>
      <x:c r="I418" s="46"/>
      <x:c r="J418" s="46"/>
      <x:c r="K418" s="46"/>
      <x:c r="L418" s="46"/>
      <x:c r="M418" s="46"/>
    </x:row>
    <x:row r="419">
      <x:c r="A419" s="46"/>
      <x:c r="B419" s="46"/>
      <x:c r="C419" s="46"/>
      <x:c r="D419" s="46"/>
      <x:c r="E419" s="46"/>
      <x:c r="F419" s="46"/>
      <x:c r="G419" s="46"/>
      <x:c r="H419" s="46"/>
      <x:c r="I419" s="46"/>
      <x:c r="J419" s="46"/>
      <x:c r="K419" s="46"/>
      <x:c r="L419" s="46"/>
      <x:c r="M419" s="46"/>
    </x:row>
    <x:row r="420">
      <x:c r="A420" s="46"/>
      <x:c r="B420" s="46"/>
      <x:c r="C420" s="46"/>
      <x:c r="D420" s="46"/>
      <x:c r="E420" s="46"/>
      <x:c r="F420" s="46"/>
      <x:c r="G420" s="46"/>
      <x:c r="H420" s="46"/>
      <x:c r="I420" s="46"/>
      <x:c r="J420" s="46"/>
      <x:c r="K420" s="46"/>
      <x:c r="L420" s="46"/>
      <x:c r="M420" s="46"/>
    </x:row>
    <x:row r="421">
      <x:c r="A421" s="46"/>
      <x:c r="B421" s="46"/>
      <x:c r="C421" s="46"/>
      <x:c r="D421" s="46"/>
      <x:c r="E421" s="46"/>
      <x:c r="F421" s="46"/>
      <x:c r="G421" s="46"/>
      <x:c r="H421" s="46"/>
      <x:c r="I421" s="46"/>
      <x:c r="J421" s="46"/>
      <x:c r="K421" s="46"/>
      <x:c r="L421" s="46"/>
      <x:c r="M421" s="46"/>
    </x:row>
    <x:row r="422">
      <x:c r="A422" s="46"/>
      <x:c r="B422" s="46"/>
      <x:c r="C422" s="46"/>
      <x:c r="D422" s="46"/>
      <x:c r="E422" s="46"/>
      <x:c r="F422" s="46"/>
      <x:c r="G422" s="46"/>
      <x:c r="H422" s="46"/>
      <x:c r="I422" s="46"/>
      <x:c r="J422" s="46"/>
      <x:c r="K422" s="46"/>
      <x:c r="L422" s="46"/>
      <x:c r="M422" s="46"/>
    </x:row>
    <x:row r="423">
      <x:c r="A423" s="46"/>
      <x:c r="B423" s="46"/>
      <x:c r="C423" s="46"/>
      <x:c r="D423" s="46"/>
      <x:c r="E423" s="46"/>
      <x:c r="F423" s="46"/>
      <x:c r="G423" s="46"/>
      <x:c r="H423" s="46"/>
      <x:c r="I423" s="46"/>
      <x:c r="J423" s="46"/>
      <x:c r="K423" s="46"/>
      <x:c r="L423" s="46"/>
      <x:c r="M423" s="46"/>
    </x:row>
    <x:row r="424">
      <x:c r="A424" s="46"/>
      <x:c r="B424" s="46"/>
      <x:c r="C424" s="46"/>
      <x:c r="D424" s="46"/>
      <x:c r="E424" s="46"/>
      <x:c r="F424" s="46"/>
      <x:c r="G424" s="46"/>
      <x:c r="H424" s="46"/>
      <x:c r="I424" s="46"/>
      <x:c r="J424" s="46"/>
      <x:c r="K424" s="46"/>
      <x:c r="L424" s="46"/>
      <x:c r="M424" s="46"/>
    </x:row>
    <x:row r="425">
      <x:c r="A425" s="46"/>
      <x:c r="B425" s="46"/>
      <x:c r="C425" s="46"/>
      <x:c r="D425" s="46"/>
      <x:c r="E425" s="46"/>
      <x:c r="F425" s="46"/>
      <x:c r="G425" s="46"/>
      <x:c r="H425" s="46"/>
      <x:c r="I425" s="46"/>
      <x:c r="J425" s="46"/>
      <x:c r="K425" s="46"/>
      <x:c r="L425" s="46"/>
      <x:c r="M425" s="46"/>
    </x:row>
    <x:row r="426">
      <x:c r="A426" s="46"/>
      <x:c r="B426" s="46"/>
      <x:c r="C426" s="46"/>
      <x:c r="D426" s="46"/>
      <x:c r="E426" s="46"/>
      <x:c r="F426" s="46"/>
      <x:c r="G426" s="46"/>
      <x:c r="H426" s="46"/>
      <x:c r="I426" s="46"/>
      <x:c r="J426" s="46"/>
      <x:c r="K426" s="46"/>
      <x:c r="L426" s="46"/>
      <x:c r="M426" s="46"/>
    </x:row>
    <x:row r="427">
      <x:c r="A427" s="46"/>
      <x:c r="B427" s="46"/>
      <x:c r="C427" s="46"/>
      <x:c r="D427" s="46"/>
      <x:c r="E427" s="46"/>
      <x:c r="F427" s="46"/>
      <x:c r="G427" s="46"/>
      <x:c r="H427" s="46"/>
      <x:c r="I427" s="46"/>
      <x:c r="J427" s="46"/>
      <x:c r="K427" s="46"/>
      <x:c r="L427" s="46"/>
      <x:c r="M427" s="46"/>
    </x:row>
    <x:row r="428">
      <x:c r="A428" s="46"/>
      <x:c r="B428" s="46"/>
      <x:c r="C428" s="46"/>
      <x:c r="D428" s="46"/>
      <x:c r="E428" s="46"/>
      <x:c r="F428" s="46"/>
      <x:c r="G428" s="46"/>
      <x:c r="H428" s="46"/>
      <x:c r="I428" s="46"/>
      <x:c r="J428" s="46"/>
      <x:c r="K428" s="46"/>
      <x:c r="L428" s="46"/>
      <x:c r="M428" s="46"/>
    </x:row>
    <x:row r="429">
      <x:c r="A429" s="46"/>
      <x:c r="B429" s="46"/>
      <x:c r="C429" s="46"/>
      <x:c r="D429" s="46"/>
      <x:c r="E429" s="46"/>
      <x:c r="F429" s="46"/>
      <x:c r="G429" s="46"/>
      <x:c r="H429" s="46"/>
      <x:c r="I429" s="46"/>
      <x:c r="J429" s="46"/>
      <x:c r="K429" s="46"/>
      <x:c r="L429" s="46"/>
      <x:c r="M429" s="46"/>
    </x:row>
    <x:row r="430">
      <x:c r="A430" s="46"/>
      <x:c r="B430" s="46"/>
      <x:c r="C430" s="46"/>
      <x:c r="D430" s="46"/>
      <x:c r="E430" s="46"/>
      <x:c r="F430" s="46"/>
      <x:c r="G430" s="46"/>
      <x:c r="H430" s="46"/>
      <x:c r="I430" s="46"/>
      <x:c r="J430" s="46"/>
      <x:c r="K430" s="46"/>
      <x:c r="L430" s="46"/>
      <x:c r="M430" s="46"/>
    </x:row>
    <x:row r="431">
      <x:c r="A431" s="46"/>
      <x:c r="B431" s="46"/>
      <x:c r="C431" s="46"/>
      <x:c r="D431" s="46"/>
      <x:c r="E431" s="46"/>
      <x:c r="F431" s="46"/>
      <x:c r="G431" s="46"/>
      <x:c r="H431" s="46"/>
      <x:c r="I431" s="46"/>
      <x:c r="J431" s="46"/>
      <x:c r="K431" s="46"/>
      <x:c r="L431" s="46"/>
      <x:c r="M431" s="46"/>
    </x:row>
    <x:row r="432">
      <x:c r="A432" s="46"/>
      <x:c r="B432" s="46"/>
      <x:c r="C432" s="46"/>
      <x:c r="D432" s="46"/>
      <x:c r="E432" s="46"/>
      <x:c r="F432" s="46"/>
      <x:c r="G432" s="46"/>
      <x:c r="H432" s="46"/>
      <x:c r="I432" s="46"/>
      <x:c r="J432" s="46"/>
      <x:c r="K432" s="46"/>
      <x:c r="L432" s="46"/>
      <x:c r="M432" s="46"/>
    </x:row>
    <x:row r="433">
      <x:c r="A433" s="46"/>
      <x:c r="B433" s="46"/>
      <x:c r="C433" s="46"/>
      <x:c r="D433" s="46"/>
      <x:c r="E433" s="46"/>
      <x:c r="F433" s="46"/>
      <x:c r="G433" s="46"/>
      <x:c r="H433" s="46"/>
      <x:c r="I433" s="46"/>
      <x:c r="J433" s="46"/>
      <x:c r="K433" s="46"/>
      <x:c r="L433" s="46"/>
      <x:c r="M433" s="46"/>
    </x:row>
    <x:row r="434">
      <x:c r="A434" s="46"/>
      <x:c r="B434" s="46"/>
      <x:c r="C434" s="46"/>
      <x:c r="D434" s="46"/>
      <x:c r="E434" s="46"/>
      <x:c r="F434" s="46"/>
      <x:c r="G434" s="46"/>
      <x:c r="H434" s="46"/>
      <x:c r="I434" s="46"/>
      <x:c r="J434" s="46"/>
      <x:c r="K434" s="46"/>
      <x:c r="L434" s="46"/>
      <x:c r="M434" s="46"/>
    </x:row>
    <x:row r="435">
      <x:c r="A435" s="46"/>
      <x:c r="B435" s="46"/>
      <x:c r="C435" s="46"/>
      <x:c r="D435" s="46"/>
      <x:c r="E435" s="46"/>
      <x:c r="F435" s="46"/>
      <x:c r="G435" s="46"/>
      <x:c r="H435" s="46"/>
      <x:c r="I435" s="46"/>
      <x:c r="J435" s="46"/>
      <x:c r="K435" s="46"/>
      <x:c r="L435" s="46"/>
      <x:c r="M435" s="46"/>
    </x:row>
    <x:row r="436">
      <x:c r="A436" s="46"/>
      <x:c r="B436" s="46"/>
      <x:c r="C436" s="46"/>
      <x:c r="D436" s="46"/>
      <x:c r="E436" s="46"/>
      <x:c r="F436" s="46"/>
      <x:c r="G436" s="46"/>
      <x:c r="H436" s="46"/>
      <x:c r="I436" s="46"/>
      <x:c r="J436" s="46"/>
      <x:c r="K436" s="46"/>
      <x:c r="L436" s="46"/>
      <x:c r="M436" s="46"/>
    </x:row>
    <x:row r="437">
      <x:c r="A437" s="46"/>
      <x:c r="B437" s="46"/>
      <x:c r="C437" s="46"/>
      <x:c r="D437" s="46"/>
      <x:c r="E437" s="46"/>
      <x:c r="F437" s="46"/>
      <x:c r="G437" s="46"/>
      <x:c r="H437" s="46"/>
      <x:c r="I437" s="46"/>
      <x:c r="J437" s="46"/>
      <x:c r="K437" s="46"/>
      <x:c r="L437" s="46"/>
      <x:c r="M437" s="46"/>
    </x:row>
    <x:row r="438">
      <x:c r="A438" s="46"/>
      <x:c r="B438" s="46"/>
      <x:c r="C438" s="46"/>
      <x:c r="D438" s="46"/>
      <x:c r="E438" s="46"/>
      <x:c r="F438" s="46"/>
      <x:c r="G438" s="46"/>
      <x:c r="H438" s="46"/>
      <x:c r="I438" s="46"/>
      <x:c r="J438" s="46"/>
      <x:c r="K438" s="46"/>
      <x:c r="L438" s="46"/>
      <x:c r="M438" s="46"/>
    </x:row>
    <x:row r="439">
      <x:c r="A439" s="46"/>
      <x:c r="B439" s="46"/>
      <x:c r="C439" s="46"/>
      <x:c r="D439" s="46"/>
      <x:c r="E439" s="46"/>
      <x:c r="F439" s="46"/>
      <x:c r="G439" s="46"/>
      <x:c r="H439" s="46"/>
      <x:c r="I439" s="46"/>
      <x:c r="J439" s="46"/>
      <x:c r="K439" s="46"/>
      <x:c r="L439" s="46"/>
      <x:c r="M439" s="46"/>
    </x:row>
    <x:row r="440">
      <x:c r="A440" s="46"/>
      <x:c r="B440" s="46"/>
      <x:c r="C440" s="46"/>
      <x:c r="D440" s="46"/>
      <x:c r="E440" s="46"/>
      <x:c r="F440" s="46"/>
      <x:c r="G440" s="46"/>
      <x:c r="H440" s="46"/>
      <x:c r="I440" s="46"/>
      <x:c r="J440" s="46"/>
      <x:c r="K440" s="46"/>
      <x:c r="L440" s="46"/>
      <x:c r="M440" s="46"/>
    </x:row>
    <x:row r="441">
      <x:c r="A441" s="46"/>
      <x:c r="B441" s="46"/>
      <x:c r="C441" s="46"/>
      <x:c r="D441" s="46"/>
      <x:c r="E441" s="46"/>
      <x:c r="F441" s="46"/>
      <x:c r="G441" s="46"/>
      <x:c r="H441" s="46"/>
      <x:c r="I441" s="46"/>
      <x:c r="J441" s="46"/>
      <x:c r="K441" s="46"/>
      <x:c r="L441" s="46"/>
      <x:c r="M441" s="46"/>
    </x:row>
    <x:row r="442">
      <x:c r="A442" s="46"/>
      <x:c r="B442" s="46"/>
      <x:c r="C442" s="46"/>
      <x:c r="D442" s="46"/>
      <x:c r="E442" s="46"/>
      <x:c r="F442" s="46"/>
      <x:c r="G442" s="46"/>
      <x:c r="H442" s="46"/>
      <x:c r="I442" s="46"/>
      <x:c r="J442" s="46"/>
      <x:c r="K442" s="46"/>
      <x:c r="L442" s="46"/>
      <x:c r="M442" s="46"/>
    </x:row>
    <x:row r="443">
      <x:c r="A443" s="46"/>
      <x:c r="B443" s="46"/>
      <x:c r="C443" s="46"/>
      <x:c r="D443" s="46"/>
      <x:c r="E443" s="46"/>
      <x:c r="F443" s="46"/>
      <x:c r="G443" s="46"/>
      <x:c r="H443" s="46"/>
      <x:c r="I443" s="46"/>
      <x:c r="J443" s="46"/>
      <x:c r="K443" s="46"/>
      <x:c r="L443" s="46"/>
      <x:c r="M443" s="46"/>
    </x:row>
    <x:row r="444">
      <x:c r="A444" s="46"/>
      <x:c r="B444" s="46"/>
      <x:c r="C444" s="46"/>
      <x:c r="D444" s="46"/>
      <x:c r="E444" s="46"/>
      <x:c r="F444" s="46"/>
      <x:c r="G444" s="46"/>
      <x:c r="H444" s="46"/>
      <x:c r="I444" s="46"/>
      <x:c r="J444" s="46"/>
      <x:c r="K444" s="46"/>
      <x:c r="L444" s="46"/>
      <x:c r="M444" s="46"/>
    </x:row>
    <x:row r="445">
      <x:c r="A445" s="46"/>
      <x:c r="B445" s="46"/>
      <x:c r="C445" s="46"/>
      <x:c r="D445" s="46"/>
      <x:c r="E445" s="46"/>
      <x:c r="F445" s="46"/>
      <x:c r="G445" s="46"/>
      <x:c r="H445" s="46"/>
      <x:c r="I445" s="46"/>
      <x:c r="J445" s="46"/>
      <x:c r="K445" s="46"/>
      <x:c r="L445" s="46"/>
      <x:c r="M445" s="46"/>
    </x:row>
    <x:row r="446">
      <x:c r="A446" s="46"/>
      <x:c r="B446" s="46"/>
      <x:c r="C446" s="46"/>
      <x:c r="D446" s="46"/>
      <x:c r="E446" s="46"/>
      <x:c r="F446" s="46"/>
      <x:c r="G446" s="46"/>
      <x:c r="H446" s="46"/>
      <x:c r="I446" s="46"/>
      <x:c r="J446" s="46"/>
      <x:c r="K446" s="46"/>
      <x:c r="L446" s="46"/>
      <x:c r="M446" s="46"/>
    </x:row>
    <x:row r="447">
      <x:c r="A447" s="46"/>
      <x:c r="B447" s="46"/>
      <x:c r="C447" s="46"/>
      <x:c r="D447" s="46"/>
      <x:c r="E447" s="46"/>
      <x:c r="F447" s="46"/>
      <x:c r="G447" s="46"/>
      <x:c r="H447" s="46"/>
      <x:c r="I447" s="46"/>
      <x:c r="J447" s="46"/>
      <x:c r="K447" s="46"/>
      <x:c r="L447" s="46"/>
      <x:c r="M447" s="46"/>
    </x:row>
    <x:row r="448">
      <x:c r="A448" s="46"/>
      <x:c r="B448" s="46"/>
      <x:c r="C448" s="46"/>
      <x:c r="D448" s="46"/>
      <x:c r="E448" s="46"/>
      <x:c r="F448" s="46"/>
      <x:c r="G448" s="46"/>
      <x:c r="H448" s="46"/>
      <x:c r="I448" s="46"/>
      <x:c r="J448" s="46"/>
      <x:c r="K448" s="46"/>
      <x:c r="L448" s="46"/>
      <x:c r="M448" s="46"/>
    </x:row>
    <x:row r="449">
      <x:c r="A449" s="46"/>
      <x:c r="B449" s="46"/>
      <x:c r="C449" s="46"/>
      <x:c r="D449" s="46"/>
      <x:c r="E449" s="46"/>
      <x:c r="F449" s="46"/>
      <x:c r="G449" s="46"/>
      <x:c r="H449" s="46"/>
      <x:c r="I449" s="46"/>
      <x:c r="J449" s="46"/>
      <x:c r="K449" s="46"/>
      <x:c r="L449" s="46"/>
      <x:c r="M449" s="46"/>
    </x:row>
    <x:row r="450">
      <x:c r="A450" s="46"/>
      <x:c r="B450" s="46"/>
      <x:c r="C450" s="46"/>
      <x:c r="D450" s="46"/>
      <x:c r="E450" s="46"/>
      <x:c r="F450" s="46"/>
      <x:c r="G450" s="46"/>
      <x:c r="H450" s="46"/>
      <x:c r="I450" s="46"/>
      <x:c r="J450" s="46"/>
      <x:c r="K450" s="46"/>
      <x:c r="L450" s="46"/>
      <x:c r="M450" s="46"/>
    </x:row>
    <x:row r="451">
      <x:c r="A451" s="46"/>
      <x:c r="B451" s="46"/>
      <x:c r="C451" s="46"/>
      <x:c r="D451" s="46"/>
      <x:c r="E451" s="46"/>
      <x:c r="F451" s="46"/>
      <x:c r="G451" s="46"/>
      <x:c r="H451" s="46"/>
      <x:c r="I451" s="46"/>
      <x:c r="J451" s="46"/>
      <x:c r="K451" s="46"/>
      <x:c r="L451" s="46"/>
      <x:c r="M451" s="46"/>
    </x:row>
    <x:row r="452">
      <x:c r="A452" s="46"/>
      <x:c r="B452" s="46"/>
      <x:c r="C452" s="46"/>
      <x:c r="D452" s="46"/>
      <x:c r="E452" s="46"/>
      <x:c r="F452" s="46"/>
      <x:c r="G452" s="46"/>
      <x:c r="H452" s="46"/>
      <x:c r="I452" s="46"/>
      <x:c r="J452" s="46"/>
      <x:c r="K452" s="46"/>
      <x:c r="L452" s="46"/>
      <x:c r="M452" s="46"/>
    </x:row>
    <x:row r="453">
      <x:c r="A453" s="46"/>
      <x:c r="B453" s="46"/>
      <x:c r="C453" s="46"/>
      <x:c r="D453" s="46"/>
      <x:c r="E453" s="46"/>
      <x:c r="F453" s="46"/>
      <x:c r="G453" s="46"/>
      <x:c r="H453" s="46"/>
      <x:c r="I453" s="46"/>
      <x:c r="J453" s="46"/>
      <x:c r="K453" s="46"/>
      <x:c r="L453" s="46"/>
      <x:c r="M453" s="46"/>
    </x:row>
    <x:row r="454">
      <x:c r="A454" s="46"/>
      <x:c r="B454" s="46"/>
      <x:c r="C454" s="46"/>
      <x:c r="D454" s="46"/>
      <x:c r="E454" s="46"/>
      <x:c r="F454" s="46"/>
      <x:c r="G454" s="46"/>
      <x:c r="H454" s="46"/>
      <x:c r="I454" s="46"/>
      <x:c r="J454" s="46"/>
      <x:c r="K454" s="46"/>
      <x:c r="L454" s="46"/>
      <x:c r="M454" s="46"/>
    </x:row>
    <x:row r="455">
      <x:c r="A455" s="46"/>
      <x:c r="B455" s="46"/>
      <x:c r="C455" s="46"/>
      <x:c r="D455" s="46"/>
      <x:c r="E455" s="46"/>
      <x:c r="F455" s="46"/>
      <x:c r="G455" s="46"/>
      <x:c r="H455" s="46"/>
      <x:c r="I455" s="46"/>
      <x:c r="J455" s="46"/>
      <x:c r="K455" s="46"/>
      <x:c r="L455" s="46"/>
      <x:c r="M455" s="46"/>
    </x:row>
    <x:row r="456">
      <x:c r="A456" s="46"/>
      <x:c r="B456" s="46"/>
      <x:c r="C456" s="46"/>
      <x:c r="D456" s="46"/>
      <x:c r="E456" s="46"/>
      <x:c r="F456" s="46"/>
      <x:c r="G456" s="46"/>
      <x:c r="H456" s="46"/>
      <x:c r="I456" s="46"/>
      <x:c r="J456" s="46"/>
      <x:c r="K456" s="46"/>
      <x:c r="L456" s="46"/>
      <x:c r="M456" s="46"/>
    </x:row>
    <x:row r="457">
      <x:c r="A457" s="46"/>
      <x:c r="B457" s="46"/>
      <x:c r="C457" s="46"/>
      <x:c r="D457" s="46"/>
      <x:c r="E457" s="46"/>
      <x:c r="F457" s="46"/>
      <x:c r="G457" s="46"/>
      <x:c r="H457" s="46"/>
      <x:c r="I457" s="46"/>
      <x:c r="J457" s="46"/>
      <x:c r="K457" s="46"/>
      <x:c r="L457" s="46"/>
      <x:c r="M457" s="46"/>
    </x:row>
    <x:row r="458">
      <x:c r="A458" s="46"/>
      <x:c r="B458" s="46"/>
      <x:c r="C458" s="46"/>
      <x:c r="D458" s="46"/>
      <x:c r="E458" s="46"/>
      <x:c r="F458" s="46"/>
      <x:c r="G458" s="46"/>
      <x:c r="H458" s="46"/>
      <x:c r="I458" s="46"/>
      <x:c r="J458" s="46"/>
      <x:c r="K458" s="46"/>
      <x:c r="L458" s="46"/>
      <x:c r="M458" s="46"/>
    </x:row>
    <x:row r="459">
      <x:c r="A459" s="46"/>
      <x:c r="B459" s="46"/>
      <x:c r="C459" s="46"/>
      <x:c r="D459" s="46"/>
      <x:c r="E459" s="46"/>
      <x:c r="F459" s="46"/>
      <x:c r="G459" s="46"/>
      <x:c r="H459" s="46"/>
      <x:c r="I459" s="46"/>
      <x:c r="J459" s="46"/>
      <x:c r="K459" s="46"/>
      <x:c r="L459" s="46"/>
      <x:c r="M459" s="46"/>
    </x:row>
    <x:row r="460">
      <x:c r="A460" s="46"/>
      <x:c r="B460" s="46"/>
      <x:c r="C460" s="46"/>
      <x:c r="D460" s="46"/>
      <x:c r="E460" s="46"/>
      <x:c r="F460" s="46"/>
      <x:c r="G460" s="46"/>
      <x:c r="H460" s="46"/>
      <x:c r="I460" s="46"/>
      <x:c r="J460" s="46"/>
      <x:c r="K460" s="46"/>
      <x:c r="L460" s="46"/>
      <x:c r="M460" s="46"/>
    </x:row>
    <x:row r="461">
      <x:c r="A461" s="46"/>
      <x:c r="B461" s="46"/>
      <x:c r="C461" s="46"/>
      <x:c r="D461" s="46"/>
      <x:c r="E461" s="46"/>
      <x:c r="F461" s="46"/>
      <x:c r="G461" s="46"/>
      <x:c r="H461" s="46"/>
      <x:c r="I461" s="46"/>
      <x:c r="J461" s="46"/>
      <x:c r="K461" s="46"/>
      <x:c r="L461" s="46"/>
      <x:c r="M461" s="46"/>
    </x:row>
    <x:row r="462">
      <x:c r="A462" s="46"/>
      <x:c r="B462" s="46"/>
      <x:c r="C462" s="46"/>
      <x:c r="D462" s="46"/>
      <x:c r="E462" s="46"/>
      <x:c r="F462" s="46"/>
      <x:c r="G462" s="46"/>
      <x:c r="H462" s="46"/>
      <x:c r="I462" s="46"/>
      <x:c r="J462" s="46"/>
      <x:c r="K462" s="46"/>
      <x:c r="L462" s="46"/>
      <x:c r="M462" s="46"/>
    </x:row>
    <x:row r="463">
      <x:c r="A463" s="46"/>
      <x:c r="B463" s="46"/>
      <x:c r="C463" s="46"/>
      <x:c r="D463" s="46"/>
      <x:c r="E463" s="46"/>
      <x:c r="F463" s="46"/>
      <x:c r="G463" s="46"/>
      <x:c r="H463" s="46"/>
      <x:c r="I463" s="46"/>
      <x:c r="J463" s="46"/>
      <x:c r="K463" s="46"/>
      <x:c r="L463" s="46"/>
      <x:c r="M463" s="46"/>
    </x:row>
    <x:row r="464">
      <x:c r="A464" s="46"/>
      <x:c r="B464" s="46"/>
      <x:c r="C464" s="46"/>
      <x:c r="D464" s="46"/>
      <x:c r="E464" s="46"/>
      <x:c r="F464" s="46"/>
      <x:c r="G464" s="46"/>
      <x:c r="H464" s="46"/>
      <x:c r="I464" s="46"/>
      <x:c r="J464" s="46"/>
      <x:c r="K464" s="46"/>
      <x:c r="L464" s="46"/>
      <x:c r="M464" s="46"/>
    </x:row>
    <x:row r="465">
      <x:c r="A465" s="46"/>
      <x:c r="B465" s="46"/>
      <x:c r="C465" s="46"/>
      <x:c r="D465" s="46"/>
      <x:c r="E465" s="46"/>
      <x:c r="F465" s="46"/>
      <x:c r="G465" s="46"/>
      <x:c r="H465" s="46"/>
      <x:c r="I465" s="46"/>
      <x:c r="J465" s="46"/>
      <x:c r="K465" s="46"/>
      <x:c r="L465" s="46"/>
      <x:c r="M465" s="46"/>
    </x:row>
    <x:row r="466">
      <x:c r="A466" s="46"/>
      <x:c r="B466" s="46"/>
      <x:c r="C466" s="46"/>
      <x:c r="D466" s="46"/>
      <x:c r="E466" s="46"/>
      <x:c r="F466" s="46"/>
      <x:c r="G466" s="46"/>
      <x:c r="H466" s="46"/>
      <x:c r="I466" s="46"/>
      <x:c r="J466" s="46"/>
      <x:c r="K466" s="46"/>
      <x:c r="L466" s="46"/>
      <x:c r="M466" s="46"/>
    </x:row>
    <x:row r="467">
      <x:c r="A467" s="46"/>
      <x:c r="B467" s="46"/>
      <x:c r="C467" s="46"/>
      <x:c r="D467" s="46"/>
      <x:c r="E467" s="46"/>
      <x:c r="F467" s="46"/>
      <x:c r="G467" s="46"/>
      <x:c r="H467" s="46"/>
      <x:c r="I467" s="46"/>
      <x:c r="J467" s="46"/>
      <x:c r="K467" s="46"/>
      <x:c r="L467" s="46"/>
      <x:c r="M467" s="46"/>
    </x:row>
    <x:row r="468">
      <x:c r="A468" s="46"/>
      <x:c r="B468" s="46"/>
      <x:c r="C468" s="46"/>
      <x:c r="D468" s="46"/>
      <x:c r="E468" s="46"/>
      <x:c r="F468" s="46"/>
      <x:c r="G468" s="46"/>
      <x:c r="H468" s="46"/>
      <x:c r="I468" s="46"/>
      <x:c r="J468" s="46"/>
      <x:c r="K468" s="46"/>
      <x:c r="L468" s="46"/>
      <x:c r="M468" s="46"/>
    </x:row>
    <x:row r="469">
      <x:c r="A469" s="46"/>
      <x:c r="B469" s="46"/>
      <x:c r="C469" s="46"/>
      <x:c r="D469" s="46"/>
      <x:c r="E469" s="46"/>
      <x:c r="F469" s="46"/>
      <x:c r="G469" s="46"/>
      <x:c r="H469" s="46"/>
      <x:c r="I469" s="46"/>
      <x:c r="J469" s="46"/>
      <x:c r="K469" s="46"/>
      <x:c r="L469" s="46"/>
      <x:c r="M469" s="46"/>
    </x:row>
    <x:row r="470">
      <x:c r="A470" s="46"/>
      <x:c r="B470" s="46"/>
      <x:c r="C470" s="46"/>
      <x:c r="D470" s="46"/>
      <x:c r="E470" s="46"/>
      <x:c r="F470" s="46"/>
      <x:c r="G470" s="46"/>
      <x:c r="H470" s="46"/>
      <x:c r="I470" s="46"/>
      <x:c r="J470" s="46"/>
      <x:c r="K470" s="46"/>
      <x:c r="L470" s="46"/>
      <x:c r="M470" s="46"/>
    </x:row>
    <x:row r="471">
      <x:c r="A471" s="46"/>
      <x:c r="B471" s="46"/>
      <x:c r="C471" s="46"/>
      <x:c r="D471" s="46"/>
      <x:c r="E471" s="46"/>
      <x:c r="F471" s="46"/>
      <x:c r="G471" s="46"/>
      <x:c r="H471" s="46"/>
      <x:c r="I471" s="46"/>
      <x:c r="J471" s="46"/>
      <x:c r="K471" s="46"/>
      <x:c r="L471" s="46"/>
      <x:c r="M471" s="46"/>
    </x:row>
    <x:row r="472">
      <x:c r="A472" s="46"/>
      <x:c r="B472" s="46"/>
      <x:c r="C472" s="46"/>
      <x:c r="D472" s="46"/>
      <x:c r="E472" s="46"/>
      <x:c r="F472" s="46"/>
      <x:c r="G472" s="46"/>
      <x:c r="H472" s="46"/>
      <x:c r="I472" s="46"/>
      <x:c r="J472" s="46"/>
      <x:c r="K472" s="46"/>
      <x:c r="L472" s="46"/>
      <x:c r="M472" s="46"/>
    </x:row>
    <x:row r="473">
      <x:c r="A473" s="46"/>
      <x:c r="B473" s="46"/>
      <x:c r="C473" s="46"/>
      <x:c r="D473" s="46"/>
      <x:c r="E473" s="46"/>
      <x:c r="F473" s="46"/>
      <x:c r="G473" s="46"/>
      <x:c r="H473" s="46"/>
      <x:c r="I473" s="46"/>
      <x:c r="J473" s="46"/>
      <x:c r="K473" s="46"/>
      <x:c r="L473" s="46"/>
      <x:c r="M473" s="46"/>
    </x:row>
    <x:row r="474">
      <x:c r="A474" s="46"/>
      <x:c r="B474" s="46"/>
      <x:c r="C474" s="46"/>
      <x:c r="D474" s="46"/>
      <x:c r="E474" s="46"/>
      <x:c r="F474" s="46"/>
      <x:c r="G474" s="46"/>
      <x:c r="H474" s="46"/>
      <x:c r="I474" s="46"/>
      <x:c r="J474" s="46"/>
      <x:c r="K474" s="46"/>
      <x:c r="L474" s="46"/>
      <x:c r="M474" s="46"/>
    </x:row>
    <x:row r="475">
      <x:c r="A475" s="46"/>
      <x:c r="B475" s="46"/>
      <x:c r="C475" s="46"/>
      <x:c r="D475" s="46"/>
      <x:c r="E475" s="46"/>
      <x:c r="F475" s="46"/>
      <x:c r="G475" s="46"/>
      <x:c r="H475" s="46"/>
      <x:c r="I475" s="46"/>
      <x:c r="J475" s="46"/>
      <x:c r="K475" s="46"/>
      <x:c r="L475" s="46"/>
      <x:c r="M475" s="46"/>
    </x:row>
    <x:row r="476">
      <x:c r="A476" s="46"/>
      <x:c r="B476" s="46"/>
      <x:c r="C476" s="46"/>
      <x:c r="D476" s="46"/>
      <x:c r="E476" s="46"/>
      <x:c r="F476" s="46"/>
      <x:c r="G476" s="46"/>
      <x:c r="H476" s="46"/>
      <x:c r="I476" s="46"/>
      <x:c r="J476" s="46"/>
      <x:c r="K476" s="46"/>
      <x:c r="L476" s="46"/>
      <x:c r="M476" s="46"/>
    </x:row>
    <x:row r="477">
      <x:c r="A477" s="46"/>
      <x:c r="B477" s="46"/>
      <x:c r="C477" s="46"/>
      <x:c r="D477" s="46"/>
      <x:c r="E477" s="46"/>
      <x:c r="F477" s="46"/>
      <x:c r="G477" s="46"/>
      <x:c r="H477" s="46"/>
      <x:c r="I477" s="46"/>
      <x:c r="J477" s="46"/>
      <x:c r="K477" s="46"/>
      <x:c r="L477" s="46"/>
      <x:c r="M477" s="46"/>
    </x:row>
    <x:row r="478">
      <x:c r="A478" s="46"/>
      <x:c r="B478" s="46"/>
      <x:c r="C478" s="46"/>
      <x:c r="D478" s="46"/>
      <x:c r="E478" s="46"/>
      <x:c r="F478" s="46"/>
      <x:c r="G478" s="46"/>
      <x:c r="H478" s="46"/>
      <x:c r="I478" s="46"/>
      <x:c r="J478" s="46"/>
      <x:c r="K478" s="46"/>
      <x:c r="L478" s="46"/>
      <x:c r="M478" s="46"/>
    </x:row>
    <x:row r="479">
      <x:c r="A479" s="46"/>
      <x:c r="B479" s="46"/>
      <x:c r="C479" s="46"/>
      <x:c r="D479" s="46"/>
      <x:c r="E479" s="46"/>
      <x:c r="F479" s="46"/>
      <x:c r="G479" s="46"/>
      <x:c r="H479" s="46"/>
      <x:c r="I479" s="46"/>
      <x:c r="J479" s="46"/>
      <x:c r="K479" s="46"/>
      <x:c r="L479" s="46"/>
      <x:c r="M479" s="46"/>
    </x:row>
    <x:row r="480">
      <x:c r="A480" s="46"/>
      <x:c r="B480" s="46"/>
      <x:c r="C480" s="46"/>
      <x:c r="D480" s="46"/>
      <x:c r="E480" s="46"/>
      <x:c r="F480" s="46"/>
      <x:c r="G480" s="46"/>
      <x:c r="H480" s="46"/>
      <x:c r="I480" s="46"/>
      <x:c r="J480" s="46"/>
      <x:c r="K480" s="46"/>
      <x:c r="L480" s="46"/>
      <x:c r="M480" s="46"/>
    </x:row>
    <x:row r="481">
      <x:c r="A481" s="46"/>
      <x:c r="B481" s="46"/>
      <x:c r="C481" s="46"/>
      <x:c r="D481" s="46"/>
      <x:c r="E481" s="46"/>
      <x:c r="F481" s="46"/>
      <x:c r="G481" s="46"/>
      <x:c r="H481" s="46"/>
      <x:c r="I481" s="46"/>
      <x:c r="J481" s="46"/>
      <x:c r="K481" s="46"/>
      <x:c r="L481" s="46"/>
      <x:c r="M481" s="46"/>
    </x:row>
    <x:row r="482">
      <x:c r="A482" s="46"/>
      <x:c r="B482" s="46"/>
      <x:c r="C482" s="46"/>
      <x:c r="D482" s="46"/>
      <x:c r="E482" s="46"/>
      <x:c r="F482" s="46"/>
      <x:c r="G482" s="46"/>
      <x:c r="H482" s="46"/>
      <x:c r="I482" s="46"/>
      <x:c r="J482" s="46"/>
      <x:c r="K482" s="46"/>
      <x:c r="L482" s="46"/>
      <x:c r="M482" s="46"/>
    </x:row>
    <x:row r="483">
      <x:c r="A483" s="46"/>
      <x:c r="B483" s="46"/>
      <x:c r="C483" s="46"/>
      <x:c r="D483" s="46"/>
      <x:c r="E483" s="46"/>
      <x:c r="F483" s="46"/>
      <x:c r="G483" s="46"/>
      <x:c r="H483" s="46"/>
      <x:c r="I483" s="46"/>
      <x:c r="J483" s="46"/>
      <x:c r="K483" s="46"/>
      <x:c r="L483" s="46"/>
      <x:c r="M483" s="46"/>
    </x:row>
    <x:row r="484">
      <x:c r="A484" s="46"/>
      <x:c r="B484" s="46"/>
      <x:c r="C484" s="46"/>
      <x:c r="D484" s="46"/>
      <x:c r="E484" s="46"/>
      <x:c r="F484" s="46"/>
      <x:c r="G484" s="46"/>
      <x:c r="H484" s="46"/>
      <x:c r="I484" s="46"/>
      <x:c r="J484" s="46"/>
      <x:c r="K484" s="46"/>
      <x:c r="L484" s="46"/>
      <x:c r="M484" s="46"/>
    </x:row>
    <x:row r="485">
      <x:c r="A485" s="46"/>
      <x:c r="B485" s="46"/>
      <x:c r="C485" s="46"/>
      <x:c r="D485" s="46"/>
      <x:c r="E485" s="46"/>
      <x:c r="F485" s="46"/>
      <x:c r="G485" s="46"/>
      <x:c r="H485" s="46"/>
      <x:c r="I485" s="46"/>
      <x:c r="J485" s="46"/>
      <x:c r="K485" s="46"/>
      <x:c r="L485" s="46"/>
      <x:c r="M485" s="46"/>
    </x:row>
    <x:row r="486">
      <x:c r="A486" s="46"/>
      <x:c r="B486" s="46"/>
      <x:c r="C486" s="46"/>
      <x:c r="D486" s="46"/>
      <x:c r="E486" s="46"/>
      <x:c r="F486" s="46"/>
      <x:c r="G486" s="46"/>
      <x:c r="H486" s="46"/>
      <x:c r="I486" s="46"/>
      <x:c r="J486" s="46"/>
      <x:c r="K486" s="46"/>
      <x:c r="L486" s="46"/>
      <x:c r="M486" s="46"/>
    </x:row>
    <x:row r="487">
      <x:c r="A487" s="46"/>
      <x:c r="B487" s="46"/>
      <x:c r="C487" s="46"/>
      <x:c r="D487" s="46"/>
      <x:c r="E487" s="46"/>
      <x:c r="F487" s="46"/>
      <x:c r="G487" s="46"/>
      <x:c r="H487" s="46"/>
      <x:c r="I487" s="46"/>
      <x:c r="J487" s="46"/>
      <x:c r="K487" s="46"/>
      <x:c r="L487" s="46"/>
      <x:c r="M487" s="46"/>
    </x:row>
    <x:row r="488">
      <x:c r="A488" s="46"/>
      <x:c r="B488" s="46"/>
      <x:c r="C488" s="46"/>
      <x:c r="D488" s="46"/>
      <x:c r="E488" s="46"/>
      <x:c r="F488" s="46"/>
      <x:c r="G488" s="46"/>
      <x:c r="H488" s="46"/>
      <x:c r="I488" s="46"/>
      <x:c r="J488" s="46"/>
      <x:c r="K488" s="46"/>
      <x:c r="L488" s="46"/>
      <x:c r="M488" s="46"/>
    </x:row>
    <x:row r="489">
      <x:c r="A489" s="46"/>
      <x:c r="B489" s="46"/>
      <x:c r="C489" s="46"/>
      <x:c r="D489" s="46"/>
      <x:c r="E489" s="46"/>
      <x:c r="F489" s="46"/>
      <x:c r="G489" s="46"/>
      <x:c r="H489" s="46"/>
      <x:c r="I489" s="46"/>
      <x:c r="J489" s="46"/>
      <x:c r="K489" s="46"/>
      <x:c r="L489" s="46"/>
      <x:c r="M489" s="46"/>
    </x:row>
    <x:row r="490">
      <x:c r="A490" s="46"/>
      <x:c r="B490" s="46"/>
      <x:c r="C490" s="46"/>
      <x:c r="D490" s="46"/>
      <x:c r="E490" s="46"/>
      <x:c r="F490" s="46"/>
      <x:c r="G490" s="46"/>
      <x:c r="H490" s="46"/>
      <x:c r="I490" s="46"/>
      <x:c r="J490" s="46"/>
      <x:c r="K490" s="46"/>
      <x:c r="L490" s="46"/>
      <x:c r="M490" s="46"/>
    </x:row>
    <x:row r="491">
      <x:c r="A491" s="46"/>
      <x:c r="B491" s="46"/>
      <x:c r="C491" s="46"/>
      <x:c r="D491" s="46"/>
      <x:c r="E491" s="46"/>
      <x:c r="F491" s="46"/>
      <x:c r="G491" s="46"/>
      <x:c r="H491" s="46"/>
      <x:c r="I491" s="46"/>
      <x:c r="J491" s="46"/>
      <x:c r="K491" s="46"/>
      <x:c r="L491" s="46"/>
      <x:c r="M491" s="46"/>
    </x:row>
    <x:row r="492">
      <x:c r="A492" s="46"/>
      <x:c r="B492" s="46"/>
      <x:c r="C492" s="46"/>
      <x:c r="D492" s="46"/>
      <x:c r="E492" s="46"/>
      <x:c r="F492" s="46"/>
      <x:c r="G492" s="46"/>
      <x:c r="H492" s="46"/>
      <x:c r="I492" s="46"/>
      <x:c r="J492" s="46"/>
      <x:c r="K492" s="46"/>
      <x:c r="L492" s="46"/>
      <x:c r="M492" s="46"/>
    </x:row>
    <x:row r="493">
      <x:c r="A493" s="46"/>
      <x:c r="B493" s="46"/>
      <x:c r="C493" s="46"/>
      <x:c r="D493" s="46"/>
      <x:c r="E493" s="46"/>
      <x:c r="F493" s="46"/>
      <x:c r="G493" s="46"/>
      <x:c r="H493" s="46"/>
      <x:c r="I493" s="46"/>
      <x:c r="J493" s="46"/>
      <x:c r="K493" s="46"/>
      <x:c r="L493" s="46"/>
      <x:c r="M493" s="46"/>
    </x:row>
    <x:row r="494">
      <x:c r="A494" s="46"/>
      <x:c r="B494" s="46"/>
      <x:c r="C494" s="46"/>
      <x:c r="D494" s="46"/>
      <x:c r="E494" s="46"/>
      <x:c r="F494" s="46"/>
      <x:c r="G494" s="46"/>
      <x:c r="H494" s="46"/>
      <x:c r="I494" s="46"/>
      <x:c r="J494" s="46"/>
      <x:c r="K494" s="46"/>
      <x:c r="L494" s="46"/>
      <x:c r="M494" s="46"/>
    </x:row>
    <x:row r="495">
      <x:c r="A495" s="46"/>
      <x:c r="B495" s="46"/>
      <x:c r="C495" s="46"/>
      <x:c r="D495" s="46"/>
      <x:c r="E495" s="46"/>
      <x:c r="F495" s="46"/>
      <x:c r="G495" s="46"/>
      <x:c r="H495" s="46"/>
      <x:c r="I495" s="46"/>
      <x:c r="J495" s="46"/>
      <x:c r="K495" s="46"/>
      <x:c r="L495" s="46"/>
      <x:c r="M495" s="46"/>
    </x:row>
    <x:row r="496">
      <x:c r="A496" s="46"/>
      <x:c r="B496" s="46"/>
      <x:c r="C496" s="46"/>
      <x:c r="D496" s="46"/>
      <x:c r="E496" s="46"/>
      <x:c r="F496" s="46"/>
      <x:c r="G496" s="46"/>
      <x:c r="H496" s="46"/>
      <x:c r="I496" s="46"/>
      <x:c r="J496" s="46"/>
      <x:c r="K496" s="46"/>
      <x:c r="L496" s="46"/>
      <x:c r="M496" s="46"/>
    </x:row>
    <x:row r="497">
      <x:c r="A497" s="46"/>
      <x:c r="B497" s="46"/>
      <x:c r="C497" s="46"/>
      <x:c r="D497" s="46"/>
      <x:c r="E497" s="46"/>
      <x:c r="F497" s="46"/>
      <x:c r="G497" s="46"/>
      <x:c r="H497" s="46"/>
      <x:c r="I497" s="46"/>
      <x:c r="J497" s="46"/>
      <x:c r="K497" s="46"/>
      <x:c r="L497" s="46"/>
      <x:c r="M497" s="46"/>
    </x:row>
    <x:row r="498">
      <x:c r="A498" s="46"/>
      <x:c r="B498" s="46"/>
      <x:c r="C498" s="46"/>
      <x:c r="D498" s="46"/>
      <x:c r="E498" s="46"/>
      <x:c r="F498" s="46"/>
      <x:c r="G498" s="46"/>
      <x:c r="H498" s="46"/>
      <x:c r="I498" s="46"/>
      <x:c r="J498" s="46"/>
      <x:c r="K498" s="46"/>
      <x:c r="L498" s="46"/>
      <x:c r="M498" s="46"/>
    </x:row>
    <x:row r="499">
      <x:c r="A499" s="46"/>
      <x:c r="B499" s="46"/>
      <x:c r="C499" s="46"/>
      <x:c r="D499" s="46"/>
      <x:c r="E499" s="46"/>
      <x:c r="F499" s="46"/>
      <x:c r="G499" s="46"/>
      <x:c r="H499" s="46"/>
      <x:c r="I499" s="46"/>
      <x:c r="J499" s="46"/>
      <x:c r="K499" s="46"/>
      <x:c r="L499" s="46"/>
      <x:c r="M499" s="46"/>
    </x:row>
    <x:row r="500">
      <x:c r="A500" s="46"/>
      <x:c r="B500" s="46"/>
      <x:c r="C500" s="46"/>
      <x:c r="D500" s="46"/>
      <x:c r="E500" s="46"/>
      <x:c r="F500" s="46"/>
      <x:c r="G500" s="46"/>
      <x:c r="H500" s="46"/>
      <x:c r="I500" s="46"/>
      <x:c r="J500" s="46"/>
      <x:c r="K500" s="46"/>
      <x:c r="L500" s="46"/>
      <x:c r="M500" s="46"/>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5" hidden="0" customWidth="1"/>
    <x:col min="2" max="2" width="24" hidden="0" customWidth="1"/>
    <x:col min="3" max="3" width="18" hidden="0" customWidth="1"/>
    <x:col min="4" max="4" width="16" hidden="0" customWidth="1"/>
    <x:col min="5" max="5" width="18" hidden="0" customWidth="1"/>
    <x:col min="6" max="6" width="20" hidden="0" customWidth="1"/>
    <x:col min="7" max="7" width="38" hidden="0" customWidth="1"/>
    <x:col min="8" max="8" width="16" hidden="0" customWidth="1"/>
    <x:col min="9" max="9" width="25" hidden="0" customWidth="1"/>
    <x:col min="10" max="10" width="30" hidden="0" customWidth="1"/>
    <x:col min="11" max="11" width="32" hidden="0" customWidth="1"/>
    <x:col min="12" max="12" width="58" hidden="0" customWidth="1"/>
    <x:col min="13" max="13" width="24" hidden="0" customWidth="1"/>
    <x:col min="14" max="14" width="48" hidden="0" customWidth="1"/>
    <x:col min="15" max="15" width="42" hidden="0" customWidth="1"/>
    <x:col min="16" max="16" width="34" hidden="0" customWidth="1"/>
    <x:col min="17" max="17" width="58" hidden="0" customWidth="1"/>
  </x:cols>
  <x:sheetData>
    <x:row r="1" ht="36" customHeight="1">
      <x:c r="A1" s="93" t="str">
        <x:v>profile_record_id</x:v>
      </x:c>
      <x:c r="B1" s="93" t="str">
        <x:v>product_id</x:v>
      </x:c>
      <x:c r="C1" s="93" t="str">
        <x:v>species_label</x:v>
      </x:c>
      <x:c r="D1" s="93" t="str">
        <x:v>chemistry_parent</x:v>
      </x:c>
      <x:c r="E1" s="93" t="str">
        <x:v>display_family</x:v>
      </x:c>
      <x:c r="F1" s="93" t="str">
        <x:v>preparation_state</x:v>
      </x:c>
      <x:c r="G1" s="93" t="str">
        <x:v>compound_name</x:v>
      </x:c>
      <x:c r="H1" s="93" t="str">
        <x:v>cas</x:v>
      </x:c>
      <x:c r="I1" s="93" t="str">
        <x:v>compound_group</x:v>
      </x:c>
      <x:c r="J1" s="93" t="str">
        <x:v>evidence_mode</x:v>
      </x:c>
      <x:c r="K1" s="93" t="str">
        <x:v>profile_role</x:v>
      </x:c>
      <x:c r="L1" s="93" t="str">
        <x:v>importance_or_origin</x:v>
      </x:c>
      <x:c r="M1" s="93" t="str">
        <x:v>source_id</x:v>
      </x:c>
      <x:c r="N1" s="93" t="str">
        <x:v>source_url</x:v>
      </x:c>
      <x:c r="O1" s="93" t="str">
        <x:v>scoring_eligibility</x:v>
      </x:c>
      <x:c r="P1" s="93" t="str">
        <x:v>introduced_by_recipe_or_process</x:v>
      </x:c>
      <x:c r="Q1" s="93" t="str">
        <x:v>notes</x:v>
      </x:c>
    </x:row>
    <x:row r="2">
      <x:c r="A2" s="46" t="str">
        <x:v>PSP-001</x:v>
      </x:c>
      <x:c r="B2" s="46" t="str">
        <x:v>squab:native_core_reference</x:v>
      </x:c>
      <x:c r="C2" s="46" t="str">
        <x:v>pigeon / squab</x:v>
      </x:c>
      <x:c r="D2" s="46" t="str">
        <x:v>avian</x:v>
      </x:c>
      <x:c r="E2" s="46" t="str">
        <x:v>game_bird</x:v>
      </x:c>
      <x:c r="F2" s="46" t="str">
        <x:v>native_core_reference</x:v>
      </x:c>
      <x:c r="G2" s="46" t="str">
        <x:v>methional</x:v>
      </x:c>
      <x:c r="H2" s="46" t="str">
        <x:v>3268-49-3</x:v>
      </x:c>
      <x:c r="I2" s="46" t="str">
        <x:v>Sulfur compounds</x:v>
      </x:c>
      <x:c r="J2" s="46" t="str">
        <x:v>source_attributed_precursor_origin</x:v>
      </x:c>
      <x:c r="K2" s="46" t="str">
        <x:v>native_meaty_fatty_core</x:v>
      </x:c>
      <x:c r="L2" s="46" t="str">
        <x:v>Primary braised-squab source analysis states these key aroma compounds contributing to meaty/fatty notes mainly originate from raw squab.</x:v>
      </x:c>
      <x:c r="M2" s="46" t="str">
        <x:v>SRC-SQUAB-BRAISE-001</x:v>
      </x:c>
      <x:c r="N2" s="46" t="str">
        <x:v>https://pubmed.ncbi.nlm.nih.gov/42139957/</x:v>
      </x:c>
      <x:c r="O2" s="46" t="str">
        <x:v>eligible_as_native_origin_reference_not_direct_raw_measurement</x:v>
      </x:c>
      <x:c r="P2" s="46" t="str">
        <x:v>no</x:v>
      </x:c>
      <x:c r="Q2" s="46" t="str">
        <x:v>Do not label as a directly measured raw-squab profile; evidence is precursor/source attribution from recipe-omission/source analysis.</x:v>
      </x:c>
    </x:row>
    <x:row r="3">
      <x:c r="A3" s="46" t="str">
        <x:v>PSP-002</x:v>
      </x:c>
      <x:c r="B3" s="46" t="str">
        <x:v>squab:native_core_reference</x:v>
      </x:c>
      <x:c r="C3" s="46" t="str">
        <x:v>pigeon / squab</x:v>
      </x:c>
      <x:c r="D3" s="46" t="str">
        <x:v>avian</x:v>
      </x:c>
      <x:c r="E3" s="46" t="str">
        <x:v>game_bird</x:v>
      </x:c>
      <x:c r="F3" s="46" t="str">
        <x:v>native_core_reference</x:v>
      </x:c>
      <x:c r="G3" s="46" t="str">
        <x:v>1-octen-3-ol</x:v>
      </x:c>
      <x:c r="H3" s="46" t="str">
        <x:v>3391-86-4</x:v>
      </x:c>
      <x:c r="I3" s="46" t="str">
        <x:v>Alcohols</x:v>
      </x:c>
      <x:c r="J3" s="46" t="str">
        <x:v>source_attributed_precursor_origin</x:v>
      </x:c>
      <x:c r="K3" s="46" t="str">
        <x:v>native_meaty_fatty_core</x:v>
      </x:c>
      <x:c r="L3" s="46" t="str">
        <x:v>Primary braised-squab source analysis states these key aroma compounds contributing to meaty/fatty notes mainly originate from raw squab.</x:v>
      </x:c>
      <x:c r="M3" s="46" t="str">
        <x:v>SRC-SQUAB-BRAISE-001</x:v>
      </x:c>
      <x:c r="N3" s="46" t="str">
        <x:v>https://pubmed.ncbi.nlm.nih.gov/42139957/</x:v>
      </x:c>
      <x:c r="O3" s="46" t="str">
        <x:v>eligible_as_native_origin_reference_not_direct_raw_measurement</x:v>
      </x:c>
      <x:c r="P3" s="46" t="str">
        <x:v>no</x:v>
      </x:c>
      <x:c r="Q3" s="46" t="str">
        <x:v>Do not label as a directly measured raw-squab profile; evidence is precursor/source attribution from recipe-omission/source analysis.</x:v>
      </x:c>
    </x:row>
    <x:row r="4">
      <x:c r="A4" s="46" t="str">
        <x:v>PSP-003</x:v>
      </x:c>
      <x:c r="B4" s="46" t="str">
        <x:v>squab:native_core_reference</x:v>
      </x:c>
      <x:c r="C4" s="46" t="str">
        <x:v>pigeon / squab</x:v>
      </x:c>
      <x:c r="D4" s="46" t="str">
        <x:v>avian</x:v>
      </x:c>
      <x:c r="E4" s="46" t="str">
        <x:v>game_bird</x:v>
      </x:c>
      <x:c r="F4" s="46" t="str">
        <x:v>native_core_reference</x:v>
      </x:c>
      <x:c r="G4" s="46" t="str">
        <x:v>hexanal</x:v>
      </x:c>
      <x:c r="H4" s="46" t="str">
        <x:v>66-25-1</x:v>
      </x:c>
      <x:c r="I4" s="46" t="str">
        <x:v>Carbonyls, aldehydes</x:v>
      </x:c>
      <x:c r="J4" s="46" t="str">
        <x:v>source_attributed_precursor_origin</x:v>
      </x:c>
      <x:c r="K4" s="46" t="str">
        <x:v>native_meaty_fatty_core</x:v>
      </x:c>
      <x:c r="L4" s="46" t="str">
        <x:v>Primary braised-squab source analysis states these key aroma compounds contributing to meaty/fatty notes mainly originate from raw squab.</x:v>
      </x:c>
      <x:c r="M4" s="46" t="str">
        <x:v>SRC-SQUAB-BRAISE-001</x:v>
      </x:c>
      <x:c r="N4" s="46" t="str">
        <x:v>https://pubmed.ncbi.nlm.nih.gov/42139957/</x:v>
      </x:c>
      <x:c r="O4" s="46" t="str">
        <x:v>eligible_as_native_origin_reference_not_direct_raw_measurement</x:v>
      </x:c>
      <x:c r="P4" s="46" t="str">
        <x:v>no</x:v>
      </x:c>
      <x:c r="Q4" s="46" t="str">
        <x:v>Do not label as a directly measured raw-squab profile; evidence is precursor/source attribution from recipe-omission/source analysis.</x:v>
      </x:c>
    </x:row>
    <x:row r="5">
      <x:c r="A5" s="46" t="str">
        <x:v>PSP-004</x:v>
      </x:c>
      <x:c r="B5" s="46" t="str">
        <x:v>squab:native_core_reference</x:v>
      </x:c>
      <x:c r="C5" s="46" t="str">
        <x:v>pigeon / squab</x:v>
      </x:c>
      <x:c r="D5" s="46" t="str">
        <x:v>avian</x:v>
      </x:c>
      <x:c r="E5" s="46" t="str">
        <x:v>game_bird</x:v>
      </x:c>
      <x:c r="F5" s="46" t="str">
        <x:v>native_core_reference</x:v>
      </x:c>
      <x:c r="G5" s="46" t="str">
        <x:v>phenylacetaldehyde</x:v>
      </x:c>
      <x:c r="H5" s="46" t="str">
        <x:v>122-78-1</x:v>
      </x:c>
      <x:c r="I5" s="46" t="str">
        <x:v>Carbonyls, aldehydes</x:v>
      </x:c>
      <x:c r="J5" s="46" t="str">
        <x:v>source_attributed_precursor_origin</x:v>
      </x:c>
      <x:c r="K5" s="46" t="str">
        <x:v>native_meaty_fatty_core</x:v>
      </x:c>
      <x:c r="L5" s="46" t="str">
        <x:v>Primary braised-squab source analysis states these key aroma compounds contributing to meaty/fatty notes mainly originate from raw squab.</x:v>
      </x:c>
      <x:c r="M5" s="46" t="str">
        <x:v>SRC-SQUAB-BRAISE-001</x:v>
      </x:c>
      <x:c r="N5" s="46" t="str">
        <x:v>https://pubmed.ncbi.nlm.nih.gov/42139957/</x:v>
      </x:c>
      <x:c r="O5" s="46" t="str">
        <x:v>eligible_as_native_origin_reference_not_direct_raw_measurement</x:v>
      </x:c>
      <x:c r="P5" s="46" t="str">
        <x:v>no</x:v>
      </x:c>
      <x:c r="Q5" s="46" t="str">
        <x:v>Do not label as a directly measured raw-squab profile; evidence is precursor/source attribution from recipe-omission/source analysis.</x:v>
      </x:c>
    </x:row>
    <x:row r="6">
      <x:c r="A6" s="46" t="str">
        <x:v>PSP-005</x:v>
      </x:c>
      <x:c r="B6" s="46" t="str">
        <x:v>squab:native_core_reference</x:v>
      </x:c>
      <x:c r="C6" s="46" t="str">
        <x:v>pigeon / squab</x:v>
      </x:c>
      <x:c r="D6" s="46" t="str">
        <x:v>avian</x:v>
      </x:c>
      <x:c r="E6" s="46" t="str">
        <x:v>game_bird</x:v>
      </x:c>
      <x:c r="F6" s="46" t="str">
        <x:v>native_core_reference</x:v>
      </x:c>
      <x:c r="G6" s="46" t="str">
        <x:v>2-pentylfuran</x:v>
      </x:c>
      <x:c r="H6" s="46" t="str">
        <x:v>3777-69-3</x:v>
      </x:c>
      <x:c r="I6" s="46" t="str">
        <x:v>Furans</x:v>
      </x:c>
      <x:c r="J6" s="46" t="str">
        <x:v>source_attributed_precursor_origin</x:v>
      </x:c>
      <x:c r="K6" s="46" t="str">
        <x:v>native_meaty_fatty_core</x:v>
      </x:c>
      <x:c r="L6" s="46" t="str">
        <x:v>Primary braised-squab source analysis states these key aroma compounds contributing to meaty/fatty notes mainly originate from raw squab.</x:v>
      </x:c>
      <x:c r="M6" s="46" t="str">
        <x:v>SRC-SQUAB-BRAISE-001</x:v>
      </x:c>
      <x:c r="N6" s="46" t="str">
        <x:v>https://pubmed.ncbi.nlm.nih.gov/42139957/</x:v>
      </x:c>
      <x:c r="O6" s="46" t="str">
        <x:v>eligible_as_native_origin_reference_not_direct_raw_measurement</x:v>
      </x:c>
      <x:c r="P6" s="46" t="str">
        <x:v>no</x:v>
      </x:c>
      <x:c r="Q6" s="46" t="str">
        <x:v>Do not label as a directly measured raw-squab profile; evidence is precursor/source attribution from recipe-omission/source analysis.</x:v>
      </x:c>
    </x:row>
    <x:row r="7">
      <x:c r="A7" s="46" t="str">
        <x:v>PSP-006</x:v>
      </x:c>
      <x:c r="B7" s="46" t="str">
        <x:v>squab:braised</x:v>
      </x:c>
      <x:c r="C7" s="46" t="str">
        <x:v>pigeon / squab</x:v>
      </x:c>
      <x:c r="D7" s="46" t="str">
        <x:v>avian</x:v>
      </x:c>
      <x:c r="E7" s="46" t="str">
        <x:v>game_bird</x:v>
      </x:c>
      <x:c r="F7" s="46" t="str">
        <x:v>braised</x:v>
      </x:c>
      <x:c r="G7" s="46" t="str">
        <x:v>methional</x:v>
      </x:c>
      <x:c r="H7" s="46" t="str">
        <x:v>3268-49-3</x:v>
      </x:c>
      <x:c r="I7" s="46" t="str">
        <x:v>Sulfur compounds</x:v>
      </x:c>
      <x:c r="J7" s="46" t="str">
        <x:v>measured_key_plus_source_attribution</x:v>
      </x:c>
      <x:c r="K7" s="46" t="str">
        <x:v>native_core_retained_in_finished_dish</x:v>
      </x:c>
      <x:c r="L7" s="46" t="str">
        <x:v>Named shared key compounds in finished braised squab; source analysis attributes them mainly to raw squab.</x:v>
      </x:c>
      <x:c r="M7" s="46" t="str">
        <x:v>SRC-SQUAB-BRAISE-001</x:v>
      </x:c>
      <x:c r="N7" s="46" t="str">
        <x:v>https://pubmed.ncbi.nlm.nih.gov/42139957/</x:v>
      </x:c>
      <x:c r="O7" s="46" t="str">
        <x:v>eligible_braised_profile</x:v>
      </x:c>
      <x:c r="P7" s="46" t="str">
        <x:v>no</x:v>
      </x:c>
      <x:c r="Q7" s="46" t="str"/>
    </x:row>
    <x:row r="8">
      <x:c r="A8" s="46" t="str">
        <x:v>PSP-007</x:v>
      </x:c>
      <x:c r="B8" s="46" t="str">
        <x:v>squab:braised</x:v>
      </x:c>
      <x:c r="C8" s="46" t="str">
        <x:v>pigeon / squab</x:v>
      </x:c>
      <x:c r="D8" s="46" t="str">
        <x:v>avian</x:v>
      </x:c>
      <x:c r="E8" s="46" t="str">
        <x:v>game_bird</x:v>
      </x:c>
      <x:c r="F8" s="46" t="str">
        <x:v>braised</x:v>
      </x:c>
      <x:c r="G8" s="46" t="str">
        <x:v>1-octen-3-ol</x:v>
      </x:c>
      <x:c r="H8" s="46" t="str">
        <x:v>3391-86-4</x:v>
      </x:c>
      <x:c r="I8" s="46" t="str">
        <x:v>Alcohols</x:v>
      </x:c>
      <x:c r="J8" s="46" t="str">
        <x:v>measured_key_plus_source_attribution</x:v>
      </x:c>
      <x:c r="K8" s="46" t="str">
        <x:v>native_core_retained_in_finished_dish</x:v>
      </x:c>
      <x:c r="L8" s="46" t="str">
        <x:v>Named shared key compounds in finished braised squab; source analysis attributes them mainly to raw squab.</x:v>
      </x:c>
      <x:c r="M8" s="46" t="str">
        <x:v>SRC-SQUAB-BRAISE-001</x:v>
      </x:c>
      <x:c r="N8" s="46" t="str">
        <x:v>https://pubmed.ncbi.nlm.nih.gov/42139957/</x:v>
      </x:c>
      <x:c r="O8" s="46" t="str">
        <x:v>eligible_braised_profile</x:v>
      </x:c>
      <x:c r="P8" s="46" t="str">
        <x:v>no</x:v>
      </x:c>
      <x:c r="Q8" s="46" t="str"/>
    </x:row>
    <x:row r="9">
      <x:c r="A9" s="46" t="str">
        <x:v>PSP-008</x:v>
      </x:c>
      <x:c r="B9" s="46" t="str">
        <x:v>squab:braised</x:v>
      </x:c>
      <x:c r="C9" s="46" t="str">
        <x:v>pigeon / squab</x:v>
      </x:c>
      <x:c r="D9" s="46" t="str">
        <x:v>avian</x:v>
      </x:c>
      <x:c r="E9" s="46" t="str">
        <x:v>game_bird</x:v>
      </x:c>
      <x:c r="F9" s="46" t="str">
        <x:v>braised</x:v>
      </x:c>
      <x:c r="G9" s="46" t="str">
        <x:v>hexanal</x:v>
      </x:c>
      <x:c r="H9" s="46" t="str">
        <x:v>66-25-1</x:v>
      </x:c>
      <x:c r="I9" s="46" t="str">
        <x:v>Carbonyls, aldehydes</x:v>
      </x:c>
      <x:c r="J9" s="46" t="str">
        <x:v>measured_key_plus_source_attribution</x:v>
      </x:c>
      <x:c r="K9" s="46" t="str">
        <x:v>native_core_retained_in_finished_dish</x:v>
      </x:c>
      <x:c r="L9" s="46" t="str">
        <x:v>Named shared key compounds in finished braised squab; source analysis attributes them mainly to raw squab.</x:v>
      </x:c>
      <x:c r="M9" s="46" t="str">
        <x:v>SRC-SQUAB-BRAISE-001</x:v>
      </x:c>
      <x:c r="N9" s="46" t="str">
        <x:v>https://pubmed.ncbi.nlm.nih.gov/42139957/</x:v>
      </x:c>
      <x:c r="O9" s="46" t="str">
        <x:v>eligible_braised_profile</x:v>
      </x:c>
      <x:c r="P9" s="46" t="str">
        <x:v>no</x:v>
      </x:c>
      <x:c r="Q9" s="46" t="str"/>
    </x:row>
    <x:row r="10">
      <x:c r="A10" s="46" t="str">
        <x:v>PSP-009</x:v>
      </x:c>
      <x:c r="B10" s="46" t="str">
        <x:v>squab:braised</x:v>
      </x:c>
      <x:c r="C10" s="46" t="str">
        <x:v>pigeon / squab</x:v>
      </x:c>
      <x:c r="D10" s="46" t="str">
        <x:v>avian</x:v>
      </x:c>
      <x:c r="E10" s="46" t="str">
        <x:v>game_bird</x:v>
      </x:c>
      <x:c r="F10" s="46" t="str">
        <x:v>braised</x:v>
      </x:c>
      <x:c r="G10" s="46" t="str">
        <x:v>phenylacetaldehyde</x:v>
      </x:c>
      <x:c r="H10" s="46" t="str">
        <x:v>122-78-1</x:v>
      </x:c>
      <x:c r="I10" s="46" t="str">
        <x:v>Carbonyls, aldehydes</x:v>
      </x:c>
      <x:c r="J10" s="46" t="str">
        <x:v>measured_key_plus_source_attribution</x:v>
      </x:c>
      <x:c r="K10" s="46" t="str">
        <x:v>native_core_retained_in_finished_dish</x:v>
      </x:c>
      <x:c r="L10" s="46" t="str">
        <x:v>Named shared key compounds in finished braised squab; source analysis attributes them mainly to raw squab.</x:v>
      </x:c>
      <x:c r="M10" s="46" t="str">
        <x:v>SRC-SQUAB-BRAISE-001</x:v>
      </x:c>
      <x:c r="N10" s="46" t="str">
        <x:v>https://pubmed.ncbi.nlm.nih.gov/42139957/</x:v>
      </x:c>
      <x:c r="O10" s="46" t="str">
        <x:v>eligible_braised_profile</x:v>
      </x:c>
      <x:c r="P10" s="46" t="str">
        <x:v>no</x:v>
      </x:c>
      <x:c r="Q10" s="46" t="str"/>
    </x:row>
    <x:row r="11">
      <x:c r="A11" s="46" t="str">
        <x:v>PSP-010</x:v>
      </x:c>
      <x:c r="B11" s="46" t="str">
        <x:v>squab:braised</x:v>
      </x:c>
      <x:c r="C11" s="46" t="str">
        <x:v>pigeon / squab</x:v>
      </x:c>
      <x:c r="D11" s="46" t="str">
        <x:v>avian</x:v>
      </x:c>
      <x:c r="E11" s="46" t="str">
        <x:v>game_bird</x:v>
      </x:c>
      <x:c r="F11" s="46" t="str">
        <x:v>braised</x:v>
      </x:c>
      <x:c r="G11" s="46" t="str">
        <x:v>2-pentylfuran</x:v>
      </x:c>
      <x:c r="H11" s="46" t="str">
        <x:v>3777-69-3</x:v>
      </x:c>
      <x:c r="I11" s="46" t="str">
        <x:v>Furans</x:v>
      </x:c>
      <x:c r="J11" s="46" t="str">
        <x:v>measured_key_plus_source_attribution</x:v>
      </x:c>
      <x:c r="K11" s="46" t="str">
        <x:v>native_core_retained_in_finished_dish</x:v>
      </x:c>
      <x:c r="L11" s="46" t="str">
        <x:v>Named shared key compounds in finished braised squab; source analysis attributes them mainly to raw squab.</x:v>
      </x:c>
      <x:c r="M11" s="46" t="str">
        <x:v>SRC-SQUAB-BRAISE-001</x:v>
      </x:c>
      <x:c r="N11" s="46" t="str">
        <x:v>https://pubmed.ncbi.nlm.nih.gov/42139957/</x:v>
      </x:c>
      <x:c r="O11" s="46" t="str">
        <x:v>eligible_braised_profile</x:v>
      </x:c>
      <x:c r="P11" s="46" t="str">
        <x:v>no</x:v>
      </x:c>
      <x:c r="Q11" s="46" t="str"/>
    </x:row>
    <x:row r="12">
      <x:c r="A12" s="46" t="str">
        <x:v>PSP-011</x:v>
      </x:c>
      <x:c r="B12" s="46" t="str">
        <x:v>squab:braised</x:v>
      </x:c>
      <x:c r="C12" s="46" t="str">
        <x:v>pigeon / squab</x:v>
      </x:c>
      <x:c r="D12" s="46" t="str">
        <x:v>avian</x:v>
      </x:c>
      <x:c r="E12" s="46" t="str">
        <x:v>game_bird</x:v>
      </x:c>
      <x:c r="F12" s="46" t="str">
        <x:v>braised</x:v>
      </x:c>
      <x:c r="G12" s="46" t="str">
        <x:v>2,5-dimethylpyrazine</x:v>
      </x:c>
      <x:c r="H12" s="46" t="str">
        <x:v>123-32-0</x:v>
      </x:c>
      <x:c r="I12" s="46" t="str">
        <x:v>Bases</x:v>
      </x:c>
      <x:c r="J12" s="46" t="str">
        <x:v>measured_key_plus_source_attribution</x:v>
      </x:c>
      <x:c r="K12" s="46" t="str">
        <x:v>thermal_roasty_overlay</x:v>
      </x:c>
      <x:c r="L12" s="46" t="str">
        <x:v>Named shared key roasty compounds; condiments and crisping agent provided precursor sources.</x:v>
      </x:c>
      <x:c r="M12" s="46" t="str">
        <x:v>SRC-SQUAB-BRAISE-001</x:v>
      </x:c>
      <x:c r="N12" s="46" t="str">
        <x:v>https://pubmed.ncbi.nlm.nih.gov/42139957/</x:v>
      </x:c>
      <x:c r="O12" s="46" t="str">
        <x:v>eligible_braised_profile</x:v>
      </x:c>
      <x:c r="P12" s="46" t="str">
        <x:v>yes_condiment_crisping_process</x:v>
      </x:c>
      <x:c r="Q12" s="46" t="str"/>
    </x:row>
    <x:row r="13">
      <x:c r="A13" s="46" t="str">
        <x:v>PSP-012</x:v>
      </x:c>
      <x:c r="B13" s="46" t="str">
        <x:v>squab:braised</x:v>
      </x:c>
      <x:c r="C13" s="46" t="str">
        <x:v>pigeon / squab</x:v>
      </x:c>
      <x:c r="D13" s="46" t="str">
        <x:v>avian</x:v>
      </x:c>
      <x:c r="E13" s="46" t="str">
        <x:v>game_bird</x:v>
      </x:c>
      <x:c r="F13" s="46" t="str">
        <x:v>braised</x:v>
      </x:c>
      <x:c r="G13" s="46" t="str">
        <x:v>3-ethyl-2,5-dimethylpyrazine</x:v>
      </x:c>
      <x:c r="H13" s="46" t="str">
        <x:v>13360-65-1</x:v>
      </x:c>
      <x:c r="I13" s="46" t="str">
        <x:v>Bases</x:v>
      </x:c>
      <x:c r="J13" s="46" t="str">
        <x:v>measured_key_plus_source_attribution</x:v>
      </x:c>
      <x:c r="K13" s="46" t="str">
        <x:v>thermal_roasty_overlay</x:v>
      </x:c>
      <x:c r="L13" s="46" t="str">
        <x:v>Named shared key roasty compounds; condiments and crisping agent provided precursor sources.</x:v>
      </x:c>
      <x:c r="M13" s="46" t="str">
        <x:v>SRC-SQUAB-BRAISE-001</x:v>
      </x:c>
      <x:c r="N13" s="46" t="str">
        <x:v>https://pubmed.ncbi.nlm.nih.gov/42139957/</x:v>
      </x:c>
      <x:c r="O13" s="46" t="str">
        <x:v>eligible_braised_profile</x:v>
      </x:c>
      <x:c r="P13" s="46" t="str">
        <x:v>yes_condiment_crisping_process</x:v>
      </x:c>
      <x:c r="Q13" s="46" t="str"/>
    </x:row>
    <x:row r="14">
      <x:c r="A14" s="46" t="str">
        <x:v>PSP-013</x:v>
      </x:c>
      <x:c r="B14" s="46" t="str">
        <x:v>squab:braised</x:v>
      </x:c>
      <x:c r="C14" s="46" t="str">
        <x:v>pigeon / squab</x:v>
      </x:c>
      <x:c r="D14" s="46" t="str">
        <x:v>avian</x:v>
      </x:c>
      <x:c r="E14" s="46" t="str">
        <x:v>game_bird</x:v>
      </x:c>
      <x:c r="F14" s="46" t="str">
        <x:v>braised</x:v>
      </x:c>
      <x:c r="G14" s="46" t="str">
        <x:v>furfural</x:v>
      </x:c>
      <x:c r="H14" s="46" t="str">
        <x:v>98-01-1</x:v>
      </x:c>
      <x:c r="I14" s="46" t="str">
        <x:v>Furans</x:v>
      </x:c>
      <x:c r="J14" s="46" t="str">
        <x:v>measured_key_plus_source_attribution</x:v>
      </x:c>
      <x:c r="K14" s="46" t="str">
        <x:v>caramel_sweet_overlay</x:v>
      </x:c>
      <x:c r="L14" s="46" t="str">
        <x:v>Named shared key caramel-sweet compounds; condiments and crisping agent provided precursor sources.</x:v>
      </x:c>
      <x:c r="M14" s="46" t="str">
        <x:v>SRC-SQUAB-BRAISE-001</x:v>
      </x:c>
      <x:c r="N14" s="46" t="str">
        <x:v>https://pubmed.ncbi.nlm.nih.gov/42139957/</x:v>
      </x:c>
      <x:c r="O14" s="46" t="str">
        <x:v>eligible_braised_profile</x:v>
      </x:c>
      <x:c r="P14" s="46" t="str">
        <x:v>yes_condiment_crisping_process</x:v>
      </x:c>
      <x:c r="Q14" s="46" t="str"/>
    </x:row>
    <x:row r="15">
      <x:c r="A15" s="46" t="str">
        <x:v>PSP-014</x:v>
      </x:c>
      <x:c r="B15" s="46" t="str">
        <x:v>squab:braised</x:v>
      </x:c>
      <x:c r="C15" s="46" t="str">
        <x:v>pigeon / squab</x:v>
      </x:c>
      <x:c r="D15" s="46" t="str">
        <x:v>avian</x:v>
      </x:c>
      <x:c r="E15" s="46" t="str">
        <x:v>game_bird</x:v>
      </x:c>
      <x:c r="F15" s="46" t="str">
        <x:v>braised</x:v>
      </x:c>
      <x:c r="G15" s="46" t="str">
        <x:v>maltol</x:v>
      </x:c>
      <x:c r="H15" s="46" t="str">
        <x:v>118-71-8</x:v>
      </x:c>
      <x:c r="I15" s="46" t="str">
        <x:v>(Ep)oxides, pyrans, coumarins</x:v>
      </x:c>
      <x:c r="J15" s="46" t="str">
        <x:v>measured_key_plus_source_attribution</x:v>
      </x:c>
      <x:c r="K15" s="46" t="str">
        <x:v>caramel_sweet_overlay</x:v>
      </x:c>
      <x:c r="L15" s="46" t="str">
        <x:v>Named shared key caramel-sweet compounds; condiments and crisping agent provided precursor sources.</x:v>
      </x:c>
      <x:c r="M15" s="46" t="str">
        <x:v>SRC-SQUAB-BRAISE-001</x:v>
      </x:c>
      <x:c r="N15" s="46" t="str">
        <x:v>https://pubmed.ncbi.nlm.nih.gov/42139957/</x:v>
      </x:c>
      <x:c r="O15" s="46" t="str">
        <x:v>eligible_braised_profile</x:v>
      </x:c>
      <x:c r="P15" s="46" t="str">
        <x:v>yes_condiment_crisping_process</x:v>
      </x:c>
      <x:c r="Q15" s="46" t="str"/>
    </x:row>
    <x:row r="16">
      <x:c r="A16" s="46" t="str">
        <x:v>PSP-015</x:v>
      </x:c>
      <x:c r="B16" s="46" t="str">
        <x:v>squab:braised</x:v>
      </x:c>
      <x:c r="C16" s="46" t="str">
        <x:v>pigeon / squab</x:v>
      </x:c>
      <x:c r="D16" s="46" t="str">
        <x:v>avian</x:v>
      </x:c>
      <x:c r="E16" s="46" t="str">
        <x:v>game_bird</x:v>
      </x:c>
      <x:c r="F16" s="46" t="str">
        <x:v>braised</x:v>
      </x:c>
      <x:c r="G16" s="46" t="str">
        <x:v>terpinen-4-ol</x:v>
      </x:c>
      <x:c r="H16" s="46" t="str">
        <x:v>562-74-3</x:v>
      </x:c>
      <x:c r="I16" s="46" t="str">
        <x:v>Alcohols</x:v>
      </x:c>
      <x:c r="J16" s="46" t="str">
        <x:v>measured_key_plus_source_attribution</x:v>
      </x:c>
      <x:c r="K16" s="46" t="str">
        <x:v>introduced_spice_overlay</x:v>
      </x:c>
      <x:c r="L16" s="46" t="str">
        <x:v>Named shared key plant/spice aroma compounds supplied by spices and strongly contributing to spiced-braised notes.</x:v>
      </x:c>
      <x:c r="M16" s="46" t="str">
        <x:v>SRC-SQUAB-BRAISE-001</x:v>
      </x:c>
      <x:c r="N16" s="46" t="str">
        <x:v>https://pubmed.ncbi.nlm.nih.gov/42139957/</x:v>
      </x:c>
      <x:c r="O16" s="46" t="str">
        <x:v>eligible_braised_profile_but_exclude_from_native_species_core</x:v>
      </x:c>
      <x:c r="P16" s="46" t="str">
        <x:v>yes_spice_input</x:v>
      </x:c>
      <x:c r="Q16" s="46" t="str"/>
    </x:row>
    <x:row r="17">
      <x:c r="A17" s="46" t="str">
        <x:v>PSP-016</x:v>
      </x:c>
      <x:c r="B17" s="46" t="str">
        <x:v>squab:braised</x:v>
      </x:c>
      <x:c r="C17" s="46" t="str">
        <x:v>pigeon / squab</x:v>
      </x:c>
      <x:c r="D17" s="46" t="str">
        <x:v>avian</x:v>
      </x:c>
      <x:c r="E17" s="46" t="str">
        <x:v>game_bird</x:v>
      </x:c>
      <x:c r="F17" s="46" t="str">
        <x:v>braised</x:v>
      </x:c>
      <x:c r="G17" s="46" t="str">
        <x:v>o-cymene</x:v>
      </x:c>
      <x:c r="H17" s="46" t="str">
        <x:v>527-84-4</x:v>
      </x:c>
      <x:c r="I17" s="46" t="str">
        <x:v>Hydrocarbons</x:v>
      </x:c>
      <x:c r="J17" s="46" t="str">
        <x:v>measured_key_plus_source_attribution</x:v>
      </x:c>
      <x:c r="K17" s="46" t="str">
        <x:v>introduced_spice_overlay</x:v>
      </x:c>
      <x:c r="L17" s="46" t="str">
        <x:v>Named shared key plant/spice aroma compounds supplied by spices and strongly contributing to spiced-braised notes.</x:v>
      </x:c>
      <x:c r="M17" s="46" t="str">
        <x:v>SRC-SQUAB-BRAISE-001</x:v>
      </x:c>
      <x:c r="N17" s="46" t="str">
        <x:v>https://pubmed.ncbi.nlm.nih.gov/42139957/</x:v>
      </x:c>
      <x:c r="O17" s="46" t="str">
        <x:v>eligible_braised_profile_but_exclude_from_native_species_core</x:v>
      </x:c>
      <x:c r="P17" s="46" t="str">
        <x:v>yes_spice_input</x:v>
      </x:c>
      <x:c r="Q17" s="46" t="str"/>
    </x:row>
    <x:row r="18">
      <x:c r="A18" s="46" t="str">
        <x:v>PSP-017</x:v>
      </x:c>
      <x:c r="B18" s="46" t="str">
        <x:v>squab:braised</x:v>
      </x:c>
      <x:c r="C18" s="46" t="str">
        <x:v>pigeon / squab</x:v>
      </x:c>
      <x:c r="D18" s="46" t="str">
        <x:v>avian</x:v>
      </x:c>
      <x:c r="E18" s="46" t="str">
        <x:v>game_bird</x:v>
      </x:c>
      <x:c r="F18" s="46" t="str">
        <x:v>braised</x:v>
      </x:c>
      <x:c r="G18" s="46" t="str">
        <x:v>D-limonene</x:v>
      </x:c>
      <x:c r="H18" s="46" t="str">
        <x:v>5989-27-5</x:v>
      </x:c>
      <x:c r="I18" s="46" t="str">
        <x:v>Hydrocarbons</x:v>
      </x:c>
      <x:c r="J18" s="46" t="str">
        <x:v>measured_key_plus_source_attribution</x:v>
      </x:c>
      <x:c r="K18" s="46" t="str">
        <x:v>introduced_spice_overlay</x:v>
      </x:c>
      <x:c r="L18" s="46" t="str">
        <x:v>Named shared key plant/spice aroma compounds supplied by spices and strongly contributing to spiced-braised notes.</x:v>
      </x:c>
      <x:c r="M18" s="46" t="str">
        <x:v>SRC-SQUAB-BRAISE-001</x:v>
      </x:c>
      <x:c r="N18" s="46" t="str">
        <x:v>https://pubmed.ncbi.nlm.nih.gov/42139957/</x:v>
      </x:c>
      <x:c r="O18" s="46" t="str">
        <x:v>eligible_braised_profile_but_exclude_from_native_species_core</x:v>
      </x:c>
      <x:c r="P18" s="46" t="str">
        <x:v>yes_spice_input</x:v>
      </x:c>
      <x:c r="Q18" s="46" t="str"/>
    </x:row>
    <x:row r="19">
      <x:c r="A19" s="46" t="str">
        <x:v>PSP-018</x:v>
      </x:c>
      <x:c r="B19" s="46" t="str">
        <x:v>squab:braised</x:v>
      </x:c>
      <x:c r="C19" s="46" t="str">
        <x:v>pigeon / squab</x:v>
      </x:c>
      <x:c r="D19" s="46" t="str">
        <x:v>avian</x:v>
      </x:c>
      <x:c r="E19" s="46" t="str">
        <x:v>game_bird</x:v>
      </x:c>
      <x:c r="F19" s="46" t="str">
        <x:v>braised</x:v>
      </x:c>
      <x:c r="G19" s="46" t="str">
        <x:v>eucalyptol</x:v>
      </x:c>
      <x:c r="H19" s="46" t="str">
        <x:v>470-82-6</x:v>
      </x:c>
      <x:c r="I19" s="46" t="str">
        <x:v>Ethers</x:v>
      </x:c>
      <x:c r="J19" s="46" t="str">
        <x:v>measured_key_plus_source_attribution</x:v>
      </x:c>
      <x:c r="K19" s="46" t="str">
        <x:v>introduced_spice_overlay</x:v>
      </x:c>
      <x:c r="L19" s="46" t="str">
        <x:v>Named shared key plant/spice aroma compounds supplied by spices and strongly contributing to spiced-braised notes.</x:v>
      </x:c>
      <x:c r="M19" s="46" t="str">
        <x:v>SRC-SQUAB-BRAISE-001</x:v>
      </x:c>
      <x:c r="N19" s="46" t="str">
        <x:v>https://pubmed.ncbi.nlm.nih.gov/42139957/</x:v>
      </x:c>
      <x:c r="O19" s="46" t="str">
        <x:v>eligible_braised_profile_but_exclude_from_native_species_core</x:v>
      </x:c>
      <x:c r="P19" s="46" t="str">
        <x:v>yes_spice_input</x:v>
      </x:c>
      <x:c r="Q19" s="46" t="str"/>
    </x:row>
    <x:row r="20">
      <x:c r="A20" s="46" t="str">
        <x:v>PSP-019</x:v>
      </x:c>
      <x:c r="B20" s="46" t="str">
        <x:v>squab:braised</x:v>
      </x:c>
      <x:c r="C20" s="46" t="str">
        <x:v>pigeon / squab</x:v>
      </x:c>
      <x:c r="D20" s="46" t="str">
        <x:v>avian</x:v>
      </x:c>
      <x:c r="E20" s="46" t="str">
        <x:v>game_bird</x:v>
      </x:c>
      <x:c r="F20" s="46" t="str">
        <x:v>braised</x:v>
      </x:c>
      <x:c r="G20" s="46" t="str">
        <x:v>anethole</x:v>
      </x:c>
      <x:c r="H20" s="46" t="str">
        <x:v>104-46-1</x:v>
      </x:c>
      <x:c r="I20" s="46" t="str">
        <x:v>Ethers</x:v>
      </x:c>
      <x:c r="J20" s="46" t="str">
        <x:v>measured_key_plus_source_attribution</x:v>
      </x:c>
      <x:c r="K20" s="46" t="str">
        <x:v>introduced_spice_overlay</x:v>
      </x:c>
      <x:c r="L20" s="46" t="str">
        <x:v>Named shared key plant/spice aroma compounds supplied by spices and strongly contributing to spiced-braised notes.</x:v>
      </x:c>
      <x:c r="M20" s="46" t="str">
        <x:v>SRC-SQUAB-BRAISE-001</x:v>
      </x:c>
      <x:c r="N20" s="46" t="str">
        <x:v>https://pubmed.ncbi.nlm.nih.gov/42139957/</x:v>
      </x:c>
      <x:c r="O20" s="46" t="str">
        <x:v>eligible_braised_profile_but_exclude_from_native_species_core</x:v>
      </x:c>
      <x:c r="P20" s="46" t="str">
        <x:v>yes_spice_input</x:v>
      </x:c>
      <x:c r="Q20" s="46" t="str"/>
    </x:row>
    <x:row r="21">
      <x:c r="A21" s="46" t="str">
        <x:v>PSP-020</x:v>
      </x:c>
      <x:c r="B21" s="46" t="str">
        <x:v>pigeon:roasted</x:v>
      </x:c>
      <x:c r="C21" s="46" t="str">
        <x:v>pigeon / squab</x:v>
      </x:c>
      <x:c r="D21" s="46" t="str">
        <x:v>avian</x:v>
      </x:c>
      <x:c r="E21" s="46" t="str">
        <x:v>game_bird</x:v>
      </x:c>
      <x:c r="F21" s="46" t="str">
        <x:v>roasted</x:v>
      </x:c>
      <x:c r="G21" s="46" t="str">
        <x:v>5-methyl-2,3-diethylpyrazine</x:v>
      </x:c>
      <x:c r="H21" s="46" t="str">
        <x:v>18138-04-0</x:v>
      </x:c>
      <x:c r="I21" s="46" t="str">
        <x:v>Bases</x:v>
      </x:c>
      <x:c r="J21" s="46" t="str">
        <x:v>measured_key</x:v>
      </x:c>
      <x:c r="K21" s="46" t="str">
        <x:v>explicit_named_roasty_key</x:v>
      </x:c>
      <x:c r="L21" s="46" t="str">
        <x:v>One of 18 key aroma compounds identified by GC-O and OAV in circulating non-fried roasted pigeons; pyrazines were important roasty compounds.</x:v>
      </x:c>
      <x:c r="M21" s="46" t="str">
        <x:v>SRC-PIGEON-ROAST-001</x:v>
      </x:c>
      <x:c r="N21" s="46" t="str">
        <x:v>https://pubmed.ncbi.nlm.nih.gov/38870809/</x:v>
      </x:c>
      <x:c r="O21" s="46" t="str">
        <x:v>eligible_roasted_profile_named_subset</x:v>
      </x:c>
      <x:c r="P21" s="46" t="str">
        <x:v>no_recipe_input_identified</x:v>
      </x:c>
      <x:c r="Q21" s="46" t="str">
        <x:v>Accessible primary record names only this one of the 18 key compounds. The other 17 are deliberately not reconstructed from secondary sources.</x:v>
      </x:c>
    </x:row>
    <x:row r="22">
      <x:c r="A22" s="46"/>
      <x:c r="B22" s="46"/>
      <x:c r="C22" s="46"/>
      <x:c r="D22" s="46"/>
      <x:c r="E22" s="46"/>
      <x:c r="F22" s="46"/>
      <x:c r="G22" s="46"/>
      <x:c r="H22" s="46"/>
      <x:c r="I22" s="46"/>
      <x:c r="J22" s="46"/>
      <x:c r="K22" s="46"/>
      <x:c r="L22" s="46"/>
      <x:c r="M22" s="46"/>
      <x:c r="N22" s="46"/>
      <x:c r="O22" s="46"/>
      <x:c r="P22" s="46"/>
      <x:c r="Q22" s="46"/>
    </x:row>
    <x:row r="23">
      <x:c r="A23" s="46"/>
      <x:c r="B23" s="46"/>
      <x:c r="C23" s="46"/>
      <x:c r="D23" s="46"/>
      <x:c r="E23" s="46"/>
      <x:c r="F23" s="46"/>
      <x:c r="G23" s="46"/>
      <x:c r="H23" s="46"/>
      <x:c r="I23" s="46"/>
      <x:c r="J23" s="46"/>
      <x:c r="K23" s="46"/>
      <x:c r="L23" s="46"/>
      <x:c r="M23" s="46"/>
      <x:c r="N23" s="46"/>
      <x:c r="O23" s="46"/>
      <x:c r="P23" s="46"/>
      <x:c r="Q23" s="46"/>
    </x:row>
    <x:row r="24">
      <x:c r="A24" s="46"/>
      <x:c r="B24" s="46"/>
      <x:c r="C24" s="46"/>
      <x:c r="D24" s="46"/>
      <x:c r="E24" s="46"/>
      <x:c r="F24" s="46"/>
      <x:c r="G24" s="46"/>
      <x:c r="H24" s="46"/>
      <x:c r="I24" s="46"/>
      <x:c r="J24" s="46"/>
      <x:c r="K24" s="46"/>
      <x:c r="L24" s="46"/>
      <x:c r="M24" s="46"/>
      <x:c r="N24" s="46"/>
      <x:c r="O24" s="46"/>
      <x:c r="P24" s="46"/>
      <x:c r="Q24" s="46"/>
    </x:row>
    <x:row r="25">
      <x:c r="A25" s="46"/>
      <x:c r="B25" s="46"/>
      <x:c r="C25" s="46"/>
      <x:c r="D25" s="46"/>
      <x:c r="E25" s="46"/>
      <x:c r="F25" s="46"/>
      <x:c r="G25" s="46"/>
      <x:c r="H25" s="46"/>
      <x:c r="I25" s="46"/>
      <x:c r="J25" s="46"/>
      <x:c r="K25" s="46"/>
      <x:c r="L25" s="46"/>
      <x:c r="M25" s="46"/>
      <x:c r="N25" s="46"/>
      <x:c r="O25" s="46"/>
      <x:c r="P25" s="46"/>
      <x:c r="Q25" s="46"/>
    </x:row>
    <x:row r="26">
      <x:c r="A26" s="46"/>
      <x:c r="B26" s="46"/>
      <x:c r="C26" s="46"/>
      <x:c r="D26" s="46"/>
      <x:c r="E26" s="46"/>
      <x:c r="F26" s="46"/>
      <x:c r="G26" s="46"/>
      <x:c r="H26" s="46"/>
      <x:c r="I26" s="46"/>
      <x:c r="J26" s="46"/>
      <x:c r="K26" s="46"/>
      <x:c r="L26" s="46"/>
      <x:c r="M26" s="46"/>
      <x:c r="N26" s="46"/>
      <x:c r="O26" s="46"/>
      <x:c r="P26" s="46"/>
      <x:c r="Q26" s="46"/>
    </x:row>
    <x:row r="27">
      <x:c r="A27" s="46"/>
      <x:c r="B27" s="46"/>
      <x:c r="C27" s="46"/>
      <x:c r="D27" s="46"/>
      <x:c r="E27" s="46"/>
      <x:c r="F27" s="46"/>
      <x:c r="G27" s="46"/>
      <x:c r="H27" s="46"/>
      <x:c r="I27" s="46"/>
      <x:c r="J27" s="46"/>
      <x:c r="K27" s="46"/>
      <x:c r="L27" s="46"/>
      <x:c r="M27" s="46"/>
      <x:c r="N27" s="46"/>
      <x:c r="O27" s="46"/>
      <x:c r="P27" s="46"/>
      <x:c r="Q27" s="46"/>
    </x:row>
    <x:row r="28">
      <x:c r="A28" s="46"/>
      <x:c r="B28" s="46"/>
      <x:c r="C28" s="46"/>
      <x:c r="D28" s="46"/>
      <x:c r="E28" s="46"/>
      <x:c r="F28" s="46"/>
      <x:c r="G28" s="46"/>
      <x:c r="H28" s="46"/>
      <x:c r="I28" s="46"/>
      <x:c r="J28" s="46"/>
      <x:c r="K28" s="46"/>
      <x:c r="L28" s="46"/>
      <x:c r="M28" s="46"/>
      <x:c r="N28" s="46"/>
      <x:c r="O28" s="46"/>
      <x:c r="P28" s="46"/>
      <x:c r="Q28" s="46"/>
    </x:row>
    <x:row r="29">
      <x:c r="A29" s="46"/>
      <x:c r="B29" s="46"/>
      <x:c r="C29" s="46"/>
      <x:c r="D29" s="46"/>
      <x:c r="E29" s="46"/>
      <x:c r="F29" s="46"/>
      <x:c r="G29" s="46"/>
      <x:c r="H29" s="46"/>
      <x:c r="I29" s="46"/>
      <x:c r="J29" s="46"/>
      <x:c r="K29" s="46"/>
      <x:c r="L29" s="46"/>
      <x:c r="M29" s="46"/>
      <x:c r="N29" s="46"/>
      <x:c r="O29" s="46"/>
      <x:c r="P29" s="46"/>
      <x:c r="Q29" s="46"/>
    </x:row>
    <x:row r="30">
      <x:c r="A30" s="46"/>
      <x:c r="B30" s="46"/>
      <x:c r="C30" s="46"/>
      <x:c r="D30" s="46"/>
      <x:c r="E30" s="46"/>
      <x:c r="F30" s="46"/>
      <x:c r="G30" s="46"/>
      <x:c r="H30" s="46"/>
      <x:c r="I30" s="46"/>
      <x:c r="J30" s="46"/>
      <x:c r="K30" s="46"/>
      <x:c r="L30" s="46"/>
      <x:c r="M30" s="46"/>
      <x:c r="N30" s="46"/>
      <x:c r="O30" s="46"/>
      <x:c r="P30" s="46"/>
      <x:c r="Q30" s="46"/>
    </x:row>
    <x:row r="31">
      <x:c r="A31" s="46"/>
      <x:c r="B31" s="46"/>
      <x:c r="C31" s="46"/>
      <x:c r="D31" s="46"/>
      <x:c r="E31" s="46"/>
      <x:c r="F31" s="46"/>
      <x:c r="G31" s="46"/>
      <x:c r="H31" s="46"/>
      <x:c r="I31" s="46"/>
      <x:c r="J31" s="46"/>
      <x:c r="K31" s="46"/>
      <x:c r="L31" s="46"/>
      <x:c r="M31" s="46"/>
      <x:c r="N31" s="46"/>
      <x:c r="O31" s="46"/>
      <x:c r="P31" s="46"/>
      <x:c r="Q31" s="46"/>
    </x:row>
    <x:row r="32">
      <x:c r="A32" s="46"/>
      <x:c r="B32" s="46"/>
      <x:c r="C32" s="46"/>
      <x:c r="D32" s="46"/>
      <x:c r="E32" s="46"/>
      <x:c r="F32" s="46"/>
      <x:c r="G32" s="46"/>
      <x:c r="H32" s="46"/>
      <x:c r="I32" s="46"/>
      <x:c r="J32" s="46"/>
      <x:c r="K32" s="46"/>
      <x:c r="L32" s="46"/>
      <x:c r="M32" s="46"/>
      <x:c r="N32" s="46"/>
      <x:c r="O32" s="46"/>
      <x:c r="P32" s="46"/>
      <x:c r="Q32" s="46"/>
    </x:row>
    <x:row r="33">
      <x:c r="A33" s="46"/>
      <x:c r="B33" s="46"/>
      <x:c r="C33" s="46"/>
      <x:c r="D33" s="46"/>
      <x:c r="E33" s="46"/>
      <x:c r="F33" s="46"/>
      <x:c r="G33" s="46"/>
      <x:c r="H33" s="46"/>
      <x:c r="I33" s="46"/>
      <x:c r="J33" s="46"/>
      <x:c r="K33" s="46"/>
      <x:c r="L33" s="46"/>
      <x:c r="M33" s="46"/>
      <x:c r="N33" s="46"/>
      <x:c r="O33" s="46"/>
      <x:c r="P33" s="46"/>
      <x:c r="Q33" s="46"/>
    </x:row>
    <x:row r="34">
      <x:c r="A34" s="46"/>
      <x:c r="B34" s="46"/>
      <x:c r="C34" s="46"/>
      <x:c r="D34" s="46"/>
      <x:c r="E34" s="46"/>
      <x:c r="F34" s="46"/>
      <x:c r="G34" s="46"/>
      <x:c r="H34" s="46"/>
      <x:c r="I34" s="46"/>
      <x:c r="J34" s="46"/>
      <x:c r="K34" s="46"/>
      <x:c r="L34" s="46"/>
      <x:c r="M34" s="46"/>
      <x:c r="N34" s="46"/>
      <x:c r="O34" s="46"/>
      <x:c r="P34" s="46"/>
      <x:c r="Q34" s="46"/>
    </x:row>
    <x:row r="35">
      <x:c r="A35" s="46"/>
      <x:c r="B35" s="46"/>
      <x:c r="C35" s="46"/>
      <x:c r="D35" s="46"/>
      <x:c r="E35" s="46"/>
      <x:c r="F35" s="46"/>
      <x:c r="G35" s="46"/>
      <x:c r="H35" s="46"/>
      <x:c r="I35" s="46"/>
      <x:c r="J35" s="46"/>
      <x:c r="K35" s="46"/>
      <x:c r="L35" s="46"/>
      <x:c r="M35" s="46"/>
      <x:c r="N35" s="46"/>
      <x:c r="O35" s="46"/>
      <x:c r="P35" s="46"/>
      <x:c r="Q35" s="46"/>
    </x:row>
    <x:row r="36">
      <x:c r="A36" s="46"/>
      <x:c r="B36" s="46"/>
      <x:c r="C36" s="46"/>
      <x:c r="D36" s="46"/>
      <x:c r="E36" s="46"/>
      <x:c r="F36" s="46"/>
      <x:c r="G36" s="46"/>
      <x:c r="H36" s="46"/>
      <x:c r="I36" s="46"/>
      <x:c r="J36" s="46"/>
      <x:c r="K36" s="46"/>
      <x:c r="L36" s="46"/>
      <x:c r="M36" s="46"/>
      <x:c r="N36" s="46"/>
      <x:c r="O36" s="46"/>
      <x:c r="P36" s="46"/>
      <x:c r="Q36" s="46"/>
    </x:row>
    <x:row r="37">
      <x:c r="A37" s="46"/>
      <x:c r="B37" s="46"/>
      <x:c r="C37" s="46"/>
      <x:c r="D37" s="46"/>
      <x:c r="E37" s="46"/>
      <x:c r="F37" s="46"/>
      <x:c r="G37" s="46"/>
      <x:c r="H37" s="46"/>
      <x:c r="I37" s="46"/>
      <x:c r="J37" s="46"/>
      <x:c r="K37" s="46"/>
      <x:c r="L37" s="46"/>
      <x:c r="M37" s="46"/>
      <x:c r="N37" s="46"/>
      <x:c r="O37" s="46"/>
      <x:c r="P37" s="46"/>
      <x:c r="Q37" s="46"/>
    </x:row>
    <x:row r="38">
      <x:c r="A38" s="46"/>
      <x:c r="B38" s="46"/>
      <x:c r="C38" s="46"/>
      <x:c r="D38" s="46"/>
      <x:c r="E38" s="46"/>
      <x:c r="F38" s="46"/>
      <x:c r="G38" s="46"/>
      <x:c r="H38" s="46"/>
      <x:c r="I38" s="46"/>
      <x:c r="J38" s="46"/>
      <x:c r="K38" s="46"/>
      <x:c r="L38" s="46"/>
      <x:c r="M38" s="46"/>
      <x:c r="N38" s="46"/>
      <x:c r="O38" s="46"/>
      <x:c r="P38" s="46"/>
      <x:c r="Q38" s="46"/>
    </x:row>
    <x:row r="39">
      <x:c r="A39" s="46"/>
      <x:c r="B39" s="46"/>
      <x:c r="C39" s="46"/>
      <x:c r="D39" s="46"/>
      <x:c r="E39" s="46"/>
      <x:c r="F39" s="46"/>
      <x:c r="G39" s="46"/>
      <x:c r="H39" s="46"/>
      <x:c r="I39" s="46"/>
      <x:c r="J39" s="46"/>
      <x:c r="K39" s="46"/>
      <x:c r="L39" s="46"/>
      <x:c r="M39" s="46"/>
      <x:c r="N39" s="46"/>
      <x:c r="O39" s="46"/>
      <x:c r="P39" s="46"/>
      <x:c r="Q39" s="46"/>
    </x:row>
    <x:row r="40">
      <x:c r="A40" s="46"/>
      <x:c r="B40" s="46"/>
      <x:c r="C40" s="46"/>
      <x:c r="D40" s="46"/>
      <x:c r="E40" s="46"/>
      <x:c r="F40" s="46"/>
      <x:c r="G40" s="46"/>
      <x:c r="H40" s="46"/>
      <x:c r="I40" s="46"/>
      <x:c r="J40" s="46"/>
      <x:c r="K40" s="46"/>
      <x:c r="L40" s="46"/>
      <x:c r="M40" s="46"/>
      <x:c r="N40" s="46"/>
      <x:c r="O40" s="46"/>
      <x:c r="P40" s="46"/>
      <x:c r="Q40" s="46"/>
    </x:row>
    <x:row r="41">
      <x:c r="A41" s="46"/>
      <x:c r="B41" s="46"/>
      <x:c r="C41" s="46"/>
      <x:c r="D41" s="46"/>
      <x:c r="E41" s="46"/>
      <x:c r="F41" s="46"/>
      <x:c r="G41" s="46"/>
      <x:c r="H41" s="46"/>
      <x:c r="I41" s="46"/>
      <x:c r="J41" s="46"/>
      <x:c r="K41" s="46"/>
      <x:c r="L41" s="46"/>
      <x:c r="M41" s="46"/>
      <x:c r="N41" s="46"/>
      <x:c r="O41" s="46"/>
      <x:c r="P41" s="46"/>
      <x:c r="Q41" s="46"/>
    </x:row>
    <x:row r="42">
      <x:c r="A42" s="46"/>
      <x:c r="B42" s="46"/>
      <x:c r="C42" s="46"/>
      <x:c r="D42" s="46"/>
      <x:c r="E42" s="46"/>
      <x:c r="F42" s="46"/>
      <x:c r="G42" s="46"/>
      <x:c r="H42" s="46"/>
      <x:c r="I42" s="46"/>
      <x:c r="J42" s="46"/>
      <x:c r="K42" s="46"/>
      <x:c r="L42" s="46"/>
      <x:c r="M42" s="46"/>
      <x:c r="N42" s="46"/>
      <x:c r="O42" s="46"/>
      <x:c r="P42" s="46"/>
      <x:c r="Q42" s="46"/>
    </x:row>
    <x:row r="43">
      <x:c r="A43" s="46"/>
      <x:c r="B43" s="46"/>
      <x:c r="C43" s="46"/>
      <x:c r="D43" s="46"/>
      <x:c r="E43" s="46"/>
      <x:c r="F43" s="46"/>
      <x:c r="G43" s="46"/>
      <x:c r="H43" s="46"/>
      <x:c r="I43" s="46"/>
      <x:c r="J43" s="46"/>
      <x:c r="K43" s="46"/>
      <x:c r="L43" s="46"/>
      <x:c r="M43" s="46"/>
      <x:c r="N43" s="46"/>
      <x:c r="O43" s="46"/>
      <x:c r="P43" s="46"/>
      <x:c r="Q43" s="46"/>
    </x:row>
    <x:row r="44">
      <x:c r="A44" s="46"/>
      <x:c r="B44" s="46"/>
      <x:c r="C44" s="46"/>
      <x:c r="D44" s="46"/>
      <x:c r="E44" s="46"/>
      <x:c r="F44" s="46"/>
      <x:c r="G44" s="46"/>
      <x:c r="H44" s="46"/>
      <x:c r="I44" s="46"/>
      <x:c r="J44" s="46"/>
      <x:c r="K44" s="46"/>
      <x:c r="L44" s="46"/>
      <x:c r="M44" s="46"/>
      <x:c r="N44" s="46"/>
      <x:c r="O44" s="46"/>
      <x:c r="P44" s="46"/>
      <x:c r="Q44" s="46"/>
    </x:row>
    <x:row r="45">
      <x:c r="A45" s="46"/>
      <x:c r="B45" s="46"/>
      <x:c r="C45" s="46"/>
      <x:c r="D45" s="46"/>
      <x:c r="E45" s="46"/>
      <x:c r="F45" s="46"/>
      <x:c r="G45" s="46"/>
      <x:c r="H45" s="46"/>
      <x:c r="I45" s="46"/>
      <x:c r="J45" s="46"/>
      <x:c r="K45" s="46"/>
      <x:c r="L45" s="46"/>
      <x:c r="M45" s="46"/>
      <x:c r="N45" s="46"/>
      <x:c r="O45" s="46"/>
      <x:c r="P45" s="46"/>
      <x:c r="Q45" s="46"/>
    </x:row>
    <x:row r="46">
      <x:c r="A46" s="46"/>
      <x:c r="B46" s="46"/>
      <x:c r="C46" s="46"/>
      <x:c r="D46" s="46"/>
      <x:c r="E46" s="46"/>
      <x:c r="F46" s="46"/>
      <x:c r="G46" s="46"/>
      <x:c r="H46" s="46"/>
      <x:c r="I46" s="46"/>
      <x:c r="J46" s="46"/>
      <x:c r="K46" s="46"/>
      <x:c r="L46" s="46"/>
      <x:c r="M46" s="46"/>
      <x:c r="N46" s="46"/>
      <x:c r="O46" s="46"/>
      <x:c r="P46" s="46"/>
      <x:c r="Q46" s="46"/>
    </x:row>
    <x:row r="47">
      <x:c r="A47" s="46"/>
      <x:c r="B47" s="46"/>
      <x:c r="C47" s="46"/>
      <x:c r="D47" s="46"/>
      <x:c r="E47" s="46"/>
      <x:c r="F47" s="46"/>
      <x:c r="G47" s="46"/>
      <x:c r="H47" s="46"/>
      <x:c r="I47" s="46"/>
      <x:c r="J47" s="46"/>
      <x:c r="K47" s="46"/>
      <x:c r="L47" s="46"/>
      <x:c r="M47" s="46"/>
      <x:c r="N47" s="46"/>
      <x:c r="O47" s="46"/>
      <x:c r="P47" s="46"/>
      <x:c r="Q47" s="46"/>
    </x:row>
    <x:row r="48">
      <x:c r="A48" s="46"/>
      <x:c r="B48" s="46"/>
      <x:c r="C48" s="46"/>
      <x:c r="D48" s="46"/>
      <x:c r="E48" s="46"/>
      <x:c r="F48" s="46"/>
      <x:c r="G48" s="46"/>
      <x:c r="H48" s="46"/>
      <x:c r="I48" s="46"/>
      <x:c r="J48" s="46"/>
      <x:c r="K48" s="46"/>
      <x:c r="L48" s="46"/>
      <x:c r="M48" s="46"/>
      <x:c r="N48" s="46"/>
      <x:c r="O48" s="46"/>
      <x:c r="P48" s="46"/>
      <x:c r="Q48" s="46"/>
    </x:row>
    <x:row r="49">
      <x:c r="A49" s="46"/>
      <x:c r="B49" s="46"/>
      <x:c r="C49" s="46"/>
      <x:c r="D49" s="46"/>
      <x:c r="E49" s="46"/>
      <x:c r="F49" s="46"/>
      <x:c r="G49" s="46"/>
      <x:c r="H49" s="46"/>
      <x:c r="I49" s="46"/>
      <x:c r="J49" s="46"/>
      <x:c r="K49" s="46"/>
      <x:c r="L49" s="46"/>
      <x:c r="M49" s="46"/>
      <x:c r="N49" s="46"/>
      <x:c r="O49" s="46"/>
      <x:c r="P49" s="46"/>
      <x:c r="Q49" s="46"/>
    </x:row>
    <x:row r="50">
      <x:c r="A50" s="46"/>
      <x:c r="B50" s="46"/>
      <x:c r="C50" s="46"/>
      <x:c r="D50" s="46"/>
      <x:c r="E50" s="46"/>
      <x:c r="F50" s="46"/>
      <x:c r="G50" s="46"/>
      <x:c r="H50" s="46"/>
      <x:c r="I50" s="46"/>
      <x:c r="J50" s="46"/>
      <x:c r="K50" s="46"/>
      <x:c r="L50" s="46"/>
      <x:c r="M50" s="46"/>
      <x:c r="N50" s="46"/>
      <x:c r="O50" s="46"/>
      <x:c r="P50" s="46"/>
      <x:c r="Q50" s="46"/>
    </x:row>
    <x:row r="51">
      <x:c r="A51" s="46"/>
      <x:c r="B51" s="46"/>
      <x:c r="C51" s="46"/>
      <x:c r="D51" s="46"/>
      <x:c r="E51" s="46"/>
      <x:c r="F51" s="46"/>
      <x:c r="G51" s="46"/>
      <x:c r="H51" s="46"/>
      <x:c r="I51" s="46"/>
      <x:c r="J51" s="46"/>
      <x:c r="K51" s="46"/>
      <x:c r="L51" s="46"/>
      <x:c r="M51" s="46"/>
      <x:c r="N51" s="46"/>
      <x:c r="O51" s="46"/>
      <x:c r="P51" s="46"/>
      <x:c r="Q51" s="46"/>
    </x:row>
    <x:row r="52">
      <x:c r="A52" s="46"/>
      <x:c r="B52" s="46"/>
      <x:c r="C52" s="46"/>
      <x:c r="D52" s="46"/>
      <x:c r="E52" s="46"/>
      <x:c r="F52" s="46"/>
      <x:c r="G52" s="46"/>
      <x:c r="H52" s="46"/>
      <x:c r="I52" s="46"/>
      <x:c r="J52" s="46"/>
      <x:c r="K52" s="46"/>
      <x:c r="L52" s="46"/>
      <x:c r="M52" s="46"/>
      <x:c r="N52" s="46"/>
      <x:c r="O52" s="46"/>
      <x:c r="P52" s="46"/>
      <x:c r="Q52" s="46"/>
    </x:row>
    <x:row r="53">
      <x:c r="A53" s="46"/>
      <x:c r="B53" s="46"/>
      <x:c r="C53" s="46"/>
      <x:c r="D53" s="46"/>
      <x:c r="E53" s="46"/>
      <x:c r="F53" s="46"/>
      <x:c r="G53" s="46"/>
      <x:c r="H53" s="46"/>
      <x:c r="I53" s="46"/>
      <x:c r="J53" s="46"/>
      <x:c r="K53" s="46"/>
      <x:c r="L53" s="46"/>
      <x:c r="M53" s="46"/>
      <x:c r="N53" s="46"/>
      <x:c r="O53" s="46"/>
      <x:c r="P53" s="46"/>
      <x:c r="Q53" s="46"/>
    </x:row>
    <x:row r="54">
      <x:c r="A54" s="46"/>
      <x:c r="B54" s="46"/>
      <x:c r="C54" s="46"/>
      <x:c r="D54" s="46"/>
      <x:c r="E54" s="46"/>
      <x:c r="F54" s="46"/>
      <x:c r="G54" s="46"/>
      <x:c r="H54" s="46"/>
      <x:c r="I54" s="46"/>
      <x:c r="J54" s="46"/>
      <x:c r="K54" s="46"/>
      <x:c r="L54" s="46"/>
      <x:c r="M54" s="46"/>
      <x:c r="N54" s="46"/>
      <x:c r="O54" s="46"/>
      <x:c r="P54" s="46"/>
      <x:c r="Q54" s="46"/>
    </x:row>
    <x:row r="55">
      <x:c r="A55" s="46"/>
      <x:c r="B55" s="46"/>
      <x:c r="C55" s="46"/>
      <x:c r="D55" s="46"/>
      <x:c r="E55" s="46"/>
      <x:c r="F55" s="46"/>
      <x:c r="G55" s="46"/>
      <x:c r="H55" s="46"/>
      <x:c r="I55" s="46"/>
      <x:c r="J55" s="46"/>
      <x:c r="K55" s="46"/>
      <x:c r="L55" s="46"/>
      <x:c r="M55" s="46"/>
      <x:c r="N55" s="46"/>
      <x:c r="O55" s="46"/>
      <x:c r="P55" s="46"/>
      <x:c r="Q55" s="46"/>
    </x:row>
    <x:row r="56">
      <x:c r="A56" s="46"/>
      <x:c r="B56" s="46"/>
      <x:c r="C56" s="46"/>
      <x:c r="D56" s="46"/>
      <x:c r="E56" s="46"/>
      <x:c r="F56" s="46"/>
      <x:c r="G56" s="46"/>
      <x:c r="H56" s="46"/>
      <x:c r="I56" s="46"/>
      <x:c r="J56" s="46"/>
      <x:c r="K56" s="46"/>
      <x:c r="L56" s="46"/>
      <x:c r="M56" s="46"/>
      <x:c r="N56" s="46"/>
      <x:c r="O56" s="46"/>
      <x:c r="P56" s="46"/>
      <x:c r="Q56" s="46"/>
    </x:row>
    <x:row r="57">
      <x:c r="A57" s="46"/>
      <x:c r="B57" s="46"/>
      <x:c r="C57" s="46"/>
      <x:c r="D57" s="46"/>
      <x:c r="E57" s="46"/>
      <x:c r="F57" s="46"/>
      <x:c r="G57" s="46"/>
      <x:c r="H57" s="46"/>
      <x:c r="I57" s="46"/>
      <x:c r="J57" s="46"/>
      <x:c r="K57" s="46"/>
      <x:c r="L57" s="46"/>
      <x:c r="M57" s="46"/>
      <x:c r="N57" s="46"/>
      <x:c r="O57" s="46"/>
      <x:c r="P57" s="46"/>
      <x:c r="Q57" s="46"/>
    </x:row>
    <x:row r="58">
      <x:c r="A58" s="46"/>
      <x:c r="B58" s="46"/>
      <x:c r="C58" s="46"/>
      <x:c r="D58" s="46"/>
      <x:c r="E58" s="46"/>
      <x:c r="F58" s="46"/>
      <x:c r="G58" s="46"/>
      <x:c r="H58" s="46"/>
      <x:c r="I58" s="46"/>
      <x:c r="J58" s="46"/>
      <x:c r="K58" s="46"/>
      <x:c r="L58" s="46"/>
      <x:c r="M58" s="46"/>
      <x:c r="N58" s="46"/>
      <x:c r="O58" s="46"/>
      <x:c r="P58" s="46"/>
      <x:c r="Q58" s="46"/>
    </x:row>
    <x:row r="59">
      <x:c r="A59" s="46"/>
      <x:c r="B59" s="46"/>
      <x:c r="C59" s="46"/>
      <x:c r="D59" s="46"/>
      <x:c r="E59" s="46"/>
      <x:c r="F59" s="46"/>
      <x:c r="G59" s="46"/>
      <x:c r="H59" s="46"/>
      <x:c r="I59" s="46"/>
      <x:c r="J59" s="46"/>
      <x:c r="K59" s="46"/>
      <x:c r="L59" s="46"/>
      <x:c r="M59" s="46"/>
      <x:c r="N59" s="46"/>
      <x:c r="O59" s="46"/>
      <x:c r="P59" s="46"/>
      <x:c r="Q59" s="46"/>
    </x:row>
    <x:row r="60">
      <x:c r="A60" s="46"/>
      <x:c r="B60" s="46"/>
      <x:c r="C60" s="46"/>
      <x:c r="D60" s="46"/>
      <x:c r="E60" s="46"/>
      <x:c r="F60" s="46"/>
      <x:c r="G60" s="46"/>
      <x:c r="H60" s="46"/>
      <x:c r="I60" s="46"/>
      <x:c r="J60" s="46"/>
      <x:c r="K60" s="46"/>
      <x:c r="L60" s="46"/>
      <x:c r="M60" s="46"/>
      <x:c r="N60" s="46"/>
      <x:c r="O60" s="46"/>
      <x:c r="P60" s="46"/>
      <x:c r="Q60" s="46"/>
    </x:row>
    <x:row r="61">
      <x:c r="A61" s="46"/>
      <x:c r="B61" s="46"/>
      <x:c r="C61" s="46"/>
      <x:c r="D61" s="46"/>
      <x:c r="E61" s="46"/>
      <x:c r="F61" s="46"/>
      <x:c r="G61" s="46"/>
      <x:c r="H61" s="46"/>
      <x:c r="I61" s="46"/>
      <x:c r="J61" s="46"/>
      <x:c r="K61" s="46"/>
      <x:c r="L61" s="46"/>
      <x:c r="M61" s="46"/>
      <x:c r="N61" s="46"/>
      <x:c r="O61" s="46"/>
      <x:c r="P61" s="46"/>
      <x:c r="Q61" s="46"/>
    </x:row>
    <x:row r="62">
      <x:c r="A62" s="46"/>
      <x:c r="B62" s="46"/>
      <x:c r="C62" s="46"/>
      <x:c r="D62" s="46"/>
      <x:c r="E62" s="46"/>
      <x:c r="F62" s="46"/>
      <x:c r="G62" s="46"/>
      <x:c r="H62" s="46"/>
      <x:c r="I62" s="46"/>
      <x:c r="J62" s="46"/>
      <x:c r="K62" s="46"/>
      <x:c r="L62" s="46"/>
      <x:c r="M62" s="46"/>
      <x:c r="N62" s="46"/>
      <x:c r="O62" s="46"/>
      <x:c r="P62" s="46"/>
      <x:c r="Q62" s="46"/>
    </x:row>
    <x:row r="63">
      <x:c r="A63" s="46"/>
      <x:c r="B63" s="46"/>
      <x:c r="C63" s="46"/>
      <x:c r="D63" s="46"/>
      <x:c r="E63" s="46"/>
      <x:c r="F63" s="46"/>
      <x:c r="G63" s="46"/>
      <x:c r="H63" s="46"/>
      <x:c r="I63" s="46"/>
      <x:c r="J63" s="46"/>
      <x:c r="K63" s="46"/>
      <x:c r="L63" s="46"/>
      <x:c r="M63" s="46"/>
      <x:c r="N63" s="46"/>
      <x:c r="O63" s="46"/>
      <x:c r="P63" s="46"/>
      <x:c r="Q63" s="46"/>
    </x:row>
    <x:row r="64">
      <x:c r="A64" s="46"/>
      <x:c r="B64" s="46"/>
      <x:c r="C64" s="46"/>
      <x:c r="D64" s="46"/>
      <x:c r="E64" s="46"/>
      <x:c r="F64" s="46"/>
      <x:c r="G64" s="46"/>
      <x:c r="H64" s="46"/>
      <x:c r="I64" s="46"/>
      <x:c r="J64" s="46"/>
      <x:c r="K64" s="46"/>
      <x:c r="L64" s="46"/>
      <x:c r="M64" s="46"/>
      <x:c r="N64" s="46"/>
      <x:c r="O64" s="46"/>
      <x:c r="P64" s="46"/>
      <x:c r="Q64" s="46"/>
    </x:row>
    <x:row r="65">
      <x:c r="A65" s="46"/>
      <x:c r="B65" s="46"/>
      <x:c r="C65" s="46"/>
      <x:c r="D65" s="46"/>
      <x:c r="E65" s="46"/>
      <x:c r="F65" s="46"/>
      <x:c r="G65" s="46"/>
      <x:c r="H65" s="46"/>
      <x:c r="I65" s="46"/>
      <x:c r="J65" s="46"/>
      <x:c r="K65" s="46"/>
      <x:c r="L65" s="46"/>
      <x:c r="M65" s="46"/>
      <x:c r="N65" s="46"/>
      <x:c r="O65" s="46"/>
      <x:c r="P65" s="46"/>
      <x:c r="Q65" s="46"/>
    </x:row>
    <x:row r="66">
      <x:c r="A66" s="46"/>
      <x:c r="B66" s="46"/>
      <x:c r="C66" s="46"/>
      <x:c r="D66" s="46"/>
      <x:c r="E66" s="46"/>
      <x:c r="F66" s="46"/>
      <x:c r="G66" s="46"/>
      <x:c r="H66" s="46"/>
      <x:c r="I66" s="46"/>
      <x:c r="J66" s="46"/>
      <x:c r="K66" s="46"/>
      <x:c r="L66" s="46"/>
      <x:c r="M66" s="46"/>
      <x:c r="N66" s="46"/>
      <x:c r="O66" s="46"/>
      <x:c r="P66" s="46"/>
      <x:c r="Q66" s="46"/>
    </x:row>
    <x:row r="67">
      <x:c r="A67" s="46"/>
      <x:c r="B67" s="46"/>
      <x:c r="C67" s="46"/>
      <x:c r="D67" s="46"/>
      <x:c r="E67" s="46"/>
      <x:c r="F67" s="46"/>
      <x:c r="G67" s="46"/>
      <x:c r="H67" s="46"/>
      <x:c r="I67" s="46"/>
      <x:c r="J67" s="46"/>
      <x:c r="K67" s="46"/>
      <x:c r="L67" s="46"/>
      <x:c r="M67" s="46"/>
      <x:c r="N67" s="46"/>
      <x:c r="O67" s="46"/>
      <x:c r="P67" s="46"/>
      <x:c r="Q67" s="46"/>
    </x:row>
    <x:row r="68">
      <x:c r="A68" s="46"/>
      <x:c r="B68" s="46"/>
      <x:c r="C68" s="46"/>
      <x:c r="D68" s="46"/>
      <x:c r="E68" s="46"/>
      <x:c r="F68" s="46"/>
      <x:c r="G68" s="46"/>
      <x:c r="H68" s="46"/>
      <x:c r="I68" s="46"/>
      <x:c r="J68" s="46"/>
      <x:c r="K68" s="46"/>
      <x:c r="L68" s="46"/>
      <x:c r="M68" s="46"/>
      <x:c r="N68" s="46"/>
      <x:c r="O68" s="46"/>
      <x:c r="P68" s="46"/>
      <x:c r="Q68" s="46"/>
    </x:row>
    <x:row r="69">
      <x:c r="A69" s="46"/>
      <x:c r="B69" s="46"/>
      <x:c r="C69" s="46"/>
      <x:c r="D69" s="46"/>
      <x:c r="E69" s="46"/>
      <x:c r="F69" s="46"/>
      <x:c r="G69" s="46"/>
      <x:c r="H69" s="46"/>
      <x:c r="I69" s="46"/>
      <x:c r="J69" s="46"/>
      <x:c r="K69" s="46"/>
      <x:c r="L69" s="46"/>
      <x:c r="M69" s="46"/>
      <x:c r="N69" s="46"/>
      <x:c r="O69" s="46"/>
      <x:c r="P69" s="46"/>
      <x:c r="Q69" s="46"/>
    </x:row>
    <x:row r="70">
      <x:c r="A70" s="46"/>
      <x:c r="B70" s="46"/>
      <x:c r="C70" s="46"/>
      <x:c r="D70" s="46"/>
      <x:c r="E70" s="46"/>
      <x:c r="F70" s="46"/>
      <x:c r="G70" s="46"/>
      <x:c r="H70" s="46"/>
      <x:c r="I70" s="46"/>
      <x:c r="J70" s="46"/>
      <x:c r="K70" s="46"/>
      <x:c r="L70" s="46"/>
      <x:c r="M70" s="46"/>
      <x:c r="N70" s="46"/>
      <x:c r="O70" s="46"/>
      <x:c r="P70" s="46"/>
      <x:c r="Q70" s="46"/>
    </x:row>
    <x:row r="71">
      <x:c r="A71" s="46"/>
      <x:c r="B71" s="46"/>
      <x:c r="C71" s="46"/>
      <x:c r="D71" s="46"/>
      <x:c r="E71" s="46"/>
      <x:c r="F71" s="46"/>
      <x:c r="G71" s="46"/>
      <x:c r="H71" s="46"/>
      <x:c r="I71" s="46"/>
      <x:c r="J71" s="46"/>
      <x:c r="K71" s="46"/>
      <x:c r="L71" s="46"/>
      <x:c r="M71" s="46"/>
      <x:c r="N71" s="46"/>
      <x:c r="O71" s="46"/>
      <x:c r="P71" s="46"/>
      <x:c r="Q71" s="46"/>
    </x:row>
    <x:row r="72">
      <x:c r="A72" s="46"/>
      <x:c r="B72" s="46"/>
      <x:c r="C72" s="46"/>
      <x:c r="D72" s="46"/>
      <x:c r="E72" s="46"/>
      <x:c r="F72" s="46"/>
      <x:c r="G72" s="46"/>
      <x:c r="H72" s="46"/>
      <x:c r="I72" s="46"/>
      <x:c r="J72" s="46"/>
      <x:c r="K72" s="46"/>
      <x:c r="L72" s="46"/>
      <x:c r="M72" s="46"/>
      <x:c r="N72" s="46"/>
      <x:c r="O72" s="46"/>
      <x:c r="P72" s="46"/>
      <x:c r="Q72" s="46"/>
    </x:row>
    <x:row r="73">
      <x:c r="A73" s="46"/>
      <x:c r="B73" s="46"/>
      <x:c r="C73" s="46"/>
      <x:c r="D73" s="46"/>
      <x:c r="E73" s="46"/>
      <x:c r="F73" s="46"/>
      <x:c r="G73" s="46"/>
      <x:c r="H73" s="46"/>
      <x:c r="I73" s="46"/>
      <x:c r="J73" s="46"/>
      <x:c r="K73" s="46"/>
      <x:c r="L73" s="46"/>
      <x:c r="M73" s="46"/>
      <x:c r="N73" s="46"/>
      <x:c r="O73" s="46"/>
      <x:c r="P73" s="46"/>
      <x:c r="Q73" s="46"/>
    </x:row>
    <x:row r="74">
      <x:c r="A74" s="46"/>
      <x:c r="B74" s="46"/>
      <x:c r="C74" s="46"/>
      <x:c r="D74" s="46"/>
      <x:c r="E74" s="46"/>
      <x:c r="F74" s="46"/>
      <x:c r="G74" s="46"/>
      <x:c r="H74" s="46"/>
      <x:c r="I74" s="46"/>
      <x:c r="J74" s="46"/>
      <x:c r="K74" s="46"/>
      <x:c r="L74" s="46"/>
      <x:c r="M74" s="46"/>
      <x:c r="N74" s="46"/>
      <x:c r="O74" s="46"/>
      <x:c r="P74" s="46"/>
      <x:c r="Q74" s="46"/>
    </x:row>
    <x:row r="75">
      <x:c r="A75" s="46"/>
      <x:c r="B75" s="46"/>
      <x:c r="C75" s="46"/>
      <x:c r="D75" s="46"/>
      <x:c r="E75" s="46"/>
      <x:c r="F75" s="46"/>
      <x:c r="G75" s="46"/>
      <x:c r="H75" s="46"/>
      <x:c r="I75" s="46"/>
      <x:c r="J75" s="46"/>
      <x:c r="K75" s="46"/>
      <x:c r="L75" s="46"/>
      <x:c r="M75" s="46"/>
      <x:c r="N75" s="46"/>
      <x:c r="O75" s="46"/>
      <x:c r="P75" s="46"/>
      <x:c r="Q75" s="46"/>
    </x:row>
    <x:row r="76">
      <x:c r="A76" s="46"/>
      <x:c r="B76" s="46"/>
      <x:c r="C76" s="46"/>
      <x:c r="D76" s="46"/>
      <x:c r="E76" s="46"/>
      <x:c r="F76" s="46"/>
      <x:c r="G76" s="46"/>
      <x:c r="H76" s="46"/>
      <x:c r="I76" s="46"/>
      <x:c r="J76" s="46"/>
      <x:c r="K76" s="46"/>
      <x:c r="L76" s="46"/>
      <x:c r="M76" s="46"/>
      <x:c r="N76" s="46"/>
      <x:c r="O76" s="46"/>
      <x:c r="P76" s="46"/>
      <x:c r="Q76" s="46"/>
    </x:row>
    <x:row r="77">
      <x:c r="A77" s="46"/>
      <x:c r="B77" s="46"/>
      <x:c r="C77" s="46"/>
      <x:c r="D77" s="46"/>
      <x:c r="E77" s="46"/>
      <x:c r="F77" s="46"/>
      <x:c r="G77" s="46"/>
      <x:c r="H77" s="46"/>
      <x:c r="I77" s="46"/>
      <x:c r="J77" s="46"/>
      <x:c r="K77" s="46"/>
      <x:c r="L77" s="46"/>
      <x:c r="M77" s="46"/>
      <x:c r="N77" s="46"/>
      <x:c r="O77" s="46"/>
      <x:c r="P77" s="46"/>
      <x:c r="Q77" s="46"/>
    </x:row>
    <x:row r="78">
      <x:c r="A78" s="46"/>
      <x:c r="B78" s="46"/>
      <x:c r="C78" s="46"/>
      <x:c r="D78" s="46"/>
      <x:c r="E78" s="46"/>
      <x:c r="F78" s="46"/>
      <x:c r="G78" s="46"/>
      <x:c r="H78" s="46"/>
      <x:c r="I78" s="46"/>
      <x:c r="J78" s="46"/>
      <x:c r="K78" s="46"/>
      <x:c r="L78" s="46"/>
      <x:c r="M78" s="46"/>
      <x:c r="N78" s="46"/>
      <x:c r="O78" s="46"/>
      <x:c r="P78" s="46"/>
      <x:c r="Q78" s="46"/>
    </x:row>
    <x:row r="79">
      <x:c r="A79" s="46"/>
      <x:c r="B79" s="46"/>
      <x:c r="C79" s="46"/>
      <x:c r="D79" s="46"/>
      <x:c r="E79" s="46"/>
      <x:c r="F79" s="46"/>
      <x:c r="G79" s="46"/>
      <x:c r="H79" s="46"/>
      <x:c r="I79" s="46"/>
      <x:c r="J79" s="46"/>
      <x:c r="K79" s="46"/>
      <x:c r="L79" s="46"/>
      <x:c r="M79" s="46"/>
      <x:c r="N79" s="46"/>
      <x:c r="O79" s="46"/>
      <x:c r="P79" s="46"/>
      <x:c r="Q79" s="46"/>
    </x:row>
    <x:row r="80">
      <x:c r="A80" s="46"/>
      <x:c r="B80" s="46"/>
      <x:c r="C80" s="46"/>
      <x:c r="D80" s="46"/>
      <x:c r="E80" s="46"/>
      <x:c r="F80" s="46"/>
      <x:c r="G80" s="46"/>
      <x:c r="H80" s="46"/>
      <x:c r="I80" s="46"/>
      <x:c r="J80" s="46"/>
      <x:c r="K80" s="46"/>
      <x:c r="L80" s="46"/>
      <x:c r="M80" s="46"/>
      <x:c r="N80" s="46"/>
      <x:c r="O80" s="46"/>
      <x:c r="P80" s="46"/>
      <x:c r="Q80" s="46"/>
    </x:row>
    <x:row r="81">
      <x:c r="A81" s="46"/>
      <x:c r="B81" s="46"/>
      <x:c r="C81" s="46"/>
      <x:c r="D81" s="46"/>
      <x:c r="E81" s="46"/>
      <x:c r="F81" s="46"/>
      <x:c r="G81" s="46"/>
      <x:c r="H81" s="46"/>
      <x:c r="I81" s="46"/>
      <x:c r="J81" s="46"/>
      <x:c r="K81" s="46"/>
      <x:c r="L81" s="46"/>
      <x:c r="M81" s="46"/>
      <x:c r="N81" s="46"/>
      <x:c r="O81" s="46"/>
      <x:c r="P81" s="46"/>
      <x:c r="Q81" s="46"/>
    </x:row>
    <x:row r="82">
      <x:c r="A82" s="46"/>
      <x:c r="B82" s="46"/>
      <x:c r="C82" s="46"/>
      <x:c r="D82" s="46"/>
      <x:c r="E82" s="46"/>
      <x:c r="F82" s="46"/>
      <x:c r="G82" s="46"/>
      <x:c r="H82" s="46"/>
      <x:c r="I82" s="46"/>
      <x:c r="J82" s="46"/>
      <x:c r="K82" s="46"/>
      <x:c r="L82" s="46"/>
      <x:c r="M82" s="46"/>
      <x:c r="N82" s="46"/>
      <x:c r="O82" s="46"/>
      <x:c r="P82" s="46"/>
      <x:c r="Q82" s="46"/>
    </x:row>
    <x:row r="83">
      <x:c r="A83" s="46"/>
      <x:c r="B83" s="46"/>
      <x:c r="C83" s="46"/>
      <x:c r="D83" s="46"/>
      <x:c r="E83" s="46"/>
      <x:c r="F83" s="46"/>
      <x:c r="G83" s="46"/>
      <x:c r="H83" s="46"/>
      <x:c r="I83" s="46"/>
      <x:c r="J83" s="46"/>
      <x:c r="K83" s="46"/>
      <x:c r="L83" s="46"/>
      <x:c r="M83" s="46"/>
      <x:c r="N83" s="46"/>
      <x:c r="O83" s="46"/>
      <x:c r="P83" s="46"/>
      <x:c r="Q83" s="46"/>
    </x:row>
    <x:row r="84">
      <x:c r="A84" s="46"/>
      <x:c r="B84" s="46"/>
      <x:c r="C84" s="46"/>
      <x:c r="D84" s="46"/>
      <x:c r="E84" s="46"/>
      <x:c r="F84" s="46"/>
      <x:c r="G84" s="46"/>
      <x:c r="H84" s="46"/>
      <x:c r="I84" s="46"/>
      <x:c r="J84" s="46"/>
      <x:c r="K84" s="46"/>
      <x:c r="L84" s="46"/>
      <x:c r="M84" s="46"/>
      <x:c r="N84" s="46"/>
      <x:c r="O84" s="46"/>
      <x:c r="P84" s="46"/>
      <x:c r="Q84" s="46"/>
    </x:row>
    <x:row r="85">
      <x:c r="A85" s="46"/>
      <x:c r="B85" s="46"/>
      <x:c r="C85" s="46"/>
      <x:c r="D85" s="46"/>
      <x:c r="E85" s="46"/>
      <x:c r="F85" s="46"/>
      <x:c r="G85" s="46"/>
      <x:c r="H85" s="46"/>
      <x:c r="I85" s="46"/>
      <x:c r="J85" s="46"/>
      <x:c r="K85" s="46"/>
      <x:c r="L85" s="46"/>
      <x:c r="M85" s="46"/>
      <x:c r="N85" s="46"/>
      <x:c r="O85" s="46"/>
      <x:c r="P85" s="46"/>
      <x:c r="Q85" s="46"/>
    </x:row>
    <x:row r="86">
      <x:c r="A86" s="46"/>
      <x:c r="B86" s="46"/>
      <x:c r="C86" s="46"/>
      <x:c r="D86" s="46"/>
      <x:c r="E86" s="46"/>
      <x:c r="F86" s="46"/>
      <x:c r="G86" s="46"/>
      <x:c r="H86" s="46"/>
      <x:c r="I86" s="46"/>
      <x:c r="J86" s="46"/>
      <x:c r="K86" s="46"/>
      <x:c r="L86" s="46"/>
      <x:c r="M86" s="46"/>
      <x:c r="N86" s="46"/>
      <x:c r="O86" s="46"/>
      <x:c r="P86" s="46"/>
      <x:c r="Q86" s="46"/>
    </x:row>
    <x:row r="87">
      <x:c r="A87" s="46"/>
      <x:c r="B87" s="46"/>
      <x:c r="C87" s="46"/>
      <x:c r="D87" s="46"/>
      <x:c r="E87" s="46"/>
      <x:c r="F87" s="46"/>
      <x:c r="G87" s="46"/>
      <x:c r="H87" s="46"/>
      <x:c r="I87" s="46"/>
      <x:c r="J87" s="46"/>
      <x:c r="K87" s="46"/>
      <x:c r="L87" s="46"/>
      <x:c r="M87" s="46"/>
      <x:c r="N87" s="46"/>
      <x:c r="O87" s="46"/>
      <x:c r="P87" s="46"/>
      <x:c r="Q87" s="46"/>
    </x:row>
    <x:row r="88">
      <x:c r="A88" s="46"/>
      <x:c r="B88" s="46"/>
      <x:c r="C88" s="46"/>
      <x:c r="D88" s="46"/>
      <x:c r="E88" s="46"/>
      <x:c r="F88" s="46"/>
      <x:c r="G88" s="46"/>
      <x:c r="H88" s="46"/>
      <x:c r="I88" s="46"/>
      <x:c r="J88" s="46"/>
      <x:c r="K88" s="46"/>
      <x:c r="L88" s="46"/>
      <x:c r="M88" s="46"/>
      <x:c r="N88" s="46"/>
      <x:c r="O88" s="46"/>
      <x:c r="P88" s="46"/>
      <x:c r="Q88" s="46"/>
    </x:row>
    <x:row r="89">
      <x:c r="A89" s="46"/>
      <x:c r="B89" s="46"/>
      <x:c r="C89" s="46"/>
      <x:c r="D89" s="46"/>
      <x:c r="E89" s="46"/>
      <x:c r="F89" s="46"/>
      <x:c r="G89" s="46"/>
      <x:c r="H89" s="46"/>
      <x:c r="I89" s="46"/>
      <x:c r="J89" s="46"/>
      <x:c r="K89" s="46"/>
      <x:c r="L89" s="46"/>
      <x:c r="M89" s="46"/>
      <x:c r="N89" s="46"/>
      <x:c r="O89" s="46"/>
      <x:c r="P89" s="46"/>
      <x:c r="Q89" s="46"/>
    </x:row>
    <x:row r="90">
      <x:c r="A90" s="46"/>
      <x:c r="B90" s="46"/>
      <x:c r="C90" s="46"/>
      <x:c r="D90" s="46"/>
      <x:c r="E90" s="46"/>
      <x:c r="F90" s="46"/>
      <x:c r="G90" s="46"/>
      <x:c r="H90" s="46"/>
      <x:c r="I90" s="46"/>
      <x:c r="J90" s="46"/>
      <x:c r="K90" s="46"/>
      <x:c r="L90" s="46"/>
      <x:c r="M90" s="46"/>
      <x:c r="N90" s="46"/>
      <x:c r="O90" s="46"/>
      <x:c r="P90" s="46"/>
      <x:c r="Q90" s="46"/>
    </x:row>
    <x:row r="91">
      <x:c r="A91" s="46"/>
      <x:c r="B91" s="46"/>
      <x:c r="C91" s="46"/>
      <x:c r="D91" s="46"/>
      <x:c r="E91" s="46"/>
      <x:c r="F91" s="46"/>
      <x:c r="G91" s="46"/>
      <x:c r="H91" s="46"/>
      <x:c r="I91" s="46"/>
      <x:c r="J91" s="46"/>
      <x:c r="K91" s="46"/>
      <x:c r="L91" s="46"/>
      <x:c r="M91" s="46"/>
      <x:c r="N91" s="46"/>
      <x:c r="O91" s="46"/>
      <x:c r="P91" s="46"/>
      <x:c r="Q91" s="46"/>
    </x:row>
    <x:row r="92">
      <x:c r="A92" s="46"/>
      <x:c r="B92" s="46"/>
      <x:c r="C92" s="46"/>
      <x:c r="D92" s="46"/>
      <x:c r="E92" s="46"/>
      <x:c r="F92" s="46"/>
      <x:c r="G92" s="46"/>
      <x:c r="H92" s="46"/>
      <x:c r="I92" s="46"/>
      <x:c r="J92" s="46"/>
      <x:c r="K92" s="46"/>
      <x:c r="L92" s="46"/>
      <x:c r="M92" s="46"/>
      <x:c r="N92" s="46"/>
      <x:c r="O92" s="46"/>
      <x:c r="P92" s="46"/>
      <x:c r="Q92" s="46"/>
    </x:row>
    <x:row r="93">
      <x:c r="A93" s="46"/>
      <x:c r="B93" s="46"/>
      <x:c r="C93" s="46"/>
      <x:c r="D93" s="46"/>
      <x:c r="E93" s="46"/>
      <x:c r="F93" s="46"/>
      <x:c r="G93" s="46"/>
      <x:c r="H93" s="46"/>
      <x:c r="I93" s="46"/>
      <x:c r="J93" s="46"/>
      <x:c r="K93" s="46"/>
      <x:c r="L93" s="46"/>
      <x:c r="M93" s="46"/>
      <x:c r="N93" s="46"/>
      <x:c r="O93" s="46"/>
      <x:c r="P93" s="46"/>
      <x:c r="Q93" s="46"/>
    </x:row>
    <x:row r="94">
      <x:c r="A94" s="46"/>
      <x:c r="B94" s="46"/>
      <x:c r="C94" s="46"/>
      <x:c r="D94" s="46"/>
      <x:c r="E94" s="46"/>
      <x:c r="F94" s="46"/>
      <x:c r="G94" s="46"/>
      <x:c r="H94" s="46"/>
      <x:c r="I94" s="46"/>
      <x:c r="J94" s="46"/>
      <x:c r="K94" s="46"/>
      <x:c r="L94" s="46"/>
      <x:c r="M94" s="46"/>
      <x:c r="N94" s="46"/>
      <x:c r="O94" s="46"/>
      <x:c r="P94" s="46"/>
      <x:c r="Q94" s="46"/>
    </x:row>
    <x:row r="95">
      <x:c r="A95" s="46"/>
      <x:c r="B95" s="46"/>
      <x:c r="C95" s="46"/>
      <x:c r="D95" s="46"/>
      <x:c r="E95" s="46"/>
      <x:c r="F95" s="46"/>
      <x:c r="G95" s="46"/>
      <x:c r="H95" s="46"/>
      <x:c r="I95" s="46"/>
      <x:c r="J95" s="46"/>
      <x:c r="K95" s="46"/>
      <x:c r="L95" s="46"/>
      <x:c r="M95" s="46"/>
      <x:c r="N95" s="46"/>
      <x:c r="O95" s="46"/>
      <x:c r="P95" s="46"/>
      <x:c r="Q95" s="46"/>
    </x:row>
    <x:row r="96">
      <x:c r="A96" s="46"/>
      <x:c r="B96" s="46"/>
      <x:c r="C96" s="46"/>
      <x:c r="D96" s="46"/>
      <x:c r="E96" s="46"/>
      <x:c r="F96" s="46"/>
      <x:c r="G96" s="46"/>
      <x:c r="H96" s="46"/>
      <x:c r="I96" s="46"/>
      <x:c r="J96" s="46"/>
      <x:c r="K96" s="46"/>
      <x:c r="L96" s="46"/>
      <x:c r="M96" s="46"/>
      <x:c r="N96" s="46"/>
      <x:c r="O96" s="46"/>
      <x:c r="P96" s="46"/>
      <x:c r="Q96" s="46"/>
    </x:row>
    <x:row r="97">
      <x:c r="A97" s="46"/>
      <x:c r="B97" s="46"/>
      <x:c r="C97" s="46"/>
      <x:c r="D97" s="46"/>
      <x:c r="E97" s="46"/>
      <x:c r="F97" s="46"/>
      <x:c r="G97" s="46"/>
      <x:c r="H97" s="46"/>
      <x:c r="I97" s="46"/>
      <x:c r="J97" s="46"/>
      <x:c r="K97" s="46"/>
      <x:c r="L97" s="46"/>
      <x:c r="M97" s="46"/>
      <x:c r="N97" s="46"/>
      <x:c r="O97" s="46"/>
      <x:c r="P97" s="46"/>
      <x:c r="Q97" s="46"/>
    </x:row>
    <x:row r="98">
      <x:c r="A98" s="46"/>
      <x:c r="B98" s="46"/>
      <x:c r="C98" s="46"/>
      <x:c r="D98" s="46"/>
      <x:c r="E98" s="46"/>
      <x:c r="F98" s="46"/>
      <x:c r="G98" s="46"/>
      <x:c r="H98" s="46"/>
      <x:c r="I98" s="46"/>
      <x:c r="J98" s="46"/>
      <x:c r="K98" s="46"/>
      <x:c r="L98" s="46"/>
      <x:c r="M98" s="46"/>
      <x:c r="N98" s="46"/>
      <x:c r="O98" s="46"/>
      <x:c r="P98" s="46"/>
      <x:c r="Q98" s="46"/>
    </x:row>
    <x:row r="99">
      <x:c r="A99" s="46"/>
      <x:c r="B99" s="46"/>
      <x:c r="C99" s="46"/>
      <x:c r="D99" s="46"/>
      <x:c r="E99" s="46"/>
      <x:c r="F99" s="46"/>
      <x:c r="G99" s="46"/>
      <x:c r="H99" s="46"/>
      <x:c r="I99" s="46"/>
      <x:c r="J99" s="46"/>
      <x:c r="K99" s="46"/>
      <x:c r="L99" s="46"/>
      <x:c r="M99" s="46"/>
      <x:c r="N99" s="46"/>
      <x:c r="O99" s="46"/>
      <x:c r="P99" s="46"/>
      <x:c r="Q99" s="46"/>
    </x:row>
    <x:row r="100">
      <x:c r="A100" s="46"/>
      <x:c r="B100" s="46"/>
      <x:c r="C100" s="46"/>
      <x:c r="D100" s="46"/>
      <x:c r="E100" s="46"/>
      <x:c r="F100" s="46"/>
      <x:c r="G100" s="46"/>
      <x:c r="H100" s="46"/>
      <x:c r="I100" s="46"/>
      <x:c r="J100" s="46"/>
      <x:c r="K100" s="46"/>
      <x:c r="L100" s="46"/>
      <x:c r="M100" s="46"/>
      <x:c r="N100" s="46"/>
      <x:c r="O100" s="46"/>
      <x:c r="P100" s="46"/>
      <x:c r="Q100" s="46"/>
    </x:row>
    <x:row r="101">
      <x:c r="A101" s="46"/>
      <x:c r="B101" s="46"/>
      <x:c r="C101" s="46"/>
      <x:c r="D101" s="46"/>
      <x:c r="E101" s="46"/>
      <x:c r="F101" s="46"/>
      <x:c r="G101" s="46"/>
      <x:c r="H101" s="46"/>
      <x:c r="I101" s="46"/>
      <x:c r="J101" s="46"/>
      <x:c r="K101" s="46"/>
      <x:c r="L101" s="46"/>
      <x:c r="M101" s="46"/>
      <x:c r="N101" s="46"/>
      <x:c r="O101" s="46"/>
      <x:c r="P101" s="46"/>
      <x:c r="Q101" s="46"/>
    </x:row>
    <x:row r="102">
      <x:c r="A102" s="46"/>
      <x:c r="B102" s="46"/>
      <x:c r="C102" s="46"/>
      <x:c r="D102" s="46"/>
      <x:c r="E102" s="46"/>
      <x:c r="F102" s="46"/>
      <x:c r="G102" s="46"/>
      <x:c r="H102" s="46"/>
      <x:c r="I102" s="46"/>
      <x:c r="J102" s="46"/>
      <x:c r="K102" s="46"/>
      <x:c r="L102" s="46"/>
      <x:c r="M102" s="46"/>
      <x:c r="N102" s="46"/>
      <x:c r="O102" s="46"/>
      <x:c r="P102" s="46"/>
      <x:c r="Q102" s="46"/>
    </x:row>
    <x:row r="103">
      <x:c r="A103" s="46"/>
      <x:c r="B103" s="46"/>
      <x:c r="C103" s="46"/>
      <x:c r="D103" s="46"/>
      <x:c r="E103" s="46"/>
      <x:c r="F103" s="46"/>
      <x:c r="G103" s="46"/>
      <x:c r="H103" s="46"/>
      <x:c r="I103" s="46"/>
      <x:c r="J103" s="46"/>
      <x:c r="K103" s="46"/>
      <x:c r="L103" s="46"/>
      <x:c r="M103" s="46"/>
      <x:c r="N103" s="46"/>
      <x:c r="O103" s="46"/>
      <x:c r="P103" s="46"/>
      <x:c r="Q103" s="46"/>
    </x:row>
    <x:row r="104">
      <x:c r="A104" s="46"/>
      <x:c r="B104" s="46"/>
      <x:c r="C104" s="46"/>
      <x:c r="D104" s="46"/>
      <x:c r="E104" s="46"/>
      <x:c r="F104" s="46"/>
      <x:c r="G104" s="46"/>
      <x:c r="H104" s="46"/>
      <x:c r="I104" s="46"/>
      <x:c r="J104" s="46"/>
      <x:c r="K104" s="46"/>
      <x:c r="L104" s="46"/>
      <x:c r="M104" s="46"/>
      <x:c r="N104" s="46"/>
      <x:c r="O104" s="46"/>
      <x:c r="P104" s="46"/>
      <x:c r="Q104" s="46"/>
    </x:row>
    <x:row r="105">
      <x:c r="A105" s="46"/>
      <x:c r="B105" s="46"/>
      <x:c r="C105" s="46"/>
      <x:c r="D105" s="46"/>
      <x:c r="E105" s="46"/>
      <x:c r="F105" s="46"/>
      <x:c r="G105" s="46"/>
      <x:c r="H105" s="46"/>
      <x:c r="I105" s="46"/>
      <x:c r="J105" s="46"/>
      <x:c r="K105" s="46"/>
      <x:c r="L105" s="46"/>
      <x:c r="M105" s="46"/>
      <x:c r="N105" s="46"/>
      <x:c r="O105" s="46"/>
      <x:c r="P105" s="46"/>
      <x:c r="Q105" s="46"/>
    </x:row>
    <x:row r="106">
      <x:c r="A106" s="46"/>
      <x:c r="B106" s="46"/>
      <x:c r="C106" s="46"/>
      <x:c r="D106" s="46"/>
      <x:c r="E106" s="46"/>
      <x:c r="F106" s="46"/>
      <x:c r="G106" s="46"/>
      <x:c r="H106" s="46"/>
      <x:c r="I106" s="46"/>
      <x:c r="J106" s="46"/>
      <x:c r="K106" s="46"/>
      <x:c r="L106" s="46"/>
      <x:c r="M106" s="46"/>
      <x:c r="N106" s="46"/>
      <x:c r="O106" s="46"/>
      <x:c r="P106" s="46"/>
      <x:c r="Q106" s="46"/>
    </x:row>
    <x:row r="107">
      <x:c r="A107" s="46"/>
      <x:c r="B107" s="46"/>
      <x:c r="C107" s="46"/>
      <x:c r="D107" s="46"/>
      <x:c r="E107" s="46"/>
      <x:c r="F107" s="46"/>
      <x:c r="G107" s="46"/>
      <x:c r="H107" s="46"/>
      <x:c r="I107" s="46"/>
      <x:c r="J107" s="46"/>
      <x:c r="K107" s="46"/>
      <x:c r="L107" s="46"/>
      <x:c r="M107" s="46"/>
      <x:c r="N107" s="46"/>
      <x:c r="O107" s="46"/>
      <x:c r="P107" s="46"/>
      <x:c r="Q107" s="46"/>
    </x:row>
    <x:row r="108">
      <x:c r="A108" s="46"/>
      <x:c r="B108" s="46"/>
      <x:c r="C108" s="46"/>
      <x:c r="D108" s="46"/>
      <x:c r="E108" s="46"/>
      <x:c r="F108" s="46"/>
      <x:c r="G108" s="46"/>
      <x:c r="H108" s="46"/>
      <x:c r="I108" s="46"/>
      <x:c r="J108" s="46"/>
      <x:c r="K108" s="46"/>
      <x:c r="L108" s="46"/>
      <x:c r="M108" s="46"/>
      <x:c r="N108" s="46"/>
      <x:c r="O108" s="46"/>
      <x:c r="P108" s="46"/>
      <x:c r="Q108" s="46"/>
    </x:row>
    <x:row r="109">
      <x:c r="A109" s="46"/>
      <x:c r="B109" s="46"/>
      <x:c r="C109" s="46"/>
      <x:c r="D109" s="46"/>
      <x:c r="E109" s="46"/>
      <x:c r="F109" s="46"/>
      <x:c r="G109" s="46"/>
      <x:c r="H109" s="46"/>
      <x:c r="I109" s="46"/>
      <x:c r="J109" s="46"/>
      <x:c r="K109" s="46"/>
      <x:c r="L109" s="46"/>
      <x:c r="M109" s="46"/>
      <x:c r="N109" s="46"/>
      <x:c r="O109" s="46"/>
      <x:c r="P109" s="46"/>
      <x:c r="Q109" s="46"/>
    </x:row>
    <x:row r="110">
      <x:c r="A110" s="46"/>
      <x:c r="B110" s="46"/>
      <x:c r="C110" s="46"/>
      <x:c r="D110" s="46"/>
      <x:c r="E110" s="46"/>
      <x:c r="F110" s="46"/>
      <x:c r="G110" s="46"/>
      <x:c r="H110" s="46"/>
      <x:c r="I110" s="46"/>
      <x:c r="J110" s="46"/>
      <x:c r="K110" s="46"/>
      <x:c r="L110" s="46"/>
      <x:c r="M110" s="46"/>
      <x:c r="N110" s="46"/>
      <x:c r="O110" s="46"/>
      <x:c r="P110" s="46"/>
      <x:c r="Q110" s="46"/>
    </x:row>
    <x:row r="111">
      <x:c r="A111" s="46"/>
      <x:c r="B111" s="46"/>
      <x:c r="C111" s="46"/>
      <x:c r="D111" s="46"/>
      <x:c r="E111" s="46"/>
      <x:c r="F111" s="46"/>
      <x:c r="G111" s="46"/>
      <x:c r="H111" s="46"/>
      <x:c r="I111" s="46"/>
      <x:c r="J111" s="46"/>
      <x:c r="K111" s="46"/>
      <x:c r="L111" s="46"/>
      <x:c r="M111" s="46"/>
      <x:c r="N111" s="46"/>
      <x:c r="O111" s="46"/>
      <x:c r="P111" s="46"/>
      <x:c r="Q111" s="46"/>
    </x:row>
    <x:row r="112">
      <x:c r="A112" s="46"/>
      <x:c r="B112" s="46"/>
      <x:c r="C112" s="46"/>
      <x:c r="D112" s="46"/>
      <x:c r="E112" s="46"/>
      <x:c r="F112" s="46"/>
      <x:c r="G112" s="46"/>
      <x:c r="H112" s="46"/>
      <x:c r="I112" s="46"/>
      <x:c r="J112" s="46"/>
      <x:c r="K112" s="46"/>
      <x:c r="L112" s="46"/>
      <x:c r="M112" s="46"/>
      <x:c r="N112" s="46"/>
      <x:c r="O112" s="46"/>
      <x:c r="P112" s="46"/>
      <x:c r="Q112" s="46"/>
    </x:row>
    <x:row r="113">
      <x:c r="A113" s="46"/>
      <x:c r="B113" s="46"/>
      <x:c r="C113" s="46"/>
      <x:c r="D113" s="46"/>
      <x:c r="E113" s="46"/>
      <x:c r="F113" s="46"/>
      <x:c r="G113" s="46"/>
      <x:c r="H113" s="46"/>
      <x:c r="I113" s="46"/>
      <x:c r="J113" s="46"/>
      <x:c r="K113" s="46"/>
      <x:c r="L113" s="46"/>
      <x:c r="M113" s="46"/>
      <x:c r="N113" s="46"/>
      <x:c r="O113" s="46"/>
      <x:c r="P113" s="46"/>
      <x:c r="Q113" s="46"/>
    </x:row>
    <x:row r="114">
      <x:c r="A114" s="46"/>
      <x:c r="B114" s="46"/>
      <x:c r="C114" s="46"/>
      <x:c r="D114" s="46"/>
      <x:c r="E114" s="46"/>
      <x:c r="F114" s="46"/>
      <x:c r="G114" s="46"/>
      <x:c r="H114" s="46"/>
      <x:c r="I114" s="46"/>
      <x:c r="J114" s="46"/>
      <x:c r="K114" s="46"/>
      <x:c r="L114" s="46"/>
      <x:c r="M114" s="46"/>
      <x:c r="N114" s="46"/>
      <x:c r="O114" s="46"/>
      <x:c r="P114" s="46"/>
      <x:c r="Q114" s="46"/>
    </x:row>
    <x:row r="115">
      <x:c r="A115" s="46"/>
      <x:c r="B115" s="46"/>
      <x:c r="C115" s="46"/>
      <x:c r="D115" s="46"/>
      <x:c r="E115" s="46"/>
      <x:c r="F115" s="46"/>
      <x:c r="G115" s="46"/>
      <x:c r="H115" s="46"/>
      <x:c r="I115" s="46"/>
      <x:c r="J115" s="46"/>
      <x:c r="K115" s="46"/>
      <x:c r="L115" s="46"/>
      <x:c r="M115" s="46"/>
      <x:c r="N115" s="46"/>
      <x:c r="O115" s="46"/>
      <x:c r="P115" s="46"/>
      <x:c r="Q115" s="46"/>
    </x:row>
    <x:row r="116">
      <x:c r="A116" s="46"/>
      <x:c r="B116" s="46"/>
      <x:c r="C116" s="46"/>
      <x:c r="D116" s="46"/>
      <x:c r="E116" s="46"/>
      <x:c r="F116" s="46"/>
      <x:c r="G116" s="46"/>
      <x:c r="H116" s="46"/>
      <x:c r="I116" s="46"/>
      <x:c r="J116" s="46"/>
      <x:c r="K116" s="46"/>
      <x:c r="L116" s="46"/>
      <x:c r="M116" s="46"/>
      <x:c r="N116" s="46"/>
      <x:c r="O116" s="46"/>
      <x:c r="P116" s="46"/>
      <x:c r="Q116" s="46"/>
    </x:row>
    <x:row r="117">
      <x:c r="A117" s="46"/>
      <x:c r="B117" s="46"/>
      <x:c r="C117" s="46"/>
      <x:c r="D117" s="46"/>
      <x:c r="E117" s="46"/>
      <x:c r="F117" s="46"/>
      <x:c r="G117" s="46"/>
      <x:c r="H117" s="46"/>
      <x:c r="I117" s="46"/>
      <x:c r="J117" s="46"/>
      <x:c r="K117" s="46"/>
      <x:c r="L117" s="46"/>
      <x:c r="M117" s="46"/>
      <x:c r="N117" s="46"/>
      <x:c r="O117" s="46"/>
      <x:c r="P117" s="46"/>
      <x:c r="Q117" s="46"/>
    </x:row>
    <x:row r="118">
      <x:c r="A118" s="46"/>
      <x:c r="B118" s="46"/>
      <x:c r="C118" s="46"/>
      <x:c r="D118" s="46"/>
      <x:c r="E118" s="46"/>
      <x:c r="F118" s="46"/>
      <x:c r="G118" s="46"/>
      <x:c r="H118" s="46"/>
      <x:c r="I118" s="46"/>
      <x:c r="J118" s="46"/>
      <x:c r="K118" s="46"/>
      <x:c r="L118" s="46"/>
      <x:c r="M118" s="46"/>
      <x:c r="N118" s="46"/>
      <x:c r="O118" s="46"/>
      <x:c r="P118" s="46"/>
      <x:c r="Q118" s="46"/>
    </x:row>
    <x:row r="119">
      <x:c r="A119" s="46"/>
      <x:c r="B119" s="46"/>
      <x:c r="C119" s="46"/>
      <x:c r="D119" s="46"/>
      <x:c r="E119" s="46"/>
      <x:c r="F119" s="46"/>
      <x:c r="G119" s="46"/>
      <x:c r="H119" s="46"/>
      <x:c r="I119" s="46"/>
      <x:c r="J119" s="46"/>
      <x:c r="K119" s="46"/>
      <x:c r="L119" s="46"/>
      <x:c r="M119" s="46"/>
      <x:c r="N119" s="46"/>
      <x:c r="O119" s="46"/>
      <x:c r="P119" s="46"/>
      <x:c r="Q119" s="46"/>
    </x:row>
    <x:row r="120">
      <x:c r="A120" s="46"/>
      <x:c r="B120" s="46"/>
      <x:c r="C120" s="46"/>
      <x:c r="D120" s="46"/>
      <x:c r="E120" s="46"/>
      <x:c r="F120" s="46"/>
      <x:c r="G120" s="46"/>
      <x:c r="H120" s="46"/>
      <x:c r="I120" s="46"/>
      <x:c r="J120" s="46"/>
      <x:c r="K120" s="46"/>
      <x:c r="L120" s="46"/>
      <x:c r="M120" s="46"/>
      <x:c r="N120" s="46"/>
      <x:c r="O120" s="46"/>
      <x:c r="P120" s="46"/>
      <x:c r="Q120" s="46"/>
    </x:row>
    <x:row r="121">
      <x:c r="A121" s="46"/>
      <x:c r="B121" s="46"/>
      <x:c r="C121" s="46"/>
      <x:c r="D121" s="46"/>
      <x:c r="E121" s="46"/>
      <x:c r="F121" s="46"/>
      <x:c r="G121" s="46"/>
      <x:c r="H121" s="46"/>
      <x:c r="I121" s="46"/>
      <x:c r="J121" s="46"/>
      <x:c r="K121" s="46"/>
      <x:c r="L121" s="46"/>
      <x:c r="M121" s="46"/>
      <x:c r="N121" s="46"/>
      <x:c r="O121" s="46"/>
      <x:c r="P121" s="46"/>
      <x:c r="Q121" s="46"/>
    </x:row>
    <x:row r="122">
      <x:c r="A122" s="46"/>
      <x:c r="B122" s="46"/>
      <x:c r="C122" s="46"/>
      <x:c r="D122" s="46"/>
      <x:c r="E122" s="46"/>
      <x:c r="F122" s="46"/>
      <x:c r="G122" s="46"/>
      <x:c r="H122" s="46"/>
      <x:c r="I122" s="46"/>
      <x:c r="J122" s="46"/>
      <x:c r="K122" s="46"/>
      <x:c r="L122" s="46"/>
      <x:c r="M122" s="46"/>
      <x:c r="N122" s="46"/>
      <x:c r="O122" s="46"/>
      <x:c r="P122" s="46"/>
      <x:c r="Q122" s="46"/>
    </x:row>
    <x:row r="123">
      <x:c r="A123" s="46"/>
      <x:c r="B123" s="46"/>
      <x:c r="C123" s="46"/>
      <x:c r="D123" s="46"/>
      <x:c r="E123" s="46"/>
      <x:c r="F123" s="46"/>
      <x:c r="G123" s="46"/>
      <x:c r="H123" s="46"/>
      <x:c r="I123" s="46"/>
      <x:c r="J123" s="46"/>
      <x:c r="K123" s="46"/>
      <x:c r="L123" s="46"/>
      <x:c r="M123" s="46"/>
      <x:c r="N123" s="46"/>
      <x:c r="O123" s="46"/>
      <x:c r="P123" s="46"/>
      <x:c r="Q123" s="46"/>
    </x:row>
    <x:row r="124">
      <x:c r="A124" s="46"/>
      <x:c r="B124" s="46"/>
      <x:c r="C124" s="46"/>
      <x:c r="D124" s="46"/>
      <x:c r="E124" s="46"/>
      <x:c r="F124" s="46"/>
      <x:c r="G124" s="46"/>
      <x:c r="H124" s="46"/>
      <x:c r="I124" s="46"/>
      <x:c r="J124" s="46"/>
      <x:c r="K124" s="46"/>
      <x:c r="L124" s="46"/>
      <x:c r="M124" s="46"/>
      <x:c r="N124" s="46"/>
      <x:c r="O124" s="46"/>
      <x:c r="P124" s="46"/>
      <x:c r="Q124" s="46"/>
    </x:row>
    <x:row r="125">
      <x:c r="A125" s="46"/>
      <x:c r="B125" s="46"/>
      <x:c r="C125" s="46"/>
      <x:c r="D125" s="46"/>
      <x:c r="E125" s="46"/>
      <x:c r="F125" s="46"/>
      <x:c r="G125" s="46"/>
      <x:c r="H125" s="46"/>
      <x:c r="I125" s="46"/>
      <x:c r="J125" s="46"/>
      <x:c r="K125" s="46"/>
      <x:c r="L125" s="46"/>
      <x:c r="M125" s="46"/>
      <x:c r="N125" s="46"/>
      <x:c r="O125" s="46"/>
      <x:c r="P125" s="46"/>
      <x:c r="Q125" s="46"/>
    </x:row>
    <x:row r="126">
      <x:c r="A126" s="46"/>
      <x:c r="B126" s="46"/>
      <x:c r="C126" s="46"/>
      <x:c r="D126" s="46"/>
      <x:c r="E126" s="46"/>
      <x:c r="F126" s="46"/>
      <x:c r="G126" s="46"/>
      <x:c r="H126" s="46"/>
      <x:c r="I126" s="46"/>
      <x:c r="J126" s="46"/>
      <x:c r="K126" s="46"/>
      <x:c r="L126" s="46"/>
      <x:c r="M126" s="46"/>
      <x:c r="N126" s="46"/>
      <x:c r="O126" s="46"/>
      <x:c r="P126" s="46"/>
      <x:c r="Q126" s="46"/>
    </x:row>
    <x:row r="127">
      <x:c r="A127" s="46"/>
      <x:c r="B127" s="46"/>
      <x:c r="C127" s="46"/>
      <x:c r="D127" s="46"/>
      <x:c r="E127" s="46"/>
      <x:c r="F127" s="46"/>
      <x:c r="G127" s="46"/>
      <x:c r="H127" s="46"/>
      <x:c r="I127" s="46"/>
      <x:c r="J127" s="46"/>
      <x:c r="K127" s="46"/>
      <x:c r="L127" s="46"/>
      <x:c r="M127" s="46"/>
      <x:c r="N127" s="46"/>
      <x:c r="O127" s="46"/>
      <x:c r="P127" s="46"/>
      <x:c r="Q127" s="46"/>
    </x:row>
    <x:row r="128">
      <x:c r="A128" s="46"/>
      <x:c r="B128" s="46"/>
      <x:c r="C128" s="46"/>
      <x:c r="D128" s="46"/>
      <x:c r="E128" s="46"/>
      <x:c r="F128" s="46"/>
      <x:c r="G128" s="46"/>
      <x:c r="H128" s="46"/>
      <x:c r="I128" s="46"/>
      <x:c r="J128" s="46"/>
      <x:c r="K128" s="46"/>
      <x:c r="L128" s="46"/>
      <x:c r="M128" s="46"/>
      <x:c r="N128" s="46"/>
      <x:c r="O128" s="46"/>
      <x:c r="P128" s="46"/>
      <x:c r="Q128" s="46"/>
    </x:row>
    <x:row r="129">
      <x:c r="A129" s="46"/>
      <x:c r="B129" s="46"/>
      <x:c r="C129" s="46"/>
      <x:c r="D129" s="46"/>
      <x:c r="E129" s="46"/>
      <x:c r="F129" s="46"/>
      <x:c r="G129" s="46"/>
      <x:c r="H129" s="46"/>
      <x:c r="I129" s="46"/>
      <x:c r="J129" s="46"/>
      <x:c r="K129" s="46"/>
      <x:c r="L129" s="46"/>
      <x:c r="M129" s="46"/>
      <x:c r="N129" s="46"/>
      <x:c r="O129" s="46"/>
      <x:c r="P129" s="46"/>
      <x:c r="Q129" s="46"/>
    </x:row>
    <x:row r="130">
      <x:c r="A130" s="46"/>
      <x:c r="B130" s="46"/>
      <x:c r="C130" s="46"/>
      <x:c r="D130" s="46"/>
      <x:c r="E130" s="46"/>
      <x:c r="F130" s="46"/>
      <x:c r="G130" s="46"/>
      <x:c r="H130" s="46"/>
      <x:c r="I130" s="46"/>
      <x:c r="J130" s="46"/>
      <x:c r="K130" s="46"/>
      <x:c r="L130" s="46"/>
      <x:c r="M130" s="46"/>
      <x:c r="N130" s="46"/>
      <x:c r="O130" s="46"/>
      <x:c r="P130" s="46"/>
      <x:c r="Q130" s="46"/>
    </x:row>
    <x:row r="131">
      <x:c r="A131" s="46"/>
      <x:c r="B131" s="46"/>
      <x:c r="C131" s="46"/>
      <x:c r="D131" s="46"/>
      <x:c r="E131" s="46"/>
      <x:c r="F131" s="46"/>
      <x:c r="G131" s="46"/>
      <x:c r="H131" s="46"/>
      <x:c r="I131" s="46"/>
      <x:c r="J131" s="46"/>
      <x:c r="K131" s="46"/>
      <x:c r="L131" s="46"/>
      <x:c r="M131" s="46"/>
      <x:c r="N131" s="46"/>
      <x:c r="O131" s="46"/>
      <x:c r="P131" s="46"/>
      <x:c r="Q131" s="46"/>
    </x:row>
    <x:row r="132">
      <x:c r="A132" s="46"/>
      <x:c r="B132" s="46"/>
      <x:c r="C132" s="46"/>
      <x:c r="D132" s="46"/>
      <x:c r="E132" s="46"/>
      <x:c r="F132" s="46"/>
      <x:c r="G132" s="46"/>
      <x:c r="H132" s="46"/>
      <x:c r="I132" s="46"/>
      <x:c r="J132" s="46"/>
      <x:c r="K132" s="46"/>
      <x:c r="L132" s="46"/>
      <x:c r="M132" s="46"/>
      <x:c r="N132" s="46"/>
      <x:c r="O132" s="46"/>
      <x:c r="P132" s="46"/>
      <x:c r="Q132" s="46"/>
    </x:row>
    <x:row r="133">
      <x:c r="A133" s="46"/>
      <x:c r="B133" s="46"/>
      <x:c r="C133" s="46"/>
      <x:c r="D133" s="46"/>
      <x:c r="E133" s="46"/>
      <x:c r="F133" s="46"/>
      <x:c r="G133" s="46"/>
      <x:c r="H133" s="46"/>
      <x:c r="I133" s="46"/>
      <x:c r="J133" s="46"/>
      <x:c r="K133" s="46"/>
      <x:c r="L133" s="46"/>
      <x:c r="M133" s="46"/>
      <x:c r="N133" s="46"/>
      <x:c r="O133" s="46"/>
      <x:c r="P133" s="46"/>
      <x:c r="Q133" s="46"/>
    </x:row>
    <x:row r="134">
      <x:c r="A134" s="46"/>
      <x:c r="B134" s="46"/>
      <x:c r="C134" s="46"/>
      <x:c r="D134" s="46"/>
      <x:c r="E134" s="46"/>
      <x:c r="F134" s="46"/>
      <x:c r="G134" s="46"/>
      <x:c r="H134" s="46"/>
      <x:c r="I134" s="46"/>
      <x:c r="J134" s="46"/>
      <x:c r="K134" s="46"/>
      <x:c r="L134" s="46"/>
      <x:c r="M134" s="46"/>
      <x:c r="N134" s="46"/>
      <x:c r="O134" s="46"/>
      <x:c r="P134" s="46"/>
      <x:c r="Q134" s="46"/>
    </x:row>
    <x:row r="135">
      <x:c r="A135" s="46"/>
      <x:c r="B135" s="46"/>
      <x:c r="C135" s="46"/>
      <x:c r="D135" s="46"/>
      <x:c r="E135" s="46"/>
      <x:c r="F135" s="46"/>
      <x:c r="G135" s="46"/>
      <x:c r="H135" s="46"/>
      <x:c r="I135" s="46"/>
      <x:c r="J135" s="46"/>
      <x:c r="K135" s="46"/>
      <x:c r="L135" s="46"/>
      <x:c r="M135" s="46"/>
      <x:c r="N135" s="46"/>
      <x:c r="O135" s="46"/>
      <x:c r="P135" s="46"/>
      <x:c r="Q135" s="46"/>
    </x:row>
    <x:row r="136">
      <x:c r="A136" s="46"/>
      <x:c r="B136" s="46"/>
      <x:c r="C136" s="46"/>
      <x:c r="D136" s="46"/>
      <x:c r="E136" s="46"/>
      <x:c r="F136" s="46"/>
      <x:c r="G136" s="46"/>
      <x:c r="H136" s="46"/>
      <x:c r="I136" s="46"/>
      <x:c r="J136" s="46"/>
      <x:c r="K136" s="46"/>
      <x:c r="L136" s="46"/>
      <x:c r="M136" s="46"/>
      <x:c r="N136" s="46"/>
      <x:c r="O136" s="46"/>
      <x:c r="P136" s="46"/>
      <x:c r="Q136" s="46"/>
    </x:row>
    <x:row r="137">
      <x:c r="A137" s="46"/>
      <x:c r="B137" s="46"/>
      <x:c r="C137" s="46"/>
      <x:c r="D137" s="46"/>
      <x:c r="E137" s="46"/>
      <x:c r="F137" s="46"/>
      <x:c r="G137" s="46"/>
      <x:c r="H137" s="46"/>
      <x:c r="I137" s="46"/>
      <x:c r="J137" s="46"/>
      <x:c r="K137" s="46"/>
      <x:c r="L137" s="46"/>
      <x:c r="M137" s="46"/>
      <x:c r="N137" s="46"/>
      <x:c r="O137" s="46"/>
      <x:c r="P137" s="46"/>
      <x:c r="Q137" s="46"/>
    </x:row>
    <x:row r="138">
      <x:c r="A138" s="46"/>
      <x:c r="B138" s="46"/>
      <x:c r="C138" s="46"/>
      <x:c r="D138" s="46"/>
      <x:c r="E138" s="46"/>
      <x:c r="F138" s="46"/>
      <x:c r="G138" s="46"/>
      <x:c r="H138" s="46"/>
      <x:c r="I138" s="46"/>
      <x:c r="J138" s="46"/>
      <x:c r="K138" s="46"/>
      <x:c r="L138" s="46"/>
      <x:c r="M138" s="46"/>
      <x:c r="N138" s="46"/>
      <x:c r="O138" s="46"/>
      <x:c r="P138" s="46"/>
      <x:c r="Q138" s="46"/>
    </x:row>
    <x:row r="139">
      <x:c r="A139" s="46"/>
      <x:c r="B139" s="46"/>
      <x:c r="C139" s="46"/>
      <x:c r="D139" s="46"/>
      <x:c r="E139" s="46"/>
      <x:c r="F139" s="46"/>
      <x:c r="G139" s="46"/>
      <x:c r="H139" s="46"/>
      <x:c r="I139" s="46"/>
      <x:c r="J139" s="46"/>
      <x:c r="K139" s="46"/>
      <x:c r="L139" s="46"/>
      <x:c r="M139" s="46"/>
      <x:c r="N139" s="46"/>
      <x:c r="O139" s="46"/>
      <x:c r="P139" s="46"/>
      <x:c r="Q139" s="46"/>
    </x:row>
    <x:row r="140">
      <x:c r="A140" s="46"/>
      <x:c r="B140" s="46"/>
      <x:c r="C140" s="46"/>
      <x:c r="D140" s="46"/>
      <x:c r="E140" s="46"/>
      <x:c r="F140" s="46"/>
      <x:c r="G140" s="46"/>
      <x:c r="H140" s="46"/>
      <x:c r="I140" s="46"/>
      <x:c r="J140" s="46"/>
      <x:c r="K140" s="46"/>
      <x:c r="L140" s="46"/>
      <x:c r="M140" s="46"/>
      <x:c r="N140" s="46"/>
      <x:c r="O140" s="46"/>
      <x:c r="P140" s="46"/>
      <x:c r="Q140" s="46"/>
    </x:row>
    <x:row r="141">
      <x:c r="A141" s="46"/>
      <x:c r="B141" s="46"/>
      <x:c r="C141" s="46"/>
      <x:c r="D141" s="46"/>
      <x:c r="E141" s="46"/>
      <x:c r="F141" s="46"/>
      <x:c r="G141" s="46"/>
      <x:c r="H141" s="46"/>
      <x:c r="I141" s="46"/>
      <x:c r="J141" s="46"/>
      <x:c r="K141" s="46"/>
      <x:c r="L141" s="46"/>
      <x:c r="M141" s="46"/>
      <x:c r="N141" s="46"/>
      <x:c r="O141" s="46"/>
      <x:c r="P141" s="46"/>
      <x:c r="Q141" s="46"/>
    </x:row>
    <x:row r="142">
      <x:c r="A142" s="46"/>
      <x:c r="B142" s="46"/>
      <x:c r="C142" s="46"/>
      <x:c r="D142" s="46"/>
      <x:c r="E142" s="46"/>
      <x:c r="F142" s="46"/>
      <x:c r="G142" s="46"/>
      <x:c r="H142" s="46"/>
      <x:c r="I142" s="46"/>
      <x:c r="J142" s="46"/>
      <x:c r="K142" s="46"/>
      <x:c r="L142" s="46"/>
      <x:c r="M142" s="46"/>
      <x:c r="N142" s="46"/>
      <x:c r="O142" s="46"/>
      <x:c r="P142" s="46"/>
      <x:c r="Q142" s="46"/>
    </x:row>
    <x:row r="143">
      <x:c r="A143" s="46"/>
      <x:c r="B143" s="46"/>
      <x:c r="C143" s="46"/>
      <x:c r="D143" s="46"/>
      <x:c r="E143" s="46"/>
      <x:c r="F143" s="46"/>
      <x:c r="G143" s="46"/>
      <x:c r="H143" s="46"/>
      <x:c r="I143" s="46"/>
      <x:c r="J143" s="46"/>
      <x:c r="K143" s="46"/>
      <x:c r="L143" s="46"/>
      <x:c r="M143" s="46"/>
      <x:c r="N143" s="46"/>
      <x:c r="O143" s="46"/>
      <x:c r="P143" s="46"/>
      <x:c r="Q143" s="46"/>
    </x:row>
    <x:row r="144">
      <x:c r="A144" s="46"/>
      <x:c r="B144" s="46"/>
      <x:c r="C144" s="46"/>
      <x:c r="D144" s="46"/>
      <x:c r="E144" s="46"/>
      <x:c r="F144" s="46"/>
      <x:c r="G144" s="46"/>
      <x:c r="H144" s="46"/>
      <x:c r="I144" s="46"/>
      <x:c r="J144" s="46"/>
      <x:c r="K144" s="46"/>
      <x:c r="L144" s="46"/>
      <x:c r="M144" s="46"/>
      <x:c r="N144" s="46"/>
      <x:c r="O144" s="46"/>
      <x:c r="P144" s="46"/>
      <x:c r="Q144" s="46"/>
    </x:row>
    <x:row r="145">
      <x:c r="A145" s="46"/>
      <x:c r="B145" s="46"/>
      <x:c r="C145" s="46"/>
      <x:c r="D145" s="46"/>
      <x:c r="E145" s="46"/>
      <x:c r="F145" s="46"/>
      <x:c r="G145" s="46"/>
      <x:c r="H145" s="46"/>
      <x:c r="I145" s="46"/>
      <x:c r="J145" s="46"/>
      <x:c r="K145" s="46"/>
      <x:c r="L145" s="46"/>
      <x:c r="M145" s="46"/>
      <x:c r="N145" s="46"/>
      <x:c r="O145" s="46"/>
      <x:c r="P145" s="46"/>
      <x:c r="Q145" s="46"/>
    </x:row>
    <x:row r="146">
      <x:c r="A146" s="46"/>
      <x:c r="B146" s="46"/>
      <x:c r="C146" s="46"/>
      <x:c r="D146" s="46"/>
      <x:c r="E146" s="46"/>
      <x:c r="F146" s="46"/>
      <x:c r="G146" s="46"/>
      <x:c r="H146" s="46"/>
      <x:c r="I146" s="46"/>
      <x:c r="J146" s="46"/>
      <x:c r="K146" s="46"/>
      <x:c r="L146" s="46"/>
      <x:c r="M146" s="46"/>
      <x:c r="N146" s="46"/>
      <x:c r="O146" s="46"/>
      <x:c r="P146" s="46"/>
      <x:c r="Q146" s="46"/>
    </x:row>
    <x:row r="147">
      <x:c r="A147" s="46"/>
      <x:c r="B147" s="46"/>
      <x:c r="C147" s="46"/>
      <x:c r="D147" s="46"/>
      <x:c r="E147" s="46"/>
      <x:c r="F147" s="46"/>
      <x:c r="G147" s="46"/>
      <x:c r="H147" s="46"/>
      <x:c r="I147" s="46"/>
      <x:c r="J147" s="46"/>
      <x:c r="K147" s="46"/>
      <x:c r="L147" s="46"/>
      <x:c r="M147" s="46"/>
      <x:c r="N147" s="46"/>
      <x:c r="O147" s="46"/>
      <x:c r="P147" s="46"/>
      <x:c r="Q147" s="46"/>
    </x:row>
    <x:row r="148">
      <x:c r="A148" s="46"/>
      <x:c r="B148" s="46"/>
      <x:c r="C148" s="46"/>
      <x:c r="D148" s="46"/>
      <x:c r="E148" s="46"/>
      <x:c r="F148" s="46"/>
      <x:c r="G148" s="46"/>
      <x:c r="H148" s="46"/>
      <x:c r="I148" s="46"/>
      <x:c r="J148" s="46"/>
      <x:c r="K148" s="46"/>
      <x:c r="L148" s="46"/>
      <x:c r="M148" s="46"/>
      <x:c r="N148" s="46"/>
      <x:c r="O148" s="46"/>
      <x:c r="P148" s="46"/>
      <x:c r="Q148" s="46"/>
    </x:row>
    <x:row r="149">
      <x:c r="A149" s="46"/>
      <x:c r="B149" s="46"/>
      <x:c r="C149" s="46"/>
      <x:c r="D149" s="46"/>
      <x:c r="E149" s="46"/>
      <x:c r="F149" s="46"/>
      <x:c r="G149" s="46"/>
      <x:c r="H149" s="46"/>
      <x:c r="I149" s="46"/>
      <x:c r="J149" s="46"/>
      <x:c r="K149" s="46"/>
      <x:c r="L149" s="46"/>
      <x:c r="M149" s="46"/>
      <x:c r="N149" s="46"/>
      <x:c r="O149" s="46"/>
      <x:c r="P149" s="46"/>
      <x:c r="Q149" s="46"/>
    </x:row>
    <x:row r="150">
      <x:c r="A150" s="46"/>
      <x:c r="B150" s="46"/>
      <x:c r="C150" s="46"/>
      <x:c r="D150" s="46"/>
      <x:c r="E150" s="46"/>
      <x:c r="F150" s="46"/>
      <x:c r="G150" s="46"/>
      <x:c r="H150" s="46"/>
      <x:c r="I150" s="46"/>
      <x:c r="J150" s="46"/>
      <x:c r="K150" s="46"/>
      <x:c r="L150" s="46"/>
      <x:c r="M150" s="46"/>
      <x:c r="N150" s="46"/>
      <x:c r="O150" s="46"/>
      <x:c r="P150" s="46"/>
      <x:c r="Q150" s="46"/>
    </x:row>
    <x:row r="151">
      <x:c r="A151" s="46"/>
      <x:c r="B151" s="46"/>
      <x:c r="C151" s="46"/>
      <x:c r="D151" s="46"/>
      <x:c r="E151" s="46"/>
      <x:c r="F151" s="46"/>
      <x:c r="G151" s="46"/>
      <x:c r="H151" s="46"/>
      <x:c r="I151" s="46"/>
      <x:c r="J151" s="46"/>
      <x:c r="K151" s="46"/>
      <x:c r="L151" s="46"/>
      <x:c r="M151" s="46"/>
      <x:c r="N151" s="46"/>
      <x:c r="O151" s="46"/>
      <x:c r="P151" s="46"/>
      <x:c r="Q151" s="46"/>
    </x:row>
    <x:row r="152">
      <x:c r="A152" s="46"/>
      <x:c r="B152" s="46"/>
      <x:c r="C152" s="46"/>
      <x:c r="D152" s="46"/>
      <x:c r="E152" s="46"/>
      <x:c r="F152" s="46"/>
      <x:c r="G152" s="46"/>
      <x:c r="H152" s="46"/>
      <x:c r="I152" s="46"/>
      <x:c r="J152" s="46"/>
      <x:c r="K152" s="46"/>
      <x:c r="L152" s="46"/>
      <x:c r="M152" s="46"/>
      <x:c r="N152" s="46"/>
      <x:c r="O152" s="46"/>
      <x:c r="P152" s="46"/>
      <x:c r="Q152" s="46"/>
    </x:row>
    <x:row r="153">
      <x:c r="A153" s="46"/>
      <x:c r="B153" s="46"/>
      <x:c r="C153" s="46"/>
      <x:c r="D153" s="46"/>
      <x:c r="E153" s="46"/>
      <x:c r="F153" s="46"/>
      <x:c r="G153" s="46"/>
      <x:c r="H153" s="46"/>
      <x:c r="I153" s="46"/>
      <x:c r="J153" s="46"/>
      <x:c r="K153" s="46"/>
      <x:c r="L153" s="46"/>
      <x:c r="M153" s="46"/>
      <x:c r="N153" s="46"/>
      <x:c r="O153" s="46"/>
      <x:c r="P153" s="46"/>
      <x:c r="Q153" s="46"/>
    </x:row>
    <x:row r="154">
      <x:c r="A154" s="46"/>
      <x:c r="B154" s="46"/>
      <x:c r="C154" s="46"/>
      <x:c r="D154" s="46"/>
      <x:c r="E154" s="46"/>
      <x:c r="F154" s="46"/>
      <x:c r="G154" s="46"/>
      <x:c r="H154" s="46"/>
      <x:c r="I154" s="46"/>
      <x:c r="J154" s="46"/>
      <x:c r="K154" s="46"/>
      <x:c r="L154" s="46"/>
      <x:c r="M154" s="46"/>
      <x:c r="N154" s="46"/>
      <x:c r="O154" s="46"/>
      <x:c r="P154" s="46"/>
      <x:c r="Q154" s="46"/>
    </x:row>
    <x:row r="155">
      <x:c r="A155" s="46"/>
      <x:c r="B155" s="46"/>
      <x:c r="C155" s="46"/>
      <x:c r="D155" s="46"/>
      <x:c r="E155" s="46"/>
      <x:c r="F155" s="46"/>
      <x:c r="G155" s="46"/>
      <x:c r="H155" s="46"/>
      <x:c r="I155" s="46"/>
      <x:c r="J155" s="46"/>
      <x:c r="K155" s="46"/>
      <x:c r="L155" s="46"/>
      <x:c r="M155" s="46"/>
      <x:c r="N155" s="46"/>
      <x:c r="O155" s="46"/>
      <x:c r="P155" s="46"/>
      <x:c r="Q155" s="46"/>
    </x:row>
    <x:row r="156">
      <x:c r="A156" s="46"/>
      <x:c r="B156" s="46"/>
      <x:c r="C156" s="46"/>
      <x:c r="D156" s="46"/>
      <x:c r="E156" s="46"/>
      <x:c r="F156" s="46"/>
      <x:c r="G156" s="46"/>
      <x:c r="H156" s="46"/>
      <x:c r="I156" s="46"/>
      <x:c r="J156" s="46"/>
      <x:c r="K156" s="46"/>
      <x:c r="L156" s="46"/>
      <x:c r="M156" s="46"/>
      <x:c r="N156" s="46"/>
      <x:c r="O156" s="46"/>
      <x:c r="P156" s="46"/>
      <x:c r="Q156" s="46"/>
    </x:row>
    <x:row r="157">
      <x:c r="A157" s="46"/>
      <x:c r="B157" s="46"/>
      <x:c r="C157" s="46"/>
      <x:c r="D157" s="46"/>
      <x:c r="E157" s="46"/>
      <x:c r="F157" s="46"/>
      <x:c r="G157" s="46"/>
      <x:c r="H157" s="46"/>
      <x:c r="I157" s="46"/>
      <x:c r="J157" s="46"/>
      <x:c r="K157" s="46"/>
      <x:c r="L157" s="46"/>
      <x:c r="M157" s="46"/>
      <x:c r="N157" s="46"/>
      <x:c r="O157" s="46"/>
      <x:c r="P157" s="46"/>
      <x:c r="Q157" s="46"/>
    </x:row>
    <x:row r="158">
      <x:c r="A158" s="46"/>
      <x:c r="B158" s="46"/>
      <x:c r="C158" s="46"/>
      <x:c r="D158" s="46"/>
      <x:c r="E158" s="46"/>
      <x:c r="F158" s="46"/>
      <x:c r="G158" s="46"/>
      <x:c r="H158" s="46"/>
      <x:c r="I158" s="46"/>
      <x:c r="J158" s="46"/>
      <x:c r="K158" s="46"/>
      <x:c r="L158" s="46"/>
      <x:c r="M158" s="46"/>
      <x:c r="N158" s="46"/>
      <x:c r="O158" s="46"/>
      <x:c r="P158" s="46"/>
      <x:c r="Q158" s="46"/>
    </x:row>
    <x:row r="159">
      <x:c r="A159" s="46"/>
      <x:c r="B159" s="46"/>
      <x:c r="C159" s="46"/>
      <x:c r="D159" s="46"/>
      <x:c r="E159" s="46"/>
      <x:c r="F159" s="46"/>
      <x:c r="G159" s="46"/>
      <x:c r="H159" s="46"/>
      <x:c r="I159" s="46"/>
      <x:c r="J159" s="46"/>
      <x:c r="K159" s="46"/>
      <x:c r="L159" s="46"/>
      <x:c r="M159" s="46"/>
      <x:c r="N159" s="46"/>
      <x:c r="O159" s="46"/>
      <x:c r="P159" s="46"/>
      <x:c r="Q159" s="46"/>
    </x:row>
    <x:row r="160">
      <x:c r="A160" s="46"/>
      <x:c r="B160" s="46"/>
      <x:c r="C160" s="46"/>
      <x:c r="D160" s="46"/>
      <x:c r="E160" s="46"/>
      <x:c r="F160" s="46"/>
      <x:c r="G160" s="46"/>
      <x:c r="H160" s="46"/>
      <x:c r="I160" s="46"/>
      <x:c r="J160" s="46"/>
      <x:c r="K160" s="46"/>
      <x:c r="L160" s="46"/>
      <x:c r="M160" s="46"/>
      <x:c r="N160" s="46"/>
      <x:c r="O160" s="46"/>
      <x:c r="P160" s="46"/>
      <x:c r="Q160" s="46"/>
    </x:row>
    <x:row r="161">
      <x:c r="A161" s="46"/>
      <x:c r="B161" s="46"/>
      <x:c r="C161" s="46"/>
      <x:c r="D161" s="46"/>
      <x:c r="E161" s="46"/>
      <x:c r="F161" s="46"/>
      <x:c r="G161" s="46"/>
      <x:c r="H161" s="46"/>
      <x:c r="I161" s="46"/>
      <x:c r="J161" s="46"/>
      <x:c r="K161" s="46"/>
      <x:c r="L161" s="46"/>
      <x:c r="M161" s="46"/>
      <x:c r="N161" s="46"/>
      <x:c r="O161" s="46"/>
      <x:c r="P161" s="46"/>
      <x:c r="Q161" s="46"/>
    </x:row>
    <x:row r="162">
      <x:c r="A162" s="46"/>
      <x:c r="B162" s="46"/>
      <x:c r="C162" s="46"/>
      <x:c r="D162" s="46"/>
      <x:c r="E162" s="46"/>
      <x:c r="F162" s="46"/>
      <x:c r="G162" s="46"/>
      <x:c r="H162" s="46"/>
      <x:c r="I162" s="46"/>
      <x:c r="J162" s="46"/>
      <x:c r="K162" s="46"/>
      <x:c r="L162" s="46"/>
      <x:c r="M162" s="46"/>
      <x:c r="N162" s="46"/>
      <x:c r="O162" s="46"/>
      <x:c r="P162" s="46"/>
      <x:c r="Q162" s="46"/>
    </x:row>
    <x:row r="163">
      <x:c r="A163" s="46"/>
      <x:c r="B163" s="46"/>
      <x:c r="C163" s="46"/>
      <x:c r="D163" s="46"/>
      <x:c r="E163" s="46"/>
      <x:c r="F163" s="46"/>
      <x:c r="G163" s="46"/>
      <x:c r="H163" s="46"/>
      <x:c r="I163" s="46"/>
      <x:c r="J163" s="46"/>
      <x:c r="K163" s="46"/>
      <x:c r="L163" s="46"/>
      <x:c r="M163" s="46"/>
      <x:c r="N163" s="46"/>
      <x:c r="O163" s="46"/>
      <x:c r="P163" s="46"/>
      <x:c r="Q163" s="46"/>
    </x:row>
    <x:row r="164">
      <x:c r="A164" s="46"/>
      <x:c r="B164" s="46"/>
      <x:c r="C164" s="46"/>
      <x:c r="D164" s="46"/>
      <x:c r="E164" s="46"/>
      <x:c r="F164" s="46"/>
      <x:c r="G164" s="46"/>
      <x:c r="H164" s="46"/>
      <x:c r="I164" s="46"/>
      <x:c r="J164" s="46"/>
      <x:c r="K164" s="46"/>
      <x:c r="L164" s="46"/>
      <x:c r="M164" s="46"/>
      <x:c r="N164" s="46"/>
      <x:c r="O164" s="46"/>
      <x:c r="P164" s="46"/>
      <x:c r="Q164" s="46"/>
    </x:row>
    <x:row r="165">
      <x:c r="A165" s="46"/>
      <x:c r="B165" s="46"/>
      <x:c r="C165" s="46"/>
      <x:c r="D165" s="46"/>
      <x:c r="E165" s="46"/>
      <x:c r="F165" s="46"/>
      <x:c r="G165" s="46"/>
      <x:c r="H165" s="46"/>
      <x:c r="I165" s="46"/>
      <x:c r="J165" s="46"/>
      <x:c r="K165" s="46"/>
      <x:c r="L165" s="46"/>
      <x:c r="M165" s="46"/>
      <x:c r="N165" s="46"/>
      <x:c r="O165" s="46"/>
      <x:c r="P165" s="46"/>
      <x:c r="Q165" s="46"/>
    </x:row>
    <x:row r="166">
      <x:c r="A166" s="46"/>
      <x:c r="B166" s="46"/>
      <x:c r="C166" s="46"/>
      <x:c r="D166" s="46"/>
      <x:c r="E166" s="46"/>
      <x:c r="F166" s="46"/>
      <x:c r="G166" s="46"/>
      <x:c r="H166" s="46"/>
      <x:c r="I166" s="46"/>
      <x:c r="J166" s="46"/>
      <x:c r="K166" s="46"/>
      <x:c r="L166" s="46"/>
      <x:c r="M166" s="46"/>
      <x:c r="N166" s="46"/>
      <x:c r="O166" s="46"/>
      <x:c r="P166" s="46"/>
      <x:c r="Q166" s="46"/>
    </x:row>
    <x:row r="167">
      <x:c r="A167" s="46"/>
      <x:c r="B167" s="46"/>
      <x:c r="C167" s="46"/>
      <x:c r="D167" s="46"/>
      <x:c r="E167" s="46"/>
      <x:c r="F167" s="46"/>
      <x:c r="G167" s="46"/>
      <x:c r="H167" s="46"/>
      <x:c r="I167" s="46"/>
      <x:c r="J167" s="46"/>
      <x:c r="K167" s="46"/>
      <x:c r="L167" s="46"/>
      <x:c r="M167" s="46"/>
      <x:c r="N167" s="46"/>
      <x:c r="O167" s="46"/>
      <x:c r="P167" s="46"/>
      <x:c r="Q167" s="46"/>
    </x:row>
    <x:row r="168">
      <x:c r="A168" s="46"/>
      <x:c r="B168" s="46"/>
      <x:c r="C168" s="46"/>
      <x:c r="D168" s="46"/>
      <x:c r="E168" s="46"/>
      <x:c r="F168" s="46"/>
      <x:c r="G168" s="46"/>
      <x:c r="H168" s="46"/>
      <x:c r="I168" s="46"/>
      <x:c r="J168" s="46"/>
      <x:c r="K168" s="46"/>
      <x:c r="L168" s="46"/>
      <x:c r="M168" s="46"/>
      <x:c r="N168" s="46"/>
      <x:c r="O168" s="46"/>
      <x:c r="P168" s="46"/>
      <x:c r="Q168" s="46"/>
    </x:row>
    <x:row r="169">
      <x:c r="A169" s="46"/>
      <x:c r="B169" s="46"/>
      <x:c r="C169" s="46"/>
      <x:c r="D169" s="46"/>
      <x:c r="E169" s="46"/>
      <x:c r="F169" s="46"/>
      <x:c r="G169" s="46"/>
      <x:c r="H169" s="46"/>
      <x:c r="I169" s="46"/>
      <x:c r="J169" s="46"/>
      <x:c r="K169" s="46"/>
      <x:c r="L169" s="46"/>
      <x:c r="M169" s="46"/>
      <x:c r="N169" s="46"/>
      <x:c r="O169" s="46"/>
      <x:c r="P169" s="46"/>
      <x:c r="Q169" s="46"/>
    </x:row>
    <x:row r="170">
      <x:c r="A170" s="46"/>
      <x:c r="B170" s="46"/>
      <x:c r="C170" s="46"/>
      <x:c r="D170" s="46"/>
      <x:c r="E170" s="46"/>
      <x:c r="F170" s="46"/>
      <x:c r="G170" s="46"/>
      <x:c r="H170" s="46"/>
      <x:c r="I170" s="46"/>
      <x:c r="J170" s="46"/>
      <x:c r="K170" s="46"/>
      <x:c r="L170" s="46"/>
      <x:c r="M170" s="46"/>
      <x:c r="N170" s="46"/>
      <x:c r="O170" s="46"/>
      <x:c r="P170" s="46"/>
      <x:c r="Q170" s="46"/>
    </x:row>
    <x:row r="171">
      <x:c r="A171" s="46"/>
      <x:c r="B171" s="46"/>
      <x:c r="C171" s="46"/>
      <x:c r="D171" s="46"/>
      <x:c r="E171" s="46"/>
      <x:c r="F171" s="46"/>
      <x:c r="G171" s="46"/>
      <x:c r="H171" s="46"/>
      <x:c r="I171" s="46"/>
      <x:c r="J171" s="46"/>
      <x:c r="K171" s="46"/>
      <x:c r="L171" s="46"/>
      <x:c r="M171" s="46"/>
      <x:c r="N171" s="46"/>
      <x:c r="O171" s="46"/>
      <x:c r="P171" s="46"/>
      <x:c r="Q171" s="46"/>
    </x:row>
    <x:row r="172">
      <x:c r="A172" s="46"/>
      <x:c r="B172" s="46"/>
      <x:c r="C172" s="46"/>
      <x:c r="D172" s="46"/>
      <x:c r="E172" s="46"/>
      <x:c r="F172" s="46"/>
      <x:c r="G172" s="46"/>
      <x:c r="H172" s="46"/>
      <x:c r="I172" s="46"/>
      <x:c r="J172" s="46"/>
      <x:c r="K172" s="46"/>
      <x:c r="L172" s="46"/>
      <x:c r="M172" s="46"/>
      <x:c r="N172" s="46"/>
      <x:c r="O172" s="46"/>
      <x:c r="P172" s="46"/>
      <x:c r="Q172" s="46"/>
    </x:row>
    <x:row r="173">
      <x:c r="A173" s="46"/>
      <x:c r="B173" s="46"/>
      <x:c r="C173" s="46"/>
      <x:c r="D173" s="46"/>
      <x:c r="E173" s="46"/>
      <x:c r="F173" s="46"/>
      <x:c r="G173" s="46"/>
      <x:c r="H173" s="46"/>
      <x:c r="I173" s="46"/>
      <x:c r="J173" s="46"/>
      <x:c r="K173" s="46"/>
      <x:c r="L173" s="46"/>
      <x:c r="M173" s="46"/>
      <x:c r="N173" s="46"/>
      <x:c r="O173" s="46"/>
      <x:c r="P173" s="46"/>
      <x:c r="Q173" s="46"/>
    </x:row>
    <x:row r="174">
      <x:c r="A174" s="46"/>
      <x:c r="B174" s="46"/>
      <x:c r="C174" s="46"/>
      <x:c r="D174" s="46"/>
      <x:c r="E174" s="46"/>
      <x:c r="F174" s="46"/>
      <x:c r="G174" s="46"/>
      <x:c r="H174" s="46"/>
      <x:c r="I174" s="46"/>
      <x:c r="J174" s="46"/>
      <x:c r="K174" s="46"/>
      <x:c r="L174" s="46"/>
      <x:c r="M174" s="46"/>
      <x:c r="N174" s="46"/>
      <x:c r="O174" s="46"/>
      <x:c r="P174" s="46"/>
      <x:c r="Q174" s="46"/>
    </x:row>
    <x:row r="175">
      <x:c r="A175" s="46"/>
      <x:c r="B175" s="46"/>
      <x:c r="C175" s="46"/>
      <x:c r="D175" s="46"/>
      <x:c r="E175" s="46"/>
      <x:c r="F175" s="46"/>
      <x:c r="G175" s="46"/>
      <x:c r="H175" s="46"/>
      <x:c r="I175" s="46"/>
      <x:c r="J175" s="46"/>
      <x:c r="K175" s="46"/>
      <x:c r="L175" s="46"/>
      <x:c r="M175" s="46"/>
      <x:c r="N175" s="46"/>
      <x:c r="O175" s="46"/>
      <x:c r="P175" s="46"/>
      <x:c r="Q175" s="46"/>
    </x:row>
    <x:row r="176">
      <x:c r="A176" s="46"/>
      <x:c r="B176" s="46"/>
      <x:c r="C176" s="46"/>
      <x:c r="D176" s="46"/>
      <x:c r="E176" s="46"/>
      <x:c r="F176" s="46"/>
      <x:c r="G176" s="46"/>
      <x:c r="H176" s="46"/>
      <x:c r="I176" s="46"/>
      <x:c r="J176" s="46"/>
      <x:c r="K176" s="46"/>
      <x:c r="L176" s="46"/>
      <x:c r="M176" s="46"/>
      <x:c r="N176" s="46"/>
      <x:c r="O176" s="46"/>
      <x:c r="P176" s="46"/>
      <x:c r="Q176" s="46"/>
    </x:row>
    <x:row r="177">
      <x:c r="A177" s="46"/>
      <x:c r="B177" s="46"/>
      <x:c r="C177" s="46"/>
      <x:c r="D177" s="46"/>
      <x:c r="E177" s="46"/>
      <x:c r="F177" s="46"/>
      <x:c r="G177" s="46"/>
      <x:c r="H177" s="46"/>
      <x:c r="I177" s="46"/>
      <x:c r="J177" s="46"/>
      <x:c r="K177" s="46"/>
      <x:c r="L177" s="46"/>
      <x:c r="M177" s="46"/>
      <x:c r="N177" s="46"/>
      <x:c r="O177" s="46"/>
      <x:c r="P177" s="46"/>
      <x:c r="Q177" s="46"/>
    </x:row>
    <x:row r="178">
      <x:c r="A178" s="46"/>
      <x:c r="B178" s="46"/>
      <x:c r="C178" s="46"/>
      <x:c r="D178" s="46"/>
      <x:c r="E178" s="46"/>
      <x:c r="F178" s="46"/>
      <x:c r="G178" s="46"/>
      <x:c r="H178" s="46"/>
      <x:c r="I178" s="46"/>
      <x:c r="J178" s="46"/>
      <x:c r="K178" s="46"/>
      <x:c r="L178" s="46"/>
      <x:c r="M178" s="46"/>
      <x:c r="N178" s="46"/>
      <x:c r="O178" s="46"/>
      <x:c r="P178" s="46"/>
      <x:c r="Q178" s="46"/>
    </x:row>
    <x:row r="179">
      <x:c r="A179" s="46"/>
      <x:c r="B179" s="46"/>
      <x:c r="C179" s="46"/>
      <x:c r="D179" s="46"/>
      <x:c r="E179" s="46"/>
      <x:c r="F179" s="46"/>
      <x:c r="G179" s="46"/>
      <x:c r="H179" s="46"/>
      <x:c r="I179" s="46"/>
      <x:c r="J179" s="46"/>
      <x:c r="K179" s="46"/>
      <x:c r="L179" s="46"/>
      <x:c r="M179" s="46"/>
      <x:c r="N179" s="46"/>
      <x:c r="O179" s="46"/>
      <x:c r="P179" s="46"/>
      <x:c r="Q179" s="46"/>
    </x:row>
    <x:row r="180">
      <x:c r="A180" s="46"/>
      <x:c r="B180" s="46"/>
      <x:c r="C180" s="46"/>
      <x:c r="D180" s="46"/>
      <x:c r="E180" s="46"/>
      <x:c r="F180" s="46"/>
      <x:c r="G180" s="46"/>
      <x:c r="H180" s="46"/>
      <x:c r="I180" s="46"/>
      <x:c r="J180" s="46"/>
      <x:c r="K180" s="46"/>
      <x:c r="L180" s="46"/>
      <x:c r="M180" s="46"/>
      <x:c r="N180" s="46"/>
      <x:c r="O180" s="46"/>
      <x:c r="P180" s="46"/>
      <x:c r="Q180" s="46"/>
    </x:row>
    <x:row r="181">
      <x:c r="A181" s="46"/>
      <x:c r="B181" s="46"/>
      <x:c r="C181" s="46"/>
      <x:c r="D181" s="46"/>
      <x:c r="E181" s="46"/>
      <x:c r="F181" s="46"/>
      <x:c r="G181" s="46"/>
      <x:c r="H181" s="46"/>
      <x:c r="I181" s="46"/>
      <x:c r="J181" s="46"/>
      <x:c r="K181" s="46"/>
      <x:c r="L181" s="46"/>
      <x:c r="M181" s="46"/>
      <x:c r="N181" s="46"/>
      <x:c r="O181" s="46"/>
      <x:c r="P181" s="46"/>
      <x:c r="Q181" s="46"/>
    </x:row>
    <x:row r="182">
      <x:c r="A182" s="46"/>
      <x:c r="B182" s="46"/>
      <x:c r="C182" s="46"/>
      <x:c r="D182" s="46"/>
      <x:c r="E182" s="46"/>
      <x:c r="F182" s="46"/>
      <x:c r="G182" s="46"/>
      <x:c r="H182" s="46"/>
      <x:c r="I182" s="46"/>
      <x:c r="J182" s="46"/>
      <x:c r="K182" s="46"/>
      <x:c r="L182" s="46"/>
      <x:c r="M182" s="46"/>
      <x:c r="N182" s="46"/>
      <x:c r="O182" s="46"/>
      <x:c r="P182" s="46"/>
      <x:c r="Q182" s="46"/>
    </x:row>
    <x:row r="183">
      <x:c r="A183" s="46"/>
      <x:c r="B183" s="46"/>
      <x:c r="C183" s="46"/>
      <x:c r="D183" s="46"/>
      <x:c r="E183" s="46"/>
      <x:c r="F183" s="46"/>
      <x:c r="G183" s="46"/>
      <x:c r="H183" s="46"/>
      <x:c r="I183" s="46"/>
      <x:c r="J183" s="46"/>
      <x:c r="K183" s="46"/>
      <x:c r="L183" s="46"/>
      <x:c r="M183" s="46"/>
      <x:c r="N183" s="46"/>
      <x:c r="O183" s="46"/>
      <x:c r="P183" s="46"/>
      <x:c r="Q183" s="46"/>
    </x:row>
    <x:row r="184">
      <x:c r="A184" s="46"/>
      <x:c r="B184" s="46"/>
      <x:c r="C184" s="46"/>
      <x:c r="D184" s="46"/>
      <x:c r="E184" s="46"/>
      <x:c r="F184" s="46"/>
      <x:c r="G184" s="46"/>
      <x:c r="H184" s="46"/>
      <x:c r="I184" s="46"/>
      <x:c r="J184" s="46"/>
      <x:c r="K184" s="46"/>
      <x:c r="L184" s="46"/>
      <x:c r="M184" s="46"/>
      <x:c r="N184" s="46"/>
      <x:c r="O184" s="46"/>
      <x:c r="P184" s="46"/>
      <x:c r="Q184" s="46"/>
    </x:row>
    <x:row r="185">
      <x:c r="A185" s="46"/>
      <x:c r="B185" s="46"/>
      <x:c r="C185" s="46"/>
      <x:c r="D185" s="46"/>
      <x:c r="E185" s="46"/>
      <x:c r="F185" s="46"/>
      <x:c r="G185" s="46"/>
      <x:c r="H185" s="46"/>
      <x:c r="I185" s="46"/>
      <x:c r="J185" s="46"/>
      <x:c r="K185" s="46"/>
      <x:c r="L185" s="46"/>
      <x:c r="M185" s="46"/>
      <x:c r="N185" s="46"/>
      <x:c r="O185" s="46"/>
      <x:c r="P185" s="46"/>
      <x:c r="Q185" s="46"/>
    </x:row>
    <x:row r="186">
      <x:c r="A186" s="46"/>
      <x:c r="B186" s="46"/>
      <x:c r="C186" s="46"/>
      <x:c r="D186" s="46"/>
      <x:c r="E186" s="46"/>
      <x:c r="F186" s="46"/>
      <x:c r="G186" s="46"/>
      <x:c r="H186" s="46"/>
      <x:c r="I186" s="46"/>
      <x:c r="J186" s="46"/>
      <x:c r="K186" s="46"/>
      <x:c r="L186" s="46"/>
      <x:c r="M186" s="46"/>
      <x:c r="N186" s="46"/>
      <x:c r="O186" s="46"/>
      <x:c r="P186" s="46"/>
      <x:c r="Q186" s="46"/>
    </x:row>
    <x:row r="187">
      <x:c r="A187" s="46"/>
      <x:c r="B187" s="46"/>
      <x:c r="C187" s="46"/>
      <x:c r="D187" s="46"/>
      <x:c r="E187" s="46"/>
      <x:c r="F187" s="46"/>
      <x:c r="G187" s="46"/>
      <x:c r="H187" s="46"/>
      <x:c r="I187" s="46"/>
      <x:c r="J187" s="46"/>
      <x:c r="K187" s="46"/>
      <x:c r="L187" s="46"/>
      <x:c r="M187" s="46"/>
      <x:c r="N187" s="46"/>
      <x:c r="O187" s="46"/>
      <x:c r="P187" s="46"/>
      <x:c r="Q187" s="46"/>
    </x:row>
    <x:row r="188">
      <x:c r="A188" s="46"/>
      <x:c r="B188" s="46"/>
      <x:c r="C188" s="46"/>
      <x:c r="D188" s="46"/>
      <x:c r="E188" s="46"/>
      <x:c r="F188" s="46"/>
      <x:c r="G188" s="46"/>
      <x:c r="H188" s="46"/>
      <x:c r="I188" s="46"/>
      <x:c r="J188" s="46"/>
      <x:c r="K188" s="46"/>
      <x:c r="L188" s="46"/>
      <x:c r="M188" s="46"/>
      <x:c r="N188" s="46"/>
      <x:c r="O188" s="46"/>
      <x:c r="P188" s="46"/>
      <x:c r="Q188" s="46"/>
    </x:row>
    <x:row r="189">
      <x:c r="A189" s="46"/>
      <x:c r="B189" s="46"/>
      <x:c r="C189" s="46"/>
      <x:c r="D189" s="46"/>
      <x:c r="E189" s="46"/>
      <x:c r="F189" s="46"/>
      <x:c r="G189" s="46"/>
      <x:c r="H189" s="46"/>
      <x:c r="I189" s="46"/>
      <x:c r="J189" s="46"/>
      <x:c r="K189" s="46"/>
      <x:c r="L189" s="46"/>
      <x:c r="M189" s="46"/>
      <x:c r="N189" s="46"/>
      <x:c r="O189" s="46"/>
      <x:c r="P189" s="46"/>
      <x:c r="Q189" s="46"/>
    </x:row>
    <x:row r="190">
      <x:c r="A190" s="46"/>
      <x:c r="B190" s="46"/>
      <x:c r="C190" s="46"/>
      <x:c r="D190" s="46"/>
      <x:c r="E190" s="46"/>
      <x:c r="F190" s="46"/>
      <x:c r="G190" s="46"/>
      <x:c r="H190" s="46"/>
      <x:c r="I190" s="46"/>
      <x:c r="J190" s="46"/>
      <x:c r="K190" s="46"/>
      <x:c r="L190" s="46"/>
      <x:c r="M190" s="46"/>
      <x:c r="N190" s="46"/>
      <x:c r="O190" s="46"/>
      <x:c r="P190" s="46"/>
      <x:c r="Q190" s="46"/>
    </x:row>
    <x:row r="191">
      <x:c r="A191" s="46"/>
      <x:c r="B191" s="46"/>
      <x:c r="C191" s="46"/>
      <x:c r="D191" s="46"/>
      <x:c r="E191" s="46"/>
      <x:c r="F191" s="46"/>
      <x:c r="G191" s="46"/>
      <x:c r="H191" s="46"/>
      <x:c r="I191" s="46"/>
      <x:c r="J191" s="46"/>
      <x:c r="K191" s="46"/>
      <x:c r="L191" s="46"/>
      <x:c r="M191" s="46"/>
      <x:c r="N191" s="46"/>
      <x:c r="O191" s="46"/>
      <x:c r="P191" s="46"/>
      <x:c r="Q191" s="46"/>
    </x:row>
    <x:row r="192">
      <x:c r="A192" s="46"/>
      <x:c r="B192" s="46"/>
      <x:c r="C192" s="46"/>
      <x:c r="D192" s="46"/>
      <x:c r="E192" s="46"/>
      <x:c r="F192" s="46"/>
      <x:c r="G192" s="46"/>
      <x:c r="H192" s="46"/>
      <x:c r="I192" s="46"/>
      <x:c r="J192" s="46"/>
      <x:c r="K192" s="46"/>
      <x:c r="L192" s="46"/>
      <x:c r="M192" s="46"/>
      <x:c r="N192" s="46"/>
      <x:c r="O192" s="46"/>
      <x:c r="P192" s="46"/>
      <x:c r="Q192" s="46"/>
    </x:row>
    <x:row r="193">
      <x:c r="A193" s="46"/>
      <x:c r="B193" s="46"/>
      <x:c r="C193" s="46"/>
      <x:c r="D193" s="46"/>
      <x:c r="E193" s="46"/>
      <x:c r="F193" s="46"/>
      <x:c r="G193" s="46"/>
      <x:c r="H193" s="46"/>
      <x:c r="I193" s="46"/>
      <x:c r="J193" s="46"/>
      <x:c r="K193" s="46"/>
      <x:c r="L193" s="46"/>
      <x:c r="M193" s="46"/>
      <x:c r="N193" s="46"/>
      <x:c r="O193" s="46"/>
      <x:c r="P193" s="46"/>
      <x:c r="Q193" s="46"/>
    </x:row>
    <x:row r="194">
      <x:c r="A194" s="46"/>
      <x:c r="B194" s="46"/>
      <x:c r="C194" s="46"/>
      <x:c r="D194" s="46"/>
      <x:c r="E194" s="46"/>
      <x:c r="F194" s="46"/>
      <x:c r="G194" s="46"/>
      <x:c r="H194" s="46"/>
      <x:c r="I194" s="46"/>
      <x:c r="J194" s="46"/>
      <x:c r="K194" s="46"/>
      <x:c r="L194" s="46"/>
      <x:c r="M194" s="46"/>
      <x:c r="N194" s="46"/>
      <x:c r="O194" s="46"/>
      <x:c r="P194" s="46"/>
      <x:c r="Q194" s="46"/>
    </x:row>
    <x:row r="195">
      <x:c r="A195" s="46"/>
      <x:c r="B195" s="46"/>
      <x:c r="C195" s="46"/>
      <x:c r="D195" s="46"/>
      <x:c r="E195" s="46"/>
      <x:c r="F195" s="46"/>
      <x:c r="G195" s="46"/>
      <x:c r="H195" s="46"/>
      <x:c r="I195" s="46"/>
      <x:c r="J195" s="46"/>
      <x:c r="K195" s="46"/>
      <x:c r="L195" s="46"/>
      <x:c r="M195" s="46"/>
      <x:c r="N195" s="46"/>
      <x:c r="O195" s="46"/>
      <x:c r="P195" s="46"/>
      <x:c r="Q195" s="46"/>
    </x:row>
    <x:row r="196">
      <x:c r="A196" s="46"/>
      <x:c r="B196" s="46"/>
      <x:c r="C196" s="46"/>
      <x:c r="D196" s="46"/>
      <x:c r="E196" s="46"/>
      <x:c r="F196" s="46"/>
      <x:c r="G196" s="46"/>
      <x:c r="H196" s="46"/>
      <x:c r="I196" s="46"/>
      <x:c r="J196" s="46"/>
      <x:c r="K196" s="46"/>
      <x:c r="L196" s="46"/>
      <x:c r="M196" s="46"/>
      <x:c r="N196" s="46"/>
      <x:c r="O196" s="46"/>
      <x:c r="P196" s="46"/>
      <x:c r="Q196" s="46"/>
    </x:row>
    <x:row r="197">
      <x:c r="A197" s="46"/>
      <x:c r="B197" s="46"/>
      <x:c r="C197" s="46"/>
      <x:c r="D197" s="46"/>
      <x:c r="E197" s="46"/>
      <x:c r="F197" s="46"/>
      <x:c r="G197" s="46"/>
      <x:c r="H197" s="46"/>
      <x:c r="I197" s="46"/>
      <x:c r="J197" s="46"/>
      <x:c r="K197" s="46"/>
      <x:c r="L197" s="46"/>
      <x:c r="M197" s="46"/>
      <x:c r="N197" s="46"/>
      <x:c r="O197" s="46"/>
      <x:c r="P197" s="46"/>
      <x:c r="Q197" s="46"/>
    </x:row>
    <x:row r="198">
      <x:c r="A198" s="46"/>
      <x:c r="B198" s="46"/>
      <x:c r="C198" s="46"/>
      <x:c r="D198" s="46"/>
      <x:c r="E198" s="46"/>
      <x:c r="F198" s="46"/>
      <x:c r="G198" s="46"/>
      <x:c r="H198" s="46"/>
      <x:c r="I198" s="46"/>
      <x:c r="J198" s="46"/>
      <x:c r="K198" s="46"/>
      <x:c r="L198" s="46"/>
      <x:c r="M198" s="46"/>
      <x:c r="N198" s="46"/>
      <x:c r="O198" s="46"/>
      <x:c r="P198" s="46"/>
      <x:c r="Q198" s="46"/>
    </x:row>
    <x:row r="199">
      <x:c r="A199" s="46"/>
      <x:c r="B199" s="46"/>
      <x:c r="C199" s="46"/>
      <x:c r="D199" s="46"/>
      <x:c r="E199" s="46"/>
      <x:c r="F199" s="46"/>
      <x:c r="G199" s="46"/>
      <x:c r="H199" s="46"/>
      <x:c r="I199" s="46"/>
      <x:c r="J199" s="46"/>
      <x:c r="K199" s="46"/>
      <x:c r="L199" s="46"/>
      <x:c r="M199" s="46"/>
      <x:c r="N199" s="46"/>
      <x:c r="O199" s="46"/>
      <x:c r="P199" s="46"/>
      <x:c r="Q199" s="46"/>
    </x:row>
    <x:row r="200">
      <x:c r="A200" s="46"/>
      <x:c r="B200" s="46"/>
      <x:c r="C200" s="46"/>
      <x:c r="D200" s="46"/>
      <x:c r="E200" s="46"/>
      <x:c r="F200" s="46"/>
      <x:c r="G200" s="46"/>
      <x:c r="H200" s="46"/>
      <x:c r="I200" s="46"/>
      <x:c r="J200" s="46"/>
      <x:c r="K200" s="46"/>
      <x:c r="L200" s="46"/>
      <x:c r="M200" s="46"/>
      <x:c r="N200" s="46"/>
      <x:c r="O200" s="46"/>
      <x:c r="P200" s="46"/>
      <x:c r="Q200" s="46"/>
    </x:row>
    <x:row r="201">
      <x:c r="A201" s="46"/>
      <x:c r="B201" s="46"/>
      <x:c r="C201" s="46"/>
      <x:c r="D201" s="46"/>
      <x:c r="E201" s="46"/>
      <x:c r="F201" s="46"/>
      <x:c r="G201" s="46"/>
      <x:c r="H201" s="46"/>
      <x:c r="I201" s="46"/>
      <x:c r="J201" s="46"/>
      <x:c r="K201" s="46"/>
      <x:c r="L201" s="46"/>
      <x:c r="M201" s="46"/>
      <x:c r="N201" s="46"/>
      <x:c r="O201" s="46"/>
      <x:c r="P201" s="46"/>
      <x:c r="Q201" s="46"/>
    </x:row>
    <x:row r="202">
      <x:c r="A202" s="46"/>
      <x:c r="B202" s="46"/>
      <x:c r="C202" s="46"/>
      <x:c r="D202" s="46"/>
      <x:c r="E202" s="46"/>
      <x:c r="F202" s="46"/>
      <x:c r="G202" s="46"/>
      <x:c r="H202" s="46"/>
      <x:c r="I202" s="46"/>
      <x:c r="J202" s="46"/>
      <x:c r="K202" s="46"/>
      <x:c r="L202" s="46"/>
      <x:c r="M202" s="46"/>
      <x:c r="N202" s="46"/>
      <x:c r="O202" s="46"/>
      <x:c r="P202" s="46"/>
      <x:c r="Q202" s="46"/>
    </x:row>
    <x:row r="203">
      <x:c r="A203" s="46"/>
      <x:c r="B203" s="46"/>
      <x:c r="C203" s="46"/>
      <x:c r="D203" s="46"/>
      <x:c r="E203" s="46"/>
      <x:c r="F203" s="46"/>
      <x:c r="G203" s="46"/>
      <x:c r="H203" s="46"/>
      <x:c r="I203" s="46"/>
      <x:c r="J203" s="46"/>
      <x:c r="K203" s="46"/>
      <x:c r="L203" s="46"/>
      <x:c r="M203" s="46"/>
      <x:c r="N203" s="46"/>
      <x:c r="O203" s="46"/>
      <x:c r="P203" s="46"/>
      <x:c r="Q203" s="46"/>
    </x:row>
    <x:row r="204">
      <x:c r="A204" s="46"/>
      <x:c r="B204" s="46"/>
      <x:c r="C204" s="46"/>
      <x:c r="D204" s="46"/>
      <x:c r="E204" s="46"/>
      <x:c r="F204" s="46"/>
      <x:c r="G204" s="46"/>
      <x:c r="H204" s="46"/>
      <x:c r="I204" s="46"/>
      <x:c r="J204" s="46"/>
      <x:c r="K204" s="46"/>
      <x:c r="L204" s="46"/>
      <x:c r="M204" s="46"/>
      <x:c r="N204" s="46"/>
      <x:c r="O204" s="46"/>
      <x:c r="P204" s="46"/>
      <x:c r="Q204" s="46"/>
    </x:row>
    <x:row r="205">
      <x:c r="A205" s="46"/>
      <x:c r="B205" s="46"/>
      <x:c r="C205" s="46"/>
      <x:c r="D205" s="46"/>
      <x:c r="E205" s="46"/>
      <x:c r="F205" s="46"/>
      <x:c r="G205" s="46"/>
      <x:c r="H205" s="46"/>
      <x:c r="I205" s="46"/>
      <x:c r="J205" s="46"/>
      <x:c r="K205" s="46"/>
      <x:c r="L205" s="46"/>
      <x:c r="M205" s="46"/>
      <x:c r="N205" s="46"/>
      <x:c r="O205" s="46"/>
      <x:c r="P205" s="46"/>
      <x:c r="Q205" s="46"/>
    </x:row>
    <x:row r="206">
      <x:c r="A206" s="46"/>
      <x:c r="B206" s="46"/>
      <x:c r="C206" s="46"/>
      <x:c r="D206" s="46"/>
      <x:c r="E206" s="46"/>
      <x:c r="F206" s="46"/>
      <x:c r="G206" s="46"/>
      <x:c r="H206" s="46"/>
      <x:c r="I206" s="46"/>
      <x:c r="J206" s="46"/>
      <x:c r="K206" s="46"/>
      <x:c r="L206" s="46"/>
      <x:c r="M206" s="46"/>
      <x:c r="N206" s="46"/>
      <x:c r="O206" s="46"/>
      <x:c r="P206" s="46"/>
      <x:c r="Q206" s="46"/>
    </x:row>
    <x:row r="207">
      <x:c r="A207" s="46"/>
      <x:c r="B207" s="46"/>
      <x:c r="C207" s="46"/>
      <x:c r="D207" s="46"/>
      <x:c r="E207" s="46"/>
      <x:c r="F207" s="46"/>
      <x:c r="G207" s="46"/>
      <x:c r="H207" s="46"/>
      <x:c r="I207" s="46"/>
      <x:c r="J207" s="46"/>
      <x:c r="K207" s="46"/>
      <x:c r="L207" s="46"/>
      <x:c r="M207" s="46"/>
      <x:c r="N207" s="46"/>
      <x:c r="O207" s="46"/>
      <x:c r="P207" s="46"/>
      <x:c r="Q207" s="46"/>
    </x:row>
    <x:row r="208">
      <x:c r="A208" s="46"/>
      <x:c r="B208" s="46"/>
      <x:c r="C208" s="46"/>
      <x:c r="D208" s="46"/>
      <x:c r="E208" s="46"/>
      <x:c r="F208" s="46"/>
      <x:c r="G208" s="46"/>
      <x:c r="H208" s="46"/>
      <x:c r="I208" s="46"/>
      <x:c r="J208" s="46"/>
      <x:c r="K208" s="46"/>
      <x:c r="L208" s="46"/>
      <x:c r="M208" s="46"/>
      <x:c r="N208" s="46"/>
      <x:c r="O208" s="46"/>
      <x:c r="P208" s="46"/>
      <x:c r="Q208" s="46"/>
    </x:row>
    <x:row r="209">
      <x:c r="A209" s="46"/>
      <x:c r="B209" s="46"/>
      <x:c r="C209" s="46"/>
      <x:c r="D209" s="46"/>
      <x:c r="E209" s="46"/>
      <x:c r="F209" s="46"/>
      <x:c r="G209" s="46"/>
      <x:c r="H209" s="46"/>
      <x:c r="I209" s="46"/>
      <x:c r="J209" s="46"/>
      <x:c r="K209" s="46"/>
      <x:c r="L209" s="46"/>
      <x:c r="M209" s="46"/>
      <x:c r="N209" s="46"/>
      <x:c r="O209" s="46"/>
      <x:c r="P209" s="46"/>
      <x:c r="Q209" s="46"/>
    </x:row>
    <x:row r="210">
      <x:c r="A210" s="46"/>
      <x:c r="B210" s="46"/>
      <x:c r="C210" s="46"/>
      <x:c r="D210" s="46"/>
      <x:c r="E210" s="46"/>
      <x:c r="F210" s="46"/>
      <x:c r="G210" s="46"/>
      <x:c r="H210" s="46"/>
      <x:c r="I210" s="46"/>
      <x:c r="J210" s="46"/>
      <x:c r="K210" s="46"/>
      <x:c r="L210" s="46"/>
      <x:c r="M210" s="46"/>
      <x:c r="N210" s="46"/>
      <x:c r="O210" s="46"/>
      <x:c r="P210" s="46"/>
      <x:c r="Q210" s="46"/>
    </x:row>
    <x:row r="211">
      <x:c r="A211" s="46"/>
      <x:c r="B211" s="46"/>
      <x:c r="C211" s="46"/>
      <x:c r="D211" s="46"/>
      <x:c r="E211" s="46"/>
      <x:c r="F211" s="46"/>
      <x:c r="G211" s="46"/>
      <x:c r="H211" s="46"/>
      <x:c r="I211" s="46"/>
      <x:c r="J211" s="46"/>
      <x:c r="K211" s="46"/>
      <x:c r="L211" s="46"/>
      <x:c r="M211" s="46"/>
      <x:c r="N211" s="46"/>
      <x:c r="O211" s="46"/>
      <x:c r="P211" s="46"/>
      <x:c r="Q211" s="46"/>
    </x:row>
    <x:row r="212">
      <x:c r="A212" s="46"/>
      <x:c r="B212" s="46"/>
      <x:c r="C212" s="46"/>
      <x:c r="D212" s="46"/>
      <x:c r="E212" s="46"/>
      <x:c r="F212" s="46"/>
      <x:c r="G212" s="46"/>
      <x:c r="H212" s="46"/>
      <x:c r="I212" s="46"/>
      <x:c r="J212" s="46"/>
      <x:c r="K212" s="46"/>
      <x:c r="L212" s="46"/>
      <x:c r="M212" s="46"/>
      <x:c r="N212" s="46"/>
      <x:c r="O212" s="46"/>
      <x:c r="P212" s="46"/>
      <x:c r="Q212" s="46"/>
    </x:row>
    <x:row r="213">
      <x:c r="A213" s="46"/>
      <x:c r="B213" s="46"/>
      <x:c r="C213" s="46"/>
      <x:c r="D213" s="46"/>
      <x:c r="E213" s="46"/>
      <x:c r="F213" s="46"/>
      <x:c r="G213" s="46"/>
      <x:c r="H213" s="46"/>
      <x:c r="I213" s="46"/>
      <x:c r="J213" s="46"/>
      <x:c r="K213" s="46"/>
      <x:c r="L213" s="46"/>
      <x:c r="M213" s="46"/>
      <x:c r="N213" s="46"/>
      <x:c r="O213" s="46"/>
      <x:c r="P213" s="46"/>
      <x:c r="Q213" s="46"/>
    </x:row>
    <x:row r="214">
      <x:c r="A214" s="46"/>
      <x:c r="B214" s="46"/>
      <x:c r="C214" s="46"/>
      <x:c r="D214" s="46"/>
      <x:c r="E214" s="46"/>
      <x:c r="F214" s="46"/>
      <x:c r="G214" s="46"/>
      <x:c r="H214" s="46"/>
      <x:c r="I214" s="46"/>
      <x:c r="J214" s="46"/>
      <x:c r="K214" s="46"/>
      <x:c r="L214" s="46"/>
      <x:c r="M214" s="46"/>
      <x:c r="N214" s="46"/>
      <x:c r="O214" s="46"/>
      <x:c r="P214" s="46"/>
      <x:c r="Q214" s="46"/>
    </x:row>
    <x:row r="215">
      <x:c r="A215" s="46"/>
      <x:c r="B215" s="46"/>
      <x:c r="C215" s="46"/>
      <x:c r="D215" s="46"/>
      <x:c r="E215" s="46"/>
      <x:c r="F215" s="46"/>
      <x:c r="G215" s="46"/>
      <x:c r="H215" s="46"/>
      <x:c r="I215" s="46"/>
      <x:c r="J215" s="46"/>
      <x:c r="K215" s="46"/>
      <x:c r="L215" s="46"/>
      <x:c r="M215" s="46"/>
      <x:c r="N215" s="46"/>
      <x:c r="O215" s="46"/>
      <x:c r="P215" s="46"/>
      <x:c r="Q215" s="46"/>
    </x:row>
    <x:row r="216">
      <x:c r="A216" s="46"/>
      <x:c r="B216" s="46"/>
      <x:c r="C216" s="46"/>
      <x:c r="D216" s="46"/>
      <x:c r="E216" s="46"/>
      <x:c r="F216" s="46"/>
      <x:c r="G216" s="46"/>
      <x:c r="H216" s="46"/>
      <x:c r="I216" s="46"/>
      <x:c r="J216" s="46"/>
      <x:c r="K216" s="46"/>
      <x:c r="L216" s="46"/>
      <x:c r="M216" s="46"/>
      <x:c r="N216" s="46"/>
      <x:c r="O216" s="46"/>
      <x:c r="P216" s="46"/>
      <x:c r="Q216" s="46"/>
    </x:row>
    <x:row r="217">
      <x:c r="A217" s="46"/>
      <x:c r="B217" s="46"/>
      <x:c r="C217" s="46"/>
      <x:c r="D217" s="46"/>
      <x:c r="E217" s="46"/>
      <x:c r="F217" s="46"/>
      <x:c r="G217" s="46"/>
      <x:c r="H217" s="46"/>
      <x:c r="I217" s="46"/>
      <x:c r="J217" s="46"/>
      <x:c r="K217" s="46"/>
      <x:c r="L217" s="46"/>
      <x:c r="M217" s="46"/>
      <x:c r="N217" s="46"/>
      <x:c r="O217" s="46"/>
      <x:c r="P217" s="46"/>
      <x:c r="Q217" s="46"/>
    </x:row>
    <x:row r="218">
      <x:c r="A218" s="46"/>
      <x:c r="B218" s="46"/>
      <x:c r="C218" s="46"/>
      <x:c r="D218" s="46"/>
      <x:c r="E218" s="46"/>
      <x:c r="F218" s="46"/>
      <x:c r="G218" s="46"/>
      <x:c r="H218" s="46"/>
      <x:c r="I218" s="46"/>
      <x:c r="J218" s="46"/>
      <x:c r="K218" s="46"/>
      <x:c r="L218" s="46"/>
      <x:c r="M218" s="46"/>
      <x:c r="N218" s="46"/>
      <x:c r="O218" s="46"/>
      <x:c r="P218" s="46"/>
      <x:c r="Q218" s="46"/>
    </x:row>
    <x:row r="219">
      <x:c r="A219" s="46"/>
      <x:c r="B219" s="46"/>
      <x:c r="C219" s="46"/>
      <x:c r="D219" s="46"/>
      <x:c r="E219" s="46"/>
      <x:c r="F219" s="46"/>
      <x:c r="G219" s="46"/>
      <x:c r="H219" s="46"/>
      <x:c r="I219" s="46"/>
      <x:c r="J219" s="46"/>
      <x:c r="K219" s="46"/>
      <x:c r="L219" s="46"/>
      <x:c r="M219" s="46"/>
      <x:c r="N219" s="46"/>
      <x:c r="O219" s="46"/>
      <x:c r="P219" s="46"/>
      <x:c r="Q219" s="46"/>
    </x:row>
    <x:row r="220">
      <x:c r="A220" s="46"/>
      <x:c r="B220" s="46"/>
      <x:c r="C220" s="46"/>
      <x:c r="D220" s="46"/>
      <x:c r="E220" s="46"/>
      <x:c r="F220" s="46"/>
      <x:c r="G220" s="46"/>
      <x:c r="H220" s="46"/>
      <x:c r="I220" s="46"/>
      <x:c r="J220" s="46"/>
      <x:c r="K220" s="46"/>
      <x:c r="L220" s="46"/>
      <x:c r="M220" s="46"/>
      <x:c r="N220" s="46"/>
      <x:c r="O220" s="46"/>
      <x:c r="P220" s="46"/>
      <x:c r="Q220" s="46"/>
    </x:row>
    <x:row r="221">
      <x:c r="A221" s="46"/>
      <x:c r="B221" s="46"/>
      <x:c r="C221" s="46"/>
      <x:c r="D221" s="46"/>
      <x:c r="E221" s="46"/>
      <x:c r="F221" s="46"/>
      <x:c r="G221" s="46"/>
      <x:c r="H221" s="46"/>
      <x:c r="I221" s="46"/>
      <x:c r="J221" s="46"/>
      <x:c r="K221" s="46"/>
      <x:c r="L221" s="46"/>
      <x:c r="M221" s="46"/>
      <x:c r="N221" s="46"/>
      <x:c r="O221" s="46"/>
      <x:c r="P221" s="46"/>
      <x:c r="Q221" s="46"/>
    </x:row>
    <x:row r="222">
      <x:c r="A222" s="46"/>
      <x:c r="B222" s="46"/>
      <x:c r="C222" s="46"/>
      <x:c r="D222" s="46"/>
      <x:c r="E222" s="46"/>
      <x:c r="F222" s="46"/>
      <x:c r="G222" s="46"/>
      <x:c r="H222" s="46"/>
      <x:c r="I222" s="46"/>
      <x:c r="J222" s="46"/>
      <x:c r="K222" s="46"/>
      <x:c r="L222" s="46"/>
      <x:c r="M222" s="46"/>
      <x:c r="N222" s="46"/>
      <x:c r="O222" s="46"/>
      <x:c r="P222" s="46"/>
      <x:c r="Q222" s="46"/>
    </x:row>
    <x:row r="223">
      <x:c r="A223" s="46"/>
      <x:c r="B223" s="46"/>
      <x:c r="C223" s="46"/>
      <x:c r="D223" s="46"/>
      <x:c r="E223" s="46"/>
      <x:c r="F223" s="46"/>
      <x:c r="G223" s="46"/>
      <x:c r="H223" s="46"/>
      <x:c r="I223" s="46"/>
      <x:c r="J223" s="46"/>
      <x:c r="K223" s="46"/>
      <x:c r="L223" s="46"/>
      <x:c r="M223" s="46"/>
      <x:c r="N223" s="46"/>
      <x:c r="O223" s="46"/>
      <x:c r="P223" s="46"/>
      <x:c r="Q223" s="46"/>
    </x:row>
    <x:row r="224">
      <x:c r="A224" s="46"/>
      <x:c r="B224" s="46"/>
      <x:c r="C224" s="46"/>
      <x:c r="D224" s="46"/>
      <x:c r="E224" s="46"/>
      <x:c r="F224" s="46"/>
      <x:c r="G224" s="46"/>
      <x:c r="H224" s="46"/>
      <x:c r="I224" s="46"/>
      <x:c r="J224" s="46"/>
      <x:c r="K224" s="46"/>
      <x:c r="L224" s="46"/>
      <x:c r="M224" s="46"/>
      <x:c r="N224" s="46"/>
      <x:c r="O224" s="46"/>
      <x:c r="P224" s="46"/>
      <x:c r="Q224" s="46"/>
    </x:row>
    <x:row r="225">
      <x:c r="A225" s="46"/>
      <x:c r="B225" s="46"/>
      <x:c r="C225" s="46"/>
      <x:c r="D225" s="46"/>
      <x:c r="E225" s="46"/>
      <x:c r="F225" s="46"/>
      <x:c r="G225" s="46"/>
      <x:c r="H225" s="46"/>
      <x:c r="I225" s="46"/>
      <x:c r="J225" s="46"/>
      <x:c r="K225" s="46"/>
      <x:c r="L225" s="46"/>
      <x:c r="M225" s="46"/>
      <x:c r="N225" s="46"/>
      <x:c r="O225" s="46"/>
      <x:c r="P225" s="46"/>
      <x:c r="Q225" s="46"/>
    </x:row>
    <x:row r="226">
      <x:c r="A226" s="46"/>
      <x:c r="B226" s="46"/>
      <x:c r="C226" s="46"/>
      <x:c r="D226" s="46"/>
      <x:c r="E226" s="46"/>
      <x:c r="F226" s="46"/>
      <x:c r="G226" s="46"/>
      <x:c r="H226" s="46"/>
      <x:c r="I226" s="46"/>
      <x:c r="J226" s="46"/>
      <x:c r="K226" s="46"/>
      <x:c r="L226" s="46"/>
      <x:c r="M226" s="46"/>
      <x:c r="N226" s="46"/>
      <x:c r="O226" s="46"/>
      <x:c r="P226" s="46"/>
      <x:c r="Q226" s="46"/>
    </x:row>
    <x:row r="227">
      <x:c r="A227" s="46"/>
      <x:c r="B227" s="46"/>
      <x:c r="C227" s="46"/>
      <x:c r="D227" s="46"/>
      <x:c r="E227" s="46"/>
      <x:c r="F227" s="46"/>
      <x:c r="G227" s="46"/>
      <x:c r="H227" s="46"/>
      <x:c r="I227" s="46"/>
      <x:c r="J227" s="46"/>
      <x:c r="K227" s="46"/>
      <x:c r="L227" s="46"/>
      <x:c r="M227" s="46"/>
      <x:c r="N227" s="46"/>
      <x:c r="O227" s="46"/>
      <x:c r="P227" s="46"/>
      <x:c r="Q227" s="46"/>
    </x:row>
    <x:row r="228">
      <x:c r="A228" s="46"/>
      <x:c r="B228" s="46"/>
      <x:c r="C228" s="46"/>
      <x:c r="D228" s="46"/>
      <x:c r="E228" s="46"/>
      <x:c r="F228" s="46"/>
      <x:c r="G228" s="46"/>
      <x:c r="H228" s="46"/>
      <x:c r="I228" s="46"/>
      <x:c r="J228" s="46"/>
      <x:c r="K228" s="46"/>
      <x:c r="L228" s="46"/>
      <x:c r="M228" s="46"/>
      <x:c r="N228" s="46"/>
      <x:c r="O228" s="46"/>
      <x:c r="P228" s="46"/>
      <x:c r="Q228" s="46"/>
    </x:row>
    <x:row r="229">
      <x:c r="A229" s="46"/>
      <x:c r="B229" s="46"/>
      <x:c r="C229" s="46"/>
      <x:c r="D229" s="46"/>
      <x:c r="E229" s="46"/>
      <x:c r="F229" s="46"/>
      <x:c r="G229" s="46"/>
      <x:c r="H229" s="46"/>
      <x:c r="I229" s="46"/>
      <x:c r="J229" s="46"/>
      <x:c r="K229" s="46"/>
      <x:c r="L229" s="46"/>
      <x:c r="M229" s="46"/>
      <x:c r="N229" s="46"/>
      <x:c r="O229" s="46"/>
      <x:c r="P229" s="46"/>
      <x:c r="Q229" s="46"/>
    </x:row>
    <x:row r="230">
      <x:c r="A230" s="46"/>
      <x:c r="B230" s="46"/>
      <x:c r="C230" s="46"/>
      <x:c r="D230" s="46"/>
      <x:c r="E230" s="46"/>
      <x:c r="F230" s="46"/>
      <x:c r="G230" s="46"/>
      <x:c r="H230" s="46"/>
      <x:c r="I230" s="46"/>
      <x:c r="J230" s="46"/>
      <x:c r="K230" s="46"/>
      <x:c r="L230" s="46"/>
      <x:c r="M230" s="46"/>
      <x:c r="N230" s="46"/>
      <x:c r="O230" s="46"/>
      <x:c r="P230" s="46"/>
      <x:c r="Q230" s="46"/>
    </x:row>
    <x:row r="231">
      <x:c r="A231" s="46"/>
      <x:c r="B231" s="46"/>
      <x:c r="C231" s="46"/>
      <x:c r="D231" s="46"/>
      <x:c r="E231" s="46"/>
      <x:c r="F231" s="46"/>
      <x:c r="G231" s="46"/>
      <x:c r="H231" s="46"/>
      <x:c r="I231" s="46"/>
      <x:c r="J231" s="46"/>
      <x:c r="K231" s="46"/>
      <x:c r="L231" s="46"/>
      <x:c r="M231" s="46"/>
      <x:c r="N231" s="46"/>
      <x:c r="O231" s="46"/>
      <x:c r="P231" s="46"/>
      <x:c r="Q231" s="46"/>
    </x:row>
    <x:row r="232">
      <x:c r="A232" s="46"/>
      <x:c r="B232" s="46"/>
      <x:c r="C232" s="46"/>
      <x:c r="D232" s="46"/>
      <x:c r="E232" s="46"/>
      <x:c r="F232" s="46"/>
      <x:c r="G232" s="46"/>
      <x:c r="H232" s="46"/>
      <x:c r="I232" s="46"/>
      <x:c r="J232" s="46"/>
      <x:c r="K232" s="46"/>
      <x:c r="L232" s="46"/>
      <x:c r="M232" s="46"/>
      <x:c r="N232" s="46"/>
      <x:c r="O232" s="46"/>
      <x:c r="P232" s="46"/>
      <x:c r="Q232" s="46"/>
    </x:row>
    <x:row r="233">
      <x:c r="A233" s="46"/>
      <x:c r="B233" s="46"/>
      <x:c r="C233" s="46"/>
      <x:c r="D233" s="46"/>
      <x:c r="E233" s="46"/>
      <x:c r="F233" s="46"/>
      <x:c r="G233" s="46"/>
      <x:c r="H233" s="46"/>
      <x:c r="I233" s="46"/>
      <x:c r="J233" s="46"/>
      <x:c r="K233" s="46"/>
      <x:c r="L233" s="46"/>
      <x:c r="M233" s="46"/>
      <x:c r="N233" s="46"/>
      <x:c r="O233" s="46"/>
      <x:c r="P233" s="46"/>
      <x:c r="Q233" s="46"/>
    </x:row>
    <x:row r="234">
      <x:c r="A234" s="46"/>
      <x:c r="B234" s="46"/>
      <x:c r="C234" s="46"/>
      <x:c r="D234" s="46"/>
      <x:c r="E234" s="46"/>
      <x:c r="F234" s="46"/>
      <x:c r="G234" s="46"/>
      <x:c r="H234" s="46"/>
      <x:c r="I234" s="46"/>
      <x:c r="J234" s="46"/>
      <x:c r="K234" s="46"/>
      <x:c r="L234" s="46"/>
      <x:c r="M234" s="46"/>
      <x:c r="N234" s="46"/>
      <x:c r="O234" s="46"/>
      <x:c r="P234" s="46"/>
      <x:c r="Q234" s="46"/>
    </x:row>
    <x:row r="235">
      <x:c r="A235" s="46"/>
      <x:c r="B235" s="46"/>
      <x:c r="C235" s="46"/>
      <x:c r="D235" s="46"/>
      <x:c r="E235" s="46"/>
      <x:c r="F235" s="46"/>
      <x:c r="G235" s="46"/>
      <x:c r="H235" s="46"/>
      <x:c r="I235" s="46"/>
      <x:c r="J235" s="46"/>
      <x:c r="K235" s="46"/>
      <x:c r="L235" s="46"/>
      <x:c r="M235" s="46"/>
      <x:c r="N235" s="46"/>
      <x:c r="O235" s="46"/>
      <x:c r="P235" s="46"/>
      <x:c r="Q235" s="46"/>
    </x:row>
    <x:row r="236">
      <x:c r="A236" s="46"/>
      <x:c r="B236" s="46"/>
      <x:c r="C236" s="46"/>
      <x:c r="D236" s="46"/>
      <x:c r="E236" s="46"/>
      <x:c r="F236" s="46"/>
      <x:c r="G236" s="46"/>
      <x:c r="H236" s="46"/>
      <x:c r="I236" s="46"/>
      <x:c r="J236" s="46"/>
      <x:c r="K236" s="46"/>
      <x:c r="L236" s="46"/>
      <x:c r="M236" s="46"/>
      <x:c r="N236" s="46"/>
      <x:c r="O236" s="46"/>
      <x:c r="P236" s="46"/>
      <x:c r="Q236" s="46"/>
    </x:row>
    <x:row r="237">
      <x:c r="A237" s="46"/>
      <x:c r="B237" s="46"/>
      <x:c r="C237" s="46"/>
      <x:c r="D237" s="46"/>
      <x:c r="E237" s="46"/>
      <x:c r="F237" s="46"/>
      <x:c r="G237" s="46"/>
      <x:c r="H237" s="46"/>
      <x:c r="I237" s="46"/>
      <x:c r="J237" s="46"/>
      <x:c r="K237" s="46"/>
      <x:c r="L237" s="46"/>
      <x:c r="M237" s="46"/>
      <x:c r="N237" s="46"/>
      <x:c r="O237" s="46"/>
      <x:c r="P237" s="46"/>
      <x:c r="Q237" s="46"/>
    </x:row>
    <x:row r="238">
      <x:c r="A238" s="46"/>
      <x:c r="B238" s="46"/>
      <x:c r="C238" s="46"/>
      <x:c r="D238" s="46"/>
      <x:c r="E238" s="46"/>
      <x:c r="F238" s="46"/>
      <x:c r="G238" s="46"/>
      <x:c r="H238" s="46"/>
      <x:c r="I238" s="46"/>
      <x:c r="J238" s="46"/>
      <x:c r="K238" s="46"/>
      <x:c r="L238" s="46"/>
      <x:c r="M238" s="46"/>
      <x:c r="N238" s="46"/>
      <x:c r="O238" s="46"/>
      <x:c r="P238" s="46"/>
      <x:c r="Q238" s="46"/>
    </x:row>
    <x:row r="239">
      <x:c r="A239" s="46"/>
      <x:c r="B239" s="46"/>
      <x:c r="C239" s="46"/>
      <x:c r="D239" s="46"/>
      <x:c r="E239" s="46"/>
      <x:c r="F239" s="46"/>
      <x:c r="G239" s="46"/>
      <x:c r="H239" s="46"/>
      <x:c r="I239" s="46"/>
      <x:c r="J239" s="46"/>
      <x:c r="K239" s="46"/>
      <x:c r="L239" s="46"/>
      <x:c r="M239" s="46"/>
      <x:c r="N239" s="46"/>
      <x:c r="O239" s="46"/>
      <x:c r="P239" s="46"/>
      <x:c r="Q239" s="46"/>
    </x:row>
    <x:row r="240">
      <x:c r="A240" s="46"/>
      <x:c r="B240" s="46"/>
      <x:c r="C240" s="46"/>
      <x:c r="D240" s="46"/>
      <x:c r="E240" s="46"/>
      <x:c r="F240" s="46"/>
      <x:c r="G240" s="46"/>
      <x:c r="H240" s="46"/>
      <x:c r="I240" s="46"/>
      <x:c r="J240" s="46"/>
      <x:c r="K240" s="46"/>
      <x:c r="L240" s="46"/>
      <x:c r="M240" s="46"/>
      <x:c r="N240" s="46"/>
      <x:c r="O240" s="46"/>
      <x:c r="P240" s="46"/>
      <x:c r="Q240" s="46"/>
    </x:row>
    <x:row r="241">
      <x:c r="A241" s="46"/>
      <x:c r="B241" s="46"/>
      <x:c r="C241" s="46"/>
      <x:c r="D241" s="46"/>
      <x:c r="E241" s="46"/>
      <x:c r="F241" s="46"/>
      <x:c r="G241" s="46"/>
      <x:c r="H241" s="46"/>
      <x:c r="I241" s="46"/>
      <x:c r="J241" s="46"/>
      <x:c r="K241" s="46"/>
      <x:c r="L241" s="46"/>
      <x:c r="M241" s="46"/>
      <x:c r="N241" s="46"/>
      <x:c r="O241" s="46"/>
      <x:c r="P241" s="46"/>
      <x:c r="Q241" s="46"/>
    </x:row>
    <x:row r="242">
      <x:c r="A242" s="46"/>
      <x:c r="B242" s="46"/>
      <x:c r="C242" s="46"/>
      <x:c r="D242" s="46"/>
      <x:c r="E242" s="46"/>
      <x:c r="F242" s="46"/>
      <x:c r="G242" s="46"/>
      <x:c r="H242" s="46"/>
      <x:c r="I242" s="46"/>
      <x:c r="J242" s="46"/>
      <x:c r="K242" s="46"/>
      <x:c r="L242" s="46"/>
      <x:c r="M242" s="46"/>
      <x:c r="N242" s="46"/>
      <x:c r="O242" s="46"/>
      <x:c r="P242" s="46"/>
      <x:c r="Q242" s="46"/>
    </x:row>
    <x:row r="243">
      <x:c r="A243" s="46"/>
      <x:c r="B243" s="46"/>
      <x:c r="C243" s="46"/>
      <x:c r="D243" s="46"/>
      <x:c r="E243" s="46"/>
      <x:c r="F243" s="46"/>
      <x:c r="G243" s="46"/>
      <x:c r="H243" s="46"/>
      <x:c r="I243" s="46"/>
      <x:c r="J243" s="46"/>
      <x:c r="K243" s="46"/>
      <x:c r="L243" s="46"/>
      <x:c r="M243" s="46"/>
      <x:c r="N243" s="46"/>
      <x:c r="O243" s="46"/>
      <x:c r="P243" s="46"/>
      <x:c r="Q243" s="46"/>
    </x:row>
    <x:row r="244">
      <x:c r="A244" s="46"/>
      <x:c r="B244" s="46"/>
      <x:c r="C244" s="46"/>
      <x:c r="D244" s="46"/>
      <x:c r="E244" s="46"/>
      <x:c r="F244" s="46"/>
      <x:c r="G244" s="46"/>
      <x:c r="H244" s="46"/>
      <x:c r="I244" s="46"/>
      <x:c r="J244" s="46"/>
      <x:c r="K244" s="46"/>
      <x:c r="L244" s="46"/>
      <x:c r="M244" s="46"/>
      <x:c r="N244" s="46"/>
      <x:c r="O244" s="46"/>
      <x:c r="P244" s="46"/>
      <x:c r="Q244" s="46"/>
    </x:row>
    <x:row r="245">
      <x:c r="A245" s="46"/>
      <x:c r="B245" s="46"/>
      <x:c r="C245" s="46"/>
      <x:c r="D245" s="46"/>
      <x:c r="E245" s="46"/>
      <x:c r="F245" s="46"/>
      <x:c r="G245" s="46"/>
      <x:c r="H245" s="46"/>
      <x:c r="I245" s="46"/>
      <x:c r="J245" s="46"/>
      <x:c r="K245" s="46"/>
      <x:c r="L245" s="46"/>
      <x:c r="M245" s="46"/>
      <x:c r="N245" s="46"/>
      <x:c r="O245" s="46"/>
      <x:c r="P245" s="46"/>
      <x:c r="Q245" s="46"/>
    </x:row>
    <x:row r="246">
      <x:c r="A246" s="46"/>
      <x:c r="B246" s="46"/>
      <x:c r="C246" s="46"/>
      <x:c r="D246" s="46"/>
      <x:c r="E246" s="46"/>
      <x:c r="F246" s="46"/>
      <x:c r="G246" s="46"/>
      <x:c r="H246" s="46"/>
      <x:c r="I246" s="46"/>
      <x:c r="J246" s="46"/>
      <x:c r="K246" s="46"/>
      <x:c r="L246" s="46"/>
      <x:c r="M246" s="46"/>
      <x:c r="N246" s="46"/>
      <x:c r="O246" s="46"/>
      <x:c r="P246" s="46"/>
      <x:c r="Q246" s="46"/>
    </x:row>
    <x:row r="247">
      <x:c r="A247" s="46"/>
      <x:c r="B247" s="46"/>
      <x:c r="C247" s="46"/>
      <x:c r="D247" s="46"/>
      <x:c r="E247" s="46"/>
      <x:c r="F247" s="46"/>
      <x:c r="G247" s="46"/>
      <x:c r="H247" s="46"/>
      <x:c r="I247" s="46"/>
      <x:c r="J247" s="46"/>
      <x:c r="K247" s="46"/>
      <x:c r="L247" s="46"/>
      <x:c r="M247" s="46"/>
      <x:c r="N247" s="46"/>
      <x:c r="O247" s="46"/>
      <x:c r="P247" s="46"/>
      <x:c r="Q247" s="46"/>
    </x:row>
    <x:row r="248">
      <x:c r="A248" s="46"/>
      <x:c r="B248" s="46"/>
      <x:c r="C248" s="46"/>
      <x:c r="D248" s="46"/>
      <x:c r="E248" s="46"/>
      <x:c r="F248" s="46"/>
      <x:c r="G248" s="46"/>
      <x:c r="H248" s="46"/>
      <x:c r="I248" s="46"/>
      <x:c r="J248" s="46"/>
      <x:c r="K248" s="46"/>
      <x:c r="L248" s="46"/>
      <x:c r="M248" s="46"/>
      <x:c r="N248" s="46"/>
      <x:c r="O248" s="46"/>
      <x:c r="P248" s="46"/>
      <x:c r="Q248" s="46"/>
    </x:row>
    <x:row r="249">
      <x:c r="A249" s="46"/>
      <x:c r="B249" s="46"/>
      <x:c r="C249" s="46"/>
      <x:c r="D249" s="46"/>
      <x:c r="E249" s="46"/>
      <x:c r="F249" s="46"/>
      <x:c r="G249" s="46"/>
      <x:c r="H249" s="46"/>
      <x:c r="I249" s="46"/>
      <x:c r="J249" s="46"/>
      <x:c r="K249" s="46"/>
      <x:c r="L249" s="46"/>
      <x:c r="M249" s="46"/>
      <x:c r="N249" s="46"/>
      <x:c r="O249" s="46"/>
      <x:c r="P249" s="46"/>
      <x:c r="Q249" s="46"/>
    </x:row>
    <x:row r="250">
      <x:c r="A250" s="46"/>
      <x:c r="B250" s="46"/>
      <x:c r="C250" s="46"/>
      <x:c r="D250" s="46"/>
      <x:c r="E250" s="46"/>
      <x:c r="F250" s="46"/>
      <x:c r="G250" s="46"/>
      <x:c r="H250" s="46"/>
      <x:c r="I250" s="46"/>
      <x:c r="J250" s="46"/>
      <x:c r="K250" s="46"/>
      <x:c r="L250" s="46"/>
      <x:c r="M250" s="46"/>
      <x:c r="N250" s="46"/>
      <x:c r="O250" s="46"/>
      <x:c r="P250" s="46"/>
      <x:c r="Q250" s="46"/>
    </x:row>
    <x:row r="251">
      <x:c r="A251" s="46"/>
      <x:c r="B251" s="46"/>
      <x:c r="C251" s="46"/>
      <x:c r="D251" s="46"/>
      <x:c r="E251" s="46"/>
      <x:c r="F251" s="46"/>
      <x:c r="G251" s="46"/>
      <x:c r="H251" s="46"/>
      <x:c r="I251" s="46"/>
      <x:c r="J251" s="46"/>
      <x:c r="K251" s="46"/>
      <x:c r="L251" s="46"/>
      <x:c r="M251" s="46"/>
      <x:c r="N251" s="46"/>
      <x:c r="O251" s="46"/>
      <x:c r="P251" s="46"/>
      <x:c r="Q251" s="46"/>
    </x:row>
    <x:row r="252">
      <x:c r="A252" s="46"/>
      <x:c r="B252" s="46"/>
      <x:c r="C252" s="46"/>
      <x:c r="D252" s="46"/>
      <x:c r="E252" s="46"/>
      <x:c r="F252" s="46"/>
      <x:c r="G252" s="46"/>
      <x:c r="H252" s="46"/>
      <x:c r="I252" s="46"/>
      <x:c r="J252" s="46"/>
      <x:c r="K252" s="46"/>
      <x:c r="L252" s="46"/>
      <x:c r="M252" s="46"/>
      <x:c r="N252" s="46"/>
      <x:c r="O252" s="46"/>
      <x:c r="P252" s="46"/>
      <x:c r="Q252" s="46"/>
    </x:row>
    <x:row r="253">
      <x:c r="A253" s="46"/>
      <x:c r="B253" s="46"/>
      <x:c r="C253" s="46"/>
      <x:c r="D253" s="46"/>
      <x:c r="E253" s="46"/>
      <x:c r="F253" s="46"/>
      <x:c r="G253" s="46"/>
      <x:c r="H253" s="46"/>
      <x:c r="I253" s="46"/>
      <x:c r="J253" s="46"/>
      <x:c r="K253" s="46"/>
      <x:c r="L253" s="46"/>
      <x:c r="M253" s="46"/>
      <x:c r="N253" s="46"/>
      <x:c r="O253" s="46"/>
      <x:c r="P253" s="46"/>
      <x:c r="Q253" s="46"/>
    </x:row>
    <x:row r="254">
      <x:c r="A254" s="46"/>
      <x:c r="B254" s="46"/>
      <x:c r="C254" s="46"/>
      <x:c r="D254" s="46"/>
      <x:c r="E254" s="46"/>
      <x:c r="F254" s="46"/>
      <x:c r="G254" s="46"/>
      <x:c r="H254" s="46"/>
      <x:c r="I254" s="46"/>
      <x:c r="J254" s="46"/>
      <x:c r="K254" s="46"/>
      <x:c r="L254" s="46"/>
      <x:c r="M254" s="46"/>
      <x:c r="N254" s="46"/>
      <x:c r="O254" s="46"/>
      <x:c r="P254" s="46"/>
      <x:c r="Q254" s="46"/>
    </x:row>
    <x:row r="255">
      <x:c r="A255" s="46"/>
      <x:c r="B255" s="46"/>
      <x:c r="C255" s="46"/>
      <x:c r="D255" s="46"/>
      <x:c r="E255" s="46"/>
      <x:c r="F255" s="46"/>
      <x:c r="G255" s="46"/>
      <x:c r="H255" s="46"/>
      <x:c r="I255" s="46"/>
      <x:c r="J255" s="46"/>
      <x:c r="K255" s="46"/>
      <x:c r="L255" s="46"/>
      <x:c r="M255" s="46"/>
      <x:c r="N255" s="46"/>
      <x:c r="O255" s="46"/>
      <x:c r="P255" s="46"/>
      <x:c r="Q255" s="46"/>
    </x:row>
    <x:row r="256">
      <x:c r="A256" s="46"/>
      <x:c r="B256" s="46"/>
      <x:c r="C256" s="46"/>
      <x:c r="D256" s="46"/>
      <x:c r="E256" s="46"/>
      <x:c r="F256" s="46"/>
      <x:c r="G256" s="46"/>
      <x:c r="H256" s="46"/>
      <x:c r="I256" s="46"/>
      <x:c r="J256" s="46"/>
      <x:c r="K256" s="46"/>
      <x:c r="L256" s="46"/>
      <x:c r="M256" s="46"/>
      <x:c r="N256" s="46"/>
      <x:c r="O256" s="46"/>
      <x:c r="P256" s="46"/>
      <x:c r="Q256" s="46"/>
    </x:row>
    <x:row r="257">
      <x:c r="A257" s="46"/>
      <x:c r="B257" s="46"/>
      <x:c r="C257" s="46"/>
      <x:c r="D257" s="46"/>
      <x:c r="E257" s="46"/>
      <x:c r="F257" s="46"/>
      <x:c r="G257" s="46"/>
      <x:c r="H257" s="46"/>
      <x:c r="I257" s="46"/>
      <x:c r="J257" s="46"/>
      <x:c r="K257" s="46"/>
      <x:c r="L257" s="46"/>
      <x:c r="M257" s="46"/>
      <x:c r="N257" s="46"/>
      <x:c r="O257" s="46"/>
      <x:c r="P257" s="46"/>
      <x:c r="Q257" s="46"/>
    </x:row>
    <x:row r="258">
      <x:c r="A258" s="46"/>
      <x:c r="B258" s="46"/>
      <x:c r="C258" s="46"/>
      <x:c r="D258" s="46"/>
      <x:c r="E258" s="46"/>
      <x:c r="F258" s="46"/>
      <x:c r="G258" s="46"/>
      <x:c r="H258" s="46"/>
      <x:c r="I258" s="46"/>
      <x:c r="J258" s="46"/>
      <x:c r="K258" s="46"/>
      <x:c r="L258" s="46"/>
      <x:c r="M258" s="46"/>
      <x:c r="N258" s="46"/>
      <x:c r="O258" s="46"/>
      <x:c r="P258" s="46"/>
      <x:c r="Q258" s="46"/>
    </x:row>
    <x:row r="259">
      <x:c r="A259" s="46"/>
      <x:c r="B259" s="46"/>
      <x:c r="C259" s="46"/>
      <x:c r="D259" s="46"/>
      <x:c r="E259" s="46"/>
      <x:c r="F259" s="46"/>
      <x:c r="G259" s="46"/>
      <x:c r="H259" s="46"/>
      <x:c r="I259" s="46"/>
      <x:c r="J259" s="46"/>
      <x:c r="K259" s="46"/>
      <x:c r="L259" s="46"/>
      <x:c r="M259" s="46"/>
      <x:c r="N259" s="46"/>
      <x:c r="O259" s="46"/>
      <x:c r="P259" s="46"/>
      <x:c r="Q259" s="46"/>
    </x:row>
    <x:row r="260">
      <x:c r="A260" s="46"/>
      <x:c r="B260" s="46"/>
      <x:c r="C260" s="46"/>
      <x:c r="D260" s="46"/>
      <x:c r="E260" s="46"/>
      <x:c r="F260" s="46"/>
      <x:c r="G260" s="46"/>
      <x:c r="H260" s="46"/>
      <x:c r="I260" s="46"/>
      <x:c r="J260" s="46"/>
      <x:c r="K260" s="46"/>
      <x:c r="L260" s="46"/>
      <x:c r="M260" s="46"/>
      <x:c r="N260" s="46"/>
      <x:c r="O260" s="46"/>
      <x:c r="P260" s="46"/>
      <x:c r="Q260" s="46"/>
    </x:row>
    <x:row r="261">
      <x:c r="A261" s="46"/>
      <x:c r="B261" s="46"/>
      <x:c r="C261" s="46"/>
      <x:c r="D261" s="46"/>
      <x:c r="E261" s="46"/>
      <x:c r="F261" s="46"/>
      <x:c r="G261" s="46"/>
      <x:c r="H261" s="46"/>
      <x:c r="I261" s="46"/>
      <x:c r="J261" s="46"/>
      <x:c r="K261" s="46"/>
      <x:c r="L261" s="46"/>
      <x:c r="M261" s="46"/>
      <x:c r="N261" s="46"/>
      <x:c r="O261" s="46"/>
      <x:c r="P261" s="46"/>
      <x:c r="Q261" s="46"/>
    </x:row>
    <x:row r="262">
      <x:c r="A262" s="46"/>
      <x:c r="B262" s="46"/>
      <x:c r="C262" s="46"/>
      <x:c r="D262" s="46"/>
      <x:c r="E262" s="46"/>
      <x:c r="F262" s="46"/>
      <x:c r="G262" s="46"/>
      <x:c r="H262" s="46"/>
      <x:c r="I262" s="46"/>
      <x:c r="J262" s="46"/>
      <x:c r="K262" s="46"/>
      <x:c r="L262" s="46"/>
      <x:c r="M262" s="46"/>
      <x:c r="N262" s="46"/>
      <x:c r="O262" s="46"/>
      <x:c r="P262" s="46"/>
      <x:c r="Q262" s="46"/>
    </x:row>
    <x:row r="263">
      <x:c r="A263" s="46"/>
      <x:c r="B263" s="46"/>
      <x:c r="C263" s="46"/>
      <x:c r="D263" s="46"/>
      <x:c r="E263" s="46"/>
      <x:c r="F263" s="46"/>
      <x:c r="G263" s="46"/>
      <x:c r="H263" s="46"/>
      <x:c r="I263" s="46"/>
      <x:c r="J263" s="46"/>
      <x:c r="K263" s="46"/>
      <x:c r="L263" s="46"/>
      <x:c r="M263" s="46"/>
      <x:c r="N263" s="46"/>
      <x:c r="O263" s="46"/>
      <x:c r="P263" s="46"/>
      <x:c r="Q263" s="46"/>
    </x:row>
    <x:row r="264">
      <x:c r="A264" s="46"/>
      <x:c r="B264" s="46"/>
      <x:c r="C264" s="46"/>
      <x:c r="D264" s="46"/>
      <x:c r="E264" s="46"/>
      <x:c r="F264" s="46"/>
      <x:c r="G264" s="46"/>
      <x:c r="H264" s="46"/>
      <x:c r="I264" s="46"/>
      <x:c r="J264" s="46"/>
      <x:c r="K264" s="46"/>
      <x:c r="L264" s="46"/>
      <x:c r="M264" s="46"/>
      <x:c r="N264" s="46"/>
      <x:c r="O264" s="46"/>
      <x:c r="P264" s="46"/>
      <x:c r="Q264" s="46"/>
    </x:row>
    <x:row r="265">
      <x:c r="A265" s="46"/>
      <x:c r="B265" s="46"/>
      <x:c r="C265" s="46"/>
      <x:c r="D265" s="46"/>
      <x:c r="E265" s="46"/>
      <x:c r="F265" s="46"/>
      <x:c r="G265" s="46"/>
      <x:c r="H265" s="46"/>
      <x:c r="I265" s="46"/>
      <x:c r="J265" s="46"/>
      <x:c r="K265" s="46"/>
      <x:c r="L265" s="46"/>
      <x:c r="M265" s="46"/>
      <x:c r="N265" s="46"/>
      <x:c r="O265" s="46"/>
      <x:c r="P265" s="46"/>
      <x:c r="Q265" s="46"/>
    </x:row>
    <x:row r="266">
      <x:c r="A266" s="46"/>
      <x:c r="B266" s="46"/>
      <x:c r="C266" s="46"/>
      <x:c r="D266" s="46"/>
      <x:c r="E266" s="46"/>
      <x:c r="F266" s="46"/>
      <x:c r="G266" s="46"/>
      <x:c r="H266" s="46"/>
      <x:c r="I266" s="46"/>
      <x:c r="J266" s="46"/>
      <x:c r="K266" s="46"/>
      <x:c r="L266" s="46"/>
      <x:c r="M266" s="46"/>
      <x:c r="N266" s="46"/>
      <x:c r="O266" s="46"/>
      <x:c r="P266" s="46"/>
      <x:c r="Q266" s="46"/>
    </x:row>
    <x:row r="267">
      <x:c r="A267" s="46"/>
      <x:c r="B267" s="46"/>
      <x:c r="C267" s="46"/>
      <x:c r="D267" s="46"/>
      <x:c r="E267" s="46"/>
      <x:c r="F267" s="46"/>
      <x:c r="G267" s="46"/>
      <x:c r="H267" s="46"/>
      <x:c r="I267" s="46"/>
      <x:c r="J267" s="46"/>
      <x:c r="K267" s="46"/>
      <x:c r="L267" s="46"/>
      <x:c r="M267" s="46"/>
      <x:c r="N267" s="46"/>
      <x:c r="O267" s="46"/>
      <x:c r="P267" s="46"/>
      <x:c r="Q267" s="46"/>
    </x:row>
    <x:row r="268">
      <x:c r="A268" s="46"/>
      <x:c r="B268" s="46"/>
      <x:c r="C268" s="46"/>
      <x:c r="D268" s="46"/>
      <x:c r="E268" s="46"/>
      <x:c r="F268" s="46"/>
      <x:c r="G268" s="46"/>
      <x:c r="H268" s="46"/>
      <x:c r="I268" s="46"/>
      <x:c r="J268" s="46"/>
      <x:c r="K268" s="46"/>
      <x:c r="L268" s="46"/>
      <x:c r="M268" s="46"/>
      <x:c r="N268" s="46"/>
      <x:c r="O268" s="46"/>
      <x:c r="P268" s="46"/>
      <x:c r="Q268" s="46"/>
    </x:row>
    <x:row r="269">
      <x:c r="A269" s="46"/>
      <x:c r="B269" s="46"/>
      <x:c r="C269" s="46"/>
      <x:c r="D269" s="46"/>
      <x:c r="E269" s="46"/>
      <x:c r="F269" s="46"/>
      <x:c r="G269" s="46"/>
      <x:c r="H269" s="46"/>
      <x:c r="I269" s="46"/>
      <x:c r="J269" s="46"/>
      <x:c r="K269" s="46"/>
      <x:c r="L269" s="46"/>
      <x:c r="M269" s="46"/>
      <x:c r="N269" s="46"/>
      <x:c r="O269" s="46"/>
      <x:c r="P269" s="46"/>
      <x:c r="Q269" s="46"/>
    </x:row>
    <x:row r="270">
      <x:c r="A270" s="46"/>
      <x:c r="B270" s="46"/>
      <x:c r="C270" s="46"/>
      <x:c r="D270" s="46"/>
      <x:c r="E270" s="46"/>
      <x:c r="F270" s="46"/>
      <x:c r="G270" s="46"/>
      <x:c r="H270" s="46"/>
      <x:c r="I270" s="46"/>
      <x:c r="J270" s="46"/>
      <x:c r="K270" s="46"/>
      <x:c r="L270" s="46"/>
      <x:c r="M270" s="46"/>
      <x:c r="N270" s="46"/>
      <x:c r="O270" s="46"/>
      <x:c r="P270" s="46"/>
      <x:c r="Q270" s="46"/>
    </x:row>
    <x:row r="271">
      <x:c r="A271" s="46"/>
      <x:c r="B271" s="46"/>
      <x:c r="C271" s="46"/>
      <x:c r="D271" s="46"/>
      <x:c r="E271" s="46"/>
      <x:c r="F271" s="46"/>
      <x:c r="G271" s="46"/>
      <x:c r="H271" s="46"/>
      <x:c r="I271" s="46"/>
      <x:c r="J271" s="46"/>
      <x:c r="K271" s="46"/>
      <x:c r="L271" s="46"/>
      <x:c r="M271" s="46"/>
      <x:c r="N271" s="46"/>
      <x:c r="O271" s="46"/>
      <x:c r="P271" s="46"/>
      <x:c r="Q271" s="46"/>
    </x:row>
    <x:row r="272">
      <x:c r="A272" s="46"/>
      <x:c r="B272" s="46"/>
      <x:c r="C272" s="46"/>
      <x:c r="D272" s="46"/>
      <x:c r="E272" s="46"/>
      <x:c r="F272" s="46"/>
      <x:c r="G272" s="46"/>
      <x:c r="H272" s="46"/>
      <x:c r="I272" s="46"/>
      <x:c r="J272" s="46"/>
      <x:c r="K272" s="46"/>
      <x:c r="L272" s="46"/>
      <x:c r="M272" s="46"/>
      <x:c r="N272" s="46"/>
      <x:c r="O272" s="46"/>
      <x:c r="P272" s="46"/>
      <x:c r="Q272" s="46"/>
    </x:row>
    <x:row r="273">
      <x:c r="A273" s="46"/>
      <x:c r="B273" s="46"/>
      <x:c r="C273" s="46"/>
      <x:c r="D273" s="46"/>
      <x:c r="E273" s="46"/>
      <x:c r="F273" s="46"/>
      <x:c r="G273" s="46"/>
      <x:c r="H273" s="46"/>
      <x:c r="I273" s="46"/>
      <x:c r="J273" s="46"/>
      <x:c r="K273" s="46"/>
      <x:c r="L273" s="46"/>
      <x:c r="M273" s="46"/>
      <x:c r="N273" s="46"/>
      <x:c r="O273" s="46"/>
      <x:c r="P273" s="46"/>
      <x:c r="Q273" s="46"/>
    </x:row>
    <x:row r="274">
      <x:c r="A274" s="46"/>
      <x:c r="B274" s="46"/>
      <x:c r="C274" s="46"/>
      <x:c r="D274" s="46"/>
      <x:c r="E274" s="46"/>
      <x:c r="F274" s="46"/>
      <x:c r="G274" s="46"/>
      <x:c r="H274" s="46"/>
      <x:c r="I274" s="46"/>
      <x:c r="J274" s="46"/>
      <x:c r="K274" s="46"/>
      <x:c r="L274" s="46"/>
      <x:c r="M274" s="46"/>
      <x:c r="N274" s="46"/>
      <x:c r="O274" s="46"/>
      <x:c r="P274" s="46"/>
      <x:c r="Q274" s="46"/>
    </x:row>
    <x:row r="275">
      <x:c r="A275" s="46"/>
      <x:c r="B275" s="46"/>
      <x:c r="C275" s="46"/>
      <x:c r="D275" s="46"/>
      <x:c r="E275" s="46"/>
      <x:c r="F275" s="46"/>
      <x:c r="G275" s="46"/>
      <x:c r="H275" s="46"/>
      <x:c r="I275" s="46"/>
      <x:c r="J275" s="46"/>
      <x:c r="K275" s="46"/>
      <x:c r="L275" s="46"/>
      <x:c r="M275" s="46"/>
      <x:c r="N275" s="46"/>
      <x:c r="O275" s="46"/>
      <x:c r="P275" s="46"/>
      <x:c r="Q275" s="46"/>
    </x:row>
    <x:row r="276">
      <x:c r="A276" s="46"/>
      <x:c r="B276" s="46"/>
      <x:c r="C276" s="46"/>
      <x:c r="D276" s="46"/>
      <x:c r="E276" s="46"/>
      <x:c r="F276" s="46"/>
      <x:c r="G276" s="46"/>
      <x:c r="H276" s="46"/>
      <x:c r="I276" s="46"/>
      <x:c r="J276" s="46"/>
      <x:c r="K276" s="46"/>
      <x:c r="L276" s="46"/>
      <x:c r="M276" s="46"/>
      <x:c r="N276" s="46"/>
      <x:c r="O276" s="46"/>
      <x:c r="P276" s="46"/>
      <x:c r="Q276" s="46"/>
    </x:row>
    <x:row r="277">
      <x:c r="A277" s="46"/>
      <x:c r="B277" s="46"/>
      <x:c r="C277" s="46"/>
      <x:c r="D277" s="46"/>
      <x:c r="E277" s="46"/>
      <x:c r="F277" s="46"/>
      <x:c r="G277" s="46"/>
      <x:c r="H277" s="46"/>
      <x:c r="I277" s="46"/>
      <x:c r="J277" s="46"/>
      <x:c r="K277" s="46"/>
      <x:c r="L277" s="46"/>
      <x:c r="M277" s="46"/>
      <x:c r="N277" s="46"/>
      <x:c r="O277" s="46"/>
      <x:c r="P277" s="46"/>
      <x:c r="Q277" s="46"/>
    </x:row>
    <x:row r="278">
      <x:c r="A278" s="46"/>
      <x:c r="B278" s="46"/>
      <x:c r="C278" s="46"/>
      <x:c r="D278" s="46"/>
      <x:c r="E278" s="46"/>
      <x:c r="F278" s="46"/>
      <x:c r="G278" s="46"/>
      <x:c r="H278" s="46"/>
      <x:c r="I278" s="46"/>
      <x:c r="J278" s="46"/>
      <x:c r="K278" s="46"/>
      <x:c r="L278" s="46"/>
      <x:c r="M278" s="46"/>
      <x:c r="N278" s="46"/>
      <x:c r="O278" s="46"/>
      <x:c r="P278" s="46"/>
      <x:c r="Q278" s="46"/>
    </x:row>
    <x:row r="279">
      <x:c r="A279" s="46"/>
      <x:c r="B279" s="46"/>
      <x:c r="C279" s="46"/>
      <x:c r="D279" s="46"/>
      <x:c r="E279" s="46"/>
      <x:c r="F279" s="46"/>
      <x:c r="G279" s="46"/>
      <x:c r="H279" s="46"/>
      <x:c r="I279" s="46"/>
      <x:c r="J279" s="46"/>
      <x:c r="K279" s="46"/>
      <x:c r="L279" s="46"/>
      <x:c r="M279" s="46"/>
      <x:c r="N279" s="46"/>
      <x:c r="O279" s="46"/>
      <x:c r="P279" s="46"/>
      <x:c r="Q279" s="46"/>
    </x:row>
    <x:row r="280">
      <x:c r="A280" s="46"/>
      <x:c r="B280" s="46"/>
      <x:c r="C280" s="46"/>
      <x:c r="D280" s="46"/>
      <x:c r="E280" s="46"/>
      <x:c r="F280" s="46"/>
      <x:c r="G280" s="46"/>
      <x:c r="H280" s="46"/>
      <x:c r="I280" s="46"/>
      <x:c r="J280" s="46"/>
      <x:c r="K280" s="46"/>
      <x:c r="L280" s="46"/>
      <x:c r="M280" s="46"/>
      <x:c r="N280" s="46"/>
      <x:c r="O280" s="46"/>
      <x:c r="P280" s="46"/>
      <x:c r="Q280" s="46"/>
    </x:row>
    <x:row r="281">
      <x:c r="A281" s="46"/>
      <x:c r="B281" s="46"/>
      <x:c r="C281" s="46"/>
      <x:c r="D281" s="46"/>
      <x:c r="E281" s="46"/>
      <x:c r="F281" s="46"/>
      <x:c r="G281" s="46"/>
      <x:c r="H281" s="46"/>
      <x:c r="I281" s="46"/>
      <x:c r="J281" s="46"/>
      <x:c r="K281" s="46"/>
      <x:c r="L281" s="46"/>
      <x:c r="M281" s="46"/>
      <x:c r="N281" s="46"/>
      <x:c r="O281" s="46"/>
      <x:c r="P281" s="46"/>
      <x:c r="Q281" s="46"/>
    </x:row>
    <x:row r="282">
      <x:c r="A282" s="46"/>
      <x:c r="B282" s="46"/>
      <x:c r="C282" s="46"/>
      <x:c r="D282" s="46"/>
      <x:c r="E282" s="46"/>
      <x:c r="F282" s="46"/>
      <x:c r="G282" s="46"/>
      <x:c r="H282" s="46"/>
      <x:c r="I282" s="46"/>
      <x:c r="J282" s="46"/>
      <x:c r="K282" s="46"/>
      <x:c r="L282" s="46"/>
      <x:c r="M282" s="46"/>
      <x:c r="N282" s="46"/>
      <x:c r="O282" s="46"/>
      <x:c r="P282" s="46"/>
      <x:c r="Q282" s="46"/>
    </x:row>
    <x:row r="283">
      <x:c r="A283" s="46"/>
      <x:c r="B283" s="46"/>
      <x:c r="C283" s="46"/>
      <x:c r="D283" s="46"/>
      <x:c r="E283" s="46"/>
      <x:c r="F283" s="46"/>
      <x:c r="G283" s="46"/>
      <x:c r="H283" s="46"/>
      <x:c r="I283" s="46"/>
      <x:c r="J283" s="46"/>
      <x:c r="K283" s="46"/>
      <x:c r="L283" s="46"/>
      <x:c r="M283" s="46"/>
      <x:c r="N283" s="46"/>
      <x:c r="O283" s="46"/>
      <x:c r="P283" s="46"/>
      <x:c r="Q283" s="46"/>
    </x:row>
    <x:row r="284">
      <x:c r="A284" s="46"/>
      <x:c r="B284" s="46"/>
      <x:c r="C284" s="46"/>
      <x:c r="D284" s="46"/>
      <x:c r="E284" s="46"/>
      <x:c r="F284" s="46"/>
      <x:c r="G284" s="46"/>
      <x:c r="H284" s="46"/>
      <x:c r="I284" s="46"/>
      <x:c r="J284" s="46"/>
      <x:c r="K284" s="46"/>
      <x:c r="L284" s="46"/>
      <x:c r="M284" s="46"/>
      <x:c r="N284" s="46"/>
      <x:c r="O284" s="46"/>
      <x:c r="P284" s="46"/>
      <x:c r="Q284" s="46"/>
    </x:row>
    <x:row r="285">
      <x:c r="A285" s="46"/>
      <x:c r="B285" s="46"/>
      <x:c r="C285" s="46"/>
      <x:c r="D285" s="46"/>
      <x:c r="E285" s="46"/>
      <x:c r="F285" s="46"/>
      <x:c r="G285" s="46"/>
      <x:c r="H285" s="46"/>
      <x:c r="I285" s="46"/>
      <x:c r="J285" s="46"/>
      <x:c r="K285" s="46"/>
      <x:c r="L285" s="46"/>
      <x:c r="M285" s="46"/>
      <x:c r="N285" s="46"/>
      <x:c r="O285" s="46"/>
      <x:c r="P285" s="46"/>
      <x:c r="Q285" s="46"/>
    </x:row>
    <x:row r="286">
      <x:c r="A286" s="46"/>
      <x:c r="B286" s="46"/>
      <x:c r="C286" s="46"/>
      <x:c r="D286" s="46"/>
      <x:c r="E286" s="46"/>
      <x:c r="F286" s="46"/>
      <x:c r="G286" s="46"/>
      <x:c r="H286" s="46"/>
      <x:c r="I286" s="46"/>
      <x:c r="J286" s="46"/>
      <x:c r="K286" s="46"/>
      <x:c r="L286" s="46"/>
      <x:c r="M286" s="46"/>
      <x:c r="N286" s="46"/>
      <x:c r="O286" s="46"/>
      <x:c r="P286" s="46"/>
      <x:c r="Q286" s="46"/>
    </x:row>
    <x:row r="287">
      <x:c r="A287" s="46"/>
      <x:c r="B287" s="46"/>
      <x:c r="C287" s="46"/>
      <x:c r="D287" s="46"/>
      <x:c r="E287" s="46"/>
      <x:c r="F287" s="46"/>
      <x:c r="G287" s="46"/>
      <x:c r="H287" s="46"/>
      <x:c r="I287" s="46"/>
      <x:c r="J287" s="46"/>
      <x:c r="K287" s="46"/>
      <x:c r="L287" s="46"/>
      <x:c r="M287" s="46"/>
      <x:c r="N287" s="46"/>
      <x:c r="O287" s="46"/>
      <x:c r="P287" s="46"/>
      <x:c r="Q287" s="46"/>
    </x:row>
    <x:row r="288">
      <x:c r="A288" s="46"/>
      <x:c r="B288" s="46"/>
      <x:c r="C288" s="46"/>
      <x:c r="D288" s="46"/>
      <x:c r="E288" s="46"/>
      <x:c r="F288" s="46"/>
      <x:c r="G288" s="46"/>
      <x:c r="H288" s="46"/>
      <x:c r="I288" s="46"/>
      <x:c r="J288" s="46"/>
      <x:c r="K288" s="46"/>
      <x:c r="L288" s="46"/>
      <x:c r="M288" s="46"/>
      <x:c r="N288" s="46"/>
      <x:c r="O288" s="46"/>
      <x:c r="P288" s="46"/>
      <x:c r="Q288" s="46"/>
    </x:row>
    <x:row r="289">
      <x:c r="A289" s="46"/>
      <x:c r="B289" s="46"/>
      <x:c r="C289" s="46"/>
      <x:c r="D289" s="46"/>
      <x:c r="E289" s="46"/>
      <x:c r="F289" s="46"/>
      <x:c r="G289" s="46"/>
      <x:c r="H289" s="46"/>
      <x:c r="I289" s="46"/>
      <x:c r="J289" s="46"/>
      <x:c r="K289" s="46"/>
      <x:c r="L289" s="46"/>
      <x:c r="M289" s="46"/>
      <x:c r="N289" s="46"/>
      <x:c r="O289" s="46"/>
      <x:c r="P289" s="46"/>
      <x:c r="Q289" s="46"/>
    </x:row>
    <x:row r="290">
      <x:c r="A290" s="46"/>
      <x:c r="B290" s="46"/>
      <x:c r="C290" s="46"/>
      <x:c r="D290" s="46"/>
      <x:c r="E290" s="46"/>
      <x:c r="F290" s="46"/>
      <x:c r="G290" s="46"/>
      <x:c r="H290" s="46"/>
      <x:c r="I290" s="46"/>
      <x:c r="J290" s="46"/>
      <x:c r="K290" s="46"/>
      <x:c r="L290" s="46"/>
      <x:c r="M290" s="46"/>
      <x:c r="N290" s="46"/>
      <x:c r="O290" s="46"/>
      <x:c r="P290" s="46"/>
      <x:c r="Q290" s="46"/>
    </x:row>
    <x:row r="291">
      <x:c r="A291" s="46"/>
      <x:c r="B291" s="46"/>
      <x:c r="C291" s="46"/>
      <x:c r="D291" s="46"/>
      <x:c r="E291" s="46"/>
      <x:c r="F291" s="46"/>
      <x:c r="G291" s="46"/>
      <x:c r="H291" s="46"/>
      <x:c r="I291" s="46"/>
      <x:c r="J291" s="46"/>
      <x:c r="K291" s="46"/>
      <x:c r="L291" s="46"/>
      <x:c r="M291" s="46"/>
      <x:c r="N291" s="46"/>
      <x:c r="O291" s="46"/>
      <x:c r="P291" s="46"/>
      <x:c r="Q291" s="46"/>
    </x:row>
    <x:row r="292">
      <x:c r="A292" s="46"/>
      <x:c r="B292" s="46"/>
      <x:c r="C292" s="46"/>
      <x:c r="D292" s="46"/>
      <x:c r="E292" s="46"/>
      <x:c r="F292" s="46"/>
      <x:c r="G292" s="46"/>
      <x:c r="H292" s="46"/>
      <x:c r="I292" s="46"/>
      <x:c r="J292" s="46"/>
      <x:c r="K292" s="46"/>
      <x:c r="L292" s="46"/>
      <x:c r="M292" s="46"/>
      <x:c r="N292" s="46"/>
      <x:c r="O292" s="46"/>
      <x:c r="P292" s="46"/>
      <x:c r="Q292" s="46"/>
    </x:row>
    <x:row r="293">
      <x:c r="A293" s="46"/>
      <x:c r="B293" s="46"/>
      <x:c r="C293" s="46"/>
      <x:c r="D293" s="46"/>
      <x:c r="E293" s="46"/>
      <x:c r="F293" s="46"/>
      <x:c r="G293" s="46"/>
      <x:c r="H293" s="46"/>
      <x:c r="I293" s="46"/>
      <x:c r="J293" s="46"/>
      <x:c r="K293" s="46"/>
      <x:c r="L293" s="46"/>
      <x:c r="M293" s="46"/>
      <x:c r="N293" s="46"/>
      <x:c r="O293" s="46"/>
      <x:c r="P293" s="46"/>
      <x:c r="Q293" s="46"/>
    </x:row>
    <x:row r="294">
      <x:c r="A294" s="46"/>
      <x:c r="B294" s="46"/>
      <x:c r="C294" s="46"/>
      <x:c r="D294" s="46"/>
      <x:c r="E294" s="46"/>
      <x:c r="F294" s="46"/>
      <x:c r="G294" s="46"/>
      <x:c r="H294" s="46"/>
      <x:c r="I294" s="46"/>
      <x:c r="J294" s="46"/>
      <x:c r="K294" s="46"/>
      <x:c r="L294" s="46"/>
      <x:c r="M294" s="46"/>
      <x:c r="N294" s="46"/>
      <x:c r="O294" s="46"/>
      <x:c r="P294" s="46"/>
      <x:c r="Q294" s="46"/>
    </x:row>
    <x:row r="295">
      <x:c r="A295" s="46"/>
      <x:c r="B295" s="46"/>
      <x:c r="C295" s="46"/>
      <x:c r="D295" s="46"/>
      <x:c r="E295" s="46"/>
      <x:c r="F295" s="46"/>
      <x:c r="G295" s="46"/>
      <x:c r="H295" s="46"/>
      <x:c r="I295" s="46"/>
      <x:c r="J295" s="46"/>
      <x:c r="K295" s="46"/>
      <x:c r="L295" s="46"/>
      <x:c r="M295" s="46"/>
      <x:c r="N295" s="46"/>
      <x:c r="O295" s="46"/>
      <x:c r="P295" s="46"/>
      <x:c r="Q295" s="46"/>
    </x:row>
    <x:row r="296">
      <x:c r="A296" s="46"/>
      <x:c r="B296" s="46"/>
      <x:c r="C296" s="46"/>
      <x:c r="D296" s="46"/>
      <x:c r="E296" s="46"/>
      <x:c r="F296" s="46"/>
      <x:c r="G296" s="46"/>
      <x:c r="H296" s="46"/>
      <x:c r="I296" s="46"/>
      <x:c r="J296" s="46"/>
      <x:c r="K296" s="46"/>
      <x:c r="L296" s="46"/>
      <x:c r="M296" s="46"/>
      <x:c r="N296" s="46"/>
      <x:c r="O296" s="46"/>
      <x:c r="P296" s="46"/>
      <x:c r="Q296" s="46"/>
    </x:row>
    <x:row r="297">
      <x:c r="A297" s="46"/>
      <x:c r="B297" s="46"/>
      <x:c r="C297" s="46"/>
      <x:c r="D297" s="46"/>
      <x:c r="E297" s="46"/>
      <x:c r="F297" s="46"/>
      <x:c r="G297" s="46"/>
      <x:c r="H297" s="46"/>
      <x:c r="I297" s="46"/>
      <x:c r="J297" s="46"/>
      <x:c r="K297" s="46"/>
      <x:c r="L297" s="46"/>
      <x:c r="M297" s="46"/>
      <x:c r="N297" s="46"/>
      <x:c r="O297" s="46"/>
      <x:c r="P297" s="46"/>
      <x:c r="Q297" s="46"/>
    </x:row>
    <x:row r="298">
      <x:c r="A298" s="46"/>
      <x:c r="B298" s="46"/>
      <x:c r="C298" s="46"/>
      <x:c r="D298" s="46"/>
      <x:c r="E298" s="46"/>
      <x:c r="F298" s="46"/>
      <x:c r="G298" s="46"/>
      <x:c r="H298" s="46"/>
      <x:c r="I298" s="46"/>
      <x:c r="J298" s="46"/>
      <x:c r="K298" s="46"/>
      <x:c r="L298" s="46"/>
      <x:c r="M298" s="46"/>
      <x:c r="N298" s="46"/>
      <x:c r="O298" s="46"/>
      <x:c r="P298" s="46"/>
      <x:c r="Q298" s="46"/>
    </x:row>
    <x:row r="299">
      <x:c r="A299" s="46"/>
      <x:c r="B299" s="46"/>
      <x:c r="C299" s="46"/>
      <x:c r="D299" s="46"/>
      <x:c r="E299" s="46"/>
      <x:c r="F299" s="46"/>
      <x:c r="G299" s="46"/>
      <x:c r="H299" s="46"/>
      <x:c r="I299" s="46"/>
      <x:c r="J299" s="46"/>
      <x:c r="K299" s="46"/>
      <x:c r="L299" s="46"/>
      <x:c r="M299" s="46"/>
      <x:c r="N299" s="46"/>
      <x:c r="O299" s="46"/>
      <x:c r="P299" s="46"/>
      <x:c r="Q299" s="46"/>
    </x:row>
    <x:row r="300">
      <x:c r="A300" s="46"/>
      <x:c r="B300" s="46"/>
      <x:c r="C300" s="46"/>
      <x:c r="D300" s="46"/>
      <x:c r="E300" s="46"/>
      <x:c r="F300" s="46"/>
      <x:c r="G300" s="46"/>
      <x:c r="H300" s="46"/>
      <x:c r="I300" s="46"/>
      <x:c r="J300" s="46"/>
      <x:c r="K300" s="46"/>
      <x:c r="L300" s="46"/>
      <x:c r="M300" s="46"/>
      <x:c r="N300" s="46"/>
      <x:c r="O300" s="46"/>
      <x:c r="P300" s="46"/>
      <x:c r="Q300" s="46"/>
    </x:row>
    <x:row r="301">
      <x:c r="A301" s="46"/>
      <x:c r="B301" s="46"/>
      <x:c r="C301" s="46"/>
      <x:c r="D301" s="46"/>
      <x:c r="E301" s="46"/>
      <x:c r="F301" s="46"/>
      <x:c r="G301" s="46"/>
      <x:c r="H301" s="46"/>
      <x:c r="I301" s="46"/>
      <x:c r="J301" s="46"/>
      <x:c r="K301" s="46"/>
      <x:c r="L301" s="46"/>
      <x:c r="M301" s="46"/>
      <x:c r="N301" s="46"/>
      <x:c r="O301" s="46"/>
      <x:c r="P301" s="46"/>
      <x:c r="Q301" s="46"/>
    </x:row>
    <x:row r="302">
      <x:c r="A302" s="46"/>
      <x:c r="B302" s="46"/>
      <x:c r="C302" s="46"/>
      <x:c r="D302" s="46"/>
      <x:c r="E302" s="46"/>
      <x:c r="F302" s="46"/>
      <x:c r="G302" s="46"/>
      <x:c r="H302" s="46"/>
      <x:c r="I302" s="46"/>
      <x:c r="J302" s="46"/>
      <x:c r="K302" s="46"/>
      <x:c r="L302" s="46"/>
      <x:c r="M302" s="46"/>
      <x:c r="N302" s="46"/>
      <x:c r="O302" s="46"/>
      <x:c r="P302" s="46"/>
      <x:c r="Q302" s="46"/>
    </x:row>
    <x:row r="303">
      <x:c r="A303" s="46"/>
      <x:c r="B303" s="46"/>
      <x:c r="C303" s="46"/>
      <x:c r="D303" s="46"/>
      <x:c r="E303" s="46"/>
      <x:c r="F303" s="46"/>
      <x:c r="G303" s="46"/>
      <x:c r="H303" s="46"/>
      <x:c r="I303" s="46"/>
      <x:c r="J303" s="46"/>
      <x:c r="K303" s="46"/>
      <x:c r="L303" s="46"/>
      <x:c r="M303" s="46"/>
      <x:c r="N303" s="46"/>
      <x:c r="O303" s="46"/>
      <x:c r="P303" s="46"/>
      <x:c r="Q303" s="46"/>
    </x:row>
    <x:row r="304">
      <x:c r="A304" s="46"/>
      <x:c r="B304" s="46"/>
      <x:c r="C304" s="46"/>
      <x:c r="D304" s="46"/>
      <x:c r="E304" s="46"/>
      <x:c r="F304" s="46"/>
      <x:c r="G304" s="46"/>
      <x:c r="H304" s="46"/>
      <x:c r="I304" s="46"/>
      <x:c r="J304" s="46"/>
      <x:c r="K304" s="46"/>
      <x:c r="L304" s="46"/>
      <x:c r="M304" s="46"/>
      <x:c r="N304" s="46"/>
      <x:c r="O304" s="46"/>
      <x:c r="P304" s="46"/>
      <x:c r="Q304" s="46"/>
    </x:row>
    <x:row r="305">
      <x:c r="A305" s="46"/>
      <x:c r="B305" s="46"/>
      <x:c r="C305" s="46"/>
      <x:c r="D305" s="46"/>
      <x:c r="E305" s="46"/>
      <x:c r="F305" s="46"/>
      <x:c r="G305" s="46"/>
      <x:c r="H305" s="46"/>
      <x:c r="I305" s="46"/>
      <x:c r="J305" s="46"/>
      <x:c r="K305" s="46"/>
      <x:c r="L305" s="46"/>
      <x:c r="M305" s="46"/>
      <x:c r="N305" s="46"/>
      <x:c r="O305" s="46"/>
      <x:c r="P305" s="46"/>
      <x:c r="Q305" s="46"/>
    </x:row>
    <x:row r="306">
      <x:c r="A306" s="46"/>
      <x:c r="B306" s="46"/>
      <x:c r="C306" s="46"/>
      <x:c r="D306" s="46"/>
      <x:c r="E306" s="46"/>
      <x:c r="F306" s="46"/>
      <x:c r="G306" s="46"/>
      <x:c r="H306" s="46"/>
      <x:c r="I306" s="46"/>
      <x:c r="J306" s="46"/>
      <x:c r="K306" s="46"/>
      <x:c r="L306" s="46"/>
      <x:c r="M306" s="46"/>
      <x:c r="N306" s="46"/>
      <x:c r="O306" s="46"/>
      <x:c r="P306" s="46"/>
      <x:c r="Q306" s="46"/>
    </x:row>
    <x:row r="307">
      <x:c r="A307" s="46"/>
      <x:c r="B307" s="46"/>
      <x:c r="C307" s="46"/>
      <x:c r="D307" s="46"/>
      <x:c r="E307" s="46"/>
      <x:c r="F307" s="46"/>
      <x:c r="G307" s="46"/>
      <x:c r="H307" s="46"/>
      <x:c r="I307" s="46"/>
      <x:c r="J307" s="46"/>
      <x:c r="K307" s="46"/>
      <x:c r="L307" s="46"/>
      <x:c r="M307" s="46"/>
      <x:c r="N307" s="46"/>
      <x:c r="O307" s="46"/>
      <x:c r="P307" s="46"/>
      <x:c r="Q307" s="46"/>
    </x:row>
    <x:row r="308">
      <x:c r="A308" s="46"/>
      <x:c r="B308" s="46"/>
      <x:c r="C308" s="46"/>
      <x:c r="D308" s="46"/>
      <x:c r="E308" s="46"/>
      <x:c r="F308" s="46"/>
      <x:c r="G308" s="46"/>
      <x:c r="H308" s="46"/>
      <x:c r="I308" s="46"/>
      <x:c r="J308" s="46"/>
      <x:c r="K308" s="46"/>
      <x:c r="L308" s="46"/>
      <x:c r="M308" s="46"/>
      <x:c r="N308" s="46"/>
      <x:c r="O308" s="46"/>
      <x:c r="P308" s="46"/>
      <x:c r="Q308" s="46"/>
    </x:row>
    <x:row r="309">
      <x:c r="A309" s="46"/>
      <x:c r="B309" s="46"/>
      <x:c r="C309" s="46"/>
      <x:c r="D309" s="46"/>
      <x:c r="E309" s="46"/>
      <x:c r="F309" s="46"/>
      <x:c r="G309" s="46"/>
      <x:c r="H309" s="46"/>
      <x:c r="I309" s="46"/>
      <x:c r="J309" s="46"/>
      <x:c r="K309" s="46"/>
      <x:c r="L309" s="46"/>
      <x:c r="M309" s="46"/>
      <x:c r="N309" s="46"/>
      <x:c r="O309" s="46"/>
      <x:c r="P309" s="46"/>
      <x:c r="Q309" s="46"/>
    </x:row>
    <x:row r="310">
      <x:c r="A310" s="46"/>
      <x:c r="B310" s="46"/>
      <x:c r="C310" s="46"/>
      <x:c r="D310" s="46"/>
      <x:c r="E310" s="46"/>
      <x:c r="F310" s="46"/>
      <x:c r="G310" s="46"/>
      <x:c r="H310" s="46"/>
      <x:c r="I310" s="46"/>
      <x:c r="J310" s="46"/>
      <x:c r="K310" s="46"/>
      <x:c r="L310" s="46"/>
      <x:c r="M310" s="46"/>
      <x:c r="N310" s="46"/>
      <x:c r="O310" s="46"/>
      <x:c r="P310" s="46"/>
      <x:c r="Q310" s="46"/>
    </x:row>
    <x:row r="311">
      <x:c r="A311" s="46"/>
      <x:c r="B311" s="46"/>
      <x:c r="C311" s="46"/>
      <x:c r="D311" s="46"/>
      <x:c r="E311" s="46"/>
      <x:c r="F311" s="46"/>
      <x:c r="G311" s="46"/>
      <x:c r="H311" s="46"/>
      <x:c r="I311" s="46"/>
      <x:c r="J311" s="46"/>
      <x:c r="K311" s="46"/>
      <x:c r="L311" s="46"/>
      <x:c r="M311" s="46"/>
      <x:c r="N311" s="46"/>
      <x:c r="O311" s="46"/>
      <x:c r="P311" s="46"/>
      <x:c r="Q311" s="46"/>
    </x:row>
    <x:row r="312">
      <x:c r="A312" s="46"/>
      <x:c r="B312" s="46"/>
      <x:c r="C312" s="46"/>
      <x:c r="D312" s="46"/>
      <x:c r="E312" s="46"/>
      <x:c r="F312" s="46"/>
      <x:c r="G312" s="46"/>
      <x:c r="H312" s="46"/>
      <x:c r="I312" s="46"/>
      <x:c r="J312" s="46"/>
      <x:c r="K312" s="46"/>
      <x:c r="L312" s="46"/>
      <x:c r="M312" s="46"/>
      <x:c r="N312" s="46"/>
      <x:c r="O312" s="46"/>
      <x:c r="P312" s="46"/>
      <x:c r="Q312" s="46"/>
    </x:row>
    <x:row r="313">
      <x:c r="A313" s="46"/>
      <x:c r="B313" s="46"/>
      <x:c r="C313" s="46"/>
      <x:c r="D313" s="46"/>
      <x:c r="E313" s="46"/>
      <x:c r="F313" s="46"/>
      <x:c r="G313" s="46"/>
      <x:c r="H313" s="46"/>
      <x:c r="I313" s="46"/>
      <x:c r="J313" s="46"/>
      <x:c r="K313" s="46"/>
      <x:c r="L313" s="46"/>
      <x:c r="M313" s="46"/>
      <x:c r="N313" s="46"/>
      <x:c r="O313" s="46"/>
      <x:c r="P313" s="46"/>
      <x:c r="Q313" s="46"/>
    </x:row>
    <x:row r="314">
      <x:c r="A314" s="46"/>
      <x:c r="B314" s="46"/>
      <x:c r="C314" s="46"/>
      <x:c r="D314" s="46"/>
      <x:c r="E314" s="46"/>
      <x:c r="F314" s="46"/>
      <x:c r="G314" s="46"/>
      <x:c r="H314" s="46"/>
      <x:c r="I314" s="46"/>
      <x:c r="J314" s="46"/>
      <x:c r="K314" s="46"/>
      <x:c r="L314" s="46"/>
      <x:c r="M314" s="46"/>
      <x:c r="N314" s="46"/>
      <x:c r="O314" s="46"/>
      <x:c r="P314" s="46"/>
      <x:c r="Q314" s="46"/>
    </x:row>
    <x:row r="315">
      <x:c r="A315" s="46"/>
      <x:c r="B315" s="46"/>
      <x:c r="C315" s="46"/>
      <x:c r="D315" s="46"/>
      <x:c r="E315" s="46"/>
      <x:c r="F315" s="46"/>
      <x:c r="G315" s="46"/>
      <x:c r="H315" s="46"/>
      <x:c r="I315" s="46"/>
      <x:c r="J315" s="46"/>
      <x:c r="K315" s="46"/>
      <x:c r="L315" s="46"/>
      <x:c r="M315" s="46"/>
      <x:c r="N315" s="46"/>
      <x:c r="O315" s="46"/>
      <x:c r="P315" s="46"/>
      <x:c r="Q315" s="46"/>
    </x:row>
    <x:row r="316">
      <x:c r="A316" s="46"/>
      <x:c r="B316" s="46"/>
      <x:c r="C316" s="46"/>
      <x:c r="D316" s="46"/>
      <x:c r="E316" s="46"/>
      <x:c r="F316" s="46"/>
      <x:c r="G316" s="46"/>
      <x:c r="H316" s="46"/>
      <x:c r="I316" s="46"/>
      <x:c r="J316" s="46"/>
      <x:c r="K316" s="46"/>
      <x:c r="L316" s="46"/>
      <x:c r="M316" s="46"/>
      <x:c r="N316" s="46"/>
      <x:c r="O316" s="46"/>
      <x:c r="P316" s="46"/>
      <x:c r="Q316" s="46"/>
    </x:row>
    <x:row r="317">
      <x:c r="A317" s="46"/>
      <x:c r="B317" s="46"/>
      <x:c r="C317" s="46"/>
      <x:c r="D317" s="46"/>
      <x:c r="E317" s="46"/>
      <x:c r="F317" s="46"/>
      <x:c r="G317" s="46"/>
      <x:c r="H317" s="46"/>
      <x:c r="I317" s="46"/>
      <x:c r="J317" s="46"/>
      <x:c r="K317" s="46"/>
      <x:c r="L317" s="46"/>
      <x:c r="M317" s="46"/>
      <x:c r="N317" s="46"/>
      <x:c r="O317" s="46"/>
      <x:c r="P317" s="46"/>
      <x:c r="Q317" s="46"/>
    </x:row>
    <x:row r="318">
      <x:c r="A318" s="46"/>
      <x:c r="B318" s="46"/>
      <x:c r="C318" s="46"/>
      <x:c r="D318" s="46"/>
      <x:c r="E318" s="46"/>
      <x:c r="F318" s="46"/>
      <x:c r="G318" s="46"/>
      <x:c r="H318" s="46"/>
      <x:c r="I318" s="46"/>
      <x:c r="J318" s="46"/>
      <x:c r="K318" s="46"/>
      <x:c r="L318" s="46"/>
      <x:c r="M318" s="46"/>
      <x:c r="N318" s="46"/>
      <x:c r="O318" s="46"/>
      <x:c r="P318" s="46"/>
      <x:c r="Q318" s="46"/>
    </x:row>
    <x:row r="319">
      <x:c r="A319" s="46"/>
      <x:c r="B319" s="46"/>
      <x:c r="C319" s="46"/>
      <x:c r="D319" s="46"/>
      <x:c r="E319" s="46"/>
      <x:c r="F319" s="46"/>
      <x:c r="G319" s="46"/>
      <x:c r="H319" s="46"/>
      <x:c r="I319" s="46"/>
      <x:c r="J319" s="46"/>
      <x:c r="K319" s="46"/>
      <x:c r="L319" s="46"/>
      <x:c r="M319" s="46"/>
      <x:c r="N319" s="46"/>
      <x:c r="O319" s="46"/>
      <x:c r="P319" s="46"/>
      <x:c r="Q319" s="46"/>
    </x:row>
    <x:row r="320">
      <x:c r="A320" s="46"/>
      <x:c r="B320" s="46"/>
      <x:c r="C320" s="46"/>
      <x:c r="D320" s="46"/>
      <x:c r="E320" s="46"/>
      <x:c r="F320" s="46"/>
      <x:c r="G320" s="46"/>
      <x:c r="H320" s="46"/>
      <x:c r="I320" s="46"/>
      <x:c r="J320" s="46"/>
      <x:c r="K320" s="46"/>
      <x:c r="L320" s="46"/>
      <x:c r="M320" s="46"/>
      <x:c r="N320" s="46"/>
      <x:c r="O320" s="46"/>
      <x:c r="P320" s="46"/>
      <x:c r="Q320" s="46"/>
    </x:row>
    <x:row r="321">
      <x:c r="A321" s="46"/>
      <x:c r="B321" s="46"/>
      <x:c r="C321" s="46"/>
      <x:c r="D321" s="46"/>
      <x:c r="E321" s="46"/>
      <x:c r="F321" s="46"/>
      <x:c r="G321" s="46"/>
      <x:c r="H321" s="46"/>
      <x:c r="I321" s="46"/>
      <x:c r="J321" s="46"/>
      <x:c r="K321" s="46"/>
      <x:c r="L321" s="46"/>
      <x:c r="M321" s="46"/>
      <x:c r="N321" s="46"/>
      <x:c r="O321" s="46"/>
      <x:c r="P321" s="46"/>
      <x:c r="Q321" s="46"/>
    </x:row>
    <x:row r="322">
      <x:c r="A322" s="46"/>
      <x:c r="B322" s="46"/>
      <x:c r="C322" s="46"/>
      <x:c r="D322" s="46"/>
      <x:c r="E322" s="46"/>
      <x:c r="F322" s="46"/>
      <x:c r="G322" s="46"/>
      <x:c r="H322" s="46"/>
      <x:c r="I322" s="46"/>
      <x:c r="J322" s="46"/>
      <x:c r="K322" s="46"/>
      <x:c r="L322" s="46"/>
      <x:c r="M322" s="46"/>
      <x:c r="N322" s="46"/>
      <x:c r="O322" s="46"/>
      <x:c r="P322" s="46"/>
      <x:c r="Q322" s="46"/>
    </x:row>
    <x:row r="323">
      <x:c r="A323" s="46"/>
      <x:c r="B323" s="46"/>
      <x:c r="C323" s="46"/>
      <x:c r="D323" s="46"/>
      <x:c r="E323" s="46"/>
      <x:c r="F323" s="46"/>
      <x:c r="G323" s="46"/>
      <x:c r="H323" s="46"/>
      <x:c r="I323" s="46"/>
      <x:c r="J323" s="46"/>
      <x:c r="K323" s="46"/>
      <x:c r="L323" s="46"/>
      <x:c r="M323" s="46"/>
      <x:c r="N323" s="46"/>
      <x:c r="O323" s="46"/>
      <x:c r="P323" s="46"/>
      <x:c r="Q323" s="46"/>
    </x:row>
    <x:row r="324">
      <x:c r="A324" s="46"/>
      <x:c r="B324" s="46"/>
      <x:c r="C324" s="46"/>
      <x:c r="D324" s="46"/>
      <x:c r="E324" s="46"/>
      <x:c r="F324" s="46"/>
      <x:c r="G324" s="46"/>
      <x:c r="H324" s="46"/>
      <x:c r="I324" s="46"/>
      <x:c r="J324" s="46"/>
      <x:c r="K324" s="46"/>
      <x:c r="L324" s="46"/>
      <x:c r="M324" s="46"/>
      <x:c r="N324" s="46"/>
      <x:c r="O324" s="46"/>
      <x:c r="P324" s="46"/>
      <x:c r="Q324" s="46"/>
    </x:row>
    <x:row r="325">
      <x:c r="A325" s="46"/>
      <x:c r="B325" s="46"/>
      <x:c r="C325" s="46"/>
      <x:c r="D325" s="46"/>
      <x:c r="E325" s="46"/>
      <x:c r="F325" s="46"/>
      <x:c r="G325" s="46"/>
      <x:c r="H325" s="46"/>
      <x:c r="I325" s="46"/>
      <x:c r="J325" s="46"/>
      <x:c r="K325" s="46"/>
      <x:c r="L325" s="46"/>
      <x:c r="M325" s="46"/>
      <x:c r="N325" s="46"/>
      <x:c r="O325" s="46"/>
      <x:c r="P325" s="46"/>
      <x:c r="Q325" s="46"/>
    </x:row>
    <x:row r="326">
      <x:c r="A326" s="46"/>
      <x:c r="B326" s="46"/>
      <x:c r="C326" s="46"/>
      <x:c r="D326" s="46"/>
      <x:c r="E326" s="46"/>
      <x:c r="F326" s="46"/>
      <x:c r="G326" s="46"/>
      <x:c r="H326" s="46"/>
      <x:c r="I326" s="46"/>
      <x:c r="J326" s="46"/>
      <x:c r="K326" s="46"/>
      <x:c r="L326" s="46"/>
      <x:c r="M326" s="46"/>
      <x:c r="N326" s="46"/>
      <x:c r="O326" s="46"/>
      <x:c r="P326" s="46"/>
      <x:c r="Q326" s="46"/>
    </x:row>
    <x:row r="327">
      <x:c r="A327" s="46"/>
      <x:c r="B327" s="46"/>
      <x:c r="C327" s="46"/>
      <x:c r="D327" s="46"/>
      <x:c r="E327" s="46"/>
      <x:c r="F327" s="46"/>
      <x:c r="G327" s="46"/>
      <x:c r="H327" s="46"/>
      <x:c r="I327" s="46"/>
      <x:c r="J327" s="46"/>
      <x:c r="K327" s="46"/>
      <x:c r="L327" s="46"/>
      <x:c r="M327" s="46"/>
      <x:c r="N327" s="46"/>
      <x:c r="O327" s="46"/>
      <x:c r="P327" s="46"/>
      <x:c r="Q327" s="46"/>
    </x:row>
    <x:row r="328">
      <x:c r="A328" s="46"/>
      <x:c r="B328" s="46"/>
      <x:c r="C328" s="46"/>
      <x:c r="D328" s="46"/>
      <x:c r="E328" s="46"/>
      <x:c r="F328" s="46"/>
      <x:c r="G328" s="46"/>
      <x:c r="H328" s="46"/>
      <x:c r="I328" s="46"/>
      <x:c r="J328" s="46"/>
      <x:c r="K328" s="46"/>
      <x:c r="L328" s="46"/>
      <x:c r="M328" s="46"/>
      <x:c r="N328" s="46"/>
      <x:c r="O328" s="46"/>
      <x:c r="P328" s="46"/>
      <x:c r="Q328" s="46"/>
    </x:row>
    <x:row r="329">
      <x:c r="A329" s="46"/>
      <x:c r="B329" s="46"/>
      <x:c r="C329" s="46"/>
      <x:c r="D329" s="46"/>
      <x:c r="E329" s="46"/>
      <x:c r="F329" s="46"/>
      <x:c r="G329" s="46"/>
      <x:c r="H329" s="46"/>
      <x:c r="I329" s="46"/>
      <x:c r="J329" s="46"/>
      <x:c r="K329" s="46"/>
      <x:c r="L329" s="46"/>
      <x:c r="M329" s="46"/>
      <x:c r="N329" s="46"/>
      <x:c r="O329" s="46"/>
      <x:c r="P329" s="46"/>
      <x:c r="Q329" s="46"/>
    </x:row>
    <x:row r="330">
      <x:c r="A330" s="46"/>
      <x:c r="B330" s="46"/>
      <x:c r="C330" s="46"/>
      <x:c r="D330" s="46"/>
      <x:c r="E330" s="46"/>
      <x:c r="F330" s="46"/>
      <x:c r="G330" s="46"/>
      <x:c r="H330" s="46"/>
      <x:c r="I330" s="46"/>
      <x:c r="J330" s="46"/>
      <x:c r="K330" s="46"/>
      <x:c r="L330" s="46"/>
      <x:c r="M330" s="46"/>
      <x:c r="N330" s="46"/>
      <x:c r="O330" s="46"/>
      <x:c r="P330" s="46"/>
      <x:c r="Q330" s="46"/>
    </x:row>
    <x:row r="331">
      <x:c r="A331" s="46"/>
      <x:c r="B331" s="46"/>
      <x:c r="C331" s="46"/>
      <x:c r="D331" s="46"/>
      <x:c r="E331" s="46"/>
      <x:c r="F331" s="46"/>
      <x:c r="G331" s="46"/>
      <x:c r="H331" s="46"/>
      <x:c r="I331" s="46"/>
      <x:c r="J331" s="46"/>
      <x:c r="K331" s="46"/>
      <x:c r="L331" s="46"/>
      <x:c r="M331" s="46"/>
      <x:c r="N331" s="46"/>
      <x:c r="O331" s="46"/>
      <x:c r="P331" s="46"/>
      <x:c r="Q331" s="46"/>
    </x:row>
    <x:row r="332">
      <x:c r="A332" s="46"/>
      <x:c r="B332" s="46"/>
      <x:c r="C332" s="46"/>
      <x:c r="D332" s="46"/>
      <x:c r="E332" s="46"/>
      <x:c r="F332" s="46"/>
      <x:c r="G332" s="46"/>
      <x:c r="H332" s="46"/>
      <x:c r="I332" s="46"/>
      <x:c r="J332" s="46"/>
      <x:c r="K332" s="46"/>
      <x:c r="L332" s="46"/>
      <x:c r="M332" s="46"/>
      <x:c r="N332" s="46"/>
      <x:c r="O332" s="46"/>
      <x:c r="P332" s="46"/>
      <x:c r="Q332" s="46"/>
    </x:row>
    <x:row r="333">
      <x:c r="A333" s="46"/>
      <x:c r="B333" s="46"/>
      <x:c r="C333" s="46"/>
      <x:c r="D333" s="46"/>
      <x:c r="E333" s="46"/>
      <x:c r="F333" s="46"/>
      <x:c r="G333" s="46"/>
      <x:c r="H333" s="46"/>
      <x:c r="I333" s="46"/>
      <x:c r="J333" s="46"/>
      <x:c r="K333" s="46"/>
      <x:c r="L333" s="46"/>
      <x:c r="M333" s="46"/>
      <x:c r="N333" s="46"/>
      <x:c r="O333" s="46"/>
      <x:c r="P333" s="46"/>
      <x:c r="Q333" s="46"/>
    </x:row>
    <x:row r="334">
      <x:c r="A334" s="46"/>
      <x:c r="B334" s="46"/>
      <x:c r="C334" s="46"/>
      <x:c r="D334" s="46"/>
      <x:c r="E334" s="46"/>
      <x:c r="F334" s="46"/>
      <x:c r="G334" s="46"/>
      <x:c r="H334" s="46"/>
      <x:c r="I334" s="46"/>
      <x:c r="J334" s="46"/>
      <x:c r="K334" s="46"/>
      <x:c r="L334" s="46"/>
      <x:c r="M334" s="46"/>
      <x:c r="N334" s="46"/>
      <x:c r="O334" s="46"/>
      <x:c r="P334" s="46"/>
      <x:c r="Q334" s="46"/>
    </x:row>
    <x:row r="335">
      <x:c r="A335" s="46"/>
      <x:c r="B335" s="46"/>
      <x:c r="C335" s="46"/>
      <x:c r="D335" s="46"/>
      <x:c r="E335" s="46"/>
      <x:c r="F335" s="46"/>
      <x:c r="G335" s="46"/>
      <x:c r="H335" s="46"/>
      <x:c r="I335" s="46"/>
      <x:c r="J335" s="46"/>
      <x:c r="K335" s="46"/>
      <x:c r="L335" s="46"/>
      <x:c r="M335" s="46"/>
      <x:c r="N335" s="46"/>
      <x:c r="O335" s="46"/>
      <x:c r="P335" s="46"/>
      <x:c r="Q335" s="46"/>
    </x:row>
    <x:row r="336">
      <x:c r="A336" s="46"/>
      <x:c r="B336" s="46"/>
      <x:c r="C336" s="46"/>
      <x:c r="D336" s="46"/>
      <x:c r="E336" s="46"/>
      <x:c r="F336" s="46"/>
      <x:c r="G336" s="46"/>
      <x:c r="H336" s="46"/>
      <x:c r="I336" s="46"/>
      <x:c r="J336" s="46"/>
      <x:c r="K336" s="46"/>
      <x:c r="L336" s="46"/>
      <x:c r="M336" s="46"/>
      <x:c r="N336" s="46"/>
      <x:c r="O336" s="46"/>
      <x:c r="P336" s="46"/>
      <x:c r="Q336" s="46"/>
    </x:row>
    <x:row r="337">
      <x:c r="A337" s="46"/>
      <x:c r="B337" s="46"/>
      <x:c r="C337" s="46"/>
      <x:c r="D337" s="46"/>
      <x:c r="E337" s="46"/>
      <x:c r="F337" s="46"/>
      <x:c r="G337" s="46"/>
      <x:c r="H337" s="46"/>
      <x:c r="I337" s="46"/>
      <x:c r="J337" s="46"/>
      <x:c r="K337" s="46"/>
      <x:c r="L337" s="46"/>
      <x:c r="M337" s="46"/>
      <x:c r="N337" s="46"/>
      <x:c r="O337" s="46"/>
      <x:c r="P337" s="46"/>
      <x:c r="Q337" s="46"/>
    </x:row>
    <x:row r="338">
      <x:c r="A338" s="46"/>
      <x:c r="B338" s="46"/>
      <x:c r="C338" s="46"/>
      <x:c r="D338" s="46"/>
      <x:c r="E338" s="46"/>
      <x:c r="F338" s="46"/>
      <x:c r="G338" s="46"/>
      <x:c r="H338" s="46"/>
      <x:c r="I338" s="46"/>
      <x:c r="J338" s="46"/>
      <x:c r="K338" s="46"/>
      <x:c r="L338" s="46"/>
      <x:c r="M338" s="46"/>
      <x:c r="N338" s="46"/>
      <x:c r="O338" s="46"/>
      <x:c r="P338" s="46"/>
      <x:c r="Q338" s="46"/>
    </x:row>
    <x:row r="339">
      <x:c r="A339" s="46"/>
      <x:c r="B339" s="46"/>
      <x:c r="C339" s="46"/>
      <x:c r="D339" s="46"/>
      <x:c r="E339" s="46"/>
      <x:c r="F339" s="46"/>
      <x:c r="G339" s="46"/>
      <x:c r="H339" s="46"/>
      <x:c r="I339" s="46"/>
      <x:c r="J339" s="46"/>
      <x:c r="K339" s="46"/>
      <x:c r="L339" s="46"/>
      <x:c r="M339" s="46"/>
      <x:c r="N339" s="46"/>
      <x:c r="O339" s="46"/>
      <x:c r="P339" s="46"/>
      <x:c r="Q339" s="46"/>
    </x:row>
    <x:row r="340">
      <x:c r="A340" s="46"/>
      <x:c r="B340" s="46"/>
      <x:c r="C340" s="46"/>
      <x:c r="D340" s="46"/>
      <x:c r="E340" s="46"/>
      <x:c r="F340" s="46"/>
      <x:c r="G340" s="46"/>
      <x:c r="H340" s="46"/>
      <x:c r="I340" s="46"/>
      <x:c r="J340" s="46"/>
      <x:c r="K340" s="46"/>
      <x:c r="L340" s="46"/>
      <x:c r="M340" s="46"/>
      <x:c r="N340" s="46"/>
      <x:c r="O340" s="46"/>
      <x:c r="P340" s="46"/>
      <x:c r="Q340" s="46"/>
    </x:row>
    <x:row r="341">
      <x:c r="A341" s="46"/>
      <x:c r="B341" s="46"/>
      <x:c r="C341" s="46"/>
      <x:c r="D341" s="46"/>
      <x:c r="E341" s="46"/>
      <x:c r="F341" s="46"/>
      <x:c r="G341" s="46"/>
      <x:c r="H341" s="46"/>
      <x:c r="I341" s="46"/>
      <x:c r="J341" s="46"/>
      <x:c r="K341" s="46"/>
      <x:c r="L341" s="46"/>
      <x:c r="M341" s="46"/>
      <x:c r="N341" s="46"/>
      <x:c r="O341" s="46"/>
      <x:c r="P341" s="46"/>
      <x:c r="Q341" s="46"/>
    </x:row>
    <x:row r="342">
      <x:c r="A342" s="46"/>
      <x:c r="B342" s="46"/>
      <x:c r="C342" s="46"/>
      <x:c r="D342" s="46"/>
      <x:c r="E342" s="46"/>
      <x:c r="F342" s="46"/>
      <x:c r="G342" s="46"/>
      <x:c r="H342" s="46"/>
      <x:c r="I342" s="46"/>
      <x:c r="J342" s="46"/>
      <x:c r="K342" s="46"/>
      <x:c r="L342" s="46"/>
      <x:c r="M342" s="46"/>
      <x:c r="N342" s="46"/>
      <x:c r="O342" s="46"/>
      <x:c r="P342" s="46"/>
      <x:c r="Q342" s="46"/>
    </x:row>
    <x:row r="343">
      <x:c r="A343" s="46"/>
      <x:c r="B343" s="46"/>
      <x:c r="C343" s="46"/>
      <x:c r="D343" s="46"/>
      <x:c r="E343" s="46"/>
      <x:c r="F343" s="46"/>
      <x:c r="G343" s="46"/>
      <x:c r="H343" s="46"/>
      <x:c r="I343" s="46"/>
      <x:c r="J343" s="46"/>
      <x:c r="K343" s="46"/>
      <x:c r="L343" s="46"/>
      <x:c r="M343" s="46"/>
      <x:c r="N343" s="46"/>
      <x:c r="O343" s="46"/>
      <x:c r="P343" s="46"/>
      <x:c r="Q343" s="46"/>
    </x:row>
    <x:row r="344">
      <x:c r="A344" s="46"/>
      <x:c r="B344" s="46"/>
      <x:c r="C344" s="46"/>
      <x:c r="D344" s="46"/>
      <x:c r="E344" s="46"/>
      <x:c r="F344" s="46"/>
      <x:c r="G344" s="46"/>
      <x:c r="H344" s="46"/>
      <x:c r="I344" s="46"/>
      <x:c r="J344" s="46"/>
      <x:c r="K344" s="46"/>
      <x:c r="L344" s="46"/>
      <x:c r="M344" s="46"/>
      <x:c r="N344" s="46"/>
      <x:c r="O344" s="46"/>
      <x:c r="P344" s="46"/>
      <x:c r="Q344" s="46"/>
    </x:row>
    <x:row r="345">
      <x:c r="A345" s="46"/>
      <x:c r="B345" s="46"/>
      <x:c r="C345" s="46"/>
      <x:c r="D345" s="46"/>
      <x:c r="E345" s="46"/>
      <x:c r="F345" s="46"/>
      <x:c r="G345" s="46"/>
      <x:c r="H345" s="46"/>
      <x:c r="I345" s="46"/>
      <x:c r="J345" s="46"/>
      <x:c r="K345" s="46"/>
      <x:c r="L345" s="46"/>
      <x:c r="M345" s="46"/>
      <x:c r="N345" s="46"/>
      <x:c r="O345" s="46"/>
      <x:c r="P345" s="46"/>
      <x:c r="Q345" s="46"/>
    </x:row>
    <x:row r="346">
      <x:c r="A346" s="46"/>
      <x:c r="B346" s="46"/>
      <x:c r="C346" s="46"/>
      <x:c r="D346" s="46"/>
      <x:c r="E346" s="46"/>
      <x:c r="F346" s="46"/>
      <x:c r="G346" s="46"/>
      <x:c r="H346" s="46"/>
      <x:c r="I346" s="46"/>
      <x:c r="J346" s="46"/>
      <x:c r="K346" s="46"/>
      <x:c r="L346" s="46"/>
      <x:c r="M346" s="46"/>
      <x:c r="N346" s="46"/>
      <x:c r="O346" s="46"/>
      <x:c r="P346" s="46"/>
      <x:c r="Q346" s="46"/>
    </x:row>
    <x:row r="347">
      <x:c r="A347" s="46"/>
      <x:c r="B347" s="46"/>
      <x:c r="C347" s="46"/>
      <x:c r="D347" s="46"/>
      <x:c r="E347" s="46"/>
      <x:c r="F347" s="46"/>
      <x:c r="G347" s="46"/>
      <x:c r="H347" s="46"/>
      <x:c r="I347" s="46"/>
      <x:c r="J347" s="46"/>
      <x:c r="K347" s="46"/>
      <x:c r="L347" s="46"/>
      <x:c r="M347" s="46"/>
      <x:c r="N347" s="46"/>
      <x:c r="O347" s="46"/>
      <x:c r="P347" s="46"/>
      <x:c r="Q347" s="46"/>
    </x:row>
    <x:row r="348">
      <x:c r="A348" s="46"/>
      <x:c r="B348" s="46"/>
      <x:c r="C348" s="46"/>
      <x:c r="D348" s="46"/>
      <x:c r="E348" s="46"/>
      <x:c r="F348" s="46"/>
      <x:c r="G348" s="46"/>
      <x:c r="H348" s="46"/>
      <x:c r="I348" s="46"/>
      <x:c r="J348" s="46"/>
      <x:c r="K348" s="46"/>
      <x:c r="L348" s="46"/>
      <x:c r="M348" s="46"/>
      <x:c r="N348" s="46"/>
      <x:c r="O348" s="46"/>
      <x:c r="P348" s="46"/>
      <x:c r="Q348" s="46"/>
    </x:row>
    <x:row r="349">
      <x:c r="A349" s="46"/>
      <x:c r="B349" s="46"/>
      <x:c r="C349" s="46"/>
      <x:c r="D349" s="46"/>
      <x:c r="E349" s="46"/>
      <x:c r="F349" s="46"/>
      <x:c r="G349" s="46"/>
      <x:c r="H349" s="46"/>
      <x:c r="I349" s="46"/>
      <x:c r="J349" s="46"/>
      <x:c r="K349" s="46"/>
      <x:c r="L349" s="46"/>
      <x:c r="M349" s="46"/>
      <x:c r="N349" s="46"/>
      <x:c r="O349" s="46"/>
      <x:c r="P349" s="46"/>
      <x:c r="Q349" s="46"/>
    </x:row>
    <x:row r="350">
      <x:c r="A350" s="46"/>
      <x:c r="B350" s="46"/>
      <x:c r="C350" s="46"/>
      <x:c r="D350" s="46"/>
      <x:c r="E350" s="46"/>
      <x:c r="F350" s="46"/>
      <x:c r="G350" s="46"/>
      <x:c r="H350" s="46"/>
      <x:c r="I350" s="46"/>
      <x:c r="J350" s="46"/>
      <x:c r="K350" s="46"/>
      <x:c r="L350" s="46"/>
      <x:c r="M350" s="46"/>
      <x:c r="N350" s="46"/>
      <x:c r="O350" s="46"/>
      <x:c r="P350" s="46"/>
      <x:c r="Q350" s="46"/>
    </x:row>
    <x:row r="351">
      <x:c r="A351" s="46"/>
      <x:c r="B351" s="46"/>
      <x:c r="C351" s="46"/>
      <x:c r="D351" s="46"/>
      <x:c r="E351" s="46"/>
      <x:c r="F351" s="46"/>
      <x:c r="G351" s="46"/>
      <x:c r="H351" s="46"/>
      <x:c r="I351" s="46"/>
      <x:c r="J351" s="46"/>
      <x:c r="K351" s="46"/>
      <x:c r="L351" s="46"/>
      <x:c r="M351" s="46"/>
      <x:c r="N351" s="46"/>
      <x:c r="O351" s="46"/>
      <x:c r="P351" s="46"/>
      <x:c r="Q351" s="46"/>
    </x:row>
    <x:row r="352">
      <x:c r="A352" s="46"/>
      <x:c r="B352" s="46"/>
      <x:c r="C352" s="46"/>
      <x:c r="D352" s="46"/>
      <x:c r="E352" s="46"/>
      <x:c r="F352" s="46"/>
      <x:c r="G352" s="46"/>
      <x:c r="H352" s="46"/>
      <x:c r="I352" s="46"/>
      <x:c r="J352" s="46"/>
      <x:c r="K352" s="46"/>
      <x:c r="L352" s="46"/>
      <x:c r="M352" s="46"/>
      <x:c r="N352" s="46"/>
      <x:c r="O352" s="46"/>
      <x:c r="P352" s="46"/>
      <x:c r="Q352" s="46"/>
    </x:row>
    <x:row r="353">
      <x:c r="A353" s="46"/>
      <x:c r="B353" s="46"/>
      <x:c r="C353" s="46"/>
      <x:c r="D353" s="46"/>
      <x:c r="E353" s="46"/>
      <x:c r="F353" s="46"/>
      <x:c r="G353" s="46"/>
      <x:c r="H353" s="46"/>
      <x:c r="I353" s="46"/>
      <x:c r="J353" s="46"/>
      <x:c r="K353" s="46"/>
      <x:c r="L353" s="46"/>
      <x:c r="M353" s="46"/>
      <x:c r="N353" s="46"/>
      <x:c r="O353" s="46"/>
      <x:c r="P353" s="46"/>
      <x:c r="Q353" s="46"/>
    </x:row>
    <x:row r="354">
      <x:c r="A354" s="46"/>
      <x:c r="B354" s="46"/>
      <x:c r="C354" s="46"/>
      <x:c r="D354" s="46"/>
      <x:c r="E354" s="46"/>
      <x:c r="F354" s="46"/>
      <x:c r="G354" s="46"/>
      <x:c r="H354" s="46"/>
      <x:c r="I354" s="46"/>
      <x:c r="J354" s="46"/>
      <x:c r="K354" s="46"/>
      <x:c r="L354" s="46"/>
      <x:c r="M354" s="46"/>
      <x:c r="N354" s="46"/>
      <x:c r="O354" s="46"/>
      <x:c r="P354" s="46"/>
      <x:c r="Q354" s="46"/>
    </x:row>
    <x:row r="355">
      <x:c r="A355" s="46"/>
      <x:c r="B355" s="46"/>
      <x:c r="C355" s="46"/>
      <x:c r="D355" s="46"/>
      <x:c r="E355" s="46"/>
      <x:c r="F355" s="46"/>
      <x:c r="G355" s="46"/>
      <x:c r="H355" s="46"/>
      <x:c r="I355" s="46"/>
      <x:c r="J355" s="46"/>
      <x:c r="K355" s="46"/>
      <x:c r="L355" s="46"/>
      <x:c r="M355" s="46"/>
      <x:c r="N355" s="46"/>
      <x:c r="O355" s="46"/>
      <x:c r="P355" s="46"/>
      <x:c r="Q355" s="46"/>
    </x:row>
    <x:row r="356">
      <x:c r="A356" s="46"/>
      <x:c r="B356" s="46"/>
      <x:c r="C356" s="46"/>
      <x:c r="D356" s="46"/>
      <x:c r="E356" s="46"/>
      <x:c r="F356" s="46"/>
      <x:c r="G356" s="46"/>
      <x:c r="H356" s="46"/>
      <x:c r="I356" s="46"/>
      <x:c r="J356" s="46"/>
      <x:c r="K356" s="46"/>
      <x:c r="L356" s="46"/>
      <x:c r="M356" s="46"/>
      <x:c r="N356" s="46"/>
      <x:c r="O356" s="46"/>
      <x:c r="P356" s="46"/>
      <x:c r="Q356" s="46"/>
    </x:row>
    <x:row r="357">
      <x:c r="A357" s="46"/>
      <x:c r="B357" s="46"/>
      <x:c r="C357" s="46"/>
      <x:c r="D357" s="46"/>
      <x:c r="E357" s="46"/>
      <x:c r="F357" s="46"/>
      <x:c r="G357" s="46"/>
      <x:c r="H357" s="46"/>
      <x:c r="I357" s="46"/>
      <x:c r="J357" s="46"/>
      <x:c r="K357" s="46"/>
      <x:c r="L357" s="46"/>
      <x:c r="M357" s="46"/>
      <x:c r="N357" s="46"/>
      <x:c r="O357" s="46"/>
      <x:c r="P357" s="46"/>
      <x:c r="Q357" s="46"/>
    </x:row>
    <x:row r="358">
      <x:c r="A358" s="46"/>
      <x:c r="B358" s="46"/>
      <x:c r="C358" s="46"/>
      <x:c r="D358" s="46"/>
      <x:c r="E358" s="46"/>
      <x:c r="F358" s="46"/>
      <x:c r="G358" s="46"/>
      <x:c r="H358" s="46"/>
      <x:c r="I358" s="46"/>
      <x:c r="J358" s="46"/>
      <x:c r="K358" s="46"/>
      <x:c r="L358" s="46"/>
      <x:c r="M358" s="46"/>
      <x:c r="N358" s="46"/>
      <x:c r="O358" s="46"/>
      <x:c r="P358" s="46"/>
      <x:c r="Q358" s="46"/>
    </x:row>
    <x:row r="359">
      <x:c r="A359" s="46"/>
      <x:c r="B359" s="46"/>
      <x:c r="C359" s="46"/>
      <x:c r="D359" s="46"/>
      <x:c r="E359" s="46"/>
      <x:c r="F359" s="46"/>
      <x:c r="G359" s="46"/>
      <x:c r="H359" s="46"/>
      <x:c r="I359" s="46"/>
      <x:c r="J359" s="46"/>
      <x:c r="K359" s="46"/>
      <x:c r="L359" s="46"/>
      <x:c r="M359" s="46"/>
      <x:c r="N359" s="46"/>
      <x:c r="O359" s="46"/>
      <x:c r="P359" s="46"/>
      <x:c r="Q359" s="46"/>
    </x:row>
    <x:row r="360">
      <x:c r="A360" s="46"/>
      <x:c r="B360" s="46"/>
      <x:c r="C360" s="46"/>
      <x:c r="D360" s="46"/>
      <x:c r="E360" s="46"/>
      <x:c r="F360" s="46"/>
      <x:c r="G360" s="46"/>
      <x:c r="H360" s="46"/>
      <x:c r="I360" s="46"/>
      <x:c r="J360" s="46"/>
      <x:c r="K360" s="46"/>
      <x:c r="L360" s="46"/>
      <x:c r="M360" s="46"/>
      <x:c r="N360" s="46"/>
      <x:c r="O360" s="46"/>
      <x:c r="P360" s="46"/>
      <x:c r="Q360" s="46"/>
    </x:row>
    <x:row r="361">
      <x:c r="A361" s="46"/>
      <x:c r="B361" s="46"/>
      <x:c r="C361" s="46"/>
      <x:c r="D361" s="46"/>
      <x:c r="E361" s="46"/>
      <x:c r="F361" s="46"/>
      <x:c r="G361" s="46"/>
      <x:c r="H361" s="46"/>
      <x:c r="I361" s="46"/>
      <x:c r="J361" s="46"/>
      <x:c r="K361" s="46"/>
      <x:c r="L361" s="46"/>
      <x:c r="M361" s="46"/>
      <x:c r="N361" s="46"/>
      <x:c r="O361" s="46"/>
      <x:c r="P361" s="46"/>
      <x:c r="Q361" s="46"/>
    </x:row>
    <x:row r="362">
      <x:c r="A362" s="46"/>
      <x:c r="B362" s="46"/>
      <x:c r="C362" s="46"/>
      <x:c r="D362" s="46"/>
      <x:c r="E362" s="46"/>
      <x:c r="F362" s="46"/>
      <x:c r="G362" s="46"/>
      <x:c r="H362" s="46"/>
      <x:c r="I362" s="46"/>
      <x:c r="J362" s="46"/>
      <x:c r="K362" s="46"/>
      <x:c r="L362" s="46"/>
      <x:c r="M362" s="46"/>
      <x:c r="N362" s="46"/>
      <x:c r="O362" s="46"/>
      <x:c r="P362" s="46"/>
      <x:c r="Q362" s="46"/>
    </x:row>
    <x:row r="363">
      <x:c r="A363" s="46"/>
      <x:c r="B363" s="46"/>
      <x:c r="C363" s="46"/>
      <x:c r="D363" s="46"/>
      <x:c r="E363" s="46"/>
      <x:c r="F363" s="46"/>
      <x:c r="G363" s="46"/>
      <x:c r="H363" s="46"/>
      <x:c r="I363" s="46"/>
      <x:c r="J363" s="46"/>
      <x:c r="K363" s="46"/>
      <x:c r="L363" s="46"/>
      <x:c r="M363" s="46"/>
      <x:c r="N363" s="46"/>
      <x:c r="O363" s="46"/>
      <x:c r="P363" s="46"/>
      <x:c r="Q363" s="46"/>
    </x:row>
    <x:row r="364">
      <x:c r="A364" s="46"/>
      <x:c r="B364" s="46"/>
      <x:c r="C364" s="46"/>
      <x:c r="D364" s="46"/>
      <x:c r="E364" s="46"/>
      <x:c r="F364" s="46"/>
      <x:c r="G364" s="46"/>
      <x:c r="H364" s="46"/>
      <x:c r="I364" s="46"/>
      <x:c r="J364" s="46"/>
      <x:c r="K364" s="46"/>
      <x:c r="L364" s="46"/>
      <x:c r="M364" s="46"/>
      <x:c r="N364" s="46"/>
      <x:c r="O364" s="46"/>
      <x:c r="P364" s="46"/>
      <x:c r="Q364" s="46"/>
    </x:row>
    <x:row r="365">
      <x:c r="A365" s="46"/>
      <x:c r="B365" s="46"/>
      <x:c r="C365" s="46"/>
      <x:c r="D365" s="46"/>
      <x:c r="E365" s="46"/>
      <x:c r="F365" s="46"/>
      <x:c r="G365" s="46"/>
      <x:c r="H365" s="46"/>
      <x:c r="I365" s="46"/>
      <x:c r="J365" s="46"/>
      <x:c r="K365" s="46"/>
      <x:c r="L365" s="46"/>
      <x:c r="M365" s="46"/>
      <x:c r="N365" s="46"/>
      <x:c r="O365" s="46"/>
      <x:c r="P365" s="46"/>
      <x:c r="Q365" s="46"/>
    </x:row>
    <x:row r="366">
      <x:c r="A366" s="46"/>
      <x:c r="B366" s="46"/>
      <x:c r="C366" s="46"/>
      <x:c r="D366" s="46"/>
      <x:c r="E366" s="46"/>
      <x:c r="F366" s="46"/>
      <x:c r="G366" s="46"/>
      <x:c r="H366" s="46"/>
      <x:c r="I366" s="46"/>
      <x:c r="J366" s="46"/>
      <x:c r="K366" s="46"/>
      <x:c r="L366" s="46"/>
      <x:c r="M366" s="46"/>
      <x:c r="N366" s="46"/>
      <x:c r="O366" s="46"/>
      <x:c r="P366" s="46"/>
      <x:c r="Q366" s="46"/>
    </x:row>
    <x:row r="367">
      <x:c r="A367" s="46"/>
      <x:c r="B367" s="46"/>
      <x:c r="C367" s="46"/>
      <x:c r="D367" s="46"/>
      <x:c r="E367" s="46"/>
      <x:c r="F367" s="46"/>
      <x:c r="G367" s="46"/>
      <x:c r="H367" s="46"/>
      <x:c r="I367" s="46"/>
      <x:c r="J367" s="46"/>
      <x:c r="K367" s="46"/>
      <x:c r="L367" s="46"/>
      <x:c r="M367" s="46"/>
      <x:c r="N367" s="46"/>
      <x:c r="O367" s="46"/>
      <x:c r="P367" s="46"/>
      <x:c r="Q367" s="46"/>
    </x:row>
    <x:row r="368">
      <x:c r="A368" s="46"/>
      <x:c r="B368" s="46"/>
      <x:c r="C368" s="46"/>
      <x:c r="D368" s="46"/>
      <x:c r="E368" s="46"/>
      <x:c r="F368" s="46"/>
      <x:c r="G368" s="46"/>
      <x:c r="H368" s="46"/>
      <x:c r="I368" s="46"/>
      <x:c r="J368" s="46"/>
      <x:c r="K368" s="46"/>
      <x:c r="L368" s="46"/>
      <x:c r="M368" s="46"/>
      <x:c r="N368" s="46"/>
      <x:c r="O368" s="46"/>
      <x:c r="P368" s="46"/>
      <x:c r="Q368" s="46"/>
    </x:row>
    <x:row r="369">
      <x:c r="A369" s="46"/>
      <x:c r="B369" s="46"/>
      <x:c r="C369" s="46"/>
      <x:c r="D369" s="46"/>
      <x:c r="E369" s="46"/>
      <x:c r="F369" s="46"/>
      <x:c r="G369" s="46"/>
      <x:c r="H369" s="46"/>
      <x:c r="I369" s="46"/>
      <x:c r="J369" s="46"/>
      <x:c r="K369" s="46"/>
      <x:c r="L369" s="46"/>
      <x:c r="M369" s="46"/>
      <x:c r="N369" s="46"/>
      <x:c r="O369" s="46"/>
      <x:c r="P369" s="46"/>
      <x:c r="Q369" s="46"/>
    </x:row>
    <x:row r="370">
      <x:c r="A370" s="46"/>
      <x:c r="B370" s="46"/>
      <x:c r="C370" s="46"/>
      <x:c r="D370" s="46"/>
      <x:c r="E370" s="46"/>
      <x:c r="F370" s="46"/>
      <x:c r="G370" s="46"/>
      <x:c r="H370" s="46"/>
      <x:c r="I370" s="46"/>
      <x:c r="J370" s="46"/>
      <x:c r="K370" s="46"/>
      <x:c r="L370" s="46"/>
      <x:c r="M370" s="46"/>
      <x:c r="N370" s="46"/>
      <x:c r="O370" s="46"/>
      <x:c r="P370" s="46"/>
      <x:c r="Q370" s="46"/>
    </x:row>
    <x:row r="371">
      <x:c r="A371" s="46"/>
      <x:c r="B371" s="46"/>
      <x:c r="C371" s="46"/>
      <x:c r="D371" s="46"/>
      <x:c r="E371" s="46"/>
      <x:c r="F371" s="46"/>
      <x:c r="G371" s="46"/>
      <x:c r="H371" s="46"/>
      <x:c r="I371" s="46"/>
      <x:c r="J371" s="46"/>
      <x:c r="K371" s="46"/>
      <x:c r="L371" s="46"/>
      <x:c r="M371" s="46"/>
      <x:c r="N371" s="46"/>
      <x:c r="O371" s="46"/>
      <x:c r="P371" s="46"/>
      <x:c r="Q371" s="46"/>
    </x:row>
    <x:row r="372">
      <x:c r="A372" s="46"/>
      <x:c r="B372" s="46"/>
      <x:c r="C372" s="46"/>
      <x:c r="D372" s="46"/>
      <x:c r="E372" s="46"/>
      <x:c r="F372" s="46"/>
      <x:c r="G372" s="46"/>
      <x:c r="H372" s="46"/>
      <x:c r="I372" s="46"/>
      <x:c r="J372" s="46"/>
      <x:c r="K372" s="46"/>
      <x:c r="L372" s="46"/>
      <x:c r="M372" s="46"/>
      <x:c r="N372" s="46"/>
      <x:c r="O372" s="46"/>
      <x:c r="P372" s="46"/>
      <x:c r="Q372" s="46"/>
    </x:row>
    <x:row r="373">
      <x:c r="A373" s="46"/>
      <x:c r="B373" s="46"/>
      <x:c r="C373" s="46"/>
      <x:c r="D373" s="46"/>
      <x:c r="E373" s="46"/>
      <x:c r="F373" s="46"/>
      <x:c r="G373" s="46"/>
      <x:c r="H373" s="46"/>
      <x:c r="I373" s="46"/>
      <x:c r="J373" s="46"/>
      <x:c r="K373" s="46"/>
      <x:c r="L373" s="46"/>
      <x:c r="M373" s="46"/>
      <x:c r="N373" s="46"/>
      <x:c r="O373" s="46"/>
      <x:c r="P373" s="46"/>
      <x:c r="Q373" s="46"/>
    </x:row>
    <x:row r="374">
      <x:c r="A374" s="46"/>
      <x:c r="B374" s="46"/>
      <x:c r="C374" s="46"/>
      <x:c r="D374" s="46"/>
      <x:c r="E374" s="46"/>
      <x:c r="F374" s="46"/>
      <x:c r="G374" s="46"/>
      <x:c r="H374" s="46"/>
      <x:c r="I374" s="46"/>
      <x:c r="J374" s="46"/>
      <x:c r="K374" s="46"/>
      <x:c r="L374" s="46"/>
      <x:c r="M374" s="46"/>
      <x:c r="N374" s="46"/>
      <x:c r="O374" s="46"/>
      <x:c r="P374" s="46"/>
      <x:c r="Q374" s="46"/>
    </x:row>
    <x:row r="375">
      <x:c r="A375" s="46"/>
      <x:c r="B375" s="46"/>
      <x:c r="C375" s="46"/>
      <x:c r="D375" s="46"/>
      <x:c r="E375" s="46"/>
      <x:c r="F375" s="46"/>
      <x:c r="G375" s="46"/>
      <x:c r="H375" s="46"/>
      <x:c r="I375" s="46"/>
      <x:c r="J375" s="46"/>
      <x:c r="K375" s="46"/>
      <x:c r="L375" s="46"/>
      <x:c r="M375" s="46"/>
      <x:c r="N375" s="46"/>
      <x:c r="O375" s="46"/>
      <x:c r="P375" s="46"/>
      <x:c r="Q375" s="46"/>
    </x:row>
    <x:row r="376">
      <x:c r="A376" s="46"/>
      <x:c r="B376" s="46"/>
      <x:c r="C376" s="46"/>
      <x:c r="D376" s="46"/>
      <x:c r="E376" s="46"/>
      <x:c r="F376" s="46"/>
      <x:c r="G376" s="46"/>
      <x:c r="H376" s="46"/>
      <x:c r="I376" s="46"/>
      <x:c r="J376" s="46"/>
      <x:c r="K376" s="46"/>
      <x:c r="L376" s="46"/>
      <x:c r="M376" s="46"/>
      <x:c r="N376" s="46"/>
      <x:c r="O376" s="46"/>
      <x:c r="P376" s="46"/>
      <x:c r="Q376" s="46"/>
    </x:row>
    <x:row r="377">
      <x:c r="A377" s="46"/>
      <x:c r="B377" s="46"/>
      <x:c r="C377" s="46"/>
      <x:c r="D377" s="46"/>
      <x:c r="E377" s="46"/>
      <x:c r="F377" s="46"/>
      <x:c r="G377" s="46"/>
      <x:c r="H377" s="46"/>
      <x:c r="I377" s="46"/>
      <x:c r="J377" s="46"/>
      <x:c r="K377" s="46"/>
      <x:c r="L377" s="46"/>
      <x:c r="M377" s="46"/>
      <x:c r="N377" s="46"/>
      <x:c r="O377" s="46"/>
      <x:c r="P377" s="46"/>
      <x:c r="Q377" s="46"/>
    </x:row>
    <x:row r="378">
      <x:c r="A378" s="46"/>
      <x:c r="B378" s="46"/>
      <x:c r="C378" s="46"/>
      <x:c r="D378" s="46"/>
      <x:c r="E378" s="46"/>
      <x:c r="F378" s="46"/>
      <x:c r="G378" s="46"/>
      <x:c r="H378" s="46"/>
      <x:c r="I378" s="46"/>
      <x:c r="J378" s="46"/>
      <x:c r="K378" s="46"/>
      <x:c r="L378" s="46"/>
      <x:c r="M378" s="46"/>
      <x:c r="N378" s="46"/>
      <x:c r="O378" s="46"/>
      <x:c r="P378" s="46"/>
      <x:c r="Q378" s="46"/>
    </x:row>
    <x:row r="379">
      <x:c r="A379" s="46"/>
      <x:c r="B379" s="46"/>
      <x:c r="C379" s="46"/>
      <x:c r="D379" s="46"/>
      <x:c r="E379" s="46"/>
      <x:c r="F379" s="46"/>
      <x:c r="G379" s="46"/>
      <x:c r="H379" s="46"/>
      <x:c r="I379" s="46"/>
      <x:c r="J379" s="46"/>
      <x:c r="K379" s="46"/>
      <x:c r="L379" s="46"/>
      <x:c r="M379" s="46"/>
      <x:c r="N379" s="46"/>
      <x:c r="O379" s="46"/>
      <x:c r="P379" s="46"/>
      <x:c r="Q379" s="46"/>
    </x:row>
    <x:row r="380">
      <x:c r="A380" s="46"/>
      <x:c r="B380" s="46"/>
      <x:c r="C380" s="46"/>
      <x:c r="D380" s="46"/>
      <x:c r="E380" s="46"/>
      <x:c r="F380" s="46"/>
      <x:c r="G380" s="46"/>
      <x:c r="H380" s="46"/>
      <x:c r="I380" s="46"/>
      <x:c r="J380" s="46"/>
      <x:c r="K380" s="46"/>
      <x:c r="L380" s="46"/>
      <x:c r="M380" s="46"/>
      <x:c r="N380" s="46"/>
      <x:c r="O380" s="46"/>
      <x:c r="P380" s="46"/>
      <x:c r="Q380" s="46"/>
    </x:row>
    <x:row r="381">
      <x:c r="A381" s="46"/>
      <x:c r="B381" s="46"/>
      <x:c r="C381" s="46"/>
      <x:c r="D381" s="46"/>
      <x:c r="E381" s="46"/>
      <x:c r="F381" s="46"/>
      <x:c r="G381" s="46"/>
      <x:c r="H381" s="46"/>
      <x:c r="I381" s="46"/>
      <x:c r="J381" s="46"/>
      <x:c r="K381" s="46"/>
      <x:c r="L381" s="46"/>
      <x:c r="M381" s="46"/>
      <x:c r="N381" s="46"/>
      <x:c r="O381" s="46"/>
      <x:c r="P381" s="46"/>
      <x:c r="Q381" s="46"/>
    </x:row>
    <x:row r="382">
      <x:c r="A382" s="46"/>
      <x:c r="B382" s="46"/>
      <x:c r="C382" s="46"/>
      <x:c r="D382" s="46"/>
      <x:c r="E382" s="46"/>
      <x:c r="F382" s="46"/>
      <x:c r="G382" s="46"/>
      <x:c r="H382" s="46"/>
      <x:c r="I382" s="46"/>
      <x:c r="J382" s="46"/>
      <x:c r="K382" s="46"/>
      <x:c r="L382" s="46"/>
      <x:c r="M382" s="46"/>
      <x:c r="N382" s="46"/>
      <x:c r="O382" s="46"/>
      <x:c r="P382" s="46"/>
      <x:c r="Q382" s="46"/>
    </x:row>
    <x:row r="383">
      <x:c r="A383" s="46"/>
      <x:c r="B383" s="46"/>
      <x:c r="C383" s="46"/>
      <x:c r="D383" s="46"/>
      <x:c r="E383" s="46"/>
      <x:c r="F383" s="46"/>
      <x:c r="G383" s="46"/>
      <x:c r="H383" s="46"/>
      <x:c r="I383" s="46"/>
      <x:c r="J383" s="46"/>
      <x:c r="K383" s="46"/>
      <x:c r="L383" s="46"/>
      <x:c r="M383" s="46"/>
      <x:c r="N383" s="46"/>
      <x:c r="O383" s="46"/>
      <x:c r="P383" s="46"/>
      <x:c r="Q383" s="46"/>
    </x:row>
    <x:row r="384">
      <x:c r="A384" s="46"/>
      <x:c r="B384" s="46"/>
      <x:c r="C384" s="46"/>
      <x:c r="D384" s="46"/>
      <x:c r="E384" s="46"/>
      <x:c r="F384" s="46"/>
      <x:c r="G384" s="46"/>
      <x:c r="H384" s="46"/>
      <x:c r="I384" s="46"/>
      <x:c r="J384" s="46"/>
      <x:c r="K384" s="46"/>
      <x:c r="L384" s="46"/>
      <x:c r="M384" s="46"/>
      <x:c r="N384" s="46"/>
      <x:c r="O384" s="46"/>
      <x:c r="P384" s="46"/>
      <x:c r="Q384" s="46"/>
    </x:row>
    <x:row r="385">
      <x:c r="A385" s="46"/>
      <x:c r="B385" s="46"/>
      <x:c r="C385" s="46"/>
      <x:c r="D385" s="46"/>
      <x:c r="E385" s="46"/>
      <x:c r="F385" s="46"/>
      <x:c r="G385" s="46"/>
      <x:c r="H385" s="46"/>
      <x:c r="I385" s="46"/>
      <x:c r="J385" s="46"/>
      <x:c r="K385" s="46"/>
      <x:c r="L385" s="46"/>
      <x:c r="M385" s="46"/>
      <x:c r="N385" s="46"/>
      <x:c r="O385" s="46"/>
      <x:c r="P385" s="46"/>
      <x:c r="Q385" s="46"/>
    </x:row>
    <x:row r="386">
      <x:c r="A386" s="46"/>
      <x:c r="B386" s="46"/>
      <x:c r="C386" s="46"/>
      <x:c r="D386" s="46"/>
      <x:c r="E386" s="46"/>
      <x:c r="F386" s="46"/>
      <x:c r="G386" s="46"/>
      <x:c r="H386" s="46"/>
      <x:c r="I386" s="46"/>
      <x:c r="J386" s="46"/>
      <x:c r="K386" s="46"/>
      <x:c r="L386" s="46"/>
      <x:c r="M386" s="46"/>
      <x:c r="N386" s="46"/>
      <x:c r="O386" s="46"/>
      <x:c r="P386" s="46"/>
      <x:c r="Q386" s="46"/>
    </x:row>
    <x:row r="387">
      <x:c r="A387" s="46"/>
      <x:c r="B387" s="46"/>
      <x:c r="C387" s="46"/>
      <x:c r="D387" s="46"/>
      <x:c r="E387" s="46"/>
      <x:c r="F387" s="46"/>
      <x:c r="G387" s="46"/>
      <x:c r="H387" s="46"/>
      <x:c r="I387" s="46"/>
      <x:c r="J387" s="46"/>
      <x:c r="K387" s="46"/>
      <x:c r="L387" s="46"/>
      <x:c r="M387" s="46"/>
      <x:c r="N387" s="46"/>
      <x:c r="O387" s="46"/>
      <x:c r="P387" s="46"/>
      <x:c r="Q387" s="46"/>
    </x:row>
    <x:row r="388">
      <x:c r="A388" s="46"/>
      <x:c r="B388" s="46"/>
      <x:c r="C388" s="46"/>
      <x:c r="D388" s="46"/>
      <x:c r="E388" s="46"/>
      <x:c r="F388" s="46"/>
      <x:c r="G388" s="46"/>
      <x:c r="H388" s="46"/>
      <x:c r="I388" s="46"/>
      <x:c r="J388" s="46"/>
      <x:c r="K388" s="46"/>
      <x:c r="L388" s="46"/>
      <x:c r="M388" s="46"/>
      <x:c r="N388" s="46"/>
      <x:c r="O388" s="46"/>
      <x:c r="P388" s="46"/>
      <x:c r="Q388" s="46"/>
    </x:row>
    <x:row r="389">
      <x:c r="A389" s="46"/>
      <x:c r="B389" s="46"/>
      <x:c r="C389" s="46"/>
      <x:c r="D389" s="46"/>
      <x:c r="E389" s="46"/>
      <x:c r="F389" s="46"/>
      <x:c r="G389" s="46"/>
      <x:c r="H389" s="46"/>
      <x:c r="I389" s="46"/>
      <x:c r="J389" s="46"/>
      <x:c r="K389" s="46"/>
      <x:c r="L389" s="46"/>
      <x:c r="M389" s="46"/>
      <x:c r="N389" s="46"/>
      <x:c r="O389" s="46"/>
      <x:c r="P389" s="46"/>
      <x:c r="Q389" s="46"/>
    </x:row>
    <x:row r="390">
      <x:c r="A390" s="46"/>
      <x:c r="B390" s="46"/>
      <x:c r="C390" s="46"/>
      <x:c r="D390" s="46"/>
      <x:c r="E390" s="46"/>
      <x:c r="F390" s="46"/>
      <x:c r="G390" s="46"/>
      <x:c r="H390" s="46"/>
      <x:c r="I390" s="46"/>
      <x:c r="J390" s="46"/>
      <x:c r="K390" s="46"/>
      <x:c r="L390" s="46"/>
      <x:c r="M390" s="46"/>
      <x:c r="N390" s="46"/>
      <x:c r="O390" s="46"/>
      <x:c r="P390" s="46"/>
      <x:c r="Q390" s="46"/>
    </x:row>
    <x:row r="391">
      <x:c r="A391" s="46"/>
      <x:c r="B391" s="46"/>
      <x:c r="C391" s="46"/>
      <x:c r="D391" s="46"/>
      <x:c r="E391" s="46"/>
      <x:c r="F391" s="46"/>
      <x:c r="G391" s="46"/>
      <x:c r="H391" s="46"/>
      <x:c r="I391" s="46"/>
      <x:c r="J391" s="46"/>
      <x:c r="K391" s="46"/>
      <x:c r="L391" s="46"/>
      <x:c r="M391" s="46"/>
      <x:c r="N391" s="46"/>
      <x:c r="O391" s="46"/>
      <x:c r="P391" s="46"/>
      <x:c r="Q391" s="46"/>
    </x:row>
    <x:row r="392">
      <x:c r="A392" s="46"/>
      <x:c r="B392" s="46"/>
      <x:c r="C392" s="46"/>
      <x:c r="D392" s="46"/>
      <x:c r="E392" s="46"/>
      <x:c r="F392" s="46"/>
      <x:c r="G392" s="46"/>
      <x:c r="H392" s="46"/>
      <x:c r="I392" s="46"/>
      <x:c r="J392" s="46"/>
      <x:c r="K392" s="46"/>
      <x:c r="L392" s="46"/>
      <x:c r="M392" s="46"/>
      <x:c r="N392" s="46"/>
      <x:c r="O392" s="46"/>
      <x:c r="P392" s="46"/>
      <x:c r="Q392" s="46"/>
    </x:row>
    <x:row r="393">
      <x:c r="A393" s="46"/>
      <x:c r="B393" s="46"/>
      <x:c r="C393" s="46"/>
      <x:c r="D393" s="46"/>
      <x:c r="E393" s="46"/>
      <x:c r="F393" s="46"/>
      <x:c r="G393" s="46"/>
      <x:c r="H393" s="46"/>
      <x:c r="I393" s="46"/>
      <x:c r="J393" s="46"/>
      <x:c r="K393" s="46"/>
      <x:c r="L393" s="46"/>
      <x:c r="M393" s="46"/>
      <x:c r="N393" s="46"/>
      <x:c r="O393" s="46"/>
      <x:c r="P393" s="46"/>
      <x:c r="Q393" s="46"/>
    </x:row>
    <x:row r="394">
      <x:c r="A394" s="46"/>
      <x:c r="B394" s="46"/>
      <x:c r="C394" s="46"/>
      <x:c r="D394" s="46"/>
      <x:c r="E394" s="46"/>
      <x:c r="F394" s="46"/>
      <x:c r="G394" s="46"/>
      <x:c r="H394" s="46"/>
      <x:c r="I394" s="46"/>
      <x:c r="J394" s="46"/>
      <x:c r="K394" s="46"/>
      <x:c r="L394" s="46"/>
      <x:c r="M394" s="46"/>
      <x:c r="N394" s="46"/>
      <x:c r="O394" s="46"/>
      <x:c r="P394" s="46"/>
      <x:c r="Q394" s="46"/>
    </x:row>
    <x:row r="395">
      <x:c r="A395" s="46"/>
      <x:c r="B395" s="46"/>
      <x:c r="C395" s="46"/>
      <x:c r="D395" s="46"/>
      <x:c r="E395" s="46"/>
      <x:c r="F395" s="46"/>
      <x:c r="G395" s="46"/>
      <x:c r="H395" s="46"/>
      <x:c r="I395" s="46"/>
      <x:c r="J395" s="46"/>
      <x:c r="K395" s="46"/>
      <x:c r="L395" s="46"/>
      <x:c r="M395" s="46"/>
      <x:c r="N395" s="46"/>
      <x:c r="O395" s="46"/>
      <x:c r="P395" s="46"/>
      <x:c r="Q395" s="46"/>
    </x:row>
    <x:row r="396">
      <x:c r="A396" s="46"/>
      <x:c r="B396" s="46"/>
      <x:c r="C396" s="46"/>
      <x:c r="D396" s="46"/>
      <x:c r="E396" s="46"/>
      <x:c r="F396" s="46"/>
      <x:c r="G396" s="46"/>
      <x:c r="H396" s="46"/>
      <x:c r="I396" s="46"/>
      <x:c r="J396" s="46"/>
      <x:c r="K396" s="46"/>
      <x:c r="L396" s="46"/>
      <x:c r="M396" s="46"/>
      <x:c r="N396" s="46"/>
      <x:c r="O396" s="46"/>
      <x:c r="P396" s="46"/>
      <x:c r="Q396" s="46"/>
    </x:row>
    <x:row r="397">
      <x:c r="A397" s="46"/>
      <x:c r="B397" s="46"/>
      <x:c r="C397" s="46"/>
      <x:c r="D397" s="46"/>
      <x:c r="E397" s="46"/>
      <x:c r="F397" s="46"/>
      <x:c r="G397" s="46"/>
      <x:c r="H397" s="46"/>
      <x:c r="I397" s="46"/>
      <x:c r="J397" s="46"/>
      <x:c r="K397" s="46"/>
      <x:c r="L397" s="46"/>
      <x:c r="M397" s="46"/>
      <x:c r="N397" s="46"/>
      <x:c r="O397" s="46"/>
      <x:c r="P397" s="46"/>
      <x:c r="Q397" s="46"/>
    </x:row>
    <x:row r="398">
      <x:c r="A398" s="46"/>
      <x:c r="B398" s="46"/>
      <x:c r="C398" s="46"/>
      <x:c r="D398" s="46"/>
      <x:c r="E398" s="46"/>
      <x:c r="F398" s="46"/>
      <x:c r="G398" s="46"/>
      <x:c r="H398" s="46"/>
      <x:c r="I398" s="46"/>
      <x:c r="J398" s="46"/>
      <x:c r="K398" s="46"/>
      <x:c r="L398" s="46"/>
      <x:c r="M398" s="46"/>
      <x:c r="N398" s="46"/>
      <x:c r="O398" s="46"/>
      <x:c r="P398" s="46"/>
      <x:c r="Q398" s="46"/>
    </x:row>
    <x:row r="399">
      <x:c r="A399" s="46"/>
      <x:c r="B399" s="46"/>
      <x:c r="C399" s="46"/>
      <x:c r="D399" s="46"/>
      <x:c r="E399" s="46"/>
      <x:c r="F399" s="46"/>
      <x:c r="G399" s="46"/>
      <x:c r="H399" s="46"/>
      <x:c r="I399" s="46"/>
      <x:c r="J399" s="46"/>
      <x:c r="K399" s="46"/>
      <x:c r="L399" s="46"/>
      <x:c r="M399" s="46"/>
      <x:c r="N399" s="46"/>
      <x:c r="O399" s="46"/>
      <x:c r="P399" s="46"/>
      <x:c r="Q399" s="46"/>
    </x:row>
    <x:row r="400">
      <x:c r="A400" s="46"/>
      <x:c r="B400" s="46"/>
      <x:c r="C400" s="46"/>
      <x:c r="D400" s="46"/>
      <x:c r="E400" s="46"/>
      <x:c r="F400" s="46"/>
      <x:c r="G400" s="46"/>
      <x:c r="H400" s="46"/>
      <x:c r="I400" s="46"/>
      <x:c r="J400" s="46"/>
      <x:c r="K400" s="46"/>
      <x:c r="L400" s="46"/>
      <x:c r="M400" s="46"/>
      <x:c r="N400" s="46"/>
      <x:c r="O400" s="46"/>
      <x:c r="P400" s="46"/>
      <x:c r="Q400" s="46"/>
    </x:row>
    <x:row r="401">
      <x:c r="A401" s="46"/>
      <x:c r="B401" s="46"/>
      <x:c r="C401" s="46"/>
      <x:c r="D401" s="46"/>
      <x:c r="E401" s="46"/>
      <x:c r="F401" s="46"/>
      <x:c r="G401" s="46"/>
      <x:c r="H401" s="46"/>
      <x:c r="I401" s="46"/>
      <x:c r="J401" s="46"/>
      <x:c r="K401" s="46"/>
      <x:c r="L401" s="46"/>
      <x:c r="M401" s="46"/>
      <x:c r="N401" s="46"/>
      <x:c r="O401" s="46"/>
      <x:c r="P401" s="46"/>
      <x:c r="Q401" s="46"/>
    </x:row>
    <x:row r="402">
      <x:c r="A402" s="46"/>
      <x:c r="B402" s="46"/>
      <x:c r="C402" s="46"/>
      <x:c r="D402" s="46"/>
      <x:c r="E402" s="46"/>
      <x:c r="F402" s="46"/>
      <x:c r="G402" s="46"/>
      <x:c r="H402" s="46"/>
      <x:c r="I402" s="46"/>
      <x:c r="J402" s="46"/>
      <x:c r="K402" s="46"/>
      <x:c r="L402" s="46"/>
      <x:c r="M402" s="46"/>
      <x:c r="N402" s="46"/>
      <x:c r="O402" s="46"/>
      <x:c r="P402" s="46"/>
      <x:c r="Q402" s="46"/>
    </x:row>
    <x:row r="403">
      <x:c r="A403" s="46"/>
      <x:c r="B403" s="46"/>
      <x:c r="C403" s="46"/>
      <x:c r="D403" s="46"/>
      <x:c r="E403" s="46"/>
      <x:c r="F403" s="46"/>
      <x:c r="G403" s="46"/>
      <x:c r="H403" s="46"/>
      <x:c r="I403" s="46"/>
      <x:c r="J403" s="46"/>
      <x:c r="K403" s="46"/>
      <x:c r="L403" s="46"/>
      <x:c r="M403" s="46"/>
      <x:c r="N403" s="46"/>
      <x:c r="O403" s="46"/>
      <x:c r="P403" s="46"/>
      <x:c r="Q403" s="46"/>
    </x:row>
    <x:row r="404">
      <x:c r="A404" s="46"/>
      <x:c r="B404" s="46"/>
      <x:c r="C404" s="46"/>
      <x:c r="D404" s="46"/>
      <x:c r="E404" s="46"/>
      <x:c r="F404" s="46"/>
      <x:c r="G404" s="46"/>
      <x:c r="H404" s="46"/>
      <x:c r="I404" s="46"/>
      <x:c r="J404" s="46"/>
      <x:c r="K404" s="46"/>
      <x:c r="L404" s="46"/>
      <x:c r="M404" s="46"/>
      <x:c r="N404" s="46"/>
      <x:c r="O404" s="46"/>
      <x:c r="P404" s="46"/>
      <x:c r="Q404" s="46"/>
    </x:row>
    <x:row r="405">
      <x:c r="A405" s="46"/>
      <x:c r="B405" s="46"/>
      <x:c r="C405" s="46"/>
      <x:c r="D405" s="46"/>
      <x:c r="E405" s="46"/>
      <x:c r="F405" s="46"/>
      <x:c r="G405" s="46"/>
      <x:c r="H405" s="46"/>
      <x:c r="I405" s="46"/>
      <x:c r="J405" s="46"/>
      <x:c r="K405" s="46"/>
      <x:c r="L405" s="46"/>
      <x:c r="M405" s="46"/>
      <x:c r="N405" s="46"/>
      <x:c r="O405" s="46"/>
      <x:c r="P405" s="46"/>
      <x:c r="Q405" s="46"/>
    </x:row>
    <x:row r="406">
      <x:c r="A406" s="46"/>
      <x:c r="B406" s="46"/>
      <x:c r="C406" s="46"/>
      <x:c r="D406" s="46"/>
      <x:c r="E406" s="46"/>
      <x:c r="F406" s="46"/>
      <x:c r="G406" s="46"/>
      <x:c r="H406" s="46"/>
      <x:c r="I406" s="46"/>
      <x:c r="J406" s="46"/>
      <x:c r="K406" s="46"/>
      <x:c r="L406" s="46"/>
      <x:c r="M406" s="46"/>
      <x:c r="N406" s="46"/>
      <x:c r="O406" s="46"/>
      <x:c r="P406" s="46"/>
      <x:c r="Q406" s="46"/>
    </x:row>
    <x:row r="407">
      <x:c r="A407" s="46"/>
      <x:c r="B407" s="46"/>
      <x:c r="C407" s="46"/>
      <x:c r="D407" s="46"/>
      <x:c r="E407" s="46"/>
      <x:c r="F407" s="46"/>
      <x:c r="G407" s="46"/>
      <x:c r="H407" s="46"/>
      <x:c r="I407" s="46"/>
      <x:c r="J407" s="46"/>
      <x:c r="K407" s="46"/>
      <x:c r="L407" s="46"/>
      <x:c r="M407" s="46"/>
      <x:c r="N407" s="46"/>
      <x:c r="O407" s="46"/>
      <x:c r="P407" s="46"/>
      <x:c r="Q407" s="46"/>
    </x:row>
    <x:row r="408">
      <x:c r="A408" s="46"/>
      <x:c r="B408" s="46"/>
      <x:c r="C408" s="46"/>
      <x:c r="D408" s="46"/>
      <x:c r="E408" s="46"/>
      <x:c r="F408" s="46"/>
      <x:c r="G408" s="46"/>
      <x:c r="H408" s="46"/>
      <x:c r="I408" s="46"/>
      <x:c r="J408" s="46"/>
      <x:c r="K408" s="46"/>
      <x:c r="L408" s="46"/>
      <x:c r="M408" s="46"/>
      <x:c r="N408" s="46"/>
      <x:c r="O408" s="46"/>
      <x:c r="P408" s="46"/>
      <x:c r="Q408" s="46"/>
    </x:row>
    <x:row r="409">
      <x:c r="A409" s="46"/>
      <x:c r="B409" s="46"/>
      <x:c r="C409" s="46"/>
      <x:c r="D409" s="46"/>
      <x:c r="E409" s="46"/>
      <x:c r="F409" s="46"/>
      <x:c r="G409" s="46"/>
      <x:c r="H409" s="46"/>
      <x:c r="I409" s="46"/>
      <x:c r="J409" s="46"/>
      <x:c r="K409" s="46"/>
      <x:c r="L409" s="46"/>
      <x:c r="M409" s="46"/>
      <x:c r="N409" s="46"/>
      <x:c r="O409" s="46"/>
      <x:c r="P409" s="46"/>
      <x:c r="Q409" s="46"/>
    </x:row>
    <x:row r="410">
      <x:c r="A410" s="46"/>
      <x:c r="B410" s="46"/>
      <x:c r="C410" s="46"/>
      <x:c r="D410" s="46"/>
      <x:c r="E410" s="46"/>
      <x:c r="F410" s="46"/>
      <x:c r="G410" s="46"/>
      <x:c r="H410" s="46"/>
      <x:c r="I410" s="46"/>
      <x:c r="J410" s="46"/>
      <x:c r="K410" s="46"/>
      <x:c r="L410" s="46"/>
      <x:c r="M410" s="46"/>
      <x:c r="N410" s="46"/>
      <x:c r="O410" s="46"/>
      <x:c r="P410" s="46"/>
      <x:c r="Q410" s="46"/>
    </x:row>
    <x:row r="411">
      <x:c r="A411" s="46"/>
      <x:c r="B411" s="46"/>
      <x:c r="C411" s="46"/>
      <x:c r="D411" s="46"/>
      <x:c r="E411" s="46"/>
      <x:c r="F411" s="46"/>
      <x:c r="G411" s="46"/>
      <x:c r="H411" s="46"/>
      <x:c r="I411" s="46"/>
      <x:c r="J411" s="46"/>
      <x:c r="K411" s="46"/>
      <x:c r="L411" s="46"/>
      <x:c r="M411" s="46"/>
      <x:c r="N411" s="46"/>
      <x:c r="O411" s="46"/>
      <x:c r="P411" s="46"/>
      <x:c r="Q411" s="46"/>
    </x:row>
    <x:row r="412">
      <x:c r="A412" s="46"/>
      <x:c r="B412" s="46"/>
      <x:c r="C412" s="46"/>
      <x:c r="D412" s="46"/>
      <x:c r="E412" s="46"/>
      <x:c r="F412" s="46"/>
      <x:c r="G412" s="46"/>
      <x:c r="H412" s="46"/>
      <x:c r="I412" s="46"/>
      <x:c r="J412" s="46"/>
      <x:c r="K412" s="46"/>
      <x:c r="L412" s="46"/>
      <x:c r="M412" s="46"/>
      <x:c r="N412" s="46"/>
      <x:c r="O412" s="46"/>
      <x:c r="P412" s="46"/>
      <x:c r="Q412" s="46"/>
    </x:row>
    <x:row r="413">
      <x:c r="A413" s="46"/>
      <x:c r="B413" s="46"/>
      <x:c r="C413" s="46"/>
      <x:c r="D413" s="46"/>
      <x:c r="E413" s="46"/>
      <x:c r="F413" s="46"/>
      <x:c r="G413" s="46"/>
      <x:c r="H413" s="46"/>
      <x:c r="I413" s="46"/>
      <x:c r="J413" s="46"/>
      <x:c r="K413" s="46"/>
      <x:c r="L413" s="46"/>
      <x:c r="M413" s="46"/>
      <x:c r="N413" s="46"/>
      <x:c r="O413" s="46"/>
      <x:c r="P413" s="46"/>
      <x:c r="Q413" s="46"/>
    </x:row>
    <x:row r="414">
      <x:c r="A414" s="46"/>
      <x:c r="B414" s="46"/>
      <x:c r="C414" s="46"/>
      <x:c r="D414" s="46"/>
      <x:c r="E414" s="46"/>
      <x:c r="F414" s="46"/>
      <x:c r="G414" s="46"/>
      <x:c r="H414" s="46"/>
      <x:c r="I414" s="46"/>
      <x:c r="J414" s="46"/>
      <x:c r="K414" s="46"/>
      <x:c r="L414" s="46"/>
      <x:c r="M414" s="46"/>
      <x:c r="N414" s="46"/>
      <x:c r="O414" s="46"/>
      <x:c r="P414" s="46"/>
      <x:c r="Q414" s="46"/>
    </x:row>
    <x:row r="415">
      <x:c r="A415" s="46"/>
      <x:c r="B415" s="46"/>
      <x:c r="C415" s="46"/>
      <x:c r="D415" s="46"/>
      <x:c r="E415" s="46"/>
      <x:c r="F415" s="46"/>
      <x:c r="G415" s="46"/>
      <x:c r="H415" s="46"/>
      <x:c r="I415" s="46"/>
      <x:c r="J415" s="46"/>
      <x:c r="K415" s="46"/>
      <x:c r="L415" s="46"/>
      <x:c r="M415" s="46"/>
      <x:c r="N415" s="46"/>
      <x:c r="O415" s="46"/>
      <x:c r="P415" s="46"/>
      <x:c r="Q415" s="46"/>
    </x:row>
    <x:row r="416">
      <x:c r="A416" s="46"/>
      <x:c r="B416" s="46"/>
      <x:c r="C416" s="46"/>
      <x:c r="D416" s="46"/>
      <x:c r="E416" s="46"/>
      <x:c r="F416" s="46"/>
      <x:c r="G416" s="46"/>
      <x:c r="H416" s="46"/>
      <x:c r="I416" s="46"/>
      <x:c r="J416" s="46"/>
      <x:c r="K416" s="46"/>
      <x:c r="L416" s="46"/>
      <x:c r="M416" s="46"/>
      <x:c r="N416" s="46"/>
      <x:c r="O416" s="46"/>
      <x:c r="P416" s="46"/>
      <x:c r="Q416" s="46"/>
    </x:row>
    <x:row r="417">
      <x:c r="A417" s="46"/>
      <x:c r="B417" s="46"/>
      <x:c r="C417" s="46"/>
      <x:c r="D417" s="46"/>
      <x:c r="E417" s="46"/>
      <x:c r="F417" s="46"/>
      <x:c r="G417" s="46"/>
      <x:c r="H417" s="46"/>
      <x:c r="I417" s="46"/>
      <x:c r="J417" s="46"/>
      <x:c r="K417" s="46"/>
      <x:c r="L417" s="46"/>
      <x:c r="M417" s="46"/>
      <x:c r="N417" s="46"/>
      <x:c r="O417" s="46"/>
      <x:c r="P417" s="46"/>
      <x:c r="Q417" s="46"/>
    </x:row>
    <x:row r="418">
      <x:c r="A418" s="46"/>
      <x:c r="B418" s="46"/>
      <x:c r="C418" s="46"/>
      <x:c r="D418" s="46"/>
      <x:c r="E418" s="46"/>
      <x:c r="F418" s="46"/>
      <x:c r="G418" s="46"/>
      <x:c r="H418" s="46"/>
      <x:c r="I418" s="46"/>
      <x:c r="J418" s="46"/>
      <x:c r="K418" s="46"/>
      <x:c r="L418" s="46"/>
      <x:c r="M418" s="46"/>
      <x:c r="N418" s="46"/>
      <x:c r="O418" s="46"/>
      <x:c r="P418" s="46"/>
      <x:c r="Q418" s="46"/>
    </x:row>
    <x:row r="419">
      <x:c r="A419" s="46"/>
      <x:c r="B419" s="46"/>
      <x:c r="C419" s="46"/>
      <x:c r="D419" s="46"/>
      <x:c r="E419" s="46"/>
      <x:c r="F419" s="46"/>
      <x:c r="G419" s="46"/>
      <x:c r="H419" s="46"/>
      <x:c r="I419" s="46"/>
      <x:c r="J419" s="46"/>
      <x:c r="K419" s="46"/>
      <x:c r="L419" s="46"/>
      <x:c r="M419" s="46"/>
      <x:c r="N419" s="46"/>
      <x:c r="O419" s="46"/>
      <x:c r="P419" s="46"/>
      <x:c r="Q419" s="46"/>
    </x:row>
    <x:row r="420">
      <x:c r="A420" s="46"/>
      <x:c r="B420" s="46"/>
      <x:c r="C420" s="46"/>
      <x:c r="D420" s="46"/>
      <x:c r="E420" s="46"/>
      <x:c r="F420" s="46"/>
      <x:c r="G420" s="46"/>
      <x:c r="H420" s="46"/>
      <x:c r="I420" s="46"/>
      <x:c r="J420" s="46"/>
      <x:c r="K420" s="46"/>
      <x:c r="L420" s="46"/>
      <x:c r="M420" s="46"/>
      <x:c r="N420" s="46"/>
      <x:c r="O420" s="46"/>
      <x:c r="P420" s="46"/>
      <x:c r="Q420" s="46"/>
    </x:row>
    <x:row r="421">
      <x:c r="A421" s="46"/>
      <x:c r="B421" s="46"/>
      <x:c r="C421" s="46"/>
      <x:c r="D421" s="46"/>
      <x:c r="E421" s="46"/>
      <x:c r="F421" s="46"/>
      <x:c r="G421" s="46"/>
      <x:c r="H421" s="46"/>
      <x:c r="I421" s="46"/>
      <x:c r="J421" s="46"/>
      <x:c r="K421" s="46"/>
      <x:c r="L421" s="46"/>
      <x:c r="M421" s="46"/>
      <x:c r="N421" s="46"/>
      <x:c r="O421" s="46"/>
      <x:c r="P421" s="46"/>
      <x:c r="Q421" s="46"/>
    </x:row>
    <x:row r="422">
      <x:c r="A422" s="46"/>
      <x:c r="B422" s="46"/>
      <x:c r="C422" s="46"/>
      <x:c r="D422" s="46"/>
      <x:c r="E422" s="46"/>
      <x:c r="F422" s="46"/>
      <x:c r="G422" s="46"/>
      <x:c r="H422" s="46"/>
      <x:c r="I422" s="46"/>
      <x:c r="J422" s="46"/>
      <x:c r="K422" s="46"/>
      <x:c r="L422" s="46"/>
      <x:c r="M422" s="46"/>
      <x:c r="N422" s="46"/>
      <x:c r="O422" s="46"/>
      <x:c r="P422" s="46"/>
      <x:c r="Q422" s="46"/>
    </x:row>
    <x:row r="423">
      <x:c r="A423" s="46"/>
      <x:c r="B423" s="46"/>
      <x:c r="C423" s="46"/>
      <x:c r="D423" s="46"/>
      <x:c r="E423" s="46"/>
      <x:c r="F423" s="46"/>
      <x:c r="G423" s="46"/>
      <x:c r="H423" s="46"/>
      <x:c r="I423" s="46"/>
      <x:c r="J423" s="46"/>
      <x:c r="K423" s="46"/>
      <x:c r="L423" s="46"/>
      <x:c r="M423" s="46"/>
      <x:c r="N423" s="46"/>
      <x:c r="O423" s="46"/>
      <x:c r="P423" s="46"/>
      <x:c r="Q423" s="46"/>
    </x:row>
    <x:row r="424">
      <x:c r="A424" s="46"/>
      <x:c r="B424" s="46"/>
      <x:c r="C424" s="46"/>
      <x:c r="D424" s="46"/>
      <x:c r="E424" s="46"/>
      <x:c r="F424" s="46"/>
      <x:c r="G424" s="46"/>
      <x:c r="H424" s="46"/>
      <x:c r="I424" s="46"/>
      <x:c r="J424" s="46"/>
      <x:c r="K424" s="46"/>
      <x:c r="L424" s="46"/>
      <x:c r="M424" s="46"/>
      <x:c r="N424" s="46"/>
      <x:c r="O424" s="46"/>
      <x:c r="P424" s="46"/>
      <x:c r="Q424" s="46"/>
    </x:row>
    <x:row r="425">
      <x:c r="A425" s="46"/>
      <x:c r="B425" s="46"/>
      <x:c r="C425" s="46"/>
      <x:c r="D425" s="46"/>
      <x:c r="E425" s="46"/>
      <x:c r="F425" s="46"/>
      <x:c r="G425" s="46"/>
      <x:c r="H425" s="46"/>
      <x:c r="I425" s="46"/>
      <x:c r="J425" s="46"/>
      <x:c r="K425" s="46"/>
      <x:c r="L425" s="46"/>
      <x:c r="M425" s="46"/>
      <x:c r="N425" s="46"/>
      <x:c r="O425" s="46"/>
      <x:c r="P425" s="46"/>
      <x:c r="Q425" s="46"/>
    </x:row>
    <x:row r="426">
      <x:c r="A426" s="46"/>
      <x:c r="B426" s="46"/>
      <x:c r="C426" s="46"/>
      <x:c r="D426" s="46"/>
      <x:c r="E426" s="46"/>
      <x:c r="F426" s="46"/>
      <x:c r="G426" s="46"/>
      <x:c r="H426" s="46"/>
      <x:c r="I426" s="46"/>
      <x:c r="J426" s="46"/>
      <x:c r="K426" s="46"/>
      <x:c r="L426" s="46"/>
      <x:c r="M426" s="46"/>
      <x:c r="N426" s="46"/>
      <x:c r="O426" s="46"/>
      <x:c r="P426" s="46"/>
      <x:c r="Q426" s="46"/>
    </x:row>
    <x:row r="427">
      <x:c r="A427" s="46"/>
      <x:c r="B427" s="46"/>
      <x:c r="C427" s="46"/>
      <x:c r="D427" s="46"/>
      <x:c r="E427" s="46"/>
      <x:c r="F427" s="46"/>
      <x:c r="G427" s="46"/>
      <x:c r="H427" s="46"/>
      <x:c r="I427" s="46"/>
      <x:c r="J427" s="46"/>
      <x:c r="K427" s="46"/>
      <x:c r="L427" s="46"/>
      <x:c r="M427" s="46"/>
      <x:c r="N427" s="46"/>
      <x:c r="O427" s="46"/>
      <x:c r="P427" s="46"/>
      <x:c r="Q427" s="46"/>
    </x:row>
    <x:row r="428">
      <x:c r="A428" s="46"/>
      <x:c r="B428" s="46"/>
      <x:c r="C428" s="46"/>
      <x:c r="D428" s="46"/>
      <x:c r="E428" s="46"/>
      <x:c r="F428" s="46"/>
      <x:c r="G428" s="46"/>
      <x:c r="H428" s="46"/>
      <x:c r="I428" s="46"/>
      <x:c r="J428" s="46"/>
      <x:c r="K428" s="46"/>
      <x:c r="L428" s="46"/>
      <x:c r="M428" s="46"/>
      <x:c r="N428" s="46"/>
      <x:c r="O428" s="46"/>
      <x:c r="P428" s="46"/>
      <x:c r="Q428" s="46"/>
    </x:row>
    <x:row r="429">
      <x:c r="A429" s="46"/>
      <x:c r="B429" s="46"/>
      <x:c r="C429" s="46"/>
      <x:c r="D429" s="46"/>
      <x:c r="E429" s="46"/>
      <x:c r="F429" s="46"/>
      <x:c r="G429" s="46"/>
      <x:c r="H429" s="46"/>
      <x:c r="I429" s="46"/>
      <x:c r="J429" s="46"/>
      <x:c r="K429" s="46"/>
      <x:c r="L429" s="46"/>
      <x:c r="M429" s="46"/>
      <x:c r="N429" s="46"/>
      <x:c r="O429" s="46"/>
      <x:c r="P429" s="46"/>
      <x:c r="Q429" s="46"/>
    </x:row>
    <x:row r="430">
      <x:c r="A430" s="46"/>
      <x:c r="B430" s="46"/>
      <x:c r="C430" s="46"/>
      <x:c r="D430" s="46"/>
      <x:c r="E430" s="46"/>
      <x:c r="F430" s="46"/>
      <x:c r="G430" s="46"/>
      <x:c r="H430" s="46"/>
      <x:c r="I430" s="46"/>
      <x:c r="J430" s="46"/>
      <x:c r="K430" s="46"/>
      <x:c r="L430" s="46"/>
      <x:c r="M430" s="46"/>
      <x:c r="N430" s="46"/>
      <x:c r="O430" s="46"/>
      <x:c r="P430" s="46"/>
      <x:c r="Q430" s="46"/>
    </x:row>
    <x:row r="431">
      <x:c r="A431" s="46"/>
      <x:c r="B431" s="46"/>
      <x:c r="C431" s="46"/>
      <x:c r="D431" s="46"/>
      <x:c r="E431" s="46"/>
      <x:c r="F431" s="46"/>
      <x:c r="G431" s="46"/>
      <x:c r="H431" s="46"/>
      <x:c r="I431" s="46"/>
      <x:c r="J431" s="46"/>
      <x:c r="K431" s="46"/>
      <x:c r="L431" s="46"/>
      <x:c r="M431" s="46"/>
      <x:c r="N431" s="46"/>
      <x:c r="O431" s="46"/>
      <x:c r="P431" s="46"/>
      <x:c r="Q431" s="46"/>
    </x:row>
    <x:row r="432">
      <x:c r="A432" s="46"/>
      <x:c r="B432" s="46"/>
      <x:c r="C432" s="46"/>
      <x:c r="D432" s="46"/>
      <x:c r="E432" s="46"/>
      <x:c r="F432" s="46"/>
      <x:c r="G432" s="46"/>
      <x:c r="H432" s="46"/>
      <x:c r="I432" s="46"/>
      <x:c r="J432" s="46"/>
      <x:c r="K432" s="46"/>
      <x:c r="L432" s="46"/>
      <x:c r="M432" s="46"/>
      <x:c r="N432" s="46"/>
      <x:c r="O432" s="46"/>
      <x:c r="P432" s="46"/>
      <x:c r="Q432" s="46"/>
    </x:row>
    <x:row r="433">
      <x:c r="A433" s="46"/>
      <x:c r="B433" s="46"/>
      <x:c r="C433" s="46"/>
      <x:c r="D433" s="46"/>
      <x:c r="E433" s="46"/>
      <x:c r="F433" s="46"/>
      <x:c r="G433" s="46"/>
      <x:c r="H433" s="46"/>
      <x:c r="I433" s="46"/>
      <x:c r="J433" s="46"/>
      <x:c r="K433" s="46"/>
      <x:c r="L433" s="46"/>
      <x:c r="M433" s="46"/>
      <x:c r="N433" s="46"/>
      <x:c r="O433" s="46"/>
      <x:c r="P433" s="46"/>
      <x:c r="Q433" s="46"/>
    </x:row>
    <x:row r="434">
      <x:c r="A434" s="46"/>
      <x:c r="B434" s="46"/>
      <x:c r="C434" s="46"/>
      <x:c r="D434" s="46"/>
      <x:c r="E434" s="46"/>
      <x:c r="F434" s="46"/>
      <x:c r="G434" s="46"/>
      <x:c r="H434" s="46"/>
      <x:c r="I434" s="46"/>
      <x:c r="J434" s="46"/>
      <x:c r="K434" s="46"/>
      <x:c r="L434" s="46"/>
      <x:c r="M434" s="46"/>
      <x:c r="N434" s="46"/>
      <x:c r="O434" s="46"/>
      <x:c r="P434" s="46"/>
      <x:c r="Q434" s="46"/>
    </x:row>
    <x:row r="435">
      <x:c r="A435" s="46"/>
      <x:c r="B435" s="46"/>
      <x:c r="C435" s="46"/>
      <x:c r="D435" s="46"/>
      <x:c r="E435" s="46"/>
      <x:c r="F435" s="46"/>
      <x:c r="G435" s="46"/>
      <x:c r="H435" s="46"/>
      <x:c r="I435" s="46"/>
      <x:c r="J435" s="46"/>
      <x:c r="K435" s="46"/>
      <x:c r="L435" s="46"/>
      <x:c r="M435" s="46"/>
      <x:c r="N435" s="46"/>
      <x:c r="O435" s="46"/>
      <x:c r="P435" s="46"/>
      <x:c r="Q435" s="46"/>
    </x:row>
    <x:row r="436">
      <x:c r="A436" s="46"/>
      <x:c r="B436" s="46"/>
      <x:c r="C436" s="46"/>
      <x:c r="D436" s="46"/>
      <x:c r="E436" s="46"/>
      <x:c r="F436" s="46"/>
      <x:c r="G436" s="46"/>
      <x:c r="H436" s="46"/>
      <x:c r="I436" s="46"/>
      <x:c r="J436" s="46"/>
      <x:c r="K436" s="46"/>
      <x:c r="L436" s="46"/>
      <x:c r="M436" s="46"/>
      <x:c r="N436" s="46"/>
      <x:c r="O436" s="46"/>
      <x:c r="P436" s="46"/>
      <x:c r="Q436" s="46"/>
    </x:row>
    <x:row r="437">
      <x:c r="A437" s="46"/>
      <x:c r="B437" s="46"/>
      <x:c r="C437" s="46"/>
      <x:c r="D437" s="46"/>
      <x:c r="E437" s="46"/>
      <x:c r="F437" s="46"/>
      <x:c r="G437" s="46"/>
      <x:c r="H437" s="46"/>
      <x:c r="I437" s="46"/>
      <x:c r="J437" s="46"/>
      <x:c r="K437" s="46"/>
      <x:c r="L437" s="46"/>
      <x:c r="M437" s="46"/>
      <x:c r="N437" s="46"/>
      <x:c r="O437" s="46"/>
      <x:c r="P437" s="46"/>
      <x:c r="Q437" s="46"/>
    </x:row>
    <x:row r="438">
      <x:c r="A438" s="46"/>
      <x:c r="B438" s="46"/>
      <x:c r="C438" s="46"/>
      <x:c r="D438" s="46"/>
      <x:c r="E438" s="46"/>
      <x:c r="F438" s="46"/>
      <x:c r="G438" s="46"/>
      <x:c r="H438" s="46"/>
      <x:c r="I438" s="46"/>
      <x:c r="J438" s="46"/>
      <x:c r="K438" s="46"/>
      <x:c r="L438" s="46"/>
      <x:c r="M438" s="46"/>
      <x:c r="N438" s="46"/>
      <x:c r="O438" s="46"/>
      <x:c r="P438" s="46"/>
      <x:c r="Q438" s="46"/>
    </x:row>
    <x:row r="439">
      <x:c r="A439" s="46"/>
      <x:c r="B439" s="46"/>
      <x:c r="C439" s="46"/>
      <x:c r="D439" s="46"/>
      <x:c r="E439" s="46"/>
      <x:c r="F439" s="46"/>
      <x:c r="G439" s="46"/>
      <x:c r="H439" s="46"/>
      <x:c r="I439" s="46"/>
      <x:c r="J439" s="46"/>
      <x:c r="K439" s="46"/>
      <x:c r="L439" s="46"/>
      <x:c r="M439" s="46"/>
      <x:c r="N439" s="46"/>
      <x:c r="O439" s="46"/>
      <x:c r="P439" s="46"/>
      <x:c r="Q439" s="46"/>
    </x:row>
    <x:row r="440">
      <x:c r="A440" s="46"/>
      <x:c r="B440" s="46"/>
      <x:c r="C440" s="46"/>
      <x:c r="D440" s="46"/>
      <x:c r="E440" s="46"/>
      <x:c r="F440" s="46"/>
      <x:c r="G440" s="46"/>
      <x:c r="H440" s="46"/>
      <x:c r="I440" s="46"/>
      <x:c r="J440" s="46"/>
      <x:c r="K440" s="46"/>
      <x:c r="L440" s="46"/>
      <x:c r="M440" s="46"/>
      <x:c r="N440" s="46"/>
      <x:c r="O440" s="46"/>
      <x:c r="P440" s="46"/>
      <x:c r="Q440" s="46"/>
    </x:row>
    <x:row r="441">
      <x:c r="A441" s="46"/>
      <x:c r="B441" s="46"/>
      <x:c r="C441" s="46"/>
      <x:c r="D441" s="46"/>
      <x:c r="E441" s="46"/>
      <x:c r="F441" s="46"/>
      <x:c r="G441" s="46"/>
      <x:c r="H441" s="46"/>
      <x:c r="I441" s="46"/>
      <x:c r="J441" s="46"/>
      <x:c r="K441" s="46"/>
      <x:c r="L441" s="46"/>
      <x:c r="M441" s="46"/>
      <x:c r="N441" s="46"/>
      <x:c r="O441" s="46"/>
      <x:c r="P441" s="46"/>
      <x:c r="Q441" s="46"/>
    </x:row>
    <x:row r="442">
      <x:c r="A442" s="46"/>
      <x:c r="B442" s="46"/>
      <x:c r="C442" s="46"/>
      <x:c r="D442" s="46"/>
      <x:c r="E442" s="46"/>
      <x:c r="F442" s="46"/>
      <x:c r="G442" s="46"/>
      <x:c r="H442" s="46"/>
      <x:c r="I442" s="46"/>
      <x:c r="J442" s="46"/>
      <x:c r="K442" s="46"/>
      <x:c r="L442" s="46"/>
      <x:c r="M442" s="46"/>
      <x:c r="N442" s="46"/>
      <x:c r="O442" s="46"/>
      <x:c r="P442" s="46"/>
      <x:c r="Q442" s="46"/>
    </x:row>
    <x:row r="443">
      <x:c r="A443" s="46"/>
      <x:c r="B443" s="46"/>
      <x:c r="C443" s="46"/>
      <x:c r="D443" s="46"/>
      <x:c r="E443" s="46"/>
      <x:c r="F443" s="46"/>
      <x:c r="G443" s="46"/>
      <x:c r="H443" s="46"/>
      <x:c r="I443" s="46"/>
      <x:c r="J443" s="46"/>
      <x:c r="K443" s="46"/>
      <x:c r="L443" s="46"/>
      <x:c r="M443" s="46"/>
      <x:c r="N443" s="46"/>
      <x:c r="O443" s="46"/>
      <x:c r="P443" s="46"/>
      <x:c r="Q443" s="46"/>
    </x:row>
    <x:row r="444">
      <x:c r="A444" s="46"/>
      <x:c r="B444" s="46"/>
      <x:c r="C444" s="46"/>
      <x:c r="D444" s="46"/>
      <x:c r="E444" s="46"/>
      <x:c r="F444" s="46"/>
      <x:c r="G444" s="46"/>
      <x:c r="H444" s="46"/>
      <x:c r="I444" s="46"/>
      <x:c r="J444" s="46"/>
      <x:c r="K444" s="46"/>
      <x:c r="L444" s="46"/>
      <x:c r="M444" s="46"/>
      <x:c r="N444" s="46"/>
      <x:c r="O444" s="46"/>
      <x:c r="P444" s="46"/>
      <x:c r="Q444" s="46"/>
    </x:row>
    <x:row r="445">
      <x:c r="A445" s="46"/>
      <x:c r="B445" s="46"/>
      <x:c r="C445" s="46"/>
      <x:c r="D445" s="46"/>
      <x:c r="E445" s="46"/>
      <x:c r="F445" s="46"/>
      <x:c r="G445" s="46"/>
      <x:c r="H445" s="46"/>
      <x:c r="I445" s="46"/>
      <x:c r="J445" s="46"/>
      <x:c r="K445" s="46"/>
      <x:c r="L445" s="46"/>
      <x:c r="M445" s="46"/>
      <x:c r="N445" s="46"/>
      <x:c r="O445" s="46"/>
      <x:c r="P445" s="46"/>
      <x:c r="Q445" s="46"/>
    </x:row>
    <x:row r="446">
      <x:c r="A446" s="46"/>
      <x:c r="B446" s="46"/>
      <x:c r="C446" s="46"/>
      <x:c r="D446" s="46"/>
      <x:c r="E446" s="46"/>
      <x:c r="F446" s="46"/>
      <x:c r="G446" s="46"/>
      <x:c r="H446" s="46"/>
      <x:c r="I446" s="46"/>
      <x:c r="J446" s="46"/>
      <x:c r="K446" s="46"/>
      <x:c r="L446" s="46"/>
      <x:c r="M446" s="46"/>
      <x:c r="N446" s="46"/>
      <x:c r="O446" s="46"/>
      <x:c r="P446" s="46"/>
      <x:c r="Q446" s="46"/>
    </x:row>
    <x:row r="447">
      <x:c r="A447" s="46"/>
      <x:c r="B447" s="46"/>
      <x:c r="C447" s="46"/>
      <x:c r="D447" s="46"/>
      <x:c r="E447" s="46"/>
      <x:c r="F447" s="46"/>
      <x:c r="G447" s="46"/>
      <x:c r="H447" s="46"/>
      <x:c r="I447" s="46"/>
      <x:c r="J447" s="46"/>
      <x:c r="K447" s="46"/>
      <x:c r="L447" s="46"/>
      <x:c r="M447" s="46"/>
      <x:c r="N447" s="46"/>
      <x:c r="O447" s="46"/>
      <x:c r="P447" s="46"/>
      <x:c r="Q447" s="46"/>
    </x:row>
    <x:row r="448">
      <x:c r="A448" s="46"/>
      <x:c r="B448" s="46"/>
      <x:c r="C448" s="46"/>
      <x:c r="D448" s="46"/>
      <x:c r="E448" s="46"/>
      <x:c r="F448" s="46"/>
      <x:c r="G448" s="46"/>
      <x:c r="H448" s="46"/>
      <x:c r="I448" s="46"/>
      <x:c r="J448" s="46"/>
      <x:c r="K448" s="46"/>
      <x:c r="L448" s="46"/>
      <x:c r="M448" s="46"/>
      <x:c r="N448" s="46"/>
      <x:c r="O448" s="46"/>
      <x:c r="P448" s="46"/>
      <x:c r="Q448" s="46"/>
    </x:row>
    <x:row r="449">
      <x:c r="A449" s="46"/>
      <x:c r="B449" s="46"/>
      <x:c r="C449" s="46"/>
      <x:c r="D449" s="46"/>
      <x:c r="E449" s="46"/>
      <x:c r="F449" s="46"/>
      <x:c r="G449" s="46"/>
      <x:c r="H449" s="46"/>
      <x:c r="I449" s="46"/>
      <x:c r="J449" s="46"/>
      <x:c r="K449" s="46"/>
      <x:c r="L449" s="46"/>
      <x:c r="M449" s="46"/>
      <x:c r="N449" s="46"/>
      <x:c r="O449" s="46"/>
      <x:c r="P449" s="46"/>
      <x:c r="Q449" s="46"/>
    </x:row>
    <x:row r="450">
      <x:c r="A450" s="46"/>
      <x:c r="B450" s="46"/>
      <x:c r="C450" s="46"/>
      <x:c r="D450" s="46"/>
      <x:c r="E450" s="46"/>
      <x:c r="F450" s="46"/>
      <x:c r="G450" s="46"/>
      <x:c r="H450" s="46"/>
      <x:c r="I450" s="46"/>
      <x:c r="J450" s="46"/>
      <x:c r="K450" s="46"/>
      <x:c r="L450" s="46"/>
      <x:c r="M450" s="46"/>
      <x:c r="N450" s="46"/>
      <x:c r="O450" s="46"/>
      <x:c r="P450" s="46"/>
      <x:c r="Q450" s="46"/>
    </x:row>
    <x:row r="451">
      <x:c r="A451" s="46"/>
      <x:c r="B451" s="46"/>
      <x:c r="C451" s="46"/>
      <x:c r="D451" s="46"/>
      <x:c r="E451" s="46"/>
      <x:c r="F451" s="46"/>
      <x:c r="G451" s="46"/>
      <x:c r="H451" s="46"/>
      <x:c r="I451" s="46"/>
      <x:c r="J451" s="46"/>
      <x:c r="K451" s="46"/>
      <x:c r="L451" s="46"/>
      <x:c r="M451" s="46"/>
      <x:c r="N451" s="46"/>
      <x:c r="O451" s="46"/>
      <x:c r="P451" s="46"/>
      <x:c r="Q451" s="46"/>
    </x:row>
    <x:row r="452">
      <x:c r="A452" s="46"/>
      <x:c r="B452" s="46"/>
      <x:c r="C452" s="46"/>
      <x:c r="D452" s="46"/>
      <x:c r="E452" s="46"/>
      <x:c r="F452" s="46"/>
      <x:c r="G452" s="46"/>
      <x:c r="H452" s="46"/>
      <x:c r="I452" s="46"/>
      <x:c r="J452" s="46"/>
      <x:c r="K452" s="46"/>
      <x:c r="L452" s="46"/>
      <x:c r="M452" s="46"/>
      <x:c r="N452" s="46"/>
      <x:c r="O452" s="46"/>
      <x:c r="P452" s="46"/>
      <x:c r="Q452" s="46"/>
    </x:row>
    <x:row r="453">
      <x:c r="A453" s="46"/>
      <x:c r="B453" s="46"/>
      <x:c r="C453" s="46"/>
      <x:c r="D453" s="46"/>
      <x:c r="E453" s="46"/>
      <x:c r="F453" s="46"/>
      <x:c r="G453" s="46"/>
      <x:c r="H453" s="46"/>
      <x:c r="I453" s="46"/>
      <x:c r="J453" s="46"/>
      <x:c r="K453" s="46"/>
      <x:c r="L453" s="46"/>
      <x:c r="M453" s="46"/>
      <x:c r="N453" s="46"/>
      <x:c r="O453" s="46"/>
      <x:c r="P453" s="46"/>
      <x:c r="Q453" s="46"/>
    </x:row>
    <x:row r="454">
      <x:c r="A454" s="46"/>
      <x:c r="B454" s="46"/>
      <x:c r="C454" s="46"/>
      <x:c r="D454" s="46"/>
      <x:c r="E454" s="46"/>
      <x:c r="F454" s="46"/>
      <x:c r="G454" s="46"/>
      <x:c r="H454" s="46"/>
      <x:c r="I454" s="46"/>
      <x:c r="J454" s="46"/>
      <x:c r="K454" s="46"/>
      <x:c r="L454" s="46"/>
      <x:c r="M454" s="46"/>
      <x:c r="N454" s="46"/>
      <x:c r="O454" s="46"/>
      <x:c r="P454" s="46"/>
      <x:c r="Q454" s="46"/>
    </x:row>
    <x:row r="455">
      <x:c r="A455" s="46"/>
      <x:c r="B455" s="46"/>
      <x:c r="C455" s="46"/>
      <x:c r="D455" s="46"/>
      <x:c r="E455" s="46"/>
      <x:c r="F455" s="46"/>
      <x:c r="G455" s="46"/>
      <x:c r="H455" s="46"/>
      <x:c r="I455" s="46"/>
      <x:c r="J455" s="46"/>
      <x:c r="K455" s="46"/>
      <x:c r="L455" s="46"/>
      <x:c r="M455" s="46"/>
      <x:c r="N455" s="46"/>
      <x:c r="O455" s="46"/>
      <x:c r="P455" s="46"/>
      <x:c r="Q455" s="46"/>
    </x:row>
    <x:row r="456">
      <x:c r="A456" s="46"/>
      <x:c r="B456" s="46"/>
      <x:c r="C456" s="46"/>
      <x:c r="D456" s="46"/>
      <x:c r="E456" s="46"/>
      <x:c r="F456" s="46"/>
      <x:c r="G456" s="46"/>
      <x:c r="H456" s="46"/>
      <x:c r="I456" s="46"/>
      <x:c r="J456" s="46"/>
      <x:c r="K456" s="46"/>
      <x:c r="L456" s="46"/>
      <x:c r="M456" s="46"/>
      <x:c r="N456" s="46"/>
      <x:c r="O456" s="46"/>
      <x:c r="P456" s="46"/>
      <x:c r="Q456" s="46"/>
    </x:row>
    <x:row r="457">
      <x:c r="A457" s="46"/>
      <x:c r="B457" s="46"/>
      <x:c r="C457" s="46"/>
      <x:c r="D457" s="46"/>
      <x:c r="E457" s="46"/>
      <x:c r="F457" s="46"/>
      <x:c r="G457" s="46"/>
      <x:c r="H457" s="46"/>
      <x:c r="I457" s="46"/>
      <x:c r="J457" s="46"/>
      <x:c r="K457" s="46"/>
      <x:c r="L457" s="46"/>
      <x:c r="M457" s="46"/>
      <x:c r="N457" s="46"/>
      <x:c r="O457" s="46"/>
      <x:c r="P457" s="46"/>
      <x:c r="Q457" s="46"/>
    </x:row>
    <x:row r="458">
      <x:c r="A458" s="46"/>
      <x:c r="B458" s="46"/>
      <x:c r="C458" s="46"/>
      <x:c r="D458" s="46"/>
      <x:c r="E458" s="46"/>
      <x:c r="F458" s="46"/>
      <x:c r="G458" s="46"/>
      <x:c r="H458" s="46"/>
      <x:c r="I458" s="46"/>
      <x:c r="J458" s="46"/>
      <x:c r="K458" s="46"/>
      <x:c r="L458" s="46"/>
      <x:c r="M458" s="46"/>
      <x:c r="N458" s="46"/>
      <x:c r="O458" s="46"/>
      <x:c r="P458" s="46"/>
      <x:c r="Q458" s="46"/>
    </x:row>
    <x:row r="459">
      <x:c r="A459" s="46"/>
      <x:c r="B459" s="46"/>
      <x:c r="C459" s="46"/>
      <x:c r="D459" s="46"/>
      <x:c r="E459" s="46"/>
      <x:c r="F459" s="46"/>
      <x:c r="G459" s="46"/>
      <x:c r="H459" s="46"/>
      <x:c r="I459" s="46"/>
      <x:c r="J459" s="46"/>
      <x:c r="K459" s="46"/>
      <x:c r="L459" s="46"/>
      <x:c r="M459" s="46"/>
      <x:c r="N459" s="46"/>
      <x:c r="O459" s="46"/>
      <x:c r="P459" s="46"/>
      <x:c r="Q459" s="46"/>
    </x:row>
    <x:row r="460">
      <x:c r="A460" s="46"/>
      <x:c r="B460" s="46"/>
      <x:c r="C460" s="46"/>
      <x:c r="D460" s="46"/>
      <x:c r="E460" s="46"/>
      <x:c r="F460" s="46"/>
      <x:c r="G460" s="46"/>
      <x:c r="H460" s="46"/>
      <x:c r="I460" s="46"/>
      <x:c r="J460" s="46"/>
      <x:c r="K460" s="46"/>
      <x:c r="L460" s="46"/>
      <x:c r="M460" s="46"/>
      <x:c r="N460" s="46"/>
      <x:c r="O460" s="46"/>
      <x:c r="P460" s="46"/>
      <x:c r="Q460" s="46"/>
    </x:row>
    <x:row r="461">
      <x:c r="A461" s="46"/>
      <x:c r="B461" s="46"/>
      <x:c r="C461" s="46"/>
      <x:c r="D461" s="46"/>
      <x:c r="E461" s="46"/>
      <x:c r="F461" s="46"/>
      <x:c r="G461" s="46"/>
      <x:c r="H461" s="46"/>
      <x:c r="I461" s="46"/>
      <x:c r="J461" s="46"/>
      <x:c r="K461" s="46"/>
      <x:c r="L461" s="46"/>
      <x:c r="M461" s="46"/>
      <x:c r="N461" s="46"/>
      <x:c r="O461" s="46"/>
      <x:c r="P461" s="46"/>
      <x:c r="Q461" s="46"/>
    </x:row>
    <x:row r="462">
      <x:c r="A462" s="46"/>
      <x:c r="B462" s="46"/>
      <x:c r="C462" s="46"/>
      <x:c r="D462" s="46"/>
      <x:c r="E462" s="46"/>
      <x:c r="F462" s="46"/>
      <x:c r="G462" s="46"/>
      <x:c r="H462" s="46"/>
      <x:c r="I462" s="46"/>
      <x:c r="J462" s="46"/>
      <x:c r="K462" s="46"/>
      <x:c r="L462" s="46"/>
      <x:c r="M462" s="46"/>
      <x:c r="N462" s="46"/>
      <x:c r="O462" s="46"/>
      <x:c r="P462" s="46"/>
      <x:c r="Q462" s="46"/>
    </x:row>
    <x:row r="463">
      <x:c r="A463" s="46"/>
      <x:c r="B463" s="46"/>
      <x:c r="C463" s="46"/>
      <x:c r="D463" s="46"/>
      <x:c r="E463" s="46"/>
      <x:c r="F463" s="46"/>
      <x:c r="G463" s="46"/>
      <x:c r="H463" s="46"/>
      <x:c r="I463" s="46"/>
      <x:c r="J463" s="46"/>
      <x:c r="K463" s="46"/>
      <x:c r="L463" s="46"/>
      <x:c r="M463" s="46"/>
      <x:c r="N463" s="46"/>
      <x:c r="O463" s="46"/>
      <x:c r="P463" s="46"/>
      <x:c r="Q463" s="46"/>
    </x:row>
    <x:row r="464">
      <x:c r="A464" s="46"/>
      <x:c r="B464" s="46"/>
      <x:c r="C464" s="46"/>
      <x:c r="D464" s="46"/>
      <x:c r="E464" s="46"/>
      <x:c r="F464" s="46"/>
      <x:c r="G464" s="46"/>
      <x:c r="H464" s="46"/>
      <x:c r="I464" s="46"/>
      <x:c r="J464" s="46"/>
      <x:c r="K464" s="46"/>
      <x:c r="L464" s="46"/>
      <x:c r="M464" s="46"/>
      <x:c r="N464" s="46"/>
      <x:c r="O464" s="46"/>
      <x:c r="P464" s="46"/>
      <x:c r="Q464" s="46"/>
    </x:row>
    <x:row r="465">
      <x:c r="A465" s="46"/>
      <x:c r="B465" s="46"/>
      <x:c r="C465" s="46"/>
      <x:c r="D465" s="46"/>
      <x:c r="E465" s="46"/>
      <x:c r="F465" s="46"/>
      <x:c r="G465" s="46"/>
      <x:c r="H465" s="46"/>
      <x:c r="I465" s="46"/>
      <x:c r="J465" s="46"/>
      <x:c r="K465" s="46"/>
      <x:c r="L465" s="46"/>
      <x:c r="M465" s="46"/>
      <x:c r="N465" s="46"/>
      <x:c r="O465" s="46"/>
      <x:c r="P465" s="46"/>
      <x:c r="Q465" s="46"/>
    </x:row>
    <x:row r="466">
      <x:c r="A466" s="46"/>
      <x:c r="B466" s="46"/>
      <x:c r="C466" s="46"/>
      <x:c r="D466" s="46"/>
      <x:c r="E466" s="46"/>
      <x:c r="F466" s="46"/>
      <x:c r="G466" s="46"/>
      <x:c r="H466" s="46"/>
      <x:c r="I466" s="46"/>
      <x:c r="J466" s="46"/>
      <x:c r="K466" s="46"/>
      <x:c r="L466" s="46"/>
      <x:c r="M466" s="46"/>
      <x:c r="N466" s="46"/>
      <x:c r="O466" s="46"/>
      <x:c r="P466" s="46"/>
      <x:c r="Q466" s="46"/>
    </x:row>
    <x:row r="467">
      <x:c r="A467" s="46"/>
      <x:c r="B467" s="46"/>
      <x:c r="C467" s="46"/>
      <x:c r="D467" s="46"/>
      <x:c r="E467" s="46"/>
      <x:c r="F467" s="46"/>
      <x:c r="G467" s="46"/>
      <x:c r="H467" s="46"/>
      <x:c r="I467" s="46"/>
      <x:c r="J467" s="46"/>
      <x:c r="K467" s="46"/>
      <x:c r="L467" s="46"/>
      <x:c r="M467" s="46"/>
      <x:c r="N467" s="46"/>
      <x:c r="O467" s="46"/>
      <x:c r="P467" s="46"/>
      <x:c r="Q467" s="46"/>
    </x:row>
    <x:row r="468">
      <x:c r="A468" s="46"/>
      <x:c r="B468" s="46"/>
      <x:c r="C468" s="46"/>
      <x:c r="D468" s="46"/>
      <x:c r="E468" s="46"/>
      <x:c r="F468" s="46"/>
      <x:c r="G468" s="46"/>
      <x:c r="H468" s="46"/>
      <x:c r="I468" s="46"/>
      <x:c r="J468" s="46"/>
      <x:c r="K468" s="46"/>
      <x:c r="L468" s="46"/>
      <x:c r="M468" s="46"/>
      <x:c r="N468" s="46"/>
      <x:c r="O468" s="46"/>
      <x:c r="P468" s="46"/>
      <x:c r="Q468" s="46"/>
    </x:row>
    <x:row r="469">
      <x:c r="A469" s="46"/>
      <x:c r="B469" s="46"/>
      <x:c r="C469" s="46"/>
      <x:c r="D469" s="46"/>
      <x:c r="E469" s="46"/>
      <x:c r="F469" s="46"/>
      <x:c r="G469" s="46"/>
      <x:c r="H469" s="46"/>
      <x:c r="I469" s="46"/>
      <x:c r="J469" s="46"/>
      <x:c r="K469" s="46"/>
      <x:c r="L469" s="46"/>
      <x:c r="M469" s="46"/>
      <x:c r="N469" s="46"/>
      <x:c r="O469" s="46"/>
      <x:c r="P469" s="46"/>
      <x:c r="Q469" s="46"/>
    </x:row>
    <x:row r="470">
      <x:c r="A470" s="46"/>
      <x:c r="B470" s="46"/>
      <x:c r="C470" s="46"/>
      <x:c r="D470" s="46"/>
      <x:c r="E470" s="46"/>
      <x:c r="F470" s="46"/>
      <x:c r="G470" s="46"/>
      <x:c r="H470" s="46"/>
      <x:c r="I470" s="46"/>
      <x:c r="J470" s="46"/>
      <x:c r="K470" s="46"/>
      <x:c r="L470" s="46"/>
      <x:c r="M470" s="46"/>
      <x:c r="N470" s="46"/>
      <x:c r="O470" s="46"/>
      <x:c r="P470" s="46"/>
      <x:c r="Q470" s="46"/>
    </x:row>
    <x:row r="471">
      <x:c r="A471" s="46"/>
      <x:c r="B471" s="46"/>
      <x:c r="C471" s="46"/>
      <x:c r="D471" s="46"/>
      <x:c r="E471" s="46"/>
      <x:c r="F471" s="46"/>
      <x:c r="G471" s="46"/>
      <x:c r="H471" s="46"/>
      <x:c r="I471" s="46"/>
      <x:c r="J471" s="46"/>
      <x:c r="K471" s="46"/>
      <x:c r="L471" s="46"/>
      <x:c r="M471" s="46"/>
      <x:c r="N471" s="46"/>
      <x:c r="O471" s="46"/>
      <x:c r="P471" s="46"/>
      <x:c r="Q471" s="46"/>
    </x:row>
    <x:row r="472">
      <x:c r="A472" s="46"/>
      <x:c r="B472" s="46"/>
      <x:c r="C472" s="46"/>
      <x:c r="D472" s="46"/>
      <x:c r="E472" s="46"/>
      <x:c r="F472" s="46"/>
      <x:c r="G472" s="46"/>
      <x:c r="H472" s="46"/>
      <x:c r="I472" s="46"/>
      <x:c r="J472" s="46"/>
      <x:c r="K472" s="46"/>
      <x:c r="L472" s="46"/>
      <x:c r="M472" s="46"/>
      <x:c r="N472" s="46"/>
      <x:c r="O472" s="46"/>
      <x:c r="P472" s="46"/>
      <x:c r="Q472" s="46"/>
    </x:row>
    <x:row r="473">
      <x:c r="A473" s="46"/>
      <x:c r="B473" s="46"/>
      <x:c r="C473" s="46"/>
      <x:c r="D473" s="46"/>
      <x:c r="E473" s="46"/>
      <x:c r="F473" s="46"/>
      <x:c r="G473" s="46"/>
      <x:c r="H473" s="46"/>
      <x:c r="I473" s="46"/>
      <x:c r="J473" s="46"/>
      <x:c r="K473" s="46"/>
      <x:c r="L473" s="46"/>
      <x:c r="M473" s="46"/>
      <x:c r="N473" s="46"/>
      <x:c r="O473" s="46"/>
      <x:c r="P473" s="46"/>
      <x:c r="Q473" s="46"/>
    </x:row>
    <x:row r="474">
      <x:c r="A474" s="46"/>
      <x:c r="B474" s="46"/>
      <x:c r="C474" s="46"/>
      <x:c r="D474" s="46"/>
      <x:c r="E474" s="46"/>
      <x:c r="F474" s="46"/>
      <x:c r="G474" s="46"/>
      <x:c r="H474" s="46"/>
      <x:c r="I474" s="46"/>
      <x:c r="J474" s="46"/>
      <x:c r="K474" s="46"/>
      <x:c r="L474" s="46"/>
      <x:c r="M474" s="46"/>
      <x:c r="N474" s="46"/>
      <x:c r="O474" s="46"/>
      <x:c r="P474" s="46"/>
      <x:c r="Q474" s="46"/>
    </x:row>
    <x:row r="475">
      <x:c r="A475" s="46"/>
      <x:c r="B475" s="46"/>
      <x:c r="C475" s="46"/>
      <x:c r="D475" s="46"/>
      <x:c r="E475" s="46"/>
      <x:c r="F475" s="46"/>
      <x:c r="G475" s="46"/>
      <x:c r="H475" s="46"/>
      <x:c r="I475" s="46"/>
      <x:c r="J475" s="46"/>
      <x:c r="K475" s="46"/>
      <x:c r="L475" s="46"/>
      <x:c r="M475" s="46"/>
      <x:c r="N475" s="46"/>
      <x:c r="O475" s="46"/>
      <x:c r="P475" s="46"/>
      <x:c r="Q475" s="46"/>
    </x:row>
    <x:row r="476">
      <x:c r="A476" s="46"/>
      <x:c r="B476" s="46"/>
      <x:c r="C476" s="46"/>
      <x:c r="D476" s="46"/>
      <x:c r="E476" s="46"/>
      <x:c r="F476" s="46"/>
      <x:c r="G476" s="46"/>
      <x:c r="H476" s="46"/>
      <x:c r="I476" s="46"/>
      <x:c r="J476" s="46"/>
      <x:c r="K476" s="46"/>
      <x:c r="L476" s="46"/>
      <x:c r="M476" s="46"/>
      <x:c r="N476" s="46"/>
      <x:c r="O476" s="46"/>
      <x:c r="P476" s="46"/>
      <x:c r="Q476" s="46"/>
    </x:row>
    <x:row r="477">
      <x:c r="A477" s="46"/>
      <x:c r="B477" s="46"/>
      <x:c r="C477" s="46"/>
      <x:c r="D477" s="46"/>
      <x:c r="E477" s="46"/>
      <x:c r="F477" s="46"/>
      <x:c r="G477" s="46"/>
      <x:c r="H477" s="46"/>
      <x:c r="I477" s="46"/>
      <x:c r="J477" s="46"/>
      <x:c r="K477" s="46"/>
      <x:c r="L477" s="46"/>
      <x:c r="M477" s="46"/>
      <x:c r="N477" s="46"/>
      <x:c r="O477" s="46"/>
      <x:c r="P477" s="46"/>
      <x:c r="Q477" s="46"/>
    </x:row>
    <x:row r="478">
      <x:c r="A478" s="46"/>
      <x:c r="B478" s="46"/>
      <x:c r="C478" s="46"/>
      <x:c r="D478" s="46"/>
      <x:c r="E478" s="46"/>
      <x:c r="F478" s="46"/>
      <x:c r="G478" s="46"/>
      <x:c r="H478" s="46"/>
      <x:c r="I478" s="46"/>
      <x:c r="J478" s="46"/>
      <x:c r="K478" s="46"/>
      <x:c r="L478" s="46"/>
      <x:c r="M478" s="46"/>
      <x:c r="N478" s="46"/>
      <x:c r="O478" s="46"/>
      <x:c r="P478" s="46"/>
      <x:c r="Q478" s="46"/>
    </x:row>
    <x:row r="479">
      <x:c r="A479" s="46"/>
      <x:c r="B479" s="46"/>
      <x:c r="C479" s="46"/>
      <x:c r="D479" s="46"/>
      <x:c r="E479" s="46"/>
      <x:c r="F479" s="46"/>
      <x:c r="G479" s="46"/>
      <x:c r="H479" s="46"/>
      <x:c r="I479" s="46"/>
      <x:c r="J479" s="46"/>
      <x:c r="K479" s="46"/>
      <x:c r="L479" s="46"/>
      <x:c r="M479" s="46"/>
      <x:c r="N479" s="46"/>
      <x:c r="O479" s="46"/>
      <x:c r="P479" s="46"/>
      <x:c r="Q479" s="46"/>
    </x:row>
    <x:row r="480">
      <x:c r="A480" s="46"/>
      <x:c r="B480" s="46"/>
      <x:c r="C480" s="46"/>
      <x:c r="D480" s="46"/>
      <x:c r="E480" s="46"/>
      <x:c r="F480" s="46"/>
      <x:c r="G480" s="46"/>
      <x:c r="H480" s="46"/>
      <x:c r="I480" s="46"/>
      <x:c r="J480" s="46"/>
      <x:c r="K480" s="46"/>
      <x:c r="L480" s="46"/>
      <x:c r="M480" s="46"/>
      <x:c r="N480" s="46"/>
      <x:c r="O480" s="46"/>
      <x:c r="P480" s="46"/>
      <x:c r="Q480" s="46"/>
    </x:row>
    <x:row r="481">
      <x:c r="A481" s="46"/>
      <x:c r="B481" s="46"/>
      <x:c r="C481" s="46"/>
      <x:c r="D481" s="46"/>
      <x:c r="E481" s="46"/>
      <x:c r="F481" s="46"/>
      <x:c r="G481" s="46"/>
      <x:c r="H481" s="46"/>
      <x:c r="I481" s="46"/>
      <x:c r="J481" s="46"/>
      <x:c r="K481" s="46"/>
      <x:c r="L481" s="46"/>
      <x:c r="M481" s="46"/>
      <x:c r="N481" s="46"/>
      <x:c r="O481" s="46"/>
      <x:c r="P481" s="46"/>
      <x:c r="Q481" s="46"/>
    </x:row>
    <x:row r="482">
      <x:c r="A482" s="46"/>
      <x:c r="B482" s="46"/>
      <x:c r="C482" s="46"/>
      <x:c r="D482" s="46"/>
      <x:c r="E482" s="46"/>
      <x:c r="F482" s="46"/>
      <x:c r="G482" s="46"/>
      <x:c r="H482" s="46"/>
      <x:c r="I482" s="46"/>
      <x:c r="J482" s="46"/>
      <x:c r="K482" s="46"/>
      <x:c r="L482" s="46"/>
      <x:c r="M482" s="46"/>
      <x:c r="N482" s="46"/>
      <x:c r="O482" s="46"/>
      <x:c r="P482" s="46"/>
      <x:c r="Q482" s="46"/>
    </x:row>
    <x:row r="483">
      <x:c r="A483" s="46"/>
      <x:c r="B483" s="46"/>
      <x:c r="C483" s="46"/>
      <x:c r="D483" s="46"/>
      <x:c r="E483" s="46"/>
      <x:c r="F483" s="46"/>
      <x:c r="G483" s="46"/>
      <x:c r="H483" s="46"/>
      <x:c r="I483" s="46"/>
      <x:c r="J483" s="46"/>
      <x:c r="K483" s="46"/>
      <x:c r="L483" s="46"/>
      <x:c r="M483" s="46"/>
      <x:c r="N483" s="46"/>
      <x:c r="O483" s="46"/>
      <x:c r="P483" s="46"/>
      <x:c r="Q483" s="46"/>
    </x:row>
    <x:row r="484">
      <x:c r="A484" s="46"/>
      <x:c r="B484" s="46"/>
      <x:c r="C484" s="46"/>
      <x:c r="D484" s="46"/>
      <x:c r="E484" s="46"/>
      <x:c r="F484" s="46"/>
      <x:c r="G484" s="46"/>
      <x:c r="H484" s="46"/>
      <x:c r="I484" s="46"/>
      <x:c r="J484" s="46"/>
      <x:c r="K484" s="46"/>
      <x:c r="L484" s="46"/>
      <x:c r="M484" s="46"/>
      <x:c r="N484" s="46"/>
      <x:c r="O484" s="46"/>
      <x:c r="P484" s="46"/>
      <x:c r="Q484" s="46"/>
    </x:row>
    <x:row r="485">
      <x:c r="A485" s="46"/>
      <x:c r="B485" s="46"/>
      <x:c r="C485" s="46"/>
      <x:c r="D485" s="46"/>
      <x:c r="E485" s="46"/>
      <x:c r="F485" s="46"/>
      <x:c r="G485" s="46"/>
      <x:c r="H485" s="46"/>
      <x:c r="I485" s="46"/>
      <x:c r="J485" s="46"/>
      <x:c r="K485" s="46"/>
      <x:c r="L485" s="46"/>
      <x:c r="M485" s="46"/>
      <x:c r="N485" s="46"/>
      <x:c r="O485" s="46"/>
      <x:c r="P485" s="46"/>
      <x:c r="Q485" s="46"/>
    </x:row>
    <x:row r="486">
      <x:c r="A486" s="46"/>
      <x:c r="B486" s="46"/>
      <x:c r="C486" s="46"/>
      <x:c r="D486" s="46"/>
      <x:c r="E486" s="46"/>
      <x:c r="F486" s="46"/>
      <x:c r="G486" s="46"/>
      <x:c r="H486" s="46"/>
      <x:c r="I486" s="46"/>
      <x:c r="J486" s="46"/>
      <x:c r="K486" s="46"/>
      <x:c r="L486" s="46"/>
      <x:c r="M486" s="46"/>
      <x:c r="N486" s="46"/>
      <x:c r="O486" s="46"/>
      <x:c r="P486" s="46"/>
      <x:c r="Q486" s="46"/>
    </x:row>
    <x:row r="487">
      <x:c r="A487" s="46"/>
      <x:c r="B487" s="46"/>
      <x:c r="C487" s="46"/>
      <x:c r="D487" s="46"/>
      <x:c r="E487" s="46"/>
      <x:c r="F487" s="46"/>
      <x:c r="G487" s="46"/>
      <x:c r="H487" s="46"/>
      <x:c r="I487" s="46"/>
      <x:c r="J487" s="46"/>
      <x:c r="K487" s="46"/>
      <x:c r="L487" s="46"/>
      <x:c r="M487" s="46"/>
      <x:c r="N487" s="46"/>
      <x:c r="O487" s="46"/>
      <x:c r="P487" s="46"/>
      <x:c r="Q487" s="46"/>
    </x:row>
    <x:row r="488">
      <x:c r="A488" s="46"/>
      <x:c r="B488" s="46"/>
      <x:c r="C488" s="46"/>
      <x:c r="D488" s="46"/>
      <x:c r="E488" s="46"/>
      <x:c r="F488" s="46"/>
      <x:c r="G488" s="46"/>
      <x:c r="H488" s="46"/>
      <x:c r="I488" s="46"/>
      <x:c r="J488" s="46"/>
      <x:c r="K488" s="46"/>
      <x:c r="L488" s="46"/>
      <x:c r="M488" s="46"/>
      <x:c r="N488" s="46"/>
      <x:c r="O488" s="46"/>
      <x:c r="P488" s="46"/>
      <x:c r="Q488" s="46"/>
    </x:row>
    <x:row r="489">
      <x:c r="A489" s="46"/>
      <x:c r="B489" s="46"/>
      <x:c r="C489" s="46"/>
      <x:c r="D489" s="46"/>
      <x:c r="E489" s="46"/>
      <x:c r="F489" s="46"/>
      <x:c r="G489" s="46"/>
      <x:c r="H489" s="46"/>
      <x:c r="I489" s="46"/>
      <x:c r="J489" s="46"/>
      <x:c r="K489" s="46"/>
      <x:c r="L489" s="46"/>
      <x:c r="M489" s="46"/>
      <x:c r="N489" s="46"/>
      <x:c r="O489" s="46"/>
      <x:c r="P489" s="46"/>
      <x:c r="Q489" s="46"/>
    </x:row>
    <x:row r="490">
      <x:c r="A490" s="46"/>
      <x:c r="B490" s="46"/>
      <x:c r="C490" s="46"/>
      <x:c r="D490" s="46"/>
      <x:c r="E490" s="46"/>
      <x:c r="F490" s="46"/>
      <x:c r="G490" s="46"/>
      <x:c r="H490" s="46"/>
      <x:c r="I490" s="46"/>
      <x:c r="J490" s="46"/>
      <x:c r="K490" s="46"/>
      <x:c r="L490" s="46"/>
      <x:c r="M490" s="46"/>
      <x:c r="N490" s="46"/>
      <x:c r="O490" s="46"/>
      <x:c r="P490" s="46"/>
      <x:c r="Q490" s="46"/>
    </x:row>
    <x:row r="491">
      <x:c r="A491" s="46"/>
      <x:c r="B491" s="46"/>
      <x:c r="C491" s="46"/>
      <x:c r="D491" s="46"/>
      <x:c r="E491" s="46"/>
      <x:c r="F491" s="46"/>
      <x:c r="G491" s="46"/>
      <x:c r="H491" s="46"/>
      <x:c r="I491" s="46"/>
      <x:c r="J491" s="46"/>
      <x:c r="K491" s="46"/>
      <x:c r="L491" s="46"/>
      <x:c r="M491" s="46"/>
      <x:c r="N491" s="46"/>
      <x:c r="O491" s="46"/>
      <x:c r="P491" s="46"/>
      <x:c r="Q491" s="46"/>
    </x:row>
    <x:row r="492">
      <x:c r="A492" s="46"/>
      <x:c r="B492" s="46"/>
      <x:c r="C492" s="46"/>
      <x:c r="D492" s="46"/>
      <x:c r="E492" s="46"/>
      <x:c r="F492" s="46"/>
      <x:c r="G492" s="46"/>
      <x:c r="H492" s="46"/>
      <x:c r="I492" s="46"/>
      <x:c r="J492" s="46"/>
      <x:c r="K492" s="46"/>
      <x:c r="L492" s="46"/>
      <x:c r="M492" s="46"/>
      <x:c r="N492" s="46"/>
      <x:c r="O492" s="46"/>
      <x:c r="P492" s="46"/>
      <x:c r="Q492" s="46"/>
    </x:row>
    <x:row r="493">
      <x:c r="A493" s="46"/>
      <x:c r="B493" s="46"/>
      <x:c r="C493" s="46"/>
      <x:c r="D493" s="46"/>
      <x:c r="E493" s="46"/>
      <x:c r="F493" s="46"/>
      <x:c r="G493" s="46"/>
      <x:c r="H493" s="46"/>
      <x:c r="I493" s="46"/>
      <x:c r="J493" s="46"/>
      <x:c r="K493" s="46"/>
      <x:c r="L493" s="46"/>
      <x:c r="M493" s="46"/>
      <x:c r="N493" s="46"/>
      <x:c r="O493" s="46"/>
      <x:c r="P493" s="46"/>
      <x:c r="Q493" s="46"/>
    </x:row>
    <x:row r="494">
      <x:c r="A494" s="46"/>
      <x:c r="B494" s="46"/>
      <x:c r="C494" s="46"/>
      <x:c r="D494" s="46"/>
      <x:c r="E494" s="46"/>
      <x:c r="F494" s="46"/>
      <x:c r="G494" s="46"/>
      <x:c r="H494" s="46"/>
      <x:c r="I494" s="46"/>
      <x:c r="J494" s="46"/>
      <x:c r="K494" s="46"/>
      <x:c r="L494" s="46"/>
      <x:c r="M494" s="46"/>
      <x:c r="N494" s="46"/>
      <x:c r="O494" s="46"/>
      <x:c r="P494" s="46"/>
      <x:c r="Q494" s="46"/>
    </x:row>
    <x:row r="495">
      <x:c r="A495" s="46"/>
      <x:c r="B495" s="46"/>
      <x:c r="C495" s="46"/>
      <x:c r="D495" s="46"/>
      <x:c r="E495" s="46"/>
      <x:c r="F495" s="46"/>
      <x:c r="G495" s="46"/>
      <x:c r="H495" s="46"/>
      <x:c r="I495" s="46"/>
      <x:c r="J495" s="46"/>
      <x:c r="K495" s="46"/>
      <x:c r="L495" s="46"/>
      <x:c r="M495" s="46"/>
      <x:c r="N495" s="46"/>
      <x:c r="O495" s="46"/>
      <x:c r="P495" s="46"/>
      <x:c r="Q495" s="46"/>
    </x:row>
    <x:row r="496">
      <x:c r="A496" s="46"/>
      <x:c r="B496" s="46"/>
      <x:c r="C496" s="46"/>
      <x:c r="D496" s="46"/>
      <x:c r="E496" s="46"/>
      <x:c r="F496" s="46"/>
      <x:c r="G496" s="46"/>
      <x:c r="H496" s="46"/>
      <x:c r="I496" s="46"/>
      <x:c r="J496" s="46"/>
      <x:c r="K496" s="46"/>
      <x:c r="L496" s="46"/>
      <x:c r="M496" s="46"/>
      <x:c r="N496" s="46"/>
      <x:c r="O496" s="46"/>
      <x:c r="P496" s="46"/>
      <x:c r="Q496" s="46"/>
    </x:row>
    <x:row r="497">
      <x:c r="A497" s="46"/>
      <x:c r="B497" s="46"/>
      <x:c r="C497" s="46"/>
      <x:c r="D497" s="46"/>
      <x:c r="E497" s="46"/>
      <x:c r="F497" s="46"/>
      <x:c r="G497" s="46"/>
      <x:c r="H497" s="46"/>
      <x:c r="I497" s="46"/>
      <x:c r="J497" s="46"/>
      <x:c r="K497" s="46"/>
      <x:c r="L497" s="46"/>
      <x:c r="M497" s="46"/>
      <x:c r="N497" s="46"/>
      <x:c r="O497" s="46"/>
      <x:c r="P497" s="46"/>
      <x:c r="Q497" s="46"/>
    </x:row>
    <x:row r="498">
      <x:c r="A498" s="46"/>
      <x:c r="B498" s="46"/>
      <x:c r="C498" s="46"/>
      <x:c r="D498" s="46"/>
      <x:c r="E498" s="46"/>
      <x:c r="F498" s="46"/>
      <x:c r="G498" s="46"/>
      <x:c r="H498" s="46"/>
      <x:c r="I498" s="46"/>
      <x:c r="J498" s="46"/>
      <x:c r="K498" s="46"/>
      <x:c r="L498" s="46"/>
      <x:c r="M498" s="46"/>
      <x:c r="N498" s="46"/>
      <x:c r="O498" s="46"/>
      <x:c r="P498" s="46"/>
      <x:c r="Q498" s="46"/>
    </x:row>
    <x:row r="499">
      <x:c r="A499" s="46"/>
      <x:c r="B499" s="46"/>
      <x:c r="C499" s="46"/>
      <x:c r="D499" s="46"/>
      <x:c r="E499" s="46"/>
      <x:c r="F499" s="46"/>
      <x:c r="G499" s="46"/>
      <x:c r="H499" s="46"/>
      <x:c r="I499" s="46"/>
      <x:c r="J499" s="46"/>
      <x:c r="K499" s="46"/>
      <x:c r="L499" s="46"/>
      <x:c r="M499" s="46"/>
      <x:c r="N499" s="46"/>
      <x:c r="O499" s="46"/>
      <x:c r="P499" s="46"/>
      <x:c r="Q499" s="46"/>
    </x:row>
    <x:row r="500">
      <x:c r="A500" s="46"/>
      <x:c r="B500" s="46"/>
      <x:c r="C500" s="46"/>
      <x:c r="D500" s="46"/>
      <x:c r="E500" s="46"/>
      <x:c r="F500" s="46"/>
      <x:c r="G500" s="46"/>
      <x:c r="H500" s="46"/>
      <x:c r="I500" s="46"/>
      <x:c r="J500" s="46"/>
      <x:c r="K500" s="46"/>
      <x:c r="L500" s="46"/>
      <x:c r="M500" s="46"/>
      <x:c r="N500" s="46"/>
      <x:c r="O500" s="46"/>
      <x:c r="P500" s="46"/>
      <x:c r="Q500" s="46"/>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5" hidden="0" customWidth="1"/>
    <x:col min="2" max="2" width="28" hidden="0" customWidth="1"/>
    <x:col min="3" max="3" width="20" hidden="0" customWidth="1"/>
    <x:col min="4" max="4" width="34" hidden="0" customWidth="1"/>
    <x:col min="5" max="5" width="28" hidden="0" customWidth="1"/>
    <x:col min="6" max="6" width="58" hidden="0" customWidth="1"/>
    <x:col min="7" max="7" width="58" hidden="0" customWidth="1"/>
    <x:col min="8" max="8" width="58" hidden="0" customWidth="1"/>
    <x:col min="9" max="9" width="50" hidden="0" customWidth="1"/>
    <x:col min="10" max="10" width="34" hidden="0" customWidth="1"/>
  </x:cols>
  <x:sheetData>
    <x:row r="1" ht="36" customHeight="1">
      <x:c r="A1" s="93" t="str">
        <x:v>state_or_model</x:v>
      </x:c>
      <x:c r="B1" s="93" t="str">
        <x:v>direct_source_id</x:v>
      </x:c>
      <x:c r="C1" s="93" t="str">
        <x:v>direct_source_verified</x:v>
      </x:c>
      <x:c r="D1" s="93" t="str">
        <x:v>compound_resolved_in_workbook</x:v>
      </x:c>
      <x:c r="E1" s="93" t="str">
        <x:v>coverage_strength</x:v>
      </x:c>
      <x:c r="F1" s="93" t="str">
        <x:v>what_is_supported</x:v>
      </x:c>
      <x:c r="G1" s="93" t="str">
        <x:v>what_is_not_supported</x:v>
      </x:c>
      <x:c r="H1" s="93" t="str">
        <x:v>approved_architecture_use</x:v>
      </x:c>
      <x:c r="I1" s="93" t="str">
        <x:v>next_action</x:v>
      </x:c>
      <x:c r="J1" s="93" t="str">
        <x:v>status</x:v>
      </x:c>
    </x:row>
    <x:row r="2">
      <x:c r="A2" s="46" t="str">
        <x:v>native squab core reference</x:v>
      </x:c>
      <x:c r="B2" s="46" t="str">
        <x:v>SRC-SQUAB-BRAISE-001</x:v>
      </x:c>
      <x:c r="C2" s="46" t="str">
        <x:v>yes</x:v>
      </x:c>
      <x:c r="D2" s="46" t="str">
        <x:v>5 named source-attributed compounds</x:v>
      </x:c>
      <x:c r="E2" s="46" t="str">
        <x:v>strong_source_attribution</x:v>
      </x:c>
      <x:c r="F2" s="46" t="str">
        <x:v>Five meaty/fatty key compounds are directly attributed mainly to raw squab by source-analysis models.</x:v>
      </x:c>
      <x:c r="G2" s="46" t="str">
        <x:v>This is not a direct raw-meat GC-MS key-aroma profile.</x:v>
      </x:c>
      <x:c r="H2" s="46" t="str">
        <x:v>Use as native-core reference with evidence_mode=source_attributed_precursor_origin.</x:v>
      </x:c>
      <x:c r="I2" s="46" t="str">
        <x:v>Find a direct raw squab/pigeon compound-resolved study before relabeling as measured raw.</x:v>
      </x:c>
      <x:c r="J2" s="94" t="str">
        <x:v>governed_precursor_reference</x:v>
      </x:c>
    </x:row>
    <x:row r="3">
      <x:c r="A3" s="46" t="str">
        <x:v>braised squab</x:v>
      </x:c>
      <x:c r="B3" s="46" t="str">
        <x:v>SRC-SQUAB-BRAISE-001</x:v>
      </x:c>
      <x:c r="C3" s="46" t="str">
        <x:v>yes</x:v>
      </x:c>
      <x:c r="D3" s="46" t="str">
        <x:v>14 of 20 shared key compounds explicitly named in accessible primary text</x:v>
      </x:c>
      <x:c r="E3" s="46" t="str">
        <x:v>strong_partial_named</x:v>
      </x:c>
      <x:c r="F3" s="46" t="str">
        <x:v>20 shared key compounds are verified; 14 are explicitly named and role-attributed in accessible primary text.</x:v>
      </x:c>
      <x:c r="G3" s="46" t="str">
        <x:v>Six key compounds remain unnamed in the accessible text used for this pass.</x:v>
      </x:c>
      <x:c r="H3" s="46" t="str">
        <x:v>Use the 14 named rows; do not fabricate the remaining six.</x:v>
      </x:c>
      <x:c r="I3" s="46" t="str">
        <x:v>Extract Table 1/full text when reliably accessible.</x:v>
      </x:c>
      <x:c r="J3" s="94" t="str">
        <x:v>governed_partial_key_profile</x:v>
      </x:c>
    </x:row>
    <x:row r="4">
      <x:c r="A4" s="46" t="str">
        <x:v>roasted pigeon</x:v>
      </x:c>
      <x:c r="B4" s="46" t="str">
        <x:v>SRC-PIGEON-ROAST-001</x:v>
      </x:c>
      <x:c r="C4" s="46" t="str">
        <x:v>yes</x:v>
      </x:c>
      <x:c r="D4" s="46" t="str">
        <x:v>1 of 18 key compounds explicitly named in accessible primary record</x:v>
      </x:c>
      <x:c r="E4" s="46" t="str">
        <x:v>strong_source_thin_extraction</x:v>
      </x:c>
      <x:c r="F4" s="46" t="str">
        <x:v>18 key aroma compounds verified by GC-O/OAV; pyrazines important; 5-methyl-2,3-diethylpyrazine explicitly named.</x:v>
      </x:c>
      <x:c r="G4" s="46" t="str">
        <x:v>17 key compounds remain unresolved without supplementary/full table.</x:v>
      </x:c>
      <x:c r="H4" s="46" t="str">
        <x:v>Use only named compound plus class/mechanism pattern until table extraction.</x:v>
      </x:c>
      <x:c r="I4" s="46" t="str">
        <x:v>Acquire supplementary Table 1–3 or equivalent primary list.</x:v>
      </x:c>
      <x:c r="J4" s="94" t="str">
        <x:v>governed_thin_profile</x:v>
      </x:c>
    </x:row>
    <x:row r="5">
      <x:c r="A5" s="46" t="str">
        <x:v>boiled pigeon</x:v>
      </x:c>
      <x:c r="B5" s="46" t="str">
        <x:v>SRC-PIGEON-PROCESS-001</x:v>
      </x:c>
      <x:c r="C5" s="46" t="str">
        <x:v>yes</x:v>
      </x:c>
      <x:c r="D5" s="46" t="str">
        <x:v>no</x:v>
      </x:c>
      <x:c r="E5" s="46" t="str">
        <x:v>state_level_only</x:v>
      </x:c>
      <x:c r="F5" s="46" t="str">
        <x:v>Direct 2026 study shows a distinct, milder/more uniform odor-response profile.</x:v>
      </x:c>
      <x:c r="G5" s="46" t="str">
        <x:v>No compound-resolved volatile list from this method in the evidence used here.</x:v>
      </x:c>
      <x:c r="H5" s="46" t="str">
        <x:v>May be used as state distinction, not compound inheritance.</x:v>
      </x:c>
      <x:c r="I5" s="46" t="str">
        <x:v>Seek GC-MS/GC-O boiled pigeon profile.</x:v>
      </x:c>
      <x:c r="J5" s="94" t="str">
        <x:v>state_verified_compounds_pending</x:v>
      </x:c>
    </x:row>
    <x:row r="6">
      <x:c r="A6" s="46" t="str">
        <x:v>fried pigeon</x:v>
      </x:c>
      <x:c r="B6" s="46" t="str">
        <x:v>SRC-PIGEON-PROCESS-001</x:v>
      </x:c>
      <x:c r="C6" s="46" t="str">
        <x:v>yes</x:v>
      </x:c>
      <x:c r="D6" s="46" t="str">
        <x:v>no</x:v>
      </x:c>
      <x:c r="E6" s="46" t="str">
        <x:v>state_level_only</x:v>
      </x:c>
      <x:c r="F6" s="46" t="str">
        <x:v>Direct 2026 study shows a distinct stronger oily/browned odor-response profile.</x:v>
      </x:c>
      <x:c r="G6" s="46" t="str">
        <x:v>No compound-resolved volatile list from this method in the evidence used here.</x:v>
      </x:c>
      <x:c r="H6" s="46" t="str">
        <x:v>May be used as state distinction, not compound inheritance.</x:v>
      </x:c>
      <x:c r="I6" s="46" t="str">
        <x:v>Seek GC-MS/GC-O fried pigeon profile.</x:v>
      </x:c>
      <x:c r="J6" s="94" t="str">
        <x:v>state_verified_compounds_pending</x:v>
      </x:c>
    </x:row>
    <x:row r="7">
      <x:c r="A7" s="46"/>
      <x:c r="B7" s="46"/>
      <x:c r="C7" s="46"/>
      <x:c r="D7" s="46"/>
      <x:c r="E7" s="46"/>
      <x:c r="F7" s="46"/>
      <x:c r="G7" s="46"/>
      <x:c r="H7" s="46"/>
      <x:c r="I7" s="46"/>
      <x:c r="J7" s="46"/>
    </x:row>
    <x:row r="8">
      <x:c r="A8" s="46"/>
      <x:c r="B8" s="46"/>
      <x:c r="C8" s="46"/>
      <x:c r="D8" s="46"/>
      <x:c r="E8" s="46"/>
      <x:c r="F8" s="46"/>
      <x:c r="G8" s="46"/>
      <x:c r="H8" s="46"/>
      <x:c r="I8" s="46"/>
      <x:c r="J8" s="46"/>
    </x:row>
    <x:row r="9">
      <x:c r="A9" s="46"/>
      <x:c r="B9" s="46"/>
      <x:c r="C9" s="46"/>
      <x:c r="D9" s="46"/>
      <x:c r="E9" s="46"/>
      <x:c r="F9" s="46"/>
      <x:c r="G9" s="46"/>
      <x:c r="H9" s="46"/>
      <x:c r="I9" s="46"/>
      <x:c r="J9" s="46"/>
    </x:row>
    <x:row r="10">
      <x:c r="A10" s="46"/>
      <x:c r="B10" s="46"/>
      <x:c r="C10" s="46"/>
      <x:c r="D10" s="46"/>
      <x:c r="E10" s="46"/>
      <x:c r="F10" s="46"/>
      <x:c r="G10" s="46"/>
      <x:c r="H10" s="46"/>
      <x:c r="I10" s="46"/>
      <x:c r="J10" s="46"/>
    </x:row>
    <x:row r="11">
      <x:c r="A11" s="46"/>
      <x:c r="B11" s="46"/>
      <x:c r="C11" s="46"/>
      <x:c r="D11" s="46"/>
      <x:c r="E11" s="46"/>
      <x:c r="F11" s="46"/>
      <x:c r="G11" s="46"/>
      <x:c r="H11" s="46"/>
      <x:c r="I11" s="46"/>
      <x:c r="J11" s="46"/>
    </x:row>
    <x:row r="12">
      <x:c r="A12" s="46"/>
      <x:c r="B12" s="46"/>
      <x:c r="C12" s="46"/>
      <x:c r="D12" s="46"/>
      <x:c r="E12" s="46"/>
      <x:c r="F12" s="46"/>
      <x:c r="G12" s="46"/>
      <x:c r="H12" s="46"/>
      <x:c r="I12" s="46"/>
      <x:c r="J12" s="46"/>
    </x:row>
    <x:row r="13">
      <x:c r="A13" s="46"/>
      <x:c r="B13" s="46"/>
      <x:c r="C13" s="46"/>
      <x:c r="D13" s="46"/>
      <x:c r="E13" s="46"/>
      <x:c r="F13" s="46"/>
      <x:c r="G13" s="46"/>
      <x:c r="H13" s="46"/>
      <x:c r="I13" s="46"/>
      <x:c r="J13" s="46"/>
    </x:row>
    <x:row r="14">
      <x:c r="A14" s="46"/>
      <x:c r="B14" s="46"/>
      <x:c r="C14" s="46"/>
      <x:c r="D14" s="46"/>
      <x:c r="E14" s="46"/>
      <x:c r="F14" s="46"/>
      <x:c r="G14" s="46"/>
      <x:c r="H14" s="46"/>
      <x:c r="I14" s="46"/>
      <x:c r="J14" s="46"/>
    </x:row>
    <x:row r="15">
      <x:c r="A15" s="46"/>
      <x:c r="B15" s="46"/>
      <x:c r="C15" s="46"/>
      <x:c r="D15" s="46"/>
      <x:c r="E15" s="46"/>
      <x:c r="F15" s="46"/>
      <x:c r="G15" s="46"/>
      <x:c r="H15" s="46"/>
      <x:c r="I15" s="46"/>
      <x:c r="J15" s="46"/>
    </x:row>
    <x:row r="16">
      <x:c r="A16" s="46"/>
      <x:c r="B16" s="46"/>
      <x:c r="C16" s="46"/>
      <x:c r="D16" s="46"/>
      <x:c r="E16" s="46"/>
      <x:c r="F16" s="46"/>
      <x:c r="G16" s="46"/>
      <x:c r="H16" s="46"/>
      <x:c r="I16" s="46"/>
      <x:c r="J16" s="46"/>
    </x:row>
    <x:row r="17">
      <x:c r="A17" s="46"/>
      <x:c r="B17" s="46"/>
      <x:c r="C17" s="46"/>
      <x:c r="D17" s="46"/>
      <x:c r="E17" s="46"/>
      <x:c r="F17" s="46"/>
      <x:c r="G17" s="46"/>
      <x:c r="H17" s="46"/>
      <x:c r="I17" s="46"/>
      <x:c r="J17" s="46"/>
    </x:row>
    <x:row r="18">
      <x:c r="A18" s="46"/>
      <x:c r="B18" s="46"/>
      <x:c r="C18" s="46"/>
      <x:c r="D18" s="46"/>
      <x:c r="E18" s="46"/>
      <x:c r="F18" s="46"/>
      <x:c r="G18" s="46"/>
      <x:c r="H18" s="46"/>
      <x:c r="I18" s="46"/>
      <x:c r="J18" s="46"/>
    </x:row>
    <x:row r="19">
      <x:c r="A19" s="46"/>
      <x:c r="B19" s="46"/>
      <x:c r="C19" s="46"/>
      <x:c r="D19" s="46"/>
      <x:c r="E19" s="46"/>
      <x:c r="F19" s="46"/>
      <x:c r="G19" s="46"/>
      <x:c r="H19" s="46"/>
      <x:c r="I19" s="46"/>
      <x:c r="J19" s="46"/>
    </x:row>
    <x:row r="20">
      <x:c r="A20" s="46"/>
      <x:c r="B20" s="46"/>
      <x:c r="C20" s="46"/>
      <x:c r="D20" s="46"/>
      <x:c r="E20" s="46"/>
      <x:c r="F20" s="46"/>
      <x:c r="G20" s="46"/>
      <x:c r="H20" s="46"/>
      <x:c r="I20" s="46"/>
      <x:c r="J20" s="46"/>
    </x:row>
    <x:row r="21">
      <x:c r="A21" s="46"/>
      <x:c r="B21" s="46"/>
      <x:c r="C21" s="46"/>
      <x:c r="D21" s="46"/>
      <x:c r="E21" s="46"/>
      <x:c r="F21" s="46"/>
      <x:c r="G21" s="46"/>
      <x:c r="H21" s="46"/>
      <x:c r="I21" s="46"/>
      <x:c r="J21" s="46"/>
    </x:row>
    <x:row r="22">
      <x:c r="A22" s="46"/>
      <x:c r="B22" s="46"/>
      <x:c r="C22" s="46"/>
      <x:c r="D22" s="46"/>
      <x:c r="E22" s="46"/>
      <x:c r="F22" s="46"/>
      <x:c r="G22" s="46"/>
      <x:c r="H22" s="46"/>
      <x:c r="I22" s="46"/>
      <x:c r="J22" s="46"/>
    </x:row>
    <x:row r="23">
      <x:c r="A23" s="46"/>
      <x:c r="B23" s="46"/>
      <x:c r="C23" s="46"/>
      <x:c r="D23" s="46"/>
      <x:c r="E23" s="46"/>
      <x:c r="F23" s="46"/>
      <x:c r="G23" s="46"/>
      <x:c r="H23" s="46"/>
      <x:c r="I23" s="46"/>
      <x:c r="J23" s="46"/>
    </x:row>
    <x:row r="24">
      <x:c r="A24" s="46"/>
      <x:c r="B24" s="46"/>
      <x:c r="C24" s="46"/>
      <x:c r="D24" s="46"/>
      <x:c r="E24" s="46"/>
      <x:c r="F24" s="46"/>
      <x:c r="G24" s="46"/>
      <x:c r="H24" s="46"/>
      <x:c r="I24" s="46"/>
      <x:c r="J24" s="46"/>
    </x:row>
    <x:row r="25">
      <x:c r="A25" s="46"/>
      <x:c r="B25" s="46"/>
      <x:c r="C25" s="46"/>
      <x:c r="D25" s="46"/>
      <x:c r="E25" s="46"/>
      <x:c r="F25" s="46"/>
      <x:c r="G25" s="46"/>
      <x:c r="H25" s="46"/>
      <x:c r="I25" s="46"/>
      <x:c r="J25" s="46"/>
    </x:row>
    <x:row r="26">
      <x:c r="A26" s="46"/>
      <x:c r="B26" s="46"/>
      <x:c r="C26" s="46"/>
      <x:c r="D26" s="46"/>
      <x:c r="E26" s="46"/>
      <x:c r="F26" s="46"/>
      <x:c r="G26" s="46"/>
      <x:c r="H26" s="46"/>
      <x:c r="I26" s="46"/>
      <x:c r="J26" s="46"/>
    </x:row>
    <x:row r="27">
      <x:c r="A27" s="46"/>
      <x:c r="B27" s="46"/>
      <x:c r="C27" s="46"/>
      <x:c r="D27" s="46"/>
      <x:c r="E27" s="46"/>
      <x:c r="F27" s="46"/>
      <x:c r="G27" s="46"/>
      <x:c r="H27" s="46"/>
      <x:c r="I27" s="46"/>
      <x:c r="J27" s="46"/>
    </x:row>
    <x:row r="28">
      <x:c r="A28" s="46"/>
      <x:c r="B28" s="46"/>
      <x:c r="C28" s="46"/>
      <x:c r="D28" s="46"/>
      <x:c r="E28" s="46"/>
      <x:c r="F28" s="46"/>
      <x:c r="G28" s="46"/>
      <x:c r="H28" s="46"/>
      <x:c r="I28" s="46"/>
      <x:c r="J28" s="46"/>
    </x:row>
    <x:row r="29">
      <x:c r="A29" s="46"/>
      <x:c r="B29" s="46"/>
      <x:c r="C29" s="46"/>
      <x:c r="D29" s="46"/>
      <x:c r="E29" s="46"/>
      <x:c r="F29" s="46"/>
      <x:c r="G29" s="46"/>
      <x:c r="H29" s="46"/>
      <x:c r="I29" s="46"/>
      <x:c r="J29" s="46"/>
    </x:row>
    <x:row r="30">
      <x:c r="A30" s="46"/>
      <x:c r="B30" s="46"/>
      <x:c r="C30" s="46"/>
      <x:c r="D30" s="46"/>
      <x:c r="E30" s="46"/>
      <x:c r="F30" s="46"/>
      <x:c r="G30" s="46"/>
      <x:c r="H30" s="46"/>
      <x:c r="I30" s="46"/>
      <x:c r="J30" s="46"/>
    </x:row>
    <x:row r="31">
      <x:c r="A31" s="46"/>
      <x:c r="B31" s="46"/>
      <x:c r="C31" s="46"/>
      <x:c r="D31" s="46"/>
      <x:c r="E31" s="46"/>
      <x:c r="F31" s="46"/>
      <x:c r="G31" s="46"/>
      <x:c r="H31" s="46"/>
      <x:c r="I31" s="46"/>
      <x:c r="J31" s="46"/>
    </x:row>
    <x:row r="32">
      <x:c r="A32" s="46"/>
      <x:c r="B32" s="46"/>
      <x:c r="C32" s="46"/>
      <x:c r="D32" s="46"/>
      <x:c r="E32" s="46"/>
      <x:c r="F32" s="46"/>
      <x:c r="G32" s="46"/>
      <x:c r="H32" s="46"/>
      <x:c r="I32" s="46"/>
      <x:c r="J32" s="46"/>
    </x:row>
    <x:row r="33">
      <x:c r="A33" s="46"/>
      <x:c r="B33" s="46"/>
      <x:c r="C33" s="46"/>
      <x:c r="D33" s="46"/>
      <x:c r="E33" s="46"/>
      <x:c r="F33" s="46"/>
      <x:c r="G33" s="46"/>
      <x:c r="H33" s="46"/>
      <x:c r="I33" s="46"/>
      <x:c r="J33" s="46"/>
    </x:row>
    <x:row r="34">
      <x:c r="A34" s="46"/>
      <x:c r="B34" s="46"/>
      <x:c r="C34" s="46"/>
      <x:c r="D34" s="46"/>
      <x:c r="E34" s="46"/>
      <x:c r="F34" s="46"/>
      <x:c r="G34" s="46"/>
      <x:c r="H34" s="46"/>
      <x:c r="I34" s="46"/>
      <x:c r="J34" s="46"/>
    </x:row>
    <x:row r="35">
      <x:c r="A35" s="46"/>
      <x:c r="B35" s="46"/>
      <x:c r="C35" s="46"/>
      <x:c r="D35" s="46"/>
      <x:c r="E35" s="46"/>
      <x:c r="F35" s="46"/>
      <x:c r="G35" s="46"/>
      <x:c r="H35" s="46"/>
      <x:c r="I35" s="46"/>
      <x:c r="J35" s="46"/>
    </x:row>
    <x:row r="36">
      <x:c r="A36" s="46"/>
      <x:c r="B36" s="46"/>
      <x:c r="C36" s="46"/>
      <x:c r="D36" s="46"/>
      <x:c r="E36" s="46"/>
      <x:c r="F36" s="46"/>
      <x:c r="G36" s="46"/>
      <x:c r="H36" s="46"/>
      <x:c r="I36" s="46"/>
      <x:c r="J36" s="46"/>
    </x:row>
    <x:row r="37">
      <x:c r="A37" s="46"/>
      <x:c r="B37" s="46"/>
      <x:c r="C37" s="46"/>
      <x:c r="D37" s="46"/>
      <x:c r="E37" s="46"/>
      <x:c r="F37" s="46"/>
      <x:c r="G37" s="46"/>
      <x:c r="H37" s="46"/>
      <x:c r="I37" s="46"/>
      <x:c r="J37" s="46"/>
    </x:row>
    <x:row r="38">
      <x:c r="A38" s="46"/>
      <x:c r="B38" s="46"/>
      <x:c r="C38" s="46"/>
      <x:c r="D38" s="46"/>
      <x:c r="E38" s="46"/>
      <x:c r="F38" s="46"/>
      <x:c r="G38" s="46"/>
      <x:c r="H38" s="46"/>
      <x:c r="I38" s="46"/>
      <x:c r="J38" s="46"/>
    </x:row>
    <x:row r="39">
      <x:c r="A39" s="46"/>
      <x:c r="B39" s="46"/>
      <x:c r="C39" s="46"/>
      <x:c r="D39" s="46"/>
      <x:c r="E39" s="46"/>
      <x:c r="F39" s="46"/>
      <x:c r="G39" s="46"/>
      <x:c r="H39" s="46"/>
      <x:c r="I39" s="46"/>
      <x:c r="J39" s="46"/>
    </x:row>
    <x:row r="40">
      <x:c r="A40" s="46"/>
      <x:c r="B40" s="46"/>
      <x:c r="C40" s="46"/>
      <x:c r="D40" s="46"/>
      <x:c r="E40" s="46"/>
      <x:c r="F40" s="46"/>
      <x:c r="G40" s="46"/>
      <x:c r="H40" s="46"/>
      <x:c r="I40" s="46"/>
      <x:c r="J40" s="46"/>
    </x:row>
    <x:row r="41">
      <x:c r="A41" s="46"/>
      <x:c r="B41" s="46"/>
      <x:c r="C41" s="46"/>
      <x:c r="D41" s="46"/>
      <x:c r="E41" s="46"/>
      <x:c r="F41" s="46"/>
      <x:c r="G41" s="46"/>
      <x:c r="H41" s="46"/>
      <x:c r="I41" s="46"/>
      <x:c r="J41" s="46"/>
    </x:row>
    <x:row r="42">
      <x:c r="A42" s="46"/>
      <x:c r="B42" s="46"/>
      <x:c r="C42" s="46"/>
      <x:c r="D42" s="46"/>
      <x:c r="E42" s="46"/>
      <x:c r="F42" s="46"/>
      <x:c r="G42" s="46"/>
      <x:c r="H42" s="46"/>
      <x:c r="I42" s="46"/>
      <x:c r="J42" s="46"/>
    </x:row>
    <x:row r="43">
      <x:c r="A43" s="46"/>
      <x:c r="B43" s="46"/>
      <x:c r="C43" s="46"/>
      <x:c r="D43" s="46"/>
      <x:c r="E43" s="46"/>
      <x:c r="F43" s="46"/>
      <x:c r="G43" s="46"/>
      <x:c r="H43" s="46"/>
      <x:c r="I43" s="46"/>
      <x:c r="J43" s="46"/>
    </x:row>
    <x:row r="44">
      <x:c r="A44" s="46"/>
      <x:c r="B44" s="46"/>
      <x:c r="C44" s="46"/>
      <x:c r="D44" s="46"/>
      <x:c r="E44" s="46"/>
      <x:c r="F44" s="46"/>
      <x:c r="G44" s="46"/>
      <x:c r="H44" s="46"/>
      <x:c r="I44" s="46"/>
      <x:c r="J44" s="46"/>
    </x:row>
    <x:row r="45">
      <x:c r="A45" s="46"/>
      <x:c r="B45" s="46"/>
      <x:c r="C45" s="46"/>
      <x:c r="D45" s="46"/>
      <x:c r="E45" s="46"/>
      <x:c r="F45" s="46"/>
      <x:c r="G45" s="46"/>
      <x:c r="H45" s="46"/>
      <x:c r="I45" s="46"/>
      <x:c r="J45" s="46"/>
    </x:row>
    <x:row r="46">
      <x:c r="A46" s="46"/>
      <x:c r="B46" s="46"/>
      <x:c r="C46" s="46"/>
      <x:c r="D46" s="46"/>
      <x:c r="E46" s="46"/>
      <x:c r="F46" s="46"/>
      <x:c r="G46" s="46"/>
      <x:c r="H46" s="46"/>
      <x:c r="I46" s="46"/>
      <x:c r="J46" s="46"/>
    </x:row>
    <x:row r="47">
      <x:c r="A47" s="46"/>
      <x:c r="B47" s="46"/>
      <x:c r="C47" s="46"/>
      <x:c r="D47" s="46"/>
      <x:c r="E47" s="46"/>
      <x:c r="F47" s="46"/>
      <x:c r="G47" s="46"/>
      <x:c r="H47" s="46"/>
      <x:c r="I47" s="46"/>
      <x:c r="J47" s="46"/>
    </x:row>
    <x:row r="48">
      <x:c r="A48" s="46"/>
      <x:c r="B48" s="46"/>
      <x:c r="C48" s="46"/>
      <x:c r="D48" s="46"/>
      <x:c r="E48" s="46"/>
      <x:c r="F48" s="46"/>
      <x:c r="G48" s="46"/>
      <x:c r="H48" s="46"/>
      <x:c r="I48" s="46"/>
      <x:c r="J48" s="46"/>
    </x:row>
    <x:row r="49">
      <x:c r="A49" s="46"/>
      <x:c r="B49" s="46"/>
      <x:c r="C49" s="46"/>
      <x:c r="D49" s="46"/>
      <x:c r="E49" s="46"/>
      <x:c r="F49" s="46"/>
      <x:c r="G49" s="46"/>
      <x:c r="H49" s="46"/>
      <x:c r="I49" s="46"/>
      <x:c r="J49" s="46"/>
    </x:row>
    <x:row r="50">
      <x:c r="A50" s="46"/>
      <x:c r="B50" s="46"/>
      <x:c r="C50" s="46"/>
      <x:c r="D50" s="46"/>
      <x:c r="E50" s="46"/>
      <x:c r="F50" s="46"/>
      <x:c r="G50" s="46"/>
      <x:c r="H50" s="46"/>
      <x:c r="I50" s="46"/>
      <x:c r="J50" s="46"/>
    </x:row>
    <x:row r="51">
      <x:c r="A51" s="46"/>
      <x:c r="B51" s="46"/>
      <x:c r="C51" s="46"/>
      <x:c r="D51" s="46"/>
      <x:c r="E51" s="46"/>
      <x:c r="F51" s="46"/>
      <x:c r="G51" s="46"/>
      <x:c r="H51" s="46"/>
      <x:c r="I51" s="46"/>
      <x:c r="J51" s="46"/>
    </x:row>
    <x:row r="52">
      <x:c r="A52" s="46"/>
      <x:c r="B52" s="46"/>
      <x:c r="C52" s="46"/>
      <x:c r="D52" s="46"/>
      <x:c r="E52" s="46"/>
      <x:c r="F52" s="46"/>
      <x:c r="G52" s="46"/>
      <x:c r="H52" s="46"/>
      <x:c r="I52" s="46"/>
      <x:c r="J52" s="46"/>
    </x:row>
    <x:row r="53">
      <x:c r="A53" s="46"/>
      <x:c r="B53" s="46"/>
      <x:c r="C53" s="46"/>
      <x:c r="D53" s="46"/>
      <x:c r="E53" s="46"/>
      <x:c r="F53" s="46"/>
      <x:c r="G53" s="46"/>
      <x:c r="H53" s="46"/>
      <x:c r="I53" s="46"/>
      <x:c r="J53" s="46"/>
    </x:row>
    <x:row r="54">
      <x:c r="A54" s="46"/>
      <x:c r="B54" s="46"/>
      <x:c r="C54" s="46"/>
      <x:c r="D54" s="46"/>
      <x:c r="E54" s="46"/>
      <x:c r="F54" s="46"/>
      <x:c r="G54" s="46"/>
      <x:c r="H54" s="46"/>
      <x:c r="I54" s="46"/>
      <x:c r="J54" s="46"/>
    </x:row>
    <x:row r="55">
      <x:c r="A55" s="46"/>
      <x:c r="B55" s="46"/>
      <x:c r="C55" s="46"/>
      <x:c r="D55" s="46"/>
      <x:c r="E55" s="46"/>
      <x:c r="F55" s="46"/>
      <x:c r="G55" s="46"/>
      <x:c r="H55" s="46"/>
      <x:c r="I55" s="46"/>
      <x:c r="J55" s="46"/>
    </x:row>
    <x:row r="56">
      <x:c r="A56" s="46"/>
      <x:c r="B56" s="46"/>
      <x:c r="C56" s="46"/>
      <x:c r="D56" s="46"/>
      <x:c r="E56" s="46"/>
      <x:c r="F56" s="46"/>
      <x:c r="G56" s="46"/>
      <x:c r="H56" s="46"/>
      <x:c r="I56" s="46"/>
      <x:c r="J56" s="46"/>
    </x:row>
    <x:row r="57">
      <x:c r="A57" s="46"/>
      <x:c r="B57" s="46"/>
      <x:c r="C57" s="46"/>
      <x:c r="D57" s="46"/>
      <x:c r="E57" s="46"/>
      <x:c r="F57" s="46"/>
      <x:c r="G57" s="46"/>
      <x:c r="H57" s="46"/>
      <x:c r="I57" s="46"/>
      <x:c r="J57" s="46"/>
    </x:row>
    <x:row r="58">
      <x:c r="A58" s="46"/>
      <x:c r="B58" s="46"/>
      <x:c r="C58" s="46"/>
      <x:c r="D58" s="46"/>
      <x:c r="E58" s="46"/>
      <x:c r="F58" s="46"/>
      <x:c r="G58" s="46"/>
      <x:c r="H58" s="46"/>
      <x:c r="I58" s="46"/>
      <x:c r="J58" s="46"/>
    </x:row>
    <x:row r="59">
      <x:c r="A59" s="46"/>
      <x:c r="B59" s="46"/>
      <x:c r="C59" s="46"/>
      <x:c r="D59" s="46"/>
      <x:c r="E59" s="46"/>
      <x:c r="F59" s="46"/>
      <x:c r="G59" s="46"/>
      <x:c r="H59" s="46"/>
      <x:c r="I59" s="46"/>
      <x:c r="J59" s="46"/>
    </x:row>
    <x:row r="60">
      <x:c r="A60" s="46"/>
      <x:c r="B60" s="46"/>
      <x:c r="C60" s="46"/>
      <x:c r="D60" s="46"/>
      <x:c r="E60" s="46"/>
      <x:c r="F60" s="46"/>
      <x:c r="G60" s="46"/>
      <x:c r="H60" s="46"/>
      <x:c r="I60" s="46"/>
      <x:c r="J60" s="46"/>
    </x:row>
    <x:row r="61">
      <x:c r="A61" s="46"/>
      <x:c r="B61" s="46"/>
      <x:c r="C61" s="46"/>
      <x:c r="D61" s="46"/>
      <x:c r="E61" s="46"/>
      <x:c r="F61" s="46"/>
      <x:c r="G61" s="46"/>
      <x:c r="H61" s="46"/>
      <x:c r="I61" s="46"/>
      <x:c r="J61" s="46"/>
    </x:row>
    <x:row r="62">
      <x:c r="A62" s="46"/>
      <x:c r="B62" s="46"/>
      <x:c r="C62" s="46"/>
      <x:c r="D62" s="46"/>
      <x:c r="E62" s="46"/>
      <x:c r="F62" s="46"/>
      <x:c r="G62" s="46"/>
      <x:c r="H62" s="46"/>
      <x:c r="I62" s="46"/>
      <x:c r="J62" s="46"/>
    </x:row>
    <x:row r="63">
      <x:c r="A63" s="46"/>
      <x:c r="B63" s="46"/>
      <x:c r="C63" s="46"/>
      <x:c r="D63" s="46"/>
      <x:c r="E63" s="46"/>
      <x:c r="F63" s="46"/>
      <x:c r="G63" s="46"/>
      <x:c r="H63" s="46"/>
      <x:c r="I63" s="46"/>
      <x:c r="J63" s="46"/>
    </x:row>
    <x:row r="64">
      <x:c r="A64" s="46"/>
      <x:c r="B64" s="46"/>
      <x:c r="C64" s="46"/>
      <x:c r="D64" s="46"/>
      <x:c r="E64" s="46"/>
      <x:c r="F64" s="46"/>
      <x:c r="G64" s="46"/>
      <x:c r="H64" s="46"/>
      <x:c r="I64" s="46"/>
      <x:c r="J64" s="46"/>
    </x:row>
    <x:row r="65">
      <x:c r="A65" s="46"/>
      <x:c r="B65" s="46"/>
      <x:c r="C65" s="46"/>
      <x:c r="D65" s="46"/>
      <x:c r="E65" s="46"/>
      <x:c r="F65" s="46"/>
      <x:c r="G65" s="46"/>
      <x:c r="H65" s="46"/>
      <x:c r="I65" s="46"/>
      <x:c r="J65" s="46"/>
    </x:row>
    <x:row r="66">
      <x:c r="A66" s="46"/>
      <x:c r="B66" s="46"/>
      <x:c r="C66" s="46"/>
      <x:c r="D66" s="46"/>
      <x:c r="E66" s="46"/>
      <x:c r="F66" s="46"/>
      <x:c r="G66" s="46"/>
      <x:c r="H66" s="46"/>
      <x:c r="I66" s="46"/>
      <x:c r="J66" s="46"/>
    </x:row>
    <x:row r="67">
      <x:c r="A67" s="46"/>
      <x:c r="B67" s="46"/>
      <x:c r="C67" s="46"/>
      <x:c r="D67" s="46"/>
      <x:c r="E67" s="46"/>
      <x:c r="F67" s="46"/>
      <x:c r="G67" s="46"/>
      <x:c r="H67" s="46"/>
      <x:c r="I67" s="46"/>
      <x:c r="J67" s="46"/>
    </x:row>
    <x:row r="68">
      <x:c r="A68" s="46"/>
      <x:c r="B68" s="46"/>
      <x:c r="C68" s="46"/>
      <x:c r="D68" s="46"/>
      <x:c r="E68" s="46"/>
      <x:c r="F68" s="46"/>
      <x:c r="G68" s="46"/>
      <x:c r="H68" s="46"/>
      <x:c r="I68" s="46"/>
      <x:c r="J68" s="46"/>
    </x:row>
    <x:row r="69">
      <x:c r="A69" s="46"/>
      <x:c r="B69" s="46"/>
      <x:c r="C69" s="46"/>
      <x:c r="D69" s="46"/>
      <x:c r="E69" s="46"/>
      <x:c r="F69" s="46"/>
      <x:c r="G69" s="46"/>
      <x:c r="H69" s="46"/>
      <x:c r="I69" s="46"/>
      <x:c r="J69" s="46"/>
    </x:row>
    <x:row r="70">
      <x:c r="A70" s="46"/>
      <x:c r="B70" s="46"/>
      <x:c r="C70" s="46"/>
      <x:c r="D70" s="46"/>
      <x:c r="E70" s="46"/>
      <x:c r="F70" s="46"/>
      <x:c r="G70" s="46"/>
      <x:c r="H70" s="46"/>
      <x:c r="I70" s="46"/>
      <x:c r="J70" s="46"/>
    </x:row>
    <x:row r="71">
      <x:c r="A71" s="46"/>
      <x:c r="B71" s="46"/>
      <x:c r="C71" s="46"/>
      <x:c r="D71" s="46"/>
      <x:c r="E71" s="46"/>
      <x:c r="F71" s="46"/>
      <x:c r="G71" s="46"/>
      <x:c r="H71" s="46"/>
      <x:c r="I71" s="46"/>
      <x:c r="J71" s="46"/>
    </x:row>
    <x:row r="72">
      <x:c r="A72" s="46"/>
      <x:c r="B72" s="46"/>
      <x:c r="C72" s="46"/>
      <x:c r="D72" s="46"/>
      <x:c r="E72" s="46"/>
      <x:c r="F72" s="46"/>
      <x:c r="G72" s="46"/>
      <x:c r="H72" s="46"/>
      <x:c r="I72" s="46"/>
      <x:c r="J72" s="46"/>
    </x:row>
    <x:row r="73">
      <x:c r="A73" s="46"/>
      <x:c r="B73" s="46"/>
      <x:c r="C73" s="46"/>
      <x:c r="D73" s="46"/>
      <x:c r="E73" s="46"/>
      <x:c r="F73" s="46"/>
      <x:c r="G73" s="46"/>
      <x:c r="H73" s="46"/>
      <x:c r="I73" s="46"/>
      <x:c r="J73" s="46"/>
    </x:row>
    <x:row r="74">
      <x:c r="A74" s="46"/>
      <x:c r="B74" s="46"/>
      <x:c r="C74" s="46"/>
      <x:c r="D74" s="46"/>
      <x:c r="E74" s="46"/>
      <x:c r="F74" s="46"/>
      <x:c r="G74" s="46"/>
      <x:c r="H74" s="46"/>
      <x:c r="I74" s="46"/>
      <x:c r="J74" s="46"/>
    </x:row>
    <x:row r="75">
      <x:c r="A75" s="46"/>
      <x:c r="B75" s="46"/>
      <x:c r="C75" s="46"/>
      <x:c r="D75" s="46"/>
      <x:c r="E75" s="46"/>
      <x:c r="F75" s="46"/>
      <x:c r="G75" s="46"/>
      <x:c r="H75" s="46"/>
      <x:c r="I75" s="46"/>
      <x:c r="J75" s="46"/>
    </x:row>
    <x:row r="76">
      <x:c r="A76" s="46"/>
      <x:c r="B76" s="46"/>
      <x:c r="C76" s="46"/>
      <x:c r="D76" s="46"/>
      <x:c r="E76" s="46"/>
      <x:c r="F76" s="46"/>
      <x:c r="G76" s="46"/>
      <x:c r="H76" s="46"/>
      <x:c r="I76" s="46"/>
      <x:c r="J76" s="46"/>
    </x:row>
    <x:row r="77">
      <x:c r="A77" s="46"/>
      <x:c r="B77" s="46"/>
      <x:c r="C77" s="46"/>
      <x:c r="D77" s="46"/>
      <x:c r="E77" s="46"/>
      <x:c r="F77" s="46"/>
      <x:c r="G77" s="46"/>
      <x:c r="H77" s="46"/>
      <x:c r="I77" s="46"/>
      <x:c r="J77" s="46"/>
    </x:row>
    <x:row r="78">
      <x:c r="A78" s="46"/>
      <x:c r="B78" s="46"/>
      <x:c r="C78" s="46"/>
      <x:c r="D78" s="46"/>
      <x:c r="E78" s="46"/>
      <x:c r="F78" s="46"/>
      <x:c r="G78" s="46"/>
      <x:c r="H78" s="46"/>
      <x:c r="I78" s="46"/>
      <x:c r="J78" s="46"/>
    </x:row>
    <x:row r="79">
      <x:c r="A79" s="46"/>
      <x:c r="B79" s="46"/>
      <x:c r="C79" s="46"/>
      <x:c r="D79" s="46"/>
      <x:c r="E79" s="46"/>
      <x:c r="F79" s="46"/>
      <x:c r="G79" s="46"/>
      <x:c r="H79" s="46"/>
      <x:c r="I79" s="46"/>
      <x:c r="J79" s="46"/>
    </x:row>
    <x:row r="80">
      <x:c r="A80" s="46"/>
      <x:c r="B80" s="46"/>
      <x:c r="C80" s="46"/>
      <x:c r="D80" s="46"/>
      <x:c r="E80" s="46"/>
      <x:c r="F80" s="46"/>
      <x:c r="G80" s="46"/>
      <x:c r="H80" s="46"/>
      <x:c r="I80" s="46"/>
      <x:c r="J80" s="46"/>
    </x:row>
    <x:row r="81">
      <x:c r="A81" s="46"/>
      <x:c r="B81" s="46"/>
      <x:c r="C81" s="46"/>
      <x:c r="D81" s="46"/>
      <x:c r="E81" s="46"/>
      <x:c r="F81" s="46"/>
      <x:c r="G81" s="46"/>
      <x:c r="H81" s="46"/>
      <x:c r="I81" s="46"/>
      <x:c r="J81" s="46"/>
    </x:row>
    <x:row r="82">
      <x:c r="A82" s="46"/>
      <x:c r="B82" s="46"/>
      <x:c r="C82" s="46"/>
      <x:c r="D82" s="46"/>
      <x:c r="E82" s="46"/>
      <x:c r="F82" s="46"/>
      <x:c r="G82" s="46"/>
      <x:c r="H82" s="46"/>
      <x:c r="I82" s="46"/>
      <x:c r="J82" s="46"/>
    </x:row>
    <x:row r="83">
      <x:c r="A83" s="46"/>
      <x:c r="B83" s="46"/>
      <x:c r="C83" s="46"/>
      <x:c r="D83" s="46"/>
      <x:c r="E83" s="46"/>
      <x:c r="F83" s="46"/>
      <x:c r="G83" s="46"/>
      <x:c r="H83" s="46"/>
      <x:c r="I83" s="46"/>
      <x:c r="J83" s="46"/>
    </x:row>
    <x:row r="84">
      <x:c r="A84" s="46"/>
      <x:c r="B84" s="46"/>
      <x:c r="C84" s="46"/>
      <x:c r="D84" s="46"/>
      <x:c r="E84" s="46"/>
      <x:c r="F84" s="46"/>
      <x:c r="G84" s="46"/>
      <x:c r="H84" s="46"/>
      <x:c r="I84" s="46"/>
      <x:c r="J84" s="46"/>
    </x:row>
    <x:row r="85">
      <x:c r="A85" s="46"/>
      <x:c r="B85" s="46"/>
      <x:c r="C85" s="46"/>
      <x:c r="D85" s="46"/>
      <x:c r="E85" s="46"/>
      <x:c r="F85" s="46"/>
      <x:c r="G85" s="46"/>
      <x:c r="H85" s="46"/>
      <x:c r="I85" s="46"/>
      <x:c r="J85" s="46"/>
    </x:row>
    <x:row r="86">
      <x:c r="A86" s="46"/>
      <x:c r="B86" s="46"/>
      <x:c r="C86" s="46"/>
      <x:c r="D86" s="46"/>
      <x:c r="E86" s="46"/>
      <x:c r="F86" s="46"/>
      <x:c r="G86" s="46"/>
      <x:c r="H86" s="46"/>
      <x:c r="I86" s="46"/>
      <x:c r="J86" s="46"/>
    </x:row>
    <x:row r="87">
      <x:c r="A87" s="46"/>
      <x:c r="B87" s="46"/>
      <x:c r="C87" s="46"/>
      <x:c r="D87" s="46"/>
      <x:c r="E87" s="46"/>
      <x:c r="F87" s="46"/>
      <x:c r="G87" s="46"/>
      <x:c r="H87" s="46"/>
      <x:c r="I87" s="46"/>
      <x:c r="J87" s="46"/>
    </x:row>
    <x:row r="88">
      <x:c r="A88" s="46"/>
      <x:c r="B88" s="46"/>
      <x:c r="C88" s="46"/>
      <x:c r="D88" s="46"/>
      <x:c r="E88" s="46"/>
      <x:c r="F88" s="46"/>
      <x:c r="G88" s="46"/>
      <x:c r="H88" s="46"/>
      <x:c r="I88" s="46"/>
      <x:c r="J88" s="46"/>
    </x:row>
    <x:row r="89">
      <x:c r="A89" s="46"/>
      <x:c r="B89" s="46"/>
      <x:c r="C89" s="46"/>
      <x:c r="D89" s="46"/>
      <x:c r="E89" s="46"/>
      <x:c r="F89" s="46"/>
      <x:c r="G89" s="46"/>
      <x:c r="H89" s="46"/>
      <x:c r="I89" s="46"/>
      <x:c r="J89" s="46"/>
    </x:row>
    <x:row r="90">
      <x:c r="A90" s="46"/>
      <x:c r="B90" s="46"/>
      <x:c r="C90" s="46"/>
      <x:c r="D90" s="46"/>
      <x:c r="E90" s="46"/>
      <x:c r="F90" s="46"/>
      <x:c r="G90" s="46"/>
      <x:c r="H90" s="46"/>
      <x:c r="I90" s="46"/>
      <x:c r="J90" s="46"/>
    </x:row>
    <x:row r="91">
      <x:c r="A91" s="46"/>
      <x:c r="B91" s="46"/>
      <x:c r="C91" s="46"/>
      <x:c r="D91" s="46"/>
      <x:c r="E91" s="46"/>
      <x:c r="F91" s="46"/>
      <x:c r="G91" s="46"/>
      <x:c r="H91" s="46"/>
      <x:c r="I91" s="46"/>
      <x:c r="J91" s="46"/>
    </x:row>
    <x:row r="92">
      <x:c r="A92" s="46"/>
      <x:c r="B92" s="46"/>
      <x:c r="C92" s="46"/>
      <x:c r="D92" s="46"/>
      <x:c r="E92" s="46"/>
      <x:c r="F92" s="46"/>
      <x:c r="G92" s="46"/>
      <x:c r="H92" s="46"/>
      <x:c r="I92" s="46"/>
      <x:c r="J92" s="46"/>
    </x:row>
    <x:row r="93">
      <x:c r="A93" s="46"/>
      <x:c r="B93" s="46"/>
      <x:c r="C93" s="46"/>
      <x:c r="D93" s="46"/>
      <x:c r="E93" s="46"/>
      <x:c r="F93" s="46"/>
      <x:c r="G93" s="46"/>
      <x:c r="H93" s="46"/>
      <x:c r="I93" s="46"/>
      <x:c r="J93" s="46"/>
    </x:row>
    <x:row r="94">
      <x:c r="A94" s="46"/>
      <x:c r="B94" s="46"/>
      <x:c r="C94" s="46"/>
      <x:c r="D94" s="46"/>
      <x:c r="E94" s="46"/>
      <x:c r="F94" s="46"/>
      <x:c r="G94" s="46"/>
      <x:c r="H94" s="46"/>
      <x:c r="I94" s="46"/>
      <x:c r="J94" s="46"/>
    </x:row>
    <x:row r="95">
      <x:c r="A95" s="46"/>
      <x:c r="B95" s="46"/>
      <x:c r="C95" s="46"/>
      <x:c r="D95" s="46"/>
      <x:c r="E95" s="46"/>
      <x:c r="F95" s="46"/>
      <x:c r="G95" s="46"/>
      <x:c r="H95" s="46"/>
      <x:c r="I95" s="46"/>
      <x:c r="J95" s="46"/>
    </x:row>
    <x:row r="96">
      <x:c r="A96" s="46"/>
      <x:c r="B96" s="46"/>
      <x:c r="C96" s="46"/>
      <x:c r="D96" s="46"/>
      <x:c r="E96" s="46"/>
      <x:c r="F96" s="46"/>
      <x:c r="G96" s="46"/>
      <x:c r="H96" s="46"/>
      <x:c r="I96" s="46"/>
      <x:c r="J96" s="46"/>
    </x:row>
    <x:row r="97">
      <x:c r="A97" s="46"/>
      <x:c r="B97" s="46"/>
      <x:c r="C97" s="46"/>
      <x:c r="D97" s="46"/>
      <x:c r="E97" s="46"/>
      <x:c r="F97" s="46"/>
      <x:c r="G97" s="46"/>
      <x:c r="H97" s="46"/>
      <x:c r="I97" s="46"/>
      <x:c r="J97" s="46"/>
    </x:row>
    <x:row r="98">
      <x:c r="A98" s="46"/>
      <x:c r="B98" s="46"/>
      <x:c r="C98" s="46"/>
      <x:c r="D98" s="46"/>
      <x:c r="E98" s="46"/>
      <x:c r="F98" s="46"/>
      <x:c r="G98" s="46"/>
      <x:c r="H98" s="46"/>
      <x:c r="I98" s="46"/>
      <x:c r="J98" s="46"/>
    </x:row>
    <x:row r="99">
      <x:c r="A99" s="46"/>
      <x:c r="B99" s="46"/>
      <x:c r="C99" s="46"/>
      <x:c r="D99" s="46"/>
      <x:c r="E99" s="46"/>
      <x:c r="F99" s="46"/>
      <x:c r="G99" s="46"/>
      <x:c r="H99" s="46"/>
      <x:c r="I99" s="46"/>
      <x:c r="J99" s="46"/>
    </x:row>
    <x:row r="100">
      <x:c r="A100" s="46"/>
      <x:c r="B100" s="46"/>
      <x:c r="C100" s="46"/>
      <x:c r="D100" s="46"/>
      <x:c r="E100" s="46"/>
      <x:c r="F100" s="46"/>
      <x:c r="G100" s="46"/>
      <x:c r="H100" s="46"/>
      <x:c r="I100" s="46"/>
      <x:c r="J100" s="46"/>
    </x:row>
    <x:row r="101">
      <x:c r="A101" s="46"/>
      <x:c r="B101" s="46"/>
      <x:c r="C101" s="46"/>
      <x:c r="D101" s="46"/>
      <x:c r="E101" s="46"/>
      <x:c r="F101" s="46"/>
      <x:c r="G101" s="46"/>
      <x:c r="H101" s="46"/>
      <x:c r="I101" s="46"/>
      <x:c r="J101" s="46"/>
    </x:row>
    <x:row r="102">
      <x:c r="A102" s="46"/>
      <x:c r="B102" s="46"/>
      <x:c r="C102" s="46"/>
      <x:c r="D102" s="46"/>
      <x:c r="E102" s="46"/>
      <x:c r="F102" s="46"/>
      <x:c r="G102" s="46"/>
      <x:c r="H102" s="46"/>
      <x:c r="I102" s="46"/>
      <x:c r="J102" s="46"/>
    </x:row>
    <x:row r="103">
      <x:c r="A103" s="46"/>
      <x:c r="B103" s="46"/>
      <x:c r="C103" s="46"/>
      <x:c r="D103" s="46"/>
      <x:c r="E103" s="46"/>
      <x:c r="F103" s="46"/>
      <x:c r="G103" s="46"/>
      <x:c r="H103" s="46"/>
      <x:c r="I103" s="46"/>
      <x:c r="J103" s="46"/>
    </x:row>
    <x:row r="104">
      <x:c r="A104" s="46"/>
      <x:c r="B104" s="46"/>
      <x:c r="C104" s="46"/>
      <x:c r="D104" s="46"/>
      <x:c r="E104" s="46"/>
      <x:c r="F104" s="46"/>
      <x:c r="G104" s="46"/>
      <x:c r="H104" s="46"/>
      <x:c r="I104" s="46"/>
      <x:c r="J104" s="46"/>
    </x:row>
    <x:row r="105">
      <x:c r="A105" s="46"/>
      <x:c r="B105" s="46"/>
      <x:c r="C105" s="46"/>
      <x:c r="D105" s="46"/>
      <x:c r="E105" s="46"/>
      <x:c r="F105" s="46"/>
      <x:c r="G105" s="46"/>
      <x:c r="H105" s="46"/>
      <x:c r="I105" s="46"/>
      <x:c r="J105" s="46"/>
    </x:row>
    <x:row r="106">
      <x:c r="A106" s="46"/>
      <x:c r="B106" s="46"/>
      <x:c r="C106" s="46"/>
      <x:c r="D106" s="46"/>
      <x:c r="E106" s="46"/>
      <x:c r="F106" s="46"/>
      <x:c r="G106" s="46"/>
      <x:c r="H106" s="46"/>
      <x:c r="I106" s="46"/>
      <x:c r="J106" s="46"/>
    </x:row>
    <x:row r="107">
      <x:c r="A107" s="46"/>
      <x:c r="B107" s="46"/>
      <x:c r="C107" s="46"/>
      <x:c r="D107" s="46"/>
      <x:c r="E107" s="46"/>
      <x:c r="F107" s="46"/>
      <x:c r="G107" s="46"/>
      <x:c r="H107" s="46"/>
      <x:c r="I107" s="46"/>
      <x:c r="J107" s="46"/>
    </x:row>
    <x:row r="108">
      <x:c r="A108" s="46"/>
      <x:c r="B108" s="46"/>
      <x:c r="C108" s="46"/>
      <x:c r="D108" s="46"/>
      <x:c r="E108" s="46"/>
      <x:c r="F108" s="46"/>
      <x:c r="G108" s="46"/>
      <x:c r="H108" s="46"/>
      <x:c r="I108" s="46"/>
      <x:c r="J108" s="46"/>
    </x:row>
    <x:row r="109">
      <x:c r="A109" s="46"/>
      <x:c r="B109" s="46"/>
      <x:c r="C109" s="46"/>
      <x:c r="D109" s="46"/>
      <x:c r="E109" s="46"/>
      <x:c r="F109" s="46"/>
      <x:c r="G109" s="46"/>
      <x:c r="H109" s="46"/>
      <x:c r="I109" s="46"/>
      <x:c r="J109" s="46"/>
    </x:row>
    <x:row r="110">
      <x:c r="A110" s="46"/>
      <x:c r="B110" s="46"/>
      <x:c r="C110" s="46"/>
      <x:c r="D110" s="46"/>
      <x:c r="E110" s="46"/>
      <x:c r="F110" s="46"/>
      <x:c r="G110" s="46"/>
      <x:c r="H110" s="46"/>
      <x:c r="I110" s="46"/>
      <x:c r="J110" s="46"/>
    </x:row>
    <x:row r="111">
      <x:c r="A111" s="46"/>
      <x:c r="B111" s="46"/>
      <x:c r="C111" s="46"/>
      <x:c r="D111" s="46"/>
      <x:c r="E111" s="46"/>
      <x:c r="F111" s="46"/>
      <x:c r="G111" s="46"/>
      <x:c r="H111" s="46"/>
      <x:c r="I111" s="46"/>
      <x:c r="J111" s="46"/>
    </x:row>
    <x:row r="112">
      <x:c r="A112" s="46"/>
      <x:c r="B112" s="46"/>
      <x:c r="C112" s="46"/>
      <x:c r="D112" s="46"/>
      <x:c r="E112" s="46"/>
      <x:c r="F112" s="46"/>
      <x:c r="G112" s="46"/>
      <x:c r="H112" s="46"/>
      <x:c r="I112" s="46"/>
      <x:c r="J112" s="46"/>
    </x:row>
    <x:row r="113">
      <x:c r="A113" s="46"/>
      <x:c r="B113" s="46"/>
      <x:c r="C113" s="46"/>
      <x:c r="D113" s="46"/>
      <x:c r="E113" s="46"/>
      <x:c r="F113" s="46"/>
      <x:c r="G113" s="46"/>
      <x:c r="H113" s="46"/>
      <x:c r="I113" s="46"/>
      <x:c r="J113" s="46"/>
    </x:row>
    <x:row r="114">
      <x:c r="A114" s="46"/>
      <x:c r="B114" s="46"/>
      <x:c r="C114" s="46"/>
      <x:c r="D114" s="46"/>
      <x:c r="E114" s="46"/>
      <x:c r="F114" s="46"/>
      <x:c r="G114" s="46"/>
      <x:c r="H114" s="46"/>
      <x:c r="I114" s="46"/>
      <x:c r="J114" s="46"/>
    </x:row>
    <x:row r="115">
      <x:c r="A115" s="46"/>
      <x:c r="B115" s="46"/>
      <x:c r="C115" s="46"/>
      <x:c r="D115" s="46"/>
      <x:c r="E115" s="46"/>
      <x:c r="F115" s="46"/>
      <x:c r="G115" s="46"/>
      <x:c r="H115" s="46"/>
      <x:c r="I115" s="46"/>
      <x:c r="J115" s="46"/>
    </x:row>
    <x:row r="116">
      <x:c r="A116" s="46"/>
      <x:c r="B116" s="46"/>
      <x:c r="C116" s="46"/>
      <x:c r="D116" s="46"/>
      <x:c r="E116" s="46"/>
      <x:c r="F116" s="46"/>
      <x:c r="G116" s="46"/>
      <x:c r="H116" s="46"/>
      <x:c r="I116" s="46"/>
      <x:c r="J116" s="46"/>
    </x:row>
    <x:row r="117">
      <x:c r="A117" s="46"/>
      <x:c r="B117" s="46"/>
      <x:c r="C117" s="46"/>
      <x:c r="D117" s="46"/>
      <x:c r="E117" s="46"/>
      <x:c r="F117" s="46"/>
      <x:c r="G117" s="46"/>
      <x:c r="H117" s="46"/>
      <x:c r="I117" s="46"/>
      <x:c r="J117" s="46"/>
    </x:row>
    <x:row r="118">
      <x:c r="A118" s="46"/>
      <x:c r="B118" s="46"/>
      <x:c r="C118" s="46"/>
      <x:c r="D118" s="46"/>
      <x:c r="E118" s="46"/>
      <x:c r="F118" s="46"/>
      <x:c r="G118" s="46"/>
      <x:c r="H118" s="46"/>
      <x:c r="I118" s="46"/>
      <x:c r="J118" s="46"/>
    </x:row>
    <x:row r="119">
      <x:c r="A119" s="46"/>
      <x:c r="B119" s="46"/>
      <x:c r="C119" s="46"/>
      <x:c r="D119" s="46"/>
      <x:c r="E119" s="46"/>
      <x:c r="F119" s="46"/>
      <x:c r="G119" s="46"/>
      <x:c r="H119" s="46"/>
      <x:c r="I119" s="46"/>
      <x:c r="J119" s="46"/>
    </x:row>
    <x:row r="120">
      <x:c r="A120" s="46"/>
      <x:c r="B120" s="46"/>
      <x:c r="C120" s="46"/>
      <x:c r="D120" s="46"/>
      <x:c r="E120" s="46"/>
      <x:c r="F120" s="46"/>
      <x:c r="G120" s="46"/>
      <x:c r="H120" s="46"/>
      <x:c r="I120" s="46"/>
      <x:c r="J120" s="46"/>
    </x:row>
    <x:row r="121">
      <x:c r="A121" s="46"/>
      <x:c r="B121" s="46"/>
      <x:c r="C121" s="46"/>
      <x:c r="D121" s="46"/>
      <x:c r="E121" s="46"/>
      <x:c r="F121" s="46"/>
      <x:c r="G121" s="46"/>
      <x:c r="H121" s="46"/>
      <x:c r="I121" s="46"/>
      <x:c r="J121" s="46"/>
    </x:row>
    <x:row r="122">
      <x:c r="A122" s="46"/>
      <x:c r="B122" s="46"/>
      <x:c r="C122" s="46"/>
      <x:c r="D122" s="46"/>
      <x:c r="E122" s="46"/>
      <x:c r="F122" s="46"/>
      <x:c r="G122" s="46"/>
      <x:c r="H122" s="46"/>
      <x:c r="I122" s="46"/>
      <x:c r="J122" s="46"/>
    </x:row>
    <x:row r="123">
      <x:c r="A123" s="46"/>
      <x:c r="B123" s="46"/>
      <x:c r="C123" s="46"/>
      <x:c r="D123" s="46"/>
      <x:c r="E123" s="46"/>
      <x:c r="F123" s="46"/>
      <x:c r="G123" s="46"/>
      <x:c r="H123" s="46"/>
      <x:c r="I123" s="46"/>
      <x:c r="J123" s="46"/>
    </x:row>
    <x:row r="124">
      <x:c r="A124" s="46"/>
      <x:c r="B124" s="46"/>
      <x:c r="C124" s="46"/>
      <x:c r="D124" s="46"/>
      <x:c r="E124" s="46"/>
      <x:c r="F124" s="46"/>
      <x:c r="G124" s="46"/>
      <x:c r="H124" s="46"/>
      <x:c r="I124" s="46"/>
      <x:c r="J124" s="46"/>
    </x:row>
    <x:row r="125">
      <x:c r="A125" s="46"/>
      <x:c r="B125" s="46"/>
      <x:c r="C125" s="46"/>
      <x:c r="D125" s="46"/>
      <x:c r="E125" s="46"/>
      <x:c r="F125" s="46"/>
      <x:c r="G125" s="46"/>
      <x:c r="H125" s="46"/>
      <x:c r="I125" s="46"/>
      <x:c r="J125" s="46"/>
    </x:row>
    <x:row r="126">
      <x:c r="A126" s="46"/>
      <x:c r="B126" s="46"/>
      <x:c r="C126" s="46"/>
      <x:c r="D126" s="46"/>
      <x:c r="E126" s="46"/>
      <x:c r="F126" s="46"/>
      <x:c r="G126" s="46"/>
      <x:c r="H126" s="46"/>
      <x:c r="I126" s="46"/>
      <x:c r="J126" s="46"/>
    </x:row>
    <x:row r="127">
      <x:c r="A127" s="46"/>
      <x:c r="B127" s="46"/>
      <x:c r="C127" s="46"/>
      <x:c r="D127" s="46"/>
      <x:c r="E127" s="46"/>
      <x:c r="F127" s="46"/>
      <x:c r="G127" s="46"/>
      <x:c r="H127" s="46"/>
      <x:c r="I127" s="46"/>
      <x:c r="J127" s="46"/>
    </x:row>
    <x:row r="128">
      <x:c r="A128" s="46"/>
      <x:c r="B128" s="46"/>
      <x:c r="C128" s="46"/>
      <x:c r="D128" s="46"/>
      <x:c r="E128" s="46"/>
      <x:c r="F128" s="46"/>
      <x:c r="G128" s="46"/>
      <x:c r="H128" s="46"/>
      <x:c r="I128" s="46"/>
      <x:c r="J128" s="46"/>
    </x:row>
    <x:row r="129">
      <x:c r="A129" s="46"/>
      <x:c r="B129" s="46"/>
      <x:c r="C129" s="46"/>
      <x:c r="D129" s="46"/>
      <x:c r="E129" s="46"/>
      <x:c r="F129" s="46"/>
      <x:c r="G129" s="46"/>
      <x:c r="H129" s="46"/>
      <x:c r="I129" s="46"/>
      <x:c r="J129" s="46"/>
    </x:row>
    <x:row r="130">
      <x:c r="A130" s="46"/>
      <x:c r="B130" s="46"/>
      <x:c r="C130" s="46"/>
      <x:c r="D130" s="46"/>
      <x:c r="E130" s="46"/>
      <x:c r="F130" s="46"/>
      <x:c r="G130" s="46"/>
      <x:c r="H130" s="46"/>
      <x:c r="I130" s="46"/>
      <x:c r="J130" s="46"/>
    </x:row>
    <x:row r="131">
      <x:c r="A131" s="46"/>
      <x:c r="B131" s="46"/>
      <x:c r="C131" s="46"/>
      <x:c r="D131" s="46"/>
      <x:c r="E131" s="46"/>
      <x:c r="F131" s="46"/>
      <x:c r="G131" s="46"/>
      <x:c r="H131" s="46"/>
      <x:c r="I131" s="46"/>
      <x:c r="J131" s="46"/>
    </x:row>
    <x:row r="132">
      <x:c r="A132" s="46"/>
      <x:c r="B132" s="46"/>
      <x:c r="C132" s="46"/>
      <x:c r="D132" s="46"/>
      <x:c r="E132" s="46"/>
      <x:c r="F132" s="46"/>
      <x:c r="G132" s="46"/>
      <x:c r="H132" s="46"/>
      <x:c r="I132" s="46"/>
      <x:c r="J132" s="46"/>
    </x:row>
    <x:row r="133">
      <x:c r="A133" s="46"/>
      <x:c r="B133" s="46"/>
      <x:c r="C133" s="46"/>
      <x:c r="D133" s="46"/>
      <x:c r="E133" s="46"/>
      <x:c r="F133" s="46"/>
      <x:c r="G133" s="46"/>
      <x:c r="H133" s="46"/>
      <x:c r="I133" s="46"/>
      <x:c r="J133" s="46"/>
    </x:row>
    <x:row r="134">
      <x:c r="A134" s="46"/>
      <x:c r="B134" s="46"/>
      <x:c r="C134" s="46"/>
      <x:c r="D134" s="46"/>
      <x:c r="E134" s="46"/>
      <x:c r="F134" s="46"/>
      <x:c r="G134" s="46"/>
      <x:c r="H134" s="46"/>
      <x:c r="I134" s="46"/>
      <x:c r="J134" s="46"/>
    </x:row>
    <x:row r="135">
      <x:c r="A135" s="46"/>
      <x:c r="B135" s="46"/>
      <x:c r="C135" s="46"/>
      <x:c r="D135" s="46"/>
      <x:c r="E135" s="46"/>
      <x:c r="F135" s="46"/>
      <x:c r="G135" s="46"/>
      <x:c r="H135" s="46"/>
      <x:c r="I135" s="46"/>
      <x:c r="J135" s="46"/>
    </x:row>
    <x:row r="136">
      <x:c r="A136" s="46"/>
      <x:c r="B136" s="46"/>
      <x:c r="C136" s="46"/>
      <x:c r="D136" s="46"/>
      <x:c r="E136" s="46"/>
      <x:c r="F136" s="46"/>
      <x:c r="G136" s="46"/>
      <x:c r="H136" s="46"/>
      <x:c r="I136" s="46"/>
      <x:c r="J136" s="46"/>
    </x:row>
    <x:row r="137">
      <x:c r="A137" s="46"/>
      <x:c r="B137" s="46"/>
      <x:c r="C137" s="46"/>
      <x:c r="D137" s="46"/>
      <x:c r="E137" s="46"/>
      <x:c r="F137" s="46"/>
      <x:c r="G137" s="46"/>
      <x:c r="H137" s="46"/>
      <x:c r="I137" s="46"/>
      <x:c r="J137" s="46"/>
    </x:row>
    <x:row r="138">
      <x:c r="A138" s="46"/>
      <x:c r="B138" s="46"/>
      <x:c r="C138" s="46"/>
      <x:c r="D138" s="46"/>
      <x:c r="E138" s="46"/>
      <x:c r="F138" s="46"/>
      <x:c r="G138" s="46"/>
      <x:c r="H138" s="46"/>
      <x:c r="I138" s="46"/>
      <x:c r="J138" s="46"/>
    </x:row>
    <x:row r="139">
      <x:c r="A139" s="46"/>
      <x:c r="B139" s="46"/>
      <x:c r="C139" s="46"/>
      <x:c r="D139" s="46"/>
      <x:c r="E139" s="46"/>
      <x:c r="F139" s="46"/>
      <x:c r="G139" s="46"/>
      <x:c r="H139" s="46"/>
      <x:c r="I139" s="46"/>
      <x:c r="J139" s="46"/>
    </x:row>
    <x:row r="140">
      <x:c r="A140" s="46"/>
      <x:c r="B140" s="46"/>
      <x:c r="C140" s="46"/>
      <x:c r="D140" s="46"/>
      <x:c r="E140" s="46"/>
      <x:c r="F140" s="46"/>
      <x:c r="G140" s="46"/>
      <x:c r="H140" s="46"/>
      <x:c r="I140" s="46"/>
      <x:c r="J140" s="46"/>
    </x:row>
    <x:row r="141">
      <x:c r="A141" s="46"/>
      <x:c r="B141" s="46"/>
      <x:c r="C141" s="46"/>
      <x:c r="D141" s="46"/>
      <x:c r="E141" s="46"/>
      <x:c r="F141" s="46"/>
      <x:c r="G141" s="46"/>
      <x:c r="H141" s="46"/>
      <x:c r="I141" s="46"/>
      <x:c r="J141" s="46"/>
    </x:row>
    <x:row r="142">
      <x:c r="A142" s="46"/>
      <x:c r="B142" s="46"/>
      <x:c r="C142" s="46"/>
      <x:c r="D142" s="46"/>
      <x:c r="E142" s="46"/>
      <x:c r="F142" s="46"/>
      <x:c r="G142" s="46"/>
      <x:c r="H142" s="46"/>
      <x:c r="I142" s="46"/>
      <x:c r="J142" s="46"/>
    </x:row>
    <x:row r="143">
      <x:c r="A143" s="46"/>
      <x:c r="B143" s="46"/>
      <x:c r="C143" s="46"/>
      <x:c r="D143" s="46"/>
      <x:c r="E143" s="46"/>
      <x:c r="F143" s="46"/>
      <x:c r="G143" s="46"/>
      <x:c r="H143" s="46"/>
      <x:c r="I143" s="46"/>
      <x:c r="J143" s="46"/>
    </x:row>
    <x:row r="144">
      <x:c r="A144" s="46"/>
      <x:c r="B144" s="46"/>
      <x:c r="C144" s="46"/>
      <x:c r="D144" s="46"/>
      <x:c r="E144" s="46"/>
      <x:c r="F144" s="46"/>
      <x:c r="G144" s="46"/>
      <x:c r="H144" s="46"/>
      <x:c r="I144" s="46"/>
      <x:c r="J144" s="46"/>
    </x:row>
    <x:row r="145">
      <x:c r="A145" s="46"/>
      <x:c r="B145" s="46"/>
      <x:c r="C145" s="46"/>
      <x:c r="D145" s="46"/>
      <x:c r="E145" s="46"/>
      <x:c r="F145" s="46"/>
      <x:c r="G145" s="46"/>
      <x:c r="H145" s="46"/>
      <x:c r="I145" s="46"/>
      <x:c r="J145" s="46"/>
    </x:row>
    <x:row r="146">
      <x:c r="A146" s="46"/>
      <x:c r="B146" s="46"/>
      <x:c r="C146" s="46"/>
      <x:c r="D146" s="46"/>
      <x:c r="E146" s="46"/>
      <x:c r="F146" s="46"/>
      <x:c r="G146" s="46"/>
      <x:c r="H146" s="46"/>
      <x:c r="I146" s="46"/>
      <x:c r="J146" s="46"/>
    </x:row>
    <x:row r="147">
      <x:c r="A147" s="46"/>
      <x:c r="B147" s="46"/>
      <x:c r="C147" s="46"/>
      <x:c r="D147" s="46"/>
      <x:c r="E147" s="46"/>
      <x:c r="F147" s="46"/>
      <x:c r="G147" s="46"/>
      <x:c r="H147" s="46"/>
      <x:c r="I147" s="46"/>
      <x:c r="J147" s="46"/>
    </x:row>
    <x:row r="148">
      <x:c r="A148" s="46"/>
      <x:c r="B148" s="46"/>
      <x:c r="C148" s="46"/>
      <x:c r="D148" s="46"/>
      <x:c r="E148" s="46"/>
      <x:c r="F148" s="46"/>
      <x:c r="G148" s="46"/>
      <x:c r="H148" s="46"/>
      <x:c r="I148" s="46"/>
      <x:c r="J148" s="46"/>
    </x:row>
    <x:row r="149">
      <x:c r="A149" s="46"/>
      <x:c r="B149" s="46"/>
      <x:c r="C149" s="46"/>
      <x:c r="D149" s="46"/>
      <x:c r="E149" s="46"/>
      <x:c r="F149" s="46"/>
      <x:c r="G149" s="46"/>
      <x:c r="H149" s="46"/>
      <x:c r="I149" s="46"/>
      <x:c r="J149" s="46"/>
    </x:row>
    <x:row r="150">
      <x:c r="A150" s="46"/>
      <x:c r="B150" s="46"/>
      <x:c r="C150" s="46"/>
      <x:c r="D150" s="46"/>
      <x:c r="E150" s="46"/>
      <x:c r="F150" s="46"/>
      <x:c r="G150" s="46"/>
      <x:c r="H150" s="46"/>
      <x:c r="I150" s="46"/>
      <x:c r="J150" s="46"/>
    </x:row>
    <x:row r="151">
      <x:c r="A151" s="46"/>
      <x:c r="B151" s="46"/>
      <x:c r="C151" s="46"/>
      <x:c r="D151" s="46"/>
      <x:c r="E151" s="46"/>
      <x:c r="F151" s="46"/>
      <x:c r="G151" s="46"/>
      <x:c r="H151" s="46"/>
      <x:c r="I151" s="46"/>
      <x:c r="J151" s="46"/>
    </x:row>
    <x:row r="152">
      <x:c r="A152" s="46"/>
      <x:c r="B152" s="46"/>
      <x:c r="C152" s="46"/>
      <x:c r="D152" s="46"/>
      <x:c r="E152" s="46"/>
      <x:c r="F152" s="46"/>
      <x:c r="G152" s="46"/>
      <x:c r="H152" s="46"/>
      <x:c r="I152" s="46"/>
      <x:c r="J152" s="46"/>
    </x:row>
    <x:row r="153">
      <x:c r="A153" s="46"/>
      <x:c r="B153" s="46"/>
      <x:c r="C153" s="46"/>
      <x:c r="D153" s="46"/>
      <x:c r="E153" s="46"/>
      <x:c r="F153" s="46"/>
      <x:c r="G153" s="46"/>
      <x:c r="H153" s="46"/>
      <x:c r="I153" s="46"/>
      <x:c r="J153" s="46"/>
    </x:row>
    <x:row r="154">
      <x:c r="A154" s="46"/>
      <x:c r="B154" s="46"/>
      <x:c r="C154" s="46"/>
      <x:c r="D154" s="46"/>
      <x:c r="E154" s="46"/>
      <x:c r="F154" s="46"/>
      <x:c r="G154" s="46"/>
      <x:c r="H154" s="46"/>
      <x:c r="I154" s="46"/>
      <x:c r="J154" s="46"/>
    </x:row>
    <x:row r="155">
      <x:c r="A155" s="46"/>
      <x:c r="B155" s="46"/>
      <x:c r="C155" s="46"/>
      <x:c r="D155" s="46"/>
      <x:c r="E155" s="46"/>
      <x:c r="F155" s="46"/>
      <x:c r="G155" s="46"/>
      <x:c r="H155" s="46"/>
      <x:c r="I155" s="46"/>
      <x:c r="J155" s="46"/>
    </x:row>
    <x:row r="156">
      <x:c r="A156" s="46"/>
      <x:c r="B156" s="46"/>
      <x:c r="C156" s="46"/>
      <x:c r="D156" s="46"/>
      <x:c r="E156" s="46"/>
      <x:c r="F156" s="46"/>
      <x:c r="G156" s="46"/>
      <x:c r="H156" s="46"/>
      <x:c r="I156" s="46"/>
      <x:c r="J156" s="46"/>
    </x:row>
    <x:row r="157">
      <x:c r="A157" s="46"/>
      <x:c r="B157" s="46"/>
      <x:c r="C157" s="46"/>
      <x:c r="D157" s="46"/>
      <x:c r="E157" s="46"/>
      <x:c r="F157" s="46"/>
      <x:c r="G157" s="46"/>
      <x:c r="H157" s="46"/>
      <x:c r="I157" s="46"/>
      <x:c r="J157" s="46"/>
    </x:row>
    <x:row r="158">
      <x:c r="A158" s="46"/>
      <x:c r="B158" s="46"/>
      <x:c r="C158" s="46"/>
      <x:c r="D158" s="46"/>
      <x:c r="E158" s="46"/>
      <x:c r="F158" s="46"/>
      <x:c r="G158" s="46"/>
      <x:c r="H158" s="46"/>
      <x:c r="I158" s="46"/>
      <x:c r="J158" s="46"/>
    </x:row>
    <x:row r="159">
      <x:c r="A159" s="46"/>
      <x:c r="B159" s="46"/>
      <x:c r="C159" s="46"/>
      <x:c r="D159" s="46"/>
      <x:c r="E159" s="46"/>
      <x:c r="F159" s="46"/>
      <x:c r="G159" s="46"/>
      <x:c r="H159" s="46"/>
      <x:c r="I159" s="46"/>
      <x:c r="J159" s="46"/>
    </x:row>
    <x:row r="160">
      <x:c r="A160" s="46"/>
      <x:c r="B160" s="46"/>
      <x:c r="C160" s="46"/>
      <x:c r="D160" s="46"/>
      <x:c r="E160" s="46"/>
      <x:c r="F160" s="46"/>
      <x:c r="G160" s="46"/>
      <x:c r="H160" s="46"/>
      <x:c r="I160" s="46"/>
      <x:c r="J160" s="46"/>
    </x:row>
    <x:row r="161">
      <x:c r="A161" s="46"/>
      <x:c r="B161" s="46"/>
      <x:c r="C161" s="46"/>
      <x:c r="D161" s="46"/>
      <x:c r="E161" s="46"/>
      <x:c r="F161" s="46"/>
      <x:c r="G161" s="46"/>
      <x:c r="H161" s="46"/>
      <x:c r="I161" s="46"/>
      <x:c r="J161" s="46"/>
    </x:row>
    <x:row r="162">
      <x:c r="A162" s="46"/>
      <x:c r="B162" s="46"/>
      <x:c r="C162" s="46"/>
      <x:c r="D162" s="46"/>
      <x:c r="E162" s="46"/>
      <x:c r="F162" s="46"/>
      <x:c r="G162" s="46"/>
      <x:c r="H162" s="46"/>
      <x:c r="I162" s="46"/>
      <x:c r="J162" s="46"/>
    </x:row>
    <x:row r="163">
      <x:c r="A163" s="46"/>
      <x:c r="B163" s="46"/>
      <x:c r="C163" s="46"/>
      <x:c r="D163" s="46"/>
      <x:c r="E163" s="46"/>
      <x:c r="F163" s="46"/>
      <x:c r="G163" s="46"/>
      <x:c r="H163" s="46"/>
      <x:c r="I163" s="46"/>
      <x:c r="J163" s="46"/>
    </x:row>
    <x:row r="164">
      <x:c r="A164" s="46"/>
      <x:c r="B164" s="46"/>
      <x:c r="C164" s="46"/>
      <x:c r="D164" s="46"/>
      <x:c r="E164" s="46"/>
      <x:c r="F164" s="46"/>
      <x:c r="G164" s="46"/>
      <x:c r="H164" s="46"/>
      <x:c r="I164" s="46"/>
      <x:c r="J164" s="46"/>
    </x:row>
    <x:row r="165">
      <x:c r="A165" s="46"/>
      <x:c r="B165" s="46"/>
      <x:c r="C165" s="46"/>
      <x:c r="D165" s="46"/>
      <x:c r="E165" s="46"/>
      <x:c r="F165" s="46"/>
      <x:c r="G165" s="46"/>
      <x:c r="H165" s="46"/>
      <x:c r="I165" s="46"/>
      <x:c r="J165" s="46"/>
    </x:row>
    <x:row r="166">
      <x:c r="A166" s="46"/>
      <x:c r="B166" s="46"/>
      <x:c r="C166" s="46"/>
      <x:c r="D166" s="46"/>
      <x:c r="E166" s="46"/>
      <x:c r="F166" s="46"/>
      <x:c r="G166" s="46"/>
      <x:c r="H166" s="46"/>
      <x:c r="I166" s="46"/>
      <x:c r="J166" s="46"/>
    </x:row>
    <x:row r="167">
      <x:c r="A167" s="46"/>
      <x:c r="B167" s="46"/>
      <x:c r="C167" s="46"/>
      <x:c r="D167" s="46"/>
      <x:c r="E167" s="46"/>
      <x:c r="F167" s="46"/>
      <x:c r="G167" s="46"/>
      <x:c r="H167" s="46"/>
      <x:c r="I167" s="46"/>
      <x:c r="J167" s="46"/>
    </x:row>
    <x:row r="168">
      <x:c r="A168" s="46"/>
      <x:c r="B168" s="46"/>
      <x:c r="C168" s="46"/>
      <x:c r="D168" s="46"/>
      <x:c r="E168" s="46"/>
      <x:c r="F168" s="46"/>
      <x:c r="G168" s="46"/>
      <x:c r="H168" s="46"/>
      <x:c r="I168" s="46"/>
      <x:c r="J168" s="46"/>
    </x:row>
    <x:row r="169">
      <x:c r="A169" s="46"/>
      <x:c r="B169" s="46"/>
      <x:c r="C169" s="46"/>
      <x:c r="D169" s="46"/>
      <x:c r="E169" s="46"/>
      <x:c r="F169" s="46"/>
      <x:c r="G169" s="46"/>
      <x:c r="H169" s="46"/>
      <x:c r="I169" s="46"/>
      <x:c r="J169" s="46"/>
    </x:row>
    <x:row r="170">
      <x:c r="A170" s="46"/>
      <x:c r="B170" s="46"/>
      <x:c r="C170" s="46"/>
      <x:c r="D170" s="46"/>
      <x:c r="E170" s="46"/>
      <x:c r="F170" s="46"/>
      <x:c r="G170" s="46"/>
      <x:c r="H170" s="46"/>
      <x:c r="I170" s="46"/>
      <x:c r="J170" s="46"/>
    </x:row>
    <x:row r="171">
      <x:c r="A171" s="46"/>
      <x:c r="B171" s="46"/>
      <x:c r="C171" s="46"/>
      <x:c r="D171" s="46"/>
      <x:c r="E171" s="46"/>
      <x:c r="F171" s="46"/>
      <x:c r="G171" s="46"/>
      <x:c r="H171" s="46"/>
      <x:c r="I171" s="46"/>
      <x:c r="J171" s="46"/>
    </x:row>
    <x:row r="172">
      <x:c r="A172" s="46"/>
      <x:c r="B172" s="46"/>
      <x:c r="C172" s="46"/>
      <x:c r="D172" s="46"/>
      <x:c r="E172" s="46"/>
      <x:c r="F172" s="46"/>
      <x:c r="G172" s="46"/>
      <x:c r="H172" s="46"/>
      <x:c r="I172" s="46"/>
      <x:c r="J172" s="46"/>
    </x:row>
    <x:row r="173">
      <x:c r="A173" s="46"/>
      <x:c r="B173" s="46"/>
      <x:c r="C173" s="46"/>
      <x:c r="D173" s="46"/>
      <x:c r="E173" s="46"/>
      <x:c r="F173" s="46"/>
      <x:c r="G173" s="46"/>
      <x:c r="H173" s="46"/>
      <x:c r="I173" s="46"/>
      <x:c r="J173" s="46"/>
    </x:row>
    <x:row r="174">
      <x:c r="A174" s="46"/>
      <x:c r="B174" s="46"/>
      <x:c r="C174" s="46"/>
      <x:c r="D174" s="46"/>
      <x:c r="E174" s="46"/>
      <x:c r="F174" s="46"/>
      <x:c r="G174" s="46"/>
      <x:c r="H174" s="46"/>
      <x:c r="I174" s="46"/>
      <x:c r="J174" s="46"/>
    </x:row>
    <x:row r="175">
      <x:c r="A175" s="46"/>
      <x:c r="B175" s="46"/>
      <x:c r="C175" s="46"/>
      <x:c r="D175" s="46"/>
      <x:c r="E175" s="46"/>
      <x:c r="F175" s="46"/>
      <x:c r="G175" s="46"/>
      <x:c r="H175" s="46"/>
      <x:c r="I175" s="46"/>
      <x:c r="J175" s="46"/>
    </x:row>
    <x:row r="176">
      <x:c r="A176" s="46"/>
      <x:c r="B176" s="46"/>
      <x:c r="C176" s="46"/>
      <x:c r="D176" s="46"/>
      <x:c r="E176" s="46"/>
      <x:c r="F176" s="46"/>
      <x:c r="G176" s="46"/>
      <x:c r="H176" s="46"/>
      <x:c r="I176" s="46"/>
      <x:c r="J176" s="46"/>
    </x:row>
    <x:row r="177">
      <x:c r="A177" s="46"/>
      <x:c r="B177" s="46"/>
      <x:c r="C177" s="46"/>
      <x:c r="D177" s="46"/>
      <x:c r="E177" s="46"/>
      <x:c r="F177" s="46"/>
      <x:c r="G177" s="46"/>
      <x:c r="H177" s="46"/>
      <x:c r="I177" s="46"/>
      <x:c r="J177" s="46"/>
    </x:row>
    <x:row r="178">
      <x:c r="A178" s="46"/>
      <x:c r="B178" s="46"/>
      <x:c r="C178" s="46"/>
      <x:c r="D178" s="46"/>
      <x:c r="E178" s="46"/>
      <x:c r="F178" s="46"/>
      <x:c r="G178" s="46"/>
      <x:c r="H178" s="46"/>
      <x:c r="I178" s="46"/>
      <x:c r="J178" s="46"/>
    </x:row>
    <x:row r="179">
      <x:c r="A179" s="46"/>
      <x:c r="B179" s="46"/>
      <x:c r="C179" s="46"/>
      <x:c r="D179" s="46"/>
      <x:c r="E179" s="46"/>
      <x:c r="F179" s="46"/>
      <x:c r="G179" s="46"/>
      <x:c r="H179" s="46"/>
      <x:c r="I179" s="46"/>
      <x:c r="J179" s="46"/>
    </x:row>
    <x:row r="180">
      <x:c r="A180" s="46"/>
      <x:c r="B180" s="46"/>
      <x:c r="C180" s="46"/>
      <x:c r="D180" s="46"/>
      <x:c r="E180" s="46"/>
      <x:c r="F180" s="46"/>
      <x:c r="G180" s="46"/>
      <x:c r="H180" s="46"/>
      <x:c r="I180" s="46"/>
      <x:c r="J180" s="46"/>
    </x:row>
    <x:row r="181">
      <x:c r="A181" s="46"/>
      <x:c r="B181" s="46"/>
      <x:c r="C181" s="46"/>
      <x:c r="D181" s="46"/>
      <x:c r="E181" s="46"/>
      <x:c r="F181" s="46"/>
      <x:c r="G181" s="46"/>
      <x:c r="H181" s="46"/>
      <x:c r="I181" s="46"/>
      <x:c r="J181" s="46"/>
    </x:row>
    <x:row r="182">
      <x:c r="A182" s="46"/>
      <x:c r="B182" s="46"/>
      <x:c r="C182" s="46"/>
      <x:c r="D182" s="46"/>
      <x:c r="E182" s="46"/>
      <x:c r="F182" s="46"/>
      <x:c r="G182" s="46"/>
      <x:c r="H182" s="46"/>
      <x:c r="I182" s="46"/>
      <x:c r="J182" s="46"/>
    </x:row>
    <x:row r="183">
      <x:c r="A183" s="46"/>
      <x:c r="B183" s="46"/>
      <x:c r="C183" s="46"/>
      <x:c r="D183" s="46"/>
      <x:c r="E183" s="46"/>
      <x:c r="F183" s="46"/>
      <x:c r="G183" s="46"/>
      <x:c r="H183" s="46"/>
      <x:c r="I183" s="46"/>
      <x:c r="J183" s="46"/>
    </x:row>
    <x:row r="184">
      <x:c r="A184" s="46"/>
      <x:c r="B184" s="46"/>
      <x:c r="C184" s="46"/>
      <x:c r="D184" s="46"/>
      <x:c r="E184" s="46"/>
      <x:c r="F184" s="46"/>
      <x:c r="G184" s="46"/>
      <x:c r="H184" s="46"/>
      <x:c r="I184" s="46"/>
      <x:c r="J184" s="46"/>
    </x:row>
    <x:row r="185">
      <x:c r="A185" s="46"/>
      <x:c r="B185" s="46"/>
      <x:c r="C185" s="46"/>
      <x:c r="D185" s="46"/>
      <x:c r="E185" s="46"/>
      <x:c r="F185" s="46"/>
      <x:c r="G185" s="46"/>
      <x:c r="H185" s="46"/>
      <x:c r="I185" s="46"/>
      <x:c r="J185" s="46"/>
    </x:row>
    <x:row r="186">
      <x:c r="A186" s="46"/>
      <x:c r="B186" s="46"/>
      <x:c r="C186" s="46"/>
      <x:c r="D186" s="46"/>
      <x:c r="E186" s="46"/>
      <x:c r="F186" s="46"/>
      <x:c r="G186" s="46"/>
      <x:c r="H186" s="46"/>
      <x:c r="I186" s="46"/>
      <x:c r="J186" s="46"/>
    </x:row>
    <x:row r="187">
      <x:c r="A187" s="46"/>
      <x:c r="B187" s="46"/>
      <x:c r="C187" s="46"/>
      <x:c r="D187" s="46"/>
      <x:c r="E187" s="46"/>
      <x:c r="F187" s="46"/>
      <x:c r="G187" s="46"/>
      <x:c r="H187" s="46"/>
      <x:c r="I187" s="46"/>
      <x:c r="J187" s="46"/>
    </x:row>
    <x:row r="188">
      <x:c r="A188" s="46"/>
      <x:c r="B188" s="46"/>
      <x:c r="C188" s="46"/>
      <x:c r="D188" s="46"/>
      <x:c r="E188" s="46"/>
      <x:c r="F188" s="46"/>
      <x:c r="G188" s="46"/>
      <x:c r="H188" s="46"/>
      <x:c r="I188" s="46"/>
      <x:c r="J188" s="46"/>
    </x:row>
    <x:row r="189">
      <x:c r="A189" s="46"/>
      <x:c r="B189" s="46"/>
      <x:c r="C189" s="46"/>
      <x:c r="D189" s="46"/>
      <x:c r="E189" s="46"/>
      <x:c r="F189" s="46"/>
      <x:c r="G189" s="46"/>
      <x:c r="H189" s="46"/>
      <x:c r="I189" s="46"/>
      <x:c r="J189" s="46"/>
    </x:row>
    <x:row r="190">
      <x:c r="A190" s="46"/>
      <x:c r="B190" s="46"/>
      <x:c r="C190" s="46"/>
      <x:c r="D190" s="46"/>
      <x:c r="E190" s="46"/>
      <x:c r="F190" s="46"/>
      <x:c r="G190" s="46"/>
      <x:c r="H190" s="46"/>
      <x:c r="I190" s="46"/>
      <x:c r="J190" s="46"/>
    </x:row>
    <x:row r="191">
      <x:c r="A191" s="46"/>
      <x:c r="B191" s="46"/>
      <x:c r="C191" s="46"/>
      <x:c r="D191" s="46"/>
      <x:c r="E191" s="46"/>
      <x:c r="F191" s="46"/>
      <x:c r="G191" s="46"/>
      <x:c r="H191" s="46"/>
      <x:c r="I191" s="46"/>
      <x:c r="J191" s="46"/>
    </x:row>
    <x:row r="192">
      <x:c r="A192" s="46"/>
      <x:c r="B192" s="46"/>
      <x:c r="C192" s="46"/>
      <x:c r="D192" s="46"/>
      <x:c r="E192" s="46"/>
      <x:c r="F192" s="46"/>
      <x:c r="G192" s="46"/>
      <x:c r="H192" s="46"/>
      <x:c r="I192" s="46"/>
      <x:c r="J192" s="46"/>
    </x:row>
    <x:row r="193">
      <x:c r="A193" s="46"/>
      <x:c r="B193" s="46"/>
      <x:c r="C193" s="46"/>
      <x:c r="D193" s="46"/>
      <x:c r="E193" s="46"/>
      <x:c r="F193" s="46"/>
      <x:c r="G193" s="46"/>
      <x:c r="H193" s="46"/>
      <x:c r="I193" s="46"/>
      <x:c r="J193" s="46"/>
    </x:row>
    <x:row r="194">
      <x:c r="A194" s="46"/>
      <x:c r="B194" s="46"/>
      <x:c r="C194" s="46"/>
      <x:c r="D194" s="46"/>
      <x:c r="E194" s="46"/>
      <x:c r="F194" s="46"/>
      <x:c r="G194" s="46"/>
      <x:c r="H194" s="46"/>
      <x:c r="I194" s="46"/>
      <x:c r="J194" s="46"/>
    </x:row>
    <x:row r="195">
      <x:c r="A195" s="46"/>
      <x:c r="B195" s="46"/>
      <x:c r="C195" s="46"/>
      <x:c r="D195" s="46"/>
      <x:c r="E195" s="46"/>
      <x:c r="F195" s="46"/>
      <x:c r="G195" s="46"/>
      <x:c r="H195" s="46"/>
      <x:c r="I195" s="46"/>
      <x:c r="J195" s="46"/>
    </x:row>
    <x:row r="196">
      <x:c r="A196" s="46"/>
      <x:c r="B196" s="46"/>
      <x:c r="C196" s="46"/>
      <x:c r="D196" s="46"/>
      <x:c r="E196" s="46"/>
      <x:c r="F196" s="46"/>
      <x:c r="G196" s="46"/>
      <x:c r="H196" s="46"/>
      <x:c r="I196" s="46"/>
      <x:c r="J196" s="46"/>
    </x:row>
    <x:row r="197">
      <x:c r="A197" s="46"/>
      <x:c r="B197" s="46"/>
      <x:c r="C197" s="46"/>
      <x:c r="D197" s="46"/>
      <x:c r="E197" s="46"/>
      <x:c r="F197" s="46"/>
      <x:c r="G197" s="46"/>
      <x:c r="H197" s="46"/>
      <x:c r="I197" s="46"/>
      <x:c r="J197" s="46"/>
    </x:row>
    <x:row r="198">
      <x:c r="A198" s="46"/>
      <x:c r="B198" s="46"/>
      <x:c r="C198" s="46"/>
      <x:c r="D198" s="46"/>
      <x:c r="E198" s="46"/>
      <x:c r="F198" s="46"/>
      <x:c r="G198" s="46"/>
      <x:c r="H198" s="46"/>
      <x:c r="I198" s="46"/>
      <x:c r="J198" s="46"/>
    </x:row>
    <x:row r="199">
      <x:c r="A199" s="46"/>
      <x:c r="B199" s="46"/>
      <x:c r="C199" s="46"/>
      <x:c r="D199" s="46"/>
      <x:c r="E199" s="46"/>
      <x:c r="F199" s="46"/>
      <x:c r="G199" s="46"/>
      <x:c r="H199" s="46"/>
      <x:c r="I199" s="46"/>
      <x:c r="J199" s="46"/>
    </x:row>
    <x:row r="200">
      <x:c r="A200" s="46"/>
      <x:c r="B200" s="46"/>
      <x:c r="C200" s="46"/>
      <x:c r="D200" s="46"/>
      <x:c r="E200" s="46"/>
      <x:c r="F200" s="46"/>
      <x:c r="G200" s="46"/>
      <x:c r="H200" s="46"/>
      <x:c r="I200" s="46"/>
      <x:c r="J200" s="46"/>
    </x:row>
    <x:row r="201">
      <x:c r="A201" s="46"/>
      <x:c r="B201" s="46"/>
      <x:c r="C201" s="46"/>
      <x:c r="D201" s="46"/>
      <x:c r="E201" s="46"/>
      <x:c r="F201" s="46"/>
      <x:c r="G201" s="46"/>
      <x:c r="H201" s="46"/>
      <x:c r="I201" s="46"/>
      <x:c r="J201" s="46"/>
    </x:row>
    <x:row r="202">
      <x:c r="A202" s="46"/>
      <x:c r="B202" s="46"/>
      <x:c r="C202" s="46"/>
      <x:c r="D202" s="46"/>
      <x:c r="E202" s="46"/>
      <x:c r="F202" s="46"/>
      <x:c r="G202" s="46"/>
      <x:c r="H202" s="46"/>
      <x:c r="I202" s="46"/>
      <x:c r="J202" s="46"/>
    </x:row>
    <x:row r="203">
      <x:c r="A203" s="46"/>
      <x:c r="B203" s="46"/>
      <x:c r="C203" s="46"/>
      <x:c r="D203" s="46"/>
      <x:c r="E203" s="46"/>
      <x:c r="F203" s="46"/>
      <x:c r="G203" s="46"/>
      <x:c r="H203" s="46"/>
      <x:c r="I203" s="46"/>
      <x:c r="J203" s="46"/>
    </x:row>
    <x:row r="204">
      <x:c r="A204" s="46"/>
      <x:c r="B204" s="46"/>
      <x:c r="C204" s="46"/>
      <x:c r="D204" s="46"/>
      <x:c r="E204" s="46"/>
      <x:c r="F204" s="46"/>
      <x:c r="G204" s="46"/>
      <x:c r="H204" s="46"/>
      <x:c r="I204" s="46"/>
      <x:c r="J204" s="46"/>
    </x:row>
    <x:row r="205">
      <x:c r="A205" s="46"/>
      <x:c r="B205" s="46"/>
      <x:c r="C205" s="46"/>
      <x:c r="D205" s="46"/>
      <x:c r="E205" s="46"/>
      <x:c r="F205" s="46"/>
      <x:c r="G205" s="46"/>
      <x:c r="H205" s="46"/>
      <x:c r="I205" s="46"/>
      <x:c r="J205" s="46"/>
    </x:row>
    <x:row r="206">
      <x:c r="A206" s="46"/>
      <x:c r="B206" s="46"/>
      <x:c r="C206" s="46"/>
      <x:c r="D206" s="46"/>
      <x:c r="E206" s="46"/>
      <x:c r="F206" s="46"/>
      <x:c r="G206" s="46"/>
      <x:c r="H206" s="46"/>
      <x:c r="I206" s="46"/>
      <x:c r="J206" s="46"/>
    </x:row>
    <x:row r="207">
      <x:c r="A207" s="46"/>
      <x:c r="B207" s="46"/>
      <x:c r="C207" s="46"/>
      <x:c r="D207" s="46"/>
      <x:c r="E207" s="46"/>
      <x:c r="F207" s="46"/>
      <x:c r="G207" s="46"/>
      <x:c r="H207" s="46"/>
      <x:c r="I207" s="46"/>
      <x:c r="J207" s="46"/>
    </x:row>
    <x:row r="208">
      <x:c r="A208" s="46"/>
      <x:c r="B208" s="46"/>
      <x:c r="C208" s="46"/>
      <x:c r="D208" s="46"/>
      <x:c r="E208" s="46"/>
      <x:c r="F208" s="46"/>
      <x:c r="G208" s="46"/>
      <x:c r="H208" s="46"/>
      <x:c r="I208" s="46"/>
      <x:c r="J208" s="46"/>
    </x:row>
    <x:row r="209">
      <x:c r="A209" s="46"/>
      <x:c r="B209" s="46"/>
      <x:c r="C209" s="46"/>
      <x:c r="D209" s="46"/>
      <x:c r="E209" s="46"/>
      <x:c r="F209" s="46"/>
      <x:c r="G209" s="46"/>
      <x:c r="H209" s="46"/>
      <x:c r="I209" s="46"/>
      <x:c r="J209" s="46"/>
    </x:row>
    <x:row r="210">
      <x:c r="A210" s="46"/>
      <x:c r="B210" s="46"/>
      <x:c r="C210" s="46"/>
      <x:c r="D210" s="46"/>
      <x:c r="E210" s="46"/>
      <x:c r="F210" s="46"/>
      <x:c r="G210" s="46"/>
      <x:c r="H210" s="46"/>
      <x:c r="I210" s="46"/>
      <x:c r="J210" s="46"/>
    </x:row>
    <x:row r="211">
      <x:c r="A211" s="46"/>
      <x:c r="B211" s="46"/>
      <x:c r="C211" s="46"/>
      <x:c r="D211" s="46"/>
      <x:c r="E211" s="46"/>
      <x:c r="F211" s="46"/>
      <x:c r="G211" s="46"/>
      <x:c r="H211" s="46"/>
      <x:c r="I211" s="46"/>
      <x:c r="J211" s="46"/>
    </x:row>
    <x:row r="212">
      <x:c r="A212" s="46"/>
      <x:c r="B212" s="46"/>
      <x:c r="C212" s="46"/>
      <x:c r="D212" s="46"/>
      <x:c r="E212" s="46"/>
      <x:c r="F212" s="46"/>
      <x:c r="G212" s="46"/>
      <x:c r="H212" s="46"/>
      <x:c r="I212" s="46"/>
      <x:c r="J212" s="46"/>
    </x:row>
    <x:row r="213">
      <x:c r="A213" s="46"/>
      <x:c r="B213" s="46"/>
      <x:c r="C213" s="46"/>
      <x:c r="D213" s="46"/>
      <x:c r="E213" s="46"/>
      <x:c r="F213" s="46"/>
      <x:c r="G213" s="46"/>
      <x:c r="H213" s="46"/>
      <x:c r="I213" s="46"/>
      <x:c r="J213" s="46"/>
    </x:row>
    <x:row r="214">
      <x:c r="A214" s="46"/>
      <x:c r="B214" s="46"/>
      <x:c r="C214" s="46"/>
      <x:c r="D214" s="46"/>
      <x:c r="E214" s="46"/>
      <x:c r="F214" s="46"/>
      <x:c r="G214" s="46"/>
      <x:c r="H214" s="46"/>
      <x:c r="I214" s="46"/>
      <x:c r="J214" s="46"/>
    </x:row>
    <x:row r="215">
      <x:c r="A215" s="46"/>
      <x:c r="B215" s="46"/>
      <x:c r="C215" s="46"/>
      <x:c r="D215" s="46"/>
      <x:c r="E215" s="46"/>
      <x:c r="F215" s="46"/>
      <x:c r="G215" s="46"/>
      <x:c r="H215" s="46"/>
      <x:c r="I215" s="46"/>
      <x:c r="J215" s="46"/>
    </x:row>
    <x:row r="216">
      <x:c r="A216" s="46"/>
      <x:c r="B216" s="46"/>
      <x:c r="C216" s="46"/>
      <x:c r="D216" s="46"/>
      <x:c r="E216" s="46"/>
      <x:c r="F216" s="46"/>
      <x:c r="G216" s="46"/>
      <x:c r="H216" s="46"/>
      <x:c r="I216" s="46"/>
      <x:c r="J216" s="46"/>
    </x:row>
    <x:row r="217">
      <x:c r="A217" s="46"/>
      <x:c r="B217" s="46"/>
      <x:c r="C217" s="46"/>
      <x:c r="D217" s="46"/>
      <x:c r="E217" s="46"/>
      <x:c r="F217" s="46"/>
      <x:c r="G217" s="46"/>
      <x:c r="H217" s="46"/>
      <x:c r="I217" s="46"/>
      <x:c r="J217" s="46"/>
    </x:row>
    <x:row r="218">
      <x:c r="A218" s="46"/>
      <x:c r="B218" s="46"/>
      <x:c r="C218" s="46"/>
      <x:c r="D218" s="46"/>
      <x:c r="E218" s="46"/>
      <x:c r="F218" s="46"/>
      <x:c r="G218" s="46"/>
      <x:c r="H218" s="46"/>
      <x:c r="I218" s="46"/>
      <x:c r="J218" s="46"/>
    </x:row>
    <x:row r="219">
      <x:c r="A219" s="46"/>
      <x:c r="B219" s="46"/>
      <x:c r="C219" s="46"/>
      <x:c r="D219" s="46"/>
      <x:c r="E219" s="46"/>
      <x:c r="F219" s="46"/>
      <x:c r="G219" s="46"/>
      <x:c r="H219" s="46"/>
      <x:c r="I219" s="46"/>
      <x:c r="J219" s="46"/>
    </x:row>
    <x:row r="220">
      <x:c r="A220" s="46"/>
      <x:c r="B220" s="46"/>
      <x:c r="C220" s="46"/>
      <x:c r="D220" s="46"/>
      <x:c r="E220" s="46"/>
      <x:c r="F220" s="46"/>
      <x:c r="G220" s="46"/>
      <x:c r="H220" s="46"/>
      <x:c r="I220" s="46"/>
      <x:c r="J220" s="46"/>
    </x:row>
    <x:row r="221">
      <x:c r="A221" s="46"/>
      <x:c r="B221" s="46"/>
      <x:c r="C221" s="46"/>
      <x:c r="D221" s="46"/>
      <x:c r="E221" s="46"/>
      <x:c r="F221" s="46"/>
      <x:c r="G221" s="46"/>
      <x:c r="H221" s="46"/>
      <x:c r="I221" s="46"/>
      <x:c r="J221" s="46"/>
    </x:row>
    <x:row r="222">
      <x:c r="A222" s="46"/>
      <x:c r="B222" s="46"/>
      <x:c r="C222" s="46"/>
      <x:c r="D222" s="46"/>
      <x:c r="E222" s="46"/>
      <x:c r="F222" s="46"/>
      <x:c r="G222" s="46"/>
      <x:c r="H222" s="46"/>
      <x:c r="I222" s="46"/>
      <x:c r="J222" s="46"/>
    </x:row>
    <x:row r="223">
      <x:c r="A223" s="46"/>
      <x:c r="B223" s="46"/>
      <x:c r="C223" s="46"/>
      <x:c r="D223" s="46"/>
      <x:c r="E223" s="46"/>
      <x:c r="F223" s="46"/>
      <x:c r="G223" s="46"/>
      <x:c r="H223" s="46"/>
      <x:c r="I223" s="46"/>
      <x:c r="J223" s="46"/>
    </x:row>
    <x:row r="224">
      <x:c r="A224" s="46"/>
      <x:c r="B224" s="46"/>
      <x:c r="C224" s="46"/>
      <x:c r="D224" s="46"/>
      <x:c r="E224" s="46"/>
      <x:c r="F224" s="46"/>
      <x:c r="G224" s="46"/>
      <x:c r="H224" s="46"/>
      <x:c r="I224" s="46"/>
      <x:c r="J224" s="46"/>
    </x:row>
    <x:row r="225">
      <x:c r="A225" s="46"/>
      <x:c r="B225" s="46"/>
      <x:c r="C225" s="46"/>
      <x:c r="D225" s="46"/>
      <x:c r="E225" s="46"/>
      <x:c r="F225" s="46"/>
      <x:c r="G225" s="46"/>
      <x:c r="H225" s="46"/>
      <x:c r="I225" s="46"/>
      <x:c r="J225" s="46"/>
    </x:row>
    <x:row r="226">
      <x:c r="A226" s="46"/>
      <x:c r="B226" s="46"/>
      <x:c r="C226" s="46"/>
      <x:c r="D226" s="46"/>
      <x:c r="E226" s="46"/>
      <x:c r="F226" s="46"/>
      <x:c r="G226" s="46"/>
      <x:c r="H226" s="46"/>
      <x:c r="I226" s="46"/>
      <x:c r="J226" s="46"/>
    </x:row>
    <x:row r="227">
      <x:c r="A227" s="46"/>
      <x:c r="B227" s="46"/>
      <x:c r="C227" s="46"/>
      <x:c r="D227" s="46"/>
      <x:c r="E227" s="46"/>
      <x:c r="F227" s="46"/>
      <x:c r="G227" s="46"/>
      <x:c r="H227" s="46"/>
      <x:c r="I227" s="46"/>
      <x:c r="J227" s="46"/>
    </x:row>
    <x:row r="228">
      <x:c r="A228" s="46"/>
      <x:c r="B228" s="46"/>
      <x:c r="C228" s="46"/>
      <x:c r="D228" s="46"/>
      <x:c r="E228" s="46"/>
      <x:c r="F228" s="46"/>
      <x:c r="G228" s="46"/>
      <x:c r="H228" s="46"/>
      <x:c r="I228" s="46"/>
      <x:c r="J228" s="46"/>
    </x:row>
    <x:row r="229">
      <x:c r="A229" s="46"/>
      <x:c r="B229" s="46"/>
      <x:c r="C229" s="46"/>
      <x:c r="D229" s="46"/>
      <x:c r="E229" s="46"/>
      <x:c r="F229" s="46"/>
      <x:c r="G229" s="46"/>
      <x:c r="H229" s="46"/>
      <x:c r="I229" s="46"/>
      <x:c r="J229" s="46"/>
    </x:row>
    <x:row r="230">
      <x:c r="A230" s="46"/>
      <x:c r="B230" s="46"/>
      <x:c r="C230" s="46"/>
      <x:c r="D230" s="46"/>
      <x:c r="E230" s="46"/>
      <x:c r="F230" s="46"/>
      <x:c r="G230" s="46"/>
      <x:c r="H230" s="46"/>
      <x:c r="I230" s="46"/>
      <x:c r="J230" s="46"/>
    </x:row>
    <x:row r="231">
      <x:c r="A231" s="46"/>
      <x:c r="B231" s="46"/>
      <x:c r="C231" s="46"/>
      <x:c r="D231" s="46"/>
      <x:c r="E231" s="46"/>
      <x:c r="F231" s="46"/>
      <x:c r="G231" s="46"/>
      <x:c r="H231" s="46"/>
      <x:c r="I231" s="46"/>
      <x:c r="J231" s="46"/>
    </x:row>
    <x:row r="232">
      <x:c r="A232" s="46"/>
      <x:c r="B232" s="46"/>
      <x:c r="C232" s="46"/>
      <x:c r="D232" s="46"/>
      <x:c r="E232" s="46"/>
      <x:c r="F232" s="46"/>
      <x:c r="G232" s="46"/>
      <x:c r="H232" s="46"/>
      <x:c r="I232" s="46"/>
      <x:c r="J232" s="46"/>
    </x:row>
    <x:row r="233">
      <x:c r="A233" s="46"/>
      <x:c r="B233" s="46"/>
      <x:c r="C233" s="46"/>
      <x:c r="D233" s="46"/>
      <x:c r="E233" s="46"/>
      <x:c r="F233" s="46"/>
      <x:c r="G233" s="46"/>
      <x:c r="H233" s="46"/>
      <x:c r="I233" s="46"/>
      <x:c r="J233" s="46"/>
    </x:row>
    <x:row r="234">
      <x:c r="A234" s="46"/>
      <x:c r="B234" s="46"/>
      <x:c r="C234" s="46"/>
      <x:c r="D234" s="46"/>
      <x:c r="E234" s="46"/>
      <x:c r="F234" s="46"/>
      <x:c r="G234" s="46"/>
      <x:c r="H234" s="46"/>
      <x:c r="I234" s="46"/>
      <x:c r="J234" s="46"/>
    </x:row>
    <x:row r="235">
      <x:c r="A235" s="46"/>
      <x:c r="B235" s="46"/>
      <x:c r="C235" s="46"/>
      <x:c r="D235" s="46"/>
      <x:c r="E235" s="46"/>
      <x:c r="F235" s="46"/>
      <x:c r="G235" s="46"/>
      <x:c r="H235" s="46"/>
      <x:c r="I235" s="46"/>
      <x:c r="J235" s="46"/>
    </x:row>
    <x:row r="236">
      <x:c r="A236" s="46"/>
      <x:c r="B236" s="46"/>
      <x:c r="C236" s="46"/>
      <x:c r="D236" s="46"/>
      <x:c r="E236" s="46"/>
      <x:c r="F236" s="46"/>
      <x:c r="G236" s="46"/>
      <x:c r="H236" s="46"/>
      <x:c r="I236" s="46"/>
      <x:c r="J236" s="46"/>
    </x:row>
    <x:row r="237">
      <x:c r="A237" s="46"/>
      <x:c r="B237" s="46"/>
      <x:c r="C237" s="46"/>
      <x:c r="D237" s="46"/>
      <x:c r="E237" s="46"/>
      <x:c r="F237" s="46"/>
      <x:c r="G237" s="46"/>
      <x:c r="H237" s="46"/>
      <x:c r="I237" s="46"/>
      <x:c r="J237" s="46"/>
    </x:row>
    <x:row r="238">
      <x:c r="A238" s="46"/>
      <x:c r="B238" s="46"/>
      <x:c r="C238" s="46"/>
      <x:c r="D238" s="46"/>
      <x:c r="E238" s="46"/>
      <x:c r="F238" s="46"/>
      <x:c r="G238" s="46"/>
      <x:c r="H238" s="46"/>
      <x:c r="I238" s="46"/>
      <x:c r="J238" s="46"/>
    </x:row>
    <x:row r="239">
      <x:c r="A239" s="46"/>
      <x:c r="B239" s="46"/>
      <x:c r="C239" s="46"/>
      <x:c r="D239" s="46"/>
      <x:c r="E239" s="46"/>
      <x:c r="F239" s="46"/>
      <x:c r="G239" s="46"/>
      <x:c r="H239" s="46"/>
      <x:c r="I239" s="46"/>
      <x:c r="J239" s="46"/>
    </x:row>
    <x:row r="240">
      <x:c r="A240" s="46"/>
      <x:c r="B240" s="46"/>
      <x:c r="C240" s="46"/>
      <x:c r="D240" s="46"/>
      <x:c r="E240" s="46"/>
      <x:c r="F240" s="46"/>
      <x:c r="G240" s="46"/>
      <x:c r="H240" s="46"/>
      <x:c r="I240" s="46"/>
      <x:c r="J240" s="46"/>
    </x:row>
    <x:row r="241">
      <x:c r="A241" s="46"/>
      <x:c r="B241" s="46"/>
      <x:c r="C241" s="46"/>
      <x:c r="D241" s="46"/>
      <x:c r="E241" s="46"/>
      <x:c r="F241" s="46"/>
      <x:c r="G241" s="46"/>
      <x:c r="H241" s="46"/>
      <x:c r="I241" s="46"/>
      <x:c r="J241" s="46"/>
    </x:row>
    <x:row r="242">
      <x:c r="A242" s="46"/>
      <x:c r="B242" s="46"/>
      <x:c r="C242" s="46"/>
      <x:c r="D242" s="46"/>
      <x:c r="E242" s="46"/>
      <x:c r="F242" s="46"/>
      <x:c r="G242" s="46"/>
      <x:c r="H242" s="46"/>
      <x:c r="I242" s="46"/>
      <x:c r="J242" s="46"/>
    </x:row>
    <x:row r="243">
      <x:c r="A243" s="46"/>
      <x:c r="B243" s="46"/>
      <x:c r="C243" s="46"/>
      <x:c r="D243" s="46"/>
      <x:c r="E243" s="46"/>
      <x:c r="F243" s="46"/>
      <x:c r="G243" s="46"/>
      <x:c r="H243" s="46"/>
      <x:c r="I243" s="46"/>
      <x:c r="J243" s="46"/>
    </x:row>
    <x:row r="244">
      <x:c r="A244" s="46"/>
      <x:c r="B244" s="46"/>
      <x:c r="C244" s="46"/>
      <x:c r="D244" s="46"/>
      <x:c r="E244" s="46"/>
      <x:c r="F244" s="46"/>
      <x:c r="G244" s="46"/>
      <x:c r="H244" s="46"/>
      <x:c r="I244" s="46"/>
      <x:c r="J244" s="46"/>
    </x:row>
    <x:row r="245">
      <x:c r="A245" s="46"/>
      <x:c r="B245" s="46"/>
      <x:c r="C245" s="46"/>
      <x:c r="D245" s="46"/>
      <x:c r="E245" s="46"/>
      <x:c r="F245" s="46"/>
      <x:c r="G245" s="46"/>
      <x:c r="H245" s="46"/>
      <x:c r="I245" s="46"/>
      <x:c r="J245" s="46"/>
    </x:row>
    <x:row r="246">
      <x:c r="A246" s="46"/>
      <x:c r="B246" s="46"/>
      <x:c r="C246" s="46"/>
      <x:c r="D246" s="46"/>
      <x:c r="E246" s="46"/>
      <x:c r="F246" s="46"/>
      <x:c r="G246" s="46"/>
      <x:c r="H246" s="46"/>
      <x:c r="I246" s="46"/>
      <x:c r="J246" s="46"/>
    </x:row>
    <x:row r="247">
      <x:c r="A247" s="46"/>
      <x:c r="B247" s="46"/>
      <x:c r="C247" s="46"/>
      <x:c r="D247" s="46"/>
      <x:c r="E247" s="46"/>
      <x:c r="F247" s="46"/>
      <x:c r="G247" s="46"/>
      <x:c r="H247" s="46"/>
      <x:c r="I247" s="46"/>
      <x:c r="J247" s="46"/>
    </x:row>
    <x:row r="248">
      <x:c r="A248" s="46"/>
      <x:c r="B248" s="46"/>
      <x:c r="C248" s="46"/>
      <x:c r="D248" s="46"/>
      <x:c r="E248" s="46"/>
      <x:c r="F248" s="46"/>
      <x:c r="G248" s="46"/>
      <x:c r="H248" s="46"/>
      <x:c r="I248" s="46"/>
      <x:c r="J248" s="46"/>
    </x:row>
    <x:row r="249">
      <x:c r="A249" s="46"/>
      <x:c r="B249" s="46"/>
      <x:c r="C249" s="46"/>
      <x:c r="D249" s="46"/>
      <x:c r="E249" s="46"/>
      <x:c r="F249" s="46"/>
      <x:c r="G249" s="46"/>
      <x:c r="H249" s="46"/>
      <x:c r="I249" s="46"/>
      <x:c r="J249" s="46"/>
    </x:row>
    <x:row r="250">
      <x:c r="A250" s="46"/>
      <x:c r="B250" s="46"/>
      <x:c r="C250" s="46"/>
      <x:c r="D250" s="46"/>
      <x:c r="E250" s="46"/>
      <x:c r="F250" s="46"/>
      <x:c r="G250" s="46"/>
      <x:c r="H250" s="46"/>
      <x:c r="I250" s="46"/>
      <x:c r="J250" s="46"/>
    </x:row>
    <x:row r="251">
      <x:c r="A251" s="46"/>
      <x:c r="B251" s="46"/>
      <x:c r="C251" s="46"/>
      <x:c r="D251" s="46"/>
      <x:c r="E251" s="46"/>
      <x:c r="F251" s="46"/>
      <x:c r="G251" s="46"/>
      <x:c r="H251" s="46"/>
      <x:c r="I251" s="46"/>
      <x:c r="J251" s="46"/>
    </x:row>
    <x:row r="252">
      <x:c r="A252" s="46"/>
      <x:c r="B252" s="46"/>
      <x:c r="C252" s="46"/>
      <x:c r="D252" s="46"/>
      <x:c r="E252" s="46"/>
      <x:c r="F252" s="46"/>
      <x:c r="G252" s="46"/>
      <x:c r="H252" s="46"/>
      <x:c r="I252" s="46"/>
      <x:c r="J252" s="46"/>
    </x:row>
    <x:row r="253">
      <x:c r="A253" s="46"/>
      <x:c r="B253" s="46"/>
      <x:c r="C253" s="46"/>
      <x:c r="D253" s="46"/>
      <x:c r="E253" s="46"/>
      <x:c r="F253" s="46"/>
      <x:c r="G253" s="46"/>
      <x:c r="H253" s="46"/>
      <x:c r="I253" s="46"/>
      <x:c r="J253" s="46"/>
    </x:row>
    <x:row r="254">
      <x:c r="A254" s="46"/>
      <x:c r="B254" s="46"/>
      <x:c r="C254" s="46"/>
      <x:c r="D254" s="46"/>
      <x:c r="E254" s="46"/>
      <x:c r="F254" s="46"/>
      <x:c r="G254" s="46"/>
      <x:c r="H254" s="46"/>
      <x:c r="I254" s="46"/>
      <x:c r="J254" s="46"/>
    </x:row>
    <x:row r="255">
      <x:c r="A255" s="46"/>
      <x:c r="B255" s="46"/>
      <x:c r="C255" s="46"/>
      <x:c r="D255" s="46"/>
      <x:c r="E255" s="46"/>
      <x:c r="F255" s="46"/>
      <x:c r="G255" s="46"/>
      <x:c r="H255" s="46"/>
      <x:c r="I255" s="46"/>
      <x:c r="J255" s="46"/>
    </x:row>
    <x:row r="256">
      <x:c r="A256" s="46"/>
      <x:c r="B256" s="46"/>
      <x:c r="C256" s="46"/>
      <x:c r="D256" s="46"/>
      <x:c r="E256" s="46"/>
      <x:c r="F256" s="46"/>
      <x:c r="G256" s="46"/>
      <x:c r="H256" s="46"/>
      <x:c r="I256" s="46"/>
      <x:c r="J256" s="46"/>
    </x:row>
    <x:row r="257">
      <x:c r="A257" s="46"/>
      <x:c r="B257" s="46"/>
      <x:c r="C257" s="46"/>
      <x:c r="D257" s="46"/>
      <x:c r="E257" s="46"/>
      <x:c r="F257" s="46"/>
      <x:c r="G257" s="46"/>
      <x:c r="H257" s="46"/>
      <x:c r="I257" s="46"/>
      <x:c r="J257" s="46"/>
    </x:row>
    <x:row r="258">
      <x:c r="A258" s="46"/>
      <x:c r="B258" s="46"/>
      <x:c r="C258" s="46"/>
      <x:c r="D258" s="46"/>
      <x:c r="E258" s="46"/>
      <x:c r="F258" s="46"/>
      <x:c r="G258" s="46"/>
      <x:c r="H258" s="46"/>
      <x:c r="I258" s="46"/>
      <x:c r="J258" s="46"/>
    </x:row>
    <x:row r="259">
      <x:c r="A259" s="46"/>
      <x:c r="B259" s="46"/>
      <x:c r="C259" s="46"/>
      <x:c r="D259" s="46"/>
      <x:c r="E259" s="46"/>
      <x:c r="F259" s="46"/>
      <x:c r="G259" s="46"/>
      <x:c r="H259" s="46"/>
      <x:c r="I259" s="46"/>
      <x:c r="J259" s="46"/>
    </x:row>
    <x:row r="260">
      <x:c r="A260" s="46"/>
      <x:c r="B260" s="46"/>
      <x:c r="C260" s="46"/>
      <x:c r="D260" s="46"/>
      <x:c r="E260" s="46"/>
      <x:c r="F260" s="46"/>
      <x:c r="G260" s="46"/>
      <x:c r="H260" s="46"/>
      <x:c r="I260" s="46"/>
      <x:c r="J260" s="46"/>
    </x:row>
    <x:row r="261">
      <x:c r="A261" s="46"/>
      <x:c r="B261" s="46"/>
      <x:c r="C261" s="46"/>
      <x:c r="D261" s="46"/>
      <x:c r="E261" s="46"/>
      <x:c r="F261" s="46"/>
      <x:c r="G261" s="46"/>
      <x:c r="H261" s="46"/>
      <x:c r="I261" s="46"/>
      <x:c r="J261" s="46"/>
    </x:row>
    <x:row r="262">
      <x:c r="A262" s="46"/>
      <x:c r="B262" s="46"/>
      <x:c r="C262" s="46"/>
      <x:c r="D262" s="46"/>
      <x:c r="E262" s="46"/>
      <x:c r="F262" s="46"/>
      <x:c r="G262" s="46"/>
      <x:c r="H262" s="46"/>
      <x:c r="I262" s="46"/>
      <x:c r="J262" s="46"/>
    </x:row>
    <x:row r="263">
      <x:c r="A263" s="46"/>
      <x:c r="B263" s="46"/>
      <x:c r="C263" s="46"/>
      <x:c r="D263" s="46"/>
      <x:c r="E263" s="46"/>
      <x:c r="F263" s="46"/>
      <x:c r="G263" s="46"/>
      <x:c r="H263" s="46"/>
      <x:c r="I263" s="46"/>
      <x:c r="J263" s="46"/>
    </x:row>
    <x:row r="264">
      <x:c r="A264" s="46"/>
      <x:c r="B264" s="46"/>
      <x:c r="C264" s="46"/>
      <x:c r="D264" s="46"/>
      <x:c r="E264" s="46"/>
      <x:c r="F264" s="46"/>
      <x:c r="G264" s="46"/>
      <x:c r="H264" s="46"/>
      <x:c r="I264" s="46"/>
      <x:c r="J264" s="46"/>
    </x:row>
    <x:row r="265">
      <x:c r="A265" s="46"/>
      <x:c r="B265" s="46"/>
      <x:c r="C265" s="46"/>
      <x:c r="D265" s="46"/>
      <x:c r="E265" s="46"/>
      <x:c r="F265" s="46"/>
      <x:c r="G265" s="46"/>
      <x:c r="H265" s="46"/>
      <x:c r="I265" s="46"/>
      <x:c r="J265" s="46"/>
    </x:row>
    <x:row r="266">
      <x:c r="A266" s="46"/>
      <x:c r="B266" s="46"/>
      <x:c r="C266" s="46"/>
      <x:c r="D266" s="46"/>
      <x:c r="E266" s="46"/>
      <x:c r="F266" s="46"/>
      <x:c r="G266" s="46"/>
      <x:c r="H266" s="46"/>
      <x:c r="I266" s="46"/>
      <x:c r="J266" s="46"/>
    </x:row>
    <x:row r="267">
      <x:c r="A267" s="46"/>
      <x:c r="B267" s="46"/>
      <x:c r="C267" s="46"/>
      <x:c r="D267" s="46"/>
      <x:c r="E267" s="46"/>
      <x:c r="F267" s="46"/>
      <x:c r="G267" s="46"/>
      <x:c r="H267" s="46"/>
      <x:c r="I267" s="46"/>
      <x:c r="J267" s="46"/>
    </x:row>
    <x:row r="268">
      <x:c r="A268" s="46"/>
      <x:c r="B268" s="46"/>
      <x:c r="C268" s="46"/>
      <x:c r="D268" s="46"/>
      <x:c r="E268" s="46"/>
      <x:c r="F268" s="46"/>
      <x:c r="G268" s="46"/>
      <x:c r="H268" s="46"/>
      <x:c r="I268" s="46"/>
      <x:c r="J268" s="46"/>
    </x:row>
    <x:row r="269">
      <x:c r="A269" s="46"/>
      <x:c r="B269" s="46"/>
      <x:c r="C269" s="46"/>
      <x:c r="D269" s="46"/>
      <x:c r="E269" s="46"/>
      <x:c r="F269" s="46"/>
      <x:c r="G269" s="46"/>
      <x:c r="H269" s="46"/>
      <x:c r="I269" s="46"/>
      <x:c r="J269" s="46"/>
    </x:row>
    <x:row r="270">
      <x:c r="A270" s="46"/>
      <x:c r="B270" s="46"/>
      <x:c r="C270" s="46"/>
      <x:c r="D270" s="46"/>
      <x:c r="E270" s="46"/>
      <x:c r="F270" s="46"/>
      <x:c r="G270" s="46"/>
      <x:c r="H270" s="46"/>
      <x:c r="I270" s="46"/>
      <x:c r="J270" s="46"/>
    </x:row>
    <x:row r="271">
      <x:c r="A271" s="46"/>
      <x:c r="B271" s="46"/>
      <x:c r="C271" s="46"/>
      <x:c r="D271" s="46"/>
      <x:c r="E271" s="46"/>
      <x:c r="F271" s="46"/>
      <x:c r="G271" s="46"/>
      <x:c r="H271" s="46"/>
      <x:c r="I271" s="46"/>
      <x:c r="J271" s="46"/>
    </x:row>
    <x:row r="272">
      <x:c r="A272" s="46"/>
      <x:c r="B272" s="46"/>
      <x:c r="C272" s="46"/>
      <x:c r="D272" s="46"/>
      <x:c r="E272" s="46"/>
      <x:c r="F272" s="46"/>
      <x:c r="G272" s="46"/>
      <x:c r="H272" s="46"/>
      <x:c r="I272" s="46"/>
      <x:c r="J272" s="46"/>
    </x:row>
    <x:row r="273">
      <x:c r="A273" s="46"/>
      <x:c r="B273" s="46"/>
      <x:c r="C273" s="46"/>
      <x:c r="D273" s="46"/>
      <x:c r="E273" s="46"/>
      <x:c r="F273" s="46"/>
      <x:c r="G273" s="46"/>
      <x:c r="H273" s="46"/>
      <x:c r="I273" s="46"/>
      <x:c r="J273" s="46"/>
    </x:row>
    <x:row r="274">
      <x:c r="A274" s="46"/>
      <x:c r="B274" s="46"/>
      <x:c r="C274" s="46"/>
      <x:c r="D274" s="46"/>
      <x:c r="E274" s="46"/>
      <x:c r="F274" s="46"/>
      <x:c r="G274" s="46"/>
      <x:c r="H274" s="46"/>
      <x:c r="I274" s="46"/>
      <x:c r="J274" s="46"/>
    </x:row>
    <x:row r="275">
      <x:c r="A275" s="46"/>
      <x:c r="B275" s="46"/>
      <x:c r="C275" s="46"/>
      <x:c r="D275" s="46"/>
      <x:c r="E275" s="46"/>
      <x:c r="F275" s="46"/>
      <x:c r="G275" s="46"/>
      <x:c r="H275" s="46"/>
      <x:c r="I275" s="46"/>
      <x:c r="J275" s="46"/>
    </x:row>
    <x:row r="276">
      <x:c r="A276" s="46"/>
      <x:c r="B276" s="46"/>
      <x:c r="C276" s="46"/>
      <x:c r="D276" s="46"/>
      <x:c r="E276" s="46"/>
      <x:c r="F276" s="46"/>
      <x:c r="G276" s="46"/>
      <x:c r="H276" s="46"/>
      <x:c r="I276" s="46"/>
      <x:c r="J276" s="46"/>
    </x:row>
    <x:row r="277">
      <x:c r="A277" s="46"/>
      <x:c r="B277" s="46"/>
      <x:c r="C277" s="46"/>
      <x:c r="D277" s="46"/>
      <x:c r="E277" s="46"/>
      <x:c r="F277" s="46"/>
      <x:c r="G277" s="46"/>
      <x:c r="H277" s="46"/>
      <x:c r="I277" s="46"/>
      <x:c r="J277" s="46"/>
    </x:row>
    <x:row r="278">
      <x:c r="A278" s="46"/>
      <x:c r="B278" s="46"/>
      <x:c r="C278" s="46"/>
      <x:c r="D278" s="46"/>
      <x:c r="E278" s="46"/>
      <x:c r="F278" s="46"/>
      <x:c r="G278" s="46"/>
      <x:c r="H278" s="46"/>
      <x:c r="I278" s="46"/>
      <x:c r="J278" s="46"/>
    </x:row>
    <x:row r="279">
      <x:c r="A279" s="46"/>
      <x:c r="B279" s="46"/>
      <x:c r="C279" s="46"/>
      <x:c r="D279" s="46"/>
      <x:c r="E279" s="46"/>
      <x:c r="F279" s="46"/>
      <x:c r="G279" s="46"/>
      <x:c r="H279" s="46"/>
      <x:c r="I279" s="46"/>
      <x:c r="J279" s="46"/>
    </x:row>
    <x:row r="280">
      <x:c r="A280" s="46"/>
      <x:c r="B280" s="46"/>
      <x:c r="C280" s="46"/>
      <x:c r="D280" s="46"/>
      <x:c r="E280" s="46"/>
      <x:c r="F280" s="46"/>
      <x:c r="G280" s="46"/>
      <x:c r="H280" s="46"/>
      <x:c r="I280" s="46"/>
      <x:c r="J280" s="46"/>
    </x:row>
    <x:row r="281">
      <x:c r="A281" s="46"/>
      <x:c r="B281" s="46"/>
      <x:c r="C281" s="46"/>
      <x:c r="D281" s="46"/>
      <x:c r="E281" s="46"/>
      <x:c r="F281" s="46"/>
      <x:c r="G281" s="46"/>
      <x:c r="H281" s="46"/>
      <x:c r="I281" s="46"/>
      <x:c r="J281" s="46"/>
    </x:row>
    <x:row r="282">
      <x:c r="A282" s="46"/>
      <x:c r="B282" s="46"/>
      <x:c r="C282" s="46"/>
      <x:c r="D282" s="46"/>
      <x:c r="E282" s="46"/>
      <x:c r="F282" s="46"/>
      <x:c r="G282" s="46"/>
      <x:c r="H282" s="46"/>
      <x:c r="I282" s="46"/>
      <x:c r="J282" s="46"/>
    </x:row>
    <x:row r="283">
      <x:c r="A283" s="46"/>
      <x:c r="B283" s="46"/>
      <x:c r="C283" s="46"/>
      <x:c r="D283" s="46"/>
      <x:c r="E283" s="46"/>
      <x:c r="F283" s="46"/>
      <x:c r="G283" s="46"/>
      <x:c r="H283" s="46"/>
      <x:c r="I283" s="46"/>
      <x:c r="J283" s="46"/>
    </x:row>
    <x:row r="284">
      <x:c r="A284" s="46"/>
      <x:c r="B284" s="46"/>
      <x:c r="C284" s="46"/>
      <x:c r="D284" s="46"/>
      <x:c r="E284" s="46"/>
      <x:c r="F284" s="46"/>
      <x:c r="G284" s="46"/>
      <x:c r="H284" s="46"/>
      <x:c r="I284" s="46"/>
      <x:c r="J284" s="46"/>
    </x:row>
    <x:row r="285">
      <x:c r="A285" s="46"/>
      <x:c r="B285" s="46"/>
      <x:c r="C285" s="46"/>
      <x:c r="D285" s="46"/>
      <x:c r="E285" s="46"/>
      <x:c r="F285" s="46"/>
      <x:c r="G285" s="46"/>
      <x:c r="H285" s="46"/>
      <x:c r="I285" s="46"/>
      <x:c r="J285" s="46"/>
    </x:row>
    <x:row r="286">
      <x:c r="A286" s="46"/>
      <x:c r="B286" s="46"/>
      <x:c r="C286" s="46"/>
      <x:c r="D286" s="46"/>
      <x:c r="E286" s="46"/>
      <x:c r="F286" s="46"/>
      <x:c r="G286" s="46"/>
      <x:c r="H286" s="46"/>
      <x:c r="I286" s="46"/>
      <x:c r="J286" s="46"/>
    </x:row>
    <x:row r="287">
      <x:c r="A287" s="46"/>
      <x:c r="B287" s="46"/>
      <x:c r="C287" s="46"/>
      <x:c r="D287" s="46"/>
      <x:c r="E287" s="46"/>
      <x:c r="F287" s="46"/>
      <x:c r="G287" s="46"/>
      <x:c r="H287" s="46"/>
      <x:c r="I287" s="46"/>
      <x:c r="J287" s="46"/>
    </x:row>
    <x:row r="288">
      <x:c r="A288" s="46"/>
      <x:c r="B288" s="46"/>
      <x:c r="C288" s="46"/>
      <x:c r="D288" s="46"/>
      <x:c r="E288" s="46"/>
      <x:c r="F288" s="46"/>
      <x:c r="G288" s="46"/>
      <x:c r="H288" s="46"/>
      <x:c r="I288" s="46"/>
      <x:c r="J288" s="46"/>
    </x:row>
    <x:row r="289">
      <x:c r="A289" s="46"/>
      <x:c r="B289" s="46"/>
      <x:c r="C289" s="46"/>
      <x:c r="D289" s="46"/>
      <x:c r="E289" s="46"/>
      <x:c r="F289" s="46"/>
      <x:c r="G289" s="46"/>
      <x:c r="H289" s="46"/>
      <x:c r="I289" s="46"/>
      <x:c r="J289" s="46"/>
    </x:row>
    <x:row r="290">
      <x:c r="A290" s="46"/>
      <x:c r="B290" s="46"/>
      <x:c r="C290" s="46"/>
      <x:c r="D290" s="46"/>
      <x:c r="E290" s="46"/>
      <x:c r="F290" s="46"/>
      <x:c r="G290" s="46"/>
      <x:c r="H290" s="46"/>
      <x:c r="I290" s="46"/>
      <x:c r="J290" s="46"/>
    </x:row>
    <x:row r="291">
      <x:c r="A291" s="46"/>
      <x:c r="B291" s="46"/>
      <x:c r="C291" s="46"/>
      <x:c r="D291" s="46"/>
      <x:c r="E291" s="46"/>
      <x:c r="F291" s="46"/>
      <x:c r="G291" s="46"/>
      <x:c r="H291" s="46"/>
      <x:c r="I291" s="46"/>
      <x:c r="J291" s="46"/>
    </x:row>
    <x:row r="292">
      <x:c r="A292" s="46"/>
      <x:c r="B292" s="46"/>
      <x:c r="C292" s="46"/>
      <x:c r="D292" s="46"/>
      <x:c r="E292" s="46"/>
      <x:c r="F292" s="46"/>
      <x:c r="G292" s="46"/>
      <x:c r="H292" s="46"/>
      <x:c r="I292" s="46"/>
      <x:c r="J292" s="46"/>
    </x:row>
    <x:row r="293">
      <x:c r="A293" s="46"/>
      <x:c r="B293" s="46"/>
      <x:c r="C293" s="46"/>
      <x:c r="D293" s="46"/>
      <x:c r="E293" s="46"/>
      <x:c r="F293" s="46"/>
      <x:c r="G293" s="46"/>
      <x:c r="H293" s="46"/>
      <x:c r="I293" s="46"/>
      <x:c r="J293" s="46"/>
    </x:row>
    <x:row r="294">
      <x:c r="A294" s="46"/>
      <x:c r="B294" s="46"/>
      <x:c r="C294" s="46"/>
      <x:c r="D294" s="46"/>
      <x:c r="E294" s="46"/>
      <x:c r="F294" s="46"/>
      <x:c r="G294" s="46"/>
      <x:c r="H294" s="46"/>
      <x:c r="I294" s="46"/>
      <x:c r="J294" s="46"/>
    </x:row>
    <x:row r="295">
      <x:c r="A295" s="46"/>
      <x:c r="B295" s="46"/>
      <x:c r="C295" s="46"/>
      <x:c r="D295" s="46"/>
      <x:c r="E295" s="46"/>
      <x:c r="F295" s="46"/>
      <x:c r="G295" s="46"/>
      <x:c r="H295" s="46"/>
      <x:c r="I295" s="46"/>
      <x:c r="J295" s="46"/>
    </x:row>
    <x:row r="296">
      <x:c r="A296" s="46"/>
      <x:c r="B296" s="46"/>
      <x:c r="C296" s="46"/>
      <x:c r="D296" s="46"/>
      <x:c r="E296" s="46"/>
      <x:c r="F296" s="46"/>
      <x:c r="G296" s="46"/>
      <x:c r="H296" s="46"/>
      <x:c r="I296" s="46"/>
      <x:c r="J296" s="46"/>
    </x:row>
    <x:row r="297">
      <x:c r="A297" s="46"/>
      <x:c r="B297" s="46"/>
      <x:c r="C297" s="46"/>
      <x:c r="D297" s="46"/>
      <x:c r="E297" s="46"/>
      <x:c r="F297" s="46"/>
      <x:c r="G297" s="46"/>
      <x:c r="H297" s="46"/>
      <x:c r="I297" s="46"/>
      <x:c r="J297" s="46"/>
    </x:row>
    <x:row r="298">
      <x:c r="A298" s="46"/>
      <x:c r="B298" s="46"/>
      <x:c r="C298" s="46"/>
      <x:c r="D298" s="46"/>
      <x:c r="E298" s="46"/>
      <x:c r="F298" s="46"/>
      <x:c r="G298" s="46"/>
      <x:c r="H298" s="46"/>
      <x:c r="I298" s="46"/>
      <x:c r="J298" s="46"/>
    </x:row>
    <x:row r="299">
      <x:c r="A299" s="46"/>
      <x:c r="B299" s="46"/>
      <x:c r="C299" s="46"/>
      <x:c r="D299" s="46"/>
      <x:c r="E299" s="46"/>
      <x:c r="F299" s="46"/>
      <x:c r="G299" s="46"/>
      <x:c r="H299" s="46"/>
      <x:c r="I299" s="46"/>
      <x:c r="J299" s="46"/>
    </x:row>
    <x:row r="300">
      <x:c r="A300" s="46"/>
      <x:c r="B300" s="46"/>
      <x:c r="C300" s="46"/>
      <x:c r="D300" s="46"/>
      <x:c r="E300" s="46"/>
      <x:c r="F300" s="46"/>
      <x:c r="G300" s="46"/>
      <x:c r="H300" s="46"/>
      <x:c r="I300" s="46"/>
      <x:c r="J300" s="46"/>
    </x:row>
    <x:row r="301">
      <x:c r="A301" s="46"/>
      <x:c r="B301" s="46"/>
      <x:c r="C301" s="46"/>
      <x:c r="D301" s="46"/>
      <x:c r="E301" s="46"/>
      <x:c r="F301" s="46"/>
      <x:c r="G301" s="46"/>
      <x:c r="H301" s="46"/>
      <x:c r="I301" s="46"/>
      <x:c r="J301" s="46"/>
    </x:row>
    <x:row r="302">
      <x:c r="A302" s="46"/>
      <x:c r="B302" s="46"/>
      <x:c r="C302" s="46"/>
      <x:c r="D302" s="46"/>
      <x:c r="E302" s="46"/>
      <x:c r="F302" s="46"/>
      <x:c r="G302" s="46"/>
      <x:c r="H302" s="46"/>
      <x:c r="I302" s="46"/>
      <x:c r="J302" s="46"/>
    </x:row>
    <x:row r="303">
      <x:c r="A303" s="46"/>
      <x:c r="B303" s="46"/>
      <x:c r="C303" s="46"/>
      <x:c r="D303" s="46"/>
      <x:c r="E303" s="46"/>
      <x:c r="F303" s="46"/>
      <x:c r="G303" s="46"/>
      <x:c r="H303" s="46"/>
      <x:c r="I303" s="46"/>
      <x:c r="J303" s="46"/>
    </x:row>
    <x:row r="304">
      <x:c r="A304" s="46"/>
      <x:c r="B304" s="46"/>
      <x:c r="C304" s="46"/>
      <x:c r="D304" s="46"/>
      <x:c r="E304" s="46"/>
      <x:c r="F304" s="46"/>
      <x:c r="G304" s="46"/>
      <x:c r="H304" s="46"/>
      <x:c r="I304" s="46"/>
      <x:c r="J304" s="46"/>
    </x:row>
    <x:row r="305">
      <x:c r="A305" s="46"/>
      <x:c r="B305" s="46"/>
      <x:c r="C305" s="46"/>
      <x:c r="D305" s="46"/>
      <x:c r="E305" s="46"/>
      <x:c r="F305" s="46"/>
      <x:c r="G305" s="46"/>
      <x:c r="H305" s="46"/>
      <x:c r="I305" s="46"/>
      <x:c r="J305" s="46"/>
    </x:row>
    <x:row r="306">
      <x:c r="A306" s="46"/>
      <x:c r="B306" s="46"/>
      <x:c r="C306" s="46"/>
      <x:c r="D306" s="46"/>
      <x:c r="E306" s="46"/>
      <x:c r="F306" s="46"/>
      <x:c r="G306" s="46"/>
      <x:c r="H306" s="46"/>
      <x:c r="I306" s="46"/>
      <x:c r="J306" s="46"/>
    </x:row>
    <x:row r="307">
      <x:c r="A307" s="46"/>
      <x:c r="B307" s="46"/>
      <x:c r="C307" s="46"/>
      <x:c r="D307" s="46"/>
      <x:c r="E307" s="46"/>
      <x:c r="F307" s="46"/>
      <x:c r="G307" s="46"/>
      <x:c r="H307" s="46"/>
      <x:c r="I307" s="46"/>
      <x:c r="J307" s="46"/>
    </x:row>
    <x:row r="308">
      <x:c r="A308" s="46"/>
      <x:c r="B308" s="46"/>
      <x:c r="C308" s="46"/>
      <x:c r="D308" s="46"/>
      <x:c r="E308" s="46"/>
      <x:c r="F308" s="46"/>
      <x:c r="G308" s="46"/>
      <x:c r="H308" s="46"/>
      <x:c r="I308" s="46"/>
      <x:c r="J308" s="46"/>
    </x:row>
    <x:row r="309">
      <x:c r="A309" s="46"/>
      <x:c r="B309" s="46"/>
      <x:c r="C309" s="46"/>
      <x:c r="D309" s="46"/>
      <x:c r="E309" s="46"/>
      <x:c r="F309" s="46"/>
      <x:c r="G309" s="46"/>
      <x:c r="H309" s="46"/>
      <x:c r="I309" s="46"/>
      <x:c r="J309" s="46"/>
    </x:row>
    <x:row r="310">
      <x:c r="A310" s="46"/>
      <x:c r="B310" s="46"/>
      <x:c r="C310" s="46"/>
      <x:c r="D310" s="46"/>
      <x:c r="E310" s="46"/>
      <x:c r="F310" s="46"/>
      <x:c r="G310" s="46"/>
      <x:c r="H310" s="46"/>
      <x:c r="I310" s="46"/>
      <x:c r="J310" s="46"/>
    </x:row>
    <x:row r="311">
      <x:c r="A311" s="46"/>
      <x:c r="B311" s="46"/>
      <x:c r="C311" s="46"/>
      <x:c r="D311" s="46"/>
      <x:c r="E311" s="46"/>
      <x:c r="F311" s="46"/>
      <x:c r="G311" s="46"/>
      <x:c r="H311" s="46"/>
      <x:c r="I311" s="46"/>
      <x:c r="J311" s="46"/>
    </x:row>
    <x:row r="312">
      <x:c r="A312" s="46"/>
      <x:c r="B312" s="46"/>
      <x:c r="C312" s="46"/>
      <x:c r="D312" s="46"/>
      <x:c r="E312" s="46"/>
      <x:c r="F312" s="46"/>
      <x:c r="G312" s="46"/>
      <x:c r="H312" s="46"/>
      <x:c r="I312" s="46"/>
      <x:c r="J312" s="46"/>
    </x:row>
    <x:row r="313">
      <x:c r="A313" s="46"/>
      <x:c r="B313" s="46"/>
      <x:c r="C313" s="46"/>
      <x:c r="D313" s="46"/>
      <x:c r="E313" s="46"/>
      <x:c r="F313" s="46"/>
      <x:c r="G313" s="46"/>
      <x:c r="H313" s="46"/>
      <x:c r="I313" s="46"/>
      <x:c r="J313" s="46"/>
    </x:row>
    <x:row r="314">
      <x:c r="A314" s="46"/>
      <x:c r="B314" s="46"/>
      <x:c r="C314" s="46"/>
      <x:c r="D314" s="46"/>
      <x:c r="E314" s="46"/>
      <x:c r="F314" s="46"/>
      <x:c r="G314" s="46"/>
      <x:c r="H314" s="46"/>
      <x:c r="I314" s="46"/>
      <x:c r="J314" s="46"/>
    </x:row>
    <x:row r="315">
      <x:c r="A315" s="46"/>
      <x:c r="B315" s="46"/>
      <x:c r="C315" s="46"/>
      <x:c r="D315" s="46"/>
      <x:c r="E315" s="46"/>
      <x:c r="F315" s="46"/>
      <x:c r="G315" s="46"/>
      <x:c r="H315" s="46"/>
      <x:c r="I315" s="46"/>
      <x:c r="J315" s="46"/>
    </x:row>
    <x:row r="316">
      <x:c r="A316" s="46"/>
      <x:c r="B316" s="46"/>
      <x:c r="C316" s="46"/>
      <x:c r="D316" s="46"/>
      <x:c r="E316" s="46"/>
      <x:c r="F316" s="46"/>
      <x:c r="G316" s="46"/>
      <x:c r="H316" s="46"/>
      <x:c r="I316" s="46"/>
      <x:c r="J316" s="46"/>
    </x:row>
    <x:row r="317">
      <x:c r="A317" s="46"/>
      <x:c r="B317" s="46"/>
      <x:c r="C317" s="46"/>
      <x:c r="D317" s="46"/>
      <x:c r="E317" s="46"/>
      <x:c r="F317" s="46"/>
      <x:c r="G317" s="46"/>
      <x:c r="H317" s="46"/>
      <x:c r="I317" s="46"/>
      <x:c r="J317" s="46"/>
    </x:row>
    <x:row r="318">
      <x:c r="A318" s="46"/>
      <x:c r="B318" s="46"/>
      <x:c r="C318" s="46"/>
      <x:c r="D318" s="46"/>
      <x:c r="E318" s="46"/>
      <x:c r="F318" s="46"/>
      <x:c r="G318" s="46"/>
      <x:c r="H318" s="46"/>
      <x:c r="I318" s="46"/>
      <x:c r="J318" s="46"/>
    </x:row>
    <x:row r="319">
      <x:c r="A319" s="46"/>
      <x:c r="B319" s="46"/>
      <x:c r="C319" s="46"/>
      <x:c r="D319" s="46"/>
      <x:c r="E319" s="46"/>
      <x:c r="F319" s="46"/>
      <x:c r="G319" s="46"/>
      <x:c r="H319" s="46"/>
      <x:c r="I319" s="46"/>
      <x:c r="J319" s="46"/>
    </x:row>
    <x:row r="320">
      <x:c r="A320" s="46"/>
      <x:c r="B320" s="46"/>
      <x:c r="C320" s="46"/>
      <x:c r="D320" s="46"/>
      <x:c r="E320" s="46"/>
      <x:c r="F320" s="46"/>
      <x:c r="G320" s="46"/>
      <x:c r="H320" s="46"/>
      <x:c r="I320" s="46"/>
      <x:c r="J320" s="46"/>
    </x:row>
    <x:row r="321">
      <x:c r="A321" s="46"/>
      <x:c r="B321" s="46"/>
      <x:c r="C321" s="46"/>
      <x:c r="D321" s="46"/>
      <x:c r="E321" s="46"/>
      <x:c r="F321" s="46"/>
      <x:c r="G321" s="46"/>
      <x:c r="H321" s="46"/>
      <x:c r="I321" s="46"/>
      <x:c r="J321" s="46"/>
    </x:row>
    <x:row r="322">
      <x:c r="A322" s="46"/>
      <x:c r="B322" s="46"/>
      <x:c r="C322" s="46"/>
      <x:c r="D322" s="46"/>
      <x:c r="E322" s="46"/>
      <x:c r="F322" s="46"/>
      <x:c r="G322" s="46"/>
      <x:c r="H322" s="46"/>
      <x:c r="I322" s="46"/>
      <x:c r="J322" s="46"/>
    </x:row>
    <x:row r="323">
      <x:c r="A323" s="46"/>
      <x:c r="B323" s="46"/>
      <x:c r="C323" s="46"/>
      <x:c r="D323" s="46"/>
      <x:c r="E323" s="46"/>
      <x:c r="F323" s="46"/>
      <x:c r="G323" s="46"/>
      <x:c r="H323" s="46"/>
      <x:c r="I323" s="46"/>
      <x:c r="J323" s="46"/>
    </x:row>
    <x:row r="324">
      <x:c r="A324" s="46"/>
      <x:c r="B324" s="46"/>
      <x:c r="C324" s="46"/>
      <x:c r="D324" s="46"/>
      <x:c r="E324" s="46"/>
      <x:c r="F324" s="46"/>
      <x:c r="G324" s="46"/>
      <x:c r="H324" s="46"/>
      <x:c r="I324" s="46"/>
      <x:c r="J324" s="46"/>
    </x:row>
    <x:row r="325">
      <x:c r="A325" s="46"/>
      <x:c r="B325" s="46"/>
      <x:c r="C325" s="46"/>
      <x:c r="D325" s="46"/>
      <x:c r="E325" s="46"/>
      <x:c r="F325" s="46"/>
      <x:c r="G325" s="46"/>
      <x:c r="H325" s="46"/>
      <x:c r="I325" s="46"/>
      <x:c r="J325" s="46"/>
    </x:row>
    <x:row r="326">
      <x:c r="A326" s="46"/>
      <x:c r="B326" s="46"/>
      <x:c r="C326" s="46"/>
      <x:c r="D326" s="46"/>
      <x:c r="E326" s="46"/>
      <x:c r="F326" s="46"/>
      <x:c r="G326" s="46"/>
      <x:c r="H326" s="46"/>
      <x:c r="I326" s="46"/>
      <x:c r="J326" s="46"/>
    </x:row>
    <x:row r="327">
      <x:c r="A327" s="46"/>
      <x:c r="B327" s="46"/>
      <x:c r="C327" s="46"/>
      <x:c r="D327" s="46"/>
      <x:c r="E327" s="46"/>
      <x:c r="F327" s="46"/>
      <x:c r="G327" s="46"/>
      <x:c r="H327" s="46"/>
      <x:c r="I327" s="46"/>
      <x:c r="J327" s="46"/>
    </x:row>
    <x:row r="328">
      <x:c r="A328" s="46"/>
      <x:c r="B328" s="46"/>
      <x:c r="C328" s="46"/>
      <x:c r="D328" s="46"/>
      <x:c r="E328" s="46"/>
      <x:c r="F328" s="46"/>
      <x:c r="G328" s="46"/>
      <x:c r="H328" s="46"/>
      <x:c r="I328" s="46"/>
      <x:c r="J328" s="46"/>
    </x:row>
    <x:row r="329">
      <x:c r="A329" s="46"/>
      <x:c r="B329" s="46"/>
      <x:c r="C329" s="46"/>
      <x:c r="D329" s="46"/>
      <x:c r="E329" s="46"/>
      <x:c r="F329" s="46"/>
      <x:c r="G329" s="46"/>
      <x:c r="H329" s="46"/>
      <x:c r="I329" s="46"/>
      <x:c r="J329" s="46"/>
    </x:row>
    <x:row r="330">
      <x:c r="A330" s="46"/>
      <x:c r="B330" s="46"/>
      <x:c r="C330" s="46"/>
      <x:c r="D330" s="46"/>
      <x:c r="E330" s="46"/>
      <x:c r="F330" s="46"/>
      <x:c r="G330" s="46"/>
      <x:c r="H330" s="46"/>
      <x:c r="I330" s="46"/>
      <x:c r="J330" s="46"/>
    </x:row>
    <x:row r="331">
      <x:c r="A331" s="46"/>
      <x:c r="B331" s="46"/>
      <x:c r="C331" s="46"/>
      <x:c r="D331" s="46"/>
      <x:c r="E331" s="46"/>
      <x:c r="F331" s="46"/>
      <x:c r="G331" s="46"/>
      <x:c r="H331" s="46"/>
      <x:c r="I331" s="46"/>
      <x:c r="J331" s="46"/>
    </x:row>
    <x:row r="332">
      <x:c r="A332" s="46"/>
      <x:c r="B332" s="46"/>
      <x:c r="C332" s="46"/>
      <x:c r="D332" s="46"/>
      <x:c r="E332" s="46"/>
      <x:c r="F332" s="46"/>
      <x:c r="G332" s="46"/>
      <x:c r="H332" s="46"/>
      <x:c r="I332" s="46"/>
      <x:c r="J332" s="46"/>
    </x:row>
    <x:row r="333">
      <x:c r="A333" s="46"/>
      <x:c r="B333" s="46"/>
      <x:c r="C333" s="46"/>
      <x:c r="D333" s="46"/>
      <x:c r="E333" s="46"/>
      <x:c r="F333" s="46"/>
      <x:c r="G333" s="46"/>
      <x:c r="H333" s="46"/>
      <x:c r="I333" s="46"/>
      <x:c r="J333" s="46"/>
    </x:row>
    <x:row r="334">
      <x:c r="A334" s="46"/>
      <x:c r="B334" s="46"/>
      <x:c r="C334" s="46"/>
      <x:c r="D334" s="46"/>
      <x:c r="E334" s="46"/>
      <x:c r="F334" s="46"/>
      <x:c r="G334" s="46"/>
      <x:c r="H334" s="46"/>
      <x:c r="I334" s="46"/>
      <x:c r="J334" s="46"/>
    </x:row>
    <x:row r="335">
      <x:c r="A335" s="46"/>
      <x:c r="B335" s="46"/>
      <x:c r="C335" s="46"/>
      <x:c r="D335" s="46"/>
      <x:c r="E335" s="46"/>
      <x:c r="F335" s="46"/>
      <x:c r="G335" s="46"/>
      <x:c r="H335" s="46"/>
      <x:c r="I335" s="46"/>
      <x:c r="J335" s="46"/>
    </x:row>
    <x:row r="336">
      <x:c r="A336" s="46"/>
      <x:c r="B336" s="46"/>
      <x:c r="C336" s="46"/>
      <x:c r="D336" s="46"/>
      <x:c r="E336" s="46"/>
      <x:c r="F336" s="46"/>
      <x:c r="G336" s="46"/>
      <x:c r="H336" s="46"/>
      <x:c r="I336" s="46"/>
      <x:c r="J336" s="46"/>
    </x:row>
    <x:row r="337">
      <x:c r="A337" s="46"/>
      <x:c r="B337" s="46"/>
      <x:c r="C337" s="46"/>
      <x:c r="D337" s="46"/>
      <x:c r="E337" s="46"/>
      <x:c r="F337" s="46"/>
      <x:c r="G337" s="46"/>
      <x:c r="H337" s="46"/>
      <x:c r="I337" s="46"/>
      <x:c r="J337" s="46"/>
    </x:row>
    <x:row r="338">
      <x:c r="A338" s="46"/>
      <x:c r="B338" s="46"/>
      <x:c r="C338" s="46"/>
      <x:c r="D338" s="46"/>
      <x:c r="E338" s="46"/>
      <x:c r="F338" s="46"/>
      <x:c r="G338" s="46"/>
      <x:c r="H338" s="46"/>
      <x:c r="I338" s="46"/>
      <x:c r="J338" s="46"/>
    </x:row>
    <x:row r="339">
      <x:c r="A339" s="46"/>
      <x:c r="B339" s="46"/>
      <x:c r="C339" s="46"/>
      <x:c r="D339" s="46"/>
      <x:c r="E339" s="46"/>
      <x:c r="F339" s="46"/>
      <x:c r="G339" s="46"/>
      <x:c r="H339" s="46"/>
      <x:c r="I339" s="46"/>
      <x:c r="J339" s="46"/>
    </x:row>
    <x:row r="340">
      <x:c r="A340" s="46"/>
      <x:c r="B340" s="46"/>
      <x:c r="C340" s="46"/>
      <x:c r="D340" s="46"/>
      <x:c r="E340" s="46"/>
      <x:c r="F340" s="46"/>
      <x:c r="G340" s="46"/>
      <x:c r="H340" s="46"/>
      <x:c r="I340" s="46"/>
      <x:c r="J340" s="46"/>
    </x:row>
    <x:row r="341">
      <x:c r="A341" s="46"/>
      <x:c r="B341" s="46"/>
      <x:c r="C341" s="46"/>
      <x:c r="D341" s="46"/>
      <x:c r="E341" s="46"/>
      <x:c r="F341" s="46"/>
      <x:c r="G341" s="46"/>
      <x:c r="H341" s="46"/>
      <x:c r="I341" s="46"/>
      <x:c r="J341" s="46"/>
    </x:row>
    <x:row r="342">
      <x:c r="A342" s="46"/>
      <x:c r="B342" s="46"/>
      <x:c r="C342" s="46"/>
      <x:c r="D342" s="46"/>
      <x:c r="E342" s="46"/>
      <x:c r="F342" s="46"/>
      <x:c r="G342" s="46"/>
      <x:c r="H342" s="46"/>
      <x:c r="I342" s="46"/>
      <x:c r="J342" s="46"/>
    </x:row>
    <x:row r="343">
      <x:c r="A343" s="46"/>
      <x:c r="B343" s="46"/>
      <x:c r="C343" s="46"/>
      <x:c r="D343" s="46"/>
      <x:c r="E343" s="46"/>
      <x:c r="F343" s="46"/>
      <x:c r="G343" s="46"/>
      <x:c r="H343" s="46"/>
      <x:c r="I343" s="46"/>
      <x:c r="J343" s="46"/>
    </x:row>
    <x:row r="344">
      <x:c r="A344" s="46"/>
      <x:c r="B344" s="46"/>
      <x:c r="C344" s="46"/>
      <x:c r="D344" s="46"/>
      <x:c r="E344" s="46"/>
      <x:c r="F344" s="46"/>
      <x:c r="G344" s="46"/>
      <x:c r="H344" s="46"/>
      <x:c r="I344" s="46"/>
      <x:c r="J344" s="46"/>
    </x:row>
    <x:row r="345">
      <x:c r="A345" s="46"/>
      <x:c r="B345" s="46"/>
      <x:c r="C345" s="46"/>
      <x:c r="D345" s="46"/>
      <x:c r="E345" s="46"/>
      <x:c r="F345" s="46"/>
      <x:c r="G345" s="46"/>
      <x:c r="H345" s="46"/>
      <x:c r="I345" s="46"/>
      <x:c r="J345" s="46"/>
    </x:row>
    <x:row r="346">
      <x:c r="A346" s="46"/>
      <x:c r="B346" s="46"/>
      <x:c r="C346" s="46"/>
      <x:c r="D346" s="46"/>
      <x:c r="E346" s="46"/>
      <x:c r="F346" s="46"/>
      <x:c r="G346" s="46"/>
      <x:c r="H346" s="46"/>
      <x:c r="I346" s="46"/>
      <x:c r="J346" s="46"/>
    </x:row>
    <x:row r="347">
      <x:c r="A347" s="46"/>
      <x:c r="B347" s="46"/>
      <x:c r="C347" s="46"/>
      <x:c r="D347" s="46"/>
      <x:c r="E347" s="46"/>
      <x:c r="F347" s="46"/>
      <x:c r="G347" s="46"/>
      <x:c r="H347" s="46"/>
      <x:c r="I347" s="46"/>
      <x:c r="J347" s="46"/>
    </x:row>
    <x:row r="348">
      <x:c r="A348" s="46"/>
      <x:c r="B348" s="46"/>
      <x:c r="C348" s="46"/>
      <x:c r="D348" s="46"/>
      <x:c r="E348" s="46"/>
      <x:c r="F348" s="46"/>
      <x:c r="G348" s="46"/>
      <x:c r="H348" s="46"/>
      <x:c r="I348" s="46"/>
      <x:c r="J348" s="46"/>
    </x:row>
    <x:row r="349">
      <x:c r="A349" s="46"/>
      <x:c r="B349" s="46"/>
      <x:c r="C349" s="46"/>
      <x:c r="D349" s="46"/>
      <x:c r="E349" s="46"/>
      <x:c r="F349" s="46"/>
      <x:c r="G349" s="46"/>
      <x:c r="H349" s="46"/>
      <x:c r="I349" s="46"/>
      <x:c r="J349" s="46"/>
    </x:row>
    <x:row r="350">
      <x:c r="A350" s="46"/>
      <x:c r="B350" s="46"/>
      <x:c r="C350" s="46"/>
      <x:c r="D350" s="46"/>
      <x:c r="E350" s="46"/>
      <x:c r="F350" s="46"/>
      <x:c r="G350" s="46"/>
      <x:c r="H350" s="46"/>
      <x:c r="I350" s="46"/>
      <x:c r="J350" s="46"/>
    </x:row>
    <x:row r="351">
      <x:c r="A351" s="46"/>
      <x:c r="B351" s="46"/>
      <x:c r="C351" s="46"/>
      <x:c r="D351" s="46"/>
      <x:c r="E351" s="46"/>
      <x:c r="F351" s="46"/>
      <x:c r="G351" s="46"/>
      <x:c r="H351" s="46"/>
      <x:c r="I351" s="46"/>
      <x:c r="J351" s="46"/>
    </x:row>
    <x:row r="352">
      <x:c r="A352" s="46"/>
      <x:c r="B352" s="46"/>
      <x:c r="C352" s="46"/>
      <x:c r="D352" s="46"/>
      <x:c r="E352" s="46"/>
      <x:c r="F352" s="46"/>
      <x:c r="G352" s="46"/>
      <x:c r="H352" s="46"/>
      <x:c r="I352" s="46"/>
      <x:c r="J352" s="46"/>
    </x:row>
    <x:row r="353">
      <x:c r="A353" s="46"/>
      <x:c r="B353" s="46"/>
      <x:c r="C353" s="46"/>
      <x:c r="D353" s="46"/>
      <x:c r="E353" s="46"/>
      <x:c r="F353" s="46"/>
      <x:c r="G353" s="46"/>
      <x:c r="H353" s="46"/>
      <x:c r="I353" s="46"/>
      <x:c r="J353" s="46"/>
    </x:row>
    <x:row r="354">
      <x:c r="A354" s="46"/>
      <x:c r="B354" s="46"/>
      <x:c r="C354" s="46"/>
      <x:c r="D354" s="46"/>
      <x:c r="E354" s="46"/>
      <x:c r="F354" s="46"/>
      <x:c r="G354" s="46"/>
      <x:c r="H354" s="46"/>
      <x:c r="I354" s="46"/>
      <x:c r="J354" s="46"/>
    </x:row>
    <x:row r="355">
      <x:c r="A355" s="46"/>
      <x:c r="B355" s="46"/>
      <x:c r="C355" s="46"/>
      <x:c r="D355" s="46"/>
      <x:c r="E355" s="46"/>
      <x:c r="F355" s="46"/>
      <x:c r="G355" s="46"/>
      <x:c r="H355" s="46"/>
      <x:c r="I355" s="46"/>
      <x:c r="J355" s="46"/>
    </x:row>
    <x:row r="356">
      <x:c r="A356" s="46"/>
      <x:c r="B356" s="46"/>
      <x:c r="C356" s="46"/>
      <x:c r="D356" s="46"/>
      <x:c r="E356" s="46"/>
      <x:c r="F356" s="46"/>
      <x:c r="G356" s="46"/>
      <x:c r="H356" s="46"/>
      <x:c r="I356" s="46"/>
      <x:c r="J356" s="46"/>
    </x:row>
    <x:row r="357">
      <x:c r="A357" s="46"/>
      <x:c r="B357" s="46"/>
      <x:c r="C357" s="46"/>
      <x:c r="D357" s="46"/>
      <x:c r="E357" s="46"/>
      <x:c r="F357" s="46"/>
      <x:c r="G357" s="46"/>
      <x:c r="H357" s="46"/>
      <x:c r="I357" s="46"/>
      <x:c r="J357" s="46"/>
    </x:row>
    <x:row r="358">
      <x:c r="A358" s="46"/>
      <x:c r="B358" s="46"/>
      <x:c r="C358" s="46"/>
      <x:c r="D358" s="46"/>
      <x:c r="E358" s="46"/>
      <x:c r="F358" s="46"/>
      <x:c r="G358" s="46"/>
      <x:c r="H358" s="46"/>
      <x:c r="I358" s="46"/>
      <x:c r="J358" s="46"/>
    </x:row>
    <x:row r="359">
      <x:c r="A359" s="46"/>
      <x:c r="B359" s="46"/>
      <x:c r="C359" s="46"/>
      <x:c r="D359" s="46"/>
      <x:c r="E359" s="46"/>
      <x:c r="F359" s="46"/>
      <x:c r="G359" s="46"/>
      <x:c r="H359" s="46"/>
      <x:c r="I359" s="46"/>
      <x:c r="J359" s="46"/>
    </x:row>
    <x:row r="360">
      <x:c r="A360" s="46"/>
      <x:c r="B360" s="46"/>
      <x:c r="C360" s="46"/>
      <x:c r="D360" s="46"/>
      <x:c r="E360" s="46"/>
      <x:c r="F360" s="46"/>
      <x:c r="G360" s="46"/>
      <x:c r="H360" s="46"/>
      <x:c r="I360" s="46"/>
      <x:c r="J360" s="46"/>
    </x:row>
    <x:row r="361">
      <x:c r="A361" s="46"/>
      <x:c r="B361" s="46"/>
      <x:c r="C361" s="46"/>
      <x:c r="D361" s="46"/>
      <x:c r="E361" s="46"/>
      <x:c r="F361" s="46"/>
      <x:c r="G361" s="46"/>
      <x:c r="H361" s="46"/>
      <x:c r="I361" s="46"/>
      <x:c r="J361" s="46"/>
    </x:row>
    <x:row r="362">
      <x:c r="A362" s="46"/>
      <x:c r="B362" s="46"/>
      <x:c r="C362" s="46"/>
      <x:c r="D362" s="46"/>
      <x:c r="E362" s="46"/>
      <x:c r="F362" s="46"/>
      <x:c r="G362" s="46"/>
      <x:c r="H362" s="46"/>
      <x:c r="I362" s="46"/>
      <x:c r="J362" s="46"/>
    </x:row>
    <x:row r="363">
      <x:c r="A363" s="46"/>
      <x:c r="B363" s="46"/>
      <x:c r="C363" s="46"/>
      <x:c r="D363" s="46"/>
      <x:c r="E363" s="46"/>
      <x:c r="F363" s="46"/>
      <x:c r="G363" s="46"/>
      <x:c r="H363" s="46"/>
      <x:c r="I363" s="46"/>
      <x:c r="J363" s="46"/>
    </x:row>
    <x:row r="364">
      <x:c r="A364" s="46"/>
      <x:c r="B364" s="46"/>
      <x:c r="C364" s="46"/>
      <x:c r="D364" s="46"/>
      <x:c r="E364" s="46"/>
      <x:c r="F364" s="46"/>
      <x:c r="G364" s="46"/>
      <x:c r="H364" s="46"/>
      <x:c r="I364" s="46"/>
      <x:c r="J364" s="46"/>
    </x:row>
    <x:row r="365">
      <x:c r="A365" s="46"/>
      <x:c r="B365" s="46"/>
      <x:c r="C365" s="46"/>
      <x:c r="D365" s="46"/>
      <x:c r="E365" s="46"/>
      <x:c r="F365" s="46"/>
      <x:c r="G365" s="46"/>
      <x:c r="H365" s="46"/>
      <x:c r="I365" s="46"/>
      <x:c r="J365" s="46"/>
    </x:row>
    <x:row r="366">
      <x:c r="A366" s="46"/>
      <x:c r="B366" s="46"/>
      <x:c r="C366" s="46"/>
      <x:c r="D366" s="46"/>
      <x:c r="E366" s="46"/>
      <x:c r="F366" s="46"/>
      <x:c r="G366" s="46"/>
      <x:c r="H366" s="46"/>
      <x:c r="I366" s="46"/>
      <x:c r="J366" s="46"/>
    </x:row>
    <x:row r="367">
      <x:c r="A367" s="46"/>
      <x:c r="B367" s="46"/>
      <x:c r="C367" s="46"/>
      <x:c r="D367" s="46"/>
      <x:c r="E367" s="46"/>
      <x:c r="F367" s="46"/>
      <x:c r="G367" s="46"/>
      <x:c r="H367" s="46"/>
      <x:c r="I367" s="46"/>
      <x:c r="J367" s="46"/>
    </x:row>
    <x:row r="368">
      <x:c r="A368" s="46"/>
      <x:c r="B368" s="46"/>
      <x:c r="C368" s="46"/>
      <x:c r="D368" s="46"/>
      <x:c r="E368" s="46"/>
      <x:c r="F368" s="46"/>
      <x:c r="G368" s="46"/>
      <x:c r="H368" s="46"/>
      <x:c r="I368" s="46"/>
      <x:c r="J368" s="46"/>
    </x:row>
    <x:row r="369">
      <x:c r="A369" s="46"/>
      <x:c r="B369" s="46"/>
      <x:c r="C369" s="46"/>
      <x:c r="D369" s="46"/>
      <x:c r="E369" s="46"/>
      <x:c r="F369" s="46"/>
      <x:c r="G369" s="46"/>
      <x:c r="H369" s="46"/>
      <x:c r="I369" s="46"/>
      <x:c r="J369" s="46"/>
    </x:row>
    <x:row r="370">
      <x:c r="A370" s="46"/>
      <x:c r="B370" s="46"/>
      <x:c r="C370" s="46"/>
      <x:c r="D370" s="46"/>
      <x:c r="E370" s="46"/>
      <x:c r="F370" s="46"/>
      <x:c r="G370" s="46"/>
      <x:c r="H370" s="46"/>
      <x:c r="I370" s="46"/>
      <x:c r="J370" s="46"/>
    </x:row>
    <x:row r="371">
      <x:c r="A371" s="46"/>
      <x:c r="B371" s="46"/>
      <x:c r="C371" s="46"/>
      <x:c r="D371" s="46"/>
      <x:c r="E371" s="46"/>
      <x:c r="F371" s="46"/>
      <x:c r="G371" s="46"/>
      <x:c r="H371" s="46"/>
      <x:c r="I371" s="46"/>
      <x:c r="J371" s="46"/>
    </x:row>
    <x:row r="372">
      <x:c r="A372" s="46"/>
      <x:c r="B372" s="46"/>
      <x:c r="C372" s="46"/>
      <x:c r="D372" s="46"/>
      <x:c r="E372" s="46"/>
      <x:c r="F372" s="46"/>
      <x:c r="G372" s="46"/>
      <x:c r="H372" s="46"/>
      <x:c r="I372" s="46"/>
      <x:c r="J372" s="46"/>
    </x:row>
    <x:row r="373">
      <x:c r="A373" s="46"/>
      <x:c r="B373" s="46"/>
      <x:c r="C373" s="46"/>
      <x:c r="D373" s="46"/>
      <x:c r="E373" s="46"/>
      <x:c r="F373" s="46"/>
      <x:c r="G373" s="46"/>
      <x:c r="H373" s="46"/>
      <x:c r="I373" s="46"/>
      <x:c r="J373" s="46"/>
    </x:row>
    <x:row r="374">
      <x:c r="A374" s="46"/>
      <x:c r="B374" s="46"/>
      <x:c r="C374" s="46"/>
      <x:c r="D374" s="46"/>
      <x:c r="E374" s="46"/>
      <x:c r="F374" s="46"/>
      <x:c r="G374" s="46"/>
      <x:c r="H374" s="46"/>
      <x:c r="I374" s="46"/>
      <x:c r="J374" s="46"/>
    </x:row>
    <x:row r="375">
      <x:c r="A375" s="46"/>
      <x:c r="B375" s="46"/>
      <x:c r="C375" s="46"/>
      <x:c r="D375" s="46"/>
      <x:c r="E375" s="46"/>
      <x:c r="F375" s="46"/>
      <x:c r="G375" s="46"/>
      <x:c r="H375" s="46"/>
      <x:c r="I375" s="46"/>
      <x:c r="J375" s="46"/>
    </x:row>
    <x:row r="376">
      <x:c r="A376" s="46"/>
      <x:c r="B376" s="46"/>
      <x:c r="C376" s="46"/>
      <x:c r="D376" s="46"/>
      <x:c r="E376" s="46"/>
      <x:c r="F376" s="46"/>
      <x:c r="G376" s="46"/>
      <x:c r="H376" s="46"/>
      <x:c r="I376" s="46"/>
      <x:c r="J376" s="46"/>
    </x:row>
    <x:row r="377">
      <x:c r="A377" s="46"/>
      <x:c r="B377" s="46"/>
      <x:c r="C377" s="46"/>
      <x:c r="D377" s="46"/>
      <x:c r="E377" s="46"/>
      <x:c r="F377" s="46"/>
      <x:c r="G377" s="46"/>
      <x:c r="H377" s="46"/>
      <x:c r="I377" s="46"/>
      <x:c r="J377" s="46"/>
    </x:row>
    <x:row r="378">
      <x:c r="A378" s="46"/>
      <x:c r="B378" s="46"/>
      <x:c r="C378" s="46"/>
      <x:c r="D378" s="46"/>
      <x:c r="E378" s="46"/>
      <x:c r="F378" s="46"/>
      <x:c r="G378" s="46"/>
      <x:c r="H378" s="46"/>
      <x:c r="I378" s="46"/>
      <x:c r="J378" s="46"/>
    </x:row>
    <x:row r="379">
      <x:c r="A379" s="46"/>
      <x:c r="B379" s="46"/>
      <x:c r="C379" s="46"/>
      <x:c r="D379" s="46"/>
      <x:c r="E379" s="46"/>
      <x:c r="F379" s="46"/>
      <x:c r="G379" s="46"/>
      <x:c r="H379" s="46"/>
      <x:c r="I379" s="46"/>
      <x:c r="J379" s="46"/>
    </x:row>
    <x:row r="380">
      <x:c r="A380" s="46"/>
      <x:c r="B380" s="46"/>
      <x:c r="C380" s="46"/>
      <x:c r="D380" s="46"/>
      <x:c r="E380" s="46"/>
      <x:c r="F380" s="46"/>
      <x:c r="G380" s="46"/>
      <x:c r="H380" s="46"/>
      <x:c r="I380" s="46"/>
      <x:c r="J380" s="46"/>
    </x:row>
    <x:row r="381">
      <x:c r="A381" s="46"/>
      <x:c r="B381" s="46"/>
      <x:c r="C381" s="46"/>
      <x:c r="D381" s="46"/>
      <x:c r="E381" s="46"/>
      <x:c r="F381" s="46"/>
      <x:c r="G381" s="46"/>
      <x:c r="H381" s="46"/>
      <x:c r="I381" s="46"/>
      <x:c r="J381" s="46"/>
    </x:row>
    <x:row r="382">
      <x:c r="A382" s="46"/>
      <x:c r="B382" s="46"/>
      <x:c r="C382" s="46"/>
      <x:c r="D382" s="46"/>
      <x:c r="E382" s="46"/>
      <x:c r="F382" s="46"/>
      <x:c r="G382" s="46"/>
      <x:c r="H382" s="46"/>
      <x:c r="I382" s="46"/>
      <x:c r="J382" s="46"/>
    </x:row>
    <x:row r="383">
      <x:c r="A383" s="46"/>
      <x:c r="B383" s="46"/>
      <x:c r="C383" s="46"/>
      <x:c r="D383" s="46"/>
      <x:c r="E383" s="46"/>
      <x:c r="F383" s="46"/>
      <x:c r="G383" s="46"/>
      <x:c r="H383" s="46"/>
      <x:c r="I383" s="46"/>
      <x:c r="J383" s="46"/>
    </x:row>
    <x:row r="384">
      <x:c r="A384" s="46"/>
      <x:c r="B384" s="46"/>
      <x:c r="C384" s="46"/>
      <x:c r="D384" s="46"/>
      <x:c r="E384" s="46"/>
      <x:c r="F384" s="46"/>
      <x:c r="G384" s="46"/>
      <x:c r="H384" s="46"/>
      <x:c r="I384" s="46"/>
      <x:c r="J384" s="46"/>
    </x:row>
    <x:row r="385">
      <x:c r="A385" s="46"/>
      <x:c r="B385" s="46"/>
      <x:c r="C385" s="46"/>
      <x:c r="D385" s="46"/>
      <x:c r="E385" s="46"/>
      <x:c r="F385" s="46"/>
      <x:c r="G385" s="46"/>
      <x:c r="H385" s="46"/>
      <x:c r="I385" s="46"/>
      <x:c r="J385" s="46"/>
    </x:row>
    <x:row r="386">
      <x:c r="A386" s="46"/>
      <x:c r="B386" s="46"/>
      <x:c r="C386" s="46"/>
      <x:c r="D386" s="46"/>
      <x:c r="E386" s="46"/>
      <x:c r="F386" s="46"/>
      <x:c r="G386" s="46"/>
      <x:c r="H386" s="46"/>
      <x:c r="I386" s="46"/>
      <x:c r="J386" s="46"/>
    </x:row>
    <x:row r="387">
      <x:c r="A387" s="46"/>
      <x:c r="B387" s="46"/>
      <x:c r="C387" s="46"/>
      <x:c r="D387" s="46"/>
      <x:c r="E387" s="46"/>
      <x:c r="F387" s="46"/>
      <x:c r="G387" s="46"/>
      <x:c r="H387" s="46"/>
      <x:c r="I387" s="46"/>
      <x:c r="J387" s="46"/>
    </x:row>
    <x:row r="388">
      <x:c r="A388" s="46"/>
      <x:c r="B388" s="46"/>
      <x:c r="C388" s="46"/>
      <x:c r="D388" s="46"/>
      <x:c r="E388" s="46"/>
      <x:c r="F388" s="46"/>
      <x:c r="G388" s="46"/>
      <x:c r="H388" s="46"/>
      <x:c r="I388" s="46"/>
      <x:c r="J388" s="46"/>
    </x:row>
    <x:row r="389">
      <x:c r="A389" s="46"/>
      <x:c r="B389" s="46"/>
      <x:c r="C389" s="46"/>
      <x:c r="D389" s="46"/>
      <x:c r="E389" s="46"/>
      <x:c r="F389" s="46"/>
      <x:c r="G389" s="46"/>
      <x:c r="H389" s="46"/>
      <x:c r="I389" s="46"/>
      <x:c r="J389" s="46"/>
    </x:row>
    <x:row r="390">
      <x:c r="A390" s="46"/>
      <x:c r="B390" s="46"/>
      <x:c r="C390" s="46"/>
      <x:c r="D390" s="46"/>
      <x:c r="E390" s="46"/>
      <x:c r="F390" s="46"/>
      <x:c r="G390" s="46"/>
      <x:c r="H390" s="46"/>
      <x:c r="I390" s="46"/>
      <x:c r="J390" s="46"/>
    </x:row>
    <x:row r="391">
      <x:c r="A391" s="46"/>
      <x:c r="B391" s="46"/>
      <x:c r="C391" s="46"/>
      <x:c r="D391" s="46"/>
      <x:c r="E391" s="46"/>
      <x:c r="F391" s="46"/>
      <x:c r="G391" s="46"/>
      <x:c r="H391" s="46"/>
      <x:c r="I391" s="46"/>
      <x:c r="J391" s="46"/>
    </x:row>
    <x:row r="392">
      <x:c r="A392" s="46"/>
      <x:c r="B392" s="46"/>
      <x:c r="C392" s="46"/>
      <x:c r="D392" s="46"/>
      <x:c r="E392" s="46"/>
      <x:c r="F392" s="46"/>
      <x:c r="G392" s="46"/>
      <x:c r="H392" s="46"/>
      <x:c r="I392" s="46"/>
      <x:c r="J392" s="46"/>
    </x:row>
    <x:row r="393">
      <x:c r="A393" s="46"/>
      <x:c r="B393" s="46"/>
      <x:c r="C393" s="46"/>
      <x:c r="D393" s="46"/>
      <x:c r="E393" s="46"/>
      <x:c r="F393" s="46"/>
      <x:c r="G393" s="46"/>
      <x:c r="H393" s="46"/>
      <x:c r="I393" s="46"/>
      <x:c r="J393" s="46"/>
    </x:row>
    <x:row r="394">
      <x:c r="A394" s="46"/>
      <x:c r="B394" s="46"/>
      <x:c r="C394" s="46"/>
      <x:c r="D394" s="46"/>
      <x:c r="E394" s="46"/>
      <x:c r="F394" s="46"/>
      <x:c r="G394" s="46"/>
      <x:c r="H394" s="46"/>
      <x:c r="I394" s="46"/>
      <x:c r="J394" s="46"/>
    </x:row>
    <x:row r="395">
      <x:c r="A395" s="46"/>
      <x:c r="B395" s="46"/>
      <x:c r="C395" s="46"/>
      <x:c r="D395" s="46"/>
      <x:c r="E395" s="46"/>
      <x:c r="F395" s="46"/>
      <x:c r="G395" s="46"/>
      <x:c r="H395" s="46"/>
      <x:c r="I395" s="46"/>
      <x:c r="J395" s="46"/>
    </x:row>
    <x:row r="396">
      <x:c r="A396" s="46"/>
      <x:c r="B396" s="46"/>
      <x:c r="C396" s="46"/>
      <x:c r="D396" s="46"/>
      <x:c r="E396" s="46"/>
      <x:c r="F396" s="46"/>
      <x:c r="G396" s="46"/>
      <x:c r="H396" s="46"/>
      <x:c r="I396" s="46"/>
      <x:c r="J396" s="46"/>
    </x:row>
    <x:row r="397">
      <x:c r="A397" s="46"/>
      <x:c r="B397" s="46"/>
      <x:c r="C397" s="46"/>
      <x:c r="D397" s="46"/>
      <x:c r="E397" s="46"/>
      <x:c r="F397" s="46"/>
      <x:c r="G397" s="46"/>
      <x:c r="H397" s="46"/>
      <x:c r="I397" s="46"/>
      <x:c r="J397" s="46"/>
    </x:row>
    <x:row r="398">
      <x:c r="A398" s="46"/>
      <x:c r="B398" s="46"/>
      <x:c r="C398" s="46"/>
      <x:c r="D398" s="46"/>
      <x:c r="E398" s="46"/>
      <x:c r="F398" s="46"/>
      <x:c r="G398" s="46"/>
      <x:c r="H398" s="46"/>
      <x:c r="I398" s="46"/>
      <x:c r="J398" s="46"/>
    </x:row>
    <x:row r="399">
      <x:c r="A399" s="46"/>
      <x:c r="B399" s="46"/>
      <x:c r="C399" s="46"/>
      <x:c r="D399" s="46"/>
      <x:c r="E399" s="46"/>
      <x:c r="F399" s="46"/>
      <x:c r="G399" s="46"/>
      <x:c r="H399" s="46"/>
      <x:c r="I399" s="46"/>
      <x:c r="J399" s="46"/>
    </x:row>
    <x:row r="400">
      <x:c r="A400" s="46"/>
      <x:c r="B400" s="46"/>
      <x:c r="C400" s="46"/>
      <x:c r="D400" s="46"/>
      <x:c r="E400" s="46"/>
      <x:c r="F400" s="46"/>
      <x:c r="G400" s="46"/>
      <x:c r="H400" s="46"/>
      <x:c r="I400" s="46"/>
      <x:c r="J400" s="46"/>
    </x:row>
    <x:row r="401">
      <x:c r="A401" s="46"/>
      <x:c r="B401" s="46"/>
      <x:c r="C401" s="46"/>
      <x:c r="D401" s="46"/>
      <x:c r="E401" s="46"/>
      <x:c r="F401" s="46"/>
      <x:c r="G401" s="46"/>
      <x:c r="H401" s="46"/>
      <x:c r="I401" s="46"/>
      <x:c r="J401" s="46"/>
    </x:row>
    <x:row r="402">
      <x:c r="A402" s="46"/>
      <x:c r="B402" s="46"/>
      <x:c r="C402" s="46"/>
      <x:c r="D402" s="46"/>
      <x:c r="E402" s="46"/>
      <x:c r="F402" s="46"/>
      <x:c r="G402" s="46"/>
      <x:c r="H402" s="46"/>
      <x:c r="I402" s="46"/>
      <x:c r="J402" s="46"/>
    </x:row>
    <x:row r="403">
      <x:c r="A403" s="46"/>
      <x:c r="B403" s="46"/>
      <x:c r="C403" s="46"/>
      <x:c r="D403" s="46"/>
      <x:c r="E403" s="46"/>
      <x:c r="F403" s="46"/>
      <x:c r="G403" s="46"/>
      <x:c r="H403" s="46"/>
      <x:c r="I403" s="46"/>
      <x:c r="J403" s="46"/>
    </x:row>
    <x:row r="404">
      <x:c r="A404" s="46"/>
      <x:c r="B404" s="46"/>
      <x:c r="C404" s="46"/>
      <x:c r="D404" s="46"/>
      <x:c r="E404" s="46"/>
      <x:c r="F404" s="46"/>
      <x:c r="G404" s="46"/>
      <x:c r="H404" s="46"/>
      <x:c r="I404" s="46"/>
      <x:c r="J404" s="46"/>
    </x:row>
    <x:row r="405">
      <x:c r="A405" s="46"/>
      <x:c r="B405" s="46"/>
      <x:c r="C405" s="46"/>
      <x:c r="D405" s="46"/>
      <x:c r="E405" s="46"/>
      <x:c r="F405" s="46"/>
      <x:c r="G405" s="46"/>
      <x:c r="H405" s="46"/>
      <x:c r="I405" s="46"/>
      <x:c r="J405" s="46"/>
    </x:row>
    <x:row r="406">
      <x:c r="A406" s="46"/>
      <x:c r="B406" s="46"/>
      <x:c r="C406" s="46"/>
      <x:c r="D406" s="46"/>
      <x:c r="E406" s="46"/>
      <x:c r="F406" s="46"/>
      <x:c r="G406" s="46"/>
      <x:c r="H406" s="46"/>
      <x:c r="I406" s="46"/>
      <x:c r="J406" s="46"/>
    </x:row>
    <x:row r="407">
      <x:c r="A407" s="46"/>
      <x:c r="B407" s="46"/>
      <x:c r="C407" s="46"/>
      <x:c r="D407" s="46"/>
      <x:c r="E407" s="46"/>
      <x:c r="F407" s="46"/>
      <x:c r="G407" s="46"/>
      <x:c r="H407" s="46"/>
      <x:c r="I407" s="46"/>
      <x:c r="J407" s="46"/>
    </x:row>
    <x:row r="408">
      <x:c r="A408" s="46"/>
      <x:c r="B408" s="46"/>
      <x:c r="C408" s="46"/>
      <x:c r="D408" s="46"/>
      <x:c r="E408" s="46"/>
      <x:c r="F408" s="46"/>
      <x:c r="G408" s="46"/>
      <x:c r="H408" s="46"/>
      <x:c r="I408" s="46"/>
      <x:c r="J408" s="46"/>
    </x:row>
    <x:row r="409">
      <x:c r="A409" s="46"/>
      <x:c r="B409" s="46"/>
      <x:c r="C409" s="46"/>
      <x:c r="D409" s="46"/>
      <x:c r="E409" s="46"/>
      <x:c r="F409" s="46"/>
      <x:c r="G409" s="46"/>
      <x:c r="H409" s="46"/>
      <x:c r="I409" s="46"/>
      <x:c r="J409" s="46"/>
    </x:row>
    <x:row r="410">
      <x:c r="A410" s="46"/>
      <x:c r="B410" s="46"/>
      <x:c r="C410" s="46"/>
      <x:c r="D410" s="46"/>
      <x:c r="E410" s="46"/>
      <x:c r="F410" s="46"/>
      <x:c r="G410" s="46"/>
      <x:c r="H410" s="46"/>
      <x:c r="I410" s="46"/>
      <x:c r="J410" s="46"/>
    </x:row>
    <x:row r="411">
      <x:c r="A411" s="46"/>
      <x:c r="B411" s="46"/>
      <x:c r="C411" s="46"/>
      <x:c r="D411" s="46"/>
      <x:c r="E411" s="46"/>
      <x:c r="F411" s="46"/>
      <x:c r="G411" s="46"/>
      <x:c r="H411" s="46"/>
      <x:c r="I411" s="46"/>
      <x:c r="J411" s="46"/>
    </x:row>
    <x:row r="412">
      <x:c r="A412" s="46"/>
      <x:c r="B412" s="46"/>
      <x:c r="C412" s="46"/>
      <x:c r="D412" s="46"/>
      <x:c r="E412" s="46"/>
      <x:c r="F412" s="46"/>
      <x:c r="G412" s="46"/>
      <x:c r="H412" s="46"/>
      <x:c r="I412" s="46"/>
      <x:c r="J412" s="46"/>
    </x:row>
    <x:row r="413">
      <x:c r="A413" s="46"/>
      <x:c r="B413" s="46"/>
      <x:c r="C413" s="46"/>
      <x:c r="D413" s="46"/>
      <x:c r="E413" s="46"/>
      <x:c r="F413" s="46"/>
      <x:c r="G413" s="46"/>
      <x:c r="H413" s="46"/>
      <x:c r="I413" s="46"/>
      <x:c r="J413" s="46"/>
    </x:row>
    <x:row r="414">
      <x:c r="A414" s="46"/>
      <x:c r="B414" s="46"/>
      <x:c r="C414" s="46"/>
      <x:c r="D414" s="46"/>
      <x:c r="E414" s="46"/>
      <x:c r="F414" s="46"/>
      <x:c r="G414" s="46"/>
      <x:c r="H414" s="46"/>
      <x:c r="I414" s="46"/>
      <x:c r="J414" s="46"/>
    </x:row>
    <x:row r="415">
      <x:c r="A415" s="46"/>
      <x:c r="B415" s="46"/>
      <x:c r="C415" s="46"/>
      <x:c r="D415" s="46"/>
      <x:c r="E415" s="46"/>
      <x:c r="F415" s="46"/>
      <x:c r="G415" s="46"/>
      <x:c r="H415" s="46"/>
      <x:c r="I415" s="46"/>
      <x:c r="J415" s="46"/>
    </x:row>
    <x:row r="416">
      <x:c r="A416" s="46"/>
      <x:c r="B416" s="46"/>
      <x:c r="C416" s="46"/>
      <x:c r="D416" s="46"/>
      <x:c r="E416" s="46"/>
      <x:c r="F416" s="46"/>
      <x:c r="G416" s="46"/>
      <x:c r="H416" s="46"/>
      <x:c r="I416" s="46"/>
      <x:c r="J416" s="46"/>
    </x:row>
    <x:row r="417">
      <x:c r="A417" s="46"/>
      <x:c r="B417" s="46"/>
      <x:c r="C417" s="46"/>
      <x:c r="D417" s="46"/>
      <x:c r="E417" s="46"/>
      <x:c r="F417" s="46"/>
      <x:c r="G417" s="46"/>
      <x:c r="H417" s="46"/>
      <x:c r="I417" s="46"/>
      <x:c r="J417" s="46"/>
    </x:row>
    <x:row r="418">
      <x:c r="A418" s="46"/>
      <x:c r="B418" s="46"/>
      <x:c r="C418" s="46"/>
      <x:c r="D418" s="46"/>
      <x:c r="E418" s="46"/>
      <x:c r="F418" s="46"/>
      <x:c r="G418" s="46"/>
      <x:c r="H418" s="46"/>
      <x:c r="I418" s="46"/>
      <x:c r="J418" s="46"/>
    </x:row>
    <x:row r="419">
      <x:c r="A419" s="46"/>
      <x:c r="B419" s="46"/>
      <x:c r="C419" s="46"/>
      <x:c r="D419" s="46"/>
      <x:c r="E419" s="46"/>
      <x:c r="F419" s="46"/>
      <x:c r="G419" s="46"/>
      <x:c r="H419" s="46"/>
      <x:c r="I419" s="46"/>
      <x:c r="J419" s="46"/>
    </x:row>
    <x:row r="420">
      <x:c r="A420" s="46"/>
      <x:c r="B420" s="46"/>
      <x:c r="C420" s="46"/>
      <x:c r="D420" s="46"/>
      <x:c r="E420" s="46"/>
      <x:c r="F420" s="46"/>
      <x:c r="G420" s="46"/>
      <x:c r="H420" s="46"/>
      <x:c r="I420" s="46"/>
      <x:c r="J420" s="46"/>
    </x:row>
    <x:row r="421">
      <x:c r="A421" s="46"/>
      <x:c r="B421" s="46"/>
      <x:c r="C421" s="46"/>
      <x:c r="D421" s="46"/>
      <x:c r="E421" s="46"/>
      <x:c r="F421" s="46"/>
      <x:c r="G421" s="46"/>
      <x:c r="H421" s="46"/>
      <x:c r="I421" s="46"/>
      <x:c r="J421" s="46"/>
    </x:row>
    <x:row r="422">
      <x:c r="A422" s="46"/>
      <x:c r="B422" s="46"/>
      <x:c r="C422" s="46"/>
      <x:c r="D422" s="46"/>
      <x:c r="E422" s="46"/>
      <x:c r="F422" s="46"/>
      <x:c r="G422" s="46"/>
      <x:c r="H422" s="46"/>
      <x:c r="I422" s="46"/>
      <x:c r="J422" s="46"/>
    </x:row>
    <x:row r="423">
      <x:c r="A423" s="46"/>
      <x:c r="B423" s="46"/>
      <x:c r="C423" s="46"/>
      <x:c r="D423" s="46"/>
      <x:c r="E423" s="46"/>
      <x:c r="F423" s="46"/>
      <x:c r="G423" s="46"/>
      <x:c r="H423" s="46"/>
      <x:c r="I423" s="46"/>
      <x:c r="J423" s="46"/>
    </x:row>
    <x:row r="424">
      <x:c r="A424" s="46"/>
      <x:c r="B424" s="46"/>
      <x:c r="C424" s="46"/>
      <x:c r="D424" s="46"/>
      <x:c r="E424" s="46"/>
      <x:c r="F424" s="46"/>
      <x:c r="G424" s="46"/>
      <x:c r="H424" s="46"/>
      <x:c r="I424" s="46"/>
      <x:c r="J424" s="46"/>
    </x:row>
    <x:row r="425">
      <x:c r="A425" s="46"/>
      <x:c r="B425" s="46"/>
      <x:c r="C425" s="46"/>
      <x:c r="D425" s="46"/>
      <x:c r="E425" s="46"/>
      <x:c r="F425" s="46"/>
      <x:c r="G425" s="46"/>
      <x:c r="H425" s="46"/>
      <x:c r="I425" s="46"/>
      <x:c r="J425" s="46"/>
    </x:row>
    <x:row r="426">
      <x:c r="A426" s="46"/>
      <x:c r="B426" s="46"/>
      <x:c r="C426" s="46"/>
      <x:c r="D426" s="46"/>
      <x:c r="E426" s="46"/>
      <x:c r="F426" s="46"/>
      <x:c r="G426" s="46"/>
      <x:c r="H426" s="46"/>
      <x:c r="I426" s="46"/>
      <x:c r="J426" s="46"/>
    </x:row>
    <x:row r="427">
      <x:c r="A427" s="46"/>
      <x:c r="B427" s="46"/>
      <x:c r="C427" s="46"/>
      <x:c r="D427" s="46"/>
      <x:c r="E427" s="46"/>
      <x:c r="F427" s="46"/>
      <x:c r="G427" s="46"/>
      <x:c r="H427" s="46"/>
      <x:c r="I427" s="46"/>
      <x:c r="J427" s="46"/>
    </x:row>
    <x:row r="428">
      <x:c r="A428" s="46"/>
      <x:c r="B428" s="46"/>
      <x:c r="C428" s="46"/>
      <x:c r="D428" s="46"/>
      <x:c r="E428" s="46"/>
      <x:c r="F428" s="46"/>
      <x:c r="G428" s="46"/>
      <x:c r="H428" s="46"/>
      <x:c r="I428" s="46"/>
      <x:c r="J428" s="46"/>
    </x:row>
    <x:row r="429">
      <x:c r="A429" s="46"/>
      <x:c r="B429" s="46"/>
      <x:c r="C429" s="46"/>
      <x:c r="D429" s="46"/>
      <x:c r="E429" s="46"/>
      <x:c r="F429" s="46"/>
      <x:c r="G429" s="46"/>
      <x:c r="H429" s="46"/>
      <x:c r="I429" s="46"/>
      <x:c r="J429" s="46"/>
    </x:row>
    <x:row r="430">
      <x:c r="A430" s="46"/>
      <x:c r="B430" s="46"/>
      <x:c r="C430" s="46"/>
      <x:c r="D430" s="46"/>
      <x:c r="E430" s="46"/>
      <x:c r="F430" s="46"/>
      <x:c r="G430" s="46"/>
      <x:c r="H430" s="46"/>
      <x:c r="I430" s="46"/>
      <x:c r="J430" s="46"/>
    </x:row>
    <x:row r="431">
      <x:c r="A431" s="46"/>
      <x:c r="B431" s="46"/>
      <x:c r="C431" s="46"/>
      <x:c r="D431" s="46"/>
      <x:c r="E431" s="46"/>
      <x:c r="F431" s="46"/>
      <x:c r="G431" s="46"/>
      <x:c r="H431" s="46"/>
      <x:c r="I431" s="46"/>
      <x:c r="J431" s="46"/>
    </x:row>
    <x:row r="432">
      <x:c r="A432" s="46"/>
      <x:c r="B432" s="46"/>
      <x:c r="C432" s="46"/>
      <x:c r="D432" s="46"/>
      <x:c r="E432" s="46"/>
      <x:c r="F432" s="46"/>
      <x:c r="G432" s="46"/>
      <x:c r="H432" s="46"/>
      <x:c r="I432" s="46"/>
      <x:c r="J432" s="46"/>
    </x:row>
    <x:row r="433">
      <x:c r="A433" s="46"/>
      <x:c r="B433" s="46"/>
      <x:c r="C433" s="46"/>
      <x:c r="D433" s="46"/>
      <x:c r="E433" s="46"/>
      <x:c r="F433" s="46"/>
      <x:c r="G433" s="46"/>
      <x:c r="H433" s="46"/>
      <x:c r="I433" s="46"/>
      <x:c r="J433" s="46"/>
    </x:row>
    <x:row r="434">
      <x:c r="A434" s="46"/>
      <x:c r="B434" s="46"/>
      <x:c r="C434" s="46"/>
      <x:c r="D434" s="46"/>
      <x:c r="E434" s="46"/>
      <x:c r="F434" s="46"/>
      <x:c r="G434" s="46"/>
      <x:c r="H434" s="46"/>
      <x:c r="I434" s="46"/>
      <x:c r="J434" s="46"/>
    </x:row>
    <x:row r="435">
      <x:c r="A435" s="46"/>
      <x:c r="B435" s="46"/>
      <x:c r="C435" s="46"/>
      <x:c r="D435" s="46"/>
      <x:c r="E435" s="46"/>
      <x:c r="F435" s="46"/>
      <x:c r="G435" s="46"/>
      <x:c r="H435" s="46"/>
      <x:c r="I435" s="46"/>
      <x:c r="J435" s="46"/>
    </x:row>
    <x:row r="436">
      <x:c r="A436" s="46"/>
      <x:c r="B436" s="46"/>
      <x:c r="C436" s="46"/>
      <x:c r="D436" s="46"/>
      <x:c r="E436" s="46"/>
      <x:c r="F436" s="46"/>
      <x:c r="G436" s="46"/>
      <x:c r="H436" s="46"/>
      <x:c r="I436" s="46"/>
      <x:c r="J436" s="46"/>
    </x:row>
    <x:row r="437">
      <x:c r="A437" s="46"/>
      <x:c r="B437" s="46"/>
      <x:c r="C437" s="46"/>
      <x:c r="D437" s="46"/>
      <x:c r="E437" s="46"/>
      <x:c r="F437" s="46"/>
      <x:c r="G437" s="46"/>
      <x:c r="H437" s="46"/>
      <x:c r="I437" s="46"/>
      <x:c r="J437" s="46"/>
    </x:row>
    <x:row r="438">
      <x:c r="A438" s="46"/>
      <x:c r="B438" s="46"/>
      <x:c r="C438" s="46"/>
      <x:c r="D438" s="46"/>
      <x:c r="E438" s="46"/>
      <x:c r="F438" s="46"/>
      <x:c r="G438" s="46"/>
      <x:c r="H438" s="46"/>
      <x:c r="I438" s="46"/>
      <x:c r="J438" s="46"/>
    </x:row>
    <x:row r="439">
      <x:c r="A439" s="46"/>
      <x:c r="B439" s="46"/>
      <x:c r="C439" s="46"/>
      <x:c r="D439" s="46"/>
      <x:c r="E439" s="46"/>
      <x:c r="F439" s="46"/>
      <x:c r="G439" s="46"/>
      <x:c r="H439" s="46"/>
      <x:c r="I439" s="46"/>
      <x:c r="J439" s="46"/>
    </x:row>
    <x:row r="440">
      <x:c r="A440" s="46"/>
      <x:c r="B440" s="46"/>
      <x:c r="C440" s="46"/>
      <x:c r="D440" s="46"/>
      <x:c r="E440" s="46"/>
      <x:c r="F440" s="46"/>
      <x:c r="G440" s="46"/>
      <x:c r="H440" s="46"/>
      <x:c r="I440" s="46"/>
      <x:c r="J440" s="46"/>
    </x:row>
    <x:row r="441">
      <x:c r="A441" s="46"/>
      <x:c r="B441" s="46"/>
      <x:c r="C441" s="46"/>
      <x:c r="D441" s="46"/>
      <x:c r="E441" s="46"/>
      <x:c r="F441" s="46"/>
      <x:c r="G441" s="46"/>
      <x:c r="H441" s="46"/>
      <x:c r="I441" s="46"/>
      <x:c r="J441" s="46"/>
    </x:row>
    <x:row r="442">
      <x:c r="A442" s="46"/>
      <x:c r="B442" s="46"/>
      <x:c r="C442" s="46"/>
      <x:c r="D442" s="46"/>
      <x:c r="E442" s="46"/>
      <x:c r="F442" s="46"/>
      <x:c r="G442" s="46"/>
      <x:c r="H442" s="46"/>
      <x:c r="I442" s="46"/>
      <x:c r="J442" s="46"/>
    </x:row>
    <x:row r="443">
      <x:c r="A443" s="46"/>
      <x:c r="B443" s="46"/>
      <x:c r="C443" s="46"/>
      <x:c r="D443" s="46"/>
      <x:c r="E443" s="46"/>
      <x:c r="F443" s="46"/>
      <x:c r="G443" s="46"/>
      <x:c r="H443" s="46"/>
      <x:c r="I443" s="46"/>
      <x:c r="J443" s="46"/>
    </x:row>
    <x:row r="444">
      <x:c r="A444" s="46"/>
      <x:c r="B444" s="46"/>
      <x:c r="C444" s="46"/>
      <x:c r="D444" s="46"/>
      <x:c r="E444" s="46"/>
      <x:c r="F444" s="46"/>
      <x:c r="G444" s="46"/>
      <x:c r="H444" s="46"/>
      <x:c r="I444" s="46"/>
      <x:c r="J444" s="46"/>
    </x:row>
    <x:row r="445">
      <x:c r="A445" s="46"/>
      <x:c r="B445" s="46"/>
      <x:c r="C445" s="46"/>
      <x:c r="D445" s="46"/>
      <x:c r="E445" s="46"/>
      <x:c r="F445" s="46"/>
      <x:c r="G445" s="46"/>
      <x:c r="H445" s="46"/>
      <x:c r="I445" s="46"/>
      <x:c r="J445" s="46"/>
    </x:row>
    <x:row r="446">
      <x:c r="A446" s="46"/>
      <x:c r="B446" s="46"/>
      <x:c r="C446" s="46"/>
      <x:c r="D446" s="46"/>
      <x:c r="E446" s="46"/>
      <x:c r="F446" s="46"/>
      <x:c r="G446" s="46"/>
      <x:c r="H446" s="46"/>
      <x:c r="I446" s="46"/>
      <x:c r="J446" s="46"/>
    </x:row>
    <x:row r="447">
      <x:c r="A447" s="46"/>
      <x:c r="B447" s="46"/>
      <x:c r="C447" s="46"/>
      <x:c r="D447" s="46"/>
      <x:c r="E447" s="46"/>
      <x:c r="F447" s="46"/>
      <x:c r="G447" s="46"/>
      <x:c r="H447" s="46"/>
      <x:c r="I447" s="46"/>
      <x:c r="J447" s="46"/>
    </x:row>
    <x:row r="448">
      <x:c r="A448" s="46"/>
      <x:c r="B448" s="46"/>
      <x:c r="C448" s="46"/>
      <x:c r="D448" s="46"/>
      <x:c r="E448" s="46"/>
      <x:c r="F448" s="46"/>
      <x:c r="G448" s="46"/>
      <x:c r="H448" s="46"/>
      <x:c r="I448" s="46"/>
      <x:c r="J448" s="46"/>
    </x:row>
    <x:row r="449">
      <x:c r="A449" s="46"/>
      <x:c r="B449" s="46"/>
      <x:c r="C449" s="46"/>
      <x:c r="D449" s="46"/>
      <x:c r="E449" s="46"/>
      <x:c r="F449" s="46"/>
      <x:c r="G449" s="46"/>
      <x:c r="H449" s="46"/>
      <x:c r="I449" s="46"/>
      <x:c r="J449" s="46"/>
    </x:row>
    <x:row r="450">
      <x:c r="A450" s="46"/>
      <x:c r="B450" s="46"/>
      <x:c r="C450" s="46"/>
      <x:c r="D450" s="46"/>
      <x:c r="E450" s="46"/>
      <x:c r="F450" s="46"/>
      <x:c r="G450" s="46"/>
      <x:c r="H450" s="46"/>
      <x:c r="I450" s="46"/>
      <x:c r="J450" s="46"/>
    </x:row>
    <x:row r="451">
      <x:c r="A451" s="46"/>
      <x:c r="B451" s="46"/>
      <x:c r="C451" s="46"/>
      <x:c r="D451" s="46"/>
      <x:c r="E451" s="46"/>
      <x:c r="F451" s="46"/>
      <x:c r="G451" s="46"/>
      <x:c r="H451" s="46"/>
      <x:c r="I451" s="46"/>
      <x:c r="J451" s="46"/>
    </x:row>
    <x:row r="452">
      <x:c r="A452" s="46"/>
      <x:c r="B452" s="46"/>
      <x:c r="C452" s="46"/>
      <x:c r="D452" s="46"/>
      <x:c r="E452" s="46"/>
      <x:c r="F452" s="46"/>
      <x:c r="G452" s="46"/>
      <x:c r="H452" s="46"/>
      <x:c r="I452" s="46"/>
      <x:c r="J452" s="46"/>
    </x:row>
    <x:row r="453">
      <x:c r="A453" s="46"/>
      <x:c r="B453" s="46"/>
      <x:c r="C453" s="46"/>
      <x:c r="D453" s="46"/>
      <x:c r="E453" s="46"/>
      <x:c r="F453" s="46"/>
      <x:c r="G453" s="46"/>
      <x:c r="H453" s="46"/>
      <x:c r="I453" s="46"/>
      <x:c r="J453" s="46"/>
    </x:row>
    <x:row r="454">
      <x:c r="A454" s="46"/>
      <x:c r="B454" s="46"/>
      <x:c r="C454" s="46"/>
      <x:c r="D454" s="46"/>
      <x:c r="E454" s="46"/>
      <x:c r="F454" s="46"/>
      <x:c r="G454" s="46"/>
      <x:c r="H454" s="46"/>
      <x:c r="I454" s="46"/>
      <x:c r="J454" s="46"/>
    </x:row>
    <x:row r="455">
      <x:c r="A455" s="46"/>
      <x:c r="B455" s="46"/>
      <x:c r="C455" s="46"/>
      <x:c r="D455" s="46"/>
      <x:c r="E455" s="46"/>
      <x:c r="F455" s="46"/>
      <x:c r="G455" s="46"/>
      <x:c r="H455" s="46"/>
      <x:c r="I455" s="46"/>
      <x:c r="J455" s="46"/>
    </x:row>
    <x:row r="456">
      <x:c r="A456" s="46"/>
      <x:c r="B456" s="46"/>
      <x:c r="C456" s="46"/>
      <x:c r="D456" s="46"/>
      <x:c r="E456" s="46"/>
      <x:c r="F456" s="46"/>
      <x:c r="G456" s="46"/>
      <x:c r="H456" s="46"/>
      <x:c r="I456" s="46"/>
      <x:c r="J456" s="46"/>
    </x:row>
    <x:row r="457">
      <x:c r="A457" s="46"/>
      <x:c r="B457" s="46"/>
      <x:c r="C457" s="46"/>
      <x:c r="D457" s="46"/>
      <x:c r="E457" s="46"/>
      <x:c r="F457" s="46"/>
      <x:c r="G457" s="46"/>
      <x:c r="H457" s="46"/>
      <x:c r="I457" s="46"/>
      <x:c r="J457" s="46"/>
    </x:row>
    <x:row r="458">
      <x:c r="A458" s="46"/>
      <x:c r="B458" s="46"/>
      <x:c r="C458" s="46"/>
      <x:c r="D458" s="46"/>
      <x:c r="E458" s="46"/>
      <x:c r="F458" s="46"/>
      <x:c r="G458" s="46"/>
      <x:c r="H458" s="46"/>
      <x:c r="I458" s="46"/>
      <x:c r="J458" s="46"/>
    </x:row>
    <x:row r="459">
      <x:c r="A459" s="46"/>
      <x:c r="B459" s="46"/>
      <x:c r="C459" s="46"/>
      <x:c r="D459" s="46"/>
      <x:c r="E459" s="46"/>
      <x:c r="F459" s="46"/>
      <x:c r="G459" s="46"/>
      <x:c r="H459" s="46"/>
      <x:c r="I459" s="46"/>
      <x:c r="J459" s="46"/>
    </x:row>
    <x:row r="460">
      <x:c r="A460" s="46"/>
      <x:c r="B460" s="46"/>
      <x:c r="C460" s="46"/>
      <x:c r="D460" s="46"/>
      <x:c r="E460" s="46"/>
      <x:c r="F460" s="46"/>
      <x:c r="G460" s="46"/>
      <x:c r="H460" s="46"/>
      <x:c r="I460" s="46"/>
      <x:c r="J460" s="46"/>
    </x:row>
    <x:row r="461">
      <x:c r="A461" s="46"/>
      <x:c r="B461" s="46"/>
      <x:c r="C461" s="46"/>
      <x:c r="D461" s="46"/>
      <x:c r="E461" s="46"/>
      <x:c r="F461" s="46"/>
      <x:c r="G461" s="46"/>
      <x:c r="H461" s="46"/>
      <x:c r="I461" s="46"/>
      <x:c r="J461" s="46"/>
    </x:row>
    <x:row r="462">
      <x:c r="A462" s="46"/>
      <x:c r="B462" s="46"/>
      <x:c r="C462" s="46"/>
      <x:c r="D462" s="46"/>
      <x:c r="E462" s="46"/>
      <x:c r="F462" s="46"/>
      <x:c r="G462" s="46"/>
      <x:c r="H462" s="46"/>
      <x:c r="I462" s="46"/>
      <x:c r="J462" s="46"/>
    </x:row>
    <x:row r="463">
      <x:c r="A463" s="46"/>
      <x:c r="B463" s="46"/>
      <x:c r="C463" s="46"/>
      <x:c r="D463" s="46"/>
      <x:c r="E463" s="46"/>
      <x:c r="F463" s="46"/>
      <x:c r="G463" s="46"/>
      <x:c r="H463" s="46"/>
      <x:c r="I463" s="46"/>
      <x:c r="J463" s="46"/>
    </x:row>
    <x:row r="464">
      <x:c r="A464" s="46"/>
      <x:c r="B464" s="46"/>
      <x:c r="C464" s="46"/>
      <x:c r="D464" s="46"/>
      <x:c r="E464" s="46"/>
      <x:c r="F464" s="46"/>
      <x:c r="G464" s="46"/>
      <x:c r="H464" s="46"/>
      <x:c r="I464" s="46"/>
      <x:c r="J464" s="46"/>
    </x:row>
    <x:row r="465">
      <x:c r="A465" s="46"/>
      <x:c r="B465" s="46"/>
      <x:c r="C465" s="46"/>
      <x:c r="D465" s="46"/>
      <x:c r="E465" s="46"/>
      <x:c r="F465" s="46"/>
      <x:c r="G465" s="46"/>
      <x:c r="H465" s="46"/>
      <x:c r="I465" s="46"/>
      <x:c r="J465" s="46"/>
    </x:row>
    <x:row r="466">
      <x:c r="A466" s="46"/>
      <x:c r="B466" s="46"/>
      <x:c r="C466" s="46"/>
      <x:c r="D466" s="46"/>
      <x:c r="E466" s="46"/>
      <x:c r="F466" s="46"/>
      <x:c r="G466" s="46"/>
      <x:c r="H466" s="46"/>
      <x:c r="I466" s="46"/>
      <x:c r="J466" s="46"/>
    </x:row>
    <x:row r="467">
      <x:c r="A467" s="46"/>
      <x:c r="B467" s="46"/>
      <x:c r="C467" s="46"/>
      <x:c r="D467" s="46"/>
      <x:c r="E467" s="46"/>
      <x:c r="F467" s="46"/>
      <x:c r="G467" s="46"/>
      <x:c r="H467" s="46"/>
      <x:c r="I467" s="46"/>
      <x:c r="J467" s="46"/>
    </x:row>
    <x:row r="468">
      <x:c r="A468" s="46"/>
      <x:c r="B468" s="46"/>
      <x:c r="C468" s="46"/>
      <x:c r="D468" s="46"/>
      <x:c r="E468" s="46"/>
      <x:c r="F468" s="46"/>
      <x:c r="G468" s="46"/>
      <x:c r="H468" s="46"/>
      <x:c r="I468" s="46"/>
      <x:c r="J468" s="46"/>
    </x:row>
    <x:row r="469">
      <x:c r="A469" s="46"/>
      <x:c r="B469" s="46"/>
      <x:c r="C469" s="46"/>
      <x:c r="D469" s="46"/>
      <x:c r="E469" s="46"/>
      <x:c r="F469" s="46"/>
      <x:c r="G469" s="46"/>
      <x:c r="H469" s="46"/>
      <x:c r="I469" s="46"/>
      <x:c r="J469" s="46"/>
    </x:row>
    <x:row r="470">
      <x:c r="A470" s="46"/>
      <x:c r="B470" s="46"/>
      <x:c r="C470" s="46"/>
      <x:c r="D470" s="46"/>
      <x:c r="E470" s="46"/>
      <x:c r="F470" s="46"/>
      <x:c r="G470" s="46"/>
      <x:c r="H470" s="46"/>
      <x:c r="I470" s="46"/>
      <x:c r="J470" s="46"/>
    </x:row>
    <x:row r="471">
      <x:c r="A471" s="46"/>
      <x:c r="B471" s="46"/>
      <x:c r="C471" s="46"/>
      <x:c r="D471" s="46"/>
      <x:c r="E471" s="46"/>
      <x:c r="F471" s="46"/>
      <x:c r="G471" s="46"/>
      <x:c r="H471" s="46"/>
      <x:c r="I471" s="46"/>
      <x:c r="J471" s="46"/>
    </x:row>
    <x:row r="472">
      <x:c r="A472" s="46"/>
      <x:c r="B472" s="46"/>
      <x:c r="C472" s="46"/>
      <x:c r="D472" s="46"/>
      <x:c r="E472" s="46"/>
      <x:c r="F472" s="46"/>
      <x:c r="G472" s="46"/>
      <x:c r="H472" s="46"/>
      <x:c r="I472" s="46"/>
      <x:c r="J472" s="46"/>
    </x:row>
    <x:row r="473">
      <x:c r="A473" s="46"/>
      <x:c r="B473" s="46"/>
      <x:c r="C473" s="46"/>
      <x:c r="D473" s="46"/>
      <x:c r="E473" s="46"/>
      <x:c r="F473" s="46"/>
      <x:c r="G473" s="46"/>
      <x:c r="H473" s="46"/>
      <x:c r="I473" s="46"/>
      <x:c r="J473" s="46"/>
    </x:row>
    <x:row r="474">
      <x:c r="A474" s="46"/>
      <x:c r="B474" s="46"/>
      <x:c r="C474" s="46"/>
      <x:c r="D474" s="46"/>
      <x:c r="E474" s="46"/>
      <x:c r="F474" s="46"/>
      <x:c r="G474" s="46"/>
      <x:c r="H474" s="46"/>
      <x:c r="I474" s="46"/>
      <x:c r="J474" s="46"/>
    </x:row>
    <x:row r="475">
      <x:c r="A475" s="46"/>
      <x:c r="B475" s="46"/>
      <x:c r="C475" s="46"/>
      <x:c r="D475" s="46"/>
      <x:c r="E475" s="46"/>
      <x:c r="F475" s="46"/>
      <x:c r="G475" s="46"/>
      <x:c r="H475" s="46"/>
      <x:c r="I475" s="46"/>
      <x:c r="J475" s="46"/>
    </x:row>
    <x:row r="476">
      <x:c r="A476" s="46"/>
      <x:c r="B476" s="46"/>
      <x:c r="C476" s="46"/>
      <x:c r="D476" s="46"/>
      <x:c r="E476" s="46"/>
      <x:c r="F476" s="46"/>
      <x:c r="G476" s="46"/>
      <x:c r="H476" s="46"/>
      <x:c r="I476" s="46"/>
      <x:c r="J476" s="46"/>
    </x:row>
    <x:row r="477">
      <x:c r="A477" s="46"/>
      <x:c r="B477" s="46"/>
      <x:c r="C477" s="46"/>
      <x:c r="D477" s="46"/>
      <x:c r="E477" s="46"/>
      <x:c r="F477" s="46"/>
      <x:c r="G477" s="46"/>
      <x:c r="H477" s="46"/>
      <x:c r="I477" s="46"/>
      <x:c r="J477" s="46"/>
    </x:row>
    <x:row r="478">
      <x:c r="A478" s="46"/>
      <x:c r="B478" s="46"/>
      <x:c r="C478" s="46"/>
      <x:c r="D478" s="46"/>
      <x:c r="E478" s="46"/>
      <x:c r="F478" s="46"/>
      <x:c r="G478" s="46"/>
      <x:c r="H478" s="46"/>
      <x:c r="I478" s="46"/>
      <x:c r="J478" s="46"/>
    </x:row>
    <x:row r="479">
      <x:c r="A479" s="46"/>
      <x:c r="B479" s="46"/>
      <x:c r="C479" s="46"/>
      <x:c r="D479" s="46"/>
      <x:c r="E479" s="46"/>
      <x:c r="F479" s="46"/>
      <x:c r="G479" s="46"/>
      <x:c r="H479" s="46"/>
      <x:c r="I479" s="46"/>
      <x:c r="J479" s="46"/>
    </x:row>
    <x:row r="480">
      <x:c r="A480" s="46"/>
      <x:c r="B480" s="46"/>
      <x:c r="C480" s="46"/>
      <x:c r="D480" s="46"/>
      <x:c r="E480" s="46"/>
      <x:c r="F480" s="46"/>
      <x:c r="G480" s="46"/>
      <x:c r="H480" s="46"/>
      <x:c r="I480" s="46"/>
      <x:c r="J480" s="46"/>
    </x:row>
    <x:row r="481">
      <x:c r="A481" s="46"/>
      <x:c r="B481" s="46"/>
      <x:c r="C481" s="46"/>
      <x:c r="D481" s="46"/>
      <x:c r="E481" s="46"/>
      <x:c r="F481" s="46"/>
      <x:c r="G481" s="46"/>
      <x:c r="H481" s="46"/>
      <x:c r="I481" s="46"/>
      <x:c r="J481" s="46"/>
    </x:row>
    <x:row r="482">
      <x:c r="A482" s="46"/>
      <x:c r="B482" s="46"/>
      <x:c r="C482" s="46"/>
      <x:c r="D482" s="46"/>
      <x:c r="E482" s="46"/>
      <x:c r="F482" s="46"/>
      <x:c r="G482" s="46"/>
      <x:c r="H482" s="46"/>
      <x:c r="I482" s="46"/>
      <x:c r="J482" s="46"/>
    </x:row>
    <x:row r="483">
      <x:c r="A483" s="46"/>
      <x:c r="B483" s="46"/>
      <x:c r="C483" s="46"/>
      <x:c r="D483" s="46"/>
      <x:c r="E483" s="46"/>
      <x:c r="F483" s="46"/>
      <x:c r="G483" s="46"/>
      <x:c r="H483" s="46"/>
      <x:c r="I483" s="46"/>
      <x:c r="J483" s="46"/>
    </x:row>
    <x:row r="484">
      <x:c r="A484" s="46"/>
      <x:c r="B484" s="46"/>
      <x:c r="C484" s="46"/>
      <x:c r="D484" s="46"/>
      <x:c r="E484" s="46"/>
      <x:c r="F484" s="46"/>
      <x:c r="G484" s="46"/>
      <x:c r="H484" s="46"/>
      <x:c r="I484" s="46"/>
      <x:c r="J484" s="46"/>
    </x:row>
    <x:row r="485">
      <x:c r="A485" s="46"/>
      <x:c r="B485" s="46"/>
      <x:c r="C485" s="46"/>
      <x:c r="D485" s="46"/>
      <x:c r="E485" s="46"/>
      <x:c r="F485" s="46"/>
      <x:c r="G485" s="46"/>
      <x:c r="H485" s="46"/>
      <x:c r="I485" s="46"/>
      <x:c r="J485" s="46"/>
    </x:row>
    <x:row r="486">
      <x:c r="A486" s="46"/>
      <x:c r="B486" s="46"/>
      <x:c r="C486" s="46"/>
      <x:c r="D486" s="46"/>
      <x:c r="E486" s="46"/>
      <x:c r="F486" s="46"/>
      <x:c r="G486" s="46"/>
      <x:c r="H486" s="46"/>
      <x:c r="I486" s="46"/>
      <x:c r="J486" s="46"/>
    </x:row>
    <x:row r="487">
      <x:c r="A487" s="46"/>
      <x:c r="B487" s="46"/>
      <x:c r="C487" s="46"/>
      <x:c r="D487" s="46"/>
      <x:c r="E487" s="46"/>
      <x:c r="F487" s="46"/>
      <x:c r="G487" s="46"/>
      <x:c r="H487" s="46"/>
      <x:c r="I487" s="46"/>
      <x:c r="J487" s="46"/>
    </x:row>
    <x:row r="488">
      <x:c r="A488" s="46"/>
      <x:c r="B488" s="46"/>
      <x:c r="C488" s="46"/>
      <x:c r="D488" s="46"/>
      <x:c r="E488" s="46"/>
      <x:c r="F488" s="46"/>
      <x:c r="G488" s="46"/>
      <x:c r="H488" s="46"/>
      <x:c r="I488" s="46"/>
      <x:c r="J488" s="46"/>
    </x:row>
    <x:row r="489">
      <x:c r="A489" s="46"/>
      <x:c r="B489" s="46"/>
      <x:c r="C489" s="46"/>
      <x:c r="D489" s="46"/>
      <x:c r="E489" s="46"/>
      <x:c r="F489" s="46"/>
      <x:c r="G489" s="46"/>
      <x:c r="H489" s="46"/>
      <x:c r="I489" s="46"/>
      <x:c r="J489" s="46"/>
    </x:row>
    <x:row r="490">
      <x:c r="A490" s="46"/>
      <x:c r="B490" s="46"/>
      <x:c r="C490" s="46"/>
      <x:c r="D490" s="46"/>
      <x:c r="E490" s="46"/>
      <x:c r="F490" s="46"/>
      <x:c r="G490" s="46"/>
      <x:c r="H490" s="46"/>
      <x:c r="I490" s="46"/>
      <x:c r="J490" s="46"/>
    </x:row>
    <x:row r="491">
      <x:c r="A491" s="46"/>
      <x:c r="B491" s="46"/>
      <x:c r="C491" s="46"/>
      <x:c r="D491" s="46"/>
      <x:c r="E491" s="46"/>
      <x:c r="F491" s="46"/>
      <x:c r="G491" s="46"/>
      <x:c r="H491" s="46"/>
      <x:c r="I491" s="46"/>
      <x:c r="J491" s="46"/>
    </x:row>
    <x:row r="492">
      <x:c r="A492" s="46"/>
      <x:c r="B492" s="46"/>
      <x:c r="C492" s="46"/>
      <x:c r="D492" s="46"/>
      <x:c r="E492" s="46"/>
      <x:c r="F492" s="46"/>
      <x:c r="G492" s="46"/>
      <x:c r="H492" s="46"/>
      <x:c r="I492" s="46"/>
      <x:c r="J492" s="46"/>
    </x:row>
    <x:row r="493">
      <x:c r="A493" s="46"/>
      <x:c r="B493" s="46"/>
      <x:c r="C493" s="46"/>
      <x:c r="D493" s="46"/>
      <x:c r="E493" s="46"/>
      <x:c r="F493" s="46"/>
      <x:c r="G493" s="46"/>
      <x:c r="H493" s="46"/>
      <x:c r="I493" s="46"/>
      <x:c r="J493" s="46"/>
    </x:row>
    <x:row r="494">
      <x:c r="A494" s="46"/>
      <x:c r="B494" s="46"/>
      <x:c r="C494" s="46"/>
      <x:c r="D494" s="46"/>
      <x:c r="E494" s="46"/>
      <x:c r="F494" s="46"/>
      <x:c r="G494" s="46"/>
      <x:c r="H494" s="46"/>
      <x:c r="I494" s="46"/>
      <x:c r="J494" s="46"/>
    </x:row>
    <x:row r="495">
      <x:c r="A495" s="46"/>
      <x:c r="B495" s="46"/>
      <x:c r="C495" s="46"/>
      <x:c r="D495" s="46"/>
      <x:c r="E495" s="46"/>
      <x:c r="F495" s="46"/>
      <x:c r="G495" s="46"/>
      <x:c r="H495" s="46"/>
      <x:c r="I495" s="46"/>
      <x:c r="J495" s="46"/>
    </x:row>
    <x:row r="496">
      <x:c r="A496" s="46"/>
      <x:c r="B496" s="46"/>
      <x:c r="C496" s="46"/>
      <x:c r="D496" s="46"/>
      <x:c r="E496" s="46"/>
      <x:c r="F496" s="46"/>
      <x:c r="G496" s="46"/>
      <x:c r="H496" s="46"/>
      <x:c r="I496" s="46"/>
      <x:c r="J496" s="46"/>
    </x:row>
    <x:row r="497">
      <x:c r="A497" s="46"/>
      <x:c r="B497" s="46"/>
      <x:c r="C497" s="46"/>
      <x:c r="D497" s="46"/>
      <x:c r="E497" s="46"/>
      <x:c r="F497" s="46"/>
      <x:c r="G497" s="46"/>
      <x:c r="H497" s="46"/>
      <x:c r="I497" s="46"/>
      <x:c r="J497" s="46"/>
    </x:row>
    <x:row r="498">
      <x:c r="A498" s="46"/>
      <x:c r="B498" s="46"/>
      <x:c r="C498" s="46"/>
      <x:c r="D498" s="46"/>
      <x:c r="E498" s="46"/>
      <x:c r="F498" s="46"/>
      <x:c r="G498" s="46"/>
      <x:c r="H498" s="46"/>
      <x:c r="I498" s="46"/>
      <x:c r="J498" s="46"/>
    </x:row>
    <x:row r="499">
      <x:c r="A499" s="46"/>
      <x:c r="B499" s="46"/>
      <x:c r="C499" s="46"/>
      <x:c r="D499" s="46"/>
      <x:c r="E499" s="46"/>
      <x:c r="F499" s="46"/>
      <x:c r="G499" s="46"/>
      <x:c r="H499" s="46"/>
      <x:c r="I499" s="46"/>
      <x:c r="J499" s="46"/>
    </x:row>
    <x:row r="500">
      <x:c r="A500" s="46"/>
      <x:c r="B500" s="46"/>
      <x:c r="C500" s="46"/>
      <x:c r="D500" s="46"/>
      <x:c r="E500" s="46"/>
      <x:c r="F500" s="46"/>
      <x:c r="G500" s="46"/>
      <x:c r="H500" s="46"/>
      <x:c r="I500" s="46"/>
      <x:c r="J500" s="46"/>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5" hidden="0" customWidth="1"/>
    <x:col min="2" max="2" width="24" hidden="0" customWidth="1"/>
    <x:col min="3" max="3" width="26" hidden="0" customWidth="1"/>
    <x:col min="4" max="4" width="66" hidden="0" customWidth="1"/>
    <x:col min="5" max="5" width="56" hidden="0" customWidth="1"/>
    <x:col min="6" max="6" width="25" hidden="0" customWidth="1"/>
    <x:col min="7" max="7" width="30" hidden="0" customWidth="1"/>
    <x:col min="8" max="8" width="36" hidden="0" customWidth="1"/>
    <x:col min="9" max="9" width="56" hidden="0" customWidth="1"/>
  </x:cols>
  <x:sheetData>
    <x:row r="1" ht="36" customHeight="1">
      <x:c r="A1" s="93" t="str">
        <x:v>role_id</x:v>
      </x:c>
      <x:c r="B1" s="93" t="str">
        <x:v>profile_context</x:v>
      </x:c>
      <x:c r="C1" s="93" t="str">
        <x:v>aroma_role</x:v>
      </x:c>
      <x:c r="D1" s="93" t="str">
        <x:v>compounds_named_by_primary_source</x:v>
      </x:c>
      <x:c r="E1" s="93" t="str">
        <x:v>origin_or_mechanism</x:v>
      </x:c>
      <x:c r="F1" s="93" t="str">
        <x:v>source_id</x:v>
      </x:c>
      <x:c r="G1" s="93" t="str">
        <x:v>evidence_strength</x:v>
      </x:c>
      <x:c r="H1" s="93" t="str">
        <x:v>runtime_model</x:v>
      </x:c>
      <x:c r="I1" s="93" t="str">
        <x:v>boundary</x:v>
      </x:c>
    </x:row>
    <x:row r="2">
      <x:c r="A2" s="46" t="str">
        <x:v>PSR-001</x:v>
      </x:c>
      <x:c r="B2" s="46" t="str">
        <x:v>braised squab</x:v>
      </x:c>
      <x:c r="C2" s="46" t="str">
        <x:v>native meaty/fatty core</x:v>
      </x:c>
      <x:c r="D2" s="46" t="str">
        <x:v>methional; 1-octen-3-ol; hexanal; phenylacetaldehyde; 2-pentylfuran</x:v>
      </x:c>
      <x:c r="E2" s="46" t="str">
        <x:v>mainly originated from raw squab</x:v>
      </x:c>
      <x:c r="F2" s="46" t="str">
        <x:v>SRC-SQUAB-BRAISE-001</x:v>
      </x:c>
      <x:c r="G2" s="46" t="str">
        <x:v>direct source-attribution analysis</x:v>
      </x:c>
      <x:c r="H2" s="46" t="str">
        <x:v>native avian/member core</x:v>
      </x:c>
      <x:c r="I2" s="46" t="str">
        <x:v>Source attribution from finished-product/omission analysis; not direct raw measurement.</x:v>
      </x:c>
    </x:row>
    <x:row r="3">
      <x:c r="A3" s="46" t="str">
        <x:v>PSR-002</x:v>
      </x:c>
      <x:c r="B3" s="46" t="str">
        <x:v>braised squab</x:v>
      </x:c>
      <x:c r="C3" s="46" t="str">
        <x:v>roasty overlay</x:v>
      </x:c>
      <x:c r="D3" s="46" t="str">
        <x:v>2,5-dimethylpyrazine; 3-ethyl-2,5-dimethylpyrazine</x:v>
      </x:c>
      <x:c r="E3" s="46" t="str">
        <x:v>condiments and crisping agent supplied precursor sources; thermal reactions form roasty expression</x:v>
      </x:c>
      <x:c r="F3" s="46" t="str">
        <x:v>SRC-SQUAB-BRAISE-001</x:v>
      </x:c>
      <x:c r="G3" s="46" t="str">
        <x:v>direct source-attribution analysis</x:v>
      </x:c>
      <x:c r="H3" s="46" t="str">
        <x:v>technique + recipe precursor overlay</x:v>
      </x:c>
      <x:c r="I3" s="46" t="str">
        <x:v>Do not inherit these as native squab compounds.</x:v>
      </x:c>
    </x:row>
    <x:row r="4">
      <x:c r="A4" s="46" t="str">
        <x:v>PSR-003</x:v>
      </x:c>
      <x:c r="B4" s="46" t="str">
        <x:v>braised squab</x:v>
      </x:c>
      <x:c r="C4" s="46" t="str">
        <x:v>caramel-sweet overlay</x:v>
      </x:c>
      <x:c r="D4" s="46" t="str">
        <x:v>furfural; maltol</x:v>
      </x:c>
      <x:c r="E4" s="46" t="str">
        <x:v>condiments and crisping agent supplied precursor sources</x:v>
      </x:c>
      <x:c r="F4" s="46" t="str">
        <x:v>SRC-SQUAB-BRAISE-001</x:v>
      </x:c>
      <x:c r="G4" s="46" t="str">
        <x:v>direct source-attribution analysis</x:v>
      </x:c>
      <x:c r="H4" s="46" t="str">
        <x:v>technique + recipe precursor overlay</x:v>
      </x:c>
      <x:c r="I4" s="46" t="str">
        <x:v>Do not inherit these as native squab compounds.</x:v>
      </x:c>
    </x:row>
    <x:row r="5">
      <x:c r="A5" s="46" t="str">
        <x:v>PSR-004</x:v>
      </x:c>
      <x:c r="B5" s="46" t="str">
        <x:v>braised squab</x:v>
      </x:c>
      <x:c r="C5" s="46" t="str">
        <x:v>spice overlay</x:v>
      </x:c>
      <x:c r="D5" s="46" t="str">
        <x:v>terpinen-4-ol; o-cymene; D-limonene; eucalyptol; anethole</x:v>
      </x:c>
      <x:c r="E5" s="46" t="str">
        <x:v>spices supplied the compounds and significantly shaped spiced-braised aroma</x:v>
      </x:c>
      <x:c r="F5" s="46" t="str">
        <x:v>SRC-SQUAB-BRAISE-001</x:v>
      </x:c>
      <x:c r="G5" s="46" t="str">
        <x:v>direct source-attribution analysis</x:v>
      </x:c>
      <x:c r="H5" s="46" t="str">
        <x:v>introduced aromatic ingredients</x:v>
      </x:c>
      <x:c r="I5" s="46" t="str">
        <x:v>Explicitly exclude from species core.</x:v>
      </x:c>
    </x:row>
    <x:row r="6">
      <x:c r="A6" s="46" t="str">
        <x:v>PSR-005</x:v>
      </x:c>
      <x:c r="B6" s="46" t="str">
        <x:v>roasted pigeon</x:v>
      </x:c>
      <x:c r="C6" s="46" t="str">
        <x:v>thermal roast key</x:v>
      </x:c>
      <x:c r="D6" s="46" t="str">
        <x:v>5-methyl-2,3-diethylpyrazine explicitly named; 17 other key compounds not yet extracted</x:v>
      </x:c>
      <x:c r="E6" s="46" t="str">
        <x:v>GC-O/OAV key-aroma study; pyrazines important to roasty character</x:v>
      </x:c>
      <x:c r="F6" s="46" t="str">
        <x:v>SRC-PIGEON-ROAST-001</x:v>
      </x:c>
      <x:c r="G6" s="46" t="str">
        <x:v>direct primary study, partial named extraction</x:v>
      </x:c>
      <x:c r="H6" s="46" t="str">
        <x:v>roast transformation overlay</x:v>
      </x:c>
      <x:c r="I6" s="46" t="str">
        <x:v>Full 18-compound list requires supplementary/full-table extraction before profile completion.</x:v>
      </x:c>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row r="201">
      <x:c r="A201" s="46"/>
      <x:c r="B201" s="46"/>
      <x:c r="C201" s="46"/>
      <x:c r="D201" s="46"/>
      <x:c r="E201" s="46"/>
      <x:c r="F201" s="46"/>
      <x:c r="G201" s="46"/>
      <x:c r="H201" s="46"/>
      <x:c r="I201" s="46"/>
    </x:row>
    <x:row r="202">
      <x:c r="A202" s="46"/>
      <x:c r="B202" s="46"/>
      <x:c r="C202" s="46"/>
      <x:c r="D202" s="46"/>
      <x:c r="E202" s="46"/>
      <x:c r="F202" s="46"/>
      <x:c r="G202" s="46"/>
      <x:c r="H202" s="46"/>
      <x:c r="I202" s="46"/>
    </x:row>
    <x:row r="203">
      <x:c r="A203" s="46"/>
      <x:c r="B203" s="46"/>
      <x:c r="C203" s="46"/>
      <x:c r="D203" s="46"/>
      <x:c r="E203" s="46"/>
      <x:c r="F203" s="46"/>
      <x:c r="G203" s="46"/>
      <x:c r="H203" s="46"/>
      <x:c r="I203" s="46"/>
    </x:row>
    <x:row r="204">
      <x:c r="A204" s="46"/>
      <x:c r="B204" s="46"/>
      <x:c r="C204" s="46"/>
      <x:c r="D204" s="46"/>
      <x:c r="E204" s="46"/>
      <x:c r="F204" s="46"/>
      <x:c r="G204" s="46"/>
      <x:c r="H204" s="46"/>
      <x:c r="I204" s="46"/>
    </x:row>
    <x:row r="205">
      <x:c r="A205" s="46"/>
      <x:c r="B205" s="46"/>
      <x:c r="C205" s="46"/>
      <x:c r="D205" s="46"/>
      <x:c r="E205" s="46"/>
      <x:c r="F205" s="46"/>
      <x:c r="G205" s="46"/>
      <x:c r="H205" s="46"/>
      <x:c r="I205" s="46"/>
    </x:row>
    <x:row r="206">
      <x:c r="A206" s="46"/>
      <x:c r="B206" s="46"/>
      <x:c r="C206" s="46"/>
      <x:c r="D206" s="46"/>
      <x:c r="E206" s="46"/>
      <x:c r="F206" s="46"/>
      <x:c r="G206" s="46"/>
      <x:c r="H206" s="46"/>
      <x:c r="I206" s="46"/>
    </x:row>
    <x:row r="207">
      <x:c r="A207" s="46"/>
      <x:c r="B207" s="46"/>
      <x:c r="C207" s="46"/>
      <x:c r="D207" s="46"/>
      <x:c r="E207" s="46"/>
      <x:c r="F207" s="46"/>
      <x:c r="G207" s="46"/>
      <x:c r="H207" s="46"/>
      <x:c r="I207" s="46"/>
    </x:row>
    <x:row r="208">
      <x:c r="A208" s="46"/>
      <x:c r="B208" s="46"/>
      <x:c r="C208" s="46"/>
      <x:c r="D208" s="46"/>
      <x:c r="E208" s="46"/>
      <x:c r="F208" s="46"/>
      <x:c r="G208" s="46"/>
      <x:c r="H208" s="46"/>
      <x:c r="I208" s="46"/>
    </x:row>
    <x:row r="209">
      <x:c r="A209" s="46"/>
      <x:c r="B209" s="46"/>
      <x:c r="C209" s="46"/>
      <x:c r="D209" s="46"/>
      <x:c r="E209" s="46"/>
      <x:c r="F209" s="46"/>
      <x:c r="G209" s="46"/>
      <x:c r="H209" s="46"/>
      <x:c r="I209" s="46"/>
    </x:row>
    <x:row r="210">
      <x:c r="A210" s="46"/>
      <x:c r="B210" s="46"/>
      <x:c r="C210" s="46"/>
      <x:c r="D210" s="46"/>
      <x:c r="E210" s="46"/>
      <x:c r="F210" s="46"/>
      <x:c r="G210" s="46"/>
      <x:c r="H210" s="46"/>
      <x:c r="I210" s="46"/>
    </x:row>
    <x:row r="211">
      <x:c r="A211" s="46"/>
      <x:c r="B211" s="46"/>
      <x:c r="C211" s="46"/>
      <x:c r="D211" s="46"/>
      <x:c r="E211" s="46"/>
      <x:c r="F211" s="46"/>
      <x:c r="G211" s="46"/>
      <x:c r="H211" s="46"/>
      <x:c r="I211" s="46"/>
    </x:row>
    <x:row r="212">
      <x:c r="A212" s="46"/>
      <x:c r="B212" s="46"/>
      <x:c r="C212" s="46"/>
      <x:c r="D212" s="46"/>
      <x:c r="E212" s="46"/>
      <x:c r="F212" s="46"/>
      <x:c r="G212" s="46"/>
      <x:c r="H212" s="46"/>
      <x:c r="I212" s="46"/>
    </x:row>
    <x:row r="213">
      <x:c r="A213" s="46"/>
      <x:c r="B213" s="46"/>
      <x:c r="C213" s="46"/>
      <x:c r="D213" s="46"/>
      <x:c r="E213" s="46"/>
      <x:c r="F213" s="46"/>
      <x:c r="G213" s="46"/>
      <x:c r="H213" s="46"/>
      <x:c r="I213" s="46"/>
    </x:row>
    <x:row r="214">
      <x:c r="A214" s="46"/>
      <x:c r="B214" s="46"/>
      <x:c r="C214" s="46"/>
      <x:c r="D214" s="46"/>
      <x:c r="E214" s="46"/>
      <x:c r="F214" s="46"/>
      <x:c r="G214" s="46"/>
      <x:c r="H214" s="46"/>
      <x:c r="I214" s="46"/>
    </x:row>
    <x:row r="215">
      <x:c r="A215" s="46"/>
      <x:c r="B215" s="46"/>
      <x:c r="C215" s="46"/>
      <x:c r="D215" s="46"/>
      <x:c r="E215" s="46"/>
      <x:c r="F215" s="46"/>
      <x:c r="G215" s="46"/>
      <x:c r="H215" s="46"/>
      <x:c r="I215" s="46"/>
    </x:row>
    <x:row r="216">
      <x:c r="A216" s="46"/>
      <x:c r="B216" s="46"/>
      <x:c r="C216" s="46"/>
      <x:c r="D216" s="46"/>
      <x:c r="E216" s="46"/>
      <x:c r="F216" s="46"/>
      <x:c r="G216" s="46"/>
      <x:c r="H216" s="46"/>
      <x:c r="I216" s="46"/>
    </x:row>
    <x:row r="217">
      <x:c r="A217" s="46"/>
      <x:c r="B217" s="46"/>
      <x:c r="C217" s="46"/>
      <x:c r="D217" s="46"/>
      <x:c r="E217" s="46"/>
      <x:c r="F217" s="46"/>
      <x:c r="G217" s="46"/>
      <x:c r="H217" s="46"/>
      <x:c r="I217" s="46"/>
    </x:row>
    <x:row r="218">
      <x:c r="A218" s="46"/>
      <x:c r="B218" s="46"/>
      <x:c r="C218" s="46"/>
      <x:c r="D218" s="46"/>
      <x:c r="E218" s="46"/>
      <x:c r="F218" s="46"/>
      <x:c r="G218" s="46"/>
      <x:c r="H218" s="46"/>
      <x:c r="I218" s="46"/>
    </x:row>
    <x:row r="219">
      <x:c r="A219" s="46"/>
      <x:c r="B219" s="46"/>
      <x:c r="C219" s="46"/>
      <x:c r="D219" s="46"/>
      <x:c r="E219" s="46"/>
      <x:c r="F219" s="46"/>
      <x:c r="G219" s="46"/>
      <x:c r="H219" s="46"/>
      <x:c r="I219" s="46"/>
    </x:row>
    <x:row r="220">
      <x:c r="A220" s="46"/>
      <x:c r="B220" s="46"/>
      <x:c r="C220" s="46"/>
      <x:c r="D220" s="46"/>
      <x:c r="E220" s="46"/>
      <x:c r="F220" s="46"/>
      <x:c r="G220" s="46"/>
      <x:c r="H220" s="46"/>
      <x:c r="I220" s="46"/>
    </x:row>
    <x:row r="221">
      <x:c r="A221" s="46"/>
      <x:c r="B221" s="46"/>
      <x:c r="C221" s="46"/>
      <x:c r="D221" s="46"/>
      <x:c r="E221" s="46"/>
      <x:c r="F221" s="46"/>
      <x:c r="G221" s="46"/>
      <x:c r="H221" s="46"/>
      <x:c r="I221" s="46"/>
    </x:row>
    <x:row r="222">
      <x:c r="A222" s="46"/>
      <x:c r="B222" s="46"/>
      <x:c r="C222" s="46"/>
      <x:c r="D222" s="46"/>
      <x:c r="E222" s="46"/>
      <x:c r="F222" s="46"/>
      <x:c r="G222" s="46"/>
      <x:c r="H222" s="46"/>
      <x:c r="I222" s="46"/>
    </x:row>
    <x:row r="223">
      <x:c r="A223" s="46"/>
      <x:c r="B223" s="46"/>
      <x:c r="C223" s="46"/>
      <x:c r="D223" s="46"/>
      <x:c r="E223" s="46"/>
      <x:c r="F223" s="46"/>
      <x:c r="G223" s="46"/>
      <x:c r="H223" s="46"/>
      <x:c r="I223" s="46"/>
    </x:row>
    <x:row r="224">
      <x:c r="A224" s="46"/>
      <x:c r="B224" s="46"/>
      <x:c r="C224" s="46"/>
      <x:c r="D224" s="46"/>
      <x:c r="E224" s="46"/>
      <x:c r="F224" s="46"/>
      <x:c r="G224" s="46"/>
      <x:c r="H224" s="46"/>
      <x:c r="I224" s="46"/>
    </x:row>
    <x:row r="225">
      <x:c r="A225" s="46"/>
      <x:c r="B225" s="46"/>
      <x:c r="C225" s="46"/>
      <x:c r="D225" s="46"/>
      <x:c r="E225" s="46"/>
      <x:c r="F225" s="46"/>
      <x:c r="G225" s="46"/>
      <x:c r="H225" s="46"/>
      <x:c r="I225" s="46"/>
    </x:row>
    <x:row r="226">
      <x:c r="A226" s="46"/>
      <x:c r="B226" s="46"/>
      <x:c r="C226" s="46"/>
      <x:c r="D226" s="46"/>
      <x:c r="E226" s="46"/>
      <x:c r="F226" s="46"/>
      <x:c r="G226" s="46"/>
      <x:c r="H226" s="46"/>
      <x:c r="I226" s="46"/>
    </x:row>
    <x:row r="227">
      <x:c r="A227" s="46"/>
      <x:c r="B227" s="46"/>
      <x:c r="C227" s="46"/>
      <x:c r="D227" s="46"/>
      <x:c r="E227" s="46"/>
      <x:c r="F227" s="46"/>
      <x:c r="G227" s="46"/>
      <x:c r="H227" s="46"/>
      <x:c r="I227" s="46"/>
    </x:row>
    <x:row r="228">
      <x:c r="A228" s="46"/>
      <x:c r="B228" s="46"/>
      <x:c r="C228" s="46"/>
      <x:c r="D228" s="46"/>
      <x:c r="E228" s="46"/>
      <x:c r="F228" s="46"/>
      <x:c r="G228" s="46"/>
      <x:c r="H228" s="46"/>
      <x:c r="I228" s="46"/>
    </x:row>
    <x:row r="229">
      <x:c r="A229" s="46"/>
      <x:c r="B229" s="46"/>
      <x:c r="C229" s="46"/>
      <x:c r="D229" s="46"/>
      <x:c r="E229" s="46"/>
      <x:c r="F229" s="46"/>
      <x:c r="G229" s="46"/>
      <x:c r="H229" s="46"/>
      <x:c r="I229" s="46"/>
    </x:row>
    <x:row r="230">
      <x:c r="A230" s="46"/>
      <x:c r="B230" s="46"/>
      <x:c r="C230" s="46"/>
      <x:c r="D230" s="46"/>
      <x:c r="E230" s="46"/>
      <x:c r="F230" s="46"/>
      <x:c r="G230" s="46"/>
      <x:c r="H230" s="46"/>
      <x:c r="I230" s="46"/>
    </x:row>
    <x:row r="231">
      <x:c r="A231" s="46"/>
      <x:c r="B231" s="46"/>
      <x:c r="C231" s="46"/>
      <x:c r="D231" s="46"/>
      <x:c r="E231" s="46"/>
      <x:c r="F231" s="46"/>
      <x:c r="G231" s="46"/>
      <x:c r="H231" s="46"/>
      <x:c r="I231" s="46"/>
    </x:row>
    <x:row r="232">
      <x:c r="A232" s="46"/>
      <x:c r="B232" s="46"/>
      <x:c r="C232" s="46"/>
      <x:c r="D232" s="46"/>
      <x:c r="E232" s="46"/>
      <x:c r="F232" s="46"/>
      <x:c r="G232" s="46"/>
      <x:c r="H232" s="46"/>
      <x:c r="I232" s="46"/>
    </x:row>
    <x:row r="233">
      <x:c r="A233" s="46"/>
      <x:c r="B233" s="46"/>
      <x:c r="C233" s="46"/>
      <x:c r="D233" s="46"/>
      <x:c r="E233" s="46"/>
      <x:c r="F233" s="46"/>
      <x:c r="G233" s="46"/>
      <x:c r="H233" s="46"/>
      <x:c r="I233" s="46"/>
    </x:row>
    <x:row r="234">
      <x:c r="A234" s="46"/>
      <x:c r="B234" s="46"/>
      <x:c r="C234" s="46"/>
      <x:c r="D234" s="46"/>
      <x:c r="E234" s="46"/>
      <x:c r="F234" s="46"/>
      <x:c r="G234" s="46"/>
      <x:c r="H234" s="46"/>
      <x:c r="I234" s="46"/>
    </x:row>
    <x:row r="235">
      <x:c r="A235" s="46"/>
      <x:c r="B235" s="46"/>
      <x:c r="C235" s="46"/>
      <x:c r="D235" s="46"/>
      <x:c r="E235" s="46"/>
      <x:c r="F235" s="46"/>
      <x:c r="G235" s="46"/>
      <x:c r="H235" s="46"/>
      <x:c r="I235" s="46"/>
    </x:row>
    <x:row r="236">
      <x:c r="A236" s="46"/>
      <x:c r="B236" s="46"/>
      <x:c r="C236" s="46"/>
      <x:c r="D236" s="46"/>
      <x:c r="E236" s="46"/>
      <x:c r="F236" s="46"/>
      <x:c r="G236" s="46"/>
      <x:c r="H236" s="46"/>
      <x:c r="I236" s="46"/>
    </x:row>
    <x:row r="237">
      <x:c r="A237" s="46"/>
      <x:c r="B237" s="46"/>
      <x:c r="C237" s="46"/>
      <x:c r="D237" s="46"/>
      <x:c r="E237" s="46"/>
      <x:c r="F237" s="46"/>
      <x:c r="G237" s="46"/>
      <x:c r="H237" s="46"/>
      <x:c r="I237" s="46"/>
    </x:row>
    <x:row r="238">
      <x:c r="A238" s="46"/>
      <x:c r="B238" s="46"/>
      <x:c r="C238" s="46"/>
      <x:c r="D238" s="46"/>
      <x:c r="E238" s="46"/>
      <x:c r="F238" s="46"/>
      <x:c r="G238" s="46"/>
      <x:c r="H238" s="46"/>
      <x:c r="I238" s="46"/>
    </x:row>
    <x:row r="239">
      <x:c r="A239" s="46"/>
      <x:c r="B239" s="46"/>
      <x:c r="C239" s="46"/>
      <x:c r="D239" s="46"/>
      <x:c r="E239" s="46"/>
      <x:c r="F239" s="46"/>
      <x:c r="G239" s="46"/>
      <x:c r="H239" s="46"/>
      <x:c r="I239" s="46"/>
    </x:row>
    <x:row r="240">
      <x:c r="A240" s="46"/>
      <x:c r="B240" s="46"/>
      <x:c r="C240" s="46"/>
      <x:c r="D240" s="46"/>
      <x:c r="E240" s="46"/>
      <x:c r="F240" s="46"/>
      <x:c r="G240" s="46"/>
      <x:c r="H240" s="46"/>
      <x:c r="I240" s="46"/>
    </x:row>
    <x:row r="241">
      <x:c r="A241" s="46"/>
      <x:c r="B241" s="46"/>
      <x:c r="C241" s="46"/>
      <x:c r="D241" s="46"/>
      <x:c r="E241" s="46"/>
      <x:c r="F241" s="46"/>
      <x:c r="G241" s="46"/>
      <x:c r="H241" s="46"/>
      <x:c r="I241" s="46"/>
    </x:row>
    <x:row r="242">
      <x:c r="A242" s="46"/>
      <x:c r="B242" s="46"/>
      <x:c r="C242" s="46"/>
      <x:c r="D242" s="46"/>
      <x:c r="E242" s="46"/>
      <x:c r="F242" s="46"/>
      <x:c r="G242" s="46"/>
      <x:c r="H242" s="46"/>
      <x:c r="I242" s="46"/>
    </x:row>
    <x:row r="243">
      <x:c r="A243" s="46"/>
      <x:c r="B243" s="46"/>
      <x:c r="C243" s="46"/>
      <x:c r="D243" s="46"/>
      <x:c r="E243" s="46"/>
      <x:c r="F243" s="46"/>
      <x:c r="G243" s="46"/>
      <x:c r="H243" s="46"/>
      <x:c r="I243" s="46"/>
    </x:row>
    <x:row r="244">
      <x:c r="A244" s="46"/>
      <x:c r="B244" s="46"/>
      <x:c r="C244" s="46"/>
      <x:c r="D244" s="46"/>
      <x:c r="E244" s="46"/>
      <x:c r="F244" s="46"/>
      <x:c r="G244" s="46"/>
      <x:c r="H244" s="46"/>
      <x:c r="I244" s="46"/>
    </x:row>
    <x:row r="245">
      <x:c r="A245" s="46"/>
      <x:c r="B245" s="46"/>
      <x:c r="C245" s="46"/>
      <x:c r="D245" s="46"/>
      <x:c r="E245" s="46"/>
      <x:c r="F245" s="46"/>
      <x:c r="G245" s="46"/>
      <x:c r="H245" s="46"/>
      <x:c r="I245" s="46"/>
    </x:row>
    <x:row r="246">
      <x:c r="A246" s="46"/>
      <x:c r="B246" s="46"/>
      <x:c r="C246" s="46"/>
      <x:c r="D246" s="46"/>
      <x:c r="E246" s="46"/>
      <x:c r="F246" s="46"/>
      <x:c r="G246" s="46"/>
      <x:c r="H246" s="46"/>
      <x:c r="I246" s="46"/>
    </x:row>
    <x:row r="247">
      <x:c r="A247" s="46"/>
      <x:c r="B247" s="46"/>
      <x:c r="C247" s="46"/>
      <x:c r="D247" s="46"/>
      <x:c r="E247" s="46"/>
      <x:c r="F247" s="46"/>
      <x:c r="G247" s="46"/>
      <x:c r="H247" s="46"/>
      <x:c r="I247" s="46"/>
    </x:row>
    <x:row r="248">
      <x:c r="A248" s="46"/>
      <x:c r="B248" s="46"/>
      <x:c r="C248" s="46"/>
      <x:c r="D248" s="46"/>
      <x:c r="E248" s="46"/>
      <x:c r="F248" s="46"/>
      <x:c r="G248" s="46"/>
      <x:c r="H248" s="46"/>
      <x:c r="I248" s="46"/>
    </x:row>
    <x:row r="249">
      <x:c r="A249" s="46"/>
      <x:c r="B249" s="46"/>
      <x:c r="C249" s="46"/>
      <x:c r="D249" s="46"/>
      <x:c r="E249" s="46"/>
      <x:c r="F249" s="46"/>
      <x:c r="G249" s="46"/>
      <x:c r="H249" s="46"/>
      <x:c r="I249" s="46"/>
    </x:row>
    <x:row r="250">
      <x:c r="A250" s="46"/>
      <x:c r="B250" s="46"/>
      <x:c r="C250" s="46"/>
      <x:c r="D250" s="46"/>
      <x:c r="E250" s="46"/>
      <x:c r="F250" s="46"/>
      <x:c r="G250" s="46"/>
      <x:c r="H250" s="46"/>
      <x:c r="I250" s="46"/>
    </x:row>
    <x:row r="251">
      <x:c r="A251" s="46"/>
      <x:c r="B251" s="46"/>
      <x:c r="C251" s="46"/>
      <x:c r="D251" s="46"/>
      <x:c r="E251" s="46"/>
      <x:c r="F251" s="46"/>
      <x:c r="G251" s="46"/>
      <x:c r="H251" s="46"/>
      <x:c r="I251" s="46"/>
    </x:row>
    <x:row r="252">
      <x:c r="A252" s="46"/>
      <x:c r="B252" s="46"/>
      <x:c r="C252" s="46"/>
      <x:c r="D252" s="46"/>
      <x:c r="E252" s="46"/>
      <x:c r="F252" s="46"/>
      <x:c r="G252" s="46"/>
      <x:c r="H252" s="46"/>
      <x:c r="I252" s="46"/>
    </x:row>
    <x:row r="253">
      <x:c r="A253" s="46"/>
      <x:c r="B253" s="46"/>
      <x:c r="C253" s="46"/>
      <x:c r="D253" s="46"/>
      <x:c r="E253" s="46"/>
      <x:c r="F253" s="46"/>
      <x:c r="G253" s="46"/>
      <x:c r="H253" s="46"/>
      <x:c r="I253" s="46"/>
    </x:row>
    <x:row r="254">
      <x:c r="A254" s="46"/>
      <x:c r="B254" s="46"/>
      <x:c r="C254" s="46"/>
      <x:c r="D254" s="46"/>
      <x:c r="E254" s="46"/>
      <x:c r="F254" s="46"/>
      <x:c r="G254" s="46"/>
      <x:c r="H254" s="46"/>
      <x:c r="I254" s="46"/>
    </x:row>
    <x:row r="255">
      <x:c r="A255" s="46"/>
      <x:c r="B255" s="46"/>
      <x:c r="C255" s="46"/>
      <x:c r="D255" s="46"/>
      <x:c r="E255" s="46"/>
      <x:c r="F255" s="46"/>
      <x:c r="G255" s="46"/>
      <x:c r="H255" s="46"/>
      <x:c r="I255" s="46"/>
    </x:row>
    <x:row r="256">
      <x:c r="A256" s="46"/>
      <x:c r="B256" s="46"/>
      <x:c r="C256" s="46"/>
      <x:c r="D256" s="46"/>
      <x:c r="E256" s="46"/>
      <x:c r="F256" s="46"/>
      <x:c r="G256" s="46"/>
      <x:c r="H256" s="46"/>
      <x:c r="I256" s="46"/>
    </x:row>
    <x:row r="257">
      <x:c r="A257" s="46"/>
      <x:c r="B257" s="46"/>
      <x:c r="C257" s="46"/>
      <x:c r="D257" s="46"/>
      <x:c r="E257" s="46"/>
      <x:c r="F257" s="46"/>
      <x:c r="G257" s="46"/>
      <x:c r="H257" s="46"/>
      <x:c r="I257" s="46"/>
    </x:row>
    <x:row r="258">
      <x:c r="A258" s="46"/>
      <x:c r="B258" s="46"/>
      <x:c r="C258" s="46"/>
      <x:c r="D258" s="46"/>
      <x:c r="E258" s="46"/>
      <x:c r="F258" s="46"/>
      <x:c r="G258" s="46"/>
      <x:c r="H258" s="46"/>
      <x:c r="I258" s="46"/>
    </x:row>
    <x:row r="259">
      <x:c r="A259" s="46"/>
      <x:c r="B259" s="46"/>
      <x:c r="C259" s="46"/>
      <x:c r="D259" s="46"/>
      <x:c r="E259" s="46"/>
      <x:c r="F259" s="46"/>
      <x:c r="G259" s="46"/>
      <x:c r="H259" s="46"/>
      <x:c r="I259" s="46"/>
    </x:row>
    <x:row r="260">
      <x:c r="A260" s="46"/>
      <x:c r="B260" s="46"/>
      <x:c r="C260" s="46"/>
      <x:c r="D260" s="46"/>
      <x:c r="E260" s="46"/>
      <x:c r="F260" s="46"/>
      <x:c r="G260" s="46"/>
      <x:c r="H260" s="46"/>
      <x:c r="I260" s="46"/>
    </x:row>
    <x:row r="261">
      <x:c r="A261" s="46"/>
      <x:c r="B261" s="46"/>
      <x:c r="C261" s="46"/>
      <x:c r="D261" s="46"/>
      <x:c r="E261" s="46"/>
      <x:c r="F261" s="46"/>
      <x:c r="G261" s="46"/>
      <x:c r="H261" s="46"/>
      <x:c r="I261" s="46"/>
    </x:row>
    <x:row r="262">
      <x:c r="A262" s="46"/>
      <x:c r="B262" s="46"/>
      <x:c r="C262" s="46"/>
      <x:c r="D262" s="46"/>
      <x:c r="E262" s="46"/>
      <x:c r="F262" s="46"/>
      <x:c r="G262" s="46"/>
      <x:c r="H262" s="46"/>
      <x:c r="I262" s="46"/>
    </x:row>
    <x:row r="263">
      <x:c r="A263" s="46"/>
      <x:c r="B263" s="46"/>
      <x:c r="C263" s="46"/>
      <x:c r="D263" s="46"/>
      <x:c r="E263" s="46"/>
      <x:c r="F263" s="46"/>
      <x:c r="G263" s="46"/>
      <x:c r="H263" s="46"/>
      <x:c r="I263" s="46"/>
    </x:row>
    <x:row r="264">
      <x:c r="A264" s="46"/>
      <x:c r="B264" s="46"/>
      <x:c r="C264" s="46"/>
      <x:c r="D264" s="46"/>
      <x:c r="E264" s="46"/>
      <x:c r="F264" s="46"/>
      <x:c r="G264" s="46"/>
      <x:c r="H264" s="46"/>
      <x:c r="I264" s="46"/>
    </x:row>
    <x:row r="265">
      <x:c r="A265" s="46"/>
      <x:c r="B265" s="46"/>
      <x:c r="C265" s="46"/>
      <x:c r="D265" s="46"/>
      <x:c r="E265" s="46"/>
      <x:c r="F265" s="46"/>
      <x:c r="G265" s="46"/>
      <x:c r="H265" s="46"/>
      <x:c r="I265" s="46"/>
    </x:row>
    <x:row r="266">
      <x:c r="A266" s="46"/>
      <x:c r="B266" s="46"/>
      <x:c r="C266" s="46"/>
      <x:c r="D266" s="46"/>
      <x:c r="E266" s="46"/>
      <x:c r="F266" s="46"/>
      <x:c r="G266" s="46"/>
      <x:c r="H266" s="46"/>
      <x:c r="I266" s="46"/>
    </x:row>
    <x:row r="267">
      <x:c r="A267" s="46"/>
      <x:c r="B267" s="46"/>
      <x:c r="C267" s="46"/>
      <x:c r="D267" s="46"/>
      <x:c r="E267" s="46"/>
      <x:c r="F267" s="46"/>
      <x:c r="G267" s="46"/>
      <x:c r="H267" s="46"/>
      <x:c r="I267" s="46"/>
    </x:row>
    <x:row r="268">
      <x:c r="A268" s="46"/>
      <x:c r="B268" s="46"/>
      <x:c r="C268" s="46"/>
      <x:c r="D268" s="46"/>
      <x:c r="E268" s="46"/>
      <x:c r="F268" s="46"/>
      <x:c r="G268" s="46"/>
      <x:c r="H268" s="46"/>
      <x:c r="I268" s="46"/>
    </x:row>
    <x:row r="269">
      <x:c r="A269" s="46"/>
      <x:c r="B269" s="46"/>
      <x:c r="C269" s="46"/>
      <x:c r="D269" s="46"/>
      <x:c r="E269" s="46"/>
      <x:c r="F269" s="46"/>
      <x:c r="G269" s="46"/>
      <x:c r="H269" s="46"/>
      <x:c r="I269" s="46"/>
    </x:row>
    <x:row r="270">
      <x:c r="A270" s="46"/>
      <x:c r="B270" s="46"/>
      <x:c r="C270" s="46"/>
      <x:c r="D270" s="46"/>
      <x:c r="E270" s="46"/>
      <x:c r="F270" s="46"/>
      <x:c r="G270" s="46"/>
      <x:c r="H270" s="46"/>
      <x:c r="I270" s="46"/>
    </x:row>
    <x:row r="271">
      <x:c r="A271" s="46"/>
      <x:c r="B271" s="46"/>
      <x:c r="C271" s="46"/>
      <x:c r="D271" s="46"/>
      <x:c r="E271" s="46"/>
      <x:c r="F271" s="46"/>
      <x:c r="G271" s="46"/>
      <x:c r="H271" s="46"/>
      <x:c r="I271" s="46"/>
    </x:row>
    <x:row r="272">
      <x:c r="A272" s="46"/>
      <x:c r="B272" s="46"/>
      <x:c r="C272" s="46"/>
      <x:c r="D272" s="46"/>
      <x:c r="E272" s="46"/>
      <x:c r="F272" s="46"/>
      <x:c r="G272" s="46"/>
      <x:c r="H272" s="46"/>
      <x:c r="I272" s="46"/>
    </x:row>
    <x:row r="273">
      <x:c r="A273" s="46"/>
      <x:c r="B273" s="46"/>
      <x:c r="C273" s="46"/>
      <x:c r="D273" s="46"/>
      <x:c r="E273" s="46"/>
      <x:c r="F273" s="46"/>
      <x:c r="G273" s="46"/>
      <x:c r="H273" s="46"/>
      <x:c r="I273" s="46"/>
    </x:row>
    <x:row r="274">
      <x:c r="A274" s="46"/>
      <x:c r="B274" s="46"/>
      <x:c r="C274" s="46"/>
      <x:c r="D274" s="46"/>
      <x:c r="E274" s="46"/>
      <x:c r="F274" s="46"/>
      <x:c r="G274" s="46"/>
      <x:c r="H274" s="46"/>
      <x:c r="I274" s="46"/>
    </x:row>
    <x:row r="275">
      <x:c r="A275" s="46"/>
      <x:c r="B275" s="46"/>
      <x:c r="C275" s="46"/>
      <x:c r="D275" s="46"/>
      <x:c r="E275" s="46"/>
      <x:c r="F275" s="46"/>
      <x:c r="G275" s="46"/>
      <x:c r="H275" s="46"/>
      <x:c r="I275" s="46"/>
    </x:row>
    <x:row r="276">
      <x:c r="A276" s="46"/>
      <x:c r="B276" s="46"/>
      <x:c r="C276" s="46"/>
      <x:c r="D276" s="46"/>
      <x:c r="E276" s="46"/>
      <x:c r="F276" s="46"/>
      <x:c r="G276" s="46"/>
      <x:c r="H276" s="46"/>
      <x:c r="I276" s="46"/>
    </x:row>
    <x:row r="277">
      <x:c r="A277" s="46"/>
      <x:c r="B277" s="46"/>
      <x:c r="C277" s="46"/>
      <x:c r="D277" s="46"/>
      <x:c r="E277" s="46"/>
      <x:c r="F277" s="46"/>
      <x:c r="G277" s="46"/>
      <x:c r="H277" s="46"/>
      <x:c r="I277" s="46"/>
    </x:row>
    <x:row r="278">
      <x:c r="A278" s="46"/>
      <x:c r="B278" s="46"/>
      <x:c r="C278" s="46"/>
      <x:c r="D278" s="46"/>
      <x:c r="E278" s="46"/>
      <x:c r="F278" s="46"/>
      <x:c r="G278" s="46"/>
      <x:c r="H278" s="46"/>
      <x:c r="I278" s="46"/>
    </x:row>
    <x:row r="279">
      <x:c r="A279" s="46"/>
      <x:c r="B279" s="46"/>
      <x:c r="C279" s="46"/>
      <x:c r="D279" s="46"/>
      <x:c r="E279" s="46"/>
      <x:c r="F279" s="46"/>
      <x:c r="G279" s="46"/>
      <x:c r="H279" s="46"/>
      <x:c r="I279" s="46"/>
    </x:row>
    <x:row r="280">
      <x:c r="A280" s="46"/>
      <x:c r="B280" s="46"/>
      <x:c r="C280" s="46"/>
      <x:c r="D280" s="46"/>
      <x:c r="E280" s="46"/>
      <x:c r="F280" s="46"/>
      <x:c r="G280" s="46"/>
      <x:c r="H280" s="46"/>
      <x:c r="I280" s="46"/>
    </x:row>
    <x:row r="281">
      <x:c r="A281" s="46"/>
      <x:c r="B281" s="46"/>
      <x:c r="C281" s="46"/>
      <x:c r="D281" s="46"/>
      <x:c r="E281" s="46"/>
      <x:c r="F281" s="46"/>
      <x:c r="G281" s="46"/>
      <x:c r="H281" s="46"/>
      <x:c r="I281" s="46"/>
    </x:row>
    <x:row r="282">
      <x:c r="A282" s="46"/>
      <x:c r="B282" s="46"/>
      <x:c r="C282" s="46"/>
      <x:c r="D282" s="46"/>
      <x:c r="E282" s="46"/>
      <x:c r="F282" s="46"/>
      <x:c r="G282" s="46"/>
      <x:c r="H282" s="46"/>
      <x:c r="I282" s="46"/>
    </x:row>
    <x:row r="283">
      <x:c r="A283" s="46"/>
      <x:c r="B283" s="46"/>
      <x:c r="C283" s="46"/>
      <x:c r="D283" s="46"/>
      <x:c r="E283" s="46"/>
      <x:c r="F283" s="46"/>
      <x:c r="G283" s="46"/>
      <x:c r="H283" s="46"/>
      <x:c r="I283" s="46"/>
    </x:row>
    <x:row r="284">
      <x:c r="A284" s="46"/>
      <x:c r="B284" s="46"/>
      <x:c r="C284" s="46"/>
      <x:c r="D284" s="46"/>
      <x:c r="E284" s="46"/>
      <x:c r="F284" s="46"/>
      <x:c r="G284" s="46"/>
      <x:c r="H284" s="46"/>
      <x:c r="I284" s="46"/>
    </x:row>
    <x:row r="285">
      <x:c r="A285" s="46"/>
      <x:c r="B285" s="46"/>
      <x:c r="C285" s="46"/>
      <x:c r="D285" s="46"/>
      <x:c r="E285" s="46"/>
      <x:c r="F285" s="46"/>
      <x:c r="G285" s="46"/>
      <x:c r="H285" s="46"/>
      <x:c r="I285" s="46"/>
    </x:row>
    <x:row r="286">
      <x:c r="A286" s="46"/>
      <x:c r="B286" s="46"/>
      <x:c r="C286" s="46"/>
      <x:c r="D286" s="46"/>
      <x:c r="E286" s="46"/>
      <x:c r="F286" s="46"/>
      <x:c r="G286" s="46"/>
      <x:c r="H286" s="46"/>
      <x:c r="I286" s="46"/>
    </x:row>
    <x:row r="287">
      <x:c r="A287" s="46"/>
      <x:c r="B287" s="46"/>
      <x:c r="C287" s="46"/>
      <x:c r="D287" s="46"/>
      <x:c r="E287" s="46"/>
      <x:c r="F287" s="46"/>
      <x:c r="G287" s="46"/>
      <x:c r="H287" s="46"/>
      <x:c r="I287" s="46"/>
    </x:row>
    <x:row r="288">
      <x:c r="A288" s="46"/>
      <x:c r="B288" s="46"/>
      <x:c r="C288" s="46"/>
      <x:c r="D288" s="46"/>
      <x:c r="E288" s="46"/>
      <x:c r="F288" s="46"/>
      <x:c r="G288" s="46"/>
      <x:c r="H288" s="46"/>
      <x:c r="I288" s="46"/>
    </x:row>
    <x:row r="289">
      <x:c r="A289" s="46"/>
      <x:c r="B289" s="46"/>
      <x:c r="C289" s="46"/>
      <x:c r="D289" s="46"/>
      <x:c r="E289" s="46"/>
      <x:c r="F289" s="46"/>
      <x:c r="G289" s="46"/>
      <x:c r="H289" s="46"/>
      <x:c r="I289" s="46"/>
    </x:row>
    <x:row r="290">
      <x:c r="A290" s="46"/>
      <x:c r="B290" s="46"/>
      <x:c r="C290" s="46"/>
      <x:c r="D290" s="46"/>
      <x:c r="E290" s="46"/>
      <x:c r="F290" s="46"/>
      <x:c r="G290" s="46"/>
      <x:c r="H290" s="46"/>
      <x:c r="I290" s="46"/>
    </x:row>
    <x:row r="291">
      <x:c r="A291" s="46"/>
      <x:c r="B291" s="46"/>
      <x:c r="C291" s="46"/>
      <x:c r="D291" s="46"/>
      <x:c r="E291" s="46"/>
      <x:c r="F291" s="46"/>
      <x:c r="G291" s="46"/>
      <x:c r="H291" s="46"/>
      <x:c r="I291" s="46"/>
    </x:row>
    <x:row r="292">
      <x:c r="A292" s="46"/>
      <x:c r="B292" s="46"/>
      <x:c r="C292" s="46"/>
      <x:c r="D292" s="46"/>
      <x:c r="E292" s="46"/>
      <x:c r="F292" s="46"/>
      <x:c r="G292" s="46"/>
      <x:c r="H292" s="46"/>
      <x:c r="I292" s="46"/>
    </x:row>
    <x:row r="293">
      <x:c r="A293" s="46"/>
      <x:c r="B293" s="46"/>
      <x:c r="C293" s="46"/>
      <x:c r="D293" s="46"/>
      <x:c r="E293" s="46"/>
      <x:c r="F293" s="46"/>
      <x:c r="G293" s="46"/>
      <x:c r="H293" s="46"/>
      <x:c r="I293" s="46"/>
    </x:row>
    <x:row r="294">
      <x:c r="A294" s="46"/>
      <x:c r="B294" s="46"/>
      <x:c r="C294" s="46"/>
      <x:c r="D294" s="46"/>
      <x:c r="E294" s="46"/>
      <x:c r="F294" s="46"/>
      <x:c r="G294" s="46"/>
      <x:c r="H294" s="46"/>
      <x:c r="I294" s="46"/>
    </x:row>
    <x:row r="295">
      <x:c r="A295" s="46"/>
      <x:c r="B295" s="46"/>
      <x:c r="C295" s="46"/>
      <x:c r="D295" s="46"/>
      <x:c r="E295" s="46"/>
      <x:c r="F295" s="46"/>
      <x:c r="G295" s="46"/>
      <x:c r="H295" s="46"/>
      <x:c r="I295" s="46"/>
    </x:row>
    <x:row r="296">
      <x:c r="A296" s="46"/>
      <x:c r="B296" s="46"/>
      <x:c r="C296" s="46"/>
      <x:c r="D296" s="46"/>
      <x:c r="E296" s="46"/>
      <x:c r="F296" s="46"/>
      <x:c r="G296" s="46"/>
      <x:c r="H296" s="46"/>
      <x:c r="I296" s="46"/>
    </x:row>
    <x:row r="297">
      <x:c r="A297" s="46"/>
      <x:c r="B297" s="46"/>
      <x:c r="C297" s="46"/>
      <x:c r="D297" s="46"/>
      <x:c r="E297" s="46"/>
      <x:c r="F297" s="46"/>
      <x:c r="G297" s="46"/>
      <x:c r="H297" s="46"/>
      <x:c r="I297" s="46"/>
    </x:row>
    <x:row r="298">
      <x:c r="A298" s="46"/>
      <x:c r="B298" s="46"/>
      <x:c r="C298" s="46"/>
      <x:c r="D298" s="46"/>
      <x:c r="E298" s="46"/>
      <x:c r="F298" s="46"/>
      <x:c r="G298" s="46"/>
      <x:c r="H298" s="46"/>
      <x:c r="I298" s="46"/>
    </x:row>
    <x:row r="299">
      <x:c r="A299" s="46"/>
      <x:c r="B299" s="46"/>
      <x:c r="C299" s="46"/>
      <x:c r="D299" s="46"/>
      <x:c r="E299" s="46"/>
      <x:c r="F299" s="46"/>
      <x:c r="G299" s="46"/>
      <x:c r="H299" s="46"/>
      <x:c r="I299" s="46"/>
    </x:row>
    <x:row r="300">
      <x:c r="A300" s="46"/>
      <x:c r="B300" s="46"/>
      <x:c r="C300" s="46"/>
      <x:c r="D300" s="46"/>
      <x:c r="E300" s="46"/>
      <x:c r="F300" s="46"/>
      <x:c r="G300" s="46"/>
      <x:c r="H300" s="46"/>
      <x:c r="I300" s="46"/>
    </x:row>
    <x:row r="301">
      <x:c r="A301" s="46"/>
      <x:c r="B301" s="46"/>
      <x:c r="C301" s="46"/>
      <x:c r="D301" s="46"/>
      <x:c r="E301" s="46"/>
      <x:c r="F301" s="46"/>
      <x:c r="G301" s="46"/>
      <x:c r="H301" s="46"/>
      <x:c r="I301" s="46"/>
    </x:row>
    <x:row r="302">
      <x:c r="A302" s="46"/>
      <x:c r="B302" s="46"/>
      <x:c r="C302" s="46"/>
      <x:c r="D302" s="46"/>
      <x:c r="E302" s="46"/>
      <x:c r="F302" s="46"/>
      <x:c r="G302" s="46"/>
      <x:c r="H302" s="46"/>
      <x:c r="I302" s="46"/>
    </x:row>
    <x:row r="303">
      <x:c r="A303" s="46"/>
      <x:c r="B303" s="46"/>
      <x:c r="C303" s="46"/>
      <x:c r="D303" s="46"/>
      <x:c r="E303" s="46"/>
      <x:c r="F303" s="46"/>
      <x:c r="G303" s="46"/>
      <x:c r="H303" s="46"/>
      <x:c r="I303" s="46"/>
    </x:row>
    <x:row r="304">
      <x:c r="A304" s="46"/>
      <x:c r="B304" s="46"/>
      <x:c r="C304" s="46"/>
      <x:c r="D304" s="46"/>
      <x:c r="E304" s="46"/>
      <x:c r="F304" s="46"/>
      <x:c r="G304" s="46"/>
      <x:c r="H304" s="46"/>
      <x:c r="I304" s="46"/>
    </x:row>
    <x:row r="305">
      <x:c r="A305" s="46"/>
      <x:c r="B305" s="46"/>
      <x:c r="C305" s="46"/>
      <x:c r="D305" s="46"/>
      <x:c r="E305" s="46"/>
      <x:c r="F305" s="46"/>
      <x:c r="G305" s="46"/>
      <x:c r="H305" s="46"/>
      <x:c r="I305" s="46"/>
    </x:row>
    <x:row r="306">
      <x:c r="A306" s="46"/>
      <x:c r="B306" s="46"/>
      <x:c r="C306" s="46"/>
      <x:c r="D306" s="46"/>
      <x:c r="E306" s="46"/>
      <x:c r="F306" s="46"/>
      <x:c r="G306" s="46"/>
      <x:c r="H306" s="46"/>
      <x:c r="I306" s="46"/>
    </x:row>
    <x:row r="307">
      <x:c r="A307" s="46"/>
      <x:c r="B307" s="46"/>
      <x:c r="C307" s="46"/>
      <x:c r="D307" s="46"/>
      <x:c r="E307" s="46"/>
      <x:c r="F307" s="46"/>
      <x:c r="G307" s="46"/>
      <x:c r="H307" s="46"/>
      <x:c r="I307" s="46"/>
    </x:row>
    <x:row r="308">
      <x:c r="A308" s="46"/>
      <x:c r="B308" s="46"/>
      <x:c r="C308" s="46"/>
      <x:c r="D308" s="46"/>
      <x:c r="E308" s="46"/>
      <x:c r="F308" s="46"/>
      <x:c r="G308" s="46"/>
      <x:c r="H308" s="46"/>
      <x:c r="I308" s="46"/>
    </x:row>
    <x:row r="309">
      <x:c r="A309" s="46"/>
      <x:c r="B309" s="46"/>
      <x:c r="C309" s="46"/>
      <x:c r="D309" s="46"/>
      <x:c r="E309" s="46"/>
      <x:c r="F309" s="46"/>
      <x:c r="G309" s="46"/>
      <x:c r="H309" s="46"/>
      <x:c r="I309" s="46"/>
    </x:row>
    <x:row r="310">
      <x:c r="A310" s="46"/>
      <x:c r="B310" s="46"/>
      <x:c r="C310" s="46"/>
      <x:c r="D310" s="46"/>
      <x:c r="E310" s="46"/>
      <x:c r="F310" s="46"/>
      <x:c r="G310" s="46"/>
      <x:c r="H310" s="46"/>
      <x:c r="I310" s="46"/>
    </x:row>
    <x:row r="311">
      <x:c r="A311" s="46"/>
      <x:c r="B311" s="46"/>
      <x:c r="C311" s="46"/>
      <x:c r="D311" s="46"/>
      <x:c r="E311" s="46"/>
      <x:c r="F311" s="46"/>
      <x:c r="G311" s="46"/>
      <x:c r="H311" s="46"/>
      <x:c r="I311" s="46"/>
    </x:row>
    <x:row r="312">
      <x:c r="A312" s="46"/>
      <x:c r="B312" s="46"/>
      <x:c r="C312" s="46"/>
      <x:c r="D312" s="46"/>
      <x:c r="E312" s="46"/>
      <x:c r="F312" s="46"/>
      <x:c r="G312" s="46"/>
      <x:c r="H312" s="46"/>
      <x:c r="I312" s="46"/>
    </x:row>
    <x:row r="313">
      <x:c r="A313" s="46"/>
      <x:c r="B313" s="46"/>
      <x:c r="C313" s="46"/>
      <x:c r="D313" s="46"/>
      <x:c r="E313" s="46"/>
      <x:c r="F313" s="46"/>
      <x:c r="G313" s="46"/>
      <x:c r="H313" s="46"/>
      <x:c r="I313" s="46"/>
    </x:row>
    <x:row r="314">
      <x:c r="A314" s="46"/>
      <x:c r="B314" s="46"/>
      <x:c r="C314" s="46"/>
      <x:c r="D314" s="46"/>
      <x:c r="E314" s="46"/>
      <x:c r="F314" s="46"/>
      <x:c r="G314" s="46"/>
      <x:c r="H314" s="46"/>
      <x:c r="I314" s="46"/>
    </x:row>
    <x:row r="315">
      <x:c r="A315" s="46"/>
      <x:c r="B315" s="46"/>
      <x:c r="C315" s="46"/>
      <x:c r="D315" s="46"/>
      <x:c r="E315" s="46"/>
      <x:c r="F315" s="46"/>
      <x:c r="G315" s="46"/>
      <x:c r="H315" s="46"/>
      <x:c r="I315" s="46"/>
    </x:row>
    <x:row r="316">
      <x:c r="A316" s="46"/>
      <x:c r="B316" s="46"/>
      <x:c r="C316" s="46"/>
      <x:c r="D316" s="46"/>
      <x:c r="E316" s="46"/>
      <x:c r="F316" s="46"/>
      <x:c r="G316" s="46"/>
      <x:c r="H316" s="46"/>
      <x:c r="I316" s="46"/>
    </x:row>
    <x:row r="317">
      <x:c r="A317" s="46"/>
      <x:c r="B317" s="46"/>
      <x:c r="C317" s="46"/>
      <x:c r="D317" s="46"/>
      <x:c r="E317" s="46"/>
      <x:c r="F317" s="46"/>
      <x:c r="G317" s="46"/>
      <x:c r="H317" s="46"/>
      <x:c r="I317" s="46"/>
    </x:row>
    <x:row r="318">
      <x:c r="A318" s="46"/>
      <x:c r="B318" s="46"/>
      <x:c r="C318" s="46"/>
      <x:c r="D318" s="46"/>
      <x:c r="E318" s="46"/>
      <x:c r="F318" s="46"/>
      <x:c r="G318" s="46"/>
      <x:c r="H318" s="46"/>
      <x:c r="I318" s="46"/>
    </x:row>
    <x:row r="319">
      <x:c r="A319" s="46"/>
      <x:c r="B319" s="46"/>
      <x:c r="C319" s="46"/>
      <x:c r="D319" s="46"/>
      <x:c r="E319" s="46"/>
      <x:c r="F319" s="46"/>
      <x:c r="G319" s="46"/>
      <x:c r="H319" s="46"/>
      <x:c r="I319" s="46"/>
    </x:row>
    <x:row r="320">
      <x:c r="A320" s="46"/>
      <x:c r="B320" s="46"/>
      <x:c r="C320" s="46"/>
      <x:c r="D320" s="46"/>
      <x:c r="E320" s="46"/>
      <x:c r="F320" s="46"/>
      <x:c r="G320" s="46"/>
      <x:c r="H320" s="46"/>
      <x:c r="I320" s="46"/>
    </x:row>
    <x:row r="321">
      <x:c r="A321" s="46"/>
      <x:c r="B321" s="46"/>
      <x:c r="C321" s="46"/>
      <x:c r="D321" s="46"/>
      <x:c r="E321" s="46"/>
      <x:c r="F321" s="46"/>
      <x:c r="G321" s="46"/>
      <x:c r="H321" s="46"/>
      <x:c r="I321" s="46"/>
    </x:row>
    <x:row r="322">
      <x:c r="A322" s="46"/>
      <x:c r="B322" s="46"/>
      <x:c r="C322" s="46"/>
      <x:c r="D322" s="46"/>
      <x:c r="E322" s="46"/>
      <x:c r="F322" s="46"/>
      <x:c r="G322" s="46"/>
      <x:c r="H322" s="46"/>
      <x:c r="I322" s="46"/>
    </x:row>
    <x:row r="323">
      <x:c r="A323" s="46"/>
      <x:c r="B323" s="46"/>
      <x:c r="C323" s="46"/>
      <x:c r="D323" s="46"/>
      <x:c r="E323" s="46"/>
      <x:c r="F323" s="46"/>
      <x:c r="G323" s="46"/>
      <x:c r="H323" s="46"/>
      <x:c r="I323" s="46"/>
    </x:row>
    <x:row r="324">
      <x:c r="A324" s="46"/>
      <x:c r="B324" s="46"/>
      <x:c r="C324" s="46"/>
      <x:c r="D324" s="46"/>
      <x:c r="E324" s="46"/>
      <x:c r="F324" s="46"/>
      <x:c r="G324" s="46"/>
      <x:c r="H324" s="46"/>
      <x:c r="I324" s="46"/>
    </x:row>
    <x:row r="325">
      <x:c r="A325" s="46"/>
      <x:c r="B325" s="46"/>
      <x:c r="C325" s="46"/>
      <x:c r="D325" s="46"/>
      <x:c r="E325" s="46"/>
      <x:c r="F325" s="46"/>
      <x:c r="G325" s="46"/>
      <x:c r="H325" s="46"/>
      <x:c r="I325" s="46"/>
    </x:row>
    <x:row r="326">
      <x:c r="A326" s="46"/>
      <x:c r="B326" s="46"/>
      <x:c r="C326" s="46"/>
      <x:c r="D326" s="46"/>
      <x:c r="E326" s="46"/>
      <x:c r="F326" s="46"/>
      <x:c r="G326" s="46"/>
      <x:c r="H326" s="46"/>
      <x:c r="I326" s="46"/>
    </x:row>
    <x:row r="327">
      <x:c r="A327" s="46"/>
      <x:c r="B327" s="46"/>
      <x:c r="C327" s="46"/>
      <x:c r="D327" s="46"/>
      <x:c r="E327" s="46"/>
      <x:c r="F327" s="46"/>
      <x:c r="G327" s="46"/>
      <x:c r="H327" s="46"/>
      <x:c r="I327" s="46"/>
    </x:row>
    <x:row r="328">
      <x:c r="A328" s="46"/>
      <x:c r="B328" s="46"/>
      <x:c r="C328" s="46"/>
      <x:c r="D328" s="46"/>
      <x:c r="E328" s="46"/>
      <x:c r="F328" s="46"/>
      <x:c r="G328" s="46"/>
      <x:c r="H328" s="46"/>
      <x:c r="I328" s="46"/>
    </x:row>
    <x:row r="329">
      <x:c r="A329" s="46"/>
      <x:c r="B329" s="46"/>
      <x:c r="C329" s="46"/>
      <x:c r="D329" s="46"/>
      <x:c r="E329" s="46"/>
      <x:c r="F329" s="46"/>
      <x:c r="G329" s="46"/>
      <x:c r="H329" s="46"/>
      <x:c r="I329" s="46"/>
    </x:row>
    <x:row r="330">
      <x:c r="A330" s="46"/>
      <x:c r="B330" s="46"/>
      <x:c r="C330" s="46"/>
      <x:c r="D330" s="46"/>
      <x:c r="E330" s="46"/>
      <x:c r="F330" s="46"/>
      <x:c r="G330" s="46"/>
      <x:c r="H330" s="46"/>
      <x:c r="I330" s="46"/>
    </x:row>
    <x:row r="331">
      <x:c r="A331" s="46"/>
      <x:c r="B331" s="46"/>
      <x:c r="C331" s="46"/>
      <x:c r="D331" s="46"/>
      <x:c r="E331" s="46"/>
      <x:c r="F331" s="46"/>
      <x:c r="G331" s="46"/>
      <x:c r="H331" s="46"/>
      <x:c r="I331" s="46"/>
    </x:row>
    <x:row r="332">
      <x:c r="A332" s="46"/>
      <x:c r="B332" s="46"/>
      <x:c r="C332" s="46"/>
      <x:c r="D332" s="46"/>
      <x:c r="E332" s="46"/>
      <x:c r="F332" s="46"/>
      <x:c r="G332" s="46"/>
      <x:c r="H332" s="46"/>
      <x:c r="I332" s="46"/>
    </x:row>
    <x:row r="333">
      <x:c r="A333" s="46"/>
      <x:c r="B333" s="46"/>
      <x:c r="C333" s="46"/>
      <x:c r="D333" s="46"/>
      <x:c r="E333" s="46"/>
      <x:c r="F333" s="46"/>
      <x:c r="G333" s="46"/>
      <x:c r="H333" s="46"/>
      <x:c r="I333" s="46"/>
    </x:row>
    <x:row r="334">
      <x:c r="A334" s="46"/>
      <x:c r="B334" s="46"/>
      <x:c r="C334" s="46"/>
      <x:c r="D334" s="46"/>
      <x:c r="E334" s="46"/>
      <x:c r="F334" s="46"/>
      <x:c r="G334" s="46"/>
      <x:c r="H334" s="46"/>
      <x:c r="I334" s="46"/>
    </x:row>
    <x:row r="335">
      <x:c r="A335" s="46"/>
      <x:c r="B335" s="46"/>
      <x:c r="C335" s="46"/>
      <x:c r="D335" s="46"/>
      <x:c r="E335" s="46"/>
      <x:c r="F335" s="46"/>
      <x:c r="G335" s="46"/>
      <x:c r="H335" s="46"/>
      <x:c r="I335" s="46"/>
    </x:row>
    <x:row r="336">
      <x:c r="A336" s="46"/>
      <x:c r="B336" s="46"/>
      <x:c r="C336" s="46"/>
      <x:c r="D336" s="46"/>
      <x:c r="E336" s="46"/>
      <x:c r="F336" s="46"/>
      <x:c r="G336" s="46"/>
      <x:c r="H336" s="46"/>
      <x:c r="I336" s="46"/>
    </x:row>
    <x:row r="337">
      <x:c r="A337" s="46"/>
      <x:c r="B337" s="46"/>
      <x:c r="C337" s="46"/>
      <x:c r="D337" s="46"/>
      <x:c r="E337" s="46"/>
      <x:c r="F337" s="46"/>
      <x:c r="G337" s="46"/>
      <x:c r="H337" s="46"/>
      <x:c r="I337" s="46"/>
    </x:row>
    <x:row r="338">
      <x:c r="A338" s="46"/>
      <x:c r="B338" s="46"/>
      <x:c r="C338" s="46"/>
      <x:c r="D338" s="46"/>
      <x:c r="E338" s="46"/>
      <x:c r="F338" s="46"/>
      <x:c r="G338" s="46"/>
      <x:c r="H338" s="46"/>
      <x:c r="I338" s="46"/>
    </x:row>
    <x:row r="339">
      <x:c r="A339" s="46"/>
      <x:c r="B339" s="46"/>
      <x:c r="C339" s="46"/>
      <x:c r="D339" s="46"/>
      <x:c r="E339" s="46"/>
      <x:c r="F339" s="46"/>
      <x:c r="G339" s="46"/>
      <x:c r="H339" s="46"/>
      <x:c r="I339" s="46"/>
    </x:row>
    <x:row r="340">
      <x:c r="A340" s="46"/>
      <x:c r="B340" s="46"/>
      <x:c r="C340" s="46"/>
      <x:c r="D340" s="46"/>
      <x:c r="E340" s="46"/>
      <x:c r="F340" s="46"/>
      <x:c r="G340" s="46"/>
      <x:c r="H340" s="46"/>
      <x:c r="I340" s="46"/>
    </x:row>
    <x:row r="341">
      <x:c r="A341" s="46"/>
      <x:c r="B341" s="46"/>
      <x:c r="C341" s="46"/>
      <x:c r="D341" s="46"/>
      <x:c r="E341" s="46"/>
      <x:c r="F341" s="46"/>
      <x:c r="G341" s="46"/>
      <x:c r="H341" s="46"/>
      <x:c r="I341" s="46"/>
    </x:row>
    <x:row r="342">
      <x:c r="A342" s="46"/>
      <x:c r="B342" s="46"/>
      <x:c r="C342" s="46"/>
      <x:c r="D342" s="46"/>
      <x:c r="E342" s="46"/>
      <x:c r="F342" s="46"/>
      <x:c r="G342" s="46"/>
      <x:c r="H342" s="46"/>
      <x:c r="I342" s="46"/>
    </x:row>
    <x:row r="343">
      <x:c r="A343" s="46"/>
      <x:c r="B343" s="46"/>
      <x:c r="C343" s="46"/>
      <x:c r="D343" s="46"/>
      <x:c r="E343" s="46"/>
      <x:c r="F343" s="46"/>
      <x:c r="G343" s="46"/>
      <x:c r="H343" s="46"/>
      <x:c r="I343" s="46"/>
    </x:row>
    <x:row r="344">
      <x:c r="A344" s="46"/>
      <x:c r="B344" s="46"/>
      <x:c r="C344" s="46"/>
      <x:c r="D344" s="46"/>
      <x:c r="E344" s="46"/>
      <x:c r="F344" s="46"/>
      <x:c r="G344" s="46"/>
      <x:c r="H344" s="46"/>
      <x:c r="I344" s="46"/>
    </x:row>
    <x:row r="345">
      <x:c r="A345" s="46"/>
      <x:c r="B345" s="46"/>
      <x:c r="C345" s="46"/>
      <x:c r="D345" s="46"/>
      <x:c r="E345" s="46"/>
      <x:c r="F345" s="46"/>
      <x:c r="G345" s="46"/>
      <x:c r="H345" s="46"/>
      <x:c r="I345" s="46"/>
    </x:row>
    <x:row r="346">
      <x:c r="A346" s="46"/>
      <x:c r="B346" s="46"/>
      <x:c r="C346" s="46"/>
      <x:c r="D346" s="46"/>
      <x:c r="E346" s="46"/>
      <x:c r="F346" s="46"/>
      <x:c r="G346" s="46"/>
      <x:c r="H346" s="46"/>
      <x:c r="I346" s="46"/>
    </x:row>
    <x:row r="347">
      <x:c r="A347" s="46"/>
      <x:c r="B347" s="46"/>
      <x:c r="C347" s="46"/>
      <x:c r="D347" s="46"/>
      <x:c r="E347" s="46"/>
      <x:c r="F347" s="46"/>
      <x:c r="G347" s="46"/>
      <x:c r="H347" s="46"/>
      <x:c r="I347" s="46"/>
    </x:row>
    <x:row r="348">
      <x:c r="A348" s="46"/>
      <x:c r="B348" s="46"/>
      <x:c r="C348" s="46"/>
      <x:c r="D348" s="46"/>
      <x:c r="E348" s="46"/>
      <x:c r="F348" s="46"/>
      <x:c r="G348" s="46"/>
      <x:c r="H348" s="46"/>
      <x:c r="I348" s="46"/>
    </x:row>
    <x:row r="349">
      <x:c r="A349" s="46"/>
      <x:c r="B349" s="46"/>
      <x:c r="C349" s="46"/>
      <x:c r="D349" s="46"/>
      <x:c r="E349" s="46"/>
      <x:c r="F349" s="46"/>
      <x:c r="G349" s="46"/>
      <x:c r="H349" s="46"/>
      <x:c r="I349" s="46"/>
    </x:row>
    <x:row r="350">
      <x:c r="A350" s="46"/>
      <x:c r="B350" s="46"/>
      <x:c r="C350" s="46"/>
      <x:c r="D350" s="46"/>
      <x:c r="E350" s="46"/>
      <x:c r="F350" s="46"/>
      <x:c r="G350" s="46"/>
      <x:c r="H350" s="46"/>
      <x:c r="I350" s="46"/>
    </x:row>
    <x:row r="351">
      <x:c r="A351" s="46"/>
      <x:c r="B351" s="46"/>
      <x:c r="C351" s="46"/>
      <x:c r="D351" s="46"/>
      <x:c r="E351" s="46"/>
      <x:c r="F351" s="46"/>
      <x:c r="G351" s="46"/>
      <x:c r="H351" s="46"/>
      <x:c r="I351" s="46"/>
    </x:row>
    <x:row r="352">
      <x:c r="A352" s="46"/>
      <x:c r="B352" s="46"/>
      <x:c r="C352" s="46"/>
      <x:c r="D352" s="46"/>
      <x:c r="E352" s="46"/>
      <x:c r="F352" s="46"/>
      <x:c r="G352" s="46"/>
      <x:c r="H352" s="46"/>
      <x:c r="I352" s="46"/>
    </x:row>
    <x:row r="353">
      <x:c r="A353" s="46"/>
      <x:c r="B353" s="46"/>
      <x:c r="C353" s="46"/>
      <x:c r="D353" s="46"/>
      <x:c r="E353" s="46"/>
      <x:c r="F353" s="46"/>
      <x:c r="G353" s="46"/>
      <x:c r="H353" s="46"/>
      <x:c r="I353" s="46"/>
    </x:row>
    <x:row r="354">
      <x:c r="A354" s="46"/>
      <x:c r="B354" s="46"/>
      <x:c r="C354" s="46"/>
      <x:c r="D354" s="46"/>
      <x:c r="E354" s="46"/>
      <x:c r="F354" s="46"/>
      <x:c r="G354" s="46"/>
      <x:c r="H354" s="46"/>
      <x:c r="I354" s="46"/>
    </x:row>
    <x:row r="355">
      <x:c r="A355" s="46"/>
      <x:c r="B355" s="46"/>
      <x:c r="C355" s="46"/>
      <x:c r="D355" s="46"/>
      <x:c r="E355" s="46"/>
      <x:c r="F355" s="46"/>
      <x:c r="G355" s="46"/>
      <x:c r="H355" s="46"/>
      <x:c r="I355" s="46"/>
    </x:row>
    <x:row r="356">
      <x:c r="A356" s="46"/>
      <x:c r="B356" s="46"/>
      <x:c r="C356" s="46"/>
      <x:c r="D356" s="46"/>
      <x:c r="E356" s="46"/>
      <x:c r="F356" s="46"/>
      <x:c r="G356" s="46"/>
      <x:c r="H356" s="46"/>
      <x:c r="I356" s="46"/>
    </x:row>
    <x:row r="357">
      <x:c r="A357" s="46"/>
      <x:c r="B357" s="46"/>
      <x:c r="C357" s="46"/>
      <x:c r="D357" s="46"/>
      <x:c r="E357" s="46"/>
      <x:c r="F357" s="46"/>
      <x:c r="G357" s="46"/>
      <x:c r="H357" s="46"/>
      <x:c r="I357" s="46"/>
    </x:row>
    <x:row r="358">
      <x:c r="A358" s="46"/>
      <x:c r="B358" s="46"/>
      <x:c r="C358" s="46"/>
      <x:c r="D358" s="46"/>
      <x:c r="E358" s="46"/>
      <x:c r="F358" s="46"/>
      <x:c r="G358" s="46"/>
      <x:c r="H358" s="46"/>
      <x:c r="I358" s="46"/>
    </x:row>
    <x:row r="359">
      <x:c r="A359" s="46"/>
      <x:c r="B359" s="46"/>
      <x:c r="C359" s="46"/>
      <x:c r="D359" s="46"/>
      <x:c r="E359" s="46"/>
      <x:c r="F359" s="46"/>
      <x:c r="G359" s="46"/>
      <x:c r="H359" s="46"/>
      <x:c r="I359" s="46"/>
    </x:row>
    <x:row r="360">
      <x:c r="A360" s="46"/>
      <x:c r="B360" s="46"/>
      <x:c r="C360" s="46"/>
      <x:c r="D360" s="46"/>
      <x:c r="E360" s="46"/>
      <x:c r="F360" s="46"/>
      <x:c r="G360" s="46"/>
      <x:c r="H360" s="46"/>
      <x:c r="I360" s="46"/>
    </x:row>
    <x:row r="361">
      <x:c r="A361" s="46"/>
      <x:c r="B361" s="46"/>
      <x:c r="C361" s="46"/>
      <x:c r="D361" s="46"/>
      <x:c r="E361" s="46"/>
      <x:c r="F361" s="46"/>
      <x:c r="G361" s="46"/>
      <x:c r="H361" s="46"/>
      <x:c r="I361" s="46"/>
    </x:row>
    <x:row r="362">
      <x:c r="A362" s="46"/>
      <x:c r="B362" s="46"/>
      <x:c r="C362" s="46"/>
      <x:c r="D362" s="46"/>
      <x:c r="E362" s="46"/>
      <x:c r="F362" s="46"/>
      <x:c r="G362" s="46"/>
      <x:c r="H362" s="46"/>
      <x:c r="I362" s="46"/>
    </x:row>
    <x:row r="363">
      <x:c r="A363" s="46"/>
      <x:c r="B363" s="46"/>
      <x:c r="C363" s="46"/>
      <x:c r="D363" s="46"/>
      <x:c r="E363" s="46"/>
      <x:c r="F363" s="46"/>
      <x:c r="G363" s="46"/>
      <x:c r="H363" s="46"/>
      <x:c r="I363" s="46"/>
    </x:row>
    <x:row r="364">
      <x:c r="A364" s="46"/>
      <x:c r="B364" s="46"/>
      <x:c r="C364" s="46"/>
      <x:c r="D364" s="46"/>
      <x:c r="E364" s="46"/>
      <x:c r="F364" s="46"/>
      <x:c r="G364" s="46"/>
      <x:c r="H364" s="46"/>
      <x:c r="I364" s="46"/>
    </x:row>
    <x:row r="365">
      <x:c r="A365" s="46"/>
      <x:c r="B365" s="46"/>
      <x:c r="C365" s="46"/>
      <x:c r="D365" s="46"/>
      <x:c r="E365" s="46"/>
      <x:c r="F365" s="46"/>
      <x:c r="G365" s="46"/>
      <x:c r="H365" s="46"/>
      <x:c r="I365" s="46"/>
    </x:row>
    <x:row r="366">
      <x:c r="A366" s="46"/>
      <x:c r="B366" s="46"/>
      <x:c r="C366" s="46"/>
      <x:c r="D366" s="46"/>
      <x:c r="E366" s="46"/>
      <x:c r="F366" s="46"/>
      <x:c r="G366" s="46"/>
      <x:c r="H366" s="46"/>
      <x:c r="I366" s="46"/>
    </x:row>
    <x:row r="367">
      <x:c r="A367" s="46"/>
      <x:c r="B367" s="46"/>
      <x:c r="C367" s="46"/>
      <x:c r="D367" s="46"/>
      <x:c r="E367" s="46"/>
      <x:c r="F367" s="46"/>
      <x:c r="G367" s="46"/>
      <x:c r="H367" s="46"/>
      <x:c r="I367" s="46"/>
    </x:row>
    <x:row r="368">
      <x:c r="A368" s="46"/>
      <x:c r="B368" s="46"/>
      <x:c r="C368" s="46"/>
      <x:c r="D368" s="46"/>
      <x:c r="E368" s="46"/>
      <x:c r="F368" s="46"/>
      <x:c r="G368" s="46"/>
      <x:c r="H368" s="46"/>
      <x:c r="I368" s="46"/>
    </x:row>
    <x:row r="369">
      <x:c r="A369" s="46"/>
      <x:c r="B369" s="46"/>
      <x:c r="C369" s="46"/>
      <x:c r="D369" s="46"/>
      <x:c r="E369" s="46"/>
      <x:c r="F369" s="46"/>
      <x:c r="G369" s="46"/>
      <x:c r="H369" s="46"/>
      <x:c r="I369" s="46"/>
    </x:row>
    <x:row r="370">
      <x:c r="A370" s="46"/>
      <x:c r="B370" s="46"/>
      <x:c r="C370" s="46"/>
      <x:c r="D370" s="46"/>
      <x:c r="E370" s="46"/>
      <x:c r="F370" s="46"/>
      <x:c r="G370" s="46"/>
      <x:c r="H370" s="46"/>
      <x:c r="I370" s="46"/>
    </x:row>
    <x:row r="371">
      <x:c r="A371" s="46"/>
      <x:c r="B371" s="46"/>
      <x:c r="C371" s="46"/>
      <x:c r="D371" s="46"/>
      <x:c r="E371" s="46"/>
      <x:c r="F371" s="46"/>
      <x:c r="G371" s="46"/>
      <x:c r="H371" s="46"/>
      <x:c r="I371" s="46"/>
    </x:row>
    <x:row r="372">
      <x:c r="A372" s="46"/>
      <x:c r="B372" s="46"/>
      <x:c r="C372" s="46"/>
      <x:c r="D372" s="46"/>
      <x:c r="E372" s="46"/>
      <x:c r="F372" s="46"/>
      <x:c r="G372" s="46"/>
      <x:c r="H372" s="46"/>
      <x:c r="I372" s="46"/>
    </x:row>
    <x:row r="373">
      <x:c r="A373" s="46"/>
      <x:c r="B373" s="46"/>
      <x:c r="C373" s="46"/>
      <x:c r="D373" s="46"/>
      <x:c r="E373" s="46"/>
      <x:c r="F373" s="46"/>
      <x:c r="G373" s="46"/>
      <x:c r="H373" s="46"/>
      <x:c r="I373" s="46"/>
    </x:row>
    <x:row r="374">
      <x:c r="A374" s="46"/>
      <x:c r="B374" s="46"/>
      <x:c r="C374" s="46"/>
      <x:c r="D374" s="46"/>
      <x:c r="E374" s="46"/>
      <x:c r="F374" s="46"/>
      <x:c r="G374" s="46"/>
      <x:c r="H374" s="46"/>
      <x:c r="I374" s="46"/>
    </x:row>
    <x:row r="375">
      <x:c r="A375" s="46"/>
      <x:c r="B375" s="46"/>
      <x:c r="C375" s="46"/>
      <x:c r="D375" s="46"/>
      <x:c r="E375" s="46"/>
      <x:c r="F375" s="46"/>
      <x:c r="G375" s="46"/>
      <x:c r="H375" s="46"/>
      <x:c r="I375" s="46"/>
    </x:row>
    <x:row r="376">
      <x:c r="A376" s="46"/>
      <x:c r="B376" s="46"/>
      <x:c r="C376" s="46"/>
      <x:c r="D376" s="46"/>
      <x:c r="E376" s="46"/>
      <x:c r="F376" s="46"/>
      <x:c r="G376" s="46"/>
      <x:c r="H376" s="46"/>
      <x:c r="I376" s="46"/>
    </x:row>
    <x:row r="377">
      <x:c r="A377" s="46"/>
      <x:c r="B377" s="46"/>
      <x:c r="C377" s="46"/>
      <x:c r="D377" s="46"/>
      <x:c r="E377" s="46"/>
      <x:c r="F377" s="46"/>
      <x:c r="G377" s="46"/>
      <x:c r="H377" s="46"/>
      <x:c r="I377" s="46"/>
    </x:row>
    <x:row r="378">
      <x:c r="A378" s="46"/>
      <x:c r="B378" s="46"/>
      <x:c r="C378" s="46"/>
      <x:c r="D378" s="46"/>
      <x:c r="E378" s="46"/>
      <x:c r="F378" s="46"/>
      <x:c r="G378" s="46"/>
      <x:c r="H378" s="46"/>
      <x:c r="I378" s="46"/>
    </x:row>
    <x:row r="379">
      <x:c r="A379" s="46"/>
      <x:c r="B379" s="46"/>
      <x:c r="C379" s="46"/>
      <x:c r="D379" s="46"/>
      <x:c r="E379" s="46"/>
      <x:c r="F379" s="46"/>
      <x:c r="G379" s="46"/>
      <x:c r="H379" s="46"/>
      <x:c r="I379" s="46"/>
    </x:row>
    <x:row r="380">
      <x:c r="A380" s="46"/>
      <x:c r="B380" s="46"/>
      <x:c r="C380" s="46"/>
      <x:c r="D380" s="46"/>
      <x:c r="E380" s="46"/>
      <x:c r="F380" s="46"/>
      <x:c r="G380" s="46"/>
      <x:c r="H380" s="46"/>
      <x:c r="I380" s="46"/>
    </x:row>
    <x:row r="381">
      <x:c r="A381" s="46"/>
      <x:c r="B381" s="46"/>
      <x:c r="C381" s="46"/>
      <x:c r="D381" s="46"/>
      <x:c r="E381" s="46"/>
      <x:c r="F381" s="46"/>
      <x:c r="G381" s="46"/>
      <x:c r="H381" s="46"/>
      <x:c r="I381" s="46"/>
    </x:row>
    <x:row r="382">
      <x:c r="A382" s="46"/>
      <x:c r="B382" s="46"/>
      <x:c r="C382" s="46"/>
      <x:c r="D382" s="46"/>
      <x:c r="E382" s="46"/>
      <x:c r="F382" s="46"/>
      <x:c r="G382" s="46"/>
      <x:c r="H382" s="46"/>
      <x:c r="I382" s="46"/>
    </x:row>
    <x:row r="383">
      <x:c r="A383" s="46"/>
      <x:c r="B383" s="46"/>
      <x:c r="C383" s="46"/>
      <x:c r="D383" s="46"/>
      <x:c r="E383" s="46"/>
      <x:c r="F383" s="46"/>
      <x:c r="G383" s="46"/>
      <x:c r="H383" s="46"/>
      <x:c r="I383" s="46"/>
    </x:row>
    <x:row r="384">
      <x:c r="A384" s="46"/>
      <x:c r="B384" s="46"/>
      <x:c r="C384" s="46"/>
      <x:c r="D384" s="46"/>
      <x:c r="E384" s="46"/>
      <x:c r="F384" s="46"/>
      <x:c r="G384" s="46"/>
      <x:c r="H384" s="46"/>
      <x:c r="I384" s="46"/>
    </x:row>
    <x:row r="385">
      <x:c r="A385" s="46"/>
      <x:c r="B385" s="46"/>
      <x:c r="C385" s="46"/>
      <x:c r="D385" s="46"/>
      <x:c r="E385" s="46"/>
      <x:c r="F385" s="46"/>
      <x:c r="G385" s="46"/>
      <x:c r="H385" s="46"/>
      <x:c r="I385" s="46"/>
    </x:row>
    <x:row r="386">
      <x:c r="A386" s="46"/>
      <x:c r="B386" s="46"/>
      <x:c r="C386" s="46"/>
      <x:c r="D386" s="46"/>
      <x:c r="E386" s="46"/>
      <x:c r="F386" s="46"/>
      <x:c r="G386" s="46"/>
      <x:c r="H386" s="46"/>
      <x:c r="I386" s="46"/>
    </x:row>
    <x:row r="387">
      <x:c r="A387" s="46"/>
      <x:c r="B387" s="46"/>
      <x:c r="C387" s="46"/>
      <x:c r="D387" s="46"/>
      <x:c r="E387" s="46"/>
      <x:c r="F387" s="46"/>
      <x:c r="G387" s="46"/>
      <x:c r="H387" s="46"/>
      <x:c r="I387" s="46"/>
    </x:row>
    <x:row r="388">
      <x:c r="A388" s="46"/>
      <x:c r="B388" s="46"/>
      <x:c r="C388" s="46"/>
      <x:c r="D388" s="46"/>
      <x:c r="E388" s="46"/>
      <x:c r="F388" s="46"/>
      <x:c r="G388" s="46"/>
      <x:c r="H388" s="46"/>
      <x:c r="I388" s="46"/>
    </x:row>
    <x:row r="389">
      <x:c r="A389" s="46"/>
      <x:c r="B389" s="46"/>
      <x:c r="C389" s="46"/>
      <x:c r="D389" s="46"/>
      <x:c r="E389" s="46"/>
      <x:c r="F389" s="46"/>
      <x:c r="G389" s="46"/>
      <x:c r="H389" s="46"/>
      <x:c r="I389" s="46"/>
    </x:row>
    <x:row r="390">
      <x:c r="A390" s="46"/>
      <x:c r="B390" s="46"/>
      <x:c r="C390" s="46"/>
      <x:c r="D390" s="46"/>
      <x:c r="E390" s="46"/>
      <x:c r="F390" s="46"/>
      <x:c r="G390" s="46"/>
      <x:c r="H390" s="46"/>
      <x:c r="I390" s="46"/>
    </x:row>
    <x:row r="391">
      <x:c r="A391" s="46"/>
      <x:c r="B391" s="46"/>
      <x:c r="C391" s="46"/>
      <x:c r="D391" s="46"/>
      <x:c r="E391" s="46"/>
      <x:c r="F391" s="46"/>
      <x:c r="G391" s="46"/>
      <x:c r="H391" s="46"/>
      <x:c r="I391" s="46"/>
    </x:row>
    <x:row r="392">
      <x:c r="A392" s="46"/>
      <x:c r="B392" s="46"/>
      <x:c r="C392" s="46"/>
      <x:c r="D392" s="46"/>
      <x:c r="E392" s="46"/>
      <x:c r="F392" s="46"/>
      <x:c r="G392" s="46"/>
      <x:c r="H392" s="46"/>
      <x:c r="I392" s="46"/>
    </x:row>
    <x:row r="393">
      <x:c r="A393" s="46"/>
      <x:c r="B393" s="46"/>
      <x:c r="C393" s="46"/>
      <x:c r="D393" s="46"/>
      <x:c r="E393" s="46"/>
      <x:c r="F393" s="46"/>
      <x:c r="G393" s="46"/>
      <x:c r="H393" s="46"/>
      <x:c r="I393" s="46"/>
    </x:row>
    <x:row r="394">
      <x:c r="A394" s="46"/>
      <x:c r="B394" s="46"/>
      <x:c r="C394" s="46"/>
      <x:c r="D394" s="46"/>
      <x:c r="E394" s="46"/>
      <x:c r="F394" s="46"/>
      <x:c r="G394" s="46"/>
      <x:c r="H394" s="46"/>
      <x:c r="I394" s="46"/>
    </x:row>
    <x:row r="395">
      <x:c r="A395" s="46"/>
      <x:c r="B395" s="46"/>
      <x:c r="C395" s="46"/>
      <x:c r="D395" s="46"/>
      <x:c r="E395" s="46"/>
      <x:c r="F395" s="46"/>
      <x:c r="G395" s="46"/>
      <x:c r="H395" s="46"/>
      <x:c r="I395" s="46"/>
    </x:row>
    <x:row r="396">
      <x:c r="A396" s="46"/>
      <x:c r="B396" s="46"/>
      <x:c r="C396" s="46"/>
      <x:c r="D396" s="46"/>
      <x:c r="E396" s="46"/>
      <x:c r="F396" s="46"/>
      <x:c r="G396" s="46"/>
      <x:c r="H396" s="46"/>
      <x:c r="I396" s="46"/>
    </x:row>
    <x:row r="397">
      <x:c r="A397" s="46"/>
      <x:c r="B397" s="46"/>
      <x:c r="C397" s="46"/>
      <x:c r="D397" s="46"/>
      <x:c r="E397" s="46"/>
      <x:c r="F397" s="46"/>
      <x:c r="G397" s="46"/>
      <x:c r="H397" s="46"/>
      <x:c r="I397" s="46"/>
    </x:row>
    <x:row r="398">
      <x:c r="A398" s="46"/>
      <x:c r="B398" s="46"/>
      <x:c r="C398" s="46"/>
      <x:c r="D398" s="46"/>
      <x:c r="E398" s="46"/>
      <x:c r="F398" s="46"/>
      <x:c r="G398" s="46"/>
      <x:c r="H398" s="46"/>
      <x:c r="I398" s="46"/>
    </x:row>
    <x:row r="399">
      <x:c r="A399" s="46"/>
      <x:c r="B399" s="46"/>
      <x:c r="C399" s="46"/>
      <x:c r="D399" s="46"/>
      <x:c r="E399" s="46"/>
      <x:c r="F399" s="46"/>
      <x:c r="G399" s="46"/>
      <x:c r="H399" s="46"/>
      <x:c r="I399" s="46"/>
    </x:row>
    <x:row r="400">
      <x:c r="A400" s="46"/>
      <x:c r="B400" s="46"/>
      <x:c r="C400" s="46"/>
      <x:c r="D400" s="46"/>
      <x:c r="E400" s="46"/>
      <x:c r="F400" s="46"/>
      <x:c r="G400" s="46"/>
      <x:c r="H400" s="46"/>
      <x:c r="I400" s="46"/>
    </x:row>
    <x:row r="401">
      <x:c r="A401" s="46"/>
      <x:c r="B401" s="46"/>
      <x:c r="C401" s="46"/>
      <x:c r="D401" s="46"/>
      <x:c r="E401" s="46"/>
      <x:c r="F401" s="46"/>
      <x:c r="G401" s="46"/>
      <x:c r="H401" s="46"/>
      <x:c r="I401" s="46"/>
    </x:row>
    <x:row r="402">
      <x:c r="A402" s="46"/>
      <x:c r="B402" s="46"/>
      <x:c r="C402" s="46"/>
      <x:c r="D402" s="46"/>
      <x:c r="E402" s="46"/>
      <x:c r="F402" s="46"/>
      <x:c r="G402" s="46"/>
      <x:c r="H402" s="46"/>
      <x:c r="I402" s="46"/>
    </x:row>
    <x:row r="403">
      <x:c r="A403" s="46"/>
      <x:c r="B403" s="46"/>
      <x:c r="C403" s="46"/>
      <x:c r="D403" s="46"/>
      <x:c r="E403" s="46"/>
      <x:c r="F403" s="46"/>
      <x:c r="G403" s="46"/>
      <x:c r="H403" s="46"/>
      <x:c r="I403" s="46"/>
    </x:row>
    <x:row r="404">
      <x:c r="A404" s="46"/>
      <x:c r="B404" s="46"/>
      <x:c r="C404" s="46"/>
      <x:c r="D404" s="46"/>
      <x:c r="E404" s="46"/>
      <x:c r="F404" s="46"/>
      <x:c r="G404" s="46"/>
      <x:c r="H404" s="46"/>
      <x:c r="I404" s="46"/>
    </x:row>
    <x:row r="405">
      <x:c r="A405" s="46"/>
      <x:c r="B405" s="46"/>
      <x:c r="C405" s="46"/>
      <x:c r="D405" s="46"/>
      <x:c r="E405" s="46"/>
      <x:c r="F405" s="46"/>
      <x:c r="G405" s="46"/>
      <x:c r="H405" s="46"/>
      <x:c r="I405" s="46"/>
    </x:row>
    <x:row r="406">
      <x:c r="A406" s="46"/>
      <x:c r="B406" s="46"/>
      <x:c r="C406" s="46"/>
      <x:c r="D406" s="46"/>
      <x:c r="E406" s="46"/>
      <x:c r="F406" s="46"/>
      <x:c r="G406" s="46"/>
      <x:c r="H406" s="46"/>
      <x:c r="I406" s="46"/>
    </x:row>
    <x:row r="407">
      <x:c r="A407" s="46"/>
      <x:c r="B407" s="46"/>
      <x:c r="C407" s="46"/>
      <x:c r="D407" s="46"/>
      <x:c r="E407" s="46"/>
      <x:c r="F407" s="46"/>
      <x:c r="G407" s="46"/>
      <x:c r="H407" s="46"/>
      <x:c r="I407" s="46"/>
    </x:row>
    <x:row r="408">
      <x:c r="A408" s="46"/>
      <x:c r="B408" s="46"/>
      <x:c r="C408" s="46"/>
      <x:c r="D408" s="46"/>
      <x:c r="E408" s="46"/>
      <x:c r="F408" s="46"/>
      <x:c r="G408" s="46"/>
      <x:c r="H408" s="46"/>
      <x:c r="I408" s="46"/>
    </x:row>
    <x:row r="409">
      <x:c r="A409" s="46"/>
      <x:c r="B409" s="46"/>
      <x:c r="C409" s="46"/>
      <x:c r="D409" s="46"/>
      <x:c r="E409" s="46"/>
      <x:c r="F409" s="46"/>
      <x:c r="G409" s="46"/>
      <x:c r="H409" s="46"/>
      <x:c r="I409" s="46"/>
    </x:row>
    <x:row r="410">
      <x:c r="A410" s="46"/>
      <x:c r="B410" s="46"/>
      <x:c r="C410" s="46"/>
      <x:c r="D410" s="46"/>
      <x:c r="E410" s="46"/>
      <x:c r="F410" s="46"/>
      <x:c r="G410" s="46"/>
      <x:c r="H410" s="46"/>
      <x:c r="I410" s="46"/>
    </x:row>
    <x:row r="411">
      <x:c r="A411" s="46"/>
      <x:c r="B411" s="46"/>
      <x:c r="C411" s="46"/>
      <x:c r="D411" s="46"/>
      <x:c r="E411" s="46"/>
      <x:c r="F411" s="46"/>
      <x:c r="G411" s="46"/>
      <x:c r="H411" s="46"/>
      <x:c r="I411" s="46"/>
    </x:row>
    <x:row r="412">
      <x:c r="A412" s="46"/>
      <x:c r="B412" s="46"/>
      <x:c r="C412" s="46"/>
      <x:c r="D412" s="46"/>
      <x:c r="E412" s="46"/>
      <x:c r="F412" s="46"/>
      <x:c r="G412" s="46"/>
      <x:c r="H412" s="46"/>
      <x:c r="I412" s="46"/>
    </x:row>
    <x:row r="413">
      <x:c r="A413" s="46"/>
      <x:c r="B413" s="46"/>
      <x:c r="C413" s="46"/>
      <x:c r="D413" s="46"/>
      <x:c r="E413" s="46"/>
      <x:c r="F413" s="46"/>
      <x:c r="G413" s="46"/>
      <x:c r="H413" s="46"/>
      <x:c r="I413" s="46"/>
    </x:row>
    <x:row r="414">
      <x:c r="A414" s="46"/>
      <x:c r="B414" s="46"/>
      <x:c r="C414" s="46"/>
      <x:c r="D414" s="46"/>
      <x:c r="E414" s="46"/>
      <x:c r="F414" s="46"/>
      <x:c r="G414" s="46"/>
      <x:c r="H414" s="46"/>
      <x:c r="I414" s="46"/>
    </x:row>
    <x:row r="415">
      <x:c r="A415" s="46"/>
      <x:c r="B415" s="46"/>
      <x:c r="C415" s="46"/>
      <x:c r="D415" s="46"/>
      <x:c r="E415" s="46"/>
      <x:c r="F415" s="46"/>
      <x:c r="G415" s="46"/>
      <x:c r="H415" s="46"/>
      <x:c r="I415" s="46"/>
    </x:row>
    <x:row r="416">
      <x:c r="A416" s="46"/>
      <x:c r="B416" s="46"/>
      <x:c r="C416" s="46"/>
      <x:c r="D416" s="46"/>
      <x:c r="E416" s="46"/>
      <x:c r="F416" s="46"/>
      <x:c r="G416" s="46"/>
      <x:c r="H416" s="46"/>
      <x:c r="I416" s="46"/>
    </x:row>
    <x:row r="417">
      <x:c r="A417" s="46"/>
      <x:c r="B417" s="46"/>
      <x:c r="C417" s="46"/>
      <x:c r="D417" s="46"/>
      <x:c r="E417" s="46"/>
      <x:c r="F417" s="46"/>
      <x:c r="G417" s="46"/>
      <x:c r="H417" s="46"/>
      <x:c r="I417" s="46"/>
    </x:row>
    <x:row r="418">
      <x:c r="A418" s="46"/>
      <x:c r="B418" s="46"/>
      <x:c r="C418" s="46"/>
      <x:c r="D418" s="46"/>
      <x:c r="E418" s="46"/>
      <x:c r="F418" s="46"/>
      <x:c r="G418" s="46"/>
      <x:c r="H418" s="46"/>
      <x:c r="I418" s="46"/>
    </x:row>
    <x:row r="419">
      <x:c r="A419" s="46"/>
      <x:c r="B419" s="46"/>
      <x:c r="C419" s="46"/>
      <x:c r="D419" s="46"/>
      <x:c r="E419" s="46"/>
      <x:c r="F419" s="46"/>
      <x:c r="G419" s="46"/>
      <x:c r="H419" s="46"/>
      <x:c r="I419" s="46"/>
    </x:row>
    <x:row r="420">
      <x:c r="A420" s="46"/>
      <x:c r="B420" s="46"/>
      <x:c r="C420" s="46"/>
      <x:c r="D420" s="46"/>
      <x:c r="E420" s="46"/>
      <x:c r="F420" s="46"/>
      <x:c r="G420" s="46"/>
      <x:c r="H420" s="46"/>
      <x:c r="I420" s="46"/>
    </x:row>
    <x:row r="421">
      <x:c r="A421" s="46"/>
      <x:c r="B421" s="46"/>
      <x:c r="C421" s="46"/>
      <x:c r="D421" s="46"/>
      <x:c r="E421" s="46"/>
      <x:c r="F421" s="46"/>
      <x:c r="G421" s="46"/>
      <x:c r="H421" s="46"/>
      <x:c r="I421" s="46"/>
    </x:row>
    <x:row r="422">
      <x:c r="A422" s="46"/>
      <x:c r="B422" s="46"/>
      <x:c r="C422" s="46"/>
      <x:c r="D422" s="46"/>
      <x:c r="E422" s="46"/>
      <x:c r="F422" s="46"/>
      <x:c r="G422" s="46"/>
      <x:c r="H422" s="46"/>
      <x:c r="I422" s="46"/>
    </x:row>
    <x:row r="423">
      <x:c r="A423" s="46"/>
      <x:c r="B423" s="46"/>
      <x:c r="C423" s="46"/>
      <x:c r="D423" s="46"/>
      <x:c r="E423" s="46"/>
      <x:c r="F423" s="46"/>
      <x:c r="G423" s="46"/>
      <x:c r="H423" s="46"/>
      <x:c r="I423" s="46"/>
    </x:row>
    <x:row r="424">
      <x:c r="A424" s="46"/>
      <x:c r="B424" s="46"/>
      <x:c r="C424" s="46"/>
      <x:c r="D424" s="46"/>
      <x:c r="E424" s="46"/>
      <x:c r="F424" s="46"/>
      <x:c r="G424" s="46"/>
      <x:c r="H424" s="46"/>
      <x:c r="I424" s="46"/>
    </x:row>
    <x:row r="425">
      <x:c r="A425" s="46"/>
      <x:c r="B425" s="46"/>
      <x:c r="C425" s="46"/>
      <x:c r="D425" s="46"/>
      <x:c r="E425" s="46"/>
      <x:c r="F425" s="46"/>
      <x:c r="G425" s="46"/>
      <x:c r="H425" s="46"/>
      <x:c r="I425" s="46"/>
    </x:row>
    <x:row r="426">
      <x:c r="A426" s="46"/>
      <x:c r="B426" s="46"/>
      <x:c r="C426" s="46"/>
      <x:c r="D426" s="46"/>
      <x:c r="E426" s="46"/>
      <x:c r="F426" s="46"/>
      <x:c r="G426" s="46"/>
      <x:c r="H426" s="46"/>
      <x:c r="I426" s="46"/>
    </x:row>
    <x:row r="427">
      <x:c r="A427" s="46"/>
      <x:c r="B427" s="46"/>
      <x:c r="C427" s="46"/>
      <x:c r="D427" s="46"/>
      <x:c r="E427" s="46"/>
      <x:c r="F427" s="46"/>
      <x:c r="G427" s="46"/>
      <x:c r="H427" s="46"/>
      <x:c r="I427" s="46"/>
    </x:row>
    <x:row r="428">
      <x:c r="A428" s="46"/>
      <x:c r="B428" s="46"/>
      <x:c r="C428" s="46"/>
      <x:c r="D428" s="46"/>
      <x:c r="E428" s="46"/>
      <x:c r="F428" s="46"/>
      <x:c r="G428" s="46"/>
      <x:c r="H428" s="46"/>
      <x:c r="I428" s="46"/>
    </x:row>
    <x:row r="429">
      <x:c r="A429" s="46"/>
      <x:c r="B429" s="46"/>
      <x:c r="C429" s="46"/>
      <x:c r="D429" s="46"/>
      <x:c r="E429" s="46"/>
      <x:c r="F429" s="46"/>
      <x:c r="G429" s="46"/>
      <x:c r="H429" s="46"/>
      <x:c r="I429" s="46"/>
    </x:row>
    <x:row r="430">
      <x:c r="A430" s="46"/>
      <x:c r="B430" s="46"/>
      <x:c r="C430" s="46"/>
      <x:c r="D430" s="46"/>
      <x:c r="E430" s="46"/>
      <x:c r="F430" s="46"/>
      <x:c r="G430" s="46"/>
      <x:c r="H430" s="46"/>
      <x:c r="I430" s="46"/>
    </x:row>
    <x:row r="431">
      <x:c r="A431" s="46"/>
      <x:c r="B431" s="46"/>
      <x:c r="C431" s="46"/>
      <x:c r="D431" s="46"/>
      <x:c r="E431" s="46"/>
      <x:c r="F431" s="46"/>
      <x:c r="G431" s="46"/>
      <x:c r="H431" s="46"/>
      <x:c r="I431" s="46"/>
    </x:row>
    <x:row r="432">
      <x:c r="A432" s="46"/>
      <x:c r="B432" s="46"/>
      <x:c r="C432" s="46"/>
      <x:c r="D432" s="46"/>
      <x:c r="E432" s="46"/>
      <x:c r="F432" s="46"/>
      <x:c r="G432" s="46"/>
      <x:c r="H432" s="46"/>
      <x:c r="I432" s="46"/>
    </x:row>
    <x:row r="433">
      <x:c r="A433" s="46"/>
      <x:c r="B433" s="46"/>
      <x:c r="C433" s="46"/>
      <x:c r="D433" s="46"/>
      <x:c r="E433" s="46"/>
      <x:c r="F433" s="46"/>
      <x:c r="G433" s="46"/>
      <x:c r="H433" s="46"/>
      <x:c r="I433" s="46"/>
    </x:row>
    <x:row r="434">
      <x:c r="A434" s="46"/>
      <x:c r="B434" s="46"/>
      <x:c r="C434" s="46"/>
      <x:c r="D434" s="46"/>
      <x:c r="E434" s="46"/>
      <x:c r="F434" s="46"/>
      <x:c r="G434" s="46"/>
      <x:c r="H434" s="46"/>
      <x:c r="I434" s="46"/>
    </x:row>
    <x:row r="435">
      <x:c r="A435" s="46"/>
      <x:c r="B435" s="46"/>
      <x:c r="C435" s="46"/>
      <x:c r="D435" s="46"/>
      <x:c r="E435" s="46"/>
      <x:c r="F435" s="46"/>
      <x:c r="G435" s="46"/>
      <x:c r="H435" s="46"/>
      <x:c r="I435" s="46"/>
    </x:row>
    <x:row r="436">
      <x:c r="A436" s="46"/>
      <x:c r="B436" s="46"/>
      <x:c r="C436" s="46"/>
      <x:c r="D436" s="46"/>
      <x:c r="E436" s="46"/>
      <x:c r="F436" s="46"/>
      <x:c r="G436" s="46"/>
      <x:c r="H436" s="46"/>
      <x:c r="I436" s="46"/>
    </x:row>
    <x:row r="437">
      <x:c r="A437" s="46"/>
      <x:c r="B437" s="46"/>
      <x:c r="C437" s="46"/>
      <x:c r="D437" s="46"/>
      <x:c r="E437" s="46"/>
      <x:c r="F437" s="46"/>
      <x:c r="G437" s="46"/>
      <x:c r="H437" s="46"/>
      <x:c r="I437" s="46"/>
    </x:row>
    <x:row r="438">
      <x:c r="A438" s="46"/>
      <x:c r="B438" s="46"/>
      <x:c r="C438" s="46"/>
      <x:c r="D438" s="46"/>
      <x:c r="E438" s="46"/>
      <x:c r="F438" s="46"/>
      <x:c r="G438" s="46"/>
      <x:c r="H438" s="46"/>
      <x:c r="I438" s="46"/>
    </x:row>
    <x:row r="439">
      <x:c r="A439" s="46"/>
      <x:c r="B439" s="46"/>
      <x:c r="C439" s="46"/>
      <x:c r="D439" s="46"/>
      <x:c r="E439" s="46"/>
      <x:c r="F439" s="46"/>
      <x:c r="G439" s="46"/>
      <x:c r="H439" s="46"/>
      <x:c r="I439" s="46"/>
    </x:row>
    <x:row r="440">
      <x:c r="A440" s="46"/>
      <x:c r="B440" s="46"/>
      <x:c r="C440" s="46"/>
      <x:c r="D440" s="46"/>
      <x:c r="E440" s="46"/>
      <x:c r="F440" s="46"/>
      <x:c r="G440" s="46"/>
      <x:c r="H440" s="46"/>
      <x:c r="I440" s="46"/>
    </x:row>
    <x:row r="441">
      <x:c r="A441" s="46"/>
      <x:c r="B441" s="46"/>
      <x:c r="C441" s="46"/>
      <x:c r="D441" s="46"/>
      <x:c r="E441" s="46"/>
      <x:c r="F441" s="46"/>
      <x:c r="G441" s="46"/>
      <x:c r="H441" s="46"/>
      <x:c r="I441" s="46"/>
    </x:row>
    <x:row r="442">
      <x:c r="A442" s="46"/>
      <x:c r="B442" s="46"/>
      <x:c r="C442" s="46"/>
      <x:c r="D442" s="46"/>
      <x:c r="E442" s="46"/>
      <x:c r="F442" s="46"/>
      <x:c r="G442" s="46"/>
      <x:c r="H442" s="46"/>
      <x:c r="I442" s="46"/>
    </x:row>
    <x:row r="443">
      <x:c r="A443" s="46"/>
      <x:c r="B443" s="46"/>
      <x:c r="C443" s="46"/>
      <x:c r="D443" s="46"/>
      <x:c r="E443" s="46"/>
      <x:c r="F443" s="46"/>
      <x:c r="G443" s="46"/>
      <x:c r="H443" s="46"/>
      <x:c r="I443" s="46"/>
    </x:row>
    <x:row r="444">
      <x:c r="A444" s="46"/>
      <x:c r="B444" s="46"/>
      <x:c r="C444" s="46"/>
      <x:c r="D444" s="46"/>
      <x:c r="E444" s="46"/>
      <x:c r="F444" s="46"/>
      <x:c r="G444" s="46"/>
      <x:c r="H444" s="46"/>
      <x:c r="I444" s="46"/>
    </x:row>
    <x:row r="445">
      <x:c r="A445" s="46"/>
      <x:c r="B445" s="46"/>
      <x:c r="C445" s="46"/>
      <x:c r="D445" s="46"/>
      <x:c r="E445" s="46"/>
      <x:c r="F445" s="46"/>
      <x:c r="G445" s="46"/>
      <x:c r="H445" s="46"/>
      <x:c r="I445" s="46"/>
    </x:row>
    <x:row r="446">
      <x:c r="A446" s="46"/>
      <x:c r="B446" s="46"/>
      <x:c r="C446" s="46"/>
      <x:c r="D446" s="46"/>
      <x:c r="E446" s="46"/>
      <x:c r="F446" s="46"/>
      <x:c r="G446" s="46"/>
      <x:c r="H446" s="46"/>
      <x:c r="I446" s="46"/>
    </x:row>
    <x:row r="447">
      <x:c r="A447" s="46"/>
      <x:c r="B447" s="46"/>
      <x:c r="C447" s="46"/>
      <x:c r="D447" s="46"/>
      <x:c r="E447" s="46"/>
      <x:c r="F447" s="46"/>
      <x:c r="G447" s="46"/>
      <x:c r="H447" s="46"/>
      <x:c r="I447" s="46"/>
    </x:row>
    <x:row r="448">
      <x:c r="A448" s="46"/>
      <x:c r="B448" s="46"/>
      <x:c r="C448" s="46"/>
      <x:c r="D448" s="46"/>
      <x:c r="E448" s="46"/>
      <x:c r="F448" s="46"/>
      <x:c r="G448" s="46"/>
      <x:c r="H448" s="46"/>
      <x:c r="I448" s="46"/>
    </x:row>
    <x:row r="449">
      <x:c r="A449" s="46"/>
      <x:c r="B449" s="46"/>
      <x:c r="C449" s="46"/>
      <x:c r="D449" s="46"/>
      <x:c r="E449" s="46"/>
      <x:c r="F449" s="46"/>
      <x:c r="G449" s="46"/>
      <x:c r="H449" s="46"/>
      <x:c r="I449" s="46"/>
    </x:row>
    <x:row r="450">
      <x:c r="A450" s="46"/>
      <x:c r="B450" s="46"/>
      <x:c r="C450" s="46"/>
      <x:c r="D450" s="46"/>
      <x:c r="E450" s="46"/>
      <x:c r="F450" s="46"/>
      <x:c r="G450" s="46"/>
      <x:c r="H450" s="46"/>
      <x:c r="I450" s="46"/>
    </x:row>
    <x:row r="451">
      <x:c r="A451" s="46"/>
      <x:c r="B451" s="46"/>
      <x:c r="C451" s="46"/>
      <x:c r="D451" s="46"/>
      <x:c r="E451" s="46"/>
      <x:c r="F451" s="46"/>
      <x:c r="G451" s="46"/>
      <x:c r="H451" s="46"/>
      <x:c r="I451" s="46"/>
    </x:row>
    <x:row r="452">
      <x:c r="A452" s="46"/>
      <x:c r="B452" s="46"/>
      <x:c r="C452" s="46"/>
      <x:c r="D452" s="46"/>
      <x:c r="E452" s="46"/>
      <x:c r="F452" s="46"/>
      <x:c r="G452" s="46"/>
      <x:c r="H452" s="46"/>
      <x:c r="I452" s="46"/>
    </x:row>
    <x:row r="453">
      <x:c r="A453" s="46"/>
      <x:c r="B453" s="46"/>
      <x:c r="C453" s="46"/>
      <x:c r="D453" s="46"/>
      <x:c r="E453" s="46"/>
      <x:c r="F453" s="46"/>
      <x:c r="G453" s="46"/>
      <x:c r="H453" s="46"/>
      <x:c r="I453" s="46"/>
    </x:row>
    <x:row r="454">
      <x:c r="A454" s="46"/>
      <x:c r="B454" s="46"/>
      <x:c r="C454" s="46"/>
      <x:c r="D454" s="46"/>
      <x:c r="E454" s="46"/>
      <x:c r="F454" s="46"/>
      <x:c r="G454" s="46"/>
      <x:c r="H454" s="46"/>
      <x:c r="I454" s="46"/>
    </x:row>
    <x:row r="455">
      <x:c r="A455" s="46"/>
      <x:c r="B455" s="46"/>
      <x:c r="C455" s="46"/>
      <x:c r="D455" s="46"/>
      <x:c r="E455" s="46"/>
      <x:c r="F455" s="46"/>
      <x:c r="G455" s="46"/>
      <x:c r="H455" s="46"/>
      <x:c r="I455" s="46"/>
    </x:row>
    <x:row r="456">
      <x:c r="A456" s="46"/>
      <x:c r="B456" s="46"/>
      <x:c r="C456" s="46"/>
      <x:c r="D456" s="46"/>
      <x:c r="E456" s="46"/>
      <x:c r="F456" s="46"/>
      <x:c r="G456" s="46"/>
      <x:c r="H456" s="46"/>
      <x:c r="I456" s="46"/>
    </x:row>
    <x:row r="457">
      <x:c r="A457" s="46"/>
      <x:c r="B457" s="46"/>
      <x:c r="C457" s="46"/>
      <x:c r="D457" s="46"/>
      <x:c r="E457" s="46"/>
      <x:c r="F457" s="46"/>
      <x:c r="G457" s="46"/>
      <x:c r="H457" s="46"/>
      <x:c r="I457" s="46"/>
    </x:row>
    <x:row r="458">
      <x:c r="A458" s="46"/>
      <x:c r="B458" s="46"/>
      <x:c r="C458" s="46"/>
      <x:c r="D458" s="46"/>
      <x:c r="E458" s="46"/>
      <x:c r="F458" s="46"/>
      <x:c r="G458" s="46"/>
      <x:c r="H458" s="46"/>
      <x:c r="I458" s="46"/>
    </x:row>
    <x:row r="459">
      <x:c r="A459" s="46"/>
      <x:c r="B459" s="46"/>
      <x:c r="C459" s="46"/>
      <x:c r="D459" s="46"/>
      <x:c r="E459" s="46"/>
      <x:c r="F459" s="46"/>
      <x:c r="G459" s="46"/>
      <x:c r="H459" s="46"/>
      <x:c r="I459" s="46"/>
    </x:row>
    <x:row r="460">
      <x:c r="A460" s="46"/>
      <x:c r="B460" s="46"/>
      <x:c r="C460" s="46"/>
      <x:c r="D460" s="46"/>
      <x:c r="E460" s="46"/>
      <x:c r="F460" s="46"/>
      <x:c r="G460" s="46"/>
      <x:c r="H460" s="46"/>
      <x:c r="I460" s="46"/>
    </x:row>
    <x:row r="461">
      <x:c r="A461" s="46"/>
      <x:c r="B461" s="46"/>
      <x:c r="C461" s="46"/>
      <x:c r="D461" s="46"/>
      <x:c r="E461" s="46"/>
      <x:c r="F461" s="46"/>
      <x:c r="G461" s="46"/>
      <x:c r="H461" s="46"/>
      <x:c r="I461" s="46"/>
    </x:row>
    <x:row r="462">
      <x:c r="A462" s="46"/>
      <x:c r="B462" s="46"/>
      <x:c r="C462" s="46"/>
      <x:c r="D462" s="46"/>
      <x:c r="E462" s="46"/>
      <x:c r="F462" s="46"/>
      <x:c r="G462" s="46"/>
      <x:c r="H462" s="46"/>
      <x:c r="I462" s="46"/>
    </x:row>
    <x:row r="463">
      <x:c r="A463" s="46"/>
      <x:c r="B463" s="46"/>
      <x:c r="C463" s="46"/>
      <x:c r="D463" s="46"/>
      <x:c r="E463" s="46"/>
      <x:c r="F463" s="46"/>
      <x:c r="G463" s="46"/>
      <x:c r="H463" s="46"/>
      <x:c r="I463" s="46"/>
    </x:row>
    <x:row r="464">
      <x:c r="A464" s="46"/>
      <x:c r="B464" s="46"/>
      <x:c r="C464" s="46"/>
      <x:c r="D464" s="46"/>
      <x:c r="E464" s="46"/>
      <x:c r="F464" s="46"/>
      <x:c r="G464" s="46"/>
      <x:c r="H464" s="46"/>
      <x:c r="I464" s="46"/>
    </x:row>
    <x:row r="465">
      <x:c r="A465" s="46"/>
      <x:c r="B465" s="46"/>
      <x:c r="C465" s="46"/>
      <x:c r="D465" s="46"/>
      <x:c r="E465" s="46"/>
      <x:c r="F465" s="46"/>
      <x:c r="G465" s="46"/>
      <x:c r="H465" s="46"/>
      <x:c r="I465" s="46"/>
    </x:row>
    <x:row r="466">
      <x:c r="A466" s="46"/>
      <x:c r="B466" s="46"/>
      <x:c r="C466" s="46"/>
      <x:c r="D466" s="46"/>
      <x:c r="E466" s="46"/>
      <x:c r="F466" s="46"/>
      <x:c r="G466" s="46"/>
      <x:c r="H466" s="46"/>
      <x:c r="I466" s="46"/>
    </x:row>
    <x:row r="467">
      <x:c r="A467" s="46"/>
      <x:c r="B467" s="46"/>
      <x:c r="C467" s="46"/>
      <x:c r="D467" s="46"/>
      <x:c r="E467" s="46"/>
      <x:c r="F467" s="46"/>
      <x:c r="G467" s="46"/>
      <x:c r="H467" s="46"/>
      <x:c r="I467" s="46"/>
    </x:row>
    <x:row r="468">
      <x:c r="A468" s="46"/>
      <x:c r="B468" s="46"/>
      <x:c r="C468" s="46"/>
      <x:c r="D468" s="46"/>
      <x:c r="E468" s="46"/>
      <x:c r="F468" s="46"/>
      <x:c r="G468" s="46"/>
      <x:c r="H468" s="46"/>
      <x:c r="I468" s="46"/>
    </x:row>
    <x:row r="469">
      <x:c r="A469" s="46"/>
      <x:c r="B469" s="46"/>
      <x:c r="C469" s="46"/>
      <x:c r="D469" s="46"/>
      <x:c r="E469" s="46"/>
      <x:c r="F469" s="46"/>
      <x:c r="G469" s="46"/>
      <x:c r="H469" s="46"/>
      <x:c r="I469" s="46"/>
    </x:row>
    <x:row r="470">
      <x:c r="A470" s="46"/>
      <x:c r="B470" s="46"/>
      <x:c r="C470" s="46"/>
      <x:c r="D470" s="46"/>
      <x:c r="E470" s="46"/>
      <x:c r="F470" s="46"/>
      <x:c r="G470" s="46"/>
      <x:c r="H470" s="46"/>
      <x:c r="I470" s="46"/>
    </x:row>
    <x:row r="471">
      <x:c r="A471" s="46"/>
      <x:c r="B471" s="46"/>
      <x:c r="C471" s="46"/>
      <x:c r="D471" s="46"/>
      <x:c r="E471" s="46"/>
      <x:c r="F471" s="46"/>
      <x:c r="G471" s="46"/>
      <x:c r="H471" s="46"/>
      <x:c r="I471" s="46"/>
    </x:row>
    <x:row r="472">
      <x:c r="A472" s="46"/>
      <x:c r="B472" s="46"/>
      <x:c r="C472" s="46"/>
      <x:c r="D472" s="46"/>
      <x:c r="E472" s="46"/>
      <x:c r="F472" s="46"/>
      <x:c r="G472" s="46"/>
      <x:c r="H472" s="46"/>
      <x:c r="I472" s="46"/>
    </x:row>
    <x:row r="473">
      <x:c r="A473" s="46"/>
      <x:c r="B473" s="46"/>
      <x:c r="C473" s="46"/>
      <x:c r="D473" s="46"/>
      <x:c r="E473" s="46"/>
      <x:c r="F473" s="46"/>
      <x:c r="G473" s="46"/>
      <x:c r="H473" s="46"/>
      <x:c r="I473" s="46"/>
    </x:row>
    <x:row r="474">
      <x:c r="A474" s="46"/>
      <x:c r="B474" s="46"/>
      <x:c r="C474" s="46"/>
      <x:c r="D474" s="46"/>
      <x:c r="E474" s="46"/>
      <x:c r="F474" s="46"/>
      <x:c r="G474" s="46"/>
      <x:c r="H474" s="46"/>
      <x:c r="I474" s="46"/>
    </x:row>
    <x:row r="475">
      <x:c r="A475" s="46"/>
      <x:c r="B475" s="46"/>
      <x:c r="C475" s="46"/>
      <x:c r="D475" s="46"/>
      <x:c r="E475" s="46"/>
      <x:c r="F475" s="46"/>
      <x:c r="G475" s="46"/>
      <x:c r="H475" s="46"/>
      <x:c r="I475" s="46"/>
    </x:row>
    <x:row r="476">
      <x:c r="A476" s="46"/>
      <x:c r="B476" s="46"/>
      <x:c r="C476" s="46"/>
      <x:c r="D476" s="46"/>
      <x:c r="E476" s="46"/>
      <x:c r="F476" s="46"/>
      <x:c r="G476" s="46"/>
      <x:c r="H476" s="46"/>
      <x:c r="I476" s="46"/>
    </x:row>
    <x:row r="477">
      <x:c r="A477" s="46"/>
      <x:c r="B477" s="46"/>
      <x:c r="C477" s="46"/>
      <x:c r="D477" s="46"/>
      <x:c r="E477" s="46"/>
      <x:c r="F477" s="46"/>
      <x:c r="G477" s="46"/>
      <x:c r="H477" s="46"/>
      <x:c r="I477" s="46"/>
    </x:row>
    <x:row r="478">
      <x:c r="A478" s="46"/>
      <x:c r="B478" s="46"/>
      <x:c r="C478" s="46"/>
      <x:c r="D478" s="46"/>
      <x:c r="E478" s="46"/>
      <x:c r="F478" s="46"/>
      <x:c r="G478" s="46"/>
      <x:c r="H478" s="46"/>
      <x:c r="I478" s="46"/>
    </x:row>
    <x:row r="479">
      <x:c r="A479" s="46"/>
      <x:c r="B479" s="46"/>
      <x:c r="C479" s="46"/>
      <x:c r="D479" s="46"/>
      <x:c r="E479" s="46"/>
      <x:c r="F479" s="46"/>
      <x:c r="G479" s="46"/>
      <x:c r="H479" s="46"/>
      <x:c r="I479" s="46"/>
    </x:row>
    <x:row r="480">
      <x:c r="A480" s="46"/>
      <x:c r="B480" s="46"/>
      <x:c r="C480" s="46"/>
      <x:c r="D480" s="46"/>
      <x:c r="E480" s="46"/>
      <x:c r="F480" s="46"/>
      <x:c r="G480" s="46"/>
      <x:c r="H480" s="46"/>
      <x:c r="I480" s="46"/>
    </x:row>
    <x:row r="481">
      <x:c r="A481" s="46"/>
      <x:c r="B481" s="46"/>
      <x:c r="C481" s="46"/>
      <x:c r="D481" s="46"/>
      <x:c r="E481" s="46"/>
      <x:c r="F481" s="46"/>
      <x:c r="G481" s="46"/>
      <x:c r="H481" s="46"/>
      <x:c r="I481" s="46"/>
    </x:row>
    <x:row r="482">
      <x:c r="A482" s="46"/>
      <x:c r="B482" s="46"/>
      <x:c r="C482" s="46"/>
      <x:c r="D482" s="46"/>
      <x:c r="E482" s="46"/>
      <x:c r="F482" s="46"/>
      <x:c r="G482" s="46"/>
      <x:c r="H482" s="46"/>
      <x:c r="I482" s="46"/>
    </x:row>
    <x:row r="483">
      <x:c r="A483" s="46"/>
      <x:c r="B483" s="46"/>
      <x:c r="C483" s="46"/>
      <x:c r="D483" s="46"/>
      <x:c r="E483" s="46"/>
      <x:c r="F483" s="46"/>
      <x:c r="G483" s="46"/>
      <x:c r="H483" s="46"/>
      <x:c r="I483" s="46"/>
    </x:row>
    <x:row r="484">
      <x:c r="A484" s="46"/>
      <x:c r="B484" s="46"/>
      <x:c r="C484" s="46"/>
      <x:c r="D484" s="46"/>
      <x:c r="E484" s="46"/>
      <x:c r="F484" s="46"/>
      <x:c r="G484" s="46"/>
      <x:c r="H484" s="46"/>
      <x:c r="I484" s="46"/>
    </x:row>
    <x:row r="485">
      <x:c r="A485" s="46"/>
      <x:c r="B485" s="46"/>
      <x:c r="C485" s="46"/>
      <x:c r="D485" s="46"/>
      <x:c r="E485" s="46"/>
      <x:c r="F485" s="46"/>
      <x:c r="G485" s="46"/>
      <x:c r="H485" s="46"/>
      <x:c r="I485" s="46"/>
    </x:row>
    <x:row r="486">
      <x:c r="A486" s="46"/>
      <x:c r="B486" s="46"/>
      <x:c r="C486" s="46"/>
      <x:c r="D486" s="46"/>
      <x:c r="E486" s="46"/>
      <x:c r="F486" s="46"/>
      <x:c r="G486" s="46"/>
      <x:c r="H486" s="46"/>
      <x:c r="I486" s="46"/>
    </x:row>
    <x:row r="487">
      <x:c r="A487" s="46"/>
      <x:c r="B487" s="46"/>
      <x:c r="C487" s="46"/>
      <x:c r="D487" s="46"/>
      <x:c r="E487" s="46"/>
      <x:c r="F487" s="46"/>
      <x:c r="G487" s="46"/>
      <x:c r="H487" s="46"/>
      <x:c r="I487" s="46"/>
    </x:row>
    <x:row r="488">
      <x:c r="A488" s="46"/>
      <x:c r="B488" s="46"/>
      <x:c r="C488" s="46"/>
      <x:c r="D488" s="46"/>
      <x:c r="E488" s="46"/>
      <x:c r="F488" s="46"/>
      <x:c r="G488" s="46"/>
      <x:c r="H488" s="46"/>
      <x:c r="I488" s="46"/>
    </x:row>
    <x:row r="489">
      <x:c r="A489" s="46"/>
      <x:c r="B489" s="46"/>
      <x:c r="C489" s="46"/>
      <x:c r="D489" s="46"/>
      <x:c r="E489" s="46"/>
      <x:c r="F489" s="46"/>
      <x:c r="G489" s="46"/>
      <x:c r="H489" s="46"/>
      <x:c r="I489" s="46"/>
    </x:row>
    <x:row r="490">
      <x:c r="A490" s="46"/>
      <x:c r="B490" s="46"/>
      <x:c r="C490" s="46"/>
      <x:c r="D490" s="46"/>
      <x:c r="E490" s="46"/>
      <x:c r="F490" s="46"/>
      <x:c r="G490" s="46"/>
      <x:c r="H490" s="46"/>
      <x:c r="I490" s="46"/>
    </x:row>
    <x:row r="491">
      <x:c r="A491" s="46"/>
      <x:c r="B491" s="46"/>
      <x:c r="C491" s="46"/>
      <x:c r="D491" s="46"/>
      <x:c r="E491" s="46"/>
      <x:c r="F491" s="46"/>
      <x:c r="G491" s="46"/>
      <x:c r="H491" s="46"/>
      <x:c r="I491" s="46"/>
    </x:row>
    <x:row r="492">
      <x:c r="A492" s="46"/>
      <x:c r="B492" s="46"/>
      <x:c r="C492" s="46"/>
      <x:c r="D492" s="46"/>
      <x:c r="E492" s="46"/>
      <x:c r="F492" s="46"/>
      <x:c r="G492" s="46"/>
      <x:c r="H492" s="46"/>
      <x:c r="I492" s="46"/>
    </x:row>
    <x:row r="493">
      <x:c r="A493" s="46"/>
      <x:c r="B493" s="46"/>
      <x:c r="C493" s="46"/>
      <x:c r="D493" s="46"/>
      <x:c r="E493" s="46"/>
      <x:c r="F493" s="46"/>
      <x:c r="G493" s="46"/>
      <x:c r="H493" s="46"/>
      <x:c r="I493" s="46"/>
    </x:row>
    <x:row r="494">
      <x:c r="A494" s="46"/>
      <x:c r="B494" s="46"/>
      <x:c r="C494" s="46"/>
      <x:c r="D494" s="46"/>
      <x:c r="E494" s="46"/>
      <x:c r="F494" s="46"/>
      <x:c r="G494" s="46"/>
      <x:c r="H494" s="46"/>
      <x:c r="I494" s="46"/>
    </x:row>
    <x:row r="495">
      <x:c r="A495" s="46"/>
      <x:c r="B495" s="46"/>
      <x:c r="C495" s="46"/>
      <x:c r="D495" s="46"/>
      <x:c r="E495" s="46"/>
      <x:c r="F495" s="46"/>
      <x:c r="G495" s="46"/>
      <x:c r="H495" s="46"/>
      <x:c r="I495" s="46"/>
    </x:row>
    <x:row r="496">
      <x:c r="A496" s="46"/>
      <x:c r="B496" s="46"/>
      <x:c r="C496" s="46"/>
      <x:c r="D496" s="46"/>
      <x:c r="E496" s="46"/>
      <x:c r="F496" s="46"/>
      <x:c r="G496" s="46"/>
      <x:c r="H496" s="46"/>
      <x:c r="I496" s="46"/>
    </x:row>
    <x:row r="497">
      <x:c r="A497" s="46"/>
      <x:c r="B497" s="46"/>
      <x:c r="C497" s="46"/>
      <x:c r="D497" s="46"/>
      <x:c r="E497" s="46"/>
      <x:c r="F497" s="46"/>
      <x:c r="G497" s="46"/>
      <x:c r="H497" s="46"/>
      <x:c r="I497" s="46"/>
    </x:row>
    <x:row r="498">
      <x:c r="A498" s="46"/>
      <x:c r="B498" s="46"/>
      <x:c r="C498" s="46"/>
      <x:c r="D498" s="46"/>
      <x:c r="E498" s="46"/>
      <x:c r="F498" s="46"/>
      <x:c r="G498" s="46"/>
      <x:c r="H498" s="46"/>
      <x:c r="I498" s="46"/>
    </x:row>
    <x:row r="499">
      <x:c r="A499" s="46"/>
      <x:c r="B499" s="46"/>
      <x:c r="C499" s="46"/>
      <x:c r="D499" s="46"/>
      <x:c r="E499" s="46"/>
      <x:c r="F499" s="46"/>
      <x:c r="G499" s="46"/>
      <x:c r="H499" s="46"/>
      <x:c r="I499" s="46"/>
    </x:row>
    <x:row r="500">
      <x:c r="A500" s="46"/>
      <x:c r="B500" s="46"/>
      <x:c r="C500" s="46"/>
      <x:c r="D500" s="46"/>
      <x:c r="E500" s="46"/>
      <x:c r="F500" s="46"/>
      <x:c r="G500" s="46"/>
      <x:c r="H500" s="46"/>
      <x:c r="I500" s="46"/>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38" hidden="0" customWidth="1"/>
    <x:col min="3" max="3" width="70" hidden="0" customWidth="1"/>
    <x:col min="4" max="4" width="28" hidden="0" customWidth="1"/>
    <x:col min="5" max="5" width="62" hidden="0" customWidth="1"/>
    <x:col min="6" max="6" width="36" hidden="0" customWidth="1"/>
    <x:col min="7" max="7" width="58" hidden="0" customWidth="1"/>
  </x:cols>
  <x:sheetData>
    <x:row r="1" ht="36" customHeight="1">
      <x:c r="A1" s="93" t="str">
        <x:v>conflict_id</x:v>
      </x:c>
      <x:c r="B1" s="93" t="str">
        <x:v>evidence_source</x:v>
      </x:c>
      <x:c r="C1" s="93" t="str">
        <x:v>claim</x:v>
      </x:c>
      <x:c r="D1" s="93" t="str">
        <x:v>evidence_level</x:v>
      </x:c>
      <x:c r="E1" s="93" t="str">
        <x:v>operational_effect</x:v>
      </x:c>
      <x:c r="F1" s="93" t="str">
        <x:v>resolution_status</x:v>
      </x:c>
      <x:c r="G1" s="93" t="str">
        <x:v>notes</x:v>
      </x:c>
    </x:row>
    <x:row r="2">
      <x:c r="A2" s="94" t="str">
        <x:v>LQ-CONFLICT-001</x:v>
      </x:c>
      <x:c r="B2" s="94" t="str">
        <x:v>SRC-LANDFOWL-COMP-001 (2013 peer-reviewed article)</x:v>
      </x:c>
      <x:c r="C2" s="94" t="str">
        <x:v>Quantitative GC/MS analysis of the most intense aroma-compound peaks showed the highest total concentration in roasted chicken.</x:v>
      </x:c>
      <x:c r="D2" s="94" t="str">
        <x:v>peer_reviewed_article_summary</x:v>
      </x:c>
      <x:c r="E2" s="94" t="str">
        <x:v>This article-level conclusion is allowed as the current governing high-level statement.</x:v>
      </x:c>
      <x:c r="F2" s="94" t="str">
        <x:v>active_governing_article_claim</x:v>
      </x:c>
      <x:c r="G2" s="94" t="str">
        <x:v>Does not provide row-level species multipliers by itself.</x:v>
      </x:c>
    </x:row>
    <x:row r="3">
      <x:c r="A3" s="94" t="str">
        <x:v>LQ-CONFLICT-002</x:v>
      </x:c>
      <x:c r="B3" s="94" t="str">
        <x:v>SRC-LANDFOWL-THESIS-001 / prior Table-18 transcription</x:v>
      </x:c>
      <x:c r="C3" s="94" t="str">
        <x:v>Earlier working interpretation suggested pheasant exceeded chicken for many row-level compounds.</x:v>
      </x:c>
      <x:c r="D3" s="94" t="str">
        <x:v>primary dissertation / transcription under dispute</x:v>
      </x:c>
      <x:c r="E3" s="94" t="str">
        <x:v>No row-level abundance weighting may be used until decimal-preserving values and source wording are reconciled against the dissertation table.</x:v>
      </x:c>
      <x:c r="F3" s="94" t="str">
        <x:v>quarantined</x:v>
      </x:c>
      <x:c r="G3" s="94" t="str">
        <x:v>v8 already archived suspect numeric transcription.</x:v>
      </x:c>
    </x:row>
    <x:row r="4">
      <x:c r="A4" s="94" t="str">
        <x:v>LQ-CONFLICT-003</x:v>
      </x:c>
      <x:c r="B4" s="94" t="str">
        <x:v>governance decision</x:v>
      </x:c>
      <x:c r="C4" s="94" t="str">
        <x:v>Presence/composition profiles remain valid; quantitative species weighting remains disabled.</x:v>
      </x:c>
      <x:c r="D4" s="94" t="str">
        <x:v>data-governance rule</x:v>
      </x:c>
      <x:c r="E4" s="94" t="str">
        <x:v>Prevents incorrect abundance multipliers from contaminating pairing/scoring while preserving the verified 83-compound occurrence architecture.</x:v>
      </x:c>
      <x:c r="F4" s="94" t="str">
        <x:v>approved_active</x:v>
      </x:c>
      <x:c r="G4" s="94" t="str">
        <x:v>Re-open only after corrected primary-table transcription and reconciliation.</x:v>
      </x:c>
    </x:row>
    <x:row r="5">
      <x:c r="A5" s="46"/>
      <x:c r="B5" s="46"/>
      <x:c r="C5" s="46"/>
      <x:c r="D5" s="46"/>
      <x:c r="E5" s="46"/>
      <x:c r="F5" s="46"/>
      <x:c r="G5" s="46"/>
    </x:row>
    <x:row r="6">
      <x:c r="A6" s="46"/>
      <x:c r="B6" s="46"/>
      <x:c r="C6" s="46"/>
      <x:c r="D6" s="46"/>
      <x:c r="E6" s="46"/>
      <x:c r="F6" s="46"/>
      <x:c r="G6" s="46"/>
    </x:row>
    <x:row r="7">
      <x:c r="A7" s="46"/>
      <x:c r="B7" s="46"/>
      <x:c r="C7" s="46"/>
      <x:c r="D7" s="46"/>
      <x:c r="E7" s="46"/>
      <x:c r="F7" s="46"/>
      <x:c r="G7" s="46"/>
    </x:row>
    <x:row r="8">
      <x:c r="A8" s="46"/>
      <x:c r="B8" s="46"/>
      <x:c r="C8" s="46"/>
      <x:c r="D8" s="46"/>
      <x:c r="E8" s="46"/>
      <x:c r="F8" s="46"/>
      <x:c r="G8" s="46"/>
    </x:row>
    <x:row r="9">
      <x:c r="A9" s="46"/>
      <x:c r="B9" s="46"/>
      <x:c r="C9" s="46"/>
      <x:c r="D9" s="46"/>
      <x:c r="E9" s="46"/>
      <x:c r="F9" s="46"/>
      <x:c r="G9" s="46"/>
    </x:row>
    <x:row r="10">
      <x:c r="A10" s="46"/>
      <x:c r="B10" s="46"/>
      <x:c r="C10" s="46"/>
      <x:c r="D10" s="46"/>
      <x:c r="E10" s="46"/>
      <x:c r="F10" s="46"/>
      <x:c r="G10" s="46"/>
    </x:row>
    <x:row r="11">
      <x:c r="A11" s="46"/>
      <x:c r="B11" s="46"/>
      <x:c r="C11" s="46"/>
      <x:c r="D11" s="46"/>
      <x:c r="E11" s="46"/>
      <x:c r="F11" s="46"/>
      <x:c r="G11" s="46"/>
    </x:row>
    <x:row r="12">
      <x:c r="A12" s="46"/>
      <x:c r="B12" s="46"/>
      <x:c r="C12" s="46"/>
      <x:c r="D12" s="46"/>
      <x:c r="E12" s="46"/>
      <x:c r="F12" s="46"/>
      <x:c r="G12" s="46"/>
    </x:row>
    <x:row r="13">
      <x:c r="A13" s="46"/>
      <x:c r="B13" s="46"/>
      <x:c r="C13" s="46"/>
      <x:c r="D13" s="46"/>
      <x:c r="E13" s="46"/>
      <x:c r="F13" s="46"/>
      <x:c r="G13" s="46"/>
    </x:row>
    <x:row r="14">
      <x:c r="A14" s="46"/>
      <x:c r="B14" s="46"/>
      <x:c r="C14" s="46"/>
      <x:c r="D14" s="46"/>
      <x:c r="E14" s="46"/>
      <x:c r="F14" s="46"/>
      <x:c r="G14" s="46"/>
    </x:row>
    <x:row r="15">
      <x:c r="A15" s="46"/>
      <x:c r="B15" s="46"/>
      <x:c r="C15" s="46"/>
      <x:c r="D15" s="46"/>
      <x:c r="E15" s="46"/>
      <x:c r="F15" s="46"/>
      <x:c r="G15" s="46"/>
    </x:row>
    <x:row r="16">
      <x:c r="A16" s="46"/>
      <x:c r="B16" s="46"/>
      <x:c r="C16" s="46"/>
      <x:c r="D16" s="46"/>
      <x:c r="E16" s="46"/>
      <x:c r="F16" s="46"/>
      <x:c r="G16" s="46"/>
    </x:row>
    <x:row r="17">
      <x:c r="A17" s="46"/>
      <x:c r="B17" s="46"/>
      <x:c r="C17" s="46"/>
      <x:c r="D17" s="46"/>
      <x:c r="E17" s="46"/>
      <x:c r="F17" s="46"/>
      <x:c r="G17" s="46"/>
    </x:row>
    <x:row r="18">
      <x:c r="A18" s="46"/>
      <x:c r="B18" s="46"/>
      <x:c r="C18" s="46"/>
      <x:c r="D18" s="46"/>
      <x:c r="E18" s="46"/>
      <x:c r="F18" s="46"/>
      <x:c r="G18" s="46"/>
    </x:row>
    <x:row r="19">
      <x:c r="A19" s="46"/>
      <x:c r="B19" s="46"/>
      <x:c r="C19" s="46"/>
      <x:c r="D19" s="46"/>
      <x:c r="E19" s="46"/>
      <x:c r="F19" s="46"/>
      <x:c r="G19" s="46"/>
    </x:row>
    <x:row r="20">
      <x:c r="A20" s="46"/>
      <x:c r="B20" s="46"/>
      <x:c r="C20" s="46"/>
      <x:c r="D20" s="46"/>
      <x:c r="E20" s="46"/>
      <x:c r="F20" s="46"/>
      <x:c r="G20" s="46"/>
    </x:row>
    <x:row r="21">
      <x:c r="A21" s="46"/>
      <x:c r="B21" s="46"/>
      <x:c r="C21" s="46"/>
      <x:c r="D21" s="46"/>
      <x:c r="E21" s="46"/>
      <x:c r="F21" s="46"/>
      <x:c r="G21" s="46"/>
    </x:row>
    <x:row r="22">
      <x:c r="A22" s="46"/>
      <x:c r="B22" s="46"/>
      <x:c r="C22" s="46"/>
      <x:c r="D22" s="46"/>
      <x:c r="E22" s="46"/>
      <x:c r="F22" s="46"/>
      <x:c r="G22" s="46"/>
    </x:row>
    <x:row r="23">
      <x:c r="A23" s="46"/>
      <x:c r="B23" s="46"/>
      <x:c r="C23" s="46"/>
      <x:c r="D23" s="46"/>
      <x:c r="E23" s="46"/>
      <x:c r="F23" s="46"/>
      <x:c r="G23" s="46"/>
    </x:row>
    <x:row r="24">
      <x:c r="A24" s="46"/>
      <x:c r="B24" s="46"/>
      <x:c r="C24" s="46"/>
      <x:c r="D24" s="46"/>
      <x:c r="E24" s="46"/>
      <x:c r="F24" s="46"/>
      <x:c r="G24" s="46"/>
    </x:row>
    <x:row r="25">
      <x:c r="A25" s="46"/>
      <x:c r="B25" s="46"/>
      <x:c r="C25" s="46"/>
      <x:c r="D25" s="46"/>
      <x:c r="E25" s="46"/>
      <x:c r="F25" s="46"/>
      <x:c r="G25" s="46"/>
    </x:row>
    <x:row r="26">
      <x:c r="A26" s="46"/>
      <x:c r="B26" s="46"/>
      <x:c r="C26" s="46"/>
      <x:c r="D26" s="46"/>
      <x:c r="E26" s="46"/>
      <x:c r="F26" s="46"/>
      <x:c r="G26" s="46"/>
    </x:row>
    <x:row r="27">
      <x:c r="A27" s="46"/>
      <x:c r="B27" s="46"/>
      <x:c r="C27" s="46"/>
      <x:c r="D27" s="46"/>
      <x:c r="E27" s="46"/>
      <x:c r="F27" s="46"/>
      <x:c r="G27" s="46"/>
    </x:row>
    <x:row r="28">
      <x:c r="A28" s="46"/>
      <x:c r="B28" s="46"/>
      <x:c r="C28" s="46"/>
      <x:c r="D28" s="46"/>
      <x:c r="E28" s="46"/>
      <x:c r="F28" s="46"/>
      <x:c r="G28" s="46"/>
    </x:row>
    <x:row r="29">
      <x:c r="A29" s="46"/>
      <x:c r="B29" s="46"/>
      <x:c r="C29" s="46"/>
      <x:c r="D29" s="46"/>
      <x:c r="E29" s="46"/>
      <x:c r="F29" s="46"/>
      <x:c r="G29" s="46"/>
    </x:row>
    <x:row r="30">
      <x:c r="A30" s="46"/>
      <x:c r="B30" s="46"/>
      <x:c r="C30" s="46"/>
      <x:c r="D30" s="46"/>
      <x:c r="E30" s="46"/>
      <x:c r="F30" s="46"/>
      <x:c r="G30" s="46"/>
    </x:row>
    <x:row r="31">
      <x:c r="A31" s="46"/>
      <x:c r="B31" s="46"/>
      <x:c r="C31" s="46"/>
      <x:c r="D31" s="46"/>
      <x:c r="E31" s="46"/>
      <x:c r="F31" s="46"/>
      <x:c r="G31" s="46"/>
    </x:row>
    <x:row r="32">
      <x:c r="A32" s="46"/>
      <x:c r="B32" s="46"/>
      <x:c r="C32" s="46"/>
      <x:c r="D32" s="46"/>
      <x:c r="E32" s="46"/>
      <x:c r="F32" s="46"/>
      <x:c r="G32" s="46"/>
    </x:row>
    <x:row r="33">
      <x:c r="A33" s="46"/>
      <x:c r="B33" s="46"/>
      <x:c r="C33" s="46"/>
      <x:c r="D33" s="46"/>
      <x:c r="E33" s="46"/>
      <x:c r="F33" s="46"/>
      <x:c r="G33" s="46"/>
    </x:row>
    <x:row r="34">
      <x:c r="A34" s="46"/>
      <x:c r="B34" s="46"/>
      <x:c r="C34" s="46"/>
      <x:c r="D34" s="46"/>
      <x:c r="E34" s="46"/>
      <x:c r="F34" s="46"/>
      <x:c r="G34" s="46"/>
    </x:row>
    <x:row r="35">
      <x:c r="A35" s="46"/>
      <x:c r="B35" s="46"/>
      <x:c r="C35" s="46"/>
      <x:c r="D35" s="46"/>
      <x:c r="E35" s="46"/>
      <x:c r="F35" s="46"/>
      <x:c r="G35" s="46"/>
    </x:row>
    <x:row r="36">
      <x:c r="A36" s="46"/>
      <x:c r="B36" s="46"/>
      <x:c r="C36" s="46"/>
      <x:c r="D36" s="46"/>
      <x:c r="E36" s="46"/>
      <x:c r="F36" s="46"/>
      <x:c r="G36" s="46"/>
    </x:row>
    <x:row r="37">
      <x:c r="A37" s="46"/>
      <x:c r="B37" s="46"/>
      <x:c r="C37" s="46"/>
      <x:c r="D37" s="46"/>
      <x:c r="E37" s="46"/>
      <x:c r="F37" s="46"/>
      <x:c r="G37" s="46"/>
    </x:row>
    <x:row r="38">
      <x:c r="A38" s="46"/>
      <x:c r="B38" s="46"/>
      <x:c r="C38" s="46"/>
      <x:c r="D38" s="46"/>
      <x:c r="E38" s="46"/>
      <x:c r="F38" s="46"/>
      <x:c r="G38" s="46"/>
    </x:row>
    <x:row r="39">
      <x:c r="A39" s="46"/>
      <x:c r="B39" s="46"/>
      <x:c r="C39" s="46"/>
      <x:c r="D39" s="46"/>
      <x:c r="E39" s="46"/>
      <x:c r="F39" s="46"/>
      <x:c r="G39" s="46"/>
    </x:row>
    <x:row r="40">
      <x:c r="A40" s="46"/>
      <x:c r="B40" s="46"/>
      <x:c r="C40" s="46"/>
      <x:c r="D40" s="46"/>
      <x:c r="E40" s="46"/>
      <x:c r="F40" s="46"/>
      <x:c r="G40" s="46"/>
    </x:row>
    <x:row r="41">
      <x:c r="A41" s="46"/>
      <x:c r="B41" s="46"/>
      <x:c r="C41" s="46"/>
      <x:c r="D41" s="46"/>
      <x:c r="E41" s="46"/>
      <x:c r="F41" s="46"/>
      <x:c r="G41" s="46"/>
    </x:row>
    <x:row r="42">
      <x:c r="A42" s="46"/>
      <x:c r="B42" s="46"/>
      <x:c r="C42" s="46"/>
      <x:c r="D42" s="46"/>
      <x:c r="E42" s="46"/>
      <x:c r="F42" s="46"/>
      <x:c r="G42" s="46"/>
    </x:row>
    <x:row r="43">
      <x:c r="A43" s="46"/>
      <x:c r="B43" s="46"/>
      <x:c r="C43" s="46"/>
      <x:c r="D43" s="46"/>
      <x:c r="E43" s="46"/>
      <x:c r="F43" s="46"/>
      <x:c r="G43" s="46"/>
    </x:row>
    <x:row r="44">
      <x:c r="A44" s="46"/>
      <x:c r="B44" s="46"/>
      <x:c r="C44" s="46"/>
      <x:c r="D44" s="46"/>
      <x:c r="E44" s="46"/>
      <x:c r="F44" s="46"/>
      <x:c r="G44" s="46"/>
    </x:row>
    <x:row r="45">
      <x:c r="A45" s="46"/>
      <x:c r="B45" s="46"/>
      <x:c r="C45" s="46"/>
      <x:c r="D45" s="46"/>
      <x:c r="E45" s="46"/>
      <x:c r="F45" s="46"/>
      <x:c r="G45" s="46"/>
    </x:row>
    <x:row r="46">
      <x:c r="A46" s="46"/>
      <x:c r="B46" s="46"/>
      <x:c r="C46" s="46"/>
      <x:c r="D46" s="46"/>
      <x:c r="E46" s="46"/>
      <x:c r="F46" s="46"/>
      <x:c r="G46" s="46"/>
    </x:row>
    <x:row r="47">
      <x:c r="A47" s="46"/>
      <x:c r="B47" s="46"/>
      <x:c r="C47" s="46"/>
      <x:c r="D47" s="46"/>
      <x:c r="E47" s="46"/>
      <x:c r="F47" s="46"/>
      <x:c r="G47" s="46"/>
    </x:row>
    <x:row r="48">
      <x:c r="A48" s="46"/>
      <x:c r="B48" s="46"/>
      <x:c r="C48" s="46"/>
      <x:c r="D48" s="46"/>
      <x:c r="E48" s="46"/>
      <x:c r="F48" s="46"/>
      <x:c r="G48" s="46"/>
    </x:row>
    <x:row r="49">
      <x:c r="A49" s="46"/>
      <x:c r="B49" s="46"/>
      <x:c r="C49" s="46"/>
      <x:c r="D49" s="46"/>
      <x:c r="E49" s="46"/>
      <x:c r="F49" s="46"/>
      <x:c r="G49" s="46"/>
    </x:row>
    <x:row r="50">
      <x:c r="A50" s="46"/>
      <x:c r="B50" s="46"/>
      <x:c r="C50" s="46"/>
      <x:c r="D50" s="46"/>
      <x:c r="E50" s="46"/>
      <x:c r="F50" s="46"/>
      <x:c r="G50" s="46"/>
    </x:row>
    <x:row r="51">
      <x:c r="A51" s="46"/>
      <x:c r="B51" s="46"/>
      <x:c r="C51" s="46"/>
      <x:c r="D51" s="46"/>
      <x:c r="E51" s="46"/>
      <x:c r="F51" s="46"/>
      <x:c r="G51" s="46"/>
    </x:row>
    <x:row r="52">
      <x:c r="A52" s="46"/>
      <x:c r="B52" s="46"/>
      <x:c r="C52" s="46"/>
      <x:c r="D52" s="46"/>
      <x:c r="E52" s="46"/>
      <x:c r="F52" s="46"/>
      <x:c r="G52" s="46"/>
    </x:row>
    <x:row r="53">
      <x:c r="A53" s="46"/>
      <x:c r="B53" s="46"/>
      <x:c r="C53" s="46"/>
      <x:c r="D53" s="46"/>
      <x:c r="E53" s="46"/>
      <x:c r="F53" s="46"/>
      <x:c r="G53" s="46"/>
    </x:row>
    <x:row r="54">
      <x:c r="A54" s="46"/>
      <x:c r="B54" s="46"/>
      <x:c r="C54" s="46"/>
      <x:c r="D54" s="46"/>
      <x:c r="E54" s="46"/>
      <x:c r="F54" s="46"/>
      <x:c r="G54" s="46"/>
    </x:row>
    <x:row r="55">
      <x:c r="A55" s="46"/>
      <x:c r="B55" s="46"/>
      <x:c r="C55" s="46"/>
      <x:c r="D55" s="46"/>
      <x:c r="E55" s="46"/>
      <x:c r="F55" s="46"/>
      <x:c r="G55" s="46"/>
    </x:row>
    <x:row r="56">
      <x:c r="A56" s="46"/>
      <x:c r="B56" s="46"/>
      <x:c r="C56" s="46"/>
      <x:c r="D56" s="46"/>
      <x:c r="E56" s="46"/>
      <x:c r="F56" s="46"/>
      <x:c r="G56" s="46"/>
    </x:row>
    <x:row r="57">
      <x:c r="A57" s="46"/>
      <x:c r="B57" s="46"/>
      <x:c r="C57" s="46"/>
      <x:c r="D57" s="46"/>
      <x:c r="E57" s="46"/>
      <x:c r="F57" s="46"/>
      <x:c r="G57" s="46"/>
    </x:row>
    <x:row r="58">
      <x:c r="A58" s="46"/>
      <x:c r="B58" s="46"/>
      <x:c r="C58" s="46"/>
      <x:c r="D58" s="46"/>
      <x:c r="E58" s="46"/>
      <x:c r="F58" s="46"/>
      <x:c r="G58" s="46"/>
    </x:row>
    <x:row r="59">
      <x:c r="A59" s="46"/>
      <x:c r="B59" s="46"/>
      <x:c r="C59" s="46"/>
      <x:c r="D59" s="46"/>
      <x:c r="E59" s="46"/>
      <x:c r="F59" s="46"/>
      <x:c r="G59" s="46"/>
    </x:row>
    <x:row r="60">
      <x:c r="A60" s="46"/>
      <x:c r="B60" s="46"/>
      <x:c r="C60" s="46"/>
      <x:c r="D60" s="46"/>
      <x:c r="E60" s="46"/>
      <x:c r="F60" s="46"/>
      <x:c r="G60" s="46"/>
    </x:row>
    <x:row r="61">
      <x:c r="A61" s="46"/>
      <x:c r="B61" s="46"/>
      <x:c r="C61" s="46"/>
      <x:c r="D61" s="46"/>
      <x:c r="E61" s="46"/>
      <x:c r="F61" s="46"/>
      <x:c r="G61" s="46"/>
    </x:row>
    <x:row r="62">
      <x:c r="A62" s="46"/>
      <x:c r="B62" s="46"/>
      <x:c r="C62" s="46"/>
      <x:c r="D62" s="46"/>
      <x:c r="E62" s="46"/>
      <x:c r="F62" s="46"/>
      <x:c r="G62" s="46"/>
    </x:row>
    <x:row r="63">
      <x:c r="A63" s="46"/>
      <x:c r="B63" s="46"/>
      <x:c r="C63" s="46"/>
      <x:c r="D63" s="46"/>
      <x:c r="E63" s="46"/>
      <x:c r="F63" s="46"/>
      <x:c r="G63" s="46"/>
    </x:row>
    <x:row r="64">
      <x:c r="A64" s="46"/>
      <x:c r="B64" s="46"/>
      <x:c r="C64" s="46"/>
      <x:c r="D64" s="46"/>
      <x:c r="E64" s="46"/>
      <x:c r="F64" s="46"/>
      <x:c r="G64" s="46"/>
    </x:row>
    <x:row r="65">
      <x:c r="A65" s="46"/>
      <x:c r="B65" s="46"/>
      <x:c r="C65" s="46"/>
      <x:c r="D65" s="46"/>
      <x:c r="E65" s="46"/>
      <x:c r="F65" s="46"/>
      <x:c r="G65" s="46"/>
    </x:row>
    <x:row r="66">
      <x:c r="A66" s="46"/>
      <x:c r="B66" s="46"/>
      <x:c r="C66" s="46"/>
      <x:c r="D66" s="46"/>
      <x:c r="E66" s="46"/>
      <x:c r="F66" s="46"/>
      <x:c r="G66" s="46"/>
    </x:row>
    <x:row r="67">
      <x:c r="A67" s="46"/>
      <x:c r="B67" s="46"/>
      <x:c r="C67" s="46"/>
      <x:c r="D67" s="46"/>
      <x:c r="E67" s="46"/>
      <x:c r="F67" s="46"/>
      <x:c r="G67" s="46"/>
    </x:row>
    <x:row r="68">
      <x:c r="A68" s="46"/>
      <x:c r="B68" s="46"/>
      <x:c r="C68" s="46"/>
      <x:c r="D68" s="46"/>
      <x:c r="E68" s="46"/>
      <x:c r="F68" s="46"/>
      <x:c r="G68" s="46"/>
    </x:row>
    <x:row r="69">
      <x:c r="A69" s="46"/>
      <x:c r="B69" s="46"/>
      <x:c r="C69" s="46"/>
      <x:c r="D69" s="46"/>
      <x:c r="E69" s="46"/>
      <x:c r="F69" s="46"/>
      <x:c r="G69" s="46"/>
    </x:row>
    <x:row r="70">
      <x:c r="A70" s="46"/>
      <x:c r="B70" s="46"/>
      <x:c r="C70" s="46"/>
      <x:c r="D70" s="46"/>
      <x:c r="E70" s="46"/>
      <x:c r="F70" s="46"/>
      <x:c r="G70" s="46"/>
    </x:row>
    <x:row r="71">
      <x:c r="A71" s="46"/>
      <x:c r="B71" s="46"/>
      <x:c r="C71" s="46"/>
      <x:c r="D71" s="46"/>
      <x:c r="E71" s="46"/>
      <x:c r="F71" s="46"/>
      <x:c r="G71" s="46"/>
    </x:row>
    <x:row r="72">
      <x:c r="A72" s="46"/>
      <x:c r="B72" s="46"/>
      <x:c r="C72" s="46"/>
      <x:c r="D72" s="46"/>
      <x:c r="E72" s="46"/>
      <x:c r="F72" s="46"/>
      <x:c r="G72" s="46"/>
    </x:row>
    <x:row r="73">
      <x:c r="A73" s="46"/>
      <x:c r="B73" s="46"/>
      <x:c r="C73" s="46"/>
      <x:c r="D73" s="46"/>
      <x:c r="E73" s="46"/>
      <x:c r="F73" s="46"/>
      <x:c r="G73" s="46"/>
    </x:row>
    <x:row r="74">
      <x:c r="A74" s="46"/>
      <x:c r="B74" s="46"/>
      <x:c r="C74" s="46"/>
      <x:c r="D74" s="46"/>
      <x:c r="E74" s="46"/>
      <x:c r="F74" s="46"/>
      <x:c r="G74" s="46"/>
    </x:row>
    <x:row r="75">
      <x:c r="A75" s="46"/>
      <x:c r="B75" s="46"/>
      <x:c r="C75" s="46"/>
      <x:c r="D75" s="46"/>
      <x:c r="E75" s="46"/>
      <x:c r="F75" s="46"/>
      <x:c r="G75" s="46"/>
    </x:row>
    <x:row r="76">
      <x:c r="A76" s="46"/>
      <x:c r="B76" s="46"/>
      <x:c r="C76" s="46"/>
      <x:c r="D76" s="46"/>
      <x:c r="E76" s="46"/>
      <x:c r="F76" s="46"/>
      <x:c r="G76" s="46"/>
    </x:row>
    <x:row r="77">
      <x:c r="A77" s="46"/>
      <x:c r="B77" s="46"/>
      <x:c r="C77" s="46"/>
      <x:c r="D77" s="46"/>
      <x:c r="E77" s="46"/>
      <x:c r="F77" s="46"/>
      <x:c r="G77" s="46"/>
    </x:row>
    <x:row r="78">
      <x:c r="A78" s="46"/>
      <x:c r="B78" s="46"/>
      <x:c r="C78" s="46"/>
      <x:c r="D78" s="46"/>
      <x:c r="E78" s="46"/>
      <x:c r="F78" s="46"/>
      <x:c r="G78" s="46"/>
    </x:row>
    <x:row r="79">
      <x:c r="A79" s="46"/>
      <x:c r="B79" s="46"/>
      <x:c r="C79" s="46"/>
      <x:c r="D79" s="46"/>
      <x:c r="E79" s="46"/>
      <x:c r="F79" s="46"/>
      <x:c r="G79" s="46"/>
    </x:row>
    <x:row r="80">
      <x:c r="A80" s="46"/>
      <x:c r="B80" s="46"/>
      <x:c r="C80" s="46"/>
      <x:c r="D80" s="46"/>
      <x:c r="E80" s="46"/>
      <x:c r="F80" s="46"/>
      <x:c r="G80" s="46"/>
    </x:row>
    <x:row r="81">
      <x:c r="A81" s="46"/>
      <x:c r="B81" s="46"/>
      <x:c r="C81" s="46"/>
      <x:c r="D81" s="46"/>
      <x:c r="E81" s="46"/>
      <x:c r="F81" s="46"/>
      <x:c r="G81" s="46"/>
    </x:row>
    <x:row r="82">
      <x:c r="A82" s="46"/>
      <x:c r="B82" s="46"/>
      <x:c r="C82" s="46"/>
      <x:c r="D82" s="46"/>
      <x:c r="E82" s="46"/>
      <x:c r="F82" s="46"/>
      <x:c r="G82" s="46"/>
    </x:row>
    <x:row r="83">
      <x:c r="A83" s="46"/>
      <x:c r="B83" s="46"/>
      <x:c r="C83" s="46"/>
      <x:c r="D83" s="46"/>
      <x:c r="E83" s="46"/>
      <x:c r="F83" s="46"/>
      <x:c r="G83" s="46"/>
    </x:row>
    <x:row r="84">
      <x:c r="A84" s="46"/>
      <x:c r="B84" s="46"/>
      <x:c r="C84" s="46"/>
      <x:c r="D84" s="46"/>
      <x:c r="E84" s="46"/>
      <x:c r="F84" s="46"/>
      <x:c r="G84" s="46"/>
    </x:row>
    <x:row r="85">
      <x:c r="A85" s="46"/>
      <x:c r="B85" s="46"/>
      <x:c r="C85" s="46"/>
      <x:c r="D85" s="46"/>
      <x:c r="E85" s="46"/>
      <x:c r="F85" s="46"/>
      <x:c r="G85" s="46"/>
    </x:row>
    <x:row r="86">
      <x:c r="A86" s="46"/>
      <x:c r="B86" s="46"/>
      <x:c r="C86" s="46"/>
      <x:c r="D86" s="46"/>
      <x:c r="E86" s="46"/>
      <x:c r="F86" s="46"/>
      <x:c r="G86" s="46"/>
    </x:row>
    <x:row r="87">
      <x:c r="A87" s="46"/>
      <x:c r="B87" s="46"/>
      <x:c r="C87" s="46"/>
      <x:c r="D87" s="46"/>
      <x:c r="E87" s="46"/>
      <x:c r="F87" s="46"/>
      <x:c r="G87" s="46"/>
    </x:row>
    <x:row r="88">
      <x:c r="A88" s="46"/>
      <x:c r="B88" s="46"/>
      <x:c r="C88" s="46"/>
      <x:c r="D88" s="46"/>
      <x:c r="E88" s="46"/>
      <x:c r="F88" s="46"/>
      <x:c r="G88" s="46"/>
    </x:row>
    <x:row r="89">
      <x:c r="A89" s="46"/>
      <x:c r="B89" s="46"/>
      <x:c r="C89" s="46"/>
      <x:c r="D89" s="46"/>
      <x:c r="E89" s="46"/>
      <x:c r="F89" s="46"/>
      <x:c r="G89" s="46"/>
    </x:row>
    <x:row r="90">
      <x:c r="A90" s="46"/>
      <x:c r="B90" s="46"/>
      <x:c r="C90" s="46"/>
      <x:c r="D90" s="46"/>
      <x:c r="E90" s="46"/>
      <x:c r="F90" s="46"/>
      <x:c r="G90" s="46"/>
    </x:row>
    <x:row r="91">
      <x:c r="A91" s="46"/>
      <x:c r="B91" s="46"/>
      <x:c r="C91" s="46"/>
      <x:c r="D91" s="46"/>
      <x:c r="E91" s="46"/>
      <x:c r="F91" s="46"/>
      <x:c r="G91" s="46"/>
    </x:row>
    <x:row r="92">
      <x:c r="A92" s="46"/>
      <x:c r="B92" s="46"/>
      <x:c r="C92" s="46"/>
      <x:c r="D92" s="46"/>
      <x:c r="E92" s="46"/>
      <x:c r="F92" s="46"/>
      <x:c r="G92" s="46"/>
    </x:row>
    <x:row r="93">
      <x:c r="A93" s="46"/>
      <x:c r="B93" s="46"/>
      <x:c r="C93" s="46"/>
      <x:c r="D93" s="46"/>
      <x:c r="E93" s="46"/>
      <x:c r="F93" s="46"/>
      <x:c r="G93" s="46"/>
    </x:row>
    <x:row r="94">
      <x:c r="A94" s="46"/>
      <x:c r="B94" s="46"/>
      <x:c r="C94" s="46"/>
      <x:c r="D94" s="46"/>
      <x:c r="E94" s="46"/>
      <x:c r="F94" s="46"/>
      <x:c r="G94" s="46"/>
    </x:row>
    <x:row r="95">
      <x:c r="A95" s="46"/>
      <x:c r="B95" s="46"/>
      <x:c r="C95" s="46"/>
      <x:c r="D95" s="46"/>
      <x:c r="E95" s="46"/>
      <x:c r="F95" s="46"/>
      <x:c r="G95" s="46"/>
    </x:row>
    <x:row r="96">
      <x:c r="A96" s="46"/>
      <x:c r="B96" s="46"/>
      <x:c r="C96" s="46"/>
      <x:c r="D96" s="46"/>
      <x:c r="E96" s="46"/>
      <x:c r="F96" s="46"/>
      <x:c r="G96" s="46"/>
    </x:row>
    <x:row r="97">
      <x:c r="A97" s="46"/>
      <x:c r="B97" s="46"/>
      <x:c r="C97" s="46"/>
      <x:c r="D97" s="46"/>
      <x:c r="E97" s="46"/>
      <x:c r="F97" s="46"/>
      <x:c r="G97" s="46"/>
    </x:row>
    <x:row r="98">
      <x:c r="A98" s="46"/>
      <x:c r="B98" s="46"/>
      <x:c r="C98" s="46"/>
      <x:c r="D98" s="46"/>
      <x:c r="E98" s="46"/>
      <x:c r="F98" s="46"/>
      <x:c r="G98" s="46"/>
    </x:row>
    <x:row r="99">
      <x:c r="A99" s="46"/>
      <x:c r="B99" s="46"/>
      <x:c r="C99" s="46"/>
      <x:c r="D99" s="46"/>
      <x:c r="E99" s="46"/>
      <x:c r="F99" s="46"/>
      <x:c r="G99" s="46"/>
    </x:row>
    <x:row r="100">
      <x:c r="A100" s="46"/>
      <x:c r="B100" s="46"/>
      <x:c r="C100" s="46"/>
      <x:c r="D100" s="46"/>
      <x:c r="E100" s="46"/>
      <x:c r="F100" s="46"/>
      <x:c r="G100" s="46"/>
    </x:row>
    <x:row r="101">
      <x:c r="A101" s="46"/>
      <x:c r="B101" s="46"/>
      <x:c r="C101" s="46"/>
      <x:c r="D101" s="46"/>
      <x:c r="E101" s="46"/>
      <x:c r="F101" s="46"/>
      <x:c r="G101" s="46"/>
    </x:row>
    <x:row r="102">
      <x:c r="A102" s="46"/>
      <x:c r="B102" s="46"/>
      <x:c r="C102" s="46"/>
      <x:c r="D102" s="46"/>
      <x:c r="E102" s="46"/>
      <x:c r="F102" s="46"/>
      <x:c r="G102" s="46"/>
    </x:row>
    <x:row r="103">
      <x:c r="A103" s="46"/>
      <x:c r="B103" s="46"/>
      <x:c r="C103" s="46"/>
      <x:c r="D103" s="46"/>
      <x:c r="E103" s="46"/>
      <x:c r="F103" s="46"/>
      <x:c r="G103" s="46"/>
    </x:row>
    <x:row r="104">
      <x:c r="A104" s="46"/>
      <x:c r="B104" s="46"/>
      <x:c r="C104" s="46"/>
      <x:c r="D104" s="46"/>
      <x:c r="E104" s="46"/>
      <x:c r="F104" s="46"/>
      <x:c r="G104" s="46"/>
    </x:row>
    <x:row r="105">
      <x:c r="A105" s="46"/>
      <x:c r="B105" s="46"/>
      <x:c r="C105" s="46"/>
      <x:c r="D105" s="46"/>
      <x:c r="E105" s="46"/>
      <x:c r="F105" s="46"/>
      <x:c r="G105" s="46"/>
    </x:row>
    <x:row r="106">
      <x:c r="A106" s="46"/>
      <x:c r="B106" s="46"/>
      <x:c r="C106" s="46"/>
      <x:c r="D106" s="46"/>
      <x:c r="E106" s="46"/>
      <x:c r="F106" s="46"/>
      <x:c r="G106" s="46"/>
    </x:row>
    <x:row r="107">
      <x:c r="A107" s="46"/>
      <x:c r="B107" s="46"/>
      <x:c r="C107" s="46"/>
      <x:c r="D107" s="46"/>
      <x:c r="E107" s="46"/>
      <x:c r="F107" s="46"/>
      <x:c r="G107" s="46"/>
    </x:row>
    <x:row r="108">
      <x:c r="A108" s="46"/>
      <x:c r="B108" s="46"/>
      <x:c r="C108" s="46"/>
      <x:c r="D108" s="46"/>
      <x:c r="E108" s="46"/>
      <x:c r="F108" s="46"/>
      <x:c r="G108" s="46"/>
    </x:row>
    <x:row r="109">
      <x:c r="A109" s="46"/>
      <x:c r="B109" s="46"/>
      <x:c r="C109" s="46"/>
      <x:c r="D109" s="46"/>
      <x:c r="E109" s="46"/>
      <x:c r="F109" s="46"/>
      <x:c r="G109" s="46"/>
    </x:row>
    <x:row r="110">
      <x:c r="A110" s="46"/>
      <x:c r="B110" s="46"/>
      <x:c r="C110" s="46"/>
      <x:c r="D110" s="46"/>
      <x:c r="E110" s="46"/>
      <x:c r="F110" s="46"/>
      <x:c r="G110" s="46"/>
    </x:row>
    <x:row r="111">
      <x:c r="A111" s="46"/>
      <x:c r="B111" s="46"/>
      <x:c r="C111" s="46"/>
      <x:c r="D111" s="46"/>
      <x:c r="E111" s="46"/>
      <x:c r="F111" s="46"/>
      <x:c r="G111" s="46"/>
    </x:row>
    <x:row r="112">
      <x:c r="A112" s="46"/>
      <x:c r="B112" s="46"/>
      <x:c r="C112" s="46"/>
      <x:c r="D112" s="46"/>
      <x:c r="E112" s="46"/>
      <x:c r="F112" s="46"/>
      <x:c r="G112" s="46"/>
    </x:row>
    <x:row r="113">
      <x:c r="A113" s="46"/>
      <x:c r="B113" s="46"/>
      <x:c r="C113" s="46"/>
      <x:c r="D113" s="46"/>
      <x:c r="E113" s="46"/>
      <x:c r="F113" s="46"/>
      <x:c r="G113" s="46"/>
    </x:row>
    <x:row r="114">
      <x:c r="A114" s="46"/>
      <x:c r="B114" s="46"/>
      <x:c r="C114" s="46"/>
      <x:c r="D114" s="46"/>
      <x:c r="E114" s="46"/>
      <x:c r="F114" s="46"/>
      <x:c r="G114" s="46"/>
    </x:row>
    <x:row r="115">
      <x:c r="A115" s="46"/>
      <x:c r="B115" s="46"/>
      <x:c r="C115" s="46"/>
      <x:c r="D115" s="46"/>
      <x:c r="E115" s="46"/>
      <x:c r="F115" s="46"/>
      <x:c r="G115" s="46"/>
    </x:row>
    <x:row r="116">
      <x:c r="A116" s="46"/>
      <x:c r="B116" s="46"/>
      <x:c r="C116" s="46"/>
      <x:c r="D116" s="46"/>
      <x:c r="E116" s="46"/>
      <x:c r="F116" s="46"/>
      <x:c r="G116" s="46"/>
    </x:row>
    <x:row r="117">
      <x:c r="A117" s="46"/>
      <x:c r="B117" s="46"/>
      <x:c r="C117" s="46"/>
      <x:c r="D117" s="46"/>
      <x:c r="E117" s="46"/>
      <x:c r="F117" s="46"/>
      <x:c r="G117" s="46"/>
    </x:row>
    <x:row r="118">
      <x:c r="A118" s="46"/>
      <x:c r="B118" s="46"/>
      <x:c r="C118" s="46"/>
      <x:c r="D118" s="46"/>
      <x:c r="E118" s="46"/>
      <x:c r="F118" s="46"/>
      <x:c r="G118" s="46"/>
    </x:row>
    <x:row r="119">
      <x:c r="A119" s="46"/>
      <x:c r="B119" s="46"/>
      <x:c r="C119" s="46"/>
      <x:c r="D119" s="46"/>
      <x:c r="E119" s="46"/>
      <x:c r="F119" s="46"/>
      <x:c r="G119" s="46"/>
    </x:row>
    <x:row r="120">
      <x:c r="A120" s="46"/>
      <x:c r="B120" s="46"/>
      <x:c r="C120" s="46"/>
      <x:c r="D120" s="46"/>
      <x:c r="E120" s="46"/>
      <x:c r="F120" s="46"/>
      <x:c r="G120" s="46"/>
    </x:row>
    <x:row r="121">
      <x:c r="A121" s="46"/>
      <x:c r="B121" s="46"/>
      <x:c r="C121" s="46"/>
      <x:c r="D121" s="46"/>
      <x:c r="E121" s="46"/>
      <x:c r="F121" s="46"/>
      <x:c r="G121" s="46"/>
    </x:row>
    <x:row r="122">
      <x:c r="A122" s="46"/>
      <x:c r="B122" s="46"/>
      <x:c r="C122" s="46"/>
      <x:c r="D122" s="46"/>
      <x:c r="E122" s="46"/>
      <x:c r="F122" s="46"/>
      <x:c r="G122" s="46"/>
    </x:row>
    <x:row r="123">
      <x:c r="A123" s="46"/>
      <x:c r="B123" s="46"/>
      <x:c r="C123" s="46"/>
      <x:c r="D123" s="46"/>
      <x:c r="E123" s="46"/>
      <x:c r="F123" s="46"/>
      <x:c r="G123" s="46"/>
    </x:row>
    <x:row r="124">
      <x:c r="A124" s="46"/>
      <x:c r="B124" s="46"/>
      <x:c r="C124" s="46"/>
      <x:c r="D124" s="46"/>
      <x:c r="E124" s="46"/>
      <x:c r="F124" s="46"/>
      <x:c r="G124" s="46"/>
    </x:row>
    <x:row r="125">
      <x:c r="A125" s="46"/>
      <x:c r="B125" s="46"/>
      <x:c r="C125" s="46"/>
      <x:c r="D125" s="46"/>
      <x:c r="E125" s="46"/>
      <x:c r="F125" s="46"/>
      <x:c r="G125" s="46"/>
    </x:row>
    <x:row r="126">
      <x:c r="A126" s="46"/>
      <x:c r="B126" s="46"/>
      <x:c r="C126" s="46"/>
      <x:c r="D126" s="46"/>
      <x:c r="E126" s="46"/>
      <x:c r="F126" s="46"/>
      <x:c r="G126" s="46"/>
    </x:row>
    <x:row r="127">
      <x:c r="A127" s="46"/>
      <x:c r="B127" s="46"/>
      <x:c r="C127" s="46"/>
      <x:c r="D127" s="46"/>
      <x:c r="E127" s="46"/>
      <x:c r="F127" s="46"/>
      <x:c r="G127" s="46"/>
    </x:row>
    <x:row r="128">
      <x:c r="A128" s="46"/>
      <x:c r="B128" s="46"/>
      <x:c r="C128" s="46"/>
      <x:c r="D128" s="46"/>
      <x:c r="E128" s="46"/>
      <x:c r="F128" s="46"/>
      <x:c r="G128" s="46"/>
    </x:row>
    <x:row r="129">
      <x:c r="A129" s="46"/>
      <x:c r="B129" s="46"/>
      <x:c r="C129" s="46"/>
      <x:c r="D129" s="46"/>
      <x:c r="E129" s="46"/>
      <x:c r="F129" s="46"/>
      <x:c r="G129" s="46"/>
    </x:row>
    <x:row r="130">
      <x:c r="A130" s="46"/>
      <x:c r="B130" s="46"/>
      <x:c r="C130" s="46"/>
      <x:c r="D130" s="46"/>
      <x:c r="E130" s="46"/>
      <x:c r="F130" s="46"/>
      <x:c r="G130" s="46"/>
    </x:row>
    <x:row r="131">
      <x:c r="A131" s="46"/>
      <x:c r="B131" s="46"/>
      <x:c r="C131" s="46"/>
      <x:c r="D131" s="46"/>
      <x:c r="E131" s="46"/>
      <x:c r="F131" s="46"/>
      <x:c r="G131" s="46"/>
    </x:row>
    <x:row r="132">
      <x:c r="A132" s="46"/>
      <x:c r="B132" s="46"/>
      <x:c r="C132" s="46"/>
      <x:c r="D132" s="46"/>
      <x:c r="E132" s="46"/>
      <x:c r="F132" s="46"/>
      <x:c r="G132" s="46"/>
    </x:row>
    <x:row r="133">
      <x:c r="A133" s="46"/>
      <x:c r="B133" s="46"/>
      <x:c r="C133" s="46"/>
      <x:c r="D133" s="46"/>
      <x:c r="E133" s="46"/>
      <x:c r="F133" s="46"/>
      <x:c r="G133" s="46"/>
    </x:row>
    <x:row r="134">
      <x:c r="A134" s="46"/>
      <x:c r="B134" s="46"/>
      <x:c r="C134" s="46"/>
      <x:c r="D134" s="46"/>
      <x:c r="E134" s="46"/>
      <x:c r="F134" s="46"/>
      <x:c r="G134" s="46"/>
    </x:row>
    <x:row r="135">
      <x:c r="A135" s="46"/>
      <x:c r="B135" s="46"/>
      <x:c r="C135" s="46"/>
      <x:c r="D135" s="46"/>
      <x:c r="E135" s="46"/>
      <x:c r="F135" s="46"/>
      <x:c r="G135" s="46"/>
    </x:row>
    <x:row r="136">
      <x:c r="A136" s="46"/>
      <x:c r="B136" s="46"/>
      <x:c r="C136" s="46"/>
      <x:c r="D136" s="46"/>
      <x:c r="E136" s="46"/>
      <x:c r="F136" s="46"/>
      <x:c r="G136" s="46"/>
    </x:row>
    <x:row r="137">
      <x:c r="A137" s="46"/>
      <x:c r="B137" s="46"/>
      <x:c r="C137" s="46"/>
      <x:c r="D137" s="46"/>
      <x:c r="E137" s="46"/>
      <x:c r="F137" s="46"/>
      <x:c r="G137" s="46"/>
    </x:row>
    <x:row r="138">
      <x:c r="A138" s="46"/>
      <x:c r="B138" s="46"/>
      <x:c r="C138" s="46"/>
      <x:c r="D138" s="46"/>
      <x:c r="E138" s="46"/>
      <x:c r="F138" s="46"/>
      <x:c r="G138" s="46"/>
    </x:row>
    <x:row r="139">
      <x:c r="A139" s="46"/>
      <x:c r="B139" s="46"/>
      <x:c r="C139" s="46"/>
      <x:c r="D139" s="46"/>
      <x:c r="E139" s="46"/>
      <x:c r="F139" s="46"/>
      <x:c r="G139" s="46"/>
    </x:row>
    <x:row r="140">
      <x:c r="A140" s="46"/>
      <x:c r="B140" s="46"/>
      <x:c r="C140" s="46"/>
      <x:c r="D140" s="46"/>
      <x:c r="E140" s="46"/>
      <x:c r="F140" s="46"/>
      <x:c r="G140" s="46"/>
    </x:row>
    <x:row r="141">
      <x:c r="A141" s="46"/>
      <x:c r="B141" s="46"/>
      <x:c r="C141" s="46"/>
      <x:c r="D141" s="46"/>
      <x:c r="E141" s="46"/>
      <x:c r="F141" s="46"/>
      <x:c r="G141" s="46"/>
    </x:row>
    <x:row r="142">
      <x:c r="A142" s="46"/>
      <x:c r="B142" s="46"/>
      <x:c r="C142" s="46"/>
      <x:c r="D142" s="46"/>
      <x:c r="E142" s="46"/>
      <x:c r="F142" s="46"/>
      <x:c r="G142" s="46"/>
    </x:row>
    <x:row r="143">
      <x:c r="A143" s="46"/>
      <x:c r="B143" s="46"/>
      <x:c r="C143" s="46"/>
      <x:c r="D143" s="46"/>
      <x:c r="E143" s="46"/>
      <x:c r="F143" s="46"/>
      <x:c r="G143" s="46"/>
    </x:row>
    <x:row r="144">
      <x:c r="A144" s="46"/>
      <x:c r="B144" s="46"/>
      <x:c r="C144" s="46"/>
      <x:c r="D144" s="46"/>
      <x:c r="E144" s="46"/>
      <x:c r="F144" s="46"/>
      <x:c r="G144" s="46"/>
    </x:row>
    <x:row r="145">
      <x:c r="A145" s="46"/>
      <x:c r="B145" s="46"/>
      <x:c r="C145" s="46"/>
      <x:c r="D145" s="46"/>
      <x:c r="E145" s="46"/>
      <x:c r="F145" s="46"/>
      <x:c r="G145" s="46"/>
    </x:row>
    <x:row r="146">
      <x:c r="A146" s="46"/>
      <x:c r="B146" s="46"/>
      <x:c r="C146" s="46"/>
      <x:c r="D146" s="46"/>
      <x:c r="E146" s="46"/>
      <x:c r="F146" s="46"/>
      <x:c r="G146" s="46"/>
    </x:row>
    <x:row r="147">
      <x:c r="A147" s="46"/>
      <x:c r="B147" s="46"/>
      <x:c r="C147" s="46"/>
      <x:c r="D147" s="46"/>
      <x:c r="E147" s="46"/>
      <x:c r="F147" s="46"/>
      <x:c r="G147" s="46"/>
    </x:row>
    <x:row r="148">
      <x:c r="A148" s="46"/>
      <x:c r="B148" s="46"/>
      <x:c r="C148" s="46"/>
      <x:c r="D148" s="46"/>
      <x:c r="E148" s="46"/>
      <x:c r="F148" s="46"/>
      <x:c r="G148" s="46"/>
    </x:row>
    <x:row r="149">
      <x:c r="A149" s="46"/>
      <x:c r="B149" s="46"/>
      <x:c r="C149" s="46"/>
      <x:c r="D149" s="46"/>
      <x:c r="E149" s="46"/>
      <x:c r="F149" s="46"/>
      <x:c r="G149" s="46"/>
    </x:row>
    <x:row r="150">
      <x:c r="A150" s="46"/>
      <x:c r="B150" s="46"/>
      <x:c r="C150" s="46"/>
      <x:c r="D150" s="46"/>
      <x:c r="E150" s="46"/>
      <x:c r="F150" s="46"/>
      <x:c r="G150" s="46"/>
    </x:row>
    <x:row r="151">
      <x:c r="A151" s="46"/>
      <x:c r="B151" s="46"/>
      <x:c r="C151" s="46"/>
      <x:c r="D151" s="46"/>
      <x:c r="E151" s="46"/>
      <x:c r="F151" s="46"/>
      <x:c r="G151" s="46"/>
    </x:row>
    <x:row r="152">
      <x:c r="A152" s="46"/>
      <x:c r="B152" s="46"/>
      <x:c r="C152" s="46"/>
      <x:c r="D152" s="46"/>
      <x:c r="E152" s="46"/>
      <x:c r="F152" s="46"/>
      <x:c r="G152" s="46"/>
    </x:row>
    <x:row r="153">
      <x:c r="A153" s="46"/>
      <x:c r="B153" s="46"/>
      <x:c r="C153" s="46"/>
      <x:c r="D153" s="46"/>
      <x:c r="E153" s="46"/>
      <x:c r="F153" s="46"/>
      <x:c r="G153" s="46"/>
    </x:row>
    <x:row r="154">
      <x:c r="A154" s="46"/>
      <x:c r="B154" s="46"/>
      <x:c r="C154" s="46"/>
      <x:c r="D154" s="46"/>
      <x:c r="E154" s="46"/>
      <x:c r="F154" s="46"/>
      <x:c r="G154" s="46"/>
    </x:row>
    <x:row r="155">
      <x:c r="A155" s="46"/>
      <x:c r="B155" s="46"/>
      <x:c r="C155" s="46"/>
      <x:c r="D155" s="46"/>
      <x:c r="E155" s="46"/>
      <x:c r="F155" s="46"/>
      <x:c r="G155" s="46"/>
    </x:row>
    <x:row r="156">
      <x:c r="A156" s="46"/>
      <x:c r="B156" s="46"/>
      <x:c r="C156" s="46"/>
      <x:c r="D156" s="46"/>
      <x:c r="E156" s="46"/>
      <x:c r="F156" s="46"/>
      <x:c r="G156" s="46"/>
    </x:row>
    <x:row r="157">
      <x:c r="A157" s="46"/>
      <x:c r="B157" s="46"/>
      <x:c r="C157" s="46"/>
      <x:c r="D157" s="46"/>
      <x:c r="E157" s="46"/>
      <x:c r="F157" s="46"/>
      <x:c r="G157" s="46"/>
    </x:row>
    <x:row r="158">
      <x:c r="A158" s="46"/>
      <x:c r="B158" s="46"/>
      <x:c r="C158" s="46"/>
      <x:c r="D158" s="46"/>
      <x:c r="E158" s="46"/>
      <x:c r="F158" s="46"/>
      <x:c r="G158" s="46"/>
    </x:row>
    <x:row r="159">
      <x:c r="A159" s="46"/>
      <x:c r="B159" s="46"/>
      <x:c r="C159" s="46"/>
      <x:c r="D159" s="46"/>
      <x:c r="E159" s="46"/>
      <x:c r="F159" s="46"/>
      <x:c r="G159" s="46"/>
    </x:row>
    <x:row r="160">
      <x:c r="A160" s="46"/>
      <x:c r="B160" s="46"/>
      <x:c r="C160" s="46"/>
      <x:c r="D160" s="46"/>
      <x:c r="E160" s="46"/>
      <x:c r="F160" s="46"/>
      <x:c r="G160" s="46"/>
    </x:row>
    <x:row r="161">
      <x:c r="A161" s="46"/>
      <x:c r="B161" s="46"/>
      <x:c r="C161" s="46"/>
      <x:c r="D161" s="46"/>
      <x:c r="E161" s="46"/>
      <x:c r="F161" s="46"/>
      <x:c r="G161" s="46"/>
    </x:row>
    <x:row r="162">
      <x:c r="A162" s="46"/>
      <x:c r="B162" s="46"/>
      <x:c r="C162" s="46"/>
      <x:c r="D162" s="46"/>
      <x:c r="E162" s="46"/>
      <x:c r="F162" s="46"/>
      <x:c r="G162" s="46"/>
    </x:row>
    <x:row r="163">
      <x:c r="A163" s="46"/>
      <x:c r="B163" s="46"/>
      <x:c r="C163" s="46"/>
      <x:c r="D163" s="46"/>
      <x:c r="E163" s="46"/>
      <x:c r="F163" s="46"/>
      <x:c r="G163" s="46"/>
    </x:row>
    <x:row r="164">
      <x:c r="A164" s="46"/>
      <x:c r="B164" s="46"/>
      <x:c r="C164" s="46"/>
      <x:c r="D164" s="46"/>
      <x:c r="E164" s="46"/>
      <x:c r="F164" s="46"/>
      <x:c r="G164" s="46"/>
    </x:row>
    <x:row r="165">
      <x:c r="A165" s="46"/>
      <x:c r="B165" s="46"/>
      <x:c r="C165" s="46"/>
      <x:c r="D165" s="46"/>
      <x:c r="E165" s="46"/>
      <x:c r="F165" s="46"/>
      <x:c r="G165" s="46"/>
    </x:row>
    <x:row r="166">
      <x:c r="A166" s="46"/>
      <x:c r="B166" s="46"/>
      <x:c r="C166" s="46"/>
      <x:c r="D166" s="46"/>
      <x:c r="E166" s="46"/>
      <x:c r="F166" s="46"/>
      <x:c r="G166" s="46"/>
    </x:row>
    <x:row r="167">
      <x:c r="A167" s="46"/>
      <x:c r="B167" s="46"/>
      <x:c r="C167" s="46"/>
      <x:c r="D167" s="46"/>
      <x:c r="E167" s="46"/>
      <x:c r="F167" s="46"/>
      <x:c r="G167" s="46"/>
    </x:row>
    <x:row r="168">
      <x:c r="A168" s="46"/>
      <x:c r="B168" s="46"/>
      <x:c r="C168" s="46"/>
      <x:c r="D168" s="46"/>
      <x:c r="E168" s="46"/>
      <x:c r="F168" s="46"/>
      <x:c r="G168" s="46"/>
    </x:row>
    <x:row r="169">
      <x:c r="A169" s="46"/>
      <x:c r="B169" s="46"/>
      <x:c r="C169" s="46"/>
      <x:c r="D169" s="46"/>
      <x:c r="E169" s="46"/>
      <x:c r="F169" s="46"/>
      <x:c r="G169" s="46"/>
    </x:row>
    <x:row r="170">
      <x:c r="A170" s="46"/>
      <x:c r="B170" s="46"/>
      <x:c r="C170" s="46"/>
      <x:c r="D170" s="46"/>
      <x:c r="E170" s="46"/>
      <x:c r="F170" s="46"/>
      <x:c r="G170" s="46"/>
    </x:row>
    <x:row r="171">
      <x:c r="A171" s="46"/>
      <x:c r="B171" s="46"/>
      <x:c r="C171" s="46"/>
      <x:c r="D171" s="46"/>
      <x:c r="E171" s="46"/>
      <x:c r="F171" s="46"/>
      <x:c r="G171" s="46"/>
    </x:row>
    <x:row r="172">
      <x:c r="A172" s="46"/>
      <x:c r="B172" s="46"/>
      <x:c r="C172" s="46"/>
      <x:c r="D172" s="46"/>
      <x:c r="E172" s="46"/>
      <x:c r="F172" s="46"/>
      <x:c r="G172" s="46"/>
    </x:row>
    <x:row r="173">
      <x:c r="A173" s="46"/>
      <x:c r="B173" s="46"/>
      <x:c r="C173" s="46"/>
      <x:c r="D173" s="46"/>
      <x:c r="E173" s="46"/>
      <x:c r="F173" s="46"/>
      <x:c r="G173" s="46"/>
    </x:row>
    <x:row r="174">
      <x:c r="A174" s="46"/>
      <x:c r="B174" s="46"/>
      <x:c r="C174" s="46"/>
      <x:c r="D174" s="46"/>
      <x:c r="E174" s="46"/>
      <x:c r="F174" s="46"/>
      <x:c r="G174" s="46"/>
    </x:row>
    <x:row r="175">
      <x:c r="A175" s="46"/>
      <x:c r="B175" s="46"/>
      <x:c r="C175" s="46"/>
      <x:c r="D175" s="46"/>
      <x:c r="E175" s="46"/>
      <x:c r="F175" s="46"/>
      <x:c r="G175" s="46"/>
    </x:row>
    <x:row r="176">
      <x:c r="A176" s="46"/>
      <x:c r="B176" s="46"/>
      <x:c r="C176" s="46"/>
      <x:c r="D176" s="46"/>
      <x:c r="E176" s="46"/>
      <x:c r="F176" s="46"/>
      <x:c r="G176" s="46"/>
    </x:row>
    <x:row r="177">
      <x:c r="A177" s="46"/>
      <x:c r="B177" s="46"/>
      <x:c r="C177" s="46"/>
      <x:c r="D177" s="46"/>
      <x:c r="E177" s="46"/>
      <x:c r="F177" s="46"/>
      <x:c r="G177" s="46"/>
    </x:row>
    <x:row r="178">
      <x:c r="A178" s="46"/>
      <x:c r="B178" s="46"/>
      <x:c r="C178" s="46"/>
      <x:c r="D178" s="46"/>
      <x:c r="E178" s="46"/>
      <x:c r="F178" s="46"/>
      <x:c r="G178" s="46"/>
    </x:row>
    <x:row r="179">
      <x:c r="A179" s="46"/>
      <x:c r="B179" s="46"/>
      <x:c r="C179" s="46"/>
      <x:c r="D179" s="46"/>
      <x:c r="E179" s="46"/>
      <x:c r="F179" s="46"/>
      <x:c r="G179" s="46"/>
    </x:row>
    <x:row r="180">
      <x:c r="A180" s="46"/>
      <x:c r="B180" s="46"/>
      <x:c r="C180" s="46"/>
      <x:c r="D180" s="46"/>
      <x:c r="E180" s="46"/>
      <x:c r="F180" s="46"/>
      <x:c r="G180" s="46"/>
    </x:row>
    <x:row r="181">
      <x:c r="A181" s="46"/>
      <x:c r="B181" s="46"/>
      <x:c r="C181" s="46"/>
      <x:c r="D181" s="46"/>
      <x:c r="E181" s="46"/>
      <x:c r="F181" s="46"/>
      <x:c r="G181" s="46"/>
    </x:row>
    <x:row r="182">
      <x:c r="A182" s="46"/>
      <x:c r="B182" s="46"/>
      <x:c r="C182" s="46"/>
      <x:c r="D182" s="46"/>
      <x:c r="E182" s="46"/>
      <x:c r="F182" s="46"/>
      <x:c r="G182" s="46"/>
    </x:row>
    <x:row r="183">
      <x:c r="A183" s="46"/>
      <x:c r="B183" s="46"/>
      <x:c r="C183" s="46"/>
      <x:c r="D183" s="46"/>
      <x:c r="E183" s="46"/>
      <x:c r="F183" s="46"/>
      <x:c r="G183" s="46"/>
    </x:row>
    <x:row r="184">
      <x:c r="A184" s="46"/>
      <x:c r="B184" s="46"/>
      <x:c r="C184" s="46"/>
      <x:c r="D184" s="46"/>
      <x:c r="E184" s="46"/>
      <x:c r="F184" s="46"/>
      <x:c r="G184" s="46"/>
    </x:row>
    <x:row r="185">
      <x:c r="A185" s="46"/>
      <x:c r="B185" s="46"/>
      <x:c r="C185" s="46"/>
      <x:c r="D185" s="46"/>
      <x:c r="E185" s="46"/>
      <x:c r="F185" s="46"/>
      <x:c r="G185" s="46"/>
    </x:row>
    <x:row r="186">
      <x:c r="A186" s="46"/>
      <x:c r="B186" s="46"/>
      <x:c r="C186" s="46"/>
      <x:c r="D186" s="46"/>
      <x:c r="E186" s="46"/>
      <x:c r="F186" s="46"/>
      <x:c r="G186" s="46"/>
    </x:row>
    <x:row r="187">
      <x:c r="A187" s="46"/>
      <x:c r="B187" s="46"/>
      <x:c r="C187" s="46"/>
      <x:c r="D187" s="46"/>
      <x:c r="E187" s="46"/>
      <x:c r="F187" s="46"/>
      <x:c r="G187" s="46"/>
    </x:row>
    <x:row r="188">
      <x:c r="A188" s="46"/>
      <x:c r="B188" s="46"/>
      <x:c r="C188" s="46"/>
      <x:c r="D188" s="46"/>
      <x:c r="E188" s="46"/>
      <x:c r="F188" s="46"/>
      <x:c r="G188" s="46"/>
    </x:row>
    <x:row r="189">
      <x:c r="A189" s="46"/>
      <x:c r="B189" s="46"/>
      <x:c r="C189" s="46"/>
      <x:c r="D189" s="46"/>
      <x:c r="E189" s="46"/>
      <x:c r="F189" s="46"/>
      <x:c r="G189" s="46"/>
    </x:row>
    <x:row r="190">
      <x:c r="A190" s="46"/>
      <x:c r="B190" s="46"/>
      <x:c r="C190" s="46"/>
      <x:c r="D190" s="46"/>
      <x:c r="E190" s="46"/>
      <x:c r="F190" s="46"/>
      <x:c r="G190" s="46"/>
    </x:row>
    <x:row r="191">
      <x:c r="A191" s="46"/>
      <x:c r="B191" s="46"/>
      <x:c r="C191" s="46"/>
      <x:c r="D191" s="46"/>
      <x:c r="E191" s="46"/>
      <x:c r="F191" s="46"/>
      <x:c r="G191" s="46"/>
    </x:row>
    <x:row r="192">
      <x:c r="A192" s="46"/>
      <x:c r="B192" s="46"/>
      <x:c r="C192" s="46"/>
      <x:c r="D192" s="46"/>
      <x:c r="E192" s="46"/>
      <x:c r="F192" s="46"/>
      <x:c r="G192" s="46"/>
    </x:row>
    <x:row r="193">
      <x:c r="A193" s="46"/>
      <x:c r="B193" s="46"/>
      <x:c r="C193" s="46"/>
      <x:c r="D193" s="46"/>
      <x:c r="E193" s="46"/>
      <x:c r="F193" s="46"/>
      <x:c r="G193" s="46"/>
    </x:row>
    <x:row r="194">
      <x:c r="A194" s="46"/>
      <x:c r="B194" s="46"/>
      <x:c r="C194" s="46"/>
      <x:c r="D194" s="46"/>
      <x:c r="E194" s="46"/>
      <x:c r="F194" s="46"/>
      <x:c r="G194" s="46"/>
    </x:row>
    <x:row r="195">
      <x:c r="A195" s="46"/>
      <x:c r="B195" s="46"/>
      <x:c r="C195" s="46"/>
      <x:c r="D195" s="46"/>
      <x:c r="E195" s="46"/>
      <x:c r="F195" s="46"/>
      <x:c r="G195" s="46"/>
    </x:row>
    <x:row r="196">
      <x:c r="A196" s="46"/>
      <x:c r="B196" s="46"/>
      <x:c r="C196" s="46"/>
      <x:c r="D196" s="46"/>
      <x:c r="E196" s="46"/>
      <x:c r="F196" s="46"/>
      <x:c r="G196" s="46"/>
    </x:row>
    <x:row r="197">
      <x:c r="A197" s="46"/>
      <x:c r="B197" s="46"/>
      <x:c r="C197" s="46"/>
      <x:c r="D197" s="46"/>
      <x:c r="E197" s="46"/>
      <x:c r="F197" s="46"/>
      <x:c r="G197" s="46"/>
    </x:row>
    <x:row r="198">
      <x:c r="A198" s="46"/>
      <x:c r="B198" s="46"/>
      <x:c r="C198" s="46"/>
      <x:c r="D198" s="46"/>
      <x:c r="E198" s="46"/>
      <x:c r="F198" s="46"/>
      <x:c r="G198" s="46"/>
    </x:row>
    <x:row r="199">
      <x:c r="A199" s="46"/>
      <x:c r="B199" s="46"/>
      <x:c r="C199" s="46"/>
      <x:c r="D199" s="46"/>
      <x:c r="E199" s="46"/>
      <x:c r="F199" s="46"/>
      <x:c r="G199" s="46"/>
    </x:row>
    <x:row r="200">
      <x:c r="A200" s="46"/>
      <x:c r="B200" s="46"/>
      <x:c r="C200" s="46"/>
      <x:c r="D200" s="46"/>
      <x:c r="E200" s="46"/>
      <x:c r="F200" s="46"/>
      <x:c r="G200" s="46"/>
    </x:row>
    <x:row r="201">
      <x:c r="A201" s="46"/>
      <x:c r="B201" s="46"/>
      <x:c r="C201" s="46"/>
      <x:c r="D201" s="46"/>
      <x:c r="E201" s="46"/>
      <x:c r="F201" s="46"/>
      <x:c r="G201" s="46"/>
    </x:row>
    <x:row r="202">
      <x:c r="A202" s="46"/>
      <x:c r="B202" s="46"/>
      <x:c r="C202" s="46"/>
      <x:c r="D202" s="46"/>
      <x:c r="E202" s="46"/>
      <x:c r="F202" s="46"/>
      <x:c r="G202" s="46"/>
    </x:row>
    <x:row r="203">
      <x:c r="A203" s="46"/>
      <x:c r="B203" s="46"/>
      <x:c r="C203" s="46"/>
      <x:c r="D203" s="46"/>
      <x:c r="E203" s="46"/>
      <x:c r="F203" s="46"/>
      <x:c r="G203" s="46"/>
    </x:row>
    <x:row r="204">
      <x:c r="A204" s="46"/>
      <x:c r="B204" s="46"/>
      <x:c r="C204" s="46"/>
      <x:c r="D204" s="46"/>
      <x:c r="E204" s="46"/>
      <x:c r="F204" s="46"/>
      <x:c r="G204" s="46"/>
    </x:row>
    <x:row r="205">
      <x:c r="A205" s="46"/>
      <x:c r="B205" s="46"/>
      <x:c r="C205" s="46"/>
      <x:c r="D205" s="46"/>
      <x:c r="E205" s="46"/>
      <x:c r="F205" s="46"/>
      <x:c r="G205" s="46"/>
    </x:row>
    <x:row r="206">
      <x:c r="A206" s="46"/>
      <x:c r="B206" s="46"/>
      <x:c r="C206" s="46"/>
      <x:c r="D206" s="46"/>
      <x:c r="E206" s="46"/>
      <x:c r="F206" s="46"/>
      <x:c r="G206" s="46"/>
    </x:row>
    <x:row r="207">
      <x:c r="A207" s="46"/>
      <x:c r="B207" s="46"/>
      <x:c r="C207" s="46"/>
      <x:c r="D207" s="46"/>
      <x:c r="E207" s="46"/>
      <x:c r="F207" s="46"/>
      <x:c r="G207" s="46"/>
    </x:row>
    <x:row r="208">
      <x:c r="A208" s="46"/>
      <x:c r="B208" s="46"/>
      <x:c r="C208" s="46"/>
      <x:c r="D208" s="46"/>
      <x:c r="E208" s="46"/>
      <x:c r="F208" s="46"/>
      <x:c r="G208" s="46"/>
    </x:row>
    <x:row r="209">
      <x:c r="A209" s="46"/>
      <x:c r="B209" s="46"/>
      <x:c r="C209" s="46"/>
      <x:c r="D209" s="46"/>
      <x:c r="E209" s="46"/>
      <x:c r="F209" s="46"/>
      <x:c r="G209" s="46"/>
    </x:row>
    <x:row r="210">
      <x:c r="A210" s="46"/>
      <x:c r="B210" s="46"/>
      <x:c r="C210" s="46"/>
      <x:c r="D210" s="46"/>
      <x:c r="E210" s="46"/>
      <x:c r="F210" s="46"/>
      <x:c r="G210" s="46"/>
    </x:row>
    <x:row r="211">
      <x:c r="A211" s="46"/>
      <x:c r="B211" s="46"/>
      <x:c r="C211" s="46"/>
      <x:c r="D211" s="46"/>
      <x:c r="E211" s="46"/>
      <x:c r="F211" s="46"/>
      <x:c r="G211" s="46"/>
    </x:row>
    <x:row r="212">
      <x:c r="A212" s="46"/>
      <x:c r="B212" s="46"/>
      <x:c r="C212" s="46"/>
      <x:c r="D212" s="46"/>
      <x:c r="E212" s="46"/>
      <x:c r="F212" s="46"/>
      <x:c r="G212" s="46"/>
    </x:row>
    <x:row r="213">
      <x:c r="A213" s="46"/>
      <x:c r="B213" s="46"/>
      <x:c r="C213" s="46"/>
      <x:c r="D213" s="46"/>
      <x:c r="E213" s="46"/>
      <x:c r="F213" s="46"/>
      <x:c r="G213" s="46"/>
    </x:row>
    <x:row r="214">
      <x:c r="A214" s="46"/>
      <x:c r="B214" s="46"/>
      <x:c r="C214" s="46"/>
      <x:c r="D214" s="46"/>
      <x:c r="E214" s="46"/>
      <x:c r="F214" s="46"/>
      <x:c r="G214" s="46"/>
    </x:row>
    <x:row r="215">
      <x:c r="A215" s="46"/>
      <x:c r="B215" s="46"/>
      <x:c r="C215" s="46"/>
      <x:c r="D215" s="46"/>
      <x:c r="E215" s="46"/>
      <x:c r="F215" s="46"/>
      <x:c r="G215" s="46"/>
    </x:row>
    <x:row r="216">
      <x:c r="A216" s="46"/>
      <x:c r="B216" s="46"/>
      <x:c r="C216" s="46"/>
      <x:c r="D216" s="46"/>
      <x:c r="E216" s="46"/>
      <x:c r="F216" s="46"/>
      <x:c r="G216" s="46"/>
    </x:row>
    <x:row r="217">
      <x:c r="A217" s="46"/>
      <x:c r="B217" s="46"/>
      <x:c r="C217" s="46"/>
      <x:c r="D217" s="46"/>
      <x:c r="E217" s="46"/>
      <x:c r="F217" s="46"/>
      <x:c r="G217" s="46"/>
    </x:row>
    <x:row r="218">
      <x:c r="A218" s="46"/>
      <x:c r="B218" s="46"/>
      <x:c r="C218" s="46"/>
      <x:c r="D218" s="46"/>
      <x:c r="E218" s="46"/>
      <x:c r="F218" s="46"/>
      <x:c r="G218" s="46"/>
    </x:row>
    <x:row r="219">
      <x:c r="A219" s="46"/>
      <x:c r="B219" s="46"/>
      <x:c r="C219" s="46"/>
      <x:c r="D219" s="46"/>
      <x:c r="E219" s="46"/>
      <x:c r="F219" s="46"/>
      <x:c r="G219" s="46"/>
    </x:row>
    <x:row r="220">
      <x:c r="A220" s="46"/>
      <x:c r="B220" s="46"/>
      <x:c r="C220" s="46"/>
      <x:c r="D220" s="46"/>
      <x:c r="E220" s="46"/>
      <x:c r="F220" s="46"/>
      <x:c r="G220" s="46"/>
    </x:row>
    <x:row r="221">
      <x:c r="A221" s="46"/>
      <x:c r="B221" s="46"/>
      <x:c r="C221" s="46"/>
      <x:c r="D221" s="46"/>
      <x:c r="E221" s="46"/>
      <x:c r="F221" s="46"/>
      <x:c r="G221" s="46"/>
    </x:row>
    <x:row r="222">
      <x:c r="A222" s="46"/>
      <x:c r="B222" s="46"/>
      <x:c r="C222" s="46"/>
      <x:c r="D222" s="46"/>
      <x:c r="E222" s="46"/>
      <x:c r="F222" s="46"/>
      <x:c r="G222" s="46"/>
    </x:row>
    <x:row r="223">
      <x:c r="A223" s="46"/>
      <x:c r="B223" s="46"/>
      <x:c r="C223" s="46"/>
      <x:c r="D223" s="46"/>
      <x:c r="E223" s="46"/>
      <x:c r="F223" s="46"/>
      <x:c r="G223" s="46"/>
    </x:row>
    <x:row r="224">
      <x:c r="A224" s="46"/>
      <x:c r="B224" s="46"/>
      <x:c r="C224" s="46"/>
      <x:c r="D224" s="46"/>
      <x:c r="E224" s="46"/>
      <x:c r="F224" s="46"/>
      <x:c r="G224" s="46"/>
    </x:row>
    <x:row r="225">
      <x:c r="A225" s="46"/>
      <x:c r="B225" s="46"/>
      <x:c r="C225" s="46"/>
      <x:c r="D225" s="46"/>
      <x:c r="E225" s="46"/>
      <x:c r="F225" s="46"/>
      <x:c r="G225" s="46"/>
    </x:row>
    <x:row r="226">
      <x:c r="A226" s="46"/>
      <x:c r="B226" s="46"/>
      <x:c r="C226" s="46"/>
      <x:c r="D226" s="46"/>
      <x:c r="E226" s="46"/>
      <x:c r="F226" s="46"/>
      <x:c r="G226" s="46"/>
    </x:row>
    <x:row r="227">
      <x:c r="A227" s="46"/>
      <x:c r="B227" s="46"/>
      <x:c r="C227" s="46"/>
      <x:c r="D227" s="46"/>
      <x:c r="E227" s="46"/>
      <x:c r="F227" s="46"/>
      <x:c r="G227" s="46"/>
    </x:row>
    <x:row r="228">
      <x:c r="A228" s="46"/>
      <x:c r="B228" s="46"/>
      <x:c r="C228" s="46"/>
      <x:c r="D228" s="46"/>
      <x:c r="E228" s="46"/>
      <x:c r="F228" s="46"/>
      <x:c r="G228" s="46"/>
    </x:row>
    <x:row r="229">
      <x:c r="A229" s="46"/>
      <x:c r="B229" s="46"/>
      <x:c r="C229" s="46"/>
      <x:c r="D229" s="46"/>
      <x:c r="E229" s="46"/>
      <x:c r="F229" s="46"/>
      <x:c r="G229" s="46"/>
    </x:row>
    <x:row r="230">
      <x:c r="A230" s="46"/>
      <x:c r="B230" s="46"/>
      <x:c r="C230" s="46"/>
      <x:c r="D230" s="46"/>
      <x:c r="E230" s="46"/>
      <x:c r="F230" s="46"/>
      <x:c r="G230" s="46"/>
    </x:row>
    <x:row r="231">
      <x:c r="A231" s="46"/>
      <x:c r="B231" s="46"/>
      <x:c r="C231" s="46"/>
      <x:c r="D231" s="46"/>
      <x:c r="E231" s="46"/>
      <x:c r="F231" s="46"/>
      <x:c r="G231" s="46"/>
    </x:row>
    <x:row r="232">
      <x:c r="A232" s="46"/>
      <x:c r="B232" s="46"/>
      <x:c r="C232" s="46"/>
      <x:c r="D232" s="46"/>
      <x:c r="E232" s="46"/>
      <x:c r="F232" s="46"/>
      <x:c r="G232" s="46"/>
    </x:row>
    <x:row r="233">
      <x:c r="A233" s="46"/>
      <x:c r="B233" s="46"/>
      <x:c r="C233" s="46"/>
      <x:c r="D233" s="46"/>
      <x:c r="E233" s="46"/>
      <x:c r="F233" s="46"/>
      <x:c r="G233" s="46"/>
    </x:row>
    <x:row r="234">
      <x:c r="A234" s="46"/>
      <x:c r="B234" s="46"/>
      <x:c r="C234" s="46"/>
      <x:c r="D234" s="46"/>
      <x:c r="E234" s="46"/>
      <x:c r="F234" s="46"/>
      <x:c r="G234" s="46"/>
    </x:row>
    <x:row r="235">
      <x:c r="A235" s="46"/>
      <x:c r="B235" s="46"/>
      <x:c r="C235" s="46"/>
      <x:c r="D235" s="46"/>
      <x:c r="E235" s="46"/>
      <x:c r="F235" s="46"/>
      <x:c r="G235" s="46"/>
    </x:row>
    <x:row r="236">
      <x:c r="A236" s="46"/>
      <x:c r="B236" s="46"/>
      <x:c r="C236" s="46"/>
      <x:c r="D236" s="46"/>
      <x:c r="E236" s="46"/>
      <x:c r="F236" s="46"/>
      <x:c r="G236" s="46"/>
    </x:row>
    <x:row r="237">
      <x:c r="A237" s="46"/>
      <x:c r="B237" s="46"/>
      <x:c r="C237" s="46"/>
      <x:c r="D237" s="46"/>
      <x:c r="E237" s="46"/>
      <x:c r="F237" s="46"/>
      <x:c r="G237" s="46"/>
    </x:row>
    <x:row r="238">
      <x:c r="A238" s="46"/>
      <x:c r="B238" s="46"/>
      <x:c r="C238" s="46"/>
      <x:c r="D238" s="46"/>
      <x:c r="E238" s="46"/>
      <x:c r="F238" s="46"/>
      <x:c r="G238" s="46"/>
    </x:row>
    <x:row r="239">
      <x:c r="A239" s="46"/>
      <x:c r="B239" s="46"/>
      <x:c r="C239" s="46"/>
      <x:c r="D239" s="46"/>
      <x:c r="E239" s="46"/>
      <x:c r="F239" s="46"/>
      <x:c r="G239" s="46"/>
    </x:row>
    <x:row r="240">
      <x:c r="A240" s="46"/>
      <x:c r="B240" s="46"/>
      <x:c r="C240" s="46"/>
      <x:c r="D240" s="46"/>
      <x:c r="E240" s="46"/>
      <x:c r="F240" s="46"/>
      <x:c r="G240" s="46"/>
    </x:row>
    <x:row r="241">
      <x:c r="A241" s="46"/>
      <x:c r="B241" s="46"/>
      <x:c r="C241" s="46"/>
      <x:c r="D241" s="46"/>
      <x:c r="E241" s="46"/>
      <x:c r="F241" s="46"/>
      <x:c r="G241" s="46"/>
    </x:row>
    <x:row r="242">
      <x:c r="A242" s="46"/>
      <x:c r="B242" s="46"/>
      <x:c r="C242" s="46"/>
      <x:c r="D242" s="46"/>
      <x:c r="E242" s="46"/>
      <x:c r="F242" s="46"/>
      <x:c r="G242" s="46"/>
    </x:row>
    <x:row r="243">
      <x:c r="A243" s="46"/>
      <x:c r="B243" s="46"/>
      <x:c r="C243" s="46"/>
      <x:c r="D243" s="46"/>
      <x:c r="E243" s="46"/>
      <x:c r="F243" s="46"/>
      <x:c r="G243" s="46"/>
    </x:row>
    <x:row r="244">
      <x:c r="A244" s="46"/>
      <x:c r="B244" s="46"/>
      <x:c r="C244" s="46"/>
      <x:c r="D244" s="46"/>
      <x:c r="E244" s="46"/>
      <x:c r="F244" s="46"/>
      <x:c r="G244" s="46"/>
    </x:row>
    <x:row r="245">
      <x:c r="A245" s="46"/>
      <x:c r="B245" s="46"/>
      <x:c r="C245" s="46"/>
      <x:c r="D245" s="46"/>
      <x:c r="E245" s="46"/>
      <x:c r="F245" s="46"/>
      <x:c r="G245" s="46"/>
    </x:row>
    <x:row r="246">
      <x:c r="A246" s="46"/>
      <x:c r="B246" s="46"/>
      <x:c r="C246" s="46"/>
      <x:c r="D246" s="46"/>
      <x:c r="E246" s="46"/>
      <x:c r="F246" s="46"/>
      <x:c r="G246" s="46"/>
    </x:row>
    <x:row r="247">
      <x:c r="A247" s="46"/>
      <x:c r="B247" s="46"/>
      <x:c r="C247" s="46"/>
      <x:c r="D247" s="46"/>
      <x:c r="E247" s="46"/>
      <x:c r="F247" s="46"/>
      <x:c r="G247" s="46"/>
    </x:row>
    <x:row r="248">
      <x:c r="A248" s="46"/>
      <x:c r="B248" s="46"/>
      <x:c r="C248" s="46"/>
      <x:c r="D248" s="46"/>
      <x:c r="E248" s="46"/>
      <x:c r="F248" s="46"/>
      <x:c r="G248" s="46"/>
    </x:row>
    <x:row r="249">
      <x:c r="A249" s="46"/>
      <x:c r="B249" s="46"/>
      <x:c r="C249" s="46"/>
      <x:c r="D249" s="46"/>
      <x:c r="E249" s="46"/>
      <x:c r="F249" s="46"/>
      <x:c r="G249" s="46"/>
    </x:row>
    <x:row r="250">
      <x:c r="A250" s="46"/>
      <x:c r="B250" s="46"/>
      <x:c r="C250" s="46"/>
      <x:c r="D250" s="46"/>
      <x:c r="E250" s="46"/>
      <x:c r="F250" s="46"/>
      <x:c r="G250" s="46"/>
    </x:row>
    <x:row r="251">
      <x:c r="A251" s="46"/>
      <x:c r="B251" s="46"/>
      <x:c r="C251" s="46"/>
      <x:c r="D251" s="46"/>
      <x:c r="E251" s="46"/>
      <x:c r="F251" s="46"/>
      <x:c r="G251" s="46"/>
    </x:row>
    <x:row r="252">
      <x:c r="A252" s="46"/>
      <x:c r="B252" s="46"/>
      <x:c r="C252" s="46"/>
      <x:c r="D252" s="46"/>
      <x:c r="E252" s="46"/>
      <x:c r="F252" s="46"/>
      <x:c r="G252" s="46"/>
    </x:row>
    <x:row r="253">
      <x:c r="A253" s="46"/>
      <x:c r="B253" s="46"/>
      <x:c r="C253" s="46"/>
      <x:c r="D253" s="46"/>
      <x:c r="E253" s="46"/>
      <x:c r="F253" s="46"/>
      <x:c r="G253" s="46"/>
    </x:row>
    <x:row r="254">
      <x:c r="A254" s="46"/>
      <x:c r="B254" s="46"/>
      <x:c r="C254" s="46"/>
      <x:c r="D254" s="46"/>
      <x:c r="E254" s="46"/>
      <x:c r="F254" s="46"/>
      <x:c r="G254" s="46"/>
    </x:row>
    <x:row r="255">
      <x:c r="A255" s="46"/>
      <x:c r="B255" s="46"/>
      <x:c r="C255" s="46"/>
      <x:c r="D255" s="46"/>
      <x:c r="E255" s="46"/>
      <x:c r="F255" s="46"/>
      <x:c r="G255" s="46"/>
    </x:row>
    <x:row r="256">
      <x:c r="A256" s="46"/>
      <x:c r="B256" s="46"/>
      <x:c r="C256" s="46"/>
      <x:c r="D256" s="46"/>
      <x:c r="E256" s="46"/>
      <x:c r="F256" s="46"/>
      <x:c r="G256" s="46"/>
    </x:row>
    <x:row r="257">
      <x:c r="A257" s="46"/>
      <x:c r="B257" s="46"/>
      <x:c r="C257" s="46"/>
      <x:c r="D257" s="46"/>
      <x:c r="E257" s="46"/>
      <x:c r="F257" s="46"/>
      <x:c r="G257" s="46"/>
    </x:row>
    <x:row r="258">
      <x:c r="A258" s="46"/>
      <x:c r="B258" s="46"/>
      <x:c r="C258" s="46"/>
      <x:c r="D258" s="46"/>
      <x:c r="E258" s="46"/>
      <x:c r="F258" s="46"/>
      <x:c r="G258" s="46"/>
    </x:row>
    <x:row r="259">
      <x:c r="A259" s="46"/>
      <x:c r="B259" s="46"/>
      <x:c r="C259" s="46"/>
      <x:c r="D259" s="46"/>
      <x:c r="E259" s="46"/>
      <x:c r="F259" s="46"/>
      <x:c r="G259" s="46"/>
    </x:row>
    <x:row r="260">
      <x:c r="A260" s="46"/>
      <x:c r="B260" s="46"/>
      <x:c r="C260" s="46"/>
      <x:c r="D260" s="46"/>
      <x:c r="E260" s="46"/>
      <x:c r="F260" s="46"/>
      <x:c r="G260" s="46"/>
    </x:row>
    <x:row r="261">
      <x:c r="A261" s="46"/>
      <x:c r="B261" s="46"/>
      <x:c r="C261" s="46"/>
      <x:c r="D261" s="46"/>
      <x:c r="E261" s="46"/>
      <x:c r="F261" s="46"/>
      <x:c r="G261" s="46"/>
    </x:row>
    <x:row r="262">
      <x:c r="A262" s="46"/>
      <x:c r="B262" s="46"/>
      <x:c r="C262" s="46"/>
      <x:c r="D262" s="46"/>
      <x:c r="E262" s="46"/>
      <x:c r="F262" s="46"/>
      <x:c r="G262" s="46"/>
    </x:row>
    <x:row r="263">
      <x:c r="A263" s="46"/>
      <x:c r="B263" s="46"/>
      <x:c r="C263" s="46"/>
      <x:c r="D263" s="46"/>
      <x:c r="E263" s="46"/>
      <x:c r="F263" s="46"/>
      <x:c r="G263" s="46"/>
    </x:row>
    <x:row r="264">
      <x:c r="A264" s="46"/>
      <x:c r="B264" s="46"/>
      <x:c r="C264" s="46"/>
      <x:c r="D264" s="46"/>
      <x:c r="E264" s="46"/>
      <x:c r="F264" s="46"/>
      <x:c r="G264" s="46"/>
    </x:row>
    <x:row r="265">
      <x:c r="A265" s="46"/>
      <x:c r="B265" s="46"/>
      <x:c r="C265" s="46"/>
      <x:c r="D265" s="46"/>
      <x:c r="E265" s="46"/>
      <x:c r="F265" s="46"/>
      <x:c r="G265" s="46"/>
    </x:row>
    <x:row r="266">
      <x:c r="A266" s="46"/>
      <x:c r="B266" s="46"/>
      <x:c r="C266" s="46"/>
      <x:c r="D266" s="46"/>
      <x:c r="E266" s="46"/>
      <x:c r="F266" s="46"/>
      <x:c r="G266" s="46"/>
    </x:row>
    <x:row r="267">
      <x:c r="A267" s="46"/>
      <x:c r="B267" s="46"/>
      <x:c r="C267" s="46"/>
      <x:c r="D267" s="46"/>
      <x:c r="E267" s="46"/>
      <x:c r="F267" s="46"/>
      <x:c r="G267" s="46"/>
    </x:row>
    <x:row r="268">
      <x:c r="A268" s="46"/>
      <x:c r="B268" s="46"/>
      <x:c r="C268" s="46"/>
      <x:c r="D268" s="46"/>
      <x:c r="E268" s="46"/>
      <x:c r="F268" s="46"/>
      <x:c r="G268" s="46"/>
    </x:row>
    <x:row r="269">
      <x:c r="A269" s="46"/>
      <x:c r="B269" s="46"/>
      <x:c r="C269" s="46"/>
      <x:c r="D269" s="46"/>
      <x:c r="E269" s="46"/>
      <x:c r="F269" s="46"/>
      <x:c r="G269" s="46"/>
    </x:row>
    <x:row r="270">
      <x:c r="A270" s="46"/>
      <x:c r="B270" s="46"/>
      <x:c r="C270" s="46"/>
      <x:c r="D270" s="46"/>
      <x:c r="E270" s="46"/>
      <x:c r="F270" s="46"/>
      <x:c r="G270" s="46"/>
    </x:row>
    <x:row r="271">
      <x:c r="A271" s="46"/>
      <x:c r="B271" s="46"/>
      <x:c r="C271" s="46"/>
      <x:c r="D271" s="46"/>
      <x:c r="E271" s="46"/>
      <x:c r="F271" s="46"/>
      <x:c r="G271" s="46"/>
    </x:row>
    <x:row r="272">
      <x:c r="A272" s="46"/>
      <x:c r="B272" s="46"/>
      <x:c r="C272" s="46"/>
      <x:c r="D272" s="46"/>
      <x:c r="E272" s="46"/>
      <x:c r="F272" s="46"/>
      <x:c r="G272" s="46"/>
    </x:row>
    <x:row r="273">
      <x:c r="A273" s="46"/>
      <x:c r="B273" s="46"/>
      <x:c r="C273" s="46"/>
      <x:c r="D273" s="46"/>
      <x:c r="E273" s="46"/>
      <x:c r="F273" s="46"/>
      <x:c r="G273" s="46"/>
    </x:row>
    <x:row r="274">
      <x:c r="A274" s="46"/>
      <x:c r="B274" s="46"/>
      <x:c r="C274" s="46"/>
      <x:c r="D274" s="46"/>
      <x:c r="E274" s="46"/>
      <x:c r="F274" s="46"/>
      <x:c r="G274" s="46"/>
    </x:row>
    <x:row r="275">
      <x:c r="A275" s="46"/>
      <x:c r="B275" s="46"/>
      <x:c r="C275" s="46"/>
      <x:c r="D275" s="46"/>
      <x:c r="E275" s="46"/>
      <x:c r="F275" s="46"/>
      <x:c r="G275" s="46"/>
    </x:row>
    <x:row r="276">
      <x:c r="A276" s="46"/>
      <x:c r="B276" s="46"/>
      <x:c r="C276" s="46"/>
      <x:c r="D276" s="46"/>
      <x:c r="E276" s="46"/>
      <x:c r="F276" s="46"/>
      <x:c r="G276" s="46"/>
    </x:row>
    <x:row r="277">
      <x:c r="A277" s="46"/>
      <x:c r="B277" s="46"/>
      <x:c r="C277" s="46"/>
      <x:c r="D277" s="46"/>
      <x:c r="E277" s="46"/>
      <x:c r="F277" s="46"/>
      <x:c r="G277" s="46"/>
    </x:row>
    <x:row r="278">
      <x:c r="A278" s="46"/>
      <x:c r="B278" s="46"/>
      <x:c r="C278" s="46"/>
      <x:c r="D278" s="46"/>
      <x:c r="E278" s="46"/>
      <x:c r="F278" s="46"/>
      <x:c r="G278" s="46"/>
    </x:row>
    <x:row r="279">
      <x:c r="A279" s="46"/>
      <x:c r="B279" s="46"/>
      <x:c r="C279" s="46"/>
      <x:c r="D279" s="46"/>
      <x:c r="E279" s="46"/>
      <x:c r="F279" s="46"/>
      <x:c r="G279" s="46"/>
    </x:row>
    <x:row r="280">
      <x:c r="A280" s="46"/>
      <x:c r="B280" s="46"/>
      <x:c r="C280" s="46"/>
      <x:c r="D280" s="46"/>
      <x:c r="E280" s="46"/>
      <x:c r="F280" s="46"/>
      <x:c r="G280" s="46"/>
    </x:row>
    <x:row r="281">
      <x:c r="A281" s="46"/>
      <x:c r="B281" s="46"/>
      <x:c r="C281" s="46"/>
      <x:c r="D281" s="46"/>
      <x:c r="E281" s="46"/>
      <x:c r="F281" s="46"/>
      <x:c r="G281" s="46"/>
    </x:row>
    <x:row r="282">
      <x:c r="A282" s="46"/>
      <x:c r="B282" s="46"/>
      <x:c r="C282" s="46"/>
      <x:c r="D282" s="46"/>
      <x:c r="E282" s="46"/>
      <x:c r="F282" s="46"/>
      <x:c r="G282" s="46"/>
    </x:row>
    <x:row r="283">
      <x:c r="A283" s="46"/>
      <x:c r="B283" s="46"/>
      <x:c r="C283" s="46"/>
      <x:c r="D283" s="46"/>
      <x:c r="E283" s="46"/>
      <x:c r="F283" s="46"/>
      <x:c r="G283" s="46"/>
    </x:row>
    <x:row r="284">
      <x:c r="A284" s="46"/>
      <x:c r="B284" s="46"/>
      <x:c r="C284" s="46"/>
      <x:c r="D284" s="46"/>
      <x:c r="E284" s="46"/>
      <x:c r="F284" s="46"/>
      <x:c r="G284" s="46"/>
    </x:row>
    <x:row r="285">
      <x:c r="A285" s="46"/>
      <x:c r="B285" s="46"/>
      <x:c r="C285" s="46"/>
      <x:c r="D285" s="46"/>
      <x:c r="E285" s="46"/>
      <x:c r="F285" s="46"/>
      <x:c r="G285" s="46"/>
    </x:row>
    <x:row r="286">
      <x:c r="A286" s="46"/>
      <x:c r="B286" s="46"/>
      <x:c r="C286" s="46"/>
      <x:c r="D286" s="46"/>
      <x:c r="E286" s="46"/>
      <x:c r="F286" s="46"/>
      <x:c r="G286" s="46"/>
    </x:row>
    <x:row r="287">
      <x:c r="A287" s="46"/>
      <x:c r="B287" s="46"/>
      <x:c r="C287" s="46"/>
      <x:c r="D287" s="46"/>
      <x:c r="E287" s="46"/>
      <x:c r="F287" s="46"/>
      <x:c r="G287" s="46"/>
    </x:row>
    <x:row r="288">
      <x:c r="A288" s="46"/>
      <x:c r="B288" s="46"/>
      <x:c r="C288" s="46"/>
      <x:c r="D288" s="46"/>
      <x:c r="E288" s="46"/>
      <x:c r="F288" s="46"/>
      <x:c r="G288" s="46"/>
    </x:row>
    <x:row r="289">
      <x:c r="A289" s="46"/>
      <x:c r="B289" s="46"/>
      <x:c r="C289" s="46"/>
      <x:c r="D289" s="46"/>
      <x:c r="E289" s="46"/>
      <x:c r="F289" s="46"/>
      <x:c r="G289" s="46"/>
    </x:row>
    <x:row r="290">
      <x:c r="A290" s="46"/>
      <x:c r="B290" s="46"/>
      <x:c r="C290" s="46"/>
      <x:c r="D290" s="46"/>
      <x:c r="E290" s="46"/>
      <x:c r="F290" s="46"/>
      <x:c r="G290" s="46"/>
    </x:row>
    <x:row r="291">
      <x:c r="A291" s="46"/>
      <x:c r="B291" s="46"/>
      <x:c r="C291" s="46"/>
      <x:c r="D291" s="46"/>
      <x:c r="E291" s="46"/>
      <x:c r="F291" s="46"/>
      <x:c r="G291" s="46"/>
    </x:row>
    <x:row r="292">
      <x:c r="A292" s="46"/>
      <x:c r="B292" s="46"/>
      <x:c r="C292" s="46"/>
      <x:c r="D292" s="46"/>
      <x:c r="E292" s="46"/>
      <x:c r="F292" s="46"/>
      <x:c r="G292" s="46"/>
    </x:row>
    <x:row r="293">
      <x:c r="A293" s="46"/>
      <x:c r="B293" s="46"/>
      <x:c r="C293" s="46"/>
      <x:c r="D293" s="46"/>
      <x:c r="E293" s="46"/>
      <x:c r="F293" s="46"/>
      <x:c r="G293" s="46"/>
    </x:row>
    <x:row r="294">
      <x:c r="A294" s="46"/>
      <x:c r="B294" s="46"/>
      <x:c r="C294" s="46"/>
      <x:c r="D294" s="46"/>
      <x:c r="E294" s="46"/>
      <x:c r="F294" s="46"/>
      <x:c r="G294" s="46"/>
    </x:row>
    <x:row r="295">
      <x:c r="A295" s="46"/>
      <x:c r="B295" s="46"/>
      <x:c r="C295" s="46"/>
      <x:c r="D295" s="46"/>
      <x:c r="E295" s="46"/>
      <x:c r="F295" s="46"/>
      <x:c r="G295" s="46"/>
    </x:row>
    <x:row r="296">
      <x:c r="A296" s="46"/>
      <x:c r="B296" s="46"/>
      <x:c r="C296" s="46"/>
      <x:c r="D296" s="46"/>
      <x:c r="E296" s="46"/>
      <x:c r="F296" s="46"/>
      <x:c r="G296" s="46"/>
    </x:row>
    <x:row r="297">
      <x:c r="A297" s="46"/>
      <x:c r="B297" s="46"/>
      <x:c r="C297" s="46"/>
      <x:c r="D297" s="46"/>
      <x:c r="E297" s="46"/>
      <x:c r="F297" s="46"/>
      <x:c r="G297" s="46"/>
    </x:row>
    <x:row r="298">
      <x:c r="A298" s="46"/>
      <x:c r="B298" s="46"/>
      <x:c r="C298" s="46"/>
      <x:c r="D298" s="46"/>
      <x:c r="E298" s="46"/>
      <x:c r="F298" s="46"/>
      <x:c r="G298" s="46"/>
    </x:row>
    <x:row r="299">
      <x:c r="A299" s="46"/>
      <x:c r="B299" s="46"/>
      <x:c r="C299" s="46"/>
      <x:c r="D299" s="46"/>
      <x:c r="E299" s="46"/>
      <x:c r="F299" s="46"/>
      <x:c r="G299" s="46"/>
    </x:row>
    <x:row r="300">
      <x:c r="A300" s="46"/>
      <x:c r="B300" s="46"/>
      <x:c r="C300" s="46"/>
      <x:c r="D300" s="46"/>
      <x:c r="E300" s="46"/>
      <x:c r="F300" s="46"/>
      <x:c r="G300" s="46"/>
    </x:row>
    <x:row r="301">
      <x:c r="A301" s="46"/>
      <x:c r="B301" s="46"/>
      <x:c r="C301" s="46"/>
      <x:c r="D301" s="46"/>
      <x:c r="E301" s="46"/>
      <x:c r="F301" s="46"/>
      <x:c r="G301" s="46"/>
    </x:row>
    <x:row r="302">
      <x:c r="A302" s="46"/>
      <x:c r="B302" s="46"/>
      <x:c r="C302" s="46"/>
      <x:c r="D302" s="46"/>
      <x:c r="E302" s="46"/>
      <x:c r="F302" s="46"/>
      <x:c r="G302" s="46"/>
    </x:row>
    <x:row r="303">
      <x:c r="A303" s="46"/>
      <x:c r="B303" s="46"/>
      <x:c r="C303" s="46"/>
      <x:c r="D303" s="46"/>
      <x:c r="E303" s="46"/>
      <x:c r="F303" s="46"/>
      <x:c r="G303" s="46"/>
    </x:row>
    <x:row r="304">
      <x:c r="A304" s="46"/>
      <x:c r="B304" s="46"/>
      <x:c r="C304" s="46"/>
      <x:c r="D304" s="46"/>
      <x:c r="E304" s="46"/>
      <x:c r="F304" s="46"/>
      <x:c r="G304" s="46"/>
    </x:row>
    <x:row r="305">
      <x:c r="A305" s="46"/>
      <x:c r="B305" s="46"/>
      <x:c r="C305" s="46"/>
      <x:c r="D305" s="46"/>
      <x:c r="E305" s="46"/>
      <x:c r="F305" s="46"/>
      <x:c r="G305" s="46"/>
    </x:row>
    <x:row r="306">
      <x:c r="A306" s="46"/>
      <x:c r="B306" s="46"/>
      <x:c r="C306" s="46"/>
      <x:c r="D306" s="46"/>
      <x:c r="E306" s="46"/>
      <x:c r="F306" s="46"/>
      <x:c r="G306" s="46"/>
    </x:row>
    <x:row r="307">
      <x:c r="A307" s="46"/>
      <x:c r="B307" s="46"/>
      <x:c r="C307" s="46"/>
      <x:c r="D307" s="46"/>
      <x:c r="E307" s="46"/>
      <x:c r="F307" s="46"/>
      <x:c r="G307" s="46"/>
    </x:row>
    <x:row r="308">
      <x:c r="A308" s="46"/>
      <x:c r="B308" s="46"/>
      <x:c r="C308" s="46"/>
      <x:c r="D308" s="46"/>
      <x:c r="E308" s="46"/>
      <x:c r="F308" s="46"/>
      <x:c r="G308" s="46"/>
    </x:row>
    <x:row r="309">
      <x:c r="A309" s="46"/>
      <x:c r="B309" s="46"/>
      <x:c r="C309" s="46"/>
      <x:c r="D309" s="46"/>
      <x:c r="E309" s="46"/>
      <x:c r="F309" s="46"/>
      <x:c r="G309" s="46"/>
    </x:row>
    <x:row r="310">
      <x:c r="A310" s="46"/>
      <x:c r="B310" s="46"/>
      <x:c r="C310" s="46"/>
      <x:c r="D310" s="46"/>
      <x:c r="E310" s="46"/>
      <x:c r="F310" s="46"/>
      <x:c r="G310" s="46"/>
    </x:row>
    <x:row r="311">
      <x:c r="A311" s="46"/>
      <x:c r="B311" s="46"/>
      <x:c r="C311" s="46"/>
      <x:c r="D311" s="46"/>
      <x:c r="E311" s="46"/>
      <x:c r="F311" s="46"/>
      <x:c r="G311" s="46"/>
    </x:row>
    <x:row r="312">
      <x:c r="A312" s="46"/>
      <x:c r="B312" s="46"/>
      <x:c r="C312" s="46"/>
      <x:c r="D312" s="46"/>
      <x:c r="E312" s="46"/>
      <x:c r="F312" s="46"/>
      <x:c r="G312" s="46"/>
    </x:row>
    <x:row r="313">
      <x:c r="A313" s="46"/>
      <x:c r="B313" s="46"/>
      <x:c r="C313" s="46"/>
      <x:c r="D313" s="46"/>
      <x:c r="E313" s="46"/>
      <x:c r="F313" s="46"/>
      <x:c r="G313" s="46"/>
    </x:row>
    <x:row r="314">
      <x:c r="A314" s="46"/>
      <x:c r="B314" s="46"/>
      <x:c r="C314" s="46"/>
      <x:c r="D314" s="46"/>
      <x:c r="E314" s="46"/>
      <x:c r="F314" s="46"/>
      <x:c r="G314" s="46"/>
    </x:row>
    <x:row r="315">
      <x:c r="A315" s="46"/>
      <x:c r="B315" s="46"/>
      <x:c r="C315" s="46"/>
      <x:c r="D315" s="46"/>
      <x:c r="E315" s="46"/>
      <x:c r="F315" s="46"/>
      <x:c r="G315" s="46"/>
    </x:row>
    <x:row r="316">
      <x:c r="A316" s="46"/>
      <x:c r="B316" s="46"/>
      <x:c r="C316" s="46"/>
      <x:c r="D316" s="46"/>
      <x:c r="E316" s="46"/>
      <x:c r="F316" s="46"/>
      <x:c r="G316" s="46"/>
    </x:row>
    <x:row r="317">
      <x:c r="A317" s="46"/>
      <x:c r="B317" s="46"/>
      <x:c r="C317" s="46"/>
      <x:c r="D317" s="46"/>
      <x:c r="E317" s="46"/>
      <x:c r="F317" s="46"/>
      <x:c r="G317" s="46"/>
    </x:row>
    <x:row r="318">
      <x:c r="A318" s="46"/>
      <x:c r="B318" s="46"/>
      <x:c r="C318" s="46"/>
      <x:c r="D318" s="46"/>
      <x:c r="E318" s="46"/>
      <x:c r="F318" s="46"/>
      <x:c r="G318" s="46"/>
    </x:row>
    <x:row r="319">
      <x:c r="A319" s="46"/>
      <x:c r="B319" s="46"/>
      <x:c r="C319" s="46"/>
      <x:c r="D319" s="46"/>
      <x:c r="E319" s="46"/>
      <x:c r="F319" s="46"/>
      <x:c r="G319" s="46"/>
    </x:row>
    <x:row r="320">
      <x:c r="A320" s="46"/>
      <x:c r="B320" s="46"/>
      <x:c r="C320" s="46"/>
      <x:c r="D320" s="46"/>
      <x:c r="E320" s="46"/>
      <x:c r="F320" s="46"/>
      <x:c r="G320" s="46"/>
    </x:row>
    <x:row r="321">
      <x:c r="A321" s="46"/>
      <x:c r="B321" s="46"/>
      <x:c r="C321" s="46"/>
      <x:c r="D321" s="46"/>
      <x:c r="E321" s="46"/>
      <x:c r="F321" s="46"/>
      <x:c r="G321" s="46"/>
    </x:row>
    <x:row r="322">
      <x:c r="A322" s="46"/>
      <x:c r="B322" s="46"/>
      <x:c r="C322" s="46"/>
      <x:c r="D322" s="46"/>
      <x:c r="E322" s="46"/>
      <x:c r="F322" s="46"/>
      <x:c r="G322" s="46"/>
    </x:row>
    <x:row r="323">
      <x:c r="A323" s="46"/>
      <x:c r="B323" s="46"/>
      <x:c r="C323" s="46"/>
      <x:c r="D323" s="46"/>
      <x:c r="E323" s="46"/>
      <x:c r="F323" s="46"/>
      <x:c r="G323" s="46"/>
    </x:row>
    <x:row r="324">
      <x:c r="A324" s="46"/>
      <x:c r="B324" s="46"/>
      <x:c r="C324" s="46"/>
      <x:c r="D324" s="46"/>
      <x:c r="E324" s="46"/>
      <x:c r="F324" s="46"/>
      <x:c r="G324" s="46"/>
    </x:row>
    <x:row r="325">
      <x:c r="A325" s="46"/>
      <x:c r="B325" s="46"/>
      <x:c r="C325" s="46"/>
      <x:c r="D325" s="46"/>
      <x:c r="E325" s="46"/>
      <x:c r="F325" s="46"/>
      <x:c r="G325" s="46"/>
    </x:row>
    <x:row r="326">
      <x:c r="A326" s="46"/>
      <x:c r="B326" s="46"/>
      <x:c r="C326" s="46"/>
      <x:c r="D326" s="46"/>
      <x:c r="E326" s="46"/>
      <x:c r="F326" s="46"/>
      <x:c r="G326" s="46"/>
    </x:row>
    <x:row r="327">
      <x:c r="A327" s="46"/>
      <x:c r="B327" s="46"/>
      <x:c r="C327" s="46"/>
      <x:c r="D327" s="46"/>
      <x:c r="E327" s="46"/>
      <x:c r="F327" s="46"/>
      <x:c r="G327" s="46"/>
    </x:row>
    <x:row r="328">
      <x:c r="A328" s="46"/>
      <x:c r="B328" s="46"/>
      <x:c r="C328" s="46"/>
      <x:c r="D328" s="46"/>
      <x:c r="E328" s="46"/>
      <x:c r="F328" s="46"/>
      <x:c r="G328" s="46"/>
    </x:row>
    <x:row r="329">
      <x:c r="A329" s="46"/>
      <x:c r="B329" s="46"/>
      <x:c r="C329" s="46"/>
      <x:c r="D329" s="46"/>
      <x:c r="E329" s="46"/>
      <x:c r="F329" s="46"/>
      <x:c r="G329" s="46"/>
    </x:row>
    <x:row r="330">
      <x:c r="A330" s="46"/>
      <x:c r="B330" s="46"/>
      <x:c r="C330" s="46"/>
      <x:c r="D330" s="46"/>
      <x:c r="E330" s="46"/>
      <x:c r="F330" s="46"/>
      <x:c r="G330" s="46"/>
    </x:row>
    <x:row r="331">
      <x:c r="A331" s="46"/>
      <x:c r="B331" s="46"/>
      <x:c r="C331" s="46"/>
      <x:c r="D331" s="46"/>
      <x:c r="E331" s="46"/>
      <x:c r="F331" s="46"/>
      <x:c r="G331" s="46"/>
    </x:row>
    <x:row r="332">
      <x:c r="A332" s="46"/>
      <x:c r="B332" s="46"/>
      <x:c r="C332" s="46"/>
      <x:c r="D332" s="46"/>
      <x:c r="E332" s="46"/>
      <x:c r="F332" s="46"/>
      <x:c r="G332" s="46"/>
    </x:row>
    <x:row r="333">
      <x:c r="A333" s="46"/>
      <x:c r="B333" s="46"/>
      <x:c r="C333" s="46"/>
      <x:c r="D333" s="46"/>
      <x:c r="E333" s="46"/>
      <x:c r="F333" s="46"/>
      <x:c r="G333" s="46"/>
    </x:row>
    <x:row r="334">
      <x:c r="A334" s="46"/>
      <x:c r="B334" s="46"/>
      <x:c r="C334" s="46"/>
      <x:c r="D334" s="46"/>
      <x:c r="E334" s="46"/>
      <x:c r="F334" s="46"/>
      <x:c r="G334" s="46"/>
    </x:row>
    <x:row r="335">
      <x:c r="A335" s="46"/>
      <x:c r="B335" s="46"/>
      <x:c r="C335" s="46"/>
      <x:c r="D335" s="46"/>
      <x:c r="E335" s="46"/>
      <x:c r="F335" s="46"/>
      <x:c r="G335" s="46"/>
    </x:row>
    <x:row r="336">
      <x:c r="A336" s="46"/>
      <x:c r="B336" s="46"/>
      <x:c r="C336" s="46"/>
      <x:c r="D336" s="46"/>
      <x:c r="E336" s="46"/>
      <x:c r="F336" s="46"/>
      <x:c r="G336" s="46"/>
    </x:row>
    <x:row r="337">
      <x:c r="A337" s="46"/>
      <x:c r="B337" s="46"/>
      <x:c r="C337" s="46"/>
      <x:c r="D337" s="46"/>
      <x:c r="E337" s="46"/>
      <x:c r="F337" s="46"/>
      <x:c r="G337" s="46"/>
    </x:row>
    <x:row r="338">
      <x:c r="A338" s="46"/>
      <x:c r="B338" s="46"/>
      <x:c r="C338" s="46"/>
      <x:c r="D338" s="46"/>
      <x:c r="E338" s="46"/>
      <x:c r="F338" s="46"/>
      <x:c r="G338" s="46"/>
    </x:row>
    <x:row r="339">
      <x:c r="A339" s="46"/>
      <x:c r="B339" s="46"/>
      <x:c r="C339" s="46"/>
      <x:c r="D339" s="46"/>
      <x:c r="E339" s="46"/>
      <x:c r="F339" s="46"/>
      <x:c r="G339" s="46"/>
    </x:row>
    <x:row r="340">
      <x:c r="A340" s="46"/>
      <x:c r="B340" s="46"/>
      <x:c r="C340" s="46"/>
      <x:c r="D340" s="46"/>
      <x:c r="E340" s="46"/>
      <x:c r="F340" s="46"/>
      <x:c r="G340" s="46"/>
    </x:row>
    <x:row r="341">
      <x:c r="A341" s="46"/>
      <x:c r="B341" s="46"/>
      <x:c r="C341" s="46"/>
      <x:c r="D341" s="46"/>
      <x:c r="E341" s="46"/>
      <x:c r="F341" s="46"/>
      <x:c r="G341" s="46"/>
    </x:row>
    <x:row r="342">
      <x:c r="A342" s="46"/>
      <x:c r="B342" s="46"/>
      <x:c r="C342" s="46"/>
      <x:c r="D342" s="46"/>
      <x:c r="E342" s="46"/>
      <x:c r="F342" s="46"/>
      <x:c r="G342" s="46"/>
    </x:row>
    <x:row r="343">
      <x:c r="A343" s="46"/>
      <x:c r="B343" s="46"/>
      <x:c r="C343" s="46"/>
      <x:c r="D343" s="46"/>
      <x:c r="E343" s="46"/>
      <x:c r="F343" s="46"/>
      <x:c r="G343" s="46"/>
    </x:row>
    <x:row r="344">
      <x:c r="A344" s="46"/>
      <x:c r="B344" s="46"/>
      <x:c r="C344" s="46"/>
      <x:c r="D344" s="46"/>
      <x:c r="E344" s="46"/>
      <x:c r="F344" s="46"/>
      <x:c r="G344" s="46"/>
    </x:row>
    <x:row r="345">
      <x:c r="A345" s="46"/>
      <x:c r="B345" s="46"/>
      <x:c r="C345" s="46"/>
      <x:c r="D345" s="46"/>
      <x:c r="E345" s="46"/>
      <x:c r="F345" s="46"/>
      <x:c r="G345" s="46"/>
    </x:row>
    <x:row r="346">
      <x:c r="A346" s="46"/>
      <x:c r="B346" s="46"/>
      <x:c r="C346" s="46"/>
      <x:c r="D346" s="46"/>
      <x:c r="E346" s="46"/>
      <x:c r="F346" s="46"/>
      <x:c r="G346" s="46"/>
    </x:row>
    <x:row r="347">
      <x:c r="A347" s="46"/>
      <x:c r="B347" s="46"/>
      <x:c r="C347" s="46"/>
      <x:c r="D347" s="46"/>
      <x:c r="E347" s="46"/>
      <x:c r="F347" s="46"/>
      <x:c r="G347" s="46"/>
    </x:row>
    <x:row r="348">
      <x:c r="A348" s="46"/>
      <x:c r="B348" s="46"/>
      <x:c r="C348" s="46"/>
      <x:c r="D348" s="46"/>
      <x:c r="E348" s="46"/>
      <x:c r="F348" s="46"/>
      <x:c r="G348" s="46"/>
    </x:row>
    <x:row r="349">
      <x:c r="A349" s="46"/>
      <x:c r="B349" s="46"/>
      <x:c r="C349" s="46"/>
      <x:c r="D349" s="46"/>
      <x:c r="E349" s="46"/>
      <x:c r="F349" s="46"/>
      <x:c r="G349" s="46"/>
    </x:row>
    <x:row r="350">
      <x:c r="A350" s="46"/>
      <x:c r="B350" s="46"/>
      <x:c r="C350" s="46"/>
      <x:c r="D350" s="46"/>
      <x:c r="E350" s="46"/>
      <x:c r="F350" s="46"/>
      <x:c r="G350" s="46"/>
    </x:row>
    <x:row r="351">
      <x:c r="A351" s="46"/>
      <x:c r="B351" s="46"/>
      <x:c r="C351" s="46"/>
      <x:c r="D351" s="46"/>
      <x:c r="E351" s="46"/>
      <x:c r="F351" s="46"/>
      <x:c r="G351" s="46"/>
    </x:row>
    <x:row r="352">
      <x:c r="A352" s="46"/>
      <x:c r="B352" s="46"/>
      <x:c r="C352" s="46"/>
      <x:c r="D352" s="46"/>
      <x:c r="E352" s="46"/>
      <x:c r="F352" s="46"/>
      <x:c r="G352" s="46"/>
    </x:row>
    <x:row r="353">
      <x:c r="A353" s="46"/>
      <x:c r="B353" s="46"/>
      <x:c r="C353" s="46"/>
      <x:c r="D353" s="46"/>
      <x:c r="E353" s="46"/>
      <x:c r="F353" s="46"/>
      <x:c r="G353" s="46"/>
    </x:row>
    <x:row r="354">
      <x:c r="A354" s="46"/>
      <x:c r="B354" s="46"/>
      <x:c r="C354" s="46"/>
      <x:c r="D354" s="46"/>
      <x:c r="E354" s="46"/>
      <x:c r="F354" s="46"/>
      <x:c r="G354" s="46"/>
    </x:row>
    <x:row r="355">
      <x:c r="A355" s="46"/>
      <x:c r="B355" s="46"/>
      <x:c r="C355" s="46"/>
      <x:c r="D355" s="46"/>
      <x:c r="E355" s="46"/>
      <x:c r="F355" s="46"/>
      <x:c r="G355" s="46"/>
    </x:row>
    <x:row r="356">
      <x:c r="A356" s="46"/>
      <x:c r="B356" s="46"/>
      <x:c r="C356" s="46"/>
      <x:c r="D356" s="46"/>
      <x:c r="E356" s="46"/>
      <x:c r="F356" s="46"/>
      <x:c r="G356" s="46"/>
    </x:row>
    <x:row r="357">
      <x:c r="A357" s="46"/>
      <x:c r="B357" s="46"/>
      <x:c r="C357" s="46"/>
      <x:c r="D357" s="46"/>
      <x:c r="E357" s="46"/>
      <x:c r="F357" s="46"/>
      <x:c r="G357" s="46"/>
    </x:row>
    <x:row r="358">
      <x:c r="A358" s="46"/>
      <x:c r="B358" s="46"/>
      <x:c r="C358" s="46"/>
      <x:c r="D358" s="46"/>
      <x:c r="E358" s="46"/>
      <x:c r="F358" s="46"/>
      <x:c r="G358" s="46"/>
    </x:row>
    <x:row r="359">
      <x:c r="A359" s="46"/>
      <x:c r="B359" s="46"/>
      <x:c r="C359" s="46"/>
      <x:c r="D359" s="46"/>
      <x:c r="E359" s="46"/>
      <x:c r="F359" s="46"/>
      <x:c r="G359" s="46"/>
    </x:row>
    <x:row r="360">
      <x:c r="A360" s="46"/>
      <x:c r="B360" s="46"/>
      <x:c r="C360" s="46"/>
      <x:c r="D360" s="46"/>
      <x:c r="E360" s="46"/>
      <x:c r="F360" s="46"/>
      <x:c r="G360" s="46"/>
    </x:row>
    <x:row r="361">
      <x:c r="A361" s="46"/>
      <x:c r="B361" s="46"/>
      <x:c r="C361" s="46"/>
      <x:c r="D361" s="46"/>
      <x:c r="E361" s="46"/>
      <x:c r="F361" s="46"/>
      <x:c r="G361" s="46"/>
    </x:row>
    <x:row r="362">
      <x:c r="A362" s="46"/>
      <x:c r="B362" s="46"/>
      <x:c r="C362" s="46"/>
      <x:c r="D362" s="46"/>
      <x:c r="E362" s="46"/>
      <x:c r="F362" s="46"/>
      <x:c r="G362" s="46"/>
    </x:row>
    <x:row r="363">
      <x:c r="A363" s="46"/>
      <x:c r="B363" s="46"/>
      <x:c r="C363" s="46"/>
      <x:c r="D363" s="46"/>
      <x:c r="E363" s="46"/>
      <x:c r="F363" s="46"/>
      <x:c r="G363" s="46"/>
    </x:row>
    <x:row r="364">
      <x:c r="A364" s="46"/>
      <x:c r="B364" s="46"/>
      <x:c r="C364" s="46"/>
      <x:c r="D364" s="46"/>
      <x:c r="E364" s="46"/>
      <x:c r="F364" s="46"/>
      <x:c r="G364" s="46"/>
    </x:row>
    <x:row r="365">
      <x:c r="A365" s="46"/>
      <x:c r="B365" s="46"/>
      <x:c r="C365" s="46"/>
      <x:c r="D365" s="46"/>
      <x:c r="E365" s="46"/>
      <x:c r="F365" s="46"/>
      <x:c r="G365" s="46"/>
    </x:row>
    <x:row r="366">
      <x:c r="A366" s="46"/>
      <x:c r="B366" s="46"/>
      <x:c r="C366" s="46"/>
      <x:c r="D366" s="46"/>
      <x:c r="E366" s="46"/>
      <x:c r="F366" s="46"/>
      <x:c r="G366" s="46"/>
    </x:row>
    <x:row r="367">
      <x:c r="A367" s="46"/>
      <x:c r="B367" s="46"/>
      <x:c r="C367" s="46"/>
      <x:c r="D367" s="46"/>
      <x:c r="E367" s="46"/>
      <x:c r="F367" s="46"/>
      <x:c r="G367" s="46"/>
    </x:row>
    <x:row r="368">
      <x:c r="A368" s="46"/>
      <x:c r="B368" s="46"/>
      <x:c r="C368" s="46"/>
      <x:c r="D368" s="46"/>
      <x:c r="E368" s="46"/>
      <x:c r="F368" s="46"/>
      <x:c r="G368" s="46"/>
    </x:row>
    <x:row r="369">
      <x:c r="A369" s="46"/>
      <x:c r="B369" s="46"/>
      <x:c r="C369" s="46"/>
      <x:c r="D369" s="46"/>
      <x:c r="E369" s="46"/>
      <x:c r="F369" s="46"/>
      <x:c r="G369" s="46"/>
    </x:row>
    <x:row r="370">
      <x:c r="A370" s="46"/>
      <x:c r="B370" s="46"/>
      <x:c r="C370" s="46"/>
      <x:c r="D370" s="46"/>
      <x:c r="E370" s="46"/>
      <x:c r="F370" s="46"/>
      <x:c r="G370" s="46"/>
    </x:row>
    <x:row r="371">
      <x:c r="A371" s="46"/>
      <x:c r="B371" s="46"/>
      <x:c r="C371" s="46"/>
      <x:c r="D371" s="46"/>
      <x:c r="E371" s="46"/>
      <x:c r="F371" s="46"/>
      <x:c r="G371" s="46"/>
    </x:row>
    <x:row r="372">
      <x:c r="A372" s="46"/>
      <x:c r="B372" s="46"/>
      <x:c r="C372" s="46"/>
      <x:c r="D372" s="46"/>
      <x:c r="E372" s="46"/>
      <x:c r="F372" s="46"/>
      <x:c r="G372" s="46"/>
    </x:row>
    <x:row r="373">
      <x:c r="A373" s="46"/>
      <x:c r="B373" s="46"/>
      <x:c r="C373" s="46"/>
      <x:c r="D373" s="46"/>
      <x:c r="E373" s="46"/>
      <x:c r="F373" s="46"/>
      <x:c r="G373" s="46"/>
    </x:row>
    <x:row r="374">
      <x:c r="A374" s="46"/>
      <x:c r="B374" s="46"/>
      <x:c r="C374" s="46"/>
      <x:c r="D374" s="46"/>
      <x:c r="E374" s="46"/>
      <x:c r="F374" s="46"/>
      <x:c r="G374" s="46"/>
    </x:row>
    <x:row r="375">
      <x:c r="A375" s="46"/>
      <x:c r="B375" s="46"/>
      <x:c r="C375" s="46"/>
      <x:c r="D375" s="46"/>
      <x:c r="E375" s="46"/>
      <x:c r="F375" s="46"/>
      <x:c r="G375" s="46"/>
    </x:row>
    <x:row r="376">
      <x:c r="A376" s="46"/>
      <x:c r="B376" s="46"/>
      <x:c r="C376" s="46"/>
      <x:c r="D376" s="46"/>
      <x:c r="E376" s="46"/>
      <x:c r="F376" s="46"/>
      <x:c r="G376" s="46"/>
    </x:row>
    <x:row r="377">
      <x:c r="A377" s="46"/>
      <x:c r="B377" s="46"/>
      <x:c r="C377" s="46"/>
      <x:c r="D377" s="46"/>
      <x:c r="E377" s="46"/>
      <x:c r="F377" s="46"/>
      <x:c r="G377" s="46"/>
    </x:row>
    <x:row r="378">
      <x:c r="A378" s="46"/>
      <x:c r="B378" s="46"/>
      <x:c r="C378" s="46"/>
      <x:c r="D378" s="46"/>
      <x:c r="E378" s="46"/>
      <x:c r="F378" s="46"/>
      <x:c r="G378" s="46"/>
    </x:row>
    <x:row r="379">
      <x:c r="A379" s="46"/>
      <x:c r="B379" s="46"/>
      <x:c r="C379" s="46"/>
      <x:c r="D379" s="46"/>
      <x:c r="E379" s="46"/>
      <x:c r="F379" s="46"/>
      <x:c r="G379" s="46"/>
    </x:row>
    <x:row r="380">
      <x:c r="A380" s="46"/>
      <x:c r="B380" s="46"/>
      <x:c r="C380" s="46"/>
      <x:c r="D380" s="46"/>
      <x:c r="E380" s="46"/>
      <x:c r="F380" s="46"/>
      <x:c r="G380" s="46"/>
    </x:row>
    <x:row r="381">
      <x:c r="A381" s="46"/>
      <x:c r="B381" s="46"/>
      <x:c r="C381" s="46"/>
      <x:c r="D381" s="46"/>
      <x:c r="E381" s="46"/>
      <x:c r="F381" s="46"/>
      <x:c r="G381" s="46"/>
    </x:row>
    <x:row r="382">
      <x:c r="A382" s="46"/>
      <x:c r="B382" s="46"/>
      <x:c r="C382" s="46"/>
      <x:c r="D382" s="46"/>
      <x:c r="E382" s="46"/>
      <x:c r="F382" s="46"/>
      <x:c r="G382" s="46"/>
    </x:row>
    <x:row r="383">
      <x:c r="A383" s="46"/>
      <x:c r="B383" s="46"/>
      <x:c r="C383" s="46"/>
      <x:c r="D383" s="46"/>
      <x:c r="E383" s="46"/>
      <x:c r="F383" s="46"/>
      <x:c r="G383" s="46"/>
    </x:row>
    <x:row r="384">
      <x:c r="A384" s="46"/>
      <x:c r="B384" s="46"/>
      <x:c r="C384" s="46"/>
      <x:c r="D384" s="46"/>
      <x:c r="E384" s="46"/>
      <x:c r="F384" s="46"/>
      <x:c r="G384" s="46"/>
    </x:row>
    <x:row r="385">
      <x:c r="A385" s="46"/>
      <x:c r="B385" s="46"/>
      <x:c r="C385" s="46"/>
      <x:c r="D385" s="46"/>
      <x:c r="E385" s="46"/>
      <x:c r="F385" s="46"/>
      <x:c r="G385" s="46"/>
    </x:row>
    <x:row r="386">
      <x:c r="A386" s="46"/>
      <x:c r="B386" s="46"/>
      <x:c r="C386" s="46"/>
      <x:c r="D386" s="46"/>
      <x:c r="E386" s="46"/>
      <x:c r="F386" s="46"/>
      <x:c r="G386" s="46"/>
    </x:row>
    <x:row r="387">
      <x:c r="A387" s="46"/>
      <x:c r="B387" s="46"/>
      <x:c r="C387" s="46"/>
      <x:c r="D387" s="46"/>
      <x:c r="E387" s="46"/>
      <x:c r="F387" s="46"/>
      <x:c r="G387" s="46"/>
    </x:row>
    <x:row r="388">
      <x:c r="A388" s="46"/>
      <x:c r="B388" s="46"/>
      <x:c r="C388" s="46"/>
      <x:c r="D388" s="46"/>
      <x:c r="E388" s="46"/>
      <x:c r="F388" s="46"/>
      <x:c r="G388" s="46"/>
    </x:row>
    <x:row r="389">
      <x:c r="A389" s="46"/>
      <x:c r="B389" s="46"/>
      <x:c r="C389" s="46"/>
      <x:c r="D389" s="46"/>
      <x:c r="E389" s="46"/>
      <x:c r="F389" s="46"/>
      <x:c r="G389" s="46"/>
    </x:row>
    <x:row r="390">
      <x:c r="A390" s="46"/>
      <x:c r="B390" s="46"/>
      <x:c r="C390" s="46"/>
      <x:c r="D390" s="46"/>
      <x:c r="E390" s="46"/>
      <x:c r="F390" s="46"/>
      <x:c r="G390" s="46"/>
    </x:row>
    <x:row r="391">
      <x:c r="A391" s="46"/>
      <x:c r="B391" s="46"/>
      <x:c r="C391" s="46"/>
      <x:c r="D391" s="46"/>
      <x:c r="E391" s="46"/>
      <x:c r="F391" s="46"/>
      <x:c r="G391" s="46"/>
    </x:row>
    <x:row r="392">
      <x:c r="A392" s="46"/>
      <x:c r="B392" s="46"/>
      <x:c r="C392" s="46"/>
      <x:c r="D392" s="46"/>
      <x:c r="E392" s="46"/>
      <x:c r="F392" s="46"/>
      <x:c r="G392" s="46"/>
    </x:row>
    <x:row r="393">
      <x:c r="A393" s="46"/>
      <x:c r="B393" s="46"/>
      <x:c r="C393" s="46"/>
      <x:c r="D393" s="46"/>
      <x:c r="E393" s="46"/>
      <x:c r="F393" s="46"/>
      <x:c r="G393" s="46"/>
    </x:row>
    <x:row r="394">
      <x:c r="A394" s="46"/>
      <x:c r="B394" s="46"/>
      <x:c r="C394" s="46"/>
      <x:c r="D394" s="46"/>
      <x:c r="E394" s="46"/>
      <x:c r="F394" s="46"/>
      <x:c r="G394" s="46"/>
    </x:row>
    <x:row r="395">
      <x:c r="A395" s="46"/>
      <x:c r="B395" s="46"/>
      <x:c r="C395" s="46"/>
      <x:c r="D395" s="46"/>
      <x:c r="E395" s="46"/>
      <x:c r="F395" s="46"/>
      <x:c r="G395" s="46"/>
    </x:row>
    <x:row r="396">
      <x:c r="A396" s="46"/>
      <x:c r="B396" s="46"/>
      <x:c r="C396" s="46"/>
      <x:c r="D396" s="46"/>
      <x:c r="E396" s="46"/>
      <x:c r="F396" s="46"/>
      <x:c r="G396" s="46"/>
    </x:row>
    <x:row r="397">
      <x:c r="A397" s="46"/>
      <x:c r="B397" s="46"/>
      <x:c r="C397" s="46"/>
      <x:c r="D397" s="46"/>
      <x:c r="E397" s="46"/>
      <x:c r="F397" s="46"/>
      <x:c r="G397" s="46"/>
    </x:row>
    <x:row r="398">
      <x:c r="A398" s="46"/>
      <x:c r="B398" s="46"/>
      <x:c r="C398" s="46"/>
      <x:c r="D398" s="46"/>
      <x:c r="E398" s="46"/>
      <x:c r="F398" s="46"/>
      <x:c r="G398" s="46"/>
    </x:row>
    <x:row r="399">
      <x:c r="A399" s="46"/>
      <x:c r="B399" s="46"/>
      <x:c r="C399" s="46"/>
      <x:c r="D399" s="46"/>
      <x:c r="E399" s="46"/>
      <x:c r="F399" s="46"/>
      <x:c r="G399" s="46"/>
    </x:row>
    <x:row r="400">
      <x:c r="A400" s="46"/>
      <x:c r="B400" s="46"/>
      <x:c r="C400" s="46"/>
      <x:c r="D400" s="46"/>
      <x:c r="E400" s="46"/>
      <x:c r="F400" s="46"/>
      <x:c r="G400" s="46"/>
    </x:row>
    <x:row r="401">
      <x:c r="A401" s="46"/>
      <x:c r="B401" s="46"/>
      <x:c r="C401" s="46"/>
      <x:c r="D401" s="46"/>
      <x:c r="E401" s="46"/>
      <x:c r="F401" s="46"/>
      <x:c r="G401" s="46"/>
    </x:row>
    <x:row r="402">
      <x:c r="A402" s="46"/>
      <x:c r="B402" s="46"/>
      <x:c r="C402" s="46"/>
      <x:c r="D402" s="46"/>
      <x:c r="E402" s="46"/>
      <x:c r="F402" s="46"/>
      <x:c r="G402" s="46"/>
    </x:row>
    <x:row r="403">
      <x:c r="A403" s="46"/>
      <x:c r="B403" s="46"/>
      <x:c r="C403" s="46"/>
      <x:c r="D403" s="46"/>
      <x:c r="E403" s="46"/>
      <x:c r="F403" s="46"/>
      <x:c r="G403" s="46"/>
    </x:row>
    <x:row r="404">
      <x:c r="A404" s="46"/>
      <x:c r="B404" s="46"/>
      <x:c r="C404" s="46"/>
      <x:c r="D404" s="46"/>
      <x:c r="E404" s="46"/>
      <x:c r="F404" s="46"/>
      <x:c r="G404" s="46"/>
    </x:row>
    <x:row r="405">
      <x:c r="A405" s="46"/>
      <x:c r="B405" s="46"/>
      <x:c r="C405" s="46"/>
      <x:c r="D405" s="46"/>
      <x:c r="E405" s="46"/>
      <x:c r="F405" s="46"/>
      <x:c r="G405" s="46"/>
    </x:row>
    <x:row r="406">
      <x:c r="A406" s="46"/>
      <x:c r="B406" s="46"/>
      <x:c r="C406" s="46"/>
      <x:c r="D406" s="46"/>
      <x:c r="E406" s="46"/>
      <x:c r="F406" s="46"/>
      <x:c r="G406" s="46"/>
    </x:row>
    <x:row r="407">
      <x:c r="A407" s="46"/>
      <x:c r="B407" s="46"/>
      <x:c r="C407" s="46"/>
      <x:c r="D407" s="46"/>
      <x:c r="E407" s="46"/>
      <x:c r="F407" s="46"/>
      <x:c r="G407" s="46"/>
    </x:row>
    <x:row r="408">
      <x:c r="A408" s="46"/>
      <x:c r="B408" s="46"/>
      <x:c r="C408" s="46"/>
      <x:c r="D408" s="46"/>
      <x:c r="E408" s="46"/>
      <x:c r="F408" s="46"/>
      <x:c r="G408" s="46"/>
    </x:row>
    <x:row r="409">
      <x:c r="A409" s="46"/>
      <x:c r="B409" s="46"/>
      <x:c r="C409" s="46"/>
      <x:c r="D409" s="46"/>
      <x:c r="E409" s="46"/>
      <x:c r="F409" s="46"/>
      <x:c r="G409" s="46"/>
    </x:row>
    <x:row r="410">
      <x:c r="A410" s="46"/>
      <x:c r="B410" s="46"/>
      <x:c r="C410" s="46"/>
      <x:c r="D410" s="46"/>
      <x:c r="E410" s="46"/>
      <x:c r="F410" s="46"/>
      <x:c r="G410" s="46"/>
    </x:row>
    <x:row r="411">
      <x:c r="A411" s="46"/>
      <x:c r="B411" s="46"/>
      <x:c r="C411" s="46"/>
      <x:c r="D411" s="46"/>
      <x:c r="E411" s="46"/>
      <x:c r="F411" s="46"/>
      <x:c r="G411" s="46"/>
    </x:row>
    <x:row r="412">
      <x:c r="A412" s="46"/>
      <x:c r="B412" s="46"/>
      <x:c r="C412" s="46"/>
      <x:c r="D412" s="46"/>
      <x:c r="E412" s="46"/>
      <x:c r="F412" s="46"/>
      <x:c r="G412" s="46"/>
    </x:row>
    <x:row r="413">
      <x:c r="A413" s="46"/>
      <x:c r="B413" s="46"/>
      <x:c r="C413" s="46"/>
      <x:c r="D413" s="46"/>
      <x:c r="E413" s="46"/>
      <x:c r="F413" s="46"/>
      <x:c r="G413" s="46"/>
    </x:row>
    <x:row r="414">
      <x:c r="A414" s="46"/>
      <x:c r="B414" s="46"/>
      <x:c r="C414" s="46"/>
      <x:c r="D414" s="46"/>
      <x:c r="E414" s="46"/>
      <x:c r="F414" s="46"/>
      <x:c r="G414" s="46"/>
    </x:row>
    <x:row r="415">
      <x:c r="A415" s="46"/>
      <x:c r="B415" s="46"/>
      <x:c r="C415" s="46"/>
      <x:c r="D415" s="46"/>
      <x:c r="E415" s="46"/>
      <x:c r="F415" s="46"/>
      <x:c r="G415" s="46"/>
    </x:row>
    <x:row r="416">
      <x:c r="A416" s="46"/>
      <x:c r="B416" s="46"/>
      <x:c r="C416" s="46"/>
      <x:c r="D416" s="46"/>
      <x:c r="E416" s="46"/>
      <x:c r="F416" s="46"/>
      <x:c r="G416" s="46"/>
    </x:row>
    <x:row r="417">
      <x:c r="A417" s="46"/>
      <x:c r="B417" s="46"/>
      <x:c r="C417" s="46"/>
      <x:c r="D417" s="46"/>
      <x:c r="E417" s="46"/>
      <x:c r="F417" s="46"/>
      <x:c r="G417" s="46"/>
    </x:row>
    <x:row r="418">
      <x:c r="A418" s="46"/>
      <x:c r="B418" s="46"/>
      <x:c r="C418" s="46"/>
      <x:c r="D418" s="46"/>
      <x:c r="E418" s="46"/>
      <x:c r="F418" s="46"/>
      <x:c r="G418" s="46"/>
    </x:row>
    <x:row r="419">
      <x:c r="A419" s="46"/>
      <x:c r="B419" s="46"/>
      <x:c r="C419" s="46"/>
      <x:c r="D419" s="46"/>
      <x:c r="E419" s="46"/>
      <x:c r="F419" s="46"/>
      <x:c r="G419" s="46"/>
    </x:row>
    <x:row r="420">
      <x:c r="A420" s="46"/>
      <x:c r="B420" s="46"/>
      <x:c r="C420" s="46"/>
      <x:c r="D420" s="46"/>
      <x:c r="E420" s="46"/>
      <x:c r="F420" s="46"/>
      <x:c r="G420" s="46"/>
    </x:row>
    <x:row r="421">
      <x:c r="A421" s="46"/>
      <x:c r="B421" s="46"/>
      <x:c r="C421" s="46"/>
      <x:c r="D421" s="46"/>
      <x:c r="E421" s="46"/>
      <x:c r="F421" s="46"/>
      <x:c r="G421" s="46"/>
    </x:row>
    <x:row r="422">
      <x:c r="A422" s="46"/>
      <x:c r="B422" s="46"/>
      <x:c r="C422" s="46"/>
      <x:c r="D422" s="46"/>
      <x:c r="E422" s="46"/>
      <x:c r="F422" s="46"/>
      <x:c r="G422" s="46"/>
    </x:row>
    <x:row r="423">
      <x:c r="A423" s="46"/>
      <x:c r="B423" s="46"/>
      <x:c r="C423" s="46"/>
      <x:c r="D423" s="46"/>
      <x:c r="E423" s="46"/>
      <x:c r="F423" s="46"/>
      <x:c r="G423" s="46"/>
    </x:row>
    <x:row r="424">
      <x:c r="A424" s="46"/>
      <x:c r="B424" s="46"/>
      <x:c r="C424" s="46"/>
      <x:c r="D424" s="46"/>
      <x:c r="E424" s="46"/>
      <x:c r="F424" s="46"/>
      <x:c r="G424" s="46"/>
    </x:row>
    <x:row r="425">
      <x:c r="A425" s="46"/>
      <x:c r="B425" s="46"/>
      <x:c r="C425" s="46"/>
      <x:c r="D425" s="46"/>
      <x:c r="E425" s="46"/>
      <x:c r="F425" s="46"/>
      <x:c r="G425" s="46"/>
    </x:row>
    <x:row r="426">
      <x:c r="A426" s="46"/>
      <x:c r="B426" s="46"/>
      <x:c r="C426" s="46"/>
      <x:c r="D426" s="46"/>
      <x:c r="E426" s="46"/>
      <x:c r="F426" s="46"/>
      <x:c r="G426" s="46"/>
    </x:row>
    <x:row r="427">
      <x:c r="A427" s="46"/>
      <x:c r="B427" s="46"/>
      <x:c r="C427" s="46"/>
      <x:c r="D427" s="46"/>
      <x:c r="E427" s="46"/>
      <x:c r="F427" s="46"/>
      <x:c r="G427" s="46"/>
    </x:row>
    <x:row r="428">
      <x:c r="A428" s="46"/>
      <x:c r="B428" s="46"/>
      <x:c r="C428" s="46"/>
      <x:c r="D428" s="46"/>
      <x:c r="E428" s="46"/>
      <x:c r="F428" s="46"/>
      <x:c r="G428" s="46"/>
    </x:row>
    <x:row r="429">
      <x:c r="A429" s="46"/>
      <x:c r="B429" s="46"/>
      <x:c r="C429" s="46"/>
      <x:c r="D429" s="46"/>
      <x:c r="E429" s="46"/>
      <x:c r="F429" s="46"/>
      <x:c r="G429" s="46"/>
    </x:row>
    <x:row r="430">
      <x:c r="A430" s="46"/>
      <x:c r="B430" s="46"/>
      <x:c r="C430" s="46"/>
      <x:c r="D430" s="46"/>
      <x:c r="E430" s="46"/>
      <x:c r="F430" s="46"/>
      <x:c r="G430" s="46"/>
    </x:row>
    <x:row r="431">
      <x:c r="A431" s="46"/>
      <x:c r="B431" s="46"/>
      <x:c r="C431" s="46"/>
      <x:c r="D431" s="46"/>
      <x:c r="E431" s="46"/>
      <x:c r="F431" s="46"/>
      <x:c r="G431" s="46"/>
    </x:row>
    <x:row r="432">
      <x:c r="A432" s="46"/>
      <x:c r="B432" s="46"/>
      <x:c r="C432" s="46"/>
      <x:c r="D432" s="46"/>
      <x:c r="E432" s="46"/>
      <x:c r="F432" s="46"/>
      <x:c r="G432" s="46"/>
    </x:row>
    <x:row r="433">
      <x:c r="A433" s="46"/>
      <x:c r="B433" s="46"/>
      <x:c r="C433" s="46"/>
      <x:c r="D433" s="46"/>
      <x:c r="E433" s="46"/>
      <x:c r="F433" s="46"/>
      <x:c r="G433" s="46"/>
    </x:row>
    <x:row r="434">
      <x:c r="A434" s="46"/>
      <x:c r="B434" s="46"/>
      <x:c r="C434" s="46"/>
      <x:c r="D434" s="46"/>
      <x:c r="E434" s="46"/>
      <x:c r="F434" s="46"/>
      <x:c r="G434" s="46"/>
    </x:row>
    <x:row r="435">
      <x:c r="A435" s="46"/>
      <x:c r="B435" s="46"/>
      <x:c r="C435" s="46"/>
      <x:c r="D435" s="46"/>
      <x:c r="E435" s="46"/>
      <x:c r="F435" s="46"/>
      <x:c r="G435" s="46"/>
    </x:row>
    <x:row r="436">
      <x:c r="A436" s="46"/>
      <x:c r="B436" s="46"/>
      <x:c r="C436" s="46"/>
      <x:c r="D436" s="46"/>
      <x:c r="E436" s="46"/>
      <x:c r="F436" s="46"/>
      <x:c r="G436" s="46"/>
    </x:row>
    <x:row r="437">
      <x:c r="A437" s="46"/>
      <x:c r="B437" s="46"/>
      <x:c r="C437" s="46"/>
      <x:c r="D437" s="46"/>
      <x:c r="E437" s="46"/>
      <x:c r="F437" s="46"/>
      <x:c r="G437" s="46"/>
    </x:row>
    <x:row r="438">
      <x:c r="A438" s="46"/>
      <x:c r="B438" s="46"/>
      <x:c r="C438" s="46"/>
      <x:c r="D438" s="46"/>
      <x:c r="E438" s="46"/>
      <x:c r="F438" s="46"/>
      <x:c r="G438" s="46"/>
    </x:row>
    <x:row r="439">
      <x:c r="A439" s="46"/>
      <x:c r="B439" s="46"/>
      <x:c r="C439" s="46"/>
      <x:c r="D439" s="46"/>
      <x:c r="E439" s="46"/>
      <x:c r="F439" s="46"/>
      <x:c r="G439" s="46"/>
    </x:row>
    <x:row r="440">
      <x:c r="A440" s="46"/>
      <x:c r="B440" s="46"/>
      <x:c r="C440" s="46"/>
      <x:c r="D440" s="46"/>
      <x:c r="E440" s="46"/>
      <x:c r="F440" s="46"/>
      <x:c r="G440" s="46"/>
    </x:row>
    <x:row r="441">
      <x:c r="A441" s="46"/>
      <x:c r="B441" s="46"/>
      <x:c r="C441" s="46"/>
      <x:c r="D441" s="46"/>
      <x:c r="E441" s="46"/>
      <x:c r="F441" s="46"/>
      <x:c r="G441" s="46"/>
    </x:row>
    <x:row r="442">
      <x:c r="A442" s="46"/>
      <x:c r="B442" s="46"/>
      <x:c r="C442" s="46"/>
      <x:c r="D442" s="46"/>
      <x:c r="E442" s="46"/>
      <x:c r="F442" s="46"/>
      <x:c r="G442" s="46"/>
    </x:row>
    <x:row r="443">
      <x:c r="A443" s="46"/>
      <x:c r="B443" s="46"/>
      <x:c r="C443" s="46"/>
      <x:c r="D443" s="46"/>
      <x:c r="E443" s="46"/>
      <x:c r="F443" s="46"/>
      <x:c r="G443" s="46"/>
    </x:row>
    <x:row r="444">
      <x:c r="A444" s="46"/>
      <x:c r="B444" s="46"/>
      <x:c r="C444" s="46"/>
      <x:c r="D444" s="46"/>
      <x:c r="E444" s="46"/>
      <x:c r="F444" s="46"/>
      <x:c r="G444" s="46"/>
    </x:row>
    <x:row r="445">
      <x:c r="A445" s="46"/>
      <x:c r="B445" s="46"/>
      <x:c r="C445" s="46"/>
      <x:c r="D445" s="46"/>
      <x:c r="E445" s="46"/>
      <x:c r="F445" s="46"/>
      <x:c r="G445" s="46"/>
    </x:row>
    <x:row r="446">
      <x:c r="A446" s="46"/>
      <x:c r="B446" s="46"/>
      <x:c r="C446" s="46"/>
      <x:c r="D446" s="46"/>
      <x:c r="E446" s="46"/>
      <x:c r="F446" s="46"/>
      <x:c r="G446" s="46"/>
    </x:row>
    <x:row r="447">
      <x:c r="A447" s="46"/>
      <x:c r="B447" s="46"/>
      <x:c r="C447" s="46"/>
      <x:c r="D447" s="46"/>
      <x:c r="E447" s="46"/>
      <x:c r="F447" s="46"/>
      <x:c r="G447" s="46"/>
    </x:row>
    <x:row r="448">
      <x:c r="A448" s="46"/>
      <x:c r="B448" s="46"/>
      <x:c r="C448" s="46"/>
      <x:c r="D448" s="46"/>
      <x:c r="E448" s="46"/>
      <x:c r="F448" s="46"/>
      <x:c r="G448" s="46"/>
    </x:row>
    <x:row r="449">
      <x:c r="A449" s="46"/>
      <x:c r="B449" s="46"/>
      <x:c r="C449" s="46"/>
      <x:c r="D449" s="46"/>
      <x:c r="E449" s="46"/>
      <x:c r="F449" s="46"/>
      <x:c r="G449" s="46"/>
    </x:row>
    <x:row r="450">
      <x:c r="A450" s="46"/>
      <x:c r="B450" s="46"/>
      <x:c r="C450" s="46"/>
      <x:c r="D450" s="46"/>
      <x:c r="E450" s="46"/>
      <x:c r="F450" s="46"/>
      <x:c r="G450" s="46"/>
    </x:row>
    <x:row r="451">
      <x:c r="A451" s="46"/>
      <x:c r="B451" s="46"/>
      <x:c r="C451" s="46"/>
      <x:c r="D451" s="46"/>
      <x:c r="E451" s="46"/>
      <x:c r="F451" s="46"/>
      <x:c r="G451" s="46"/>
    </x:row>
    <x:row r="452">
      <x:c r="A452" s="46"/>
      <x:c r="B452" s="46"/>
      <x:c r="C452" s="46"/>
      <x:c r="D452" s="46"/>
      <x:c r="E452" s="46"/>
      <x:c r="F452" s="46"/>
      <x:c r="G452" s="46"/>
    </x:row>
    <x:row r="453">
      <x:c r="A453" s="46"/>
      <x:c r="B453" s="46"/>
      <x:c r="C453" s="46"/>
      <x:c r="D453" s="46"/>
      <x:c r="E453" s="46"/>
      <x:c r="F453" s="46"/>
      <x:c r="G453" s="46"/>
    </x:row>
    <x:row r="454">
      <x:c r="A454" s="46"/>
      <x:c r="B454" s="46"/>
      <x:c r="C454" s="46"/>
      <x:c r="D454" s="46"/>
      <x:c r="E454" s="46"/>
      <x:c r="F454" s="46"/>
      <x:c r="G454" s="46"/>
    </x:row>
    <x:row r="455">
      <x:c r="A455" s="46"/>
      <x:c r="B455" s="46"/>
      <x:c r="C455" s="46"/>
      <x:c r="D455" s="46"/>
      <x:c r="E455" s="46"/>
      <x:c r="F455" s="46"/>
      <x:c r="G455" s="46"/>
    </x:row>
    <x:row r="456">
      <x:c r="A456" s="46"/>
      <x:c r="B456" s="46"/>
      <x:c r="C456" s="46"/>
      <x:c r="D456" s="46"/>
      <x:c r="E456" s="46"/>
      <x:c r="F456" s="46"/>
      <x:c r="G456" s="46"/>
    </x:row>
    <x:row r="457">
      <x:c r="A457" s="46"/>
      <x:c r="B457" s="46"/>
      <x:c r="C457" s="46"/>
      <x:c r="D457" s="46"/>
      <x:c r="E457" s="46"/>
      <x:c r="F457" s="46"/>
      <x:c r="G457" s="46"/>
    </x:row>
    <x:row r="458">
      <x:c r="A458" s="46"/>
      <x:c r="B458" s="46"/>
      <x:c r="C458" s="46"/>
      <x:c r="D458" s="46"/>
      <x:c r="E458" s="46"/>
      <x:c r="F458" s="46"/>
      <x:c r="G458" s="46"/>
    </x:row>
    <x:row r="459">
      <x:c r="A459" s="46"/>
      <x:c r="B459" s="46"/>
      <x:c r="C459" s="46"/>
      <x:c r="D459" s="46"/>
      <x:c r="E459" s="46"/>
      <x:c r="F459" s="46"/>
      <x:c r="G459" s="46"/>
    </x:row>
    <x:row r="460">
      <x:c r="A460" s="46"/>
      <x:c r="B460" s="46"/>
      <x:c r="C460" s="46"/>
      <x:c r="D460" s="46"/>
      <x:c r="E460" s="46"/>
      <x:c r="F460" s="46"/>
      <x:c r="G460" s="46"/>
    </x:row>
    <x:row r="461">
      <x:c r="A461" s="46"/>
      <x:c r="B461" s="46"/>
      <x:c r="C461" s="46"/>
      <x:c r="D461" s="46"/>
      <x:c r="E461" s="46"/>
      <x:c r="F461" s="46"/>
      <x:c r="G461" s="46"/>
    </x:row>
    <x:row r="462">
      <x:c r="A462" s="46"/>
      <x:c r="B462" s="46"/>
      <x:c r="C462" s="46"/>
      <x:c r="D462" s="46"/>
      <x:c r="E462" s="46"/>
      <x:c r="F462" s="46"/>
      <x:c r="G462" s="46"/>
    </x:row>
    <x:row r="463">
      <x:c r="A463" s="46"/>
      <x:c r="B463" s="46"/>
      <x:c r="C463" s="46"/>
      <x:c r="D463" s="46"/>
      <x:c r="E463" s="46"/>
      <x:c r="F463" s="46"/>
      <x:c r="G463" s="46"/>
    </x:row>
    <x:row r="464">
      <x:c r="A464" s="46"/>
      <x:c r="B464" s="46"/>
      <x:c r="C464" s="46"/>
      <x:c r="D464" s="46"/>
      <x:c r="E464" s="46"/>
      <x:c r="F464" s="46"/>
      <x:c r="G464" s="46"/>
    </x:row>
    <x:row r="465">
      <x:c r="A465" s="46"/>
      <x:c r="B465" s="46"/>
      <x:c r="C465" s="46"/>
      <x:c r="D465" s="46"/>
      <x:c r="E465" s="46"/>
      <x:c r="F465" s="46"/>
      <x:c r="G465" s="46"/>
    </x:row>
    <x:row r="466">
      <x:c r="A466" s="46"/>
      <x:c r="B466" s="46"/>
      <x:c r="C466" s="46"/>
      <x:c r="D466" s="46"/>
      <x:c r="E466" s="46"/>
      <x:c r="F466" s="46"/>
      <x:c r="G466" s="46"/>
    </x:row>
    <x:row r="467">
      <x:c r="A467" s="46"/>
      <x:c r="B467" s="46"/>
      <x:c r="C467" s="46"/>
      <x:c r="D467" s="46"/>
      <x:c r="E467" s="46"/>
      <x:c r="F467" s="46"/>
      <x:c r="G467" s="46"/>
    </x:row>
    <x:row r="468">
      <x:c r="A468" s="46"/>
      <x:c r="B468" s="46"/>
      <x:c r="C468" s="46"/>
      <x:c r="D468" s="46"/>
      <x:c r="E468" s="46"/>
      <x:c r="F468" s="46"/>
      <x:c r="G468" s="46"/>
    </x:row>
    <x:row r="469">
      <x:c r="A469" s="46"/>
      <x:c r="B469" s="46"/>
      <x:c r="C469" s="46"/>
      <x:c r="D469" s="46"/>
      <x:c r="E469" s="46"/>
      <x:c r="F469" s="46"/>
      <x:c r="G469" s="46"/>
    </x:row>
    <x:row r="470">
      <x:c r="A470" s="46"/>
      <x:c r="B470" s="46"/>
      <x:c r="C470" s="46"/>
      <x:c r="D470" s="46"/>
      <x:c r="E470" s="46"/>
      <x:c r="F470" s="46"/>
      <x:c r="G470" s="46"/>
    </x:row>
    <x:row r="471">
      <x:c r="A471" s="46"/>
      <x:c r="B471" s="46"/>
      <x:c r="C471" s="46"/>
      <x:c r="D471" s="46"/>
      <x:c r="E471" s="46"/>
      <x:c r="F471" s="46"/>
      <x:c r="G471" s="46"/>
    </x:row>
    <x:row r="472">
      <x:c r="A472" s="46"/>
      <x:c r="B472" s="46"/>
      <x:c r="C472" s="46"/>
      <x:c r="D472" s="46"/>
      <x:c r="E472" s="46"/>
      <x:c r="F472" s="46"/>
      <x:c r="G472" s="46"/>
    </x:row>
    <x:row r="473">
      <x:c r="A473" s="46"/>
      <x:c r="B473" s="46"/>
      <x:c r="C473" s="46"/>
      <x:c r="D473" s="46"/>
      <x:c r="E473" s="46"/>
      <x:c r="F473" s="46"/>
      <x:c r="G473" s="46"/>
    </x:row>
    <x:row r="474">
      <x:c r="A474" s="46"/>
      <x:c r="B474" s="46"/>
      <x:c r="C474" s="46"/>
      <x:c r="D474" s="46"/>
      <x:c r="E474" s="46"/>
      <x:c r="F474" s="46"/>
      <x:c r="G474" s="46"/>
    </x:row>
    <x:row r="475">
      <x:c r="A475" s="46"/>
      <x:c r="B475" s="46"/>
      <x:c r="C475" s="46"/>
      <x:c r="D475" s="46"/>
      <x:c r="E475" s="46"/>
      <x:c r="F475" s="46"/>
      <x:c r="G475" s="46"/>
    </x:row>
    <x:row r="476">
      <x:c r="A476" s="46"/>
      <x:c r="B476" s="46"/>
      <x:c r="C476" s="46"/>
      <x:c r="D476" s="46"/>
      <x:c r="E476" s="46"/>
      <x:c r="F476" s="46"/>
      <x:c r="G476" s="46"/>
    </x:row>
    <x:row r="477">
      <x:c r="A477" s="46"/>
      <x:c r="B477" s="46"/>
      <x:c r="C477" s="46"/>
      <x:c r="D477" s="46"/>
      <x:c r="E477" s="46"/>
      <x:c r="F477" s="46"/>
      <x:c r="G477" s="46"/>
    </x:row>
    <x:row r="478">
      <x:c r="A478" s="46"/>
      <x:c r="B478" s="46"/>
      <x:c r="C478" s="46"/>
      <x:c r="D478" s="46"/>
      <x:c r="E478" s="46"/>
      <x:c r="F478" s="46"/>
      <x:c r="G478" s="46"/>
    </x:row>
    <x:row r="479">
      <x:c r="A479" s="46"/>
      <x:c r="B479" s="46"/>
      <x:c r="C479" s="46"/>
      <x:c r="D479" s="46"/>
      <x:c r="E479" s="46"/>
      <x:c r="F479" s="46"/>
      <x:c r="G479" s="46"/>
    </x:row>
    <x:row r="480">
      <x:c r="A480" s="46"/>
      <x:c r="B480" s="46"/>
      <x:c r="C480" s="46"/>
      <x:c r="D480" s="46"/>
      <x:c r="E480" s="46"/>
      <x:c r="F480" s="46"/>
      <x:c r="G480" s="46"/>
    </x:row>
    <x:row r="481">
      <x:c r="A481" s="46"/>
      <x:c r="B481" s="46"/>
      <x:c r="C481" s="46"/>
      <x:c r="D481" s="46"/>
      <x:c r="E481" s="46"/>
      <x:c r="F481" s="46"/>
      <x:c r="G481" s="46"/>
    </x:row>
    <x:row r="482">
      <x:c r="A482" s="46"/>
      <x:c r="B482" s="46"/>
      <x:c r="C482" s="46"/>
      <x:c r="D482" s="46"/>
      <x:c r="E482" s="46"/>
      <x:c r="F482" s="46"/>
      <x:c r="G482" s="46"/>
    </x:row>
    <x:row r="483">
      <x:c r="A483" s="46"/>
      <x:c r="B483" s="46"/>
      <x:c r="C483" s="46"/>
      <x:c r="D483" s="46"/>
      <x:c r="E483" s="46"/>
      <x:c r="F483" s="46"/>
      <x:c r="G483" s="46"/>
    </x:row>
    <x:row r="484">
      <x:c r="A484" s="46"/>
      <x:c r="B484" s="46"/>
      <x:c r="C484" s="46"/>
      <x:c r="D484" s="46"/>
      <x:c r="E484" s="46"/>
      <x:c r="F484" s="46"/>
      <x:c r="G484" s="46"/>
    </x:row>
    <x:row r="485">
      <x:c r="A485" s="46"/>
      <x:c r="B485" s="46"/>
      <x:c r="C485" s="46"/>
      <x:c r="D485" s="46"/>
      <x:c r="E485" s="46"/>
      <x:c r="F485" s="46"/>
      <x:c r="G485" s="46"/>
    </x:row>
    <x:row r="486">
      <x:c r="A486" s="46"/>
      <x:c r="B486" s="46"/>
      <x:c r="C486" s="46"/>
      <x:c r="D486" s="46"/>
      <x:c r="E486" s="46"/>
      <x:c r="F486" s="46"/>
      <x:c r="G486" s="46"/>
    </x:row>
    <x:row r="487">
      <x:c r="A487" s="46"/>
      <x:c r="B487" s="46"/>
      <x:c r="C487" s="46"/>
      <x:c r="D487" s="46"/>
      <x:c r="E487" s="46"/>
      <x:c r="F487" s="46"/>
      <x:c r="G487" s="46"/>
    </x:row>
    <x:row r="488">
      <x:c r="A488" s="46"/>
      <x:c r="B488" s="46"/>
      <x:c r="C488" s="46"/>
      <x:c r="D488" s="46"/>
      <x:c r="E488" s="46"/>
      <x:c r="F488" s="46"/>
      <x:c r="G488" s="46"/>
    </x:row>
    <x:row r="489">
      <x:c r="A489" s="46"/>
      <x:c r="B489" s="46"/>
      <x:c r="C489" s="46"/>
      <x:c r="D489" s="46"/>
      <x:c r="E489" s="46"/>
      <x:c r="F489" s="46"/>
      <x:c r="G489" s="46"/>
    </x:row>
    <x:row r="490">
      <x:c r="A490" s="46"/>
      <x:c r="B490" s="46"/>
      <x:c r="C490" s="46"/>
      <x:c r="D490" s="46"/>
      <x:c r="E490" s="46"/>
      <x:c r="F490" s="46"/>
      <x:c r="G490" s="46"/>
    </x:row>
    <x:row r="491">
      <x:c r="A491" s="46"/>
      <x:c r="B491" s="46"/>
      <x:c r="C491" s="46"/>
      <x:c r="D491" s="46"/>
      <x:c r="E491" s="46"/>
      <x:c r="F491" s="46"/>
      <x:c r="G491" s="46"/>
    </x:row>
    <x:row r="492">
      <x:c r="A492" s="46"/>
      <x:c r="B492" s="46"/>
      <x:c r="C492" s="46"/>
      <x:c r="D492" s="46"/>
      <x:c r="E492" s="46"/>
      <x:c r="F492" s="46"/>
      <x:c r="G492" s="46"/>
    </x:row>
    <x:row r="493">
      <x:c r="A493" s="46"/>
      <x:c r="B493" s="46"/>
      <x:c r="C493" s="46"/>
      <x:c r="D493" s="46"/>
      <x:c r="E493" s="46"/>
      <x:c r="F493" s="46"/>
      <x:c r="G493" s="46"/>
    </x:row>
    <x:row r="494">
      <x:c r="A494" s="46"/>
      <x:c r="B494" s="46"/>
      <x:c r="C494" s="46"/>
      <x:c r="D494" s="46"/>
      <x:c r="E494" s="46"/>
      <x:c r="F494" s="46"/>
      <x:c r="G494" s="46"/>
    </x:row>
    <x:row r="495">
      <x:c r="A495" s="46"/>
      <x:c r="B495" s="46"/>
      <x:c r="C495" s="46"/>
      <x:c r="D495" s="46"/>
      <x:c r="E495" s="46"/>
      <x:c r="F495" s="46"/>
      <x:c r="G495" s="46"/>
    </x:row>
    <x:row r="496">
      <x:c r="A496" s="46"/>
      <x:c r="B496" s="46"/>
      <x:c r="C496" s="46"/>
      <x:c r="D496" s="46"/>
      <x:c r="E496" s="46"/>
      <x:c r="F496" s="46"/>
      <x:c r="G496" s="46"/>
    </x:row>
    <x:row r="497">
      <x:c r="A497" s="46"/>
      <x:c r="B497" s="46"/>
      <x:c r="C497" s="46"/>
      <x:c r="D497" s="46"/>
      <x:c r="E497" s="46"/>
      <x:c r="F497" s="46"/>
      <x:c r="G497" s="46"/>
    </x:row>
    <x:row r="498">
      <x:c r="A498" s="46"/>
      <x:c r="B498" s="46"/>
      <x:c r="C498" s="46"/>
      <x:c r="D498" s="46"/>
      <x:c r="E498" s="46"/>
      <x:c r="F498" s="46"/>
      <x:c r="G498" s="46"/>
    </x:row>
    <x:row r="499">
      <x:c r="A499" s="46"/>
      <x:c r="B499" s="46"/>
      <x:c r="C499" s="46"/>
      <x:c r="D499" s="46"/>
      <x:c r="E499" s="46"/>
      <x:c r="F499" s="46"/>
      <x:c r="G499" s="46"/>
    </x:row>
    <x:row r="500">
      <x:c r="A500" s="46"/>
      <x:c r="B500" s="46"/>
      <x:c r="C500" s="46"/>
      <x:c r="D500" s="46"/>
      <x:c r="E500" s="46"/>
      <x:c r="F500" s="46"/>
      <x:c r="G500" s="46"/>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22" hidden="0" customWidth="1"/>
    <x:col min="3" max="3" width="62" hidden="0" customWidth="1"/>
    <x:col min="4" max="4" width="18" hidden="0" customWidth="1"/>
    <x:col min="5" max="5" width="28" hidden="0" customWidth="1"/>
    <x:col min="6" max="6" width="24" hidden="0" customWidth="1"/>
    <x:col min="7" max="7" width="28" hidden="0" customWidth="1"/>
    <x:col min="8" max="8" width="55" hidden="0" customWidth="1"/>
    <x:col min="9" max="9" width="58" hidden="0" customWidth="1"/>
  </x:cols>
  <x:sheetData>
    <x:row r="1">
      <x:c r="A1" s="101" t="str">
        <x:v>validation_id</x:v>
      </x:c>
      <x:c r="B1" s="101" t="str">
        <x:v>evidence_type</x:v>
      </x:c>
      <x:c r="C1" s="101" t="str">
        <x:v>finding</x:v>
      </x:c>
      <x:c r="D1" s="101" t="str">
        <x:v>value</x:v>
      </x:c>
      <x:c r="E1" s="101" t="str">
        <x:v>unit_or_scope</x:v>
      </x:c>
      <x:c r="F1" s="101" t="str">
        <x:v>source_id</x:v>
      </x:c>
      <x:c r="G1" s="101" t="str">
        <x:v>provenance_status</x:v>
      </x:c>
      <x:c r="H1" s="101" t="str">
        <x:v>operational_use</x:v>
      </x:c>
      <x:c r="I1" s="101" t="str">
        <x:v>boundary</x:v>
      </x:c>
    </x:row>
    <x:row r="2">
      <x:c r="A2" s="46" t="str">
        <x:v>QV-001</x:v>
      </x:c>
      <x:c r="B2" s="46" t="str">
        <x:v>time_course_total</x:v>
      </x:c>
      <x:c r="C2" s="46" t="str">
        <x:v>Total volatile compounds identified across 0-40 min roast time course</x:v>
      </x:c>
      <x:c r="D2" s="46" t="n">
        <x:v>62</x:v>
      </x:c>
      <x:c r="E2" s="46" t="str">
        <x:v>distinct VOCs</x:v>
      </x:c>
      <x:c r="F2" s="46" t="str">
        <x:v>SRC-QUAIL-ROAST-002</x:v>
      </x:c>
      <x:c r="G2" s="46" t="str">
        <x:v>direct_primary</x:v>
      </x:c>
      <x:c r="H2" s="46" t="str">
        <x:v>Use as modern source breadth indicator</x:v>
      </x:c>
      <x:c r="I2" s="46" t="str">
        <x:v>Not all 62 occur at the final state.</x:v>
      </x:c>
    </x:row>
    <x:row r="3">
      <x:c r="A3" s="46" t="str">
        <x:v>QV-002</x:v>
      </x:c>
      <x:c r="B3" s="46" t="str">
        <x:v>finished_state_total</x:v>
      </x:c>
      <x:c r="C3" s="46" t="str">
        <x:v>Volatile compounds detected at 40 min</x:v>
      </x:c>
      <x:c r="D3" s="46" t="n">
        <x:v>51</x:v>
      </x:c>
      <x:c r="E3" s="46" t="str">
        <x:v>distinct VOCs at finished roast</x:v>
      </x:c>
      <x:c r="F3" s="46" t="str">
        <x:v>SRC-QUAIL-ROAST-002</x:v>
      </x:c>
      <x:c r="G3" s="46" t="str">
        <x:v>direct_primary</x:v>
      </x:c>
      <x:c r="H3" s="46" t="str">
        <x:v>Finished-state detection inventory benchmark</x:v>
      </x:c>
      <x:c r="I3" s="46" t="str">
        <x:v>Names are not fully recoverable from accessible primary text used here.</x:v>
      </x:c>
    </x:row>
    <x:row r="4">
      <x:c r="A4" s="46" t="str">
        <x:v>QV-003</x:v>
      </x:c>
      <x:c r="B4" s="46" t="str">
        <x:v>finished_state_key</x:v>
      </x:c>
      <x:c r="C4" s="46" t="str">
        <x:v>Key aroma compounds at 40 min with OAV &gt; 1</x:v>
      </x:c>
      <x:c r="D4" s="46" t="n">
        <x:v>19</x:v>
      </x:c>
      <x:c r="E4" s="46" t="str">
        <x:v>key odorants</x:v>
      </x:c>
      <x:c r="F4" s="46" t="str">
        <x:v>SRC-QUAIL-ROAST-002</x:v>
      </x:c>
      <x:c r="G4" s="46" t="str">
        <x:v>direct_primary</x:v>
      </x:c>
      <x:c r="H4" s="46" t="str">
        <x:v>Sensory-weighted benchmark</x:v>
      </x:c>
      <x:c r="I4" s="46" t="str">
        <x:v>Do not invent the 19 identities; populate only when the primary Table 1/key-odorant table is directly accessible.</x:v>
      </x:c>
    </x:row>
    <x:row r="5">
      <x:c r="A5" s="46" t="str">
        <x:v>QV-004</x:v>
      </x:c>
      <x:c r="B5" s="46" t="str">
        <x:v>key_fraction</x:v>
      </x:c>
      <x:c r="C5" s="46" t="str">
        <x:v>Key odorants as fraction of finished-state detections</x:v>
      </x:c>
      <x:c r="D5" s="84" t="n">
        <x:v>0.37254901960784315</x:v>
      </x:c>
      <x:c r="E5" s="46" t="str">
        <x:v>fraction of 51 detected VOCs</x:v>
      </x:c>
      <x:c r="F5" s="46" t="str">
        <x:v>SRC-QUAIL-ROAST-002</x:v>
      </x:c>
      <x:c r="G5" s="46" t="str">
        <x:v>derived_from_direct_counts</x:v>
      </x:c>
      <x:c r="H5" s="46" t="str">
        <x:v>Supports separate detection vs sensory-importance layers</x:v>
      </x:c>
      <x:c r="I5" s="46" t="str">
        <x:v>Ratio is descriptive, not a scoring weight.</x:v>
      </x:c>
    </x:row>
    <x:row r="6">
      <x:c r="A6" s="46" t="str">
        <x:v>QV-005</x:v>
      </x:c>
      <x:c r="B6" s="46" t="str">
        <x:v>compound_classes</x:v>
      </x:c>
      <x:c r="C6" s="46" t="str">
        <x:v>Across the full time-course dataset: 14 aldehydes, 12 nitrogen-containing compounds, 10 alcohols, 8 ketones, 8 acids, 3 esters, 3 furans, 2 sulfur-containing compounds, 1 phenol</x:v>
      </x:c>
      <x:c r="D6" s="46" t="str">
        <x:v>14/12/10/8/8/3/3/2/1</x:v>
      </x:c>
      <x:c r="E6" s="46" t="str">
        <x:v>class counts across study</x:v>
      </x:c>
      <x:c r="F6" s="46" t="str">
        <x:v>SRC-QUAIL-ROAST-002</x:v>
      </x:c>
      <x:c r="G6" s="46" t="str">
        <x:v>direct_primary</x:v>
      </x:c>
      <x:c r="H6" s="46" t="str">
        <x:v>Cross-checks avian lipid-oxidation + thermal-heterocycle architecture</x:v>
      </x:c>
      <x:c r="I6" s="46" t="str">
        <x:v>Class totals describe the study dataset, not the 40-min key subset.</x:v>
      </x:c>
    </x:row>
    <x:row r="7">
      <x:c r="A7" s="46" t="str">
        <x:v>QV-006</x:v>
      </x:c>
      <x:c r="B7" s="46" t="str">
        <x:v>mechanism</x:v>
      </x:c>
      <x:c r="C7" s="46" t="str">
        <x:v>Phospholipids and neutral lipids with unsaturated fatty acids, especially C18 acyl groups, played a major role in aroma formation</x:v>
      </x:c>
      <x:c r="D7" s="46"/>
      <x:c r="E7" s="46" t="str">
        <x:v>mechanistic conclusion</x:v>
      </x:c>
      <x:c r="F7" s="46" t="str">
        <x:v>SRC-QUAIL-ROAST-002</x:v>
      </x:c>
      <x:c r="G7" s="46" t="str">
        <x:v>direct_primary</x:v>
      </x:c>
      <x:c r="H7" s="46" t="str">
        <x:v>Supports lipid-precursor mechanism in avian thermal overlays</x:v>
      </x:c>
      <x:c r="I7" s="46" t="str">
        <x:v>Mechanistic association does not create automatic compound inheritance.</x:v>
      </x:c>
    </x:row>
    <x:row r="8">
      <x:c r="A8" s="46" t="str">
        <x:v>QV-007</x:v>
      </x:c>
      <x:c r="B8" s="46" t="str">
        <x:v>retention</x:v>
      </x:c>
      <x:c r="C8" s="46" t="str">
        <x:v>Neutral lipids had the highest peak areas and significantly contributed to aroma retention</x:v>
      </x:c>
      <x:c r="D8" s="46"/>
      <x:c r="E8" s="46" t="str">
        <x:v>mechanistic conclusion</x:v>
      </x:c>
      <x:c r="F8" s="46" t="str">
        <x:v>SRC-QUAIL-ROAST-002</x:v>
      </x:c>
      <x:c r="G8" s="46" t="str">
        <x:v>direct_primary</x:v>
      </x:c>
      <x:c r="H8" s="46" t="str">
        <x:v>Supports separating aroma formation from aroma retention</x:v>
      </x:c>
      <x:c r="I8" s="46" t="str">
        <x:v>Not a direct sensory intensity multiplier.</x:v>
      </x:c>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8" hidden="0" customWidth="1"/>
    <x:col min="2" max="2" width="20" hidden="0" customWidth="1"/>
    <x:col min="3" max="3" width="22" hidden="0" customWidth="1"/>
    <x:col min="4" max="4" width="24" hidden="0" customWidth="1"/>
    <x:col min="5" max="5" width="20" hidden="0" customWidth="1"/>
    <x:col min="6" max="6" width="62" hidden="0" customWidth="1"/>
  </x:cols>
  <x:sheetData>
    <x:row r="1">
      <x:c r="A1" s="101" t="str">
        <x:v>roast_time_min</x:v>
      </x:c>
      <x:c r="B1" s="101" t="str">
        <x:v>detected_voc_count</x:v>
      </x:c>
      <x:c r="C1" s="101" t="str">
        <x:v>state_label</x:v>
      </x:c>
      <x:c r="D1" s="101" t="str">
        <x:v>source_id</x:v>
      </x:c>
      <x:c r="E1" s="101" t="str">
        <x:v>evidence_mode</x:v>
      </x:c>
      <x:c r="F1" s="101" t="str">
        <x:v>interpretation</x:v>
      </x:c>
    </x:row>
    <x:row r="2">
      <x:c r="A2" s="46" t="n">
        <x:v>0</x:v>
      </x:c>
      <x:c r="B2" s="46" t="n">
        <x:v>31</x:v>
      </x:c>
      <x:c r="C2" s="46" t="str">
        <x:v>unroasted baseline</x:v>
      </x:c>
      <x:c r="D2" s="46" t="str">
        <x:v>SRC-QUAIL-ROAST-002</x:v>
      </x:c>
      <x:c r="E2" s="46" t="str">
        <x:v>direct_primary</x:v>
      </x:c>
      <x:c r="F2" s="46" t="str">
        <x:v>Provides a modern quail baseline, but compound names remain unresolved in this pass.</x:v>
      </x:c>
    </x:row>
    <x:row r="3">
      <x:c r="A3" s="46" t="n">
        <x:v>10</x:v>
      </x:c>
      <x:c r="B3" s="46" t="n">
        <x:v>40</x:v>
      </x:c>
      <x:c r="C3" s="46" t="str">
        <x:v>early roast</x:v>
      </x:c>
      <x:c r="D3" s="46" t="str">
        <x:v>SRC-QUAIL-ROAST-002</x:v>
      </x:c>
      <x:c r="E3" s="46" t="str">
        <x:v>direct_primary</x:v>
      </x:c>
      <x:c r="F3" s="46" t="str">
        <x:v>Thermal transformation already expands the volatile inventory.</x:v>
      </x:c>
    </x:row>
    <x:row r="4">
      <x:c r="A4" s="46" t="n">
        <x:v>20</x:v>
      </x:c>
      <x:c r="B4" s="46" t="n">
        <x:v>40</x:v>
      </x:c>
      <x:c r="C4" s="46" t="str">
        <x:v>mid roast</x:v>
      </x:c>
      <x:c r="D4" s="46" t="str">
        <x:v>SRC-QUAIL-ROAST-002</x:v>
      </x:c>
      <x:c r="E4" s="46" t="str">
        <x:v>direct_primary</x:v>
      </x:c>
      <x:c r="F4" s="46" t="str">
        <x:v>VOC type count plateaus temporarily while concentrations/composition can still change.</x:v>
      </x:c>
    </x:row>
    <x:row r="5">
      <x:c r="A5" s="46" t="n">
        <x:v>30</x:v>
      </x:c>
      <x:c r="B5" s="46" t="n">
        <x:v>46</x:v>
      </x:c>
      <x:c r="C5" s="46" t="str">
        <x:v>late roast</x:v>
      </x:c>
      <x:c r="D5" s="46" t="str">
        <x:v>SRC-QUAIL-ROAST-002</x:v>
      </x:c>
      <x:c r="E5" s="46" t="str">
        <x:v>direct_primary</x:v>
      </x:c>
      <x:c r="F5" s="46" t="str">
        <x:v>Additional thermal products appear.</x:v>
      </x:c>
    </x:row>
    <x:row r="6">
      <x:c r="A6" s="46" t="n">
        <x:v>40</x:v>
      </x:c>
      <x:c r="B6" s="46" t="n">
        <x:v>51</x:v>
      </x:c>
      <x:c r="C6" s="46" t="str">
        <x:v>finished roast</x:v>
      </x:c>
      <x:c r="D6" s="46" t="str">
        <x:v>SRC-QUAIL-ROAST-002</x:v>
      </x:c>
      <x:c r="E6" s="46" t="str">
        <x:v>direct_primary</x:v>
      </x:c>
      <x:c r="F6" s="46" t="str">
        <x:v>Maximum observed type count in study; 19 compounds have OAV&gt;1.</x:v>
      </x:c>
    </x:row>
    <x:row r="7">
      <x:c r="A7" s="46"/>
      <x:c r="B7" s="46"/>
      <x:c r="C7" s="46"/>
      <x:c r="D7" s="46"/>
      <x:c r="E7" s="46"/>
      <x:c r="F7" s="46"/>
    </x:row>
    <x:row r="8">
      <x:c r="A8" s="46"/>
      <x:c r="B8" s="46"/>
      <x:c r="C8" s="46"/>
      <x:c r="D8" s="46"/>
      <x:c r="E8" s="46"/>
      <x:c r="F8" s="46"/>
    </x:row>
    <x:row r="9">
      <x:c r="A9" s="46"/>
      <x:c r="B9" s="46"/>
      <x:c r="C9" s="46"/>
      <x:c r="D9" s="46"/>
      <x:c r="E9" s="46"/>
      <x:c r="F9" s="46"/>
    </x:row>
    <x:row r="10">
      <x:c r="A10" s="46"/>
      <x:c r="B10" s="46"/>
      <x:c r="C10" s="46"/>
      <x:c r="D10" s="46"/>
      <x:c r="E10" s="46"/>
      <x:c r="F10" s="46"/>
    </x:row>
    <x:row r="11">
      <x:c r="A11" s="46"/>
      <x:c r="B11" s="46"/>
      <x:c r="C11" s="46"/>
      <x:c r="D11" s="46"/>
      <x:c r="E11" s="46"/>
      <x:c r="F11" s="46"/>
    </x:row>
    <x:row r="12">
      <x:c r="A12" s="46"/>
      <x:c r="B12" s="46"/>
      <x:c r="C12" s="46"/>
      <x:c r="D12" s="46"/>
      <x:c r="E12" s="46"/>
      <x:c r="F12" s="46"/>
    </x:row>
    <x:row r="13">
      <x:c r="A13" s="46"/>
      <x:c r="B13" s="46"/>
      <x:c r="C13" s="46"/>
      <x:c r="D13" s="46"/>
      <x:c r="E13" s="46"/>
      <x:c r="F13" s="46"/>
    </x:row>
    <x:row r="14">
      <x:c r="A14" s="46"/>
      <x:c r="B14" s="46"/>
      <x:c r="C14" s="46"/>
      <x:c r="D14" s="46"/>
      <x:c r="E14" s="46"/>
      <x:c r="F14" s="46"/>
    </x:row>
    <x:row r="15">
      <x:c r="A15" s="46"/>
      <x:c r="B15" s="46"/>
      <x:c r="C15" s="46"/>
      <x:c r="D15" s="46"/>
      <x:c r="E15" s="46"/>
      <x:c r="F15" s="46"/>
    </x:row>
    <x:row r="16">
      <x:c r="A16" s="46"/>
      <x:c r="B16" s="46"/>
      <x:c r="C16" s="46"/>
      <x:c r="D16" s="46"/>
      <x:c r="E16" s="46"/>
      <x:c r="F16" s="46"/>
    </x:row>
    <x:row r="17">
      <x:c r="A17" s="46"/>
      <x:c r="B17" s="46"/>
      <x:c r="C17" s="46"/>
      <x:c r="D17" s="46"/>
      <x:c r="E17" s="46"/>
      <x:c r="F17" s="46"/>
    </x:row>
    <x:row r="18">
      <x:c r="A18" s="46"/>
      <x:c r="B18" s="46"/>
      <x:c r="C18" s="46"/>
      <x:c r="D18" s="46"/>
      <x:c r="E18" s="46"/>
      <x:c r="F18" s="46"/>
    </x:row>
    <x:row r="19">
      <x:c r="A19" s="46"/>
      <x:c r="B19" s="46"/>
      <x:c r="C19" s="46"/>
      <x:c r="D19" s="46"/>
      <x:c r="E19" s="46"/>
      <x:c r="F19" s="46"/>
    </x:row>
    <x:row r="20">
      <x:c r="A20" s="46"/>
      <x:c r="B20" s="46"/>
      <x:c r="C20" s="46"/>
      <x:c r="D20" s="46"/>
      <x:c r="E20" s="46"/>
      <x:c r="F20" s="46"/>
    </x:row>
    <x:row r="21">
      <x:c r="A21" s="46"/>
      <x:c r="B21" s="46"/>
      <x:c r="C21" s="46"/>
      <x:c r="D21" s="46"/>
      <x:c r="E21" s="46"/>
      <x:c r="F21" s="46"/>
    </x:row>
    <x:row r="22">
      <x:c r="A22" s="46"/>
      <x:c r="B22" s="46"/>
      <x:c r="C22" s="46"/>
      <x:c r="D22" s="46"/>
      <x:c r="E22" s="46"/>
      <x:c r="F22" s="46"/>
    </x:row>
    <x:row r="23">
      <x:c r="A23" s="46"/>
      <x:c r="B23" s="46"/>
      <x:c r="C23" s="46"/>
      <x:c r="D23" s="46"/>
      <x:c r="E23" s="46"/>
      <x:c r="F23" s="46"/>
    </x:row>
    <x:row r="24">
      <x:c r="A24" s="46"/>
      <x:c r="B24" s="46"/>
      <x:c r="C24" s="46"/>
      <x:c r="D24" s="46"/>
      <x:c r="E24" s="46"/>
      <x:c r="F24" s="46"/>
    </x:row>
    <x:row r="25">
      <x:c r="A25" s="46"/>
      <x:c r="B25" s="46"/>
      <x:c r="C25" s="46"/>
      <x:c r="D25" s="46"/>
      <x:c r="E25" s="46"/>
      <x:c r="F25" s="46"/>
    </x:row>
    <x:row r="26">
      <x:c r="A26" s="46"/>
      <x:c r="B26" s="46"/>
      <x:c r="C26" s="46"/>
      <x:c r="D26" s="46"/>
      <x:c r="E26" s="46"/>
      <x:c r="F26" s="46"/>
    </x:row>
    <x:row r="27">
      <x:c r="A27" s="46"/>
      <x:c r="B27" s="46"/>
      <x:c r="C27" s="46"/>
      <x:c r="D27" s="46"/>
      <x:c r="E27" s="46"/>
      <x:c r="F27" s="46"/>
    </x:row>
    <x:row r="28">
      <x:c r="A28" s="46"/>
      <x:c r="B28" s="46"/>
      <x:c r="C28" s="46"/>
      <x:c r="D28" s="46"/>
      <x:c r="E28" s="46"/>
      <x:c r="F28" s="46"/>
    </x:row>
    <x:row r="29">
      <x:c r="A29" s="46"/>
      <x:c r="B29" s="46"/>
      <x:c r="C29" s="46"/>
      <x:c r="D29" s="46"/>
      <x:c r="E29" s="46"/>
      <x:c r="F29" s="46"/>
    </x:row>
    <x:row r="30">
      <x:c r="A30" s="46"/>
      <x:c r="B30" s="46"/>
      <x:c r="C30" s="46"/>
      <x:c r="D30" s="46"/>
      <x:c r="E30" s="46"/>
      <x:c r="F30" s="46"/>
    </x:row>
    <x:row r="31">
      <x:c r="A31" s="46"/>
      <x:c r="B31" s="46"/>
      <x:c r="C31" s="46"/>
      <x:c r="D31" s="46"/>
      <x:c r="E31" s="46"/>
      <x:c r="F31" s="46"/>
    </x:row>
    <x:row r="32">
      <x:c r="A32" s="46"/>
      <x:c r="B32" s="46"/>
      <x:c r="C32" s="46"/>
      <x:c r="D32" s="46"/>
      <x:c r="E32" s="46"/>
      <x:c r="F32" s="46"/>
    </x:row>
    <x:row r="33">
      <x:c r="A33" s="46"/>
      <x:c r="B33" s="46"/>
      <x:c r="C33" s="46"/>
      <x:c r="D33" s="46"/>
      <x:c r="E33" s="46"/>
      <x:c r="F33" s="46"/>
    </x:row>
    <x:row r="34">
      <x:c r="A34" s="46"/>
      <x:c r="B34" s="46"/>
      <x:c r="C34" s="46"/>
      <x:c r="D34" s="46"/>
      <x:c r="E34" s="46"/>
      <x:c r="F34" s="46"/>
    </x:row>
    <x:row r="35">
      <x:c r="A35" s="46"/>
      <x:c r="B35" s="46"/>
      <x:c r="C35" s="46"/>
      <x:c r="D35" s="46"/>
      <x:c r="E35" s="46"/>
      <x:c r="F35" s="46"/>
    </x:row>
    <x:row r="36">
      <x:c r="A36" s="46"/>
      <x:c r="B36" s="46"/>
      <x:c r="C36" s="46"/>
      <x:c r="D36" s="46"/>
      <x:c r="E36" s="46"/>
      <x:c r="F36" s="46"/>
    </x:row>
    <x:row r="37">
      <x:c r="A37" s="46"/>
      <x:c r="B37" s="46"/>
      <x:c r="C37" s="46"/>
      <x:c r="D37" s="46"/>
      <x:c r="E37" s="46"/>
      <x:c r="F37" s="46"/>
    </x:row>
    <x:row r="38">
      <x:c r="A38" s="46"/>
      <x:c r="B38" s="46"/>
      <x:c r="C38" s="46"/>
      <x:c r="D38" s="46"/>
      <x:c r="E38" s="46"/>
      <x:c r="F38" s="46"/>
    </x:row>
    <x:row r="39">
      <x:c r="A39" s="46"/>
      <x:c r="B39" s="46"/>
      <x:c r="C39" s="46"/>
      <x:c r="D39" s="46"/>
      <x:c r="E39" s="46"/>
      <x:c r="F39" s="46"/>
    </x:row>
    <x:row r="40">
      <x:c r="A40" s="46"/>
      <x:c r="B40" s="46"/>
      <x:c r="C40" s="46"/>
      <x:c r="D40" s="46"/>
      <x:c r="E40" s="46"/>
      <x:c r="F40" s="46"/>
    </x:row>
    <x:row r="41">
      <x:c r="A41" s="46"/>
      <x:c r="B41" s="46"/>
      <x:c r="C41" s="46"/>
      <x:c r="D41" s="46"/>
      <x:c r="E41" s="46"/>
      <x:c r="F41" s="46"/>
    </x:row>
    <x:row r="42">
      <x:c r="A42" s="46"/>
      <x:c r="B42" s="46"/>
      <x:c r="C42" s="46"/>
      <x:c r="D42" s="46"/>
      <x:c r="E42" s="46"/>
      <x:c r="F42" s="46"/>
    </x:row>
    <x:row r="43">
      <x:c r="A43" s="46"/>
      <x:c r="B43" s="46"/>
      <x:c r="C43" s="46"/>
      <x:c r="D43" s="46"/>
      <x:c r="E43" s="46"/>
      <x:c r="F43" s="46"/>
    </x:row>
    <x:row r="44">
      <x:c r="A44" s="46"/>
      <x:c r="B44" s="46"/>
      <x:c r="C44" s="46"/>
      <x:c r="D44" s="46"/>
      <x:c r="E44" s="46"/>
      <x:c r="F44" s="46"/>
    </x:row>
    <x:row r="45">
      <x:c r="A45" s="46"/>
      <x:c r="B45" s="46"/>
      <x:c r="C45" s="46"/>
      <x:c r="D45" s="46"/>
      <x:c r="E45" s="46"/>
      <x:c r="F45" s="46"/>
    </x:row>
    <x:row r="46">
      <x:c r="A46" s="46"/>
      <x:c r="B46" s="46"/>
      <x:c r="C46" s="46"/>
      <x:c r="D46" s="46"/>
      <x:c r="E46" s="46"/>
      <x:c r="F46" s="46"/>
    </x:row>
    <x:row r="47">
      <x:c r="A47" s="46"/>
      <x:c r="B47" s="46"/>
      <x:c r="C47" s="46"/>
      <x:c r="D47" s="46"/>
      <x:c r="E47" s="46"/>
      <x:c r="F47" s="46"/>
    </x:row>
    <x:row r="48">
      <x:c r="A48" s="46"/>
      <x:c r="B48" s="46"/>
      <x:c r="C48" s="46"/>
      <x:c r="D48" s="46"/>
      <x:c r="E48" s="46"/>
      <x:c r="F48" s="46"/>
    </x:row>
    <x:row r="49">
      <x:c r="A49" s="46"/>
      <x:c r="B49" s="46"/>
      <x:c r="C49" s="46"/>
      <x:c r="D49" s="46"/>
      <x:c r="E49" s="46"/>
      <x:c r="F49" s="46"/>
    </x:row>
    <x:row r="50">
      <x:c r="A50" s="46"/>
      <x:c r="B50" s="46"/>
      <x:c r="C50" s="46"/>
      <x:c r="D50" s="46"/>
      <x:c r="E50" s="46"/>
      <x:c r="F50" s="46"/>
    </x:row>
    <x:row r="51">
      <x:c r="A51" s="46"/>
      <x:c r="B51" s="46"/>
      <x:c r="C51" s="46"/>
      <x:c r="D51" s="46"/>
      <x:c r="E51" s="46"/>
      <x:c r="F51" s="46"/>
    </x:row>
    <x:row r="52">
      <x:c r="A52" s="46"/>
      <x:c r="B52" s="46"/>
      <x:c r="C52" s="46"/>
      <x:c r="D52" s="46"/>
      <x:c r="E52" s="46"/>
      <x:c r="F52" s="46"/>
    </x:row>
    <x:row r="53">
      <x:c r="A53" s="46"/>
      <x:c r="B53" s="46"/>
      <x:c r="C53" s="46"/>
      <x:c r="D53" s="46"/>
      <x:c r="E53" s="46"/>
      <x:c r="F53" s="46"/>
    </x:row>
    <x:row r="54">
      <x:c r="A54" s="46"/>
      <x:c r="B54" s="46"/>
      <x:c r="C54" s="46"/>
      <x:c r="D54" s="46"/>
      <x:c r="E54" s="46"/>
      <x:c r="F54" s="46"/>
    </x:row>
    <x:row r="55">
      <x:c r="A55" s="46"/>
      <x:c r="B55" s="46"/>
      <x:c r="C55" s="46"/>
      <x:c r="D55" s="46"/>
      <x:c r="E55" s="46"/>
      <x:c r="F55" s="46"/>
    </x:row>
    <x:row r="56">
      <x:c r="A56" s="46"/>
      <x:c r="B56" s="46"/>
      <x:c r="C56" s="46"/>
      <x:c r="D56" s="46"/>
      <x:c r="E56" s="46"/>
      <x:c r="F56" s="46"/>
    </x:row>
    <x:row r="57">
      <x:c r="A57" s="46"/>
      <x:c r="B57" s="46"/>
      <x:c r="C57" s="46"/>
      <x:c r="D57" s="46"/>
      <x:c r="E57" s="46"/>
      <x:c r="F57" s="46"/>
    </x:row>
    <x:row r="58">
      <x:c r="A58" s="46"/>
      <x:c r="B58" s="46"/>
      <x:c r="C58" s="46"/>
      <x:c r="D58" s="46"/>
      <x:c r="E58" s="46"/>
      <x:c r="F58" s="46"/>
    </x:row>
    <x:row r="59">
      <x:c r="A59" s="46"/>
      <x:c r="B59" s="46"/>
      <x:c r="C59" s="46"/>
      <x:c r="D59" s="46"/>
      <x:c r="E59" s="46"/>
      <x:c r="F59" s="46"/>
    </x:row>
    <x:row r="60">
      <x:c r="A60" s="46"/>
      <x:c r="B60" s="46"/>
      <x:c r="C60" s="46"/>
      <x:c r="D60" s="46"/>
      <x:c r="E60" s="46"/>
      <x:c r="F60" s="46"/>
    </x:row>
    <x:row r="61">
      <x:c r="A61" s="46"/>
      <x:c r="B61" s="46"/>
      <x:c r="C61" s="46"/>
      <x:c r="D61" s="46"/>
      <x:c r="E61" s="46"/>
      <x:c r="F61" s="46"/>
    </x:row>
    <x:row r="62">
      <x:c r="A62" s="46"/>
      <x:c r="B62" s="46"/>
      <x:c r="C62" s="46"/>
      <x:c r="D62" s="46"/>
      <x:c r="E62" s="46"/>
      <x:c r="F62" s="46"/>
    </x:row>
    <x:row r="63">
      <x:c r="A63" s="46"/>
      <x:c r="B63" s="46"/>
      <x:c r="C63" s="46"/>
      <x:c r="D63" s="46"/>
      <x:c r="E63" s="46"/>
      <x:c r="F63" s="46"/>
    </x:row>
    <x:row r="64">
      <x:c r="A64" s="46"/>
      <x:c r="B64" s="46"/>
      <x:c r="C64" s="46"/>
      <x:c r="D64" s="46"/>
      <x:c r="E64" s="46"/>
      <x:c r="F64" s="46"/>
    </x:row>
    <x:row r="65">
      <x:c r="A65" s="46"/>
      <x:c r="B65" s="46"/>
      <x:c r="C65" s="46"/>
      <x:c r="D65" s="46"/>
      <x:c r="E65" s="46"/>
      <x:c r="F65" s="46"/>
    </x:row>
    <x:row r="66">
      <x:c r="A66" s="46"/>
      <x:c r="B66" s="46"/>
      <x:c r="C66" s="46"/>
      <x:c r="D66" s="46"/>
      <x:c r="E66" s="46"/>
      <x:c r="F66" s="46"/>
    </x:row>
    <x:row r="67">
      <x:c r="A67" s="46"/>
      <x:c r="B67" s="46"/>
      <x:c r="C67" s="46"/>
      <x:c r="D67" s="46"/>
      <x:c r="E67" s="46"/>
      <x:c r="F67" s="46"/>
    </x:row>
    <x:row r="68">
      <x:c r="A68" s="46"/>
      <x:c r="B68" s="46"/>
      <x:c r="C68" s="46"/>
      <x:c r="D68" s="46"/>
      <x:c r="E68" s="46"/>
      <x:c r="F68" s="46"/>
    </x:row>
    <x:row r="69">
      <x:c r="A69" s="46"/>
      <x:c r="B69" s="46"/>
      <x:c r="C69" s="46"/>
      <x:c r="D69" s="46"/>
      <x:c r="E69" s="46"/>
      <x:c r="F69" s="46"/>
    </x:row>
    <x:row r="70">
      <x:c r="A70" s="46"/>
      <x:c r="B70" s="46"/>
      <x:c r="C70" s="46"/>
      <x:c r="D70" s="46"/>
      <x:c r="E70" s="46"/>
      <x:c r="F70" s="46"/>
    </x:row>
    <x:row r="71">
      <x:c r="A71" s="46"/>
      <x:c r="B71" s="46"/>
      <x:c r="C71" s="46"/>
      <x:c r="D71" s="46"/>
      <x:c r="E71" s="46"/>
      <x:c r="F71" s="46"/>
    </x:row>
    <x:row r="72">
      <x:c r="A72" s="46"/>
      <x:c r="B72" s="46"/>
      <x:c r="C72" s="46"/>
      <x:c r="D72" s="46"/>
      <x:c r="E72" s="46"/>
      <x:c r="F72" s="46"/>
    </x:row>
    <x:row r="73">
      <x:c r="A73" s="46"/>
      <x:c r="B73" s="46"/>
      <x:c r="C73" s="46"/>
      <x:c r="D73" s="46"/>
      <x:c r="E73" s="46"/>
      <x:c r="F73" s="46"/>
    </x:row>
    <x:row r="74">
      <x:c r="A74" s="46"/>
      <x:c r="B74" s="46"/>
      <x:c r="C74" s="46"/>
      <x:c r="D74" s="46"/>
      <x:c r="E74" s="46"/>
      <x:c r="F74" s="46"/>
    </x:row>
    <x:row r="75">
      <x:c r="A75" s="46"/>
      <x:c r="B75" s="46"/>
      <x:c r="C75" s="46"/>
      <x:c r="D75" s="46"/>
      <x:c r="E75" s="46"/>
      <x:c r="F75" s="46"/>
    </x:row>
    <x:row r="76">
      <x:c r="A76" s="46"/>
      <x:c r="B76" s="46"/>
      <x:c r="C76" s="46"/>
      <x:c r="D76" s="46"/>
      <x:c r="E76" s="46"/>
      <x:c r="F76" s="46"/>
    </x:row>
    <x:row r="77">
      <x:c r="A77" s="46"/>
      <x:c r="B77" s="46"/>
      <x:c r="C77" s="46"/>
      <x:c r="D77" s="46"/>
      <x:c r="E77" s="46"/>
      <x:c r="F77" s="46"/>
    </x:row>
    <x:row r="78">
      <x:c r="A78" s="46"/>
      <x:c r="B78" s="46"/>
      <x:c r="C78" s="46"/>
      <x:c r="D78" s="46"/>
      <x:c r="E78" s="46"/>
      <x:c r="F78" s="46"/>
    </x:row>
    <x:row r="79">
      <x:c r="A79" s="46"/>
      <x:c r="B79" s="46"/>
      <x:c r="C79" s="46"/>
      <x:c r="D79" s="46"/>
      <x:c r="E79" s="46"/>
      <x:c r="F79" s="46"/>
    </x:row>
    <x:row r="80">
      <x:c r="A80" s="46"/>
      <x:c r="B80" s="46"/>
      <x:c r="C80" s="46"/>
      <x:c r="D80" s="46"/>
      <x:c r="E80" s="46"/>
      <x:c r="F80" s="46"/>
    </x:row>
    <x:row r="81">
      <x:c r="A81" s="46"/>
      <x:c r="B81" s="46"/>
      <x:c r="C81" s="46"/>
      <x:c r="D81" s="46"/>
      <x:c r="E81" s="46"/>
      <x:c r="F81" s="46"/>
    </x:row>
    <x:row r="82">
      <x:c r="A82" s="46"/>
      <x:c r="B82" s="46"/>
      <x:c r="C82" s="46"/>
      <x:c r="D82" s="46"/>
      <x:c r="E82" s="46"/>
      <x:c r="F82" s="46"/>
    </x:row>
    <x:row r="83">
      <x:c r="A83" s="46"/>
      <x:c r="B83" s="46"/>
      <x:c r="C83" s="46"/>
      <x:c r="D83" s="46"/>
      <x:c r="E83" s="46"/>
      <x:c r="F83" s="46"/>
    </x:row>
    <x:row r="84">
      <x:c r="A84" s="46"/>
      <x:c r="B84" s="46"/>
      <x:c r="C84" s="46"/>
      <x:c r="D84" s="46"/>
      <x:c r="E84" s="46"/>
      <x:c r="F84" s="46"/>
    </x:row>
    <x:row r="85">
      <x:c r="A85" s="46"/>
      <x:c r="B85" s="46"/>
      <x:c r="C85" s="46"/>
      <x:c r="D85" s="46"/>
      <x:c r="E85" s="46"/>
      <x:c r="F85" s="46"/>
    </x:row>
    <x:row r="86">
      <x:c r="A86" s="46"/>
      <x:c r="B86" s="46"/>
      <x:c r="C86" s="46"/>
      <x:c r="D86" s="46"/>
      <x:c r="E86" s="46"/>
      <x:c r="F86" s="46"/>
    </x:row>
    <x:row r="87">
      <x:c r="A87" s="46"/>
      <x:c r="B87" s="46"/>
      <x:c r="C87" s="46"/>
      <x:c r="D87" s="46"/>
      <x:c r="E87" s="46"/>
      <x:c r="F87" s="46"/>
    </x:row>
    <x:row r="88">
      <x:c r="A88" s="46"/>
      <x:c r="B88" s="46"/>
      <x:c r="C88" s="46"/>
      <x:c r="D88" s="46"/>
      <x:c r="E88" s="46"/>
      <x:c r="F88" s="46"/>
    </x:row>
    <x:row r="89">
      <x:c r="A89" s="46"/>
      <x:c r="B89" s="46"/>
      <x:c r="C89" s="46"/>
      <x:c r="D89" s="46"/>
      <x:c r="E89" s="46"/>
      <x:c r="F89" s="46"/>
    </x:row>
    <x:row r="90">
      <x:c r="A90" s="46"/>
      <x:c r="B90" s="46"/>
      <x:c r="C90" s="46"/>
      <x:c r="D90" s="46"/>
      <x:c r="E90" s="46"/>
      <x:c r="F90" s="46"/>
    </x:row>
    <x:row r="91">
      <x:c r="A91" s="46"/>
      <x:c r="B91" s="46"/>
      <x:c r="C91" s="46"/>
      <x:c r="D91" s="46"/>
      <x:c r="E91" s="46"/>
      <x:c r="F91" s="46"/>
    </x:row>
    <x:row r="92">
      <x:c r="A92" s="46"/>
      <x:c r="B92" s="46"/>
      <x:c r="C92" s="46"/>
      <x:c r="D92" s="46"/>
      <x:c r="E92" s="46"/>
      <x:c r="F92" s="46"/>
    </x:row>
    <x:row r="93">
      <x:c r="A93" s="46"/>
      <x:c r="B93" s="46"/>
      <x:c r="C93" s="46"/>
      <x:c r="D93" s="46"/>
      <x:c r="E93" s="46"/>
      <x:c r="F93" s="46"/>
    </x:row>
    <x:row r="94">
      <x:c r="A94" s="46"/>
      <x:c r="B94" s="46"/>
      <x:c r="C94" s="46"/>
      <x:c r="D94" s="46"/>
      <x:c r="E94" s="46"/>
      <x:c r="F94" s="46"/>
    </x:row>
    <x:row r="95">
      <x:c r="A95" s="46"/>
      <x:c r="B95" s="46"/>
      <x:c r="C95" s="46"/>
      <x:c r="D95" s="46"/>
      <x:c r="E95" s="46"/>
      <x:c r="F95" s="46"/>
    </x:row>
    <x:row r="96">
      <x:c r="A96" s="46"/>
      <x:c r="B96" s="46"/>
      <x:c r="C96" s="46"/>
      <x:c r="D96" s="46"/>
      <x:c r="E96" s="46"/>
      <x:c r="F96" s="46"/>
    </x:row>
    <x:row r="97">
      <x:c r="A97" s="46"/>
      <x:c r="B97" s="46"/>
      <x:c r="C97" s="46"/>
      <x:c r="D97" s="46"/>
      <x:c r="E97" s="46"/>
      <x:c r="F97" s="46"/>
    </x:row>
    <x:row r="98">
      <x:c r="A98" s="46"/>
      <x:c r="B98" s="46"/>
      <x:c r="C98" s="46"/>
      <x:c r="D98" s="46"/>
      <x:c r="E98" s="46"/>
      <x:c r="F98" s="46"/>
    </x:row>
    <x:row r="99">
      <x:c r="A99" s="46"/>
      <x:c r="B99" s="46"/>
      <x:c r="C99" s="46"/>
      <x:c r="D99" s="46"/>
      <x:c r="E99" s="46"/>
      <x:c r="F99" s="46"/>
    </x:row>
    <x:row r="100">
      <x:c r="A100" s="46"/>
      <x:c r="B100" s="46"/>
      <x:c r="C100" s="46"/>
      <x:c r="D100" s="46"/>
      <x:c r="E100" s="46"/>
      <x:c r="F100" s="46"/>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20" hidden="0" customWidth="1"/>
    <x:col min="3" max="3" width="38" hidden="0" customWidth="1"/>
    <x:col min="4" max="4" width="62" hidden="0" customWidth="1"/>
    <x:col min="5" max="5" width="40" hidden="0" customWidth="1"/>
    <x:col min="6" max="6" width="32" hidden="0" customWidth="1"/>
    <x:col min="7" max="7" width="58" hidden="0" customWidth="1"/>
    <x:col min="8" max="8" width="60" hidden="0" customWidth="1"/>
    <x:col min="9" max="9" width="30" hidden="0" customWidth="1"/>
  </x:cols>
  <x:sheetData>
    <x:row r="1" ht="36" customHeight="1">
      <x:c r="A1" s="106" t="str">
        <x:v>review_id</x:v>
      </x:c>
      <x:c r="B1" s="106" t="str">
        <x:v>species</x:v>
      </x:c>
      <x:c r="C1" s="106" t="str">
        <x:v>target_evidence</x:v>
      </x:c>
      <x:c r="D1" s="106" t="str">
        <x:v>search_outcome</x:v>
      </x:c>
      <x:c r="E1" s="106" t="str">
        <x:v>best_governing_source</x:v>
      </x:c>
      <x:c r="F1" s="106" t="str">
        <x:v>supplemental_modern_source</x:v>
      </x:c>
      <x:c r="G1" s="106" t="str">
        <x:v>evidence_ceiling</x:v>
      </x:c>
      <x:c r="H1" s="106" t="str">
        <x:v>operational_decision</x:v>
      </x:c>
      <x:c r="I1" s="106" t="str">
        <x:v>status</x:v>
      </x:c>
    </x:row>
    <x:row r="2">
      <x:c r="A2" s="46" t="str">
        <x:v>PPMR-001</x:v>
      </x:c>
      <x:c r="B2" s="46" t="str">
        <x:v>pheasant</x:v>
      </x:c>
      <x:c r="C2" s="46" t="str">
        <x:v>modern compound-resolved GC-O/OAV key-aroma hierarchy</x:v>
      </x:c>
      <x:c r="D2" s="46" t="str">
        <x:v>No newer qualifying primary source located in this pass that materially improves the compound-level sensory hierarchy over the direct Baruth roasted-landfowl comparison.</x:v>
      </x:c>
      <x:c r="E2" s="46" t="str">
        <x:v>SRC-LANDFOWL-THESIS-001; SRC-LANDFOWL-COMP-001</x:v>
      </x:c>
      <x:c r="F2" s="46" t="str">
        <x:v>SRC-PHEASANT-SENSORY-001</x:v>
      </x:c>
      <x:c r="G2" s="46" t="str">
        <x:v>Modern pheasant literature located here supports meat quality / sensory differences but not a compound-resolved key-odorant ranking.</x:v>
      </x:c>
      <x:c r="H2" s="46" t="str">
        <x:v>Retain governed Table-17 roasted profile as production evidence; do not fabricate a modern OAV layer. Mark sensory-weight hierarchy as enrichment gap.</x:v>
      </x:c>
      <x:c r="I2" s="107" t="str">
        <x:v>evidence_ceiling_accepted</x:v>
      </x:c>
    </x:row>
    <x:row r="3">
      <x:c r="A3" s="46" t="str">
        <x:v>PPMR-002</x:v>
      </x:c>
      <x:c r="B3" s="46" t="str">
        <x:v>partridge</x:v>
      </x:c>
      <x:c r="C3" s="46" t="str">
        <x:v>modern compound-resolved GC-O/OAV key-aroma hierarchy</x:v>
      </x:c>
      <x:c r="D3" s="46" t="str">
        <x:v>No qualifying newer compound-resolved molecular-sensory partridge-meat source located in this pass.</x:v>
      </x:c>
      <x:c r="E3" s="46" t="str">
        <x:v>SRC-LANDFOWL-THESIS-001; SRC-LANDFOWL-COMP-001</x:v>
      </x:c>
      <x:c r="F3" s="46"/>
      <x:c r="G3" s="46" t="str">
        <x:v>The direct comparative GC-MS/GC-O landfowl work remains the strongest identified compound-level evidence for roasted partridge.</x:v>
      </x:c>
      <x:c r="H3" s="46" t="str">
        <x:v>Retain governed Table-17 roasted profile; mark modern sensory-weight hierarchy as enrichment gap rather than blocker.</x:v>
      </x:c>
      <x:c r="I3" s="107" t="str">
        <x:v>evidence_ceiling_accepted</x:v>
      </x:c>
    </x:row>
    <x:row r="4">
      <x:c r="A4" s="46" t="str">
        <x:v>PPMR-003</x:v>
      </x:c>
      <x:c r="B4" s="46" t="str">
        <x:v>pheasant + partridge</x:v>
      </x:c>
      <x:c r="C4" s="46" t="str">
        <x:v>cross-species interpretation</x:v>
      </x:c>
      <x:c r="D4" s="46" t="str">
        <x:v>The governing direct comparison found large shared chemistry and no single character-impact compound explaining species-specific roast aroma.</x:v>
      </x:c>
      <x:c r="E4" s="46" t="str">
        <x:v>SRC-LANDFOWL-COMP-001</x:v>
      </x:c>
      <x:c r="F4" s="46"/>
      <x:c r="G4" s="46" t="str">
        <x:v>Species differentiation is therefore composition/relative-balance driven in the best direct comparative evidence currently identified.</x:v>
      </x:c>
      <x:c r="H4" s="46" t="str">
        <x:v>Keep shared-base + member-delta model as governing architecture; quantitative per-compound weighting remains suspended pending Table-18 reconciliation.</x:v>
      </x:c>
      <x:c r="I4" s="107" t="str">
        <x:v>governing_model_retained</x:v>
      </x:c>
    </x:row>
    <x:row r="5">
      <x:c r="A5" s="46" t="str">
        <x:v>PPMR-004</x:v>
      </x:c>
      <x:c r="B5" s="46" t="str">
        <x:v>quail</x:v>
      </x:c>
      <x:c r="C5" s="46" t="str">
        <x:v>modern validation comparator</x:v>
      </x:c>
      <x:c r="D5" s="46" t="str">
        <x:v>Modern 2024 quail study independently confirms that only a subset of detected finished-roast VOCs are sensory-important (19 OAV&gt;1 of 51 detected at 40 min).</x:v>
      </x:c>
      <x:c r="E5" s="46" t="str">
        <x:v>SRC-QUAIL-ROAST-002</x:v>
      </x:c>
      <x:c r="F5" s="46"/>
      <x:c r="G5" s="46" t="str">
        <x:v>This validates the data-model separation between detected_presence and sensory_importance, but does not justify assigning sensory weights to pheasant/partridge without direct evidence.</x:v>
      </x:c>
      <x:c r="H5" s="46" t="str">
        <x:v>Use quail as architecture validation, not as a weight donor to pheasant or partridge.</x:v>
      </x:c>
      <x:c r="I5" s="107" t="str">
        <x:v>validated_boundary</x:v>
      </x:c>
    </x:row>
    <x:row r="6">
      <x:c r="A6" s="46"/>
      <x:c r="B6" s="46"/>
      <x:c r="C6" s="46"/>
      <x:c r="D6" s="46"/>
      <x:c r="E6" s="46"/>
      <x:c r="F6" s="46"/>
      <x:c r="G6" s="46"/>
      <x:c r="H6" s="46"/>
      <x:c r="I6" s="46"/>
    </x:row>
    <x:row r="7">
      <x:c r="A7" s="46"/>
      <x:c r="B7" s="46"/>
      <x:c r="C7" s="46"/>
      <x:c r="D7" s="46"/>
      <x:c r="E7" s="46"/>
      <x:c r="F7" s="46"/>
      <x:c r="G7" s="46"/>
      <x:c r="H7" s="46"/>
      <x:c r="I7" s="46"/>
    </x:row>
    <x:row r="8">
      <x:c r="A8" s="46"/>
      <x:c r="B8" s="46"/>
      <x:c r="C8" s="46"/>
      <x:c r="D8" s="46"/>
      <x:c r="E8" s="46"/>
      <x:c r="F8" s="46"/>
      <x:c r="G8" s="46"/>
      <x:c r="H8" s="46"/>
      <x:c r="I8" s="46"/>
    </x:row>
    <x:row r="9">
      <x:c r="A9" s="46"/>
      <x:c r="B9" s="46"/>
      <x:c r="C9" s="46"/>
      <x:c r="D9" s="46"/>
      <x:c r="E9" s="46"/>
      <x:c r="F9" s="46"/>
      <x:c r="G9" s="46"/>
      <x:c r="H9" s="46"/>
      <x:c r="I9" s="46"/>
    </x:row>
    <x:row r="10">
      <x:c r="A10" s="46"/>
      <x:c r="B10" s="46"/>
      <x:c r="C10" s="46"/>
      <x:c r="D10" s="46"/>
      <x:c r="E10" s="46"/>
      <x:c r="F10" s="46"/>
      <x:c r="G10" s="46"/>
      <x:c r="H10" s="46"/>
      <x:c r="I10" s="46"/>
    </x:row>
    <x:row r="11">
      <x:c r="A11" s="46"/>
      <x:c r="B11" s="46"/>
      <x:c r="C11" s="46"/>
      <x:c r="D11" s="46"/>
      <x:c r="E11" s="46"/>
      <x:c r="F11" s="46"/>
      <x:c r="G11" s="46"/>
      <x:c r="H11" s="46"/>
      <x:c r="I11" s="46"/>
    </x:row>
    <x:row r="12">
      <x:c r="A12" s="46"/>
      <x:c r="B12" s="46"/>
      <x:c r="C12" s="46"/>
      <x:c r="D12" s="46"/>
      <x:c r="E12" s="46"/>
      <x:c r="F12" s="46"/>
      <x:c r="G12" s="46"/>
      <x:c r="H12" s="46"/>
      <x:c r="I12" s="46"/>
    </x:row>
    <x:row r="13">
      <x:c r="A13" s="46"/>
      <x:c r="B13" s="46"/>
      <x:c r="C13" s="46"/>
      <x:c r="D13" s="46"/>
      <x:c r="E13" s="46"/>
      <x:c r="F13" s="46"/>
      <x:c r="G13" s="46"/>
      <x:c r="H13" s="46"/>
      <x:c r="I13" s="46"/>
    </x:row>
    <x:row r="14">
      <x:c r="A14" s="46"/>
      <x:c r="B14" s="46"/>
      <x:c r="C14" s="46"/>
      <x:c r="D14" s="46"/>
      <x:c r="E14" s="46"/>
      <x:c r="F14" s="46"/>
      <x:c r="G14" s="46"/>
      <x:c r="H14" s="46"/>
      <x:c r="I14" s="46"/>
    </x:row>
    <x:row r="15">
      <x:c r="A15" s="46"/>
      <x:c r="B15" s="46"/>
      <x:c r="C15" s="46"/>
      <x:c r="D15" s="46"/>
      <x:c r="E15" s="46"/>
      <x:c r="F15" s="46"/>
      <x:c r="G15" s="46"/>
      <x:c r="H15" s="46"/>
      <x:c r="I15" s="46"/>
    </x:row>
    <x:row r="16">
      <x:c r="A16" s="46"/>
      <x:c r="B16" s="46"/>
      <x:c r="C16" s="46"/>
      <x:c r="D16" s="46"/>
      <x:c r="E16" s="46"/>
      <x:c r="F16" s="46"/>
      <x:c r="G16" s="46"/>
      <x:c r="H16" s="46"/>
      <x:c r="I16" s="46"/>
    </x:row>
    <x:row r="17">
      <x:c r="A17" s="46"/>
      <x:c r="B17" s="46"/>
      <x:c r="C17" s="46"/>
      <x:c r="D17" s="46"/>
      <x:c r="E17" s="46"/>
      <x:c r="F17" s="46"/>
      <x:c r="G17" s="46"/>
      <x:c r="H17" s="46"/>
      <x:c r="I17" s="46"/>
    </x:row>
    <x:row r="18">
      <x:c r="A18" s="46"/>
      <x:c r="B18" s="46"/>
      <x:c r="C18" s="46"/>
      <x:c r="D18" s="46"/>
      <x:c r="E18" s="46"/>
      <x:c r="F18" s="46"/>
      <x:c r="G18" s="46"/>
      <x:c r="H18" s="46"/>
      <x:c r="I18" s="46"/>
    </x:row>
    <x:row r="19">
      <x:c r="A19" s="46"/>
      <x:c r="B19" s="46"/>
      <x:c r="C19" s="46"/>
      <x:c r="D19" s="46"/>
      <x:c r="E19" s="46"/>
      <x:c r="F19" s="46"/>
      <x:c r="G19" s="46"/>
      <x:c r="H19" s="46"/>
      <x:c r="I19" s="46"/>
    </x:row>
    <x:row r="20">
      <x:c r="A20" s="46"/>
      <x:c r="B20" s="46"/>
      <x:c r="C20" s="46"/>
      <x:c r="D20" s="46"/>
      <x:c r="E20" s="46"/>
      <x:c r="F20" s="46"/>
      <x:c r="G20" s="46"/>
      <x:c r="H20" s="46"/>
      <x:c r="I20" s="46"/>
    </x:row>
    <x:row r="21">
      <x:c r="A21" s="46"/>
      <x:c r="B21" s="46"/>
      <x:c r="C21" s="46"/>
      <x:c r="D21" s="46"/>
      <x:c r="E21" s="46"/>
      <x:c r="F21" s="46"/>
      <x:c r="G21" s="46"/>
      <x:c r="H21" s="46"/>
      <x:c r="I21" s="46"/>
    </x:row>
    <x:row r="22">
      <x:c r="A22" s="46"/>
      <x:c r="B22" s="46"/>
      <x:c r="C22" s="46"/>
      <x:c r="D22" s="46"/>
      <x:c r="E22" s="46"/>
      <x:c r="F22" s="46"/>
      <x:c r="G22" s="46"/>
      <x:c r="H22" s="46"/>
      <x:c r="I22" s="46"/>
    </x:row>
    <x:row r="23">
      <x:c r="A23" s="46"/>
      <x:c r="B23" s="46"/>
      <x:c r="C23" s="46"/>
      <x:c r="D23" s="46"/>
      <x:c r="E23" s="46"/>
      <x:c r="F23" s="46"/>
      <x:c r="G23" s="46"/>
      <x:c r="H23" s="46"/>
      <x:c r="I23" s="46"/>
    </x:row>
    <x:row r="24">
      <x:c r="A24" s="46"/>
      <x:c r="B24" s="46"/>
      <x:c r="C24" s="46"/>
      <x:c r="D24" s="46"/>
      <x:c r="E24" s="46"/>
      <x:c r="F24" s="46"/>
      <x:c r="G24" s="46"/>
      <x:c r="H24" s="46"/>
      <x:c r="I24" s="46"/>
    </x:row>
    <x:row r="25">
      <x:c r="A25" s="46"/>
      <x:c r="B25" s="46"/>
      <x:c r="C25" s="46"/>
      <x:c r="D25" s="46"/>
      <x:c r="E25" s="46"/>
      <x:c r="F25" s="46"/>
      <x:c r="G25" s="46"/>
      <x:c r="H25" s="46"/>
      <x:c r="I25" s="46"/>
    </x:row>
    <x:row r="26">
      <x:c r="A26" s="46"/>
      <x:c r="B26" s="46"/>
      <x:c r="C26" s="46"/>
      <x:c r="D26" s="46"/>
      <x:c r="E26" s="46"/>
      <x:c r="F26" s="46"/>
      <x:c r="G26" s="46"/>
      <x:c r="H26" s="46"/>
      <x:c r="I26" s="46"/>
    </x:row>
    <x:row r="27">
      <x:c r="A27" s="46"/>
      <x:c r="B27" s="46"/>
      <x:c r="C27" s="46"/>
      <x:c r="D27" s="46"/>
      <x:c r="E27" s="46"/>
      <x:c r="F27" s="46"/>
      <x:c r="G27" s="46"/>
      <x:c r="H27" s="46"/>
      <x:c r="I27" s="46"/>
    </x:row>
    <x:row r="28">
      <x:c r="A28" s="46"/>
      <x:c r="B28" s="46"/>
      <x:c r="C28" s="46"/>
      <x:c r="D28" s="46"/>
      <x:c r="E28" s="46"/>
      <x:c r="F28" s="46"/>
      <x:c r="G28" s="46"/>
      <x:c r="H28" s="46"/>
      <x:c r="I28" s="46"/>
    </x:row>
    <x:row r="29">
      <x:c r="A29" s="46"/>
      <x:c r="B29" s="46"/>
      <x:c r="C29" s="46"/>
      <x:c r="D29" s="46"/>
      <x:c r="E29" s="46"/>
      <x:c r="F29" s="46"/>
      <x:c r="G29" s="46"/>
      <x:c r="H29" s="46"/>
      <x:c r="I29" s="46"/>
    </x:row>
    <x:row r="30">
      <x:c r="A30" s="46"/>
      <x:c r="B30" s="46"/>
      <x:c r="C30" s="46"/>
      <x:c r="D30" s="46"/>
      <x:c r="E30" s="46"/>
      <x:c r="F30" s="46"/>
      <x:c r="G30" s="46"/>
      <x:c r="H30" s="46"/>
      <x:c r="I30" s="46"/>
    </x:row>
    <x:row r="31">
      <x:c r="A31" s="46"/>
      <x:c r="B31" s="46"/>
      <x:c r="C31" s="46"/>
      <x:c r="D31" s="46"/>
      <x:c r="E31" s="46"/>
      <x:c r="F31" s="46"/>
      <x:c r="G31" s="46"/>
      <x:c r="H31" s="46"/>
      <x:c r="I31" s="46"/>
    </x:row>
    <x:row r="32">
      <x:c r="A32" s="46"/>
      <x:c r="B32" s="46"/>
      <x:c r="C32" s="46"/>
      <x:c r="D32" s="46"/>
      <x:c r="E32" s="46"/>
      <x:c r="F32" s="46"/>
      <x:c r="G32" s="46"/>
      <x:c r="H32" s="46"/>
      <x:c r="I32" s="46"/>
    </x:row>
    <x:row r="33">
      <x:c r="A33" s="46"/>
      <x:c r="B33" s="46"/>
      <x:c r="C33" s="46"/>
      <x:c r="D33" s="46"/>
      <x:c r="E33" s="46"/>
      <x:c r="F33" s="46"/>
      <x:c r="G33" s="46"/>
      <x:c r="H33" s="46"/>
      <x:c r="I33" s="46"/>
    </x:row>
    <x:row r="34">
      <x:c r="A34" s="46"/>
      <x:c r="B34" s="46"/>
      <x:c r="C34" s="46"/>
      <x:c r="D34" s="46"/>
      <x:c r="E34" s="46"/>
      <x:c r="F34" s="46"/>
      <x:c r="G34" s="46"/>
      <x:c r="H34" s="46"/>
      <x:c r="I34" s="46"/>
    </x:row>
    <x:row r="35">
      <x:c r="A35" s="46"/>
      <x:c r="B35" s="46"/>
      <x:c r="C35" s="46"/>
      <x:c r="D35" s="46"/>
      <x:c r="E35" s="46"/>
      <x:c r="F35" s="46"/>
      <x:c r="G35" s="46"/>
      <x:c r="H35" s="46"/>
      <x:c r="I35" s="46"/>
    </x:row>
    <x:row r="36">
      <x:c r="A36" s="46"/>
      <x:c r="B36" s="46"/>
      <x:c r="C36" s="46"/>
      <x:c r="D36" s="46"/>
      <x:c r="E36" s="46"/>
      <x:c r="F36" s="46"/>
      <x:c r="G36" s="46"/>
      <x:c r="H36" s="46"/>
      <x:c r="I36" s="46"/>
    </x:row>
    <x:row r="37">
      <x:c r="A37" s="46"/>
      <x:c r="B37" s="46"/>
      <x:c r="C37" s="46"/>
      <x:c r="D37" s="46"/>
      <x:c r="E37" s="46"/>
      <x:c r="F37" s="46"/>
      <x:c r="G37" s="46"/>
      <x:c r="H37" s="46"/>
      <x:c r="I37" s="46"/>
    </x:row>
    <x:row r="38">
      <x:c r="A38" s="46"/>
      <x:c r="B38" s="46"/>
      <x:c r="C38" s="46"/>
      <x:c r="D38" s="46"/>
      <x:c r="E38" s="46"/>
      <x:c r="F38" s="46"/>
      <x:c r="G38" s="46"/>
      <x:c r="H38" s="46"/>
      <x:c r="I38" s="46"/>
    </x:row>
    <x:row r="39">
      <x:c r="A39" s="46"/>
      <x:c r="B39" s="46"/>
      <x:c r="C39" s="46"/>
      <x:c r="D39" s="46"/>
      <x:c r="E39" s="46"/>
      <x:c r="F39" s="46"/>
      <x:c r="G39" s="46"/>
      <x:c r="H39" s="46"/>
      <x:c r="I39" s="46"/>
    </x:row>
    <x:row r="40">
      <x:c r="A40" s="46"/>
      <x:c r="B40" s="46"/>
      <x:c r="C40" s="46"/>
      <x:c r="D40" s="46"/>
      <x:c r="E40" s="46"/>
      <x:c r="F40" s="46"/>
      <x:c r="G40" s="46"/>
      <x:c r="H40" s="46"/>
      <x:c r="I40" s="46"/>
    </x:row>
    <x:row r="41">
      <x:c r="A41" s="46"/>
      <x:c r="B41" s="46"/>
      <x:c r="C41" s="46"/>
      <x:c r="D41" s="46"/>
      <x:c r="E41" s="46"/>
      <x:c r="F41" s="46"/>
      <x:c r="G41" s="46"/>
      <x:c r="H41" s="46"/>
      <x:c r="I41" s="46"/>
    </x:row>
    <x:row r="42">
      <x:c r="A42" s="46"/>
      <x:c r="B42" s="46"/>
      <x:c r="C42" s="46"/>
      <x:c r="D42" s="46"/>
      <x:c r="E42" s="46"/>
      <x:c r="F42" s="46"/>
      <x:c r="G42" s="46"/>
      <x:c r="H42" s="46"/>
      <x:c r="I42" s="46"/>
    </x:row>
    <x:row r="43">
      <x:c r="A43" s="46"/>
      <x:c r="B43" s="46"/>
      <x:c r="C43" s="46"/>
      <x:c r="D43" s="46"/>
      <x:c r="E43" s="46"/>
      <x:c r="F43" s="46"/>
      <x:c r="G43" s="46"/>
      <x:c r="H43" s="46"/>
      <x:c r="I43" s="46"/>
    </x:row>
    <x:row r="44">
      <x:c r="A44" s="46"/>
      <x:c r="B44" s="46"/>
      <x:c r="C44" s="46"/>
      <x:c r="D44" s="46"/>
      <x:c r="E44" s="46"/>
      <x:c r="F44" s="46"/>
      <x:c r="G44" s="46"/>
      <x:c r="H44" s="46"/>
      <x:c r="I44" s="46"/>
    </x:row>
    <x:row r="45">
      <x:c r="A45" s="46"/>
      <x:c r="B45" s="46"/>
      <x:c r="C45" s="46"/>
      <x:c r="D45" s="46"/>
      <x:c r="E45" s="46"/>
      <x:c r="F45" s="46"/>
      <x:c r="G45" s="46"/>
      <x:c r="H45" s="46"/>
      <x:c r="I45" s="46"/>
    </x:row>
    <x:row r="46">
      <x:c r="A46" s="46"/>
      <x:c r="B46" s="46"/>
      <x:c r="C46" s="46"/>
      <x:c r="D46" s="46"/>
      <x:c r="E46" s="46"/>
      <x:c r="F46" s="46"/>
      <x:c r="G46" s="46"/>
      <x:c r="H46" s="46"/>
      <x:c r="I46" s="46"/>
    </x:row>
    <x:row r="47">
      <x:c r="A47" s="46"/>
      <x:c r="B47" s="46"/>
      <x:c r="C47" s="46"/>
      <x:c r="D47" s="46"/>
      <x:c r="E47" s="46"/>
      <x:c r="F47" s="46"/>
      <x:c r="G47" s="46"/>
      <x:c r="H47" s="46"/>
      <x:c r="I47" s="46"/>
    </x:row>
    <x:row r="48">
      <x:c r="A48" s="46"/>
      <x:c r="B48" s="46"/>
      <x:c r="C48" s="46"/>
      <x:c r="D48" s="46"/>
      <x:c r="E48" s="46"/>
      <x:c r="F48" s="46"/>
      <x:c r="G48" s="46"/>
      <x:c r="H48" s="46"/>
      <x:c r="I48" s="46"/>
    </x:row>
    <x:row r="49">
      <x:c r="A49" s="46"/>
      <x:c r="B49" s="46"/>
      <x:c r="C49" s="46"/>
      <x:c r="D49" s="46"/>
      <x:c r="E49" s="46"/>
      <x:c r="F49" s="46"/>
      <x:c r="G49" s="46"/>
      <x:c r="H49" s="46"/>
      <x:c r="I49" s="46"/>
    </x:row>
    <x:row r="50">
      <x:c r="A50" s="46"/>
      <x:c r="B50" s="46"/>
      <x:c r="C50" s="46"/>
      <x:c r="D50" s="46"/>
      <x:c r="E50" s="46"/>
      <x:c r="F50" s="46"/>
      <x:c r="G50" s="46"/>
      <x:c r="H50" s="46"/>
      <x:c r="I50" s="46"/>
    </x:row>
    <x:row r="51">
      <x:c r="A51" s="46"/>
      <x:c r="B51" s="46"/>
      <x:c r="C51" s="46"/>
      <x:c r="D51" s="46"/>
      <x:c r="E51" s="46"/>
      <x:c r="F51" s="46"/>
      <x:c r="G51" s="46"/>
      <x:c r="H51" s="46"/>
      <x:c r="I51" s="46"/>
    </x:row>
    <x:row r="52">
      <x:c r="A52" s="46"/>
      <x:c r="B52" s="46"/>
      <x:c r="C52" s="46"/>
      <x:c r="D52" s="46"/>
      <x:c r="E52" s="46"/>
      <x:c r="F52" s="46"/>
      <x:c r="G52" s="46"/>
      <x:c r="H52" s="46"/>
      <x:c r="I52" s="46"/>
    </x:row>
    <x:row r="53">
      <x:c r="A53" s="46"/>
      <x:c r="B53" s="46"/>
      <x:c r="C53" s="46"/>
      <x:c r="D53" s="46"/>
      <x:c r="E53" s="46"/>
      <x:c r="F53" s="46"/>
      <x:c r="G53" s="46"/>
      <x:c r="H53" s="46"/>
      <x:c r="I53" s="46"/>
    </x:row>
    <x:row r="54">
      <x:c r="A54" s="46"/>
      <x:c r="B54" s="46"/>
      <x:c r="C54" s="46"/>
      <x:c r="D54" s="46"/>
      <x:c r="E54" s="46"/>
      <x:c r="F54" s="46"/>
      <x:c r="G54" s="46"/>
      <x:c r="H54" s="46"/>
      <x:c r="I54" s="46"/>
    </x:row>
    <x:row r="55">
      <x:c r="A55" s="46"/>
      <x:c r="B55" s="46"/>
      <x:c r="C55" s="46"/>
      <x:c r="D55" s="46"/>
      <x:c r="E55" s="46"/>
      <x:c r="F55" s="46"/>
      <x:c r="G55" s="46"/>
      <x:c r="H55" s="46"/>
      <x:c r="I55" s="46"/>
    </x:row>
    <x:row r="56">
      <x:c r="A56" s="46"/>
      <x:c r="B56" s="46"/>
      <x:c r="C56" s="46"/>
      <x:c r="D56" s="46"/>
      <x:c r="E56" s="46"/>
      <x:c r="F56" s="46"/>
      <x:c r="G56" s="46"/>
      <x:c r="H56" s="46"/>
      <x:c r="I56" s="46"/>
    </x:row>
    <x:row r="57">
      <x:c r="A57" s="46"/>
      <x:c r="B57" s="46"/>
      <x:c r="C57" s="46"/>
      <x:c r="D57" s="46"/>
      <x:c r="E57" s="46"/>
      <x:c r="F57" s="46"/>
      <x:c r="G57" s="46"/>
      <x:c r="H57" s="46"/>
      <x:c r="I57" s="46"/>
    </x:row>
    <x:row r="58">
      <x:c r="A58" s="46"/>
      <x:c r="B58" s="46"/>
      <x:c r="C58" s="46"/>
      <x:c r="D58" s="46"/>
      <x:c r="E58" s="46"/>
      <x:c r="F58" s="46"/>
      <x:c r="G58" s="46"/>
      <x:c r="H58" s="46"/>
      <x:c r="I58" s="46"/>
    </x:row>
    <x:row r="59">
      <x:c r="A59" s="46"/>
      <x:c r="B59" s="46"/>
      <x:c r="C59" s="46"/>
      <x:c r="D59" s="46"/>
      <x:c r="E59" s="46"/>
      <x:c r="F59" s="46"/>
      <x:c r="G59" s="46"/>
      <x:c r="H59" s="46"/>
      <x:c r="I59" s="46"/>
    </x:row>
    <x:row r="60">
      <x:c r="A60" s="46"/>
      <x:c r="B60" s="46"/>
      <x:c r="C60" s="46"/>
      <x:c r="D60" s="46"/>
      <x:c r="E60" s="46"/>
      <x:c r="F60" s="46"/>
      <x:c r="G60" s="46"/>
      <x:c r="H60" s="46"/>
      <x:c r="I60" s="46"/>
    </x:row>
    <x:row r="61">
      <x:c r="A61" s="46"/>
      <x:c r="B61" s="46"/>
      <x:c r="C61" s="46"/>
      <x:c r="D61" s="46"/>
      <x:c r="E61" s="46"/>
      <x:c r="F61" s="46"/>
      <x:c r="G61" s="46"/>
      <x:c r="H61" s="46"/>
      <x:c r="I61" s="46"/>
    </x:row>
    <x:row r="62">
      <x:c r="A62" s="46"/>
      <x:c r="B62" s="46"/>
      <x:c r="C62" s="46"/>
      <x:c r="D62" s="46"/>
      <x:c r="E62" s="46"/>
      <x:c r="F62" s="46"/>
      <x:c r="G62" s="46"/>
      <x:c r="H62" s="46"/>
      <x:c r="I62" s="46"/>
    </x:row>
    <x:row r="63">
      <x:c r="A63" s="46"/>
      <x:c r="B63" s="46"/>
      <x:c r="C63" s="46"/>
      <x:c r="D63" s="46"/>
      <x:c r="E63" s="46"/>
      <x:c r="F63" s="46"/>
      <x:c r="G63" s="46"/>
      <x:c r="H63" s="46"/>
      <x:c r="I63" s="46"/>
    </x:row>
    <x:row r="64">
      <x:c r="A64" s="46"/>
      <x:c r="B64" s="46"/>
      <x:c r="C64" s="46"/>
      <x:c r="D64" s="46"/>
      <x:c r="E64" s="46"/>
      <x:c r="F64" s="46"/>
      <x:c r="G64" s="46"/>
      <x:c r="H64" s="46"/>
      <x:c r="I64" s="46"/>
    </x:row>
    <x:row r="65">
      <x:c r="A65" s="46"/>
      <x:c r="B65" s="46"/>
      <x:c r="C65" s="46"/>
      <x:c r="D65" s="46"/>
      <x:c r="E65" s="46"/>
      <x:c r="F65" s="46"/>
      <x:c r="G65" s="46"/>
      <x:c r="H65" s="46"/>
      <x:c r="I65" s="46"/>
    </x:row>
    <x:row r="66">
      <x:c r="A66" s="46"/>
      <x:c r="B66" s="46"/>
      <x:c r="C66" s="46"/>
      <x:c r="D66" s="46"/>
      <x:c r="E66" s="46"/>
      <x:c r="F66" s="46"/>
      <x:c r="G66" s="46"/>
      <x:c r="H66" s="46"/>
      <x:c r="I66" s="46"/>
    </x:row>
    <x:row r="67">
      <x:c r="A67" s="46"/>
      <x:c r="B67" s="46"/>
      <x:c r="C67" s="46"/>
      <x:c r="D67" s="46"/>
      <x:c r="E67" s="46"/>
      <x:c r="F67" s="46"/>
      <x:c r="G67" s="46"/>
      <x:c r="H67" s="46"/>
      <x:c r="I67" s="46"/>
    </x:row>
    <x:row r="68">
      <x:c r="A68" s="46"/>
      <x:c r="B68" s="46"/>
      <x:c r="C68" s="46"/>
      <x:c r="D68" s="46"/>
      <x:c r="E68" s="46"/>
      <x:c r="F68" s="46"/>
      <x:c r="G68" s="46"/>
      <x:c r="H68" s="46"/>
      <x:c r="I68" s="46"/>
    </x:row>
    <x:row r="69">
      <x:c r="A69" s="46"/>
      <x:c r="B69" s="46"/>
      <x:c r="C69" s="46"/>
      <x:c r="D69" s="46"/>
      <x:c r="E69" s="46"/>
      <x:c r="F69" s="46"/>
      <x:c r="G69" s="46"/>
      <x:c r="H69" s="46"/>
      <x:c r="I69" s="46"/>
    </x:row>
    <x:row r="70">
      <x:c r="A70" s="46"/>
      <x:c r="B70" s="46"/>
      <x:c r="C70" s="46"/>
      <x:c r="D70" s="46"/>
      <x:c r="E70" s="46"/>
      <x:c r="F70" s="46"/>
      <x:c r="G70" s="46"/>
      <x:c r="H70" s="46"/>
      <x:c r="I70" s="46"/>
    </x:row>
    <x:row r="71">
      <x:c r="A71" s="46"/>
      <x:c r="B71" s="46"/>
      <x:c r="C71" s="46"/>
      <x:c r="D71" s="46"/>
      <x:c r="E71" s="46"/>
      <x:c r="F71" s="46"/>
      <x:c r="G71" s="46"/>
      <x:c r="H71" s="46"/>
      <x:c r="I71" s="46"/>
    </x:row>
    <x:row r="72">
      <x:c r="A72" s="46"/>
      <x:c r="B72" s="46"/>
      <x:c r="C72" s="46"/>
      <x:c r="D72" s="46"/>
      <x:c r="E72" s="46"/>
      <x:c r="F72" s="46"/>
      <x:c r="G72" s="46"/>
      <x:c r="H72" s="46"/>
      <x:c r="I72" s="46"/>
    </x:row>
    <x:row r="73">
      <x:c r="A73" s="46"/>
      <x:c r="B73" s="46"/>
      <x:c r="C73" s="46"/>
      <x:c r="D73" s="46"/>
      <x:c r="E73" s="46"/>
      <x:c r="F73" s="46"/>
      <x:c r="G73" s="46"/>
      <x:c r="H73" s="46"/>
      <x:c r="I73" s="46"/>
    </x:row>
    <x:row r="74">
      <x:c r="A74" s="46"/>
      <x:c r="B74" s="46"/>
      <x:c r="C74" s="46"/>
      <x:c r="D74" s="46"/>
      <x:c r="E74" s="46"/>
      <x:c r="F74" s="46"/>
      <x:c r="G74" s="46"/>
      <x:c r="H74" s="46"/>
      <x:c r="I74" s="46"/>
    </x:row>
    <x:row r="75">
      <x:c r="A75" s="46"/>
      <x:c r="B75" s="46"/>
      <x:c r="C75" s="46"/>
      <x:c r="D75" s="46"/>
      <x:c r="E75" s="46"/>
      <x:c r="F75" s="46"/>
      <x:c r="G75" s="46"/>
      <x:c r="H75" s="46"/>
      <x:c r="I75" s="46"/>
    </x:row>
    <x:row r="76">
      <x:c r="A76" s="46"/>
      <x:c r="B76" s="46"/>
      <x:c r="C76" s="46"/>
      <x:c r="D76" s="46"/>
      <x:c r="E76" s="46"/>
      <x:c r="F76" s="46"/>
      <x:c r="G76" s="46"/>
      <x:c r="H76" s="46"/>
      <x:c r="I76" s="46"/>
    </x:row>
    <x:row r="77">
      <x:c r="A77" s="46"/>
      <x:c r="B77" s="46"/>
      <x:c r="C77" s="46"/>
      <x:c r="D77" s="46"/>
      <x:c r="E77" s="46"/>
      <x:c r="F77" s="46"/>
      <x:c r="G77" s="46"/>
      <x:c r="H77" s="46"/>
      <x:c r="I77" s="46"/>
    </x:row>
    <x:row r="78">
      <x:c r="A78" s="46"/>
      <x:c r="B78" s="46"/>
      <x:c r="C78" s="46"/>
      <x:c r="D78" s="46"/>
      <x:c r="E78" s="46"/>
      <x:c r="F78" s="46"/>
      <x:c r="G78" s="46"/>
      <x:c r="H78" s="46"/>
      <x:c r="I78" s="46"/>
    </x:row>
    <x:row r="79">
      <x:c r="A79" s="46"/>
      <x:c r="B79" s="46"/>
      <x:c r="C79" s="46"/>
      <x:c r="D79" s="46"/>
      <x:c r="E79" s="46"/>
      <x:c r="F79" s="46"/>
      <x:c r="G79" s="46"/>
      <x:c r="H79" s="46"/>
      <x:c r="I79" s="46"/>
    </x:row>
    <x:row r="80">
      <x:c r="A80" s="46"/>
      <x:c r="B80" s="46"/>
      <x:c r="C80" s="46"/>
      <x:c r="D80" s="46"/>
      <x:c r="E80" s="46"/>
      <x:c r="F80" s="46"/>
      <x:c r="G80" s="46"/>
      <x:c r="H80" s="46"/>
      <x:c r="I80" s="46"/>
    </x:row>
    <x:row r="81">
      <x:c r="A81" s="46"/>
      <x:c r="B81" s="46"/>
      <x:c r="C81" s="46"/>
      <x:c r="D81" s="46"/>
      <x:c r="E81" s="46"/>
      <x:c r="F81" s="46"/>
      <x:c r="G81" s="46"/>
      <x:c r="H81" s="46"/>
      <x:c r="I81" s="46"/>
    </x:row>
    <x:row r="82">
      <x:c r="A82" s="46"/>
      <x:c r="B82" s="46"/>
      <x:c r="C82" s="46"/>
      <x:c r="D82" s="46"/>
      <x:c r="E82" s="46"/>
      <x:c r="F82" s="46"/>
      <x:c r="G82" s="46"/>
      <x:c r="H82" s="46"/>
      <x:c r="I82" s="46"/>
    </x:row>
    <x:row r="83">
      <x:c r="A83" s="46"/>
      <x:c r="B83" s="46"/>
      <x:c r="C83" s="46"/>
      <x:c r="D83" s="46"/>
      <x:c r="E83" s="46"/>
      <x:c r="F83" s="46"/>
      <x:c r="G83" s="46"/>
      <x:c r="H83" s="46"/>
      <x:c r="I83" s="46"/>
    </x:row>
    <x:row r="84">
      <x:c r="A84" s="46"/>
      <x:c r="B84" s="46"/>
      <x:c r="C84" s="46"/>
      <x:c r="D84" s="46"/>
      <x:c r="E84" s="46"/>
      <x:c r="F84" s="46"/>
      <x:c r="G84" s="46"/>
      <x:c r="H84" s="46"/>
      <x:c r="I84" s="46"/>
    </x:row>
    <x:row r="85">
      <x:c r="A85" s="46"/>
      <x:c r="B85" s="46"/>
      <x:c r="C85" s="46"/>
      <x:c r="D85" s="46"/>
      <x:c r="E85" s="46"/>
      <x:c r="F85" s="46"/>
      <x:c r="G85" s="46"/>
      <x:c r="H85" s="46"/>
      <x:c r="I85" s="46"/>
    </x:row>
    <x:row r="86">
      <x:c r="A86" s="46"/>
      <x:c r="B86" s="46"/>
      <x:c r="C86" s="46"/>
      <x:c r="D86" s="46"/>
      <x:c r="E86" s="46"/>
      <x:c r="F86" s="46"/>
      <x:c r="G86" s="46"/>
      <x:c r="H86" s="46"/>
      <x:c r="I86" s="46"/>
    </x:row>
    <x:row r="87">
      <x:c r="A87" s="46"/>
      <x:c r="B87" s="46"/>
      <x:c r="C87" s="46"/>
      <x:c r="D87" s="46"/>
      <x:c r="E87" s="46"/>
      <x:c r="F87" s="46"/>
      <x:c r="G87" s="46"/>
      <x:c r="H87" s="46"/>
      <x:c r="I87" s="46"/>
    </x:row>
    <x:row r="88">
      <x:c r="A88" s="46"/>
      <x:c r="B88" s="46"/>
      <x:c r="C88" s="46"/>
      <x:c r="D88" s="46"/>
      <x:c r="E88" s="46"/>
      <x:c r="F88" s="46"/>
      <x:c r="G88" s="46"/>
      <x:c r="H88" s="46"/>
      <x:c r="I88" s="46"/>
    </x:row>
    <x:row r="89">
      <x:c r="A89" s="46"/>
      <x:c r="B89" s="46"/>
      <x:c r="C89" s="46"/>
      <x:c r="D89" s="46"/>
      <x:c r="E89" s="46"/>
      <x:c r="F89" s="46"/>
      <x:c r="G89" s="46"/>
      <x:c r="H89" s="46"/>
      <x:c r="I89" s="46"/>
    </x:row>
    <x:row r="90">
      <x:c r="A90" s="46"/>
      <x:c r="B90" s="46"/>
      <x:c r="C90" s="46"/>
      <x:c r="D90" s="46"/>
      <x:c r="E90" s="46"/>
      <x:c r="F90" s="46"/>
      <x:c r="G90" s="46"/>
      <x:c r="H90" s="46"/>
      <x:c r="I90" s="46"/>
    </x:row>
    <x:row r="91">
      <x:c r="A91" s="46"/>
      <x:c r="B91" s="46"/>
      <x:c r="C91" s="46"/>
      <x:c r="D91" s="46"/>
      <x:c r="E91" s="46"/>
      <x:c r="F91" s="46"/>
      <x:c r="G91" s="46"/>
      <x:c r="H91" s="46"/>
      <x:c r="I91" s="46"/>
    </x:row>
    <x:row r="92">
      <x:c r="A92" s="46"/>
      <x:c r="B92" s="46"/>
      <x:c r="C92" s="46"/>
      <x:c r="D92" s="46"/>
      <x:c r="E92" s="46"/>
      <x:c r="F92" s="46"/>
      <x:c r="G92" s="46"/>
      <x:c r="H92" s="46"/>
      <x:c r="I92" s="46"/>
    </x:row>
    <x:row r="93">
      <x:c r="A93" s="46"/>
      <x:c r="B93" s="46"/>
      <x:c r="C93" s="46"/>
      <x:c r="D93" s="46"/>
      <x:c r="E93" s="46"/>
      <x:c r="F93" s="46"/>
      <x:c r="G93" s="46"/>
      <x:c r="H93" s="46"/>
      <x:c r="I93" s="46"/>
    </x:row>
    <x:row r="94">
      <x:c r="A94" s="46"/>
      <x:c r="B94" s="46"/>
      <x:c r="C94" s="46"/>
      <x:c r="D94" s="46"/>
      <x:c r="E94" s="46"/>
      <x:c r="F94" s="46"/>
      <x:c r="G94" s="46"/>
      <x:c r="H94" s="46"/>
      <x:c r="I94" s="46"/>
    </x:row>
    <x:row r="95">
      <x:c r="A95" s="46"/>
      <x:c r="B95" s="46"/>
      <x:c r="C95" s="46"/>
      <x:c r="D95" s="46"/>
      <x:c r="E95" s="46"/>
      <x:c r="F95" s="46"/>
      <x:c r="G95" s="46"/>
      <x:c r="H95" s="46"/>
      <x:c r="I95" s="46"/>
    </x:row>
    <x:row r="96">
      <x:c r="A96" s="46"/>
      <x:c r="B96" s="46"/>
      <x:c r="C96" s="46"/>
      <x:c r="D96" s="46"/>
      <x:c r="E96" s="46"/>
      <x:c r="F96" s="46"/>
      <x:c r="G96" s="46"/>
      <x:c r="H96" s="46"/>
      <x:c r="I96" s="46"/>
    </x:row>
    <x:row r="97">
      <x:c r="A97" s="46"/>
      <x:c r="B97" s="46"/>
      <x:c r="C97" s="46"/>
      <x:c r="D97" s="46"/>
      <x:c r="E97" s="46"/>
      <x:c r="F97" s="46"/>
      <x:c r="G97" s="46"/>
      <x:c r="H97" s="46"/>
      <x:c r="I97" s="46"/>
    </x:row>
    <x:row r="98">
      <x:c r="A98" s="46"/>
      <x:c r="B98" s="46"/>
      <x:c r="C98" s="46"/>
      <x:c r="D98" s="46"/>
      <x:c r="E98" s="46"/>
      <x:c r="F98" s="46"/>
      <x:c r="G98" s="46"/>
      <x:c r="H98" s="46"/>
      <x:c r="I98" s="46"/>
    </x:row>
    <x:row r="99">
      <x:c r="A99" s="46"/>
      <x:c r="B99" s="46"/>
      <x:c r="C99" s="46"/>
      <x:c r="D99" s="46"/>
      <x:c r="E99" s="46"/>
      <x:c r="F99" s="46"/>
      <x:c r="G99" s="46"/>
      <x:c r="H99" s="46"/>
      <x:c r="I99" s="46"/>
    </x:row>
    <x:row r="100">
      <x:c r="A100" s="46"/>
      <x:c r="B100" s="46"/>
      <x:c r="C100" s="46"/>
      <x:c r="D100" s="46"/>
      <x:c r="E100" s="46"/>
      <x:c r="F100" s="46"/>
      <x:c r="G100" s="46"/>
      <x:c r="H100" s="46"/>
      <x:c r="I100" s="46"/>
    </x:row>
    <x:row r="101">
      <x:c r="A101" s="46"/>
      <x:c r="B101" s="46"/>
      <x:c r="C101" s="46"/>
      <x:c r="D101" s="46"/>
      <x:c r="E101" s="46"/>
      <x:c r="F101" s="46"/>
      <x:c r="G101" s="46"/>
      <x:c r="H101" s="46"/>
      <x:c r="I101" s="46"/>
    </x:row>
    <x:row r="102">
      <x:c r="A102" s="46"/>
      <x:c r="B102" s="46"/>
      <x:c r="C102" s="46"/>
      <x:c r="D102" s="46"/>
      <x:c r="E102" s="46"/>
      <x:c r="F102" s="46"/>
      <x:c r="G102" s="46"/>
      <x:c r="H102" s="46"/>
      <x:c r="I102" s="46"/>
    </x:row>
    <x:row r="103">
      <x:c r="A103" s="46"/>
      <x:c r="B103" s="46"/>
      <x:c r="C103" s="46"/>
      <x:c r="D103" s="46"/>
      <x:c r="E103" s="46"/>
      <x:c r="F103" s="46"/>
      <x:c r="G103" s="46"/>
      <x:c r="H103" s="46"/>
      <x:c r="I103" s="46"/>
    </x:row>
    <x:row r="104">
      <x:c r="A104" s="46"/>
      <x:c r="B104" s="46"/>
      <x:c r="C104" s="46"/>
      <x:c r="D104" s="46"/>
      <x:c r="E104" s="46"/>
      <x:c r="F104" s="46"/>
      <x:c r="G104" s="46"/>
      <x:c r="H104" s="46"/>
      <x:c r="I104" s="46"/>
    </x:row>
    <x:row r="105">
      <x:c r="A105" s="46"/>
      <x:c r="B105" s="46"/>
      <x:c r="C105" s="46"/>
      <x:c r="D105" s="46"/>
      <x:c r="E105" s="46"/>
      <x:c r="F105" s="46"/>
      <x:c r="G105" s="46"/>
      <x:c r="H105" s="46"/>
      <x:c r="I105" s="46"/>
    </x:row>
    <x:row r="106">
      <x:c r="A106" s="46"/>
      <x:c r="B106" s="46"/>
      <x:c r="C106" s="46"/>
      <x:c r="D106" s="46"/>
      <x:c r="E106" s="46"/>
      <x:c r="F106" s="46"/>
      <x:c r="G106" s="46"/>
      <x:c r="H106" s="46"/>
      <x:c r="I106" s="46"/>
    </x:row>
    <x:row r="107">
      <x:c r="A107" s="46"/>
      <x:c r="B107" s="46"/>
      <x:c r="C107" s="46"/>
      <x:c r="D107" s="46"/>
      <x:c r="E107" s="46"/>
      <x:c r="F107" s="46"/>
      <x:c r="G107" s="46"/>
      <x:c r="H107" s="46"/>
      <x:c r="I107" s="46"/>
    </x:row>
    <x:row r="108">
      <x:c r="A108" s="46"/>
      <x:c r="B108" s="46"/>
      <x:c r="C108" s="46"/>
      <x:c r="D108" s="46"/>
      <x:c r="E108" s="46"/>
      <x:c r="F108" s="46"/>
      <x:c r="G108" s="46"/>
      <x:c r="H108" s="46"/>
      <x:c r="I108" s="46"/>
    </x:row>
    <x:row r="109">
      <x:c r="A109" s="46"/>
      <x:c r="B109" s="46"/>
      <x:c r="C109" s="46"/>
      <x:c r="D109" s="46"/>
      <x:c r="E109" s="46"/>
      <x:c r="F109" s="46"/>
      <x:c r="G109" s="46"/>
      <x:c r="H109" s="46"/>
      <x:c r="I109" s="46"/>
    </x:row>
    <x:row r="110">
      <x:c r="A110" s="46"/>
      <x:c r="B110" s="46"/>
      <x:c r="C110" s="46"/>
      <x:c r="D110" s="46"/>
      <x:c r="E110" s="46"/>
      <x:c r="F110" s="46"/>
      <x:c r="G110" s="46"/>
      <x:c r="H110" s="46"/>
      <x:c r="I110" s="46"/>
    </x:row>
    <x:row r="111">
      <x:c r="A111" s="46"/>
      <x:c r="B111" s="46"/>
      <x:c r="C111" s="46"/>
      <x:c r="D111" s="46"/>
      <x:c r="E111" s="46"/>
      <x:c r="F111" s="46"/>
      <x:c r="G111" s="46"/>
      <x:c r="H111" s="46"/>
      <x:c r="I111" s="46"/>
    </x:row>
    <x:row r="112">
      <x:c r="A112" s="46"/>
      <x:c r="B112" s="46"/>
      <x:c r="C112" s="46"/>
      <x:c r="D112" s="46"/>
      <x:c r="E112" s="46"/>
      <x:c r="F112" s="46"/>
      <x:c r="G112" s="46"/>
      <x:c r="H112" s="46"/>
      <x:c r="I112" s="46"/>
    </x:row>
    <x:row r="113">
      <x:c r="A113" s="46"/>
      <x:c r="B113" s="46"/>
      <x:c r="C113" s="46"/>
      <x:c r="D113" s="46"/>
      <x:c r="E113" s="46"/>
      <x:c r="F113" s="46"/>
      <x:c r="G113" s="46"/>
      <x:c r="H113" s="46"/>
      <x:c r="I113" s="46"/>
    </x:row>
    <x:row r="114">
      <x:c r="A114" s="46"/>
      <x:c r="B114" s="46"/>
      <x:c r="C114" s="46"/>
      <x:c r="D114" s="46"/>
      <x:c r="E114" s="46"/>
      <x:c r="F114" s="46"/>
      <x:c r="G114" s="46"/>
      <x:c r="H114" s="46"/>
      <x:c r="I114" s="46"/>
    </x:row>
    <x:row r="115">
      <x:c r="A115" s="46"/>
      <x:c r="B115" s="46"/>
      <x:c r="C115" s="46"/>
      <x:c r="D115" s="46"/>
      <x:c r="E115" s="46"/>
      <x:c r="F115" s="46"/>
      <x:c r="G115" s="46"/>
      <x:c r="H115" s="46"/>
      <x:c r="I115" s="46"/>
    </x:row>
    <x:row r="116">
      <x:c r="A116" s="46"/>
      <x:c r="B116" s="46"/>
      <x:c r="C116" s="46"/>
      <x:c r="D116" s="46"/>
      <x:c r="E116" s="46"/>
      <x:c r="F116" s="46"/>
      <x:c r="G116" s="46"/>
      <x:c r="H116" s="46"/>
      <x:c r="I116" s="46"/>
    </x:row>
    <x:row r="117">
      <x:c r="A117" s="46"/>
      <x:c r="B117" s="46"/>
      <x:c r="C117" s="46"/>
      <x:c r="D117" s="46"/>
      <x:c r="E117" s="46"/>
      <x:c r="F117" s="46"/>
      <x:c r="G117" s="46"/>
      <x:c r="H117" s="46"/>
      <x:c r="I117" s="46"/>
    </x:row>
    <x:row r="118">
      <x:c r="A118" s="46"/>
      <x:c r="B118" s="46"/>
      <x:c r="C118" s="46"/>
      <x:c r="D118" s="46"/>
      <x:c r="E118" s="46"/>
      <x:c r="F118" s="46"/>
      <x:c r="G118" s="46"/>
      <x:c r="H118" s="46"/>
      <x:c r="I118" s="46"/>
    </x:row>
    <x:row r="119">
      <x:c r="A119" s="46"/>
      <x:c r="B119" s="46"/>
      <x:c r="C119" s="46"/>
      <x:c r="D119" s="46"/>
      <x:c r="E119" s="46"/>
      <x:c r="F119" s="46"/>
      <x:c r="G119" s="46"/>
      <x:c r="H119" s="46"/>
      <x:c r="I119" s="46"/>
    </x:row>
    <x:row r="120">
      <x:c r="A120" s="46"/>
      <x:c r="B120" s="46"/>
      <x:c r="C120" s="46"/>
      <x:c r="D120" s="46"/>
      <x:c r="E120" s="46"/>
      <x:c r="F120" s="46"/>
      <x:c r="G120" s="46"/>
      <x:c r="H120" s="46"/>
      <x:c r="I120" s="46"/>
    </x:row>
    <x:row r="121">
      <x:c r="A121" s="46"/>
      <x:c r="B121" s="46"/>
      <x:c r="C121" s="46"/>
      <x:c r="D121" s="46"/>
      <x:c r="E121" s="46"/>
      <x:c r="F121" s="46"/>
      <x:c r="G121" s="46"/>
      <x:c r="H121" s="46"/>
      <x:c r="I121" s="46"/>
    </x:row>
    <x:row r="122">
      <x:c r="A122" s="46"/>
      <x:c r="B122" s="46"/>
      <x:c r="C122" s="46"/>
      <x:c r="D122" s="46"/>
      <x:c r="E122" s="46"/>
      <x:c r="F122" s="46"/>
      <x:c r="G122" s="46"/>
      <x:c r="H122" s="46"/>
      <x:c r="I122" s="46"/>
    </x:row>
    <x:row r="123">
      <x:c r="A123" s="46"/>
      <x:c r="B123" s="46"/>
      <x:c r="C123" s="46"/>
      <x:c r="D123" s="46"/>
      <x:c r="E123" s="46"/>
      <x:c r="F123" s="46"/>
      <x:c r="G123" s="46"/>
      <x:c r="H123" s="46"/>
      <x:c r="I123" s="46"/>
    </x:row>
    <x:row r="124">
      <x:c r="A124" s="46"/>
      <x:c r="B124" s="46"/>
      <x:c r="C124" s="46"/>
      <x:c r="D124" s="46"/>
      <x:c r="E124" s="46"/>
      <x:c r="F124" s="46"/>
      <x:c r="G124" s="46"/>
      <x:c r="H124" s="46"/>
      <x:c r="I124" s="46"/>
    </x:row>
    <x:row r="125">
      <x:c r="A125" s="46"/>
      <x:c r="B125" s="46"/>
      <x:c r="C125" s="46"/>
      <x:c r="D125" s="46"/>
      <x:c r="E125" s="46"/>
      <x:c r="F125" s="46"/>
      <x:c r="G125" s="46"/>
      <x:c r="H125" s="46"/>
      <x:c r="I125" s="46"/>
    </x:row>
    <x:row r="126">
      <x:c r="A126" s="46"/>
      <x:c r="B126" s="46"/>
      <x:c r="C126" s="46"/>
      <x:c r="D126" s="46"/>
      <x:c r="E126" s="46"/>
      <x:c r="F126" s="46"/>
      <x:c r="G126" s="46"/>
      <x:c r="H126" s="46"/>
      <x:c r="I126" s="46"/>
    </x:row>
    <x:row r="127">
      <x:c r="A127" s="46"/>
      <x:c r="B127" s="46"/>
      <x:c r="C127" s="46"/>
      <x:c r="D127" s="46"/>
      <x:c r="E127" s="46"/>
      <x:c r="F127" s="46"/>
      <x:c r="G127" s="46"/>
      <x:c r="H127" s="46"/>
      <x:c r="I127" s="46"/>
    </x:row>
    <x:row r="128">
      <x:c r="A128" s="46"/>
      <x:c r="B128" s="46"/>
      <x:c r="C128" s="46"/>
      <x:c r="D128" s="46"/>
      <x:c r="E128" s="46"/>
      <x:c r="F128" s="46"/>
      <x:c r="G128" s="46"/>
      <x:c r="H128" s="46"/>
      <x:c r="I128" s="46"/>
    </x:row>
    <x:row r="129">
      <x:c r="A129" s="46"/>
      <x:c r="B129" s="46"/>
      <x:c r="C129" s="46"/>
      <x:c r="D129" s="46"/>
      <x:c r="E129" s="46"/>
      <x:c r="F129" s="46"/>
      <x:c r="G129" s="46"/>
      <x:c r="H129" s="46"/>
      <x:c r="I129" s="46"/>
    </x:row>
    <x:row r="130">
      <x:c r="A130" s="46"/>
      <x:c r="B130" s="46"/>
      <x:c r="C130" s="46"/>
      <x:c r="D130" s="46"/>
      <x:c r="E130" s="46"/>
      <x:c r="F130" s="46"/>
      <x:c r="G130" s="46"/>
      <x:c r="H130" s="46"/>
      <x:c r="I130" s="46"/>
    </x:row>
    <x:row r="131">
      <x:c r="A131" s="46"/>
      <x:c r="B131" s="46"/>
      <x:c r="C131" s="46"/>
      <x:c r="D131" s="46"/>
      <x:c r="E131" s="46"/>
      <x:c r="F131" s="46"/>
      <x:c r="G131" s="46"/>
      <x:c r="H131" s="46"/>
      <x:c r="I131" s="46"/>
    </x:row>
    <x:row r="132">
      <x:c r="A132" s="46"/>
      <x:c r="B132" s="46"/>
      <x:c r="C132" s="46"/>
      <x:c r="D132" s="46"/>
      <x:c r="E132" s="46"/>
      <x:c r="F132" s="46"/>
      <x:c r="G132" s="46"/>
      <x:c r="H132" s="46"/>
      <x:c r="I132" s="46"/>
    </x:row>
    <x:row r="133">
      <x:c r="A133" s="46"/>
      <x:c r="B133" s="46"/>
      <x:c r="C133" s="46"/>
      <x:c r="D133" s="46"/>
      <x:c r="E133" s="46"/>
      <x:c r="F133" s="46"/>
      <x:c r="G133" s="46"/>
      <x:c r="H133" s="46"/>
      <x:c r="I133" s="46"/>
    </x:row>
    <x:row r="134">
      <x:c r="A134" s="46"/>
      <x:c r="B134" s="46"/>
      <x:c r="C134" s="46"/>
      <x:c r="D134" s="46"/>
      <x:c r="E134" s="46"/>
      <x:c r="F134" s="46"/>
      <x:c r="G134" s="46"/>
      <x:c r="H134" s="46"/>
      <x:c r="I134" s="46"/>
    </x:row>
    <x:row r="135">
      <x:c r="A135" s="46"/>
      <x:c r="B135" s="46"/>
      <x:c r="C135" s="46"/>
      <x:c r="D135" s="46"/>
      <x:c r="E135" s="46"/>
      <x:c r="F135" s="46"/>
      <x:c r="G135" s="46"/>
      <x:c r="H135" s="46"/>
      <x:c r="I135" s="46"/>
    </x:row>
    <x:row r="136">
      <x:c r="A136" s="46"/>
      <x:c r="B136" s="46"/>
      <x:c r="C136" s="46"/>
      <x:c r="D136" s="46"/>
      <x:c r="E136" s="46"/>
      <x:c r="F136" s="46"/>
      <x:c r="G136" s="46"/>
      <x:c r="H136" s="46"/>
      <x:c r="I136" s="46"/>
    </x:row>
    <x:row r="137">
      <x:c r="A137" s="46"/>
      <x:c r="B137" s="46"/>
      <x:c r="C137" s="46"/>
      <x:c r="D137" s="46"/>
      <x:c r="E137" s="46"/>
      <x:c r="F137" s="46"/>
      <x:c r="G137" s="46"/>
      <x:c r="H137" s="46"/>
      <x:c r="I137" s="46"/>
    </x:row>
    <x:row r="138">
      <x:c r="A138" s="46"/>
      <x:c r="B138" s="46"/>
      <x:c r="C138" s="46"/>
      <x:c r="D138" s="46"/>
      <x:c r="E138" s="46"/>
      <x:c r="F138" s="46"/>
      <x:c r="G138" s="46"/>
      <x:c r="H138" s="46"/>
      <x:c r="I138" s="46"/>
    </x:row>
    <x:row r="139">
      <x:c r="A139" s="46"/>
      <x:c r="B139" s="46"/>
      <x:c r="C139" s="46"/>
      <x:c r="D139" s="46"/>
      <x:c r="E139" s="46"/>
      <x:c r="F139" s="46"/>
      <x:c r="G139" s="46"/>
      <x:c r="H139" s="46"/>
      <x:c r="I139" s="46"/>
    </x:row>
    <x:row r="140">
      <x:c r="A140" s="46"/>
      <x:c r="B140" s="46"/>
      <x:c r="C140" s="46"/>
      <x:c r="D140" s="46"/>
      <x:c r="E140" s="46"/>
      <x:c r="F140" s="46"/>
      <x:c r="G140" s="46"/>
      <x:c r="H140" s="46"/>
      <x:c r="I140" s="46"/>
    </x:row>
    <x:row r="141">
      <x:c r="A141" s="46"/>
      <x:c r="B141" s="46"/>
      <x:c r="C141" s="46"/>
      <x:c r="D141" s="46"/>
      <x:c r="E141" s="46"/>
      <x:c r="F141" s="46"/>
      <x:c r="G141" s="46"/>
      <x:c r="H141" s="46"/>
      <x:c r="I141" s="46"/>
    </x:row>
    <x:row r="142">
      <x:c r="A142" s="46"/>
      <x:c r="B142" s="46"/>
      <x:c r="C142" s="46"/>
      <x:c r="D142" s="46"/>
      <x:c r="E142" s="46"/>
      <x:c r="F142" s="46"/>
      <x:c r="G142" s="46"/>
      <x:c r="H142" s="46"/>
      <x:c r="I142" s="46"/>
    </x:row>
    <x:row r="143">
      <x:c r="A143" s="46"/>
      <x:c r="B143" s="46"/>
      <x:c r="C143" s="46"/>
      <x:c r="D143" s="46"/>
      <x:c r="E143" s="46"/>
      <x:c r="F143" s="46"/>
      <x:c r="G143" s="46"/>
      <x:c r="H143" s="46"/>
      <x:c r="I143" s="46"/>
    </x:row>
    <x:row r="144">
      <x:c r="A144" s="46"/>
      <x:c r="B144" s="46"/>
      <x:c r="C144" s="46"/>
      <x:c r="D144" s="46"/>
      <x:c r="E144" s="46"/>
      <x:c r="F144" s="46"/>
      <x:c r="G144" s="46"/>
      <x:c r="H144" s="46"/>
      <x:c r="I144" s="46"/>
    </x:row>
    <x:row r="145">
      <x:c r="A145" s="46"/>
      <x:c r="B145" s="46"/>
      <x:c r="C145" s="46"/>
      <x:c r="D145" s="46"/>
      <x:c r="E145" s="46"/>
      <x:c r="F145" s="46"/>
      <x:c r="G145" s="46"/>
      <x:c r="H145" s="46"/>
      <x:c r="I145" s="46"/>
    </x:row>
    <x:row r="146">
      <x:c r="A146" s="46"/>
      <x:c r="B146" s="46"/>
      <x:c r="C146" s="46"/>
      <x:c r="D146" s="46"/>
      <x:c r="E146" s="46"/>
      <x:c r="F146" s="46"/>
      <x:c r="G146" s="46"/>
      <x:c r="H146" s="46"/>
      <x:c r="I146" s="46"/>
    </x:row>
    <x:row r="147">
      <x:c r="A147" s="46"/>
      <x:c r="B147" s="46"/>
      <x:c r="C147" s="46"/>
      <x:c r="D147" s="46"/>
      <x:c r="E147" s="46"/>
      <x:c r="F147" s="46"/>
      <x:c r="G147" s="46"/>
      <x:c r="H147" s="46"/>
      <x:c r="I147" s="46"/>
    </x:row>
    <x:row r="148">
      <x:c r="A148" s="46"/>
      <x:c r="B148" s="46"/>
      <x:c r="C148" s="46"/>
      <x:c r="D148" s="46"/>
      <x:c r="E148" s="46"/>
      <x:c r="F148" s="46"/>
      <x:c r="G148" s="46"/>
      <x:c r="H148" s="46"/>
      <x:c r="I148" s="46"/>
    </x:row>
    <x:row r="149">
      <x:c r="A149" s="46"/>
      <x:c r="B149" s="46"/>
      <x:c r="C149" s="46"/>
      <x:c r="D149" s="46"/>
      <x:c r="E149" s="46"/>
      <x:c r="F149" s="46"/>
      <x:c r="G149" s="46"/>
      <x:c r="H149" s="46"/>
      <x:c r="I149" s="46"/>
    </x:row>
    <x:row r="150">
      <x:c r="A150" s="46"/>
      <x:c r="B150" s="46"/>
      <x:c r="C150" s="46"/>
      <x:c r="D150" s="46"/>
      <x:c r="E150" s="46"/>
      <x:c r="F150" s="46"/>
      <x:c r="G150" s="46"/>
      <x:c r="H150" s="46"/>
      <x:c r="I150" s="46"/>
    </x:row>
    <x:row r="151">
      <x:c r="A151" s="46"/>
      <x:c r="B151" s="46"/>
      <x:c r="C151" s="46"/>
      <x:c r="D151" s="46"/>
      <x:c r="E151" s="46"/>
      <x:c r="F151" s="46"/>
      <x:c r="G151" s="46"/>
      <x:c r="H151" s="46"/>
      <x:c r="I151" s="46"/>
    </x:row>
    <x:row r="152">
      <x:c r="A152" s="46"/>
      <x:c r="B152" s="46"/>
      <x:c r="C152" s="46"/>
      <x:c r="D152" s="46"/>
      <x:c r="E152" s="46"/>
      <x:c r="F152" s="46"/>
      <x:c r="G152" s="46"/>
      <x:c r="H152" s="46"/>
      <x:c r="I152" s="46"/>
    </x:row>
    <x:row r="153">
      <x:c r="A153" s="46"/>
      <x:c r="B153" s="46"/>
      <x:c r="C153" s="46"/>
      <x:c r="D153" s="46"/>
      <x:c r="E153" s="46"/>
      <x:c r="F153" s="46"/>
      <x:c r="G153" s="46"/>
      <x:c r="H153" s="46"/>
      <x:c r="I153" s="46"/>
    </x:row>
    <x:row r="154">
      <x:c r="A154" s="46"/>
      <x:c r="B154" s="46"/>
      <x:c r="C154" s="46"/>
      <x:c r="D154" s="46"/>
      <x:c r="E154" s="46"/>
      <x:c r="F154" s="46"/>
      <x:c r="G154" s="46"/>
      <x:c r="H154" s="46"/>
      <x:c r="I154" s="46"/>
    </x:row>
    <x:row r="155">
      <x:c r="A155" s="46"/>
      <x:c r="B155" s="46"/>
      <x:c r="C155" s="46"/>
      <x:c r="D155" s="46"/>
      <x:c r="E155" s="46"/>
      <x:c r="F155" s="46"/>
      <x:c r="G155" s="46"/>
      <x:c r="H155" s="46"/>
      <x:c r="I155" s="46"/>
    </x:row>
    <x:row r="156">
      <x:c r="A156" s="46"/>
      <x:c r="B156" s="46"/>
      <x:c r="C156" s="46"/>
      <x:c r="D156" s="46"/>
      <x:c r="E156" s="46"/>
      <x:c r="F156" s="46"/>
      <x:c r="G156" s="46"/>
      <x:c r="H156" s="46"/>
      <x:c r="I156" s="46"/>
    </x:row>
    <x:row r="157">
      <x:c r="A157" s="46"/>
      <x:c r="B157" s="46"/>
      <x:c r="C157" s="46"/>
      <x:c r="D157" s="46"/>
      <x:c r="E157" s="46"/>
      <x:c r="F157" s="46"/>
      <x:c r="G157" s="46"/>
      <x:c r="H157" s="46"/>
      <x:c r="I157" s="46"/>
    </x:row>
    <x:row r="158">
      <x:c r="A158" s="46"/>
      <x:c r="B158" s="46"/>
      <x:c r="C158" s="46"/>
      <x:c r="D158" s="46"/>
      <x:c r="E158" s="46"/>
      <x:c r="F158" s="46"/>
      <x:c r="G158" s="46"/>
      <x:c r="H158" s="46"/>
      <x:c r="I158" s="46"/>
    </x:row>
    <x:row r="159">
      <x:c r="A159" s="46"/>
      <x:c r="B159" s="46"/>
      <x:c r="C159" s="46"/>
      <x:c r="D159" s="46"/>
      <x:c r="E159" s="46"/>
      <x:c r="F159" s="46"/>
      <x:c r="G159" s="46"/>
      <x:c r="H159" s="46"/>
      <x:c r="I159" s="46"/>
    </x:row>
    <x:row r="160">
      <x:c r="A160" s="46"/>
      <x:c r="B160" s="46"/>
      <x:c r="C160" s="46"/>
      <x:c r="D160" s="46"/>
      <x:c r="E160" s="46"/>
      <x:c r="F160" s="46"/>
      <x:c r="G160" s="46"/>
      <x:c r="H160" s="46"/>
      <x:c r="I160" s="46"/>
    </x:row>
    <x:row r="161">
      <x:c r="A161" s="46"/>
      <x:c r="B161" s="46"/>
      <x:c r="C161" s="46"/>
      <x:c r="D161" s="46"/>
      <x:c r="E161" s="46"/>
      <x:c r="F161" s="46"/>
      <x:c r="G161" s="46"/>
      <x:c r="H161" s="46"/>
      <x:c r="I161" s="46"/>
    </x:row>
    <x:row r="162">
      <x:c r="A162" s="46"/>
      <x:c r="B162" s="46"/>
      <x:c r="C162" s="46"/>
      <x:c r="D162" s="46"/>
      <x:c r="E162" s="46"/>
      <x:c r="F162" s="46"/>
      <x:c r="G162" s="46"/>
      <x:c r="H162" s="46"/>
      <x:c r="I162" s="46"/>
    </x:row>
    <x:row r="163">
      <x:c r="A163" s="46"/>
      <x:c r="B163" s="46"/>
      <x:c r="C163" s="46"/>
      <x:c r="D163" s="46"/>
      <x:c r="E163" s="46"/>
      <x:c r="F163" s="46"/>
      <x:c r="G163" s="46"/>
      <x:c r="H163" s="46"/>
      <x:c r="I163" s="46"/>
    </x:row>
    <x:row r="164">
      <x:c r="A164" s="46"/>
      <x:c r="B164" s="46"/>
      <x:c r="C164" s="46"/>
      <x:c r="D164" s="46"/>
      <x:c r="E164" s="46"/>
      <x:c r="F164" s="46"/>
      <x:c r="G164" s="46"/>
      <x:c r="H164" s="46"/>
      <x:c r="I164" s="46"/>
    </x:row>
    <x:row r="165">
      <x:c r="A165" s="46"/>
      <x:c r="B165" s="46"/>
      <x:c r="C165" s="46"/>
      <x:c r="D165" s="46"/>
      <x:c r="E165" s="46"/>
      <x:c r="F165" s="46"/>
      <x:c r="G165" s="46"/>
      <x:c r="H165" s="46"/>
      <x:c r="I165" s="46"/>
    </x:row>
    <x:row r="166">
      <x:c r="A166" s="46"/>
      <x:c r="B166" s="46"/>
      <x:c r="C166" s="46"/>
      <x:c r="D166" s="46"/>
      <x:c r="E166" s="46"/>
      <x:c r="F166" s="46"/>
      <x:c r="G166" s="46"/>
      <x:c r="H166" s="46"/>
      <x:c r="I166" s="46"/>
    </x:row>
    <x:row r="167">
      <x:c r="A167" s="46"/>
      <x:c r="B167" s="46"/>
      <x:c r="C167" s="46"/>
      <x:c r="D167" s="46"/>
      <x:c r="E167" s="46"/>
      <x:c r="F167" s="46"/>
      <x:c r="G167" s="46"/>
      <x:c r="H167" s="46"/>
      <x:c r="I167" s="46"/>
    </x:row>
    <x:row r="168">
      <x:c r="A168" s="46"/>
      <x:c r="B168" s="46"/>
      <x:c r="C168" s="46"/>
      <x:c r="D168" s="46"/>
      <x:c r="E168" s="46"/>
      <x:c r="F168" s="46"/>
      <x:c r="G168" s="46"/>
      <x:c r="H168" s="46"/>
      <x:c r="I168" s="46"/>
    </x:row>
    <x:row r="169">
      <x:c r="A169" s="46"/>
      <x:c r="B169" s="46"/>
      <x:c r="C169" s="46"/>
      <x:c r="D169" s="46"/>
      <x:c r="E169" s="46"/>
      <x:c r="F169" s="46"/>
      <x:c r="G169" s="46"/>
      <x:c r="H169" s="46"/>
      <x:c r="I169" s="46"/>
    </x:row>
    <x:row r="170">
      <x:c r="A170" s="46"/>
      <x:c r="B170" s="46"/>
      <x:c r="C170" s="46"/>
      <x:c r="D170" s="46"/>
      <x:c r="E170" s="46"/>
      <x:c r="F170" s="46"/>
      <x:c r="G170" s="46"/>
      <x:c r="H170" s="46"/>
      <x:c r="I170" s="46"/>
    </x:row>
    <x:row r="171">
      <x:c r="A171" s="46"/>
      <x:c r="B171" s="46"/>
      <x:c r="C171" s="46"/>
      <x:c r="D171" s="46"/>
      <x:c r="E171" s="46"/>
      <x:c r="F171" s="46"/>
      <x:c r="G171" s="46"/>
      <x:c r="H171" s="46"/>
      <x:c r="I171" s="46"/>
    </x:row>
    <x:row r="172">
      <x:c r="A172" s="46"/>
      <x:c r="B172" s="46"/>
      <x:c r="C172" s="46"/>
      <x:c r="D172" s="46"/>
      <x:c r="E172" s="46"/>
      <x:c r="F172" s="46"/>
      <x:c r="G172" s="46"/>
      <x:c r="H172" s="46"/>
      <x:c r="I172" s="46"/>
    </x:row>
    <x:row r="173">
      <x:c r="A173" s="46"/>
      <x:c r="B173" s="46"/>
      <x:c r="C173" s="46"/>
      <x:c r="D173" s="46"/>
      <x:c r="E173" s="46"/>
      <x:c r="F173" s="46"/>
      <x:c r="G173" s="46"/>
      <x:c r="H173" s="46"/>
      <x:c r="I173" s="46"/>
    </x:row>
    <x:row r="174">
      <x:c r="A174" s="46"/>
      <x:c r="B174" s="46"/>
      <x:c r="C174" s="46"/>
      <x:c r="D174" s="46"/>
      <x:c r="E174" s="46"/>
      <x:c r="F174" s="46"/>
      <x:c r="G174" s="46"/>
      <x:c r="H174" s="46"/>
      <x:c r="I174" s="46"/>
    </x:row>
    <x:row r="175">
      <x:c r="A175" s="46"/>
      <x:c r="B175" s="46"/>
      <x:c r="C175" s="46"/>
      <x:c r="D175" s="46"/>
      <x:c r="E175" s="46"/>
      <x:c r="F175" s="46"/>
      <x:c r="G175" s="46"/>
      <x:c r="H175" s="46"/>
      <x:c r="I175" s="46"/>
    </x:row>
    <x:row r="176">
      <x:c r="A176" s="46"/>
      <x:c r="B176" s="46"/>
      <x:c r="C176" s="46"/>
      <x:c r="D176" s="46"/>
      <x:c r="E176" s="46"/>
      <x:c r="F176" s="46"/>
      <x:c r="G176" s="46"/>
      <x:c r="H176" s="46"/>
      <x:c r="I176" s="46"/>
    </x:row>
    <x:row r="177">
      <x:c r="A177" s="46"/>
      <x:c r="B177" s="46"/>
      <x:c r="C177" s="46"/>
      <x:c r="D177" s="46"/>
      <x:c r="E177" s="46"/>
      <x:c r="F177" s="46"/>
      <x:c r="G177" s="46"/>
      <x:c r="H177" s="46"/>
      <x:c r="I177" s="46"/>
    </x:row>
    <x:row r="178">
      <x:c r="A178" s="46"/>
      <x:c r="B178" s="46"/>
      <x:c r="C178" s="46"/>
      <x:c r="D178" s="46"/>
      <x:c r="E178" s="46"/>
      <x:c r="F178" s="46"/>
      <x:c r="G178" s="46"/>
      <x:c r="H178" s="46"/>
      <x:c r="I178" s="46"/>
    </x:row>
    <x:row r="179">
      <x:c r="A179" s="46"/>
      <x:c r="B179" s="46"/>
      <x:c r="C179" s="46"/>
      <x:c r="D179" s="46"/>
      <x:c r="E179" s="46"/>
      <x:c r="F179" s="46"/>
      <x:c r="G179" s="46"/>
      <x:c r="H179" s="46"/>
      <x:c r="I179" s="46"/>
    </x:row>
    <x:row r="180">
      <x:c r="A180" s="46"/>
      <x:c r="B180" s="46"/>
      <x:c r="C180" s="46"/>
      <x:c r="D180" s="46"/>
      <x:c r="E180" s="46"/>
      <x:c r="F180" s="46"/>
      <x:c r="G180" s="46"/>
      <x:c r="H180" s="46"/>
      <x:c r="I180" s="46"/>
    </x:row>
    <x:row r="181">
      <x:c r="A181" s="46"/>
      <x:c r="B181" s="46"/>
      <x:c r="C181" s="46"/>
      <x:c r="D181" s="46"/>
      <x:c r="E181" s="46"/>
      <x:c r="F181" s="46"/>
      <x:c r="G181" s="46"/>
      <x:c r="H181" s="46"/>
      <x:c r="I181" s="46"/>
    </x:row>
    <x:row r="182">
      <x:c r="A182" s="46"/>
      <x:c r="B182" s="46"/>
      <x:c r="C182" s="46"/>
      <x:c r="D182" s="46"/>
      <x:c r="E182" s="46"/>
      <x:c r="F182" s="46"/>
      <x:c r="G182" s="46"/>
      <x:c r="H182" s="46"/>
      <x:c r="I182" s="46"/>
    </x:row>
    <x:row r="183">
      <x:c r="A183" s="46"/>
      <x:c r="B183" s="46"/>
      <x:c r="C183" s="46"/>
      <x:c r="D183" s="46"/>
      <x:c r="E183" s="46"/>
      <x:c r="F183" s="46"/>
      <x:c r="G183" s="46"/>
      <x:c r="H183" s="46"/>
      <x:c r="I183" s="46"/>
    </x:row>
    <x:row r="184">
      <x:c r="A184" s="46"/>
      <x:c r="B184" s="46"/>
      <x:c r="C184" s="46"/>
      <x:c r="D184" s="46"/>
      <x:c r="E184" s="46"/>
      <x:c r="F184" s="46"/>
      <x:c r="G184" s="46"/>
      <x:c r="H184" s="46"/>
      <x:c r="I184" s="46"/>
    </x:row>
    <x:row r="185">
      <x:c r="A185" s="46"/>
      <x:c r="B185" s="46"/>
      <x:c r="C185" s="46"/>
      <x:c r="D185" s="46"/>
      <x:c r="E185" s="46"/>
      <x:c r="F185" s="46"/>
      <x:c r="G185" s="46"/>
      <x:c r="H185" s="46"/>
      <x:c r="I185" s="46"/>
    </x:row>
    <x:row r="186">
      <x:c r="A186" s="46"/>
      <x:c r="B186" s="46"/>
      <x:c r="C186" s="46"/>
      <x:c r="D186" s="46"/>
      <x:c r="E186" s="46"/>
      <x:c r="F186" s="46"/>
      <x:c r="G186" s="46"/>
      <x:c r="H186" s="46"/>
      <x:c r="I186" s="46"/>
    </x:row>
    <x:row r="187">
      <x:c r="A187" s="46"/>
      <x:c r="B187" s="46"/>
      <x:c r="C187" s="46"/>
      <x:c r="D187" s="46"/>
      <x:c r="E187" s="46"/>
      <x:c r="F187" s="46"/>
      <x:c r="G187" s="46"/>
      <x:c r="H187" s="46"/>
      <x:c r="I187" s="46"/>
    </x:row>
    <x:row r="188">
      <x:c r="A188" s="46"/>
      <x:c r="B188" s="46"/>
      <x:c r="C188" s="46"/>
      <x:c r="D188" s="46"/>
      <x:c r="E188" s="46"/>
      <x:c r="F188" s="46"/>
      <x:c r="G188" s="46"/>
      <x:c r="H188" s="46"/>
      <x:c r="I188" s="46"/>
    </x:row>
    <x:row r="189">
      <x:c r="A189" s="46"/>
      <x:c r="B189" s="46"/>
      <x:c r="C189" s="46"/>
      <x:c r="D189" s="46"/>
      <x:c r="E189" s="46"/>
      <x:c r="F189" s="46"/>
      <x:c r="G189" s="46"/>
      <x:c r="H189" s="46"/>
      <x:c r="I189" s="46"/>
    </x:row>
    <x:row r="190">
      <x:c r="A190" s="46"/>
      <x:c r="B190" s="46"/>
      <x:c r="C190" s="46"/>
      <x:c r="D190" s="46"/>
      <x:c r="E190" s="46"/>
      <x:c r="F190" s="46"/>
      <x:c r="G190" s="46"/>
      <x:c r="H190" s="46"/>
      <x:c r="I190" s="46"/>
    </x:row>
    <x:row r="191">
      <x:c r="A191" s="46"/>
      <x:c r="B191" s="46"/>
      <x:c r="C191" s="46"/>
      <x:c r="D191" s="46"/>
      <x:c r="E191" s="46"/>
      <x:c r="F191" s="46"/>
      <x:c r="G191" s="46"/>
      <x:c r="H191" s="46"/>
      <x:c r="I191" s="46"/>
    </x:row>
    <x:row r="192">
      <x:c r="A192" s="46"/>
      <x:c r="B192" s="46"/>
      <x:c r="C192" s="46"/>
      <x:c r="D192" s="46"/>
      <x:c r="E192" s="46"/>
      <x:c r="F192" s="46"/>
      <x:c r="G192" s="46"/>
      <x:c r="H192" s="46"/>
      <x:c r="I192" s="46"/>
    </x:row>
    <x:row r="193">
      <x:c r="A193" s="46"/>
      <x:c r="B193" s="46"/>
      <x:c r="C193" s="46"/>
      <x:c r="D193" s="46"/>
      <x:c r="E193" s="46"/>
      <x:c r="F193" s="46"/>
      <x:c r="G193" s="46"/>
      <x:c r="H193" s="46"/>
      <x:c r="I193" s="46"/>
    </x:row>
    <x:row r="194">
      <x:c r="A194" s="46"/>
      <x:c r="B194" s="46"/>
      <x:c r="C194" s="46"/>
      <x:c r="D194" s="46"/>
      <x:c r="E194" s="46"/>
      <x:c r="F194" s="46"/>
      <x:c r="G194" s="46"/>
      <x:c r="H194" s="46"/>
      <x:c r="I194" s="46"/>
    </x:row>
    <x:row r="195">
      <x:c r="A195" s="46"/>
      <x:c r="B195" s="46"/>
      <x:c r="C195" s="46"/>
      <x:c r="D195" s="46"/>
      <x:c r="E195" s="46"/>
      <x:c r="F195" s="46"/>
      <x:c r="G195" s="46"/>
      <x:c r="H195" s="46"/>
      <x:c r="I195" s="46"/>
    </x:row>
    <x:row r="196">
      <x:c r="A196" s="46"/>
      <x:c r="B196" s="46"/>
      <x:c r="C196" s="46"/>
      <x:c r="D196" s="46"/>
      <x:c r="E196" s="46"/>
      <x:c r="F196" s="46"/>
      <x:c r="G196" s="46"/>
      <x:c r="H196" s="46"/>
      <x:c r="I196" s="46"/>
    </x:row>
    <x:row r="197">
      <x:c r="A197" s="46"/>
      <x:c r="B197" s="46"/>
      <x:c r="C197" s="46"/>
      <x:c r="D197" s="46"/>
      <x:c r="E197" s="46"/>
      <x:c r="F197" s="46"/>
      <x:c r="G197" s="46"/>
      <x:c r="H197" s="46"/>
      <x:c r="I197" s="46"/>
    </x:row>
    <x:row r="198">
      <x:c r="A198" s="46"/>
      <x:c r="B198" s="46"/>
      <x:c r="C198" s="46"/>
      <x:c r="D198" s="46"/>
      <x:c r="E198" s="46"/>
      <x:c r="F198" s="46"/>
      <x:c r="G198" s="46"/>
      <x:c r="H198" s="46"/>
      <x:c r="I198" s="46"/>
    </x:row>
    <x:row r="199">
      <x:c r="A199" s="46"/>
      <x:c r="B199" s="46"/>
      <x:c r="C199" s="46"/>
      <x:c r="D199" s="46"/>
      <x:c r="E199" s="46"/>
      <x:c r="F199" s="46"/>
      <x:c r="G199" s="46"/>
      <x:c r="H199" s="46"/>
      <x:c r="I199" s="46"/>
    </x:row>
    <x:row r="200">
      <x:c r="A200" s="46"/>
      <x:c r="B200" s="46"/>
      <x:c r="C200" s="46"/>
      <x:c r="D200" s="46"/>
      <x:c r="E200" s="46"/>
      <x:c r="F200" s="46"/>
      <x:c r="G200" s="46"/>
      <x:c r="H200" s="46"/>
      <x:c r="I200" s="46"/>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4" hidden="0" customWidth="1"/>
    <x:col min="2" max="2" width="22" hidden="0" customWidth="1"/>
    <x:col min="3" max="3" width="45" hidden="0" customWidth="1"/>
    <x:col min="4" max="4" width="52" hidden="0" customWidth="1"/>
    <x:col min="5" max="5" width="45" hidden="0" customWidth="1"/>
    <x:col min="6" max="6" width="55" hidden="0" customWidth="1"/>
    <x:col min="7" max="7" width="25" hidden="0" customWidth="1"/>
    <x:col min="8" max="8" width="38" hidden="0" customWidth="1"/>
  </x:cols>
  <x:sheetData>
    <x:row r="1" ht="36" customHeight="1">
      <x:c r="A1" s="106" t="str">
        <x:v>scope</x:v>
      </x:c>
      <x:c r="B1" s="106" t="str">
        <x:v>member</x:v>
      </x:c>
      <x:c r="C1" s="106" t="str">
        <x:v>core_state_status</x:v>
      </x:c>
      <x:c r="D1" s="106" t="str">
        <x:v>additional_state_status</x:v>
      </x:c>
      <x:c r="E1" s="106" t="str">
        <x:v>governed_evidence</x:v>
      </x:c>
      <x:c r="F1" s="106" t="str">
        <x:v>remaining_gaps</x:v>
      </x:c>
      <x:c r="G1" s="106" t="str">
        <x:v>blocker_for_poultry_phase_close</x:v>
      </x:c>
      <x:c r="H1" s="106" t="str">
        <x:v>recommended_phase_status</x:v>
      </x:c>
    </x:row>
    <x:row r="2">
      <x:c r="A2" s="46" t="str">
        <x:v>domesticated poultry</x:v>
      </x:c>
      <x:c r="B2" s="46" t="str">
        <x:v>chicken</x:v>
      </x:c>
      <x:c r="C2" s="46" t="str">
        <x:v>raw + roasted governed; poached thin direct</x:v>
      </x:c>
      <x:c r="D2" s="46" t="str">
        <x:v>fried/grilled direct sources exist but compound tables incomplete; stewed/air-fried supplemental</x:v>
      </x:c>
      <x:c r="E2" s="46" t="str">
        <x:v>Verified Chicken Profiles + Chicken State Coverage</x:v>
      </x:c>
      <x:c r="F2" s="108" t="str">
        <x:v>extract fried 28-key table; find compound-resolved grilled table</x:v>
      </x:c>
      <x:c r="G2" s="46" t="str">
        <x:v>no</x:v>
      </x:c>
      <x:c r="H2" s="107" t="str">
        <x:v>core_complete_enrichment_open</x:v>
      </x:c>
    </x:row>
    <x:row r="3">
      <x:c r="A3" s="46" t="str">
        <x:v>domesticated poultry</x:v>
      </x:c>
      <x:c r="B3" s="46" t="str">
        <x:v>duck</x:v>
      </x:c>
      <x:c r="C3" s="46" t="str">
        <x:v>raw/cooked/roasted/smoked governed</x:v>
      </x:c>
      <x:c r="D3" s="46" t="str">
        <x:v>seared→roasted and confit→cooked founder equivalences approved</x:v>
      </x:c>
      <x:c r="E3" s="46" t="str">
        <x:v>Verified Duck Profiles + Duck Equivalence Rules</x:v>
      </x:c>
      <x:c r="F3" s="108" t="str">
        <x:v>optional direct seared/confit studies if they emerge</x:v>
      </x:c>
      <x:c r="G3" s="46" t="str">
        <x:v>no</x:v>
      </x:c>
      <x:c r="H3" s="107" t="str">
        <x:v>complete_for_current_scope</x:v>
      </x:c>
    </x:row>
    <x:row r="4">
      <x:c r="A4" s="46" t="str">
        <x:v>domesticated poultry</x:v>
      </x:c>
      <x:c r="B4" s="46" t="str">
        <x:v>turkey</x:v>
      </x:c>
      <x:c r="C4" s="46" t="str">
        <x:v>raw + cooked governed</x:v>
      </x:c>
      <x:c r="D4" s="46" t="str">
        <x:v>roasted provisional high-heat architecture approved; smoked overlay held without direct turkey source</x:v>
      </x:c>
      <x:c r="E4" s="46" t="str">
        <x:v>Verified Turkey Profiles + Turkey State Coverage</x:v>
      </x:c>
      <x:c r="F4" s="108" t="str">
        <x:v>clean roast-specific key-aroma source; smoked compound-resolved source</x:v>
      </x:c>
      <x:c r="G4" s="46" t="str">
        <x:v>no</x:v>
      </x:c>
      <x:c r="H4" s="107" t="str">
        <x:v>core_complete_enrichment_open</x:v>
      </x:c>
    </x:row>
    <x:row r="5">
      <x:c r="A5" s="46" t="str">
        <x:v>domesticated poultry</x:v>
      </x:c>
      <x:c r="B5" s="46" t="str">
        <x:v>goose</x:v>
      </x:c>
      <x:c r="C5" s="46" t="str">
        <x:v>raw thin + cooked + roasted governed</x:v>
      </x:c>
      <x:c r="D5" s="46" t="str">
        <x:v>confit equivalence approved</x:v>
      </x:c>
      <x:c r="E5" s="46" t="str">
        <x:v>Verified Goose Profiles + Goose State Coverage</x:v>
      </x:c>
      <x:c r="F5" s="108" t="str">
        <x:v>full raw compound-resolved table</x:v>
      </x:c>
      <x:c r="G5" s="46" t="str">
        <x:v>no</x:v>
      </x:c>
      <x:c r="H5" s="107" t="str">
        <x:v>core_complete_enrichment_open</x:v>
      </x:c>
    </x:row>
    <x:row r="6">
      <x:c r="A6" s="46" t="str">
        <x:v>game bird / avian</x:v>
      </x:c>
      <x:c r="B6" s="46" t="str">
        <x:v>quail</x:v>
      </x:c>
      <x:c r="C6" s="46" t="str">
        <x:v>roasted governed from Table 17 + modern 2024 state/sensory validation</x:v>
      </x:c>
      <x:c r="D6" s="46" t="str">
        <x:v>raw aggregate at 0-min exists; grilled still unresolved</x:v>
      </x:c>
      <x:c r="E6" s="46" t="str">
        <x:v>Governed Landfowl Profiles + Modern Quail Validation</x:v>
      </x:c>
      <x:c r="F6" s="108" t="str">
        <x:v>recover 19 named OAV&gt;1 finished-roast odorants; direct grilled source</x:v>
      </x:c>
      <x:c r="G6" s="46" t="str">
        <x:v>no</x:v>
      </x:c>
      <x:c r="H6" s="107" t="str">
        <x:v>complete_for_cluster_enrichment_open</x:v>
      </x:c>
    </x:row>
    <x:row r="7">
      <x:c r="A7" s="46" t="str">
        <x:v>game bird / avian</x:v>
      </x:c>
      <x:c r="B7" s="46" t="str">
        <x:v>pheasant</x:v>
      </x:c>
      <x:c r="C7" s="46" t="str">
        <x:v>roasted governed</x:v>
      </x:c>
      <x:c r="D7" s="46" t="str">
        <x:v>modern cooked sensory support exists but no newer compound-resolved sensory hierarchy located</x:v>
      </x:c>
      <x:c r="E7" s="46" t="str">
        <x:v>Governed Landfowl Profiles + Pheasant Partridge Modern Review</x:v>
      </x:c>
      <x:c r="F7" s="108" t="str">
        <x:v>modern OAV/GC-O ranking if future literature becomes available</x:v>
      </x:c>
      <x:c r="G7" s="46" t="str">
        <x:v>no</x:v>
      </x:c>
      <x:c r="H7" s="107" t="str">
        <x:v>complete_at_current_evidence_ceiling</x:v>
      </x:c>
    </x:row>
    <x:row r="8">
      <x:c r="A8" s="46" t="str">
        <x:v>game bird / avian</x:v>
      </x:c>
      <x:c r="B8" s="46" t="str">
        <x:v>partridge</x:v>
      </x:c>
      <x:c r="C8" s="46" t="str">
        <x:v>roasted governed</x:v>
      </x:c>
      <x:c r="D8" s="46" t="str">
        <x:v>no stronger modern compound-resolved sensory hierarchy located</x:v>
      </x:c>
      <x:c r="E8" s="46" t="str">
        <x:v>Governed Landfowl Profiles + Pheasant Partridge Modern Review</x:v>
      </x:c>
      <x:c r="F8" s="108" t="str">
        <x:v>modern OAV/GC-O ranking if future literature becomes available</x:v>
      </x:c>
      <x:c r="G8" s="46" t="str">
        <x:v>no</x:v>
      </x:c>
      <x:c r="H8" s="107" t="str">
        <x:v>complete_at_current_evidence_ceiling</x:v>
      </x:c>
    </x:row>
    <x:row r="9">
      <x:c r="A9" s="46" t="str">
        <x:v>game bird / avian</x:v>
      </x:c>
      <x:c r="B9" s="46" t="str">
        <x:v>squab / pigeon</x:v>
      </x:c>
      <x:c r="C9" s="46" t="str">
        <x:v>native-source attribution + braised governed partial + roasted partial direct</x:v>
      </x:c>
      <x:c r="D9" s="46" t="str">
        <x:v>boiled/fried state differentiation verified</x:v>
      </x:c>
      <x:c r="E9" s="46" t="str">
        <x:v>Governed Pigeon Squab Profiles + State Coverage</x:v>
      </x:c>
      <x:c r="F9" s="108" t="str">
        <x:v>recover remaining braised/roasted named key compounds; compound-resolved boiled/fried</x:v>
      </x:c>
      <x:c r="G9" s="46" t="str">
        <x:v>no</x:v>
      </x:c>
      <x:c r="H9" s="107" t="str">
        <x:v>core_complete_enrichment_open</x:v>
      </x:c>
    </x:row>
    <x:row r="10">
      <x:c r="A10" s="46" t="str">
        <x:v>architecture</x:v>
      </x:c>
      <x:c r="B10" s="46" t="str">
        <x:v>avian chemistry parent</x:v>
      </x:c>
      <x:c r="C10" s="46" t="str">
        <x:v>shared-base + member delta + sensory importance + technique overlay approved</x:v>
      </x:c>
      <x:c r="D10" s="46" t="str">
        <x:v>culinary display families retained separately</x:v>
      </x:c>
      <x:c r="E10" s="46" t="str">
        <x:v>Approved Avian Patterns + Founder Verification Queue</x:v>
      </x:c>
      <x:c r="F10" s="108" t="str">
        <x:v>landfowl Table-18 quantitative reconciliation</x:v>
      </x:c>
      <x:c r="G10" s="46" t="str">
        <x:v>no</x:v>
      </x:c>
      <x:c r="H10" s="107" t="str">
        <x:v>architecture_complete</x:v>
      </x:c>
    </x:row>
    <x:row r="11">
      <x:c r="A11" s="46" t="str">
        <x:v>phase decision</x:v>
      </x:c>
      <x:c r="B11" s="46" t="str">
        <x:v>POULTRY / AVIAN PHASE</x:v>
      </x:c>
      <x:c r="C11" s="46" t="str">
        <x:v>Core architecture and representative member profiles complete for MVP/product use</x:v>
      </x:c>
      <x:c r="D11" s="46" t="str">
        <x:v>Residual work is targeted evidence enrichment, not foundational architecture research</x:v>
      </x:c>
      <x:c r="E11" s="46" t="str">
        <x:v>all governed avian sheets</x:v>
      </x:c>
      <x:c r="F11" s="108" t="str">
        <x:v>specific preparation-state tables and quantitative weighting gaps</x:v>
      </x:c>
      <x:c r="G11" s="46" t="str">
        <x:v>no</x:v>
      </x:c>
      <x:c r="H11" s="107" t="str">
        <x:v>CLOSE_CORE_PHASE_MOVE_TO_NEXT_PROTEIN_FAMILY</x:v>
      </x:c>
    </x:row>
    <x:row r="12">
      <x:c r="A12" s="46"/>
      <x:c r="B12" s="46"/>
      <x:c r="C12" s="46"/>
      <x:c r="D12" s="46"/>
      <x:c r="E12" s="46"/>
      <x:c r="F12" s="46"/>
      <x:c r="G12" s="46"/>
      <x:c r="H12" s="46"/>
    </x:row>
    <x:row r="13">
      <x:c r="A13" s="46"/>
      <x:c r="B13" s="46"/>
      <x:c r="C13" s="46"/>
      <x:c r="D13" s="46"/>
      <x:c r="E13" s="46"/>
      <x:c r="F13" s="46"/>
      <x:c r="G13" s="46"/>
      <x:c r="H13" s="46"/>
    </x:row>
    <x:row r="14">
      <x:c r="A14" s="46"/>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row r="19">
      <x:c r="A19" s="46"/>
      <x:c r="B19" s="46"/>
      <x:c r="C19" s="46"/>
      <x:c r="D19" s="46"/>
      <x:c r="E19" s="46"/>
      <x:c r="F19" s="46"/>
      <x:c r="G19" s="46"/>
      <x:c r="H19" s="46"/>
    </x:row>
    <x:row r="20">
      <x:c r="A20" s="46"/>
      <x:c r="B20" s="46"/>
      <x:c r="C20" s="46"/>
      <x:c r="D20" s="46"/>
      <x:c r="E20" s="46"/>
      <x:c r="F20" s="46"/>
      <x:c r="G20" s="46"/>
      <x:c r="H20" s="46"/>
    </x:row>
    <x:row r="21">
      <x:c r="A21" s="46"/>
      <x:c r="B21" s="46"/>
      <x:c r="C21" s="46"/>
      <x:c r="D21" s="46"/>
      <x:c r="E21" s="46"/>
      <x:c r="F21" s="46"/>
      <x:c r="G21" s="46"/>
      <x:c r="H21" s="46"/>
    </x:row>
    <x:row r="22">
      <x:c r="A22" s="46"/>
      <x:c r="B22" s="46"/>
      <x:c r="C22" s="46"/>
      <x:c r="D22" s="46"/>
      <x:c r="E22" s="46"/>
      <x:c r="F22" s="46"/>
      <x:c r="G22" s="46"/>
      <x:c r="H22" s="46"/>
    </x:row>
    <x:row r="23">
      <x:c r="A23" s="46"/>
      <x:c r="B23" s="46"/>
      <x:c r="C23" s="46"/>
      <x:c r="D23" s="46"/>
      <x:c r="E23" s="46"/>
      <x:c r="F23" s="46"/>
      <x:c r="G23" s="46"/>
      <x:c r="H23" s="46"/>
    </x:row>
    <x:row r="24">
      <x:c r="A24" s="46"/>
      <x:c r="B24" s="46"/>
      <x:c r="C24" s="46"/>
      <x:c r="D24" s="46"/>
      <x:c r="E24" s="46"/>
      <x:c r="F24" s="46"/>
      <x:c r="G24" s="46"/>
      <x:c r="H24" s="46"/>
    </x:row>
    <x:row r="25">
      <x:c r="A25" s="46"/>
      <x:c r="B25" s="46"/>
      <x:c r="C25" s="46"/>
      <x:c r="D25" s="46"/>
      <x:c r="E25" s="46"/>
      <x:c r="F25" s="46"/>
      <x:c r="G25" s="46"/>
      <x:c r="H25" s="46"/>
    </x:row>
    <x:row r="26">
      <x:c r="A26" s="46"/>
      <x:c r="B26" s="46"/>
      <x:c r="C26" s="46"/>
      <x:c r="D26" s="46"/>
      <x:c r="E26" s="46"/>
      <x:c r="F26" s="46"/>
      <x:c r="G26" s="46"/>
      <x:c r="H26" s="46"/>
    </x:row>
    <x:row r="27">
      <x:c r="A27" s="46"/>
      <x:c r="B27" s="46"/>
      <x:c r="C27" s="46"/>
      <x:c r="D27" s="46"/>
      <x:c r="E27" s="46"/>
      <x:c r="F27" s="46"/>
      <x:c r="G27" s="46"/>
      <x:c r="H27" s="46"/>
    </x:row>
    <x:row r="28">
      <x:c r="A28" s="46"/>
      <x:c r="B28" s="46"/>
      <x:c r="C28" s="46"/>
      <x:c r="D28" s="46"/>
      <x:c r="E28" s="46"/>
      <x:c r="F28" s="46"/>
      <x:c r="G28" s="46"/>
      <x:c r="H28" s="46"/>
    </x:row>
    <x:row r="29">
      <x:c r="A29" s="46"/>
      <x:c r="B29" s="46"/>
      <x:c r="C29" s="46"/>
      <x:c r="D29" s="46"/>
      <x:c r="E29" s="46"/>
      <x:c r="F29" s="46"/>
      <x:c r="G29" s="46"/>
      <x:c r="H29" s="46"/>
    </x:row>
    <x:row r="30">
      <x:c r="A30" s="46"/>
      <x:c r="B30" s="46"/>
      <x:c r="C30" s="46"/>
      <x:c r="D30" s="46"/>
      <x:c r="E30" s="46"/>
      <x:c r="F30" s="46"/>
      <x:c r="G30" s="46"/>
      <x:c r="H30" s="46"/>
    </x:row>
    <x:row r="31">
      <x:c r="A31" s="46"/>
      <x:c r="B31" s="46"/>
      <x:c r="C31" s="46"/>
      <x:c r="D31" s="46"/>
      <x:c r="E31" s="46"/>
      <x:c r="F31" s="46"/>
      <x:c r="G31" s="46"/>
      <x:c r="H31" s="46"/>
    </x:row>
    <x:row r="32">
      <x:c r="A32" s="46"/>
      <x:c r="B32" s="46"/>
      <x:c r="C32" s="46"/>
      <x:c r="D32" s="46"/>
      <x:c r="E32" s="46"/>
      <x:c r="F32" s="46"/>
      <x:c r="G32" s="46"/>
      <x:c r="H32" s="46"/>
    </x:row>
    <x:row r="33">
      <x:c r="A33" s="46"/>
      <x:c r="B33" s="46"/>
      <x:c r="C33" s="46"/>
      <x:c r="D33" s="46"/>
      <x:c r="E33" s="46"/>
      <x:c r="F33" s="46"/>
      <x:c r="G33" s="46"/>
      <x:c r="H33" s="46"/>
    </x:row>
    <x:row r="34">
      <x:c r="A34" s="46"/>
      <x:c r="B34" s="46"/>
      <x:c r="C34" s="46"/>
      <x:c r="D34" s="46"/>
      <x:c r="E34" s="46"/>
      <x:c r="F34" s="46"/>
      <x:c r="G34" s="46"/>
      <x:c r="H34" s="46"/>
    </x:row>
    <x:row r="35">
      <x:c r="A35" s="46"/>
      <x:c r="B35" s="46"/>
      <x:c r="C35" s="46"/>
      <x:c r="D35" s="46"/>
      <x:c r="E35" s="46"/>
      <x:c r="F35" s="46"/>
      <x:c r="G35" s="46"/>
      <x:c r="H35" s="46"/>
    </x:row>
    <x:row r="36">
      <x:c r="A36" s="46"/>
      <x:c r="B36" s="46"/>
      <x:c r="C36" s="46"/>
      <x:c r="D36" s="46"/>
      <x:c r="E36" s="46"/>
      <x:c r="F36" s="46"/>
      <x:c r="G36" s="46"/>
      <x:c r="H36" s="46"/>
    </x:row>
    <x:row r="37">
      <x:c r="A37" s="46"/>
      <x:c r="B37" s="46"/>
      <x:c r="C37" s="46"/>
      <x:c r="D37" s="46"/>
      <x:c r="E37" s="46"/>
      <x:c r="F37" s="46"/>
      <x:c r="G37" s="46"/>
      <x:c r="H37" s="46"/>
    </x:row>
    <x:row r="38">
      <x:c r="A38" s="46"/>
      <x:c r="B38" s="46"/>
      <x:c r="C38" s="46"/>
      <x:c r="D38" s="46"/>
      <x:c r="E38" s="46"/>
      <x:c r="F38" s="46"/>
      <x:c r="G38" s="46"/>
      <x:c r="H38" s="46"/>
    </x:row>
    <x:row r="39">
      <x:c r="A39" s="46"/>
      <x:c r="B39" s="46"/>
      <x:c r="C39" s="46"/>
      <x:c r="D39" s="46"/>
      <x:c r="E39" s="46"/>
      <x:c r="F39" s="46"/>
      <x:c r="G39" s="46"/>
      <x:c r="H39" s="46"/>
    </x:row>
    <x:row r="40">
      <x:c r="A40" s="46"/>
      <x:c r="B40" s="46"/>
      <x:c r="C40" s="46"/>
      <x:c r="D40" s="46"/>
      <x:c r="E40" s="46"/>
      <x:c r="F40" s="46"/>
      <x:c r="G40" s="46"/>
      <x:c r="H40" s="46"/>
    </x:row>
    <x:row r="41">
      <x:c r="A41" s="46"/>
      <x:c r="B41" s="46"/>
      <x:c r="C41" s="46"/>
      <x:c r="D41" s="46"/>
      <x:c r="E41" s="46"/>
      <x:c r="F41" s="46"/>
      <x:c r="G41" s="46"/>
      <x:c r="H41" s="46"/>
    </x:row>
    <x:row r="42">
      <x:c r="A42" s="46"/>
      <x:c r="B42" s="46"/>
      <x:c r="C42" s="46"/>
      <x:c r="D42" s="46"/>
      <x:c r="E42" s="46"/>
      <x:c r="F42" s="46"/>
      <x:c r="G42" s="46"/>
      <x:c r="H42" s="46"/>
    </x:row>
    <x:row r="43">
      <x:c r="A43" s="46"/>
      <x:c r="B43" s="46"/>
      <x:c r="C43" s="46"/>
      <x:c r="D43" s="46"/>
      <x:c r="E43" s="46"/>
      <x:c r="F43" s="46"/>
      <x:c r="G43" s="46"/>
      <x:c r="H43" s="46"/>
    </x:row>
    <x:row r="44">
      <x:c r="A44" s="46"/>
      <x:c r="B44" s="46"/>
      <x:c r="C44" s="46"/>
      <x:c r="D44" s="46"/>
      <x:c r="E44" s="46"/>
      <x:c r="F44" s="46"/>
      <x:c r="G44" s="46"/>
      <x:c r="H44" s="46"/>
    </x:row>
    <x:row r="45">
      <x:c r="A45" s="46"/>
      <x:c r="B45" s="46"/>
      <x:c r="C45" s="46"/>
      <x:c r="D45" s="46"/>
      <x:c r="E45" s="46"/>
      <x:c r="F45" s="46"/>
      <x:c r="G45" s="46"/>
      <x:c r="H45" s="46"/>
    </x:row>
    <x:row r="46">
      <x:c r="A46" s="46"/>
      <x:c r="B46" s="46"/>
      <x:c r="C46" s="46"/>
      <x:c r="D46" s="46"/>
      <x:c r="E46" s="46"/>
      <x:c r="F46" s="46"/>
      <x:c r="G46" s="46"/>
      <x:c r="H46" s="46"/>
    </x:row>
    <x:row r="47">
      <x:c r="A47" s="46"/>
      <x:c r="B47" s="46"/>
      <x:c r="C47" s="46"/>
      <x:c r="D47" s="46"/>
      <x:c r="E47" s="46"/>
      <x:c r="F47" s="46"/>
      <x:c r="G47" s="46"/>
      <x:c r="H47" s="46"/>
    </x:row>
    <x:row r="48">
      <x:c r="A48" s="46"/>
      <x:c r="B48" s="46"/>
      <x:c r="C48" s="46"/>
      <x:c r="D48" s="46"/>
      <x:c r="E48" s="46"/>
      <x:c r="F48" s="46"/>
      <x:c r="G48" s="46"/>
      <x:c r="H48" s="46"/>
    </x:row>
    <x:row r="49">
      <x:c r="A49" s="46"/>
      <x:c r="B49" s="46"/>
      <x:c r="C49" s="46"/>
      <x:c r="D49" s="46"/>
      <x:c r="E49" s="46"/>
      <x:c r="F49" s="46"/>
      <x:c r="G49" s="46"/>
      <x:c r="H49" s="46"/>
    </x:row>
    <x:row r="50">
      <x:c r="A50" s="46"/>
      <x:c r="B50" s="46"/>
      <x:c r="C50" s="46"/>
      <x:c r="D50" s="46"/>
      <x:c r="E50" s="46"/>
      <x:c r="F50" s="46"/>
      <x:c r="G50" s="46"/>
      <x:c r="H50" s="46"/>
    </x:row>
    <x:row r="51">
      <x:c r="A51" s="46"/>
      <x:c r="B51" s="46"/>
      <x:c r="C51" s="46"/>
      <x:c r="D51" s="46"/>
      <x:c r="E51" s="46"/>
      <x:c r="F51" s="46"/>
      <x:c r="G51" s="46"/>
      <x:c r="H51" s="46"/>
    </x:row>
    <x:row r="52">
      <x:c r="A52" s="46"/>
      <x:c r="B52" s="46"/>
      <x:c r="C52" s="46"/>
      <x:c r="D52" s="46"/>
      <x:c r="E52" s="46"/>
      <x:c r="F52" s="46"/>
      <x:c r="G52" s="46"/>
      <x:c r="H52" s="46"/>
    </x:row>
    <x:row r="53">
      <x:c r="A53" s="46"/>
      <x:c r="B53" s="46"/>
      <x:c r="C53" s="46"/>
      <x:c r="D53" s="46"/>
      <x:c r="E53" s="46"/>
      <x:c r="F53" s="46"/>
      <x:c r="G53" s="46"/>
      <x:c r="H53" s="46"/>
    </x:row>
    <x:row r="54">
      <x:c r="A54" s="46"/>
      <x:c r="B54" s="46"/>
      <x:c r="C54" s="46"/>
      <x:c r="D54" s="46"/>
      <x:c r="E54" s="46"/>
      <x:c r="F54" s="46"/>
      <x:c r="G54" s="46"/>
      <x:c r="H54" s="46"/>
    </x:row>
    <x:row r="55">
      <x:c r="A55" s="46"/>
      <x:c r="B55" s="46"/>
      <x:c r="C55" s="46"/>
      <x:c r="D55" s="46"/>
      <x:c r="E55" s="46"/>
      <x:c r="F55" s="46"/>
      <x:c r="G55" s="46"/>
      <x:c r="H55" s="46"/>
    </x:row>
    <x:row r="56">
      <x:c r="A56" s="46"/>
      <x:c r="B56" s="46"/>
      <x:c r="C56" s="46"/>
      <x:c r="D56" s="46"/>
      <x:c r="E56" s="46"/>
      <x:c r="F56" s="46"/>
      <x:c r="G56" s="46"/>
      <x:c r="H56" s="46"/>
    </x:row>
    <x:row r="57">
      <x:c r="A57" s="46"/>
      <x:c r="B57" s="46"/>
      <x:c r="C57" s="46"/>
      <x:c r="D57" s="46"/>
      <x:c r="E57" s="46"/>
      <x:c r="F57" s="46"/>
      <x:c r="G57" s="46"/>
      <x:c r="H57" s="46"/>
    </x:row>
    <x:row r="58">
      <x:c r="A58" s="46"/>
      <x:c r="B58" s="46"/>
      <x:c r="C58" s="46"/>
      <x:c r="D58" s="46"/>
      <x:c r="E58" s="46"/>
      <x:c r="F58" s="46"/>
      <x:c r="G58" s="46"/>
      <x:c r="H58" s="46"/>
    </x:row>
    <x:row r="59">
      <x:c r="A59" s="46"/>
      <x:c r="B59" s="46"/>
      <x:c r="C59" s="46"/>
      <x:c r="D59" s="46"/>
      <x:c r="E59" s="46"/>
      <x:c r="F59" s="46"/>
      <x:c r="G59" s="46"/>
      <x:c r="H59" s="46"/>
    </x:row>
    <x:row r="60">
      <x:c r="A60" s="46"/>
      <x:c r="B60" s="46"/>
      <x:c r="C60" s="46"/>
      <x:c r="D60" s="46"/>
      <x:c r="E60" s="46"/>
      <x:c r="F60" s="46"/>
      <x:c r="G60" s="46"/>
      <x:c r="H60" s="46"/>
    </x:row>
    <x:row r="61">
      <x:c r="A61" s="46"/>
      <x:c r="B61" s="46"/>
      <x:c r="C61" s="46"/>
      <x:c r="D61" s="46"/>
      <x:c r="E61" s="46"/>
      <x:c r="F61" s="46"/>
      <x:c r="G61" s="46"/>
      <x:c r="H61" s="46"/>
    </x:row>
    <x:row r="62">
      <x:c r="A62" s="46"/>
      <x:c r="B62" s="46"/>
      <x:c r="C62" s="46"/>
      <x:c r="D62" s="46"/>
      <x:c r="E62" s="46"/>
      <x:c r="F62" s="46"/>
      <x:c r="G62" s="46"/>
      <x:c r="H62" s="46"/>
    </x:row>
    <x:row r="63">
      <x:c r="A63" s="46"/>
      <x:c r="B63" s="46"/>
      <x:c r="C63" s="46"/>
      <x:c r="D63" s="46"/>
      <x:c r="E63" s="46"/>
      <x:c r="F63" s="46"/>
      <x:c r="G63" s="46"/>
      <x:c r="H63" s="46"/>
    </x:row>
    <x:row r="64">
      <x:c r="A64" s="46"/>
      <x:c r="B64" s="46"/>
      <x:c r="C64" s="46"/>
      <x:c r="D64" s="46"/>
      <x:c r="E64" s="46"/>
      <x:c r="F64" s="46"/>
      <x:c r="G64" s="46"/>
      <x:c r="H64" s="46"/>
    </x:row>
    <x:row r="65">
      <x:c r="A65" s="46"/>
      <x:c r="B65" s="46"/>
      <x:c r="C65" s="46"/>
      <x:c r="D65" s="46"/>
      <x:c r="E65" s="46"/>
      <x:c r="F65" s="46"/>
      <x:c r="G65" s="46"/>
      <x:c r="H65" s="46"/>
    </x:row>
    <x:row r="66">
      <x:c r="A66" s="46"/>
      <x:c r="B66" s="46"/>
      <x:c r="C66" s="46"/>
      <x:c r="D66" s="46"/>
      <x:c r="E66" s="46"/>
      <x:c r="F66" s="46"/>
      <x:c r="G66" s="46"/>
      <x:c r="H66" s="46"/>
    </x:row>
    <x:row r="67">
      <x:c r="A67" s="46"/>
      <x:c r="B67" s="46"/>
      <x:c r="C67" s="46"/>
      <x:c r="D67" s="46"/>
      <x:c r="E67" s="46"/>
      <x:c r="F67" s="46"/>
      <x:c r="G67" s="46"/>
      <x:c r="H67" s="46"/>
    </x:row>
    <x:row r="68">
      <x:c r="A68" s="46"/>
      <x:c r="B68" s="46"/>
      <x:c r="C68" s="46"/>
      <x:c r="D68" s="46"/>
      <x:c r="E68" s="46"/>
      <x:c r="F68" s="46"/>
      <x:c r="G68" s="46"/>
      <x:c r="H68" s="46"/>
    </x:row>
    <x:row r="69">
      <x:c r="A69" s="46"/>
      <x:c r="B69" s="46"/>
      <x:c r="C69" s="46"/>
      <x:c r="D69" s="46"/>
      <x:c r="E69" s="46"/>
      <x:c r="F69" s="46"/>
      <x:c r="G69" s="46"/>
      <x:c r="H69" s="46"/>
    </x:row>
    <x:row r="70">
      <x:c r="A70" s="46"/>
      <x:c r="B70" s="46"/>
      <x:c r="C70" s="46"/>
      <x:c r="D70" s="46"/>
      <x:c r="E70" s="46"/>
      <x:c r="F70" s="46"/>
      <x:c r="G70" s="46"/>
      <x:c r="H70" s="46"/>
    </x:row>
    <x:row r="71">
      <x:c r="A71" s="46"/>
      <x:c r="B71" s="46"/>
      <x:c r="C71" s="46"/>
      <x:c r="D71" s="46"/>
      <x:c r="E71" s="46"/>
      <x:c r="F71" s="46"/>
      <x:c r="G71" s="46"/>
      <x:c r="H71" s="46"/>
    </x:row>
    <x:row r="72">
      <x:c r="A72" s="46"/>
      <x:c r="B72" s="46"/>
      <x:c r="C72" s="46"/>
      <x:c r="D72" s="46"/>
      <x:c r="E72" s="46"/>
      <x:c r="F72" s="46"/>
      <x:c r="G72" s="46"/>
      <x:c r="H72" s="46"/>
    </x:row>
    <x:row r="73">
      <x:c r="A73" s="46"/>
      <x:c r="B73" s="46"/>
      <x:c r="C73" s="46"/>
      <x:c r="D73" s="46"/>
      <x:c r="E73" s="46"/>
      <x:c r="F73" s="46"/>
      <x:c r="G73" s="46"/>
      <x:c r="H73" s="46"/>
    </x:row>
    <x:row r="74">
      <x:c r="A74" s="46"/>
      <x:c r="B74" s="46"/>
      <x:c r="C74" s="46"/>
      <x:c r="D74" s="46"/>
      <x:c r="E74" s="46"/>
      <x:c r="F74" s="46"/>
      <x:c r="G74" s="46"/>
      <x:c r="H74" s="46"/>
    </x:row>
    <x:row r="75">
      <x:c r="A75" s="46"/>
      <x:c r="B75" s="46"/>
      <x:c r="C75" s="46"/>
      <x:c r="D75" s="46"/>
      <x:c r="E75" s="46"/>
      <x:c r="F75" s="46"/>
      <x:c r="G75" s="46"/>
      <x:c r="H75" s="46"/>
    </x:row>
    <x:row r="76">
      <x:c r="A76" s="46"/>
      <x:c r="B76" s="46"/>
      <x:c r="C76" s="46"/>
      <x:c r="D76" s="46"/>
      <x:c r="E76" s="46"/>
      <x:c r="F76" s="46"/>
      <x:c r="G76" s="46"/>
      <x:c r="H76" s="46"/>
    </x:row>
    <x:row r="77">
      <x:c r="A77" s="46"/>
      <x:c r="B77" s="46"/>
      <x:c r="C77" s="46"/>
      <x:c r="D77" s="46"/>
      <x:c r="E77" s="46"/>
      <x:c r="F77" s="46"/>
      <x:c r="G77" s="46"/>
      <x:c r="H77" s="46"/>
    </x:row>
    <x:row r="78">
      <x:c r="A78" s="46"/>
      <x:c r="B78" s="46"/>
      <x:c r="C78" s="46"/>
      <x:c r="D78" s="46"/>
      <x:c r="E78" s="46"/>
      <x:c r="F78" s="46"/>
      <x:c r="G78" s="46"/>
      <x:c r="H78" s="46"/>
    </x:row>
    <x:row r="79">
      <x:c r="A79" s="46"/>
      <x:c r="B79" s="46"/>
      <x:c r="C79" s="46"/>
      <x:c r="D79" s="46"/>
      <x:c r="E79" s="46"/>
      <x:c r="F79" s="46"/>
      <x:c r="G79" s="46"/>
      <x:c r="H79" s="46"/>
    </x:row>
    <x:row r="80">
      <x:c r="A80" s="46"/>
      <x:c r="B80" s="46"/>
      <x:c r="C80" s="46"/>
      <x:c r="D80" s="46"/>
      <x:c r="E80" s="46"/>
      <x:c r="F80" s="46"/>
      <x:c r="G80" s="46"/>
      <x:c r="H80" s="46"/>
    </x:row>
    <x:row r="81">
      <x:c r="A81" s="46"/>
      <x:c r="B81" s="46"/>
      <x:c r="C81" s="46"/>
      <x:c r="D81" s="46"/>
      <x:c r="E81" s="46"/>
      <x:c r="F81" s="46"/>
      <x:c r="G81" s="46"/>
      <x:c r="H81" s="46"/>
    </x:row>
    <x:row r="82">
      <x:c r="A82" s="46"/>
      <x:c r="B82" s="46"/>
      <x:c r="C82" s="46"/>
      <x:c r="D82" s="46"/>
      <x:c r="E82" s="46"/>
      <x:c r="F82" s="46"/>
      <x:c r="G82" s="46"/>
      <x:c r="H82" s="46"/>
    </x:row>
    <x:row r="83">
      <x:c r="A83" s="46"/>
      <x:c r="B83" s="46"/>
      <x:c r="C83" s="46"/>
      <x:c r="D83" s="46"/>
      <x:c r="E83" s="46"/>
      <x:c r="F83" s="46"/>
      <x:c r="G83" s="46"/>
      <x:c r="H83" s="46"/>
    </x:row>
    <x:row r="84">
      <x:c r="A84" s="46"/>
      <x:c r="B84" s="46"/>
      <x:c r="C84" s="46"/>
      <x:c r="D84" s="46"/>
      <x:c r="E84" s="46"/>
      <x:c r="F84" s="46"/>
      <x:c r="G84" s="46"/>
      <x:c r="H84" s="46"/>
    </x:row>
    <x:row r="85">
      <x:c r="A85" s="46"/>
      <x:c r="B85" s="46"/>
      <x:c r="C85" s="46"/>
      <x:c r="D85" s="46"/>
      <x:c r="E85" s="46"/>
      <x:c r="F85" s="46"/>
      <x:c r="G85" s="46"/>
      <x:c r="H85" s="46"/>
    </x:row>
    <x:row r="86">
      <x:c r="A86" s="46"/>
      <x:c r="B86" s="46"/>
      <x:c r="C86" s="46"/>
      <x:c r="D86" s="46"/>
      <x:c r="E86" s="46"/>
      <x:c r="F86" s="46"/>
      <x:c r="G86" s="46"/>
      <x:c r="H86" s="46"/>
    </x:row>
    <x:row r="87">
      <x:c r="A87" s="46"/>
      <x:c r="B87" s="46"/>
      <x:c r="C87" s="46"/>
      <x:c r="D87" s="46"/>
      <x:c r="E87" s="46"/>
      <x:c r="F87" s="46"/>
      <x:c r="G87" s="46"/>
      <x:c r="H87" s="46"/>
    </x:row>
    <x:row r="88">
      <x:c r="A88" s="46"/>
      <x:c r="B88" s="46"/>
      <x:c r="C88" s="46"/>
      <x:c r="D88" s="46"/>
      <x:c r="E88" s="46"/>
      <x:c r="F88" s="46"/>
      <x:c r="G88" s="46"/>
      <x:c r="H88" s="46"/>
    </x:row>
    <x:row r="89">
      <x:c r="A89" s="46"/>
      <x:c r="B89" s="46"/>
      <x:c r="C89" s="46"/>
      <x:c r="D89" s="46"/>
      <x:c r="E89" s="46"/>
      <x:c r="F89" s="46"/>
      <x:c r="G89" s="46"/>
      <x:c r="H89" s="46"/>
    </x:row>
    <x:row r="90">
      <x:c r="A90" s="46"/>
      <x:c r="B90" s="46"/>
      <x:c r="C90" s="46"/>
      <x:c r="D90" s="46"/>
      <x:c r="E90" s="46"/>
      <x:c r="F90" s="46"/>
      <x:c r="G90" s="46"/>
      <x:c r="H90" s="46"/>
    </x:row>
    <x:row r="91">
      <x:c r="A91" s="46"/>
      <x:c r="B91" s="46"/>
      <x:c r="C91" s="46"/>
      <x:c r="D91" s="46"/>
      <x:c r="E91" s="46"/>
      <x:c r="F91" s="46"/>
      <x:c r="G91" s="46"/>
      <x:c r="H91" s="46"/>
    </x:row>
    <x:row r="92">
      <x:c r="A92" s="46"/>
      <x:c r="B92" s="46"/>
      <x:c r="C92" s="46"/>
      <x:c r="D92" s="46"/>
      <x:c r="E92" s="46"/>
      <x:c r="F92" s="46"/>
      <x:c r="G92" s="46"/>
      <x:c r="H92" s="46"/>
    </x:row>
    <x:row r="93">
      <x:c r="A93" s="46"/>
      <x:c r="B93" s="46"/>
      <x:c r="C93" s="46"/>
      <x:c r="D93" s="46"/>
      <x:c r="E93" s="46"/>
      <x:c r="F93" s="46"/>
      <x:c r="G93" s="46"/>
      <x:c r="H93" s="46"/>
    </x:row>
    <x:row r="94">
      <x:c r="A94" s="46"/>
      <x:c r="B94" s="46"/>
      <x:c r="C94" s="46"/>
      <x:c r="D94" s="46"/>
      <x:c r="E94" s="46"/>
      <x:c r="F94" s="46"/>
      <x:c r="G94" s="46"/>
      <x:c r="H94" s="46"/>
    </x:row>
    <x:row r="95">
      <x:c r="A95" s="46"/>
      <x:c r="B95" s="46"/>
      <x:c r="C95" s="46"/>
      <x:c r="D95" s="46"/>
      <x:c r="E95" s="46"/>
      <x:c r="F95" s="46"/>
      <x:c r="G95" s="46"/>
      <x:c r="H95" s="46"/>
    </x:row>
    <x:row r="96">
      <x:c r="A96" s="46"/>
      <x:c r="B96" s="46"/>
      <x:c r="C96" s="46"/>
      <x:c r="D96" s="46"/>
      <x:c r="E96" s="46"/>
      <x:c r="F96" s="46"/>
      <x:c r="G96" s="46"/>
      <x:c r="H96" s="46"/>
    </x:row>
    <x:row r="97">
      <x:c r="A97" s="46"/>
      <x:c r="B97" s="46"/>
      <x:c r="C97" s="46"/>
      <x:c r="D97" s="46"/>
      <x:c r="E97" s="46"/>
      <x:c r="F97" s="46"/>
      <x:c r="G97" s="46"/>
      <x:c r="H97" s="46"/>
    </x:row>
    <x:row r="98">
      <x:c r="A98" s="46"/>
      <x:c r="B98" s="46"/>
      <x:c r="C98" s="46"/>
      <x:c r="D98" s="46"/>
      <x:c r="E98" s="46"/>
      <x:c r="F98" s="46"/>
      <x:c r="G98" s="46"/>
      <x:c r="H98" s="46"/>
    </x:row>
    <x:row r="99">
      <x:c r="A99" s="46"/>
      <x:c r="B99" s="46"/>
      <x:c r="C99" s="46"/>
      <x:c r="D99" s="46"/>
      <x:c r="E99" s="46"/>
      <x:c r="F99" s="46"/>
      <x:c r="G99" s="46"/>
      <x:c r="H99" s="46"/>
    </x:row>
    <x:row r="100">
      <x:c r="A100" s="46"/>
      <x:c r="B100" s="46"/>
      <x:c r="C100" s="46"/>
      <x:c r="D100" s="46"/>
      <x:c r="E100" s="46"/>
      <x:c r="F100" s="46"/>
      <x:c r="G100" s="46"/>
      <x:c r="H100" s="46"/>
    </x:row>
    <x:row r="101">
      <x:c r="A101" s="46"/>
      <x:c r="B101" s="46"/>
      <x:c r="C101" s="46"/>
      <x:c r="D101" s="46"/>
      <x:c r="E101" s="46"/>
      <x:c r="F101" s="46"/>
      <x:c r="G101" s="46"/>
      <x:c r="H101" s="46"/>
    </x:row>
    <x:row r="102">
      <x:c r="A102" s="46"/>
      <x:c r="B102" s="46"/>
      <x:c r="C102" s="46"/>
      <x:c r="D102" s="46"/>
      <x:c r="E102" s="46"/>
      <x:c r="F102" s="46"/>
      <x:c r="G102" s="46"/>
      <x:c r="H102" s="46"/>
    </x:row>
    <x:row r="103">
      <x:c r="A103" s="46"/>
      <x:c r="B103" s="46"/>
      <x:c r="C103" s="46"/>
      <x:c r="D103" s="46"/>
      <x:c r="E103" s="46"/>
      <x:c r="F103" s="46"/>
      <x:c r="G103" s="46"/>
      <x:c r="H103" s="46"/>
    </x:row>
    <x:row r="104">
      <x:c r="A104" s="46"/>
      <x:c r="B104" s="46"/>
      <x:c r="C104" s="46"/>
      <x:c r="D104" s="46"/>
      <x:c r="E104" s="46"/>
      <x:c r="F104" s="46"/>
      <x:c r="G104" s="46"/>
      <x:c r="H104" s="46"/>
    </x:row>
    <x:row r="105">
      <x:c r="A105" s="46"/>
      <x:c r="B105" s="46"/>
      <x:c r="C105" s="46"/>
      <x:c r="D105" s="46"/>
      <x:c r="E105" s="46"/>
      <x:c r="F105" s="46"/>
      <x:c r="G105" s="46"/>
      <x:c r="H105" s="46"/>
    </x:row>
    <x:row r="106">
      <x:c r="A106" s="46"/>
      <x:c r="B106" s="46"/>
      <x:c r="C106" s="46"/>
      <x:c r="D106" s="46"/>
      <x:c r="E106" s="46"/>
      <x:c r="F106" s="46"/>
      <x:c r="G106" s="46"/>
      <x:c r="H106" s="46"/>
    </x:row>
    <x:row r="107">
      <x:c r="A107" s="46"/>
      <x:c r="B107" s="46"/>
      <x:c r="C107" s="46"/>
      <x:c r="D107" s="46"/>
      <x:c r="E107" s="46"/>
      <x:c r="F107" s="46"/>
      <x:c r="G107" s="46"/>
      <x:c r="H107" s="46"/>
    </x:row>
    <x:row r="108">
      <x:c r="A108" s="46"/>
      <x:c r="B108" s="46"/>
      <x:c r="C108" s="46"/>
      <x:c r="D108" s="46"/>
      <x:c r="E108" s="46"/>
      <x:c r="F108" s="46"/>
      <x:c r="G108" s="46"/>
      <x:c r="H108" s="46"/>
    </x:row>
    <x:row r="109">
      <x:c r="A109" s="46"/>
      <x:c r="B109" s="46"/>
      <x:c r="C109" s="46"/>
      <x:c r="D109" s="46"/>
      <x:c r="E109" s="46"/>
      <x:c r="F109" s="46"/>
      <x:c r="G109" s="46"/>
      <x:c r="H109" s="46"/>
    </x:row>
    <x:row r="110">
      <x:c r="A110" s="46"/>
      <x:c r="B110" s="46"/>
      <x:c r="C110" s="46"/>
      <x:c r="D110" s="46"/>
      <x:c r="E110" s="46"/>
      <x:c r="F110" s="46"/>
      <x:c r="G110" s="46"/>
      <x:c r="H110" s="46"/>
    </x:row>
    <x:row r="111">
      <x:c r="A111" s="46"/>
      <x:c r="B111" s="46"/>
      <x:c r="C111" s="46"/>
      <x:c r="D111" s="46"/>
      <x:c r="E111" s="46"/>
      <x:c r="F111" s="46"/>
      <x:c r="G111" s="46"/>
      <x:c r="H111" s="46"/>
    </x:row>
    <x:row r="112">
      <x:c r="A112" s="46"/>
      <x:c r="B112" s="46"/>
      <x:c r="C112" s="46"/>
      <x:c r="D112" s="46"/>
      <x:c r="E112" s="46"/>
      <x:c r="F112" s="46"/>
      <x:c r="G112" s="46"/>
      <x:c r="H112" s="46"/>
    </x:row>
    <x:row r="113">
      <x:c r="A113" s="46"/>
      <x:c r="B113" s="46"/>
      <x:c r="C113" s="46"/>
      <x:c r="D113" s="46"/>
      <x:c r="E113" s="46"/>
      <x:c r="F113" s="46"/>
      <x:c r="G113" s="46"/>
      <x:c r="H113" s="46"/>
    </x:row>
    <x:row r="114">
      <x:c r="A114" s="46"/>
      <x:c r="B114" s="46"/>
      <x:c r="C114" s="46"/>
      <x:c r="D114" s="46"/>
      <x:c r="E114" s="46"/>
      <x:c r="F114" s="46"/>
      <x:c r="G114" s="46"/>
      <x:c r="H114" s="46"/>
    </x:row>
    <x:row r="115">
      <x:c r="A115" s="46"/>
      <x:c r="B115" s="46"/>
      <x:c r="C115" s="46"/>
      <x:c r="D115" s="46"/>
      <x:c r="E115" s="46"/>
      <x:c r="F115" s="46"/>
      <x:c r="G115" s="46"/>
      <x:c r="H115" s="46"/>
    </x:row>
    <x:row r="116">
      <x:c r="A116" s="46"/>
      <x:c r="B116" s="46"/>
      <x:c r="C116" s="46"/>
      <x:c r="D116" s="46"/>
      <x:c r="E116" s="46"/>
      <x:c r="F116" s="46"/>
      <x:c r="G116" s="46"/>
      <x:c r="H116" s="46"/>
    </x:row>
    <x:row r="117">
      <x:c r="A117" s="46"/>
      <x:c r="B117" s="46"/>
      <x:c r="C117" s="46"/>
      <x:c r="D117" s="46"/>
      <x:c r="E117" s="46"/>
      <x:c r="F117" s="46"/>
      <x:c r="G117" s="46"/>
      <x:c r="H117" s="46"/>
    </x:row>
    <x:row r="118">
      <x:c r="A118" s="46"/>
      <x:c r="B118" s="46"/>
      <x:c r="C118" s="46"/>
      <x:c r="D118" s="46"/>
      <x:c r="E118" s="46"/>
      <x:c r="F118" s="46"/>
      <x:c r="G118" s="46"/>
      <x:c r="H118" s="46"/>
    </x:row>
    <x:row r="119">
      <x:c r="A119" s="46"/>
      <x:c r="B119" s="46"/>
      <x:c r="C119" s="46"/>
      <x:c r="D119" s="46"/>
      <x:c r="E119" s="46"/>
      <x:c r="F119" s="46"/>
      <x:c r="G119" s="46"/>
      <x:c r="H119" s="46"/>
    </x:row>
    <x:row r="120">
      <x:c r="A120" s="46"/>
      <x:c r="B120" s="46"/>
      <x:c r="C120" s="46"/>
      <x:c r="D120" s="46"/>
      <x:c r="E120" s="46"/>
      <x:c r="F120" s="46"/>
      <x:c r="G120" s="46"/>
      <x:c r="H120" s="46"/>
    </x:row>
    <x:row r="121">
      <x:c r="A121" s="46"/>
      <x:c r="B121" s="46"/>
      <x:c r="C121" s="46"/>
      <x:c r="D121" s="46"/>
      <x:c r="E121" s="46"/>
      <x:c r="F121" s="46"/>
      <x:c r="G121" s="46"/>
      <x:c r="H121" s="46"/>
    </x:row>
    <x:row r="122">
      <x:c r="A122" s="46"/>
      <x:c r="B122" s="46"/>
      <x:c r="C122" s="46"/>
      <x:c r="D122" s="46"/>
      <x:c r="E122" s="46"/>
      <x:c r="F122" s="46"/>
      <x:c r="G122" s="46"/>
      <x:c r="H122" s="46"/>
    </x:row>
    <x:row r="123">
      <x:c r="A123" s="46"/>
      <x:c r="B123" s="46"/>
      <x:c r="C123" s="46"/>
      <x:c r="D123" s="46"/>
      <x:c r="E123" s="46"/>
      <x:c r="F123" s="46"/>
      <x:c r="G123" s="46"/>
      <x:c r="H123" s="46"/>
    </x:row>
    <x:row r="124">
      <x:c r="A124" s="46"/>
      <x:c r="B124" s="46"/>
      <x:c r="C124" s="46"/>
      <x:c r="D124" s="46"/>
      <x:c r="E124" s="46"/>
      <x:c r="F124" s="46"/>
      <x:c r="G124" s="46"/>
      <x:c r="H124" s="46"/>
    </x:row>
    <x:row r="125">
      <x:c r="A125" s="46"/>
      <x:c r="B125" s="46"/>
      <x:c r="C125" s="46"/>
      <x:c r="D125" s="46"/>
      <x:c r="E125" s="46"/>
      <x:c r="F125" s="46"/>
      <x:c r="G125" s="46"/>
      <x:c r="H125" s="46"/>
    </x:row>
    <x:row r="126">
      <x:c r="A126" s="46"/>
      <x:c r="B126" s="46"/>
      <x:c r="C126" s="46"/>
      <x:c r="D126" s="46"/>
      <x:c r="E126" s="46"/>
      <x:c r="F126" s="46"/>
      <x:c r="G126" s="46"/>
      <x:c r="H126" s="46"/>
    </x:row>
    <x:row r="127">
      <x:c r="A127" s="46"/>
      <x:c r="B127" s="46"/>
      <x:c r="C127" s="46"/>
      <x:c r="D127" s="46"/>
      <x:c r="E127" s="46"/>
      <x:c r="F127" s="46"/>
      <x:c r="G127" s="46"/>
      <x:c r="H127" s="46"/>
    </x:row>
    <x:row r="128">
      <x:c r="A128" s="46"/>
      <x:c r="B128" s="46"/>
      <x:c r="C128" s="46"/>
      <x:c r="D128" s="46"/>
      <x:c r="E128" s="46"/>
      <x:c r="F128" s="46"/>
      <x:c r="G128" s="46"/>
      <x:c r="H128" s="46"/>
    </x:row>
    <x:row r="129">
      <x:c r="A129" s="46"/>
      <x:c r="B129" s="46"/>
      <x:c r="C129" s="46"/>
      <x:c r="D129" s="46"/>
      <x:c r="E129" s="46"/>
      <x:c r="F129" s="46"/>
      <x:c r="G129" s="46"/>
      <x:c r="H129" s="46"/>
    </x:row>
    <x:row r="130">
      <x:c r="A130" s="46"/>
      <x:c r="B130" s="46"/>
      <x:c r="C130" s="46"/>
      <x:c r="D130" s="46"/>
      <x:c r="E130" s="46"/>
      <x:c r="F130" s="46"/>
      <x:c r="G130" s="46"/>
      <x:c r="H130" s="46"/>
    </x:row>
    <x:row r="131">
      <x:c r="A131" s="46"/>
      <x:c r="B131" s="46"/>
      <x:c r="C131" s="46"/>
      <x:c r="D131" s="46"/>
      <x:c r="E131" s="46"/>
      <x:c r="F131" s="46"/>
      <x:c r="G131" s="46"/>
      <x:c r="H131" s="46"/>
    </x:row>
    <x:row r="132">
      <x:c r="A132" s="46"/>
      <x:c r="B132" s="46"/>
      <x:c r="C132" s="46"/>
      <x:c r="D132" s="46"/>
      <x:c r="E132" s="46"/>
      <x:c r="F132" s="46"/>
      <x:c r="G132" s="46"/>
      <x:c r="H132" s="46"/>
    </x:row>
    <x:row r="133">
      <x:c r="A133" s="46"/>
      <x:c r="B133" s="46"/>
      <x:c r="C133" s="46"/>
      <x:c r="D133" s="46"/>
      <x:c r="E133" s="46"/>
      <x:c r="F133" s="46"/>
      <x:c r="G133" s="46"/>
      <x:c r="H133" s="46"/>
    </x:row>
    <x:row r="134">
      <x:c r="A134" s="46"/>
      <x:c r="B134" s="46"/>
      <x:c r="C134" s="46"/>
      <x:c r="D134" s="46"/>
      <x:c r="E134" s="46"/>
      <x:c r="F134" s="46"/>
      <x:c r="G134" s="46"/>
      <x:c r="H134" s="46"/>
    </x:row>
    <x:row r="135">
      <x:c r="A135" s="46"/>
      <x:c r="B135" s="46"/>
      <x:c r="C135" s="46"/>
      <x:c r="D135" s="46"/>
      <x:c r="E135" s="46"/>
      <x:c r="F135" s="46"/>
      <x:c r="G135" s="46"/>
      <x:c r="H135" s="46"/>
    </x:row>
    <x:row r="136">
      <x:c r="A136" s="46"/>
      <x:c r="B136" s="46"/>
      <x:c r="C136" s="46"/>
      <x:c r="D136" s="46"/>
      <x:c r="E136" s="46"/>
      <x:c r="F136" s="46"/>
      <x:c r="G136" s="46"/>
      <x:c r="H136" s="46"/>
    </x:row>
    <x:row r="137">
      <x:c r="A137" s="46"/>
      <x:c r="B137" s="46"/>
      <x:c r="C137" s="46"/>
      <x:c r="D137" s="46"/>
      <x:c r="E137" s="46"/>
      <x:c r="F137" s="46"/>
      <x:c r="G137" s="46"/>
      <x:c r="H137" s="46"/>
    </x:row>
    <x:row r="138">
      <x:c r="A138" s="46"/>
      <x:c r="B138" s="46"/>
      <x:c r="C138" s="46"/>
      <x:c r="D138" s="46"/>
      <x:c r="E138" s="46"/>
      <x:c r="F138" s="46"/>
      <x:c r="G138" s="46"/>
      <x:c r="H138" s="46"/>
    </x:row>
    <x:row r="139">
      <x:c r="A139" s="46"/>
      <x:c r="B139" s="46"/>
      <x:c r="C139" s="46"/>
      <x:c r="D139" s="46"/>
      <x:c r="E139" s="46"/>
      <x:c r="F139" s="46"/>
      <x:c r="G139" s="46"/>
      <x:c r="H139" s="46"/>
    </x:row>
    <x:row r="140">
      <x:c r="A140" s="46"/>
      <x:c r="B140" s="46"/>
      <x:c r="C140" s="46"/>
      <x:c r="D140" s="46"/>
      <x:c r="E140" s="46"/>
      <x:c r="F140" s="46"/>
      <x:c r="G140" s="46"/>
      <x:c r="H140" s="46"/>
    </x:row>
    <x:row r="141">
      <x:c r="A141" s="46"/>
      <x:c r="B141" s="46"/>
      <x:c r="C141" s="46"/>
      <x:c r="D141" s="46"/>
      <x:c r="E141" s="46"/>
      <x:c r="F141" s="46"/>
      <x:c r="G141" s="46"/>
      <x:c r="H141" s="46"/>
    </x:row>
    <x:row r="142">
      <x:c r="A142" s="46"/>
      <x:c r="B142" s="46"/>
      <x:c r="C142" s="46"/>
      <x:c r="D142" s="46"/>
      <x:c r="E142" s="46"/>
      <x:c r="F142" s="46"/>
      <x:c r="G142" s="46"/>
      <x:c r="H142" s="46"/>
    </x:row>
    <x:row r="143">
      <x:c r="A143" s="46"/>
      <x:c r="B143" s="46"/>
      <x:c r="C143" s="46"/>
      <x:c r="D143" s="46"/>
      <x:c r="E143" s="46"/>
      <x:c r="F143" s="46"/>
      <x:c r="G143" s="46"/>
      <x:c r="H143" s="46"/>
    </x:row>
    <x:row r="144">
      <x:c r="A144" s="46"/>
      <x:c r="B144" s="46"/>
      <x:c r="C144" s="46"/>
      <x:c r="D144" s="46"/>
      <x:c r="E144" s="46"/>
      <x:c r="F144" s="46"/>
      <x:c r="G144" s="46"/>
      <x:c r="H144" s="46"/>
    </x:row>
    <x:row r="145">
      <x:c r="A145" s="46"/>
      <x:c r="B145" s="46"/>
      <x:c r="C145" s="46"/>
      <x:c r="D145" s="46"/>
      <x:c r="E145" s="46"/>
      <x:c r="F145" s="46"/>
      <x:c r="G145" s="46"/>
      <x:c r="H145" s="46"/>
    </x:row>
    <x:row r="146">
      <x:c r="A146" s="46"/>
      <x:c r="B146" s="46"/>
      <x:c r="C146" s="46"/>
      <x:c r="D146" s="46"/>
      <x:c r="E146" s="46"/>
      <x:c r="F146" s="46"/>
      <x:c r="G146" s="46"/>
      <x:c r="H146" s="46"/>
    </x:row>
    <x:row r="147">
      <x:c r="A147" s="46"/>
      <x:c r="B147" s="46"/>
      <x:c r="C147" s="46"/>
      <x:c r="D147" s="46"/>
      <x:c r="E147" s="46"/>
      <x:c r="F147" s="46"/>
      <x:c r="G147" s="46"/>
      <x:c r="H147" s="46"/>
    </x:row>
    <x:row r="148">
      <x:c r="A148" s="46"/>
      <x:c r="B148" s="46"/>
      <x:c r="C148" s="46"/>
      <x:c r="D148" s="46"/>
      <x:c r="E148" s="46"/>
      <x:c r="F148" s="46"/>
      <x:c r="G148" s="46"/>
      <x:c r="H148" s="46"/>
    </x:row>
    <x:row r="149">
      <x:c r="A149" s="46"/>
      <x:c r="B149" s="46"/>
      <x:c r="C149" s="46"/>
      <x:c r="D149" s="46"/>
      <x:c r="E149" s="46"/>
      <x:c r="F149" s="46"/>
      <x:c r="G149" s="46"/>
      <x:c r="H149" s="46"/>
    </x:row>
    <x:row r="150">
      <x:c r="A150" s="46"/>
      <x:c r="B150" s="46"/>
      <x:c r="C150" s="46"/>
      <x:c r="D150" s="46"/>
      <x:c r="E150" s="46"/>
      <x:c r="F150" s="46"/>
      <x:c r="G150" s="46"/>
      <x:c r="H150" s="46"/>
    </x:row>
    <x:row r="151">
      <x:c r="A151" s="46"/>
      <x:c r="B151" s="46"/>
      <x:c r="C151" s="46"/>
      <x:c r="D151" s="46"/>
      <x:c r="E151" s="46"/>
      <x:c r="F151" s="46"/>
      <x:c r="G151" s="46"/>
      <x:c r="H151" s="46"/>
    </x:row>
    <x:row r="152">
      <x:c r="A152" s="46"/>
      <x:c r="B152" s="46"/>
      <x:c r="C152" s="46"/>
      <x:c r="D152" s="46"/>
      <x:c r="E152" s="46"/>
      <x:c r="F152" s="46"/>
      <x:c r="G152" s="46"/>
      <x:c r="H152" s="46"/>
    </x:row>
    <x:row r="153">
      <x:c r="A153" s="46"/>
      <x:c r="B153" s="46"/>
      <x:c r="C153" s="46"/>
      <x:c r="D153" s="46"/>
      <x:c r="E153" s="46"/>
      <x:c r="F153" s="46"/>
      <x:c r="G153" s="46"/>
      <x:c r="H153" s="46"/>
    </x:row>
    <x:row r="154">
      <x:c r="A154" s="46"/>
      <x:c r="B154" s="46"/>
      <x:c r="C154" s="46"/>
      <x:c r="D154" s="46"/>
      <x:c r="E154" s="46"/>
      <x:c r="F154" s="46"/>
      <x:c r="G154" s="46"/>
      <x:c r="H154" s="46"/>
    </x:row>
    <x:row r="155">
      <x:c r="A155" s="46"/>
      <x:c r="B155" s="46"/>
      <x:c r="C155" s="46"/>
      <x:c r="D155" s="46"/>
      <x:c r="E155" s="46"/>
      <x:c r="F155" s="46"/>
      <x:c r="G155" s="46"/>
      <x:c r="H155" s="46"/>
    </x:row>
    <x:row r="156">
      <x:c r="A156" s="46"/>
      <x:c r="B156" s="46"/>
      <x:c r="C156" s="46"/>
      <x:c r="D156" s="46"/>
      <x:c r="E156" s="46"/>
      <x:c r="F156" s="46"/>
      <x:c r="G156" s="46"/>
      <x:c r="H156" s="46"/>
    </x:row>
    <x:row r="157">
      <x:c r="A157" s="46"/>
      <x:c r="B157" s="46"/>
      <x:c r="C157" s="46"/>
      <x:c r="D157" s="46"/>
      <x:c r="E157" s="46"/>
      <x:c r="F157" s="46"/>
      <x:c r="G157" s="46"/>
      <x:c r="H157" s="46"/>
    </x:row>
    <x:row r="158">
      <x:c r="A158" s="46"/>
      <x:c r="B158" s="46"/>
      <x:c r="C158" s="46"/>
      <x:c r="D158" s="46"/>
      <x:c r="E158" s="46"/>
      <x:c r="F158" s="46"/>
      <x:c r="G158" s="46"/>
      <x:c r="H158" s="46"/>
    </x:row>
    <x:row r="159">
      <x:c r="A159" s="46"/>
      <x:c r="B159" s="46"/>
      <x:c r="C159" s="46"/>
      <x:c r="D159" s="46"/>
      <x:c r="E159" s="46"/>
      <x:c r="F159" s="46"/>
      <x:c r="G159" s="46"/>
      <x:c r="H159" s="46"/>
    </x:row>
    <x:row r="160">
      <x:c r="A160" s="46"/>
      <x:c r="B160" s="46"/>
      <x:c r="C160" s="46"/>
      <x:c r="D160" s="46"/>
      <x:c r="E160" s="46"/>
      <x:c r="F160" s="46"/>
      <x:c r="G160" s="46"/>
      <x:c r="H160" s="46"/>
    </x:row>
    <x:row r="161">
      <x:c r="A161" s="46"/>
      <x:c r="B161" s="46"/>
      <x:c r="C161" s="46"/>
      <x:c r="D161" s="46"/>
      <x:c r="E161" s="46"/>
      <x:c r="F161" s="46"/>
      <x:c r="G161" s="46"/>
      <x:c r="H161" s="46"/>
    </x:row>
    <x:row r="162">
      <x:c r="A162" s="46"/>
      <x:c r="B162" s="46"/>
      <x:c r="C162" s="46"/>
      <x:c r="D162" s="46"/>
      <x:c r="E162" s="46"/>
      <x:c r="F162" s="46"/>
      <x:c r="G162" s="46"/>
      <x:c r="H162" s="46"/>
    </x:row>
    <x:row r="163">
      <x:c r="A163" s="46"/>
      <x:c r="B163" s="46"/>
      <x:c r="C163" s="46"/>
      <x:c r="D163" s="46"/>
      <x:c r="E163" s="46"/>
      <x:c r="F163" s="46"/>
      <x:c r="G163" s="46"/>
      <x:c r="H163" s="46"/>
    </x:row>
    <x:row r="164">
      <x:c r="A164" s="46"/>
      <x:c r="B164" s="46"/>
      <x:c r="C164" s="46"/>
      <x:c r="D164" s="46"/>
      <x:c r="E164" s="46"/>
      <x:c r="F164" s="46"/>
      <x:c r="G164" s="46"/>
      <x:c r="H164" s="46"/>
    </x:row>
    <x:row r="165">
      <x:c r="A165" s="46"/>
      <x:c r="B165" s="46"/>
      <x:c r="C165" s="46"/>
      <x:c r="D165" s="46"/>
      <x:c r="E165" s="46"/>
      <x:c r="F165" s="46"/>
      <x:c r="G165" s="46"/>
      <x:c r="H165" s="46"/>
    </x:row>
    <x:row r="166">
      <x:c r="A166" s="46"/>
      <x:c r="B166" s="46"/>
      <x:c r="C166" s="46"/>
      <x:c r="D166" s="46"/>
      <x:c r="E166" s="46"/>
      <x:c r="F166" s="46"/>
      <x:c r="G166" s="46"/>
      <x:c r="H166" s="46"/>
    </x:row>
    <x:row r="167">
      <x:c r="A167" s="46"/>
      <x:c r="B167" s="46"/>
      <x:c r="C167" s="46"/>
      <x:c r="D167" s="46"/>
      <x:c r="E167" s="46"/>
      <x:c r="F167" s="46"/>
      <x:c r="G167" s="46"/>
      <x:c r="H167" s="46"/>
    </x:row>
    <x:row r="168">
      <x:c r="A168" s="46"/>
      <x:c r="B168" s="46"/>
      <x:c r="C168" s="46"/>
      <x:c r="D168" s="46"/>
      <x:c r="E168" s="46"/>
      <x:c r="F168" s="46"/>
      <x:c r="G168" s="46"/>
      <x:c r="H168" s="46"/>
    </x:row>
    <x:row r="169">
      <x:c r="A169" s="46"/>
      <x:c r="B169" s="46"/>
      <x:c r="C169" s="46"/>
      <x:c r="D169" s="46"/>
      <x:c r="E169" s="46"/>
      <x:c r="F169" s="46"/>
      <x:c r="G169" s="46"/>
      <x:c r="H169" s="46"/>
    </x:row>
    <x:row r="170">
      <x:c r="A170" s="46"/>
      <x:c r="B170" s="46"/>
      <x:c r="C170" s="46"/>
      <x:c r="D170" s="46"/>
      <x:c r="E170" s="46"/>
      <x:c r="F170" s="46"/>
      <x:c r="G170" s="46"/>
      <x:c r="H170" s="46"/>
    </x:row>
    <x:row r="171">
      <x:c r="A171" s="46"/>
      <x:c r="B171" s="46"/>
      <x:c r="C171" s="46"/>
      <x:c r="D171" s="46"/>
      <x:c r="E171" s="46"/>
      <x:c r="F171" s="46"/>
      <x:c r="G171" s="46"/>
      <x:c r="H171" s="46"/>
    </x:row>
    <x:row r="172">
      <x:c r="A172" s="46"/>
      <x:c r="B172" s="46"/>
      <x:c r="C172" s="46"/>
      <x:c r="D172" s="46"/>
      <x:c r="E172" s="46"/>
      <x:c r="F172" s="46"/>
      <x:c r="G172" s="46"/>
      <x:c r="H172" s="46"/>
    </x:row>
    <x:row r="173">
      <x:c r="A173" s="46"/>
      <x:c r="B173" s="46"/>
      <x:c r="C173" s="46"/>
      <x:c r="D173" s="46"/>
      <x:c r="E173" s="46"/>
      <x:c r="F173" s="46"/>
      <x:c r="G173" s="46"/>
      <x:c r="H173" s="46"/>
    </x:row>
    <x:row r="174">
      <x:c r="A174" s="46"/>
      <x:c r="B174" s="46"/>
      <x:c r="C174" s="46"/>
      <x:c r="D174" s="46"/>
      <x:c r="E174" s="46"/>
      <x:c r="F174" s="46"/>
      <x:c r="G174" s="46"/>
      <x:c r="H174" s="46"/>
    </x:row>
    <x:row r="175">
      <x:c r="A175" s="46"/>
      <x:c r="B175" s="46"/>
      <x:c r="C175" s="46"/>
      <x:c r="D175" s="46"/>
      <x:c r="E175" s="46"/>
      <x:c r="F175" s="46"/>
      <x:c r="G175" s="46"/>
      <x:c r="H175" s="46"/>
    </x:row>
    <x:row r="176">
      <x:c r="A176" s="46"/>
      <x:c r="B176" s="46"/>
      <x:c r="C176" s="46"/>
      <x:c r="D176" s="46"/>
      <x:c r="E176" s="46"/>
      <x:c r="F176" s="46"/>
      <x:c r="G176" s="46"/>
      <x:c r="H176" s="46"/>
    </x:row>
    <x:row r="177">
      <x:c r="A177" s="46"/>
      <x:c r="B177" s="46"/>
      <x:c r="C177" s="46"/>
      <x:c r="D177" s="46"/>
      <x:c r="E177" s="46"/>
      <x:c r="F177" s="46"/>
      <x:c r="G177" s="46"/>
      <x:c r="H177" s="46"/>
    </x:row>
    <x:row r="178">
      <x:c r="A178" s="46"/>
      <x:c r="B178" s="46"/>
      <x:c r="C178" s="46"/>
      <x:c r="D178" s="46"/>
      <x:c r="E178" s="46"/>
      <x:c r="F178" s="46"/>
      <x:c r="G178" s="46"/>
      <x:c r="H178" s="46"/>
    </x:row>
    <x:row r="179">
      <x:c r="A179" s="46"/>
      <x:c r="B179" s="46"/>
      <x:c r="C179" s="46"/>
      <x:c r="D179" s="46"/>
      <x:c r="E179" s="46"/>
      <x:c r="F179" s="46"/>
      <x:c r="G179" s="46"/>
      <x:c r="H179" s="46"/>
    </x:row>
    <x:row r="180">
      <x:c r="A180" s="46"/>
      <x:c r="B180" s="46"/>
      <x:c r="C180" s="46"/>
      <x:c r="D180" s="46"/>
      <x:c r="E180" s="46"/>
      <x:c r="F180" s="46"/>
      <x:c r="G180" s="46"/>
      <x:c r="H180" s="46"/>
    </x:row>
    <x:row r="181">
      <x:c r="A181" s="46"/>
      <x:c r="B181" s="46"/>
      <x:c r="C181" s="46"/>
      <x:c r="D181" s="46"/>
      <x:c r="E181" s="46"/>
      <x:c r="F181" s="46"/>
      <x:c r="G181" s="46"/>
      <x:c r="H181" s="46"/>
    </x:row>
    <x:row r="182">
      <x:c r="A182" s="46"/>
      <x:c r="B182" s="46"/>
      <x:c r="C182" s="46"/>
      <x:c r="D182" s="46"/>
      <x:c r="E182" s="46"/>
      <x:c r="F182" s="46"/>
      <x:c r="G182" s="46"/>
      <x:c r="H182" s="46"/>
    </x:row>
    <x:row r="183">
      <x:c r="A183" s="46"/>
      <x:c r="B183" s="46"/>
      <x:c r="C183" s="46"/>
      <x:c r="D183" s="46"/>
      <x:c r="E183" s="46"/>
      <x:c r="F183" s="46"/>
      <x:c r="G183" s="46"/>
      <x:c r="H183" s="46"/>
    </x:row>
    <x:row r="184">
      <x:c r="A184" s="46"/>
      <x:c r="B184" s="46"/>
      <x:c r="C184" s="46"/>
      <x:c r="D184" s="46"/>
      <x:c r="E184" s="46"/>
      <x:c r="F184" s="46"/>
      <x:c r="G184" s="46"/>
      <x:c r="H184" s="46"/>
    </x:row>
    <x:row r="185">
      <x:c r="A185" s="46"/>
      <x:c r="B185" s="46"/>
      <x:c r="C185" s="46"/>
      <x:c r="D185" s="46"/>
      <x:c r="E185" s="46"/>
      <x:c r="F185" s="46"/>
      <x:c r="G185" s="46"/>
      <x:c r="H185" s="46"/>
    </x:row>
    <x:row r="186">
      <x:c r="A186" s="46"/>
      <x:c r="B186" s="46"/>
      <x:c r="C186" s="46"/>
      <x:c r="D186" s="46"/>
      <x:c r="E186" s="46"/>
      <x:c r="F186" s="46"/>
      <x:c r="G186" s="46"/>
      <x:c r="H186" s="46"/>
    </x:row>
    <x:row r="187">
      <x:c r="A187" s="46"/>
      <x:c r="B187" s="46"/>
      <x:c r="C187" s="46"/>
      <x:c r="D187" s="46"/>
      <x:c r="E187" s="46"/>
      <x:c r="F187" s="46"/>
      <x:c r="G187" s="46"/>
      <x:c r="H187" s="46"/>
    </x:row>
    <x:row r="188">
      <x:c r="A188" s="46"/>
      <x:c r="B188" s="46"/>
      <x:c r="C188" s="46"/>
      <x:c r="D188" s="46"/>
      <x:c r="E188" s="46"/>
      <x:c r="F188" s="46"/>
      <x:c r="G188" s="46"/>
      <x:c r="H188" s="46"/>
    </x:row>
    <x:row r="189">
      <x:c r="A189" s="46"/>
      <x:c r="B189" s="46"/>
      <x:c r="C189" s="46"/>
      <x:c r="D189" s="46"/>
      <x:c r="E189" s="46"/>
      <x:c r="F189" s="46"/>
      <x:c r="G189" s="46"/>
      <x:c r="H189" s="46"/>
    </x:row>
    <x:row r="190">
      <x:c r="A190" s="46"/>
      <x:c r="B190" s="46"/>
      <x:c r="C190" s="46"/>
      <x:c r="D190" s="46"/>
      <x:c r="E190" s="46"/>
      <x:c r="F190" s="46"/>
      <x:c r="G190" s="46"/>
      <x:c r="H190" s="46"/>
    </x:row>
    <x:row r="191">
      <x:c r="A191" s="46"/>
      <x:c r="B191" s="46"/>
      <x:c r="C191" s="46"/>
      <x:c r="D191" s="46"/>
      <x:c r="E191" s="46"/>
      <x:c r="F191" s="46"/>
      <x:c r="G191" s="46"/>
      <x:c r="H191" s="46"/>
    </x:row>
    <x:row r="192">
      <x:c r="A192" s="46"/>
      <x:c r="B192" s="46"/>
      <x:c r="C192" s="46"/>
      <x:c r="D192" s="46"/>
      <x:c r="E192" s="46"/>
      <x:c r="F192" s="46"/>
      <x:c r="G192" s="46"/>
      <x:c r="H192" s="46"/>
    </x:row>
    <x:row r="193">
      <x:c r="A193" s="46"/>
      <x:c r="B193" s="46"/>
      <x:c r="C193" s="46"/>
      <x:c r="D193" s="46"/>
      <x:c r="E193" s="46"/>
      <x:c r="F193" s="46"/>
      <x:c r="G193" s="46"/>
      <x:c r="H193" s="46"/>
    </x:row>
    <x:row r="194">
      <x:c r="A194" s="46"/>
      <x:c r="B194" s="46"/>
      <x:c r="C194" s="46"/>
      <x:c r="D194" s="46"/>
      <x:c r="E194" s="46"/>
      <x:c r="F194" s="46"/>
      <x:c r="G194" s="46"/>
      <x:c r="H194" s="46"/>
    </x:row>
    <x:row r="195">
      <x:c r="A195" s="46"/>
      <x:c r="B195" s="46"/>
      <x:c r="C195" s="46"/>
      <x:c r="D195" s="46"/>
      <x:c r="E195" s="46"/>
      <x:c r="F195" s="46"/>
      <x:c r="G195" s="46"/>
      <x:c r="H195" s="46"/>
    </x:row>
    <x:row r="196">
      <x:c r="A196" s="46"/>
      <x:c r="B196" s="46"/>
      <x:c r="C196" s="46"/>
      <x:c r="D196" s="46"/>
      <x:c r="E196" s="46"/>
      <x:c r="F196" s="46"/>
      <x:c r="G196" s="46"/>
      <x:c r="H196" s="46"/>
    </x:row>
    <x:row r="197">
      <x:c r="A197" s="46"/>
      <x:c r="B197" s="46"/>
      <x:c r="C197" s="46"/>
      <x:c r="D197" s="46"/>
      <x:c r="E197" s="46"/>
      <x:c r="F197" s="46"/>
      <x:c r="G197" s="46"/>
      <x:c r="H197" s="46"/>
    </x:row>
    <x:row r="198">
      <x:c r="A198" s="46"/>
      <x:c r="B198" s="46"/>
      <x:c r="C198" s="46"/>
      <x:c r="D198" s="46"/>
      <x:c r="E198" s="46"/>
      <x:c r="F198" s="46"/>
      <x:c r="G198" s="46"/>
      <x:c r="H198" s="46"/>
    </x:row>
    <x:row r="199">
      <x:c r="A199" s="46"/>
      <x:c r="B199" s="46"/>
      <x:c r="C199" s="46"/>
      <x:c r="D199" s="46"/>
      <x:c r="E199" s="46"/>
      <x:c r="F199" s="46"/>
      <x:c r="G199" s="46"/>
      <x:c r="H199" s="46"/>
    </x:row>
    <x:row r="200">
      <x:c r="A200" s="46"/>
      <x:c r="B200" s="46"/>
      <x:c r="C200" s="46"/>
      <x:c r="D200" s="46"/>
      <x:c r="E200" s="46"/>
      <x:c r="F200" s="46"/>
      <x:c r="G200" s="46"/>
      <x:c r="H200" s="46"/>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3" hidden="0" customWidth="1"/>
    <x:col min="2" max="2" width="14" hidden="0" customWidth="1"/>
    <x:col min="3" max="3" width="20" hidden="0" customWidth="1"/>
    <x:col min="4" max="4" width="20" hidden="0" customWidth="1"/>
    <x:col min="5" max="5" width="24" hidden="0" customWidth="1"/>
    <x:col min="6" max="6" width="14" hidden="0" customWidth="1"/>
    <x:col min="7" max="7" width="21" hidden="0" customWidth="1"/>
    <x:col min="8" max="8" width="24" hidden="0" customWidth="1"/>
    <x:col min="9" max="9" width="18" hidden="0" customWidth="1"/>
    <x:col min="10" max="10" width="25" hidden="0" customWidth="1"/>
    <x:col min="11" max="11" width="25" hidden="0" customWidth="1"/>
    <x:col min="12" max="12" width="30" hidden="0" customWidth="1"/>
    <x:col min="13" max="13" width="28" hidden="0" customWidth="1"/>
    <x:col min="14" max="14" width="34" hidden="0" customWidth="1"/>
    <x:col min="15" max="15" width="54" hidden="0" customWidth="1"/>
  </x:cols>
  <x:sheetData>
    <x:row r="1" ht="26.399999618530273" hidden="0" customHeight="1">
      <x:c r="A1" s="115" t="str">
        <x:v>legacy_id</x:v>
      </x:c>
      <x:c r="B1" s="115" t="str">
        <x:v>lead_type</x:v>
      </x:c>
      <x:c r="C1" s="115" t="str">
        <x:v>legacy_context</x:v>
      </x:c>
      <x:c r="D1" s="115" t="str">
        <x:v>compound_name_raw</x:v>
      </x:c>
      <x:c r="E1" s="115" t="str">
        <x:v>canonical_name</x:v>
      </x:c>
      <x:c r="F1" s="115" t="str">
        <x:v>cas</x:v>
      </x:c>
      <x:c r="G1" s="115" t="str">
        <x:v>compound_group</x:v>
      </x:c>
      <x:c r="H1" s="115" t="str">
        <x:v>identity_status</x:v>
      </x:c>
      <x:c r="I1" s="115" t="str">
        <x:v>primary_beef_evidence</x:v>
      </x:c>
      <x:c r="J1" s="115" t="str">
        <x:v>verified_state_or_context</x:v>
      </x:c>
      <x:c r="K1" s="115" t="str">
        <x:v>sensory_status</x:v>
      </x:c>
      <x:c r="L1" s="115" t="str">
        <x:v>source_ids</x:v>
      </x:c>
      <x:c r="M1" s="115" t="str">
        <x:v>reconciliation_outcome</x:v>
      </x:c>
      <x:c r="N1" s="115" t="str">
        <x:v>runtime_implication</x:v>
      </x:c>
      <x:c r="O1" s="115" t="str">
        <x:v>notes</x:v>
      </x:c>
    </x:row>
    <x:row r="2" ht="26.399999618530273" hidden="0" customHeight="1">
      <x:c r="A2" s="46" t="str">
        <x:v>LC-0001</x:v>
      </x:c>
      <x:c r="B2" s="46" t="str">
        <x:v>legacy_compound</x:v>
      </x:c>
      <x:c r="C2" s="46" t="str">
        <x:v>generic beef</x:v>
      </x:c>
      <x:c r="D2" s="46" t="str">
        <x:v>Pentane</x:v>
      </x:c>
      <x:c r="E2" s="46" t="str">
        <x:v>pentane</x:v>
      </x:c>
      <x:c r="F2" s="46" t="str">
        <x:v>109-66-0</x:v>
      </x:c>
      <x:c r="G2" s="46" t="str">
        <x:v>Hydrocarbons, alkanes</x:v>
      </x:c>
      <x:c r="H2" s="46" t="str">
        <x:v>identity_verified</x:v>
      </x:c>
      <x:c r="I2" s="46" t="str">
        <x:v>no</x:v>
      </x:c>
      <x:c r="J2" s="46" t="str">
        <x:v>none</x:v>
      </x:c>
      <x:c r="K2" s="46" t="str">
        <x:v>none</x:v>
      </x:c>
      <x:c r="L2" s="46"/>
      <x:c r="M2" s="117" t="str">
        <x:v>hold</x:v>
      </x:c>
      <x:c r="N2" s="46" t="str">
        <x:v>Do not promote to beef chemistry</x:v>
      </x:c>
      <x:c r="O2" s="46" t="str">
        <x:v>No qualifying clean primary beef evidence located. Pentane is also used as an analytical/extraction solvent in meat work.</x:v>
      </x:c>
    </x:row>
    <x:row r="3" ht="26.399999618530273" hidden="0" customHeight="1">
      <x:c r="A3" s="46" t="str">
        <x:v>LC-0002</x:v>
      </x:c>
      <x:c r="B3" s="46" t="str">
        <x:v>legacy_compound</x:v>
      </x:c>
      <x:c r="C3" s="46" t="str">
        <x:v>generic beef</x:v>
      </x:c>
      <x:c r="D3" s="46" t="str">
        <x:v>Hexane</x:v>
      </x:c>
      <x:c r="E3" s="46" t="str">
        <x:v>hexane</x:v>
      </x:c>
      <x:c r="F3" s="46" t="str">
        <x:v>110-54-3</x:v>
      </x:c>
      <x:c r="G3" s="46" t="str">
        <x:v>Hydrocarbons, alkanes</x:v>
      </x:c>
      <x:c r="H3" s="46" t="str">
        <x:v>identity_verified</x:v>
      </x:c>
      <x:c r="I3" s="46" t="str">
        <x:v>no</x:v>
      </x:c>
      <x:c r="J3" s="46" t="str">
        <x:v>none</x:v>
      </x:c>
      <x:c r="K3" s="46" t="str">
        <x:v>none</x:v>
      </x:c>
      <x:c r="L3" s="46"/>
      <x:c r="M3" s="117" t="str">
        <x:v>hold</x:v>
      </x:c>
      <x:c r="N3" s="46" t="str">
        <x:v>Do not promote to beef chemistry</x:v>
      </x:c>
      <x:c r="O3" s="46" t="str">
        <x:v>Identity valid; generic legacy beef membership unsupported in this pass.</x:v>
      </x:c>
    </x:row>
    <x:row r="4" ht="26.399999618530273" hidden="0" customHeight="1">
      <x:c r="A4" s="46" t="str">
        <x:v>LC-0003</x:v>
      </x:c>
      <x:c r="B4" s="46" t="str">
        <x:v>legacy_compound</x:v>
      </x:c>
      <x:c r="C4" s="46" t="str">
        <x:v>generic beef</x:v>
      </x:c>
      <x:c r="D4" s="46" t="str">
        <x:v>Dodecane</x:v>
      </x:c>
      <x:c r="E4" s="46" t="str">
        <x:v>dodecane</x:v>
      </x:c>
      <x:c r="F4" s="46" t="str">
        <x:v>112-40-3</x:v>
      </x:c>
      <x:c r="G4" s="46" t="str">
        <x:v>Hydrocarbons, alkanes</x:v>
      </x:c>
      <x:c r="H4" s="46" t="str">
        <x:v>identity_verified</x:v>
      </x:c>
      <x:c r="I4" s="46" t="str">
        <x:v>no</x:v>
      </x:c>
      <x:c r="J4" s="46" t="str">
        <x:v>none</x:v>
      </x:c>
      <x:c r="K4" s="46" t="str">
        <x:v>none</x:v>
      </x:c>
      <x:c r="L4" s="46"/>
      <x:c r="M4" s="117" t="str">
        <x:v>hold</x:v>
      </x:c>
      <x:c r="N4" s="46" t="str">
        <x:v>Do not promote to beef chemistry</x:v>
      </x:c>
      <x:c r="O4" s="46" t="str">
        <x:v>Identity valid; no qualifying primary beef occurrence source located.</x:v>
      </x:c>
    </x:row>
    <x:row r="5" ht="26.399999618530273" hidden="0" customHeight="1">
      <x:c r="A5" s="46" t="str">
        <x:v>LC-0004</x:v>
      </x:c>
      <x:c r="B5" s="46" t="str">
        <x:v>legacy_compound</x:v>
      </x:c>
      <x:c r="C5" s="46" t="str">
        <x:v>generic beef</x:v>
      </x:c>
      <x:c r="D5" s="46" t="str">
        <x:v>Methylbenzene</x:v>
      </x:c>
      <x:c r="E5" s="46" t="str">
        <x:v>toluene</x:v>
      </x:c>
      <x:c r="F5" s="46" t="str">
        <x:v>108-88-3</x:v>
      </x:c>
      <x:c r="G5" s="46" t="str">
        <x:v>Hydrocarbons, aromatics</x:v>
      </x:c>
      <x:c r="H5" s="46" t="str">
        <x:v>identity_verified</x:v>
      </x:c>
      <x:c r="I5" s="46" t="str">
        <x:v>yes</x:v>
      </x:c>
      <x:c r="J5" s="46" t="str">
        <x:v>raw + roast time course</x:v>
      </x:c>
      <x:c r="K5" s="46" t="str">
        <x:v>detected; aroma-active only later in roast</x:v>
      </x:c>
      <x:c r="L5" s="46" t="str">
        <x:v>SRC-BEEF-ROAST-001</x:v>
      </x:c>
      <x:c r="M5" s="119" t="str">
        <x:v>survives_state_specific</x:v>
      </x:c>
      <x:c r="N5" s="46" t="str">
        <x:v>Retain as roast/time-course compound, not generic beef key odorant</x:v>
      </x:c>
      <x:c r="O5" s="46" t="str">
        <x:v>Raw concentration measurable, but raw OAV&gt;1 set excludes toluene; concentration rises sharply late in roasting.</x:v>
      </x:c>
    </x:row>
    <x:row r="6" ht="26.399999618530273" hidden="0" customHeight="1">
      <x:c r="A6" s="46" t="str">
        <x:v>LC-0005</x:v>
      </x:c>
      <x:c r="B6" s="46" t="str">
        <x:v>legacy_compound</x:v>
      </x:c>
      <x:c r="C6" s="46" t="str">
        <x:v>generic beef</x:v>
      </x:c>
      <x:c r="D6" s="46" t="str">
        <x:v>pseudocumene</x:v>
      </x:c>
      <x:c r="E6" s="46" t="str">
        <x:v>1,2,4-trimethylbenzene</x:v>
      </x:c>
      <x:c r="F6" s="46" t="str">
        <x:v>95-63-6</x:v>
      </x:c>
      <x:c r="G6" s="46" t="str">
        <x:v>Hydrocarbons, aromatics</x:v>
      </x:c>
      <x:c r="H6" s="46" t="str">
        <x:v>identity_verified</x:v>
      </x:c>
      <x:c r="I6" s="46" t="str">
        <x:v>yes</x:v>
      </x:c>
      <x:c r="J6" s="46" t="str">
        <x:v>cooked longissimus thoracis; diet study</x:v>
      </x:c>
      <x:c r="K6" s="46" t="str">
        <x:v>detected_only</x:v>
      </x:c>
      <x:c r="L6" s="46" t="str">
        <x:v>SRC-BEEF-DIET-001</x:v>
      </x:c>
      <x:c r="M6" s="119" t="str">
        <x:v>survives_detection_only</x:v>
      </x:c>
      <x:c r="N6" s="46" t="str">
        <x:v>Do not use as sensory/core driver</x:v>
      </x:c>
      <x:c r="O6" s="46" t="str">
        <x:v>Directly detected in cooked beef at low relative abundance; no sensory validation.</x:v>
      </x:c>
    </x:row>
    <x:row r="7" ht="26.399999618530273" hidden="0" customHeight="1">
      <x:c r="A7" s="46" t="str">
        <x:v>LC-0006</x:v>
      </x:c>
      <x:c r="B7" s="46" t="str">
        <x:v>legacy_compound</x:v>
      </x:c>
      <x:c r="C7" s="46" t="str">
        <x:v>generic beef</x:v>
      </x:c>
      <x:c r="D7" s="46" t="str">
        <x:v>naphthalene</x:v>
      </x:c>
      <x:c r="E7" s="46" t="str">
        <x:v>naphthalene</x:v>
      </x:c>
      <x:c r="F7" s="46" t="str">
        <x:v>91-20-3</x:v>
      </x:c>
      <x:c r="G7" s="46" t="str">
        <x:v>Hydrocarbons, aromatics</x:v>
      </x:c>
      <x:c r="H7" s="46" t="str">
        <x:v>identity_verified</x:v>
      </x:c>
      <x:c r="I7" s="46" t="str">
        <x:v>no</x:v>
      </x:c>
      <x:c r="J7" s="46" t="str">
        <x:v>none</x:v>
      </x:c>
      <x:c r="K7" s="46" t="str">
        <x:v>none</x:v>
      </x:c>
      <x:c r="L7" s="46"/>
      <x:c r="M7" s="117" t="str">
        <x:v>hold</x:v>
      </x:c>
      <x:c r="N7" s="46" t="str">
        <x:v>Do not promote</x:v>
      </x:c>
      <x:c r="O7" s="46" t="str">
        <x:v>No qualifying primary analytical beef source located.</x:v>
      </x:c>
    </x:row>
    <x:row r="8" ht="26.399999618530273" hidden="0" customHeight="1">
      <x:c r="A8" s="46" t="str">
        <x:v>LC-0007</x:v>
      </x:c>
      <x:c r="B8" s="46" t="str">
        <x:v>legacy_compound</x:v>
      </x:c>
      <x:c r="C8" s="46" t="str">
        <x:v>generic beef</x:v>
      </x:c>
      <x:c r="D8" s="46" t="str">
        <x:v>2,3 butylene glycol</x:v>
      </x:c>
      <x:c r="E8" s="46" t="str">
        <x:v>2,3-butanediol</x:v>
      </x:c>
      <x:c r="F8" s="46" t="str">
        <x:v>513-85-9</x:v>
      </x:c>
      <x:c r="G8" s="46" t="str">
        <x:v>Alcohols</x:v>
      </x:c>
      <x:c r="H8" s="46" t="str">
        <x:v>identity_verified</x:v>
      </x:c>
      <x:c r="I8" s="46" t="str">
        <x:v>yes</x:v>
      </x:c>
      <x:c r="J8" s="46" t="str">
        <x:v>late roast, 12–18 min</x:v>
      </x:c>
      <x:c r="K8" s="46" t="str">
        <x:v>detected_only</x:v>
      </x:c>
      <x:c r="L8" s="46" t="str">
        <x:v>SRC-BEEF-ROAST-001</x:v>
      </x:c>
      <x:c r="M8" s="119" t="str">
        <x:v>survives_state_specific</x:v>
      </x:c>
      <x:c r="N8" s="46" t="str">
        <x:v>Late high-heat detection only</x:v>
      </x:c>
      <x:c r="O8" s="46" t="str">
        <x:v>Not detected raw or early roast in time-course; not among key OAV odorants.</x:v>
      </x:c>
    </x:row>
    <x:row r="9" ht="26.399999618530273" hidden="0" customHeight="1">
      <x:c r="A9" s="46" t="str">
        <x:v>LC-0008</x:v>
      </x:c>
      <x:c r="B9" s="46" t="str">
        <x:v>legacy_compound</x:v>
      </x:c>
      <x:c r="C9" s="46" t="str">
        <x:v>generic beef</x:v>
      </x:c>
      <x:c r="D9" s="46" t="str">
        <x:v>a-terpineol</x:v>
      </x:c>
      <x:c r="E9" s="46" t="str">
        <x:v>alpha-terpineol</x:v>
      </x:c>
      <x:c r="F9" s="46" t="str">
        <x:v>98-55-5</x:v>
      </x:c>
      <x:c r="G9" s="46" t="str">
        <x:v>Alcohols</x:v>
      </x:c>
      <x:c r="H9" s="46" t="str">
        <x:v>identity_verified</x:v>
      </x:c>
      <x:c r="I9" s="46" t="str">
        <x:v>no</x:v>
      </x:c>
      <x:c r="J9" s="46" t="str">
        <x:v>none</x:v>
      </x:c>
      <x:c r="K9" s="46" t="str">
        <x:v>none</x:v>
      </x:c>
      <x:c r="L9" s="46"/>
      <x:c r="M9" s="117" t="str">
        <x:v>hold</x:v>
      </x:c>
      <x:c r="N9" s="46" t="str">
        <x:v>Do not promote</x:v>
      </x:c>
      <x:c r="O9" s="46" t="str">
        <x:v>No qualifying primary analytical beef source located.</x:v>
      </x:c>
    </x:row>
    <x:row r="10" ht="26.399999618530273" hidden="0" customHeight="1">
      <x:c r="A10" s="46" t="str">
        <x:v>LC-0009</x:v>
      </x:c>
      <x:c r="B10" s="46" t="str">
        <x:v>legacy_compound</x:v>
      </x:c>
      <x:c r="C10" s="46" t="str">
        <x:v>generic beef</x:v>
      </x:c>
      <x:c r="D10" s="46" t="str">
        <x:v>tiglaldehyde</x:v>
      </x:c>
      <x:c r="E10" s="46" t="str">
        <x:v>(E)-2-methyl-2-butenal</x:v>
      </x:c>
      <x:c r="F10" s="46" t="str">
        <x:v>497-03-0</x:v>
      </x:c>
      <x:c r="G10" s="46" t="str">
        <x:v>Carbonyls, aldehydes</x:v>
      </x:c>
      <x:c r="H10" s="46" t="str">
        <x:v>identity_verified_stereospecific</x:v>
      </x:c>
      <x:c r="I10" s="46" t="str">
        <x:v>no</x:v>
      </x:c>
      <x:c r="J10" s="46" t="str">
        <x:v>none</x:v>
      </x:c>
      <x:c r="K10" s="46" t="str">
        <x:v>none</x:v>
      </x:c>
      <x:c r="L10" s="46"/>
      <x:c r="M10" s="117" t="str">
        <x:v>hold</x:v>
      </x:c>
      <x:c r="N10" s="46" t="str">
        <x:v>Do not promote</x:v>
      </x:c>
      <x:c r="O10" s="46" t="str">
        <x:v>Legacy name maps to tiglic aldehyde / trans-2-methyl-2-butenal; beef occurrence unsupported.</x:v>
      </x:c>
    </x:row>
    <x:row r="11" ht="26.399999618530273" hidden="0" customHeight="1">
      <x:c r="A11" s="46" t="str">
        <x:v>LC-0010</x:v>
      </x:c>
      <x:c r="B11" s="46" t="str">
        <x:v>legacy_compound</x:v>
      </x:c>
      <x:c r="C11" s="46" t="str">
        <x:v>generic beef</x:v>
      </x:c>
      <x:c r="D11" s="46" t="str">
        <x:v>isopentanal</x:v>
      </x:c>
      <x:c r="E11" s="46" t="str">
        <x:v>3-methylbutanal</x:v>
      </x:c>
      <x:c r="F11" s="46" t="str">
        <x:v>590-86-3</x:v>
      </x:c>
      <x:c r="G11" s="46" t="str">
        <x:v>Carbonyls, aldehydes</x:v>
      </x:c>
      <x:c r="H11" s="46" t="str">
        <x:v>identity_verified</x:v>
      </x:c>
      <x:c r="I11" s="46" t="str">
        <x:v>yes</x:v>
      </x:c>
      <x:c r="J11" s="46" t="str">
        <x:v>traditional dry-aged control</x:v>
      </x:c>
      <x:c r="K11" s="46" t="str">
        <x:v>detected_only</x:v>
      </x:c>
      <x:c r="L11" s="46" t="str">
        <x:v>SRC-BEEF-AGE-CONTROL-001</x:v>
      </x:c>
      <x:c r="M11" s="119" t="str">
        <x:v>survives_dry_age_only</x:v>
      </x:c>
      <x:c r="N11" s="46" t="str">
        <x:v>Use only in dry-aging delta pending broader evidence</x:v>
      </x:c>
      <x:c r="O11" s="46" t="str">
        <x:v>Historical generic-beef claim is too broad; direct evidence here is aging-specific.</x:v>
      </x:c>
    </x:row>
    <x:row r="12" ht="39.599998474121094" hidden="0" customHeight="1">
      <x:c r="A12" s="46" t="str">
        <x:v>LC-0011</x:v>
      </x:c>
      <x:c r="B12" s="46" t="str">
        <x:v>legacy_compound</x:v>
      </x:c>
      <x:c r="C12" s="46" t="str">
        <x:v>generic beef</x:v>
      </x:c>
      <x:c r="D12" s="46" t="str">
        <x:v>2-decenal</x:v>
      </x:c>
      <x:c r="E12" s="46" t="str">
        <x:v>2-decenal (isomer unspecified)</x:v>
      </x:c>
      <x:c r="F12" s="46"/>
      <x:c r="G12" s="46" t="str">
        <x:v>Carbonyls, aldehydes</x:v>
      </x:c>
      <x:c r="H12" s="46" t="str">
        <x:v>identity_hold_stereochemistry</x:v>
      </x:c>
      <x:c r="I12" s="46" t="str">
        <x:v>partial</x:v>
      </x:c>
      <x:c r="J12" s="46" t="str">
        <x:v>legacy identity unresolved; (E)-2-decenal verified in stewed beef</x:v>
      </x:c>
      <x:c r="K12" s="46" t="str">
        <x:v>(E)-2-decenal aroma-active via GC-O/AEDA</x:v>
      </x:c>
      <x:c r="L12" s="46" t="str">
        <x:v>SRC-BEEF-STEW-001</x:v>
      </x:c>
      <x:c r="M12" s="117" t="str">
        <x:v>hold_legacy_identity_create_verified_E_isomer</x:v>
      </x:c>
      <x:c r="N12" s="46" t="str">
        <x:v>Do not silently map legacy 2-decenal to (E)-2-decenal</x:v>
      </x:c>
      <x:c r="O12" s="46" t="str">
        <x:v>Stewed-beef source validates E isomer (FD 8), but legacy row omits stereochemistry.</x:v>
      </x:c>
    </x:row>
    <x:row r="13" ht="26.399999618530273" hidden="0" customHeight="1">
      <x:c r="A13" s="46" t="str">
        <x:v>LC-0012</x:v>
      </x:c>
      <x:c r="B13" s="46" t="str">
        <x:v>legacy_compound</x:v>
      </x:c>
      <x:c r="C13" s="46" t="str">
        <x:v>generic beef</x:v>
      </x:c>
      <x:c r="D13" s="46" t="str">
        <x:v>phenylacetaldehyde</x:v>
      </x:c>
      <x:c r="E13" s="46" t="str">
        <x:v>phenylacetaldehyde</x:v>
      </x:c>
      <x:c r="F13" s="46" t="str">
        <x:v>122-78-1</x:v>
      </x:c>
      <x:c r="G13" s="46" t="str">
        <x:v>Carbonyls, aldehydes</x:v>
      </x:c>
      <x:c r="H13" s="46" t="str">
        <x:v>identity_verified</x:v>
      </x:c>
      <x:c r="I13" s="46" t="str">
        <x:v>yes</x:v>
      </x:c>
      <x:c r="J13" s="46" t="str">
        <x:v>traditional dry-aged control</x:v>
      </x:c>
      <x:c r="K13" s="46" t="str">
        <x:v>detected_only</x:v>
      </x:c>
      <x:c r="L13" s="46" t="str">
        <x:v>SRC-BEEF-AGE-CONTROL-001</x:v>
      </x:c>
      <x:c r="M13" s="119" t="str">
        <x:v>survives_dry_age_only</x:v>
      </x:c>
      <x:c r="N13" s="46" t="str">
        <x:v>Use only in dry-aging delta pending broader evidence</x:v>
      </x:c>
      <x:c r="O13" s="46" t="str">
        <x:v>Directly reported in traditional dry-aging comparison.</x:v>
      </x:c>
    </x:row>
    <x:row r="14" ht="26.399999618530273" hidden="0" customHeight="1">
      <x:c r="A14" s="46" t="str">
        <x:v>LC-0013</x:v>
      </x:c>
      <x:c r="B14" s="46" t="str">
        <x:v>legacy_compound</x:v>
      </x:c>
      <x:c r="C14" s="46" t="str">
        <x:v>generic beef</x:v>
      </x:c>
      <x:c r="D14" s="46" t="str">
        <x:v>3-octanone</x:v>
      </x:c>
      <x:c r="E14" s="46" t="str">
        <x:v>3-octanone</x:v>
      </x:c>
      <x:c r="F14" s="46" t="str">
        <x:v>106-68-3</x:v>
      </x:c>
      <x:c r="G14" s="46" t="str">
        <x:v>Carbonyls, ketones</x:v>
      </x:c>
      <x:c r="H14" s="46" t="str">
        <x:v>identity_verified</x:v>
      </x:c>
      <x:c r="I14" s="46" t="str">
        <x:v>yes</x:v>
      </x:c>
      <x:c r="J14" s="46" t="str">
        <x:v>stored minced beef spoilage</x:v>
      </x:c>
      <x:c r="K14" s="46" t="str">
        <x:v>spoilage_marker_context</x:v>
      </x:c>
      <x:c r="L14" s="46" t="str">
        <x:v>SRC-BEEF-SPOIL-001</x:v>
      </x:c>
      <x:c r="M14" s="121" t="str">
        <x:v>survives_spoilage_only</x:v>
      </x:c>
      <x:c r="N14" s="46" t="str">
        <x:v>Exclude from desirable culinary beef profile</x:v>
      </x:c>
      <x:c r="O14" s="46" t="str">
        <x:v>Analytically beef-derived but supported only in spoilage/storage dynamics.</x:v>
      </x:c>
    </x:row>
    <x:row r="15" ht="26.399999618530273" hidden="0" customHeight="1">
      <x:c r="A15" s="46" t="str">
        <x:v>LC-0014</x:v>
      </x:c>
      <x:c r="B15" s="46" t="str">
        <x:v>legacy_compound</x:v>
      </x:c>
      <x:c r="C15" s="46" t="str">
        <x:v>generic beef</x:v>
      </x:c>
      <x:c r="D15" s="46" t="str">
        <x:v>2-tridecanone</x:v>
      </x:c>
      <x:c r="E15" s="46" t="str">
        <x:v>2-tridecanone</x:v>
      </x:c>
      <x:c r="F15" s="46" t="str">
        <x:v>593-08-8</x:v>
      </x:c>
      <x:c r="G15" s="46" t="str">
        <x:v>Carbonyls, ketones</x:v>
      </x:c>
      <x:c r="H15" s="46" t="str">
        <x:v>identity_verified</x:v>
      </x:c>
      <x:c r="I15" s="46" t="str">
        <x:v>yes</x:v>
      </x:c>
      <x:c r="J15" s="46" t="str">
        <x:v>dry-rendered beef fat</x:v>
      </x:c>
      <x:c r="K15" s="46" t="str">
        <x:v>detected_only_not_key_OAV</x:v>
      </x:c>
      <x:c r="L15" s="46" t="str">
        <x:v>SRC-BEEF-FAT-001</x:v>
      </x:c>
      <x:c r="M15" s="119" t="str">
        <x:v>survives_fat_specific</x:v>
      </x:c>
      <x:c r="N15" s="46" t="str">
        <x:v>Fat-specific detection only; not lean-muscle core</x:v>
      </x:c>
      <x:c r="O15" s="46" t="str">
        <x:v>Detected in beef fat; source hierarchy does not establish it among OAV≥1 key set.</x:v>
      </x:c>
    </x:row>
    <x:row r="16" ht="26.399999618530273" hidden="0" customHeight="1">
      <x:c r="A16" s="46" t="str">
        <x:v>LC-0015</x:v>
      </x:c>
      <x:c r="B16" s="46" t="str">
        <x:v>legacy_compound</x:v>
      </x:c>
      <x:c r="C16" s="46" t="str">
        <x:v>generic beef</x:v>
      </x:c>
      <x:c r="D16" s="46" t="str">
        <x:v>acetophenone</x:v>
      </x:c>
      <x:c r="E16" s="46" t="str">
        <x:v>acetophenone</x:v>
      </x:c>
      <x:c r="F16" s="46" t="str">
        <x:v>98-86-2</x:v>
      </x:c>
      <x:c r="G16" s="46" t="str">
        <x:v>Carbonyls, ketones</x:v>
      </x:c>
      <x:c r="H16" s="46" t="str">
        <x:v>identity_verified</x:v>
      </x:c>
      <x:c r="I16" s="46" t="str">
        <x:v>no</x:v>
      </x:c>
      <x:c r="J16" s="46" t="str">
        <x:v>none</x:v>
      </x:c>
      <x:c r="K16" s="46" t="str">
        <x:v>none</x:v>
      </x:c>
      <x:c r="L16" s="46"/>
      <x:c r="M16" s="117" t="str">
        <x:v>hold</x:v>
      </x:c>
      <x:c r="N16" s="46" t="str">
        <x:v>Do not promote</x:v>
      </x:c>
      <x:c r="O16" s="46" t="str">
        <x:v>No qualifying primary analytical beef source located.</x:v>
      </x:c>
    </x:row>
    <x:row r="17" ht="26.399999618530273" hidden="0" customHeight="1">
      <x:c r="A17" s="46" t="str">
        <x:v>LC-0016</x:v>
      </x:c>
      <x:c r="B17" s="46" t="str">
        <x:v>legacy_compound</x:v>
      </x:c>
      <x:c r="C17" s="46" t="str">
        <x:v>generic beef</x:v>
      </x:c>
      <x:c r="D17" s="46" t="str">
        <x:v>trimethyloxazole</x:v>
      </x:c>
      <x:c r="E17" s="46" t="str">
        <x:v>2,4,5-trimethyloxazole</x:v>
      </x:c>
      <x:c r="F17" s="46" t="str">
        <x:v>20662-84-4</x:v>
      </x:c>
      <x:c r="G17" s="46" t="str">
        <x:v>Heterocycles, oxazoles</x:v>
      </x:c>
      <x:c r="H17" s="46" t="str">
        <x:v>identity_verified</x:v>
      </x:c>
      <x:c r="I17" s="46" t="str">
        <x:v>no_primary_beef_source</x:v>
      </x:c>
      <x:c r="J17" s="46" t="str">
        <x:v>none</x:v>
      </x:c>
      <x:c r="K17" s="46" t="str">
        <x:v>none</x:v>
      </x:c>
      <x:c r="L17" s="46"/>
      <x:c r="M17" s="117" t="str">
        <x:v>hold</x:v>
      </x:c>
      <x:c r="N17" s="46" t="str">
        <x:v>Do not promote from institutional/secondary occurrence alone</x:v>
      </x:c>
      <x:c r="O17" s="46" t="str">
        <x:v>Identity resolvable; primary beef analytical source not located.</x:v>
      </x:c>
    </x:row>
    <x:row r="18" ht="26.399999618530273" hidden="0" customHeight="1">
      <x:c r="A18" s="46" t="str">
        <x:v>LE-0001</x:v>
      </x:c>
      <x:c r="B18" s="46" t="str">
        <x:v>pairing_output</x:v>
      </x:c>
      <x:c r="C18" s="46" t="str">
        <x:v>Beef + Cocoa</x:v>
      </x:c>
      <x:c r="D18" s="46" t="str">
        <x:v>acetophenone</x:v>
      </x:c>
      <x:c r="E18" s="46" t="str">
        <x:v>acetophenone</x:v>
      </x:c>
      <x:c r="F18" s="46" t="str">
        <x:v>98-86-2</x:v>
      </x:c>
      <x:c r="G18" s="46" t="str">
        <x:v>Carbonyls, ketones</x:v>
      </x:c>
      <x:c r="H18" s="46" t="str">
        <x:v>identity_verified</x:v>
      </x:c>
      <x:c r="I18" s="46" t="str">
        <x:v>no</x:v>
      </x:c>
      <x:c r="J18" s="46" t="str">
        <x:v>none</x:v>
      </x:c>
      <x:c r="K18" s="46" t="str">
        <x:v>none</x:v>
      </x:c>
      <x:c r="L18" s="46"/>
      <x:c r="M18" s="117" t="str">
        <x:v>pairing_lead_unverified</x:v>
      </x:c>
      <x:c r="N18" s="46" t="str">
        <x:v>Do not use as Beef+Cocoa compound explanation</x:v>
      </x:c>
      <x:c r="O18" s="46" t="str">
        <x:v>Legacy pairing is not scientific evidence and beef membership was not verified.</x:v>
      </x:c>
    </x:row>
    <x:row r="19" ht="26.399999618530273" hidden="0" customHeight="1">
      <x:c r="A19" s="46" t="str">
        <x:v>LE-0002</x:v>
      </x:c>
      <x:c r="B19" s="46" t="str">
        <x:v>pairing_output</x:v>
      </x:c>
      <x:c r="C19" s="46" t="str">
        <x:v>Beef + Cocoa</x:v>
      </x:c>
      <x:c r="D19" s="46" t="str">
        <x:v>isopentanal</x:v>
      </x:c>
      <x:c r="E19" s="46" t="str">
        <x:v>3-methylbutanal</x:v>
      </x:c>
      <x:c r="F19" s="46" t="str">
        <x:v>590-86-3</x:v>
      </x:c>
      <x:c r="G19" s="46" t="str">
        <x:v>Carbonyls, aldehydes</x:v>
      </x:c>
      <x:c r="H19" s="46" t="str">
        <x:v>identity_verified</x:v>
      </x:c>
      <x:c r="I19" s="46" t="str">
        <x:v>yes</x:v>
      </x:c>
      <x:c r="J19" s="46" t="str">
        <x:v>dry-aged beef only</x:v>
      </x:c>
      <x:c r="K19" s="46" t="str">
        <x:v>detected_only</x:v>
      </x:c>
      <x:c r="L19" s="46" t="str">
        <x:v>SRC-BEEF-AGE-CONTROL-001</x:v>
      </x:c>
      <x:c r="M19" s="117" t="str">
        <x:v>pairing_relationship_unverified</x:v>
      </x:c>
      <x:c r="N19" s="46" t="str">
        <x:v>Beef membership is context-limited; pairing remains regression-only</x:v>
      </x:c>
      <x:c r="O19" s="46" t="str">
        <x:v>A dry-aging detection does not validate a generic Beef+Cocoa shared-compound explanation.</x:v>
      </x:c>
    </x:row>
    <x:row r="20" ht="15" hidden="0" customHeight="1">
      <x:c r="A20" s="46" t="str">
        <x:v>LE-0003</x:v>
      </x:c>
      <x:c r="B20" s="46" t="str">
        <x:v>pairing_output</x:v>
      </x:c>
      <x:c r="C20" s="46" t="str">
        <x:v>Beef + Beer</x:v>
      </x:c>
      <x:c r="D20" s="46" t="str">
        <x:v>naphthalene</x:v>
      </x:c>
      <x:c r="E20" s="46" t="str">
        <x:v>naphthalene</x:v>
      </x:c>
      <x:c r="F20" s="46" t="str">
        <x:v>91-20-3</x:v>
      </x:c>
      <x:c r="G20" s="46" t="str">
        <x:v>Hydrocarbons, aromatics</x:v>
      </x:c>
      <x:c r="H20" s="46" t="str">
        <x:v>identity_verified</x:v>
      </x:c>
      <x:c r="I20" s="46" t="str">
        <x:v>no</x:v>
      </x:c>
      <x:c r="J20" s="46" t="str">
        <x:v>none</x:v>
      </x:c>
      <x:c r="K20" s="46" t="str">
        <x:v>none</x:v>
      </x:c>
      <x:c r="L20" s="46"/>
      <x:c r="M20" s="117" t="str">
        <x:v>pairing_lead_unverified</x:v>
      </x:c>
      <x:c r="N20" s="46" t="str">
        <x:v>Do not use</x:v>
      </x:c>
      <x:c r="O20" s="46" t="str">
        <x:v>No qualifying beef evidence located.</x:v>
      </x:c>
    </x:row>
    <x:row r="21" ht="15" hidden="0" customHeight="1">
      <x:c r="A21" s="46" t="str">
        <x:v>LE-0004</x:v>
      </x:c>
      <x:c r="B21" s="46" t="str">
        <x:v>pairing_output</x:v>
      </x:c>
      <x:c r="C21" s="46" t="str">
        <x:v>Beef + Beer</x:v>
      </x:c>
      <x:c r="D21" s="46" t="str">
        <x:v>limonene</x:v>
      </x:c>
      <x:c r="E21" s="46" t="str">
        <x:v>limonene</x:v>
      </x:c>
      <x:c r="F21" s="46" t="str">
        <x:v>138-86-3</x:v>
      </x:c>
      <x:c r="G21" s="46" t="str">
        <x:v>Terpenes</x:v>
      </x:c>
      <x:c r="H21" s="46" t="str">
        <x:v>identity_verified</x:v>
      </x:c>
      <x:c r="I21" s="46" t="str">
        <x:v>no</x:v>
      </x:c>
      <x:c r="J21" s="46" t="str">
        <x:v>none</x:v>
      </x:c>
      <x:c r="K21" s="46" t="str">
        <x:v>none</x:v>
      </x:c>
      <x:c r="L21" s="46"/>
      <x:c r="M21" s="117" t="str">
        <x:v>pairing_lead_unverified</x:v>
      </x:c>
      <x:c r="N21" s="46" t="str">
        <x:v>Do not use</x:v>
      </x:c>
      <x:c r="O21" s="46" t="str">
        <x:v>No qualifying primary analytical beef evidence located.</x:v>
      </x:c>
    </x:row>
    <x:row r="22" ht="15" hidden="0" customHeight="1">
      <x:c r="A22" s="46" t="str">
        <x:v>LE-0005</x:v>
      </x:c>
      <x:c r="B22" s="46" t="str">
        <x:v>pairing_output</x:v>
      </x:c>
      <x:c r="C22" s="46" t="str">
        <x:v>Beef + Cabbage</x:v>
      </x:c>
      <x:c r="D22" s="46" t="str">
        <x:v>hexane</x:v>
      </x:c>
      <x:c r="E22" s="46" t="str">
        <x:v>hexane</x:v>
      </x:c>
      <x:c r="F22" s="46" t="str">
        <x:v>110-54-3</x:v>
      </x:c>
      <x:c r="G22" s="46" t="str">
        <x:v>Hydrocarbons, alkanes</x:v>
      </x:c>
      <x:c r="H22" s="46" t="str">
        <x:v>identity_verified</x:v>
      </x:c>
      <x:c r="I22" s="46" t="str">
        <x:v>no</x:v>
      </x:c>
      <x:c r="J22" s="46" t="str">
        <x:v>none</x:v>
      </x:c>
      <x:c r="K22" s="46" t="str">
        <x:v>none</x:v>
      </x:c>
      <x:c r="L22" s="46"/>
      <x:c r="M22" s="117" t="str">
        <x:v>pairing_lead_unverified</x:v>
      </x:c>
      <x:c r="N22" s="46" t="str">
        <x:v>Do not use</x:v>
      </x:c>
      <x:c r="O22" s="46" t="str">
        <x:v>Generic beef membership unsupported.</x:v>
      </x:c>
    </x:row>
    <x:row r="23" ht="26.399999618530273" hidden="0" customHeight="1">
      <x:c r="A23" s="46" t="str">
        <x:v>LE-0006</x:v>
      </x:c>
      <x:c r="B23" s="46" t="str">
        <x:v>pairing_output</x:v>
      </x:c>
      <x:c r="C23" s="46" t="str">
        <x:v>Beef + Cabbage</x:v>
      </x:c>
      <x:c r="D23" s="46" t="str">
        <x:v>2-pentylfuran</x:v>
      </x:c>
      <x:c r="E23" s="46" t="str">
        <x:v>2-pentylfuran</x:v>
      </x:c>
      <x:c r="F23" s="46" t="str">
        <x:v>3777-69-3</x:v>
      </x:c>
      <x:c r="G23" s="46" t="str">
        <x:v>Furans</x:v>
      </x:c>
      <x:c r="H23" s="46" t="str">
        <x:v>identity_verified</x:v>
      </x:c>
      <x:c r="I23" s="46" t="str">
        <x:v>yes</x:v>
      </x:c>
      <x:c r="J23" s="46" t="str">
        <x:v>raw + roasted + stewed</x:v>
      </x:c>
      <x:c r="K23" s="46" t="str">
        <x:v>OAV&gt;1 raw/roast; GC-O/AEDA aroma-active moist heat</x:v>
      </x:c>
      <x:c r="L23" s="46" t="str">
        <x:v>SRC-BEEF-ROAST-001; SRC-BEEF-STEW-001</x:v>
      </x:c>
      <x:c r="M23" s="117" t="str">
        <x:v>compound_membership_verified_pairing_unverified</x:v>
      </x:c>
      <x:c r="N23" s="46" t="str">
        <x:v>Eligible beef compound; pairing remains regression-only</x:v>
      </x:c>
      <x:c r="O23" s="46" t="str">
        <x:v>Strongest surviving legacy pairing compound lead. Shared presence alone does not validate a Beef+Cabbage rule.</x:v>
      </x:c>
    </x:row>
    <x:row r="24" ht="26.399999618530273" hidden="0" customHeight="1">
      <x:c r="A24" s="46" t="str">
        <x:v>LE-0007</x:v>
      </x:c>
      <x:c r="B24" s="46" t="str">
        <x:v>pairing_output</x:v>
      </x:c>
      <x:c r="C24" s="46" t="str">
        <x:v>Beef + Grape</x:v>
      </x:c>
      <x:c r="D24" s="46" t="str">
        <x:v>trimethyloxazole</x:v>
      </x:c>
      <x:c r="E24" s="46" t="str">
        <x:v>2,4,5-trimethyloxazole</x:v>
      </x:c>
      <x:c r="F24" s="46" t="str">
        <x:v>20662-84-4</x:v>
      </x:c>
      <x:c r="G24" s="46" t="str">
        <x:v>Heterocycles, oxazoles</x:v>
      </x:c>
      <x:c r="H24" s="46" t="str">
        <x:v>identity_verified</x:v>
      </x:c>
      <x:c r="I24" s="46" t="str">
        <x:v>no_primary_beef_source</x:v>
      </x:c>
      <x:c r="J24" s="46" t="str">
        <x:v>none</x:v>
      </x:c>
      <x:c r="K24" s="46" t="str">
        <x:v>none</x:v>
      </x:c>
      <x:c r="L24" s="46"/>
      <x:c r="M24" s="117" t="str">
        <x:v>pairing_lead_unverified</x:v>
      </x:c>
      <x:c r="N24" s="46" t="str">
        <x:v>Do not use</x:v>
      </x:c>
      <x:c r="O24" s="46" t="str">
        <x:v>Institutional/secondary odor notes are insufficient evidence for beef membership.</x:v>
      </x:c>
    </x:row>
    <x:row r="25" ht="26.399999618530273" hidden="0" customHeight="1">
      <x:c r="A25" s="46" t="str">
        <x:v>LE-0008</x:v>
      </x:c>
      <x:c r="B25" s="46" t="str">
        <x:v>pairing_output</x:v>
      </x:c>
      <x:c r="C25" s="46" t="str">
        <x:v>Beef + Grape</x:v>
      </x:c>
      <x:c r="D25" s="46" t="str">
        <x:v>pseudocumene</x:v>
      </x:c>
      <x:c r="E25" s="46" t="str">
        <x:v>1,2,4-trimethylbenzene</x:v>
      </x:c>
      <x:c r="F25" s="46" t="str">
        <x:v>95-63-6</x:v>
      </x:c>
      <x:c r="G25" s="46" t="str">
        <x:v>Hydrocarbons, aromatics</x:v>
      </x:c>
      <x:c r="H25" s="46" t="str">
        <x:v>identity_verified</x:v>
      </x:c>
      <x:c r="I25" s="46" t="str">
        <x:v>yes</x:v>
      </x:c>
      <x:c r="J25" s="46" t="str">
        <x:v>cooked beef; diet study</x:v>
      </x:c>
      <x:c r="K25" s="46" t="str">
        <x:v>detected_only</x:v>
      </x:c>
      <x:c r="L25" s="46" t="str">
        <x:v>SRC-BEEF-DIET-001</x:v>
      </x:c>
      <x:c r="M25" s="117" t="str">
        <x:v>compound_membership_context_verified_pairing_unverified</x:v>
      </x:c>
      <x:c r="N25" s="46" t="str">
        <x:v>Do not use as pairing driver</x:v>
      </x:c>
      <x:c r="O25" s="46" t="str">
        <x:v>Detection in cooked beef is not sensory validation and does not validate Beef+Grape.</x:v>
      </x:c>
    </x:row>
  </x:sheetData>
  <x:pageMargins left="0.7" right="0.7" top="0.75" bottom="0.75" header="0.3" footer="0.3"/>
  <x:tableParts count="1">
    <x:tablePart xmlns:r="http://schemas.openxmlformats.org/officeDocument/2006/relationships" r:id="Ra8c4fe920bfb4878"/>
  </x:tableParts>
</x:worksheet>
</file>

<file path=xl/worksheets/sheet44.xml><?xml version="1.0" encoding="utf-8"?>
<x:worksheet xmlns:x="http://schemas.openxmlformats.org/spreadsheetml/2006/main">
  <x:sheetFormatPr defaultRowHeight="15"/>
  <x:cols>
    <x:col min="1" max="1" width="15" hidden="0" customWidth="1"/>
    <x:col min="2" max="2" width="26" hidden="0" customWidth="1"/>
    <x:col min="3" max="3" width="14" hidden="0" customWidth="1"/>
    <x:col min="4" max="4" width="22" hidden="0" customWidth="1"/>
    <x:col min="5" max="5" width="24" hidden="0" customWidth="1"/>
    <x:col min="6" max="6" width="42" hidden="0" customWidth="1"/>
    <x:col min="7" max="7" width="22" hidden="0" customWidth="1"/>
    <x:col min="8" max="8" width="20" hidden="0" customWidth="1"/>
    <x:col min="9" max="9" width="22" hidden="0" customWidth="1"/>
    <x:col min="10" max="10" width="22" hidden="0" customWidth="1"/>
    <x:col min="11" max="11" width="20" hidden="0" customWidth="1"/>
    <x:col min="12" max="12" width="20" hidden="0" customWidth="1"/>
    <x:col min="13" max="13" width="18" hidden="0" customWidth="1"/>
    <x:col min="14" max="14" width="54" hidden="0" customWidth="1"/>
  </x:cols>
  <x:sheetData>
    <x:row r="1" ht="15" hidden="0" customHeight="1">
      <x:c r="A1" s="115" t="str">
        <x:v>compound_id</x:v>
      </x:c>
      <x:c r="B1" s="115" t="str">
        <x:v>canonical_name</x:v>
      </x:c>
      <x:c r="C1" s="115" t="str">
        <x:v>cas</x:v>
      </x:c>
      <x:c r="D1" s="115" t="str">
        <x:v>compound_group</x:v>
      </x:c>
      <x:c r="E1" s="115" t="str">
        <x:v>identity_source_type</x:v>
      </x:c>
      <x:c r="F1" s="115" t="str">
        <x:v>identity_source_url</x:v>
      </x:c>
      <x:c r="G1" s="115" t="str">
        <x:v>identity_status</x:v>
      </x:c>
      <x:c r="H1" s="115" t="str">
        <x:v>raw_state</x:v>
      </x:c>
      <x:c r="I1" s="115" t="str">
        <x:v>roasted_state</x:v>
      </x:c>
      <x:c r="J1" s="115" t="str">
        <x:v>moist_heat_state</x:v>
      </x:c>
      <x:c r="K1" s="115" t="str">
        <x:v>dry_aged_state</x:v>
      </x:c>
      <x:c r="L1" s="115" t="str">
        <x:v>beef_fat_state</x:v>
      </x:c>
      <x:c r="M1" s="115" t="str">
        <x:v>legacy_link</x:v>
      </x:c>
      <x:c r="N1" s="115" t="str">
        <x:v>registry_notes</x:v>
      </x:c>
    </x:row>
    <x:row r="2" ht="15" hidden="0" customHeight="1">
      <x:c r="A2" s="46" t="str">
        <x:v>BEEF-CMP-001</x:v>
      </x:c>
      <x:c r="B2" s="46" t="str">
        <x:v>hexanal</x:v>
      </x:c>
      <x:c r="C2" s="46" t="str">
        <x:v>66-25-1</x:v>
      </x:c>
      <x:c r="D2" s="46" t="str">
        <x:v>Carbonyls, aldehydes</x:v>
      </x:c>
      <x:c r="E2" s="46" t="str">
        <x:v>institutional chemical registry</x:v>
      </x:c>
      <x:c r="F2" s="46" t="str">
        <x:v>https://pubchem.ncbi.nlm.nih.gov/compound/Hexanal</x:v>
      </x:c>
      <x:c r="G2" s="46" t="str">
        <x:v>verified</x:v>
      </x:c>
      <x:c r="H2" s="46" t="str">
        <x:v>sensory_active</x:v>
      </x:c>
      <x:c r="I2" s="46" t="str">
        <x:v>sensory_active</x:v>
      </x:c>
      <x:c r="J2" s="46" t="str">
        <x:v>sensory_active</x:v>
      </x:c>
      <x:c r="K2" s="46"/>
      <x:c r="L2" s="46"/>
      <x:c r="M2" s="46"/>
      <x:c r="N2" s="46" t="str">
        <x:v>Core lipid-oxidation aldehyde; recurrent across raw and cooked states.</x:v>
      </x:c>
    </x:row>
    <x:row r="3" ht="26.399999618530273" hidden="0" customHeight="1">
      <x:c r="A3" s="46" t="str">
        <x:v>BEEF-CMP-002</x:v>
      </x:c>
      <x:c r="B3" s="46" t="str">
        <x:v>1-octen-3-ol</x:v>
      </x:c>
      <x:c r="C3" s="46" t="str">
        <x:v>3391-86-4</x:v>
      </x:c>
      <x:c r="D3" s="46" t="str">
        <x:v>Alcohols</x:v>
      </x:c>
      <x:c r="E3" s="46" t="str">
        <x:v>institutional chemical registry</x:v>
      </x:c>
      <x:c r="F3" s="46" t="str">
        <x:v>https://pubchem.ncbi.nlm.nih.gov/compound/1-Octen-3-Ol</x:v>
      </x:c>
      <x:c r="G3" s="46" t="str">
        <x:v>verified</x:v>
      </x:c>
      <x:c r="H3" s="46" t="str">
        <x:v>sensory_active</x:v>
      </x:c>
      <x:c r="I3" s="46" t="str">
        <x:v>sensory_active</x:v>
      </x:c>
      <x:c r="J3" s="46" t="str">
        <x:v>sensory_active</x:v>
      </x:c>
      <x:c r="K3" s="46"/>
      <x:c r="L3" s="46"/>
      <x:c r="M3" s="46"/>
      <x:c r="N3" s="46" t="str">
        <x:v>High raw concentration and important roast/moist-heat odorant.</x:v>
      </x:c>
    </x:row>
    <x:row r="4" ht="26.399999618530273" hidden="0" customHeight="1">
      <x:c r="A4" s="46" t="str">
        <x:v>BEEF-CMP-003</x:v>
      </x:c>
      <x:c r="B4" s="46" t="str">
        <x:v>1-heptanol</x:v>
      </x:c>
      <x:c r="C4" s="46" t="str">
        <x:v>111-70-6</x:v>
      </x:c>
      <x:c r="D4" s="46" t="str">
        <x:v>Alcohols</x:v>
      </x:c>
      <x:c r="E4" s="46" t="str">
        <x:v>institutional chemical registry</x:v>
      </x:c>
      <x:c r="F4" s="46" t="str">
        <x:v>https://pubchem.ncbi.nlm.nih.gov/compound/1-Heptanol</x:v>
      </x:c>
      <x:c r="G4" s="46" t="str">
        <x:v>verified</x:v>
      </x:c>
      <x:c r="H4" s="46" t="str">
        <x:v>sensory_active</x:v>
      </x:c>
      <x:c r="I4" s="46" t="str">
        <x:v>sensory_active</x:v>
      </x:c>
      <x:c r="J4" s="46"/>
      <x:c r="K4" s="46"/>
      <x:c r="L4" s="46"/>
      <x:c r="M4" s="46"/>
      <x:c r="N4" s="46" t="str">
        <x:v>Raw OAV&gt;1 and roast time-course key odorant.</x:v>
      </x:c>
    </x:row>
    <x:row r="5" ht="15" hidden="0" customHeight="1">
      <x:c r="A5" s="46" t="str">
        <x:v>BEEF-CMP-004</x:v>
      </x:c>
      <x:c r="B5" s="46" t="str">
        <x:v>octanal</x:v>
      </x:c>
      <x:c r="C5" s="46" t="str">
        <x:v>124-13-0</x:v>
      </x:c>
      <x:c r="D5" s="46" t="str">
        <x:v>Carbonyls, aldehydes</x:v>
      </x:c>
      <x:c r="E5" s="46" t="str">
        <x:v>institutional chemical registry</x:v>
      </x:c>
      <x:c r="F5" s="46" t="str">
        <x:v>https://pubchem.ncbi.nlm.nih.gov/compound/Octanal</x:v>
      </x:c>
      <x:c r="G5" s="46" t="str">
        <x:v>verified</x:v>
      </x:c>
      <x:c r="H5" s="46" t="str">
        <x:v>sensory_active</x:v>
      </x:c>
      <x:c r="I5" s="46" t="str">
        <x:v>sensory_active</x:v>
      </x:c>
      <x:c r="J5" s="46" t="str">
        <x:v>sensory_active</x:v>
      </x:c>
      <x:c r="K5" s="46"/>
      <x:c r="L5" s="46"/>
      <x:c r="M5" s="46"/>
      <x:c r="N5" s="46" t="str">
        <x:v>Recurrent high-OAV aldehyde.</x:v>
      </x:c>
    </x:row>
    <x:row r="6" ht="26.399999618530273" hidden="0" customHeight="1">
      <x:c r="A6" s="46" t="str">
        <x:v>BEEF-CMP-005</x:v>
      </x:c>
      <x:c r="B6" s="46" t="str">
        <x:v>(E)-2-octenal</x:v>
      </x:c>
      <x:c r="C6" s="46" t="str">
        <x:v>2548-87-0</x:v>
      </x:c>
      <x:c r="D6" s="46" t="str">
        <x:v>Carbonyls, aldehydes</x:v>
      </x:c>
      <x:c r="E6" s="46" t="str">
        <x:v>institutional chemical registry</x:v>
      </x:c>
      <x:c r="F6" s="46" t="str">
        <x:v>https://pubchem.ncbi.nlm.nih.gov/compound/2-Octenal</x:v>
      </x:c>
      <x:c r="G6" s="46" t="str">
        <x:v>verified</x:v>
      </x:c>
      <x:c r="H6" s="46" t="str">
        <x:v>sensory_active</x:v>
      </x:c>
      <x:c r="I6" s="46" t="str">
        <x:v>sensory_active</x:v>
      </x:c>
      <x:c r="J6" s="46" t="str">
        <x:v>sensory_active</x:v>
      </x:c>
      <x:c r="K6" s="46"/>
      <x:c r="L6" s="46"/>
      <x:c r="M6" s="46"/>
      <x:c r="N6" s="46" t="str">
        <x:v>Unsaturated aldehyde; raw/roast and moist-heat aroma-active.</x:v>
      </x:c>
    </x:row>
    <x:row r="7" ht="26.399999618530273" hidden="0" customHeight="1">
      <x:c r="A7" s="46" t="str">
        <x:v>BEEF-CMP-006</x:v>
      </x:c>
      <x:c r="B7" s="46" t="str">
        <x:v>(E,E)-2,4-nonadienal</x:v>
      </x:c>
      <x:c r="C7" s="46" t="str">
        <x:v>5910-87-2</x:v>
      </x:c>
      <x:c r="D7" s="46" t="str">
        <x:v>Carbonyls, aldehydes</x:v>
      </x:c>
      <x:c r="E7" s="46" t="str">
        <x:v>institutional chemical registry</x:v>
      </x:c>
      <x:c r="F7" s="46" t="str">
        <x:v>https://pubchem.ncbi.nlm.nih.gov/compound/2_4-Nonadienal</x:v>
      </x:c>
      <x:c r="G7" s="46" t="str">
        <x:v>verified</x:v>
      </x:c>
      <x:c r="H7" s="46" t="str">
        <x:v>sensory_active</x:v>
      </x:c>
      <x:c r="I7" s="46" t="str">
        <x:v>raw_only_in_roast_timecourse</x:v>
      </x:c>
      <x:c r="J7" s="46" t="str">
        <x:v>sensory_active</x:v>
      </x:c>
      <x:c r="K7" s="46"/>
      <x:c r="L7" s="46"/>
      <x:c r="M7" s="46"/>
      <x:c r="N7" s="46" t="str">
        <x:v>Raw OAV&gt;1 in roast time course; also aroma-active in stewed beef.</x:v>
      </x:c>
    </x:row>
    <x:row r="8" ht="15" hidden="0" customHeight="1">
      <x:c r="A8" s="46" t="str">
        <x:v>BEEF-CMP-007</x:v>
      </x:c>
      <x:c r="B8" s="46" t="str">
        <x:v>nonanal</x:v>
      </x:c>
      <x:c r="C8" s="46" t="str">
        <x:v>124-19-6</x:v>
      </x:c>
      <x:c r="D8" s="46" t="str">
        <x:v>Carbonyls, aldehydes</x:v>
      </x:c>
      <x:c r="E8" s="46" t="str">
        <x:v>institutional chemical registry</x:v>
      </x:c>
      <x:c r="F8" s="46" t="str">
        <x:v>https://pubchem.ncbi.nlm.nih.gov/compound/Nonanal</x:v>
      </x:c>
      <x:c r="G8" s="46" t="str">
        <x:v>verified</x:v>
      </x:c>
      <x:c r="H8" s="46" t="str">
        <x:v>sensory_active</x:v>
      </x:c>
      <x:c r="I8" s="46" t="str">
        <x:v>sensory_active</x:v>
      </x:c>
      <x:c r="J8" s="46" t="str">
        <x:v>sensory_active</x:v>
      </x:c>
      <x:c r="K8" s="46"/>
      <x:c r="L8" s="46"/>
      <x:c r="M8" s="46"/>
      <x:c r="N8" s="46" t="str">
        <x:v>Recurrent high-OAV aldehyde across raw and cooked states.</x:v>
      </x:c>
    </x:row>
    <x:row r="9" ht="26.399999618530273" hidden="0" customHeight="1">
      <x:c r="A9" s="46" t="str">
        <x:v>BEEF-CMP-008</x:v>
      </x:c>
      <x:c r="B9" s="46" t="str">
        <x:v>(E,E)-2,4-decadienal</x:v>
      </x:c>
      <x:c r="C9" s="46" t="str">
        <x:v>25152-84-5</x:v>
      </x:c>
      <x:c r="D9" s="46" t="str">
        <x:v>Carbonyls, aldehydes</x:v>
      </x:c>
      <x:c r="E9" s="46" t="str">
        <x:v>institutional chemical registry</x:v>
      </x:c>
      <x:c r="F9" s="46" t="str">
        <x:v>https://pubchem.ncbi.nlm.nih.gov/compound/2_4-Decadienal</x:v>
      </x:c>
      <x:c r="G9" s="46" t="str">
        <x:v>verified</x:v>
      </x:c>
      <x:c r="H9" s="46" t="str">
        <x:v>sensory_active</x:v>
      </x:c>
      <x:c r="I9" s="46" t="str">
        <x:v>sensory_active</x:v>
      </x:c>
      <x:c r="J9" s="46" t="str">
        <x:v>sensory_active</x:v>
      </x:c>
      <x:c r="K9" s="46"/>
      <x:c r="L9" s="46"/>
      <x:c r="M9" s="46"/>
      <x:c r="N9" s="46" t="str">
        <x:v>Recurrent lipid-derived aroma-active aldehyde.</x:v>
      </x:c>
    </x:row>
    <x:row r="10" ht="26.399999618530273" hidden="0" customHeight="1">
      <x:c r="A10" s="46" t="str">
        <x:v>BEEF-CMP-009</x:v>
      </x:c>
      <x:c r="B10" s="46" t="str">
        <x:v>methyl hexanoate</x:v>
      </x:c>
      <x:c r="C10" s="46" t="str">
        <x:v>106-70-7</x:v>
      </x:c>
      <x:c r="D10" s="46" t="str">
        <x:v>Esters</x:v>
      </x:c>
      <x:c r="E10" s="46" t="str">
        <x:v>institutional chemical registry</x:v>
      </x:c>
      <x:c r="F10" s="46" t="str">
        <x:v>https://pubchem.ncbi.nlm.nih.gov/compound/Methyl-hexanoate</x:v>
      </x:c>
      <x:c r="G10" s="46" t="str">
        <x:v>verified</x:v>
      </x:c>
      <x:c r="H10" s="46" t="str">
        <x:v>sensory_active</x:v>
      </x:c>
      <x:c r="I10" s="46" t="str">
        <x:v>not_detected_after_raw_in_timecourse</x:v>
      </x:c>
      <x:c r="J10" s="46"/>
      <x:c r="K10" s="46"/>
      <x:c r="L10" s="46"/>
      <x:c r="M10" s="46"/>
      <x:c r="N10" s="46" t="str">
        <x:v>Raw OAV&gt;1 in one time-course study; also OAV&gt;1 in both marbling grades.</x:v>
      </x:c>
    </x:row>
    <x:row r="11" ht="26.399999618530273" hidden="0" customHeight="1">
      <x:c r="A11" s="46" t="str">
        <x:v>BEEF-CMP-010</x:v>
      </x:c>
      <x:c r="B11" s="46" t="str">
        <x:v>2-pentylfuran</x:v>
      </x:c>
      <x:c r="C11" s="46" t="str">
        <x:v>3777-69-3</x:v>
      </x:c>
      <x:c r="D11" s="46" t="str">
        <x:v>Furans</x:v>
      </x:c>
      <x:c r="E11" s="46" t="str">
        <x:v>institutional chemical registry</x:v>
      </x:c>
      <x:c r="F11" s="46" t="str">
        <x:v>https://pubchem.ncbi.nlm.nih.gov/compound/2-Pentylfuran</x:v>
      </x:c>
      <x:c r="G11" s="46" t="str">
        <x:v>verified</x:v>
      </x:c>
      <x:c r="H11" s="46" t="str">
        <x:v>sensory_active</x:v>
      </x:c>
      <x:c r="I11" s="46" t="str">
        <x:v>sensory_active</x:v>
      </x:c>
      <x:c r="J11" s="46" t="str">
        <x:v>sensory_active</x:v>
      </x:c>
      <x:c r="K11" s="46"/>
      <x:c r="L11" s="46"/>
      <x:c r="M11" s="46" t="str">
        <x:v>LE-0006</x:v>
      </x:c>
      <x:c r="N11" s="46" t="str">
        <x:v>Strongest surviving legacy pairing compound membership; pairing itself remains unverified.</x:v>
      </x:c>
    </x:row>
    <x:row r="12" ht="15" hidden="0" customHeight="1">
      <x:c r="A12" s="46" t="str">
        <x:v>BEEF-CMP-011</x:v>
      </x:c>
      <x:c r="B12" s="46" t="str">
        <x:v>decanal</x:v>
      </x:c>
      <x:c r="C12" s="46" t="str">
        <x:v>112-31-2</x:v>
      </x:c>
      <x:c r="D12" s="46" t="str">
        <x:v>Carbonyls, aldehydes</x:v>
      </x:c>
      <x:c r="E12" s="46" t="str">
        <x:v>institutional chemical registry</x:v>
      </x:c>
      <x:c r="F12" s="46" t="str">
        <x:v>https://pubchem.ncbi.nlm.nih.gov/compound/Decanal</x:v>
      </x:c>
      <x:c r="G12" s="46" t="str">
        <x:v>verified</x:v>
      </x:c>
      <x:c r="H12" s="46" t="str">
        <x:v>sensory_active_marbling</x:v>
      </x:c>
      <x:c r="I12" s="46"/>
      <x:c r="J12" s="46" t="str">
        <x:v>sensory_active</x:v>
      </x:c>
      <x:c r="K12" s="46"/>
      <x:c r="L12" s="46"/>
      <x:c r="M12" s="46"/>
      <x:c r="N12" s="46" t="str">
        <x:v>OAV&gt;1 across A1/A5 marbling; moist-heat FD evidence.</x:v>
      </x:c>
    </x:row>
    <x:row r="13" ht="26.399999618530273" hidden="0" customHeight="1">
      <x:c r="A13" s="46" t="str">
        <x:v>BEEF-CMP-012</x:v>
      </x:c>
      <x:c r="B13" s="46" t="str">
        <x:v>1-pentanol</x:v>
      </x:c>
      <x:c r="C13" s="46" t="str">
        <x:v>71-41-0</x:v>
      </x:c>
      <x:c r="D13" s="46" t="str">
        <x:v>Alcohols</x:v>
      </x:c>
      <x:c r="E13" s="46" t="str">
        <x:v>institutional chemical registry</x:v>
      </x:c>
      <x:c r="F13" s="46" t="str">
        <x:v>https://pubchem.ncbi.nlm.nih.gov/compound/1-Pentanol</x:v>
      </x:c>
      <x:c r="G13" s="46" t="str">
        <x:v>verified</x:v>
      </x:c>
      <x:c r="H13" s="46" t="str">
        <x:v>sensory_active_marbling</x:v>
      </x:c>
      <x:c r="I13" s="46"/>
      <x:c r="J13" s="46" t="str">
        <x:v>sensory_active</x:v>
      </x:c>
      <x:c r="K13" s="46"/>
      <x:c r="L13" s="46"/>
      <x:c r="M13" s="46"/>
      <x:c r="N13" s="46" t="str">
        <x:v>OAV&gt;1 across A1/A5 marbling; moist-heat aroma-active.</x:v>
      </x:c>
    </x:row>
    <x:row r="14" ht="26.399999618530273" hidden="0" customHeight="1">
      <x:c r="A14" s="46" t="str">
        <x:v>BEEF-CMP-013</x:v>
      </x:c>
      <x:c r="B14" s="46" t="str">
        <x:v>heptanal</x:v>
      </x:c>
      <x:c r="C14" s="46" t="str">
        <x:v>111-71-7</x:v>
      </x:c>
      <x:c r="D14" s="46" t="str">
        <x:v>Carbonyls, aldehydes</x:v>
      </x:c>
      <x:c r="E14" s="46" t="str">
        <x:v>institutional chemical registry</x:v>
      </x:c>
      <x:c r="F14" s="46" t="str">
        <x:v>https://pubchem.ncbi.nlm.nih.gov/compound/Heptanal</x:v>
      </x:c>
      <x:c r="G14" s="46" t="str">
        <x:v>verified</x:v>
      </x:c>
      <x:c r="H14" s="46"/>
      <x:c r="I14" s="46" t="str">
        <x:v>detected</x:v>
      </x:c>
      <x:c r="J14" s="46" t="str">
        <x:v>sensory_active</x:v>
      </x:c>
      <x:c r="K14" s="46"/>
      <x:c r="L14" s="46"/>
      <x:c r="M14" s="46"/>
      <x:c r="N14" s="46" t="str">
        <x:v>Moist-heat aroma-active; roast-generated detection in time-course source.</x:v>
      </x:c>
    </x:row>
    <x:row r="15" ht="26.399999618530273" hidden="0" customHeight="1">
      <x:c r="A15" s="46" t="str">
        <x:v>BEEF-CMP-014</x:v>
      </x:c>
      <x:c r="B15" s="46" t="str">
        <x:v>1-hexanol</x:v>
      </x:c>
      <x:c r="C15" s="46" t="str">
        <x:v>111-27-3</x:v>
      </x:c>
      <x:c r="D15" s="46" t="str">
        <x:v>Alcohols</x:v>
      </x:c>
      <x:c r="E15" s="46" t="str">
        <x:v>institutional chemical registry</x:v>
      </x:c>
      <x:c r="F15" s="46" t="str">
        <x:v>https://pubchem.ncbi.nlm.nih.gov/compound/1-Hexanol</x:v>
      </x:c>
      <x:c r="G15" s="46" t="str">
        <x:v>verified</x:v>
      </x:c>
      <x:c r="H15" s="46"/>
      <x:c r="I15" s="46"/>
      <x:c r="J15" s="46" t="str">
        <x:v>sensory_active</x:v>
      </x:c>
      <x:c r="K15" s="46"/>
      <x:c r="L15" s="46"/>
      <x:c r="M15" s="46"/>
      <x:c r="N15" s="46" t="str">
        <x:v>Moist-heat aroma-active.</x:v>
      </x:c>
    </x:row>
    <x:row r="16" ht="26.399999618530273" hidden="0" customHeight="1">
      <x:c r="A16" s="46" t="str">
        <x:v>BEEF-CMP-015</x:v>
      </x:c>
      <x:c r="B16" s="46" t="str">
        <x:v>(E)-2-decenal</x:v>
      </x:c>
      <x:c r="C16" s="46" t="str">
        <x:v>3913-81-3</x:v>
      </x:c>
      <x:c r="D16" s="46" t="str">
        <x:v>Carbonyls, aldehydes</x:v>
      </x:c>
      <x:c r="E16" s="46" t="str">
        <x:v>institutional chemical registry</x:v>
      </x:c>
      <x:c r="F16" s="46" t="str">
        <x:v>https://pubchem.ncbi.nlm.nih.gov/compound/2-Decenal</x:v>
      </x:c>
      <x:c r="G16" s="46" t="str">
        <x:v>verified</x:v>
      </x:c>
      <x:c r="H16" s="46"/>
      <x:c r="I16" s="46"/>
      <x:c r="J16" s="46" t="str">
        <x:v>sensory_active</x:v>
      </x:c>
      <x:c r="K16" s="46"/>
      <x:c r="L16" s="46"/>
      <x:c r="M16" s="46" t="str">
        <x:v>LC-0011</x:v>
      </x:c>
      <x:c r="N16" s="46" t="str">
        <x:v>Verified E isomer stored separately; legacy 2-decenal remains stereochemistry hold.</x:v>
      </x:c>
    </x:row>
    <x:row r="17" ht="26.399999618530273" hidden="0" customHeight="1">
      <x:c r="A17" s="46" t="str">
        <x:v>BEEF-CMP-016</x:v>
      </x:c>
      <x:c r="B17" s="46" t="str">
        <x:v>toluene</x:v>
      </x:c>
      <x:c r="C17" s="46" t="str">
        <x:v>108-88-3</x:v>
      </x:c>
      <x:c r="D17" s="46" t="str">
        <x:v>Hydrocarbons, aromatics</x:v>
      </x:c>
      <x:c r="E17" s="46" t="str">
        <x:v>institutional chemical registry</x:v>
      </x:c>
      <x:c r="F17" s="46" t="str">
        <x:v>https://pubchem.ncbi.nlm.nih.gov/compound/Toluene</x:v>
      </x:c>
      <x:c r="G17" s="46" t="str">
        <x:v>verified</x:v>
      </x:c>
      <x:c r="H17" s="46" t="str">
        <x:v>detected</x:v>
      </x:c>
      <x:c r="I17" s="46" t="str">
        <x:v>state_specific_late_roast</x:v>
      </x:c>
      <x:c r="J17" s="46"/>
      <x:c r="K17" s="46"/>
      <x:c r="L17" s="46"/>
      <x:c r="M17" s="46" t="str">
        <x:v>LC-0004</x:v>
      </x:c>
      <x:c r="N17" s="46" t="str">
        <x:v>Measured raw but not raw OAV&gt;1; late-roast concentration increases sharply.</x:v>
      </x:c>
    </x:row>
    <x:row r="18" ht="26.399999618530273" hidden="0" customHeight="1">
      <x:c r="A18" s="46" t="str">
        <x:v>BEEF-CMP-017</x:v>
      </x:c>
      <x:c r="B18" s="46" t="str">
        <x:v>2,3-butanediol</x:v>
      </x:c>
      <x:c r="C18" s="46" t="str">
        <x:v>513-85-9</x:v>
      </x:c>
      <x:c r="D18" s="46" t="str">
        <x:v>Alcohols</x:v>
      </x:c>
      <x:c r="E18" s="46" t="str">
        <x:v>institutional chemical registry</x:v>
      </x:c>
      <x:c r="F18" s="46" t="str">
        <x:v>https://pubchem.ncbi.nlm.nih.gov/compound/2_3-Butanediol</x:v>
      </x:c>
      <x:c r="G18" s="46" t="str">
        <x:v>verified</x:v>
      </x:c>
      <x:c r="H18" s="46"/>
      <x:c r="I18" s="46" t="str">
        <x:v>late_roast_detected</x:v>
      </x:c>
      <x:c r="J18" s="46"/>
      <x:c r="K18" s="46"/>
      <x:c r="L18" s="46"/>
      <x:c r="M18" s="46" t="str">
        <x:v>LC-0007</x:v>
      </x:c>
      <x:c r="N18" s="46" t="str">
        <x:v>Detected only at 12–18 min in roast time course; not key OAV odorant.</x:v>
      </x:c>
    </x:row>
    <x:row r="19" ht="26.399999618530273" hidden="0" customHeight="1">
      <x:c r="A19" s="46" t="str">
        <x:v>BEEF-CMP-018</x:v>
      </x:c>
      <x:c r="B19" s="46" t="str">
        <x:v>1,2,4-trimethylbenzene</x:v>
      </x:c>
      <x:c r="C19" s="46" t="str">
        <x:v>95-63-6</x:v>
      </x:c>
      <x:c r="D19" s="46" t="str">
        <x:v>Hydrocarbons, aromatics</x:v>
      </x:c>
      <x:c r="E19" s="46" t="str">
        <x:v>institutional chemical registry</x:v>
      </x:c>
      <x:c r="F19" s="46" t="str">
        <x:v>https://pubchem.ncbi.nlm.nih.gov/compound/1_2_4-Trimethylbenzene</x:v>
      </x:c>
      <x:c r="G19" s="46" t="str">
        <x:v>verified</x:v>
      </x:c>
      <x:c r="H19" s="46"/>
      <x:c r="I19" s="46" t="str">
        <x:v>cooked_detected</x:v>
      </x:c>
      <x:c r="J19" s="46"/>
      <x:c r="K19" s="46"/>
      <x:c r="L19" s="46"/>
      <x:c r="M19" s="46" t="str">
        <x:v>LC-0005</x:v>
      </x:c>
      <x:c r="N19" s="46" t="str">
        <x:v>Cooked detection only; no sensory validation.</x:v>
      </x:c>
    </x:row>
    <x:row r="20" ht="26.399999618530273" hidden="0" customHeight="1">
      <x:c r="A20" s="46" t="str">
        <x:v>BEEF-CMP-019</x:v>
      </x:c>
      <x:c r="B20" s="46" t="str">
        <x:v>3-methylbutanal</x:v>
      </x:c>
      <x:c r="C20" s="46" t="str">
        <x:v>590-86-3</x:v>
      </x:c>
      <x:c r="D20" s="46" t="str">
        <x:v>Carbonyls, aldehydes</x:v>
      </x:c>
      <x:c r="E20" s="46" t="str">
        <x:v>institutional chemical registry</x:v>
      </x:c>
      <x:c r="F20" s="46" t="str">
        <x:v>https://pubchem.ncbi.nlm.nih.gov/compound/3-Methylbutanal</x:v>
      </x:c>
      <x:c r="G20" s="46" t="str">
        <x:v>verified</x:v>
      </x:c>
      <x:c r="H20" s="46"/>
      <x:c r="I20" s="46"/>
      <x:c r="J20" s="46"/>
      <x:c r="K20" s="46" t="str">
        <x:v>dry_age_detected</x:v>
      </x:c>
      <x:c r="L20" s="46"/>
      <x:c r="M20" s="46" t="str">
        <x:v>LC-0010</x:v>
      </x:c>
      <x:c r="N20" s="46" t="str">
        <x:v>Aging-specific verification; not promoted to fresh core.</x:v>
      </x:c>
    </x:row>
    <x:row r="21" ht="26.399999618530273" hidden="0" customHeight="1">
      <x:c r="A21" s="46" t="str">
        <x:v>BEEF-CMP-020</x:v>
      </x:c>
      <x:c r="B21" s="46" t="str">
        <x:v>phenylacetaldehyde</x:v>
      </x:c>
      <x:c r="C21" s="46" t="str">
        <x:v>122-78-1</x:v>
      </x:c>
      <x:c r="D21" s="46" t="str">
        <x:v>Carbonyls, aldehydes</x:v>
      </x:c>
      <x:c r="E21" s="46" t="str">
        <x:v>institutional chemical registry</x:v>
      </x:c>
      <x:c r="F21" s="46" t="str">
        <x:v>https://pubchem.ncbi.nlm.nih.gov/compound/Phenylacetaldehyde</x:v>
      </x:c>
      <x:c r="G21" s="46" t="str">
        <x:v>verified</x:v>
      </x:c>
      <x:c r="H21" s="46"/>
      <x:c r="I21" s="46"/>
      <x:c r="J21" s="46"/>
      <x:c r="K21" s="46" t="str">
        <x:v>dry_age_detected</x:v>
      </x:c>
      <x:c r="L21" s="46"/>
      <x:c r="M21" s="46" t="str">
        <x:v>LC-0012</x:v>
      </x:c>
      <x:c r="N21" s="46" t="str">
        <x:v>Aging-specific verification; not promoted to fresh core.</x:v>
      </x:c>
    </x:row>
    <x:row r="22" ht="26.399999618530273" hidden="0" customHeight="1">
      <x:c r="A22" s="46" t="str">
        <x:v>BEEF-CMP-021</x:v>
      </x:c>
      <x:c r="B22" s="46" t="str">
        <x:v>3-octanone</x:v>
      </x:c>
      <x:c r="C22" s="46" t="str">
        <x:v>106-68-3</x:v>
      </x:c>
      <x:c r="D22" s="46" t="str">
        <x:v>Carbonyls, ketones</x:v>
      </x:c>
      <x:c r="E22" s="46" t="str">
        <x:v>institutional chemical registry</x:v>
      </x:c>
      <x:c r="F22" s="46" t="str">
        <x:v>https://pubchem.ncbi.nlm.nih.gov/compound/3-Octanone</x:v>
      </x:c>
      <x:c r="G22" s="46" t="str">
        <x:v>verified</x:v>
      </x:c>
      <x:c r="H22" s="46"/>
      <x:c r="I22" s="46"/>
      <x:c r="J22" s="46"/>
      <x:c r="K22" s="46"/>
      <x:c r="L22" s="46"/>
      <x:c r="M22" s="46" t="str">
        <x:v>LC-0013</x:v>
      </x:c>
      <x:c r="N22" s="46" t="str">
        <x:v>Beef occurrence is spoilage/storage-specific; excluded from desirable culinary core.</x:v>
      </x:c>
    </x:row>
    <x:row r="23" ht="26.399999618530273" hidden="0" customHeight="1">
      <x:c r="A23" s="46" t="str">
        <x:v>BEEF-CMP-022</x:v>
      </x:c>
      <x:c r="B23" s="46" t="str">
        <x:v>2-tridecanone</x:v>
      </x:c>
      <x:c r="C23" s="46" t="str">
        <x:v>593-08-8</x:v>
      </x:c>
      <x:c r="D23" s="46" t="str">
        <x:v>Carbonyls, ketones</x:v>
      </x:c>
      <x:c r="E23" s="46" t="str">
        <x:v>institutional chemical registry</x:v>
      </x:c>
      <x:c r="F23" s="46" t="str">
        <x:v>https://pubchem.ncbi.nlm.nih.gov/compound/2-Tridecanone</x:v>
      </x:c>
      <x:c r="G23" s="46" t="str">
        <x:v>verified</x:v>
      </x:c>
      <x:c r="H23" s="46"/>
      <x:c r="I23" s="46"/>
      <x:c r="J23" s="46"/>
      <x:c r="K23" s="46"/>
      <x:c r="L23" s="46" t="str">
        <x:v>fat_detected</x:v>
      </x:c>
      <x:c r="M23" s="46" t="str">
        <x:v>LC-0014</x:v>
      </x:c>
      <x:c r="N23" s="46" t="str">
        <x:v>Rendered-beef-fat detection only; not established as key OAV compound.</x:v>
      </x:c>
    </x:row>
    <x:row r="24" ht="26.399999618530273" hidden="0" customHeight="1">
      <x:c r="A24" s="46" t="str">
        <x:v>BEEF-CMP-023</x:v>
      </x:c>
      <x:c r="B24" s="46" t="str">
        <x:v>2,4,5-trimethyloxazole</x:v>
      </x:c>
      <x:c r="C24" s="46" t="str">
        <x:v>20662-84-4</x:v>
      </x:c>
      <x:c r="D24" s="46" t="str">
        <x:v>Heterocycles, oxazoles</x:v>
      </x:c>
      <x:c r="E24" s="46" t="str">
        <x:v>institutional chemical registry</x:v>
      </x:c>
      <x:c r="F24" s="46" t="str">
        <x:v>https://pubchem.ncbi.nlm.nih.gov/compound/2_4_5-Trimethyloxazole</x:v>
      </x:c>
      <x:c r="G24" s="46" t="str">
        <x:v>verified</x:v>
      </x:c>
      <x:c r="H24" s="46"/>
      <x:c r="I24" s="46"/>
      <x:c r="J24" s="46"/>
      <x:c r="K24" s="46"/>
      <x:c r="L24" s="46"/>
      <x:c r="M24" s="46" t="str">
        <x:v>LC-0016</x:v>
      </x:c>
      <x:c r="N24" s="46" t="str">
        <x:v>Identity verified; primary analytical beef provenance still missing.</x:v>
      </x:c>
    </x:row>
    <x:row r="25" ht="26.399999618530273" hidden="0" customHeight="1">
      <x:c r="A25" s="46" t="str">
        <x:v>BEEF-CMP-024</x:v>
      </x:c>
      <x:c r="B25" s="46" t="str">
        <x:v>alpha-terpineol</x:v>
      </x:c>
      <x:c r="C25" s="46" t="str">
        <x:v>98-55-5</x:v>
      </x:c>
      <x:c r="D25" s="46" t="str">
        <x:v>Alcohols</x:v>
      </x:c>
      <x:c r="E25" s="46" t="str">
        <x:v>institutional chemical registry</x:v>
      </x:c>
      <x:c r="F25" s="46" t="str">
        <x:v>https://pubchem.ncbi.nlm.nih.gov/compound/alpha-Terpineol</x:v>
      </x:c>
      <x:c r="G25" s="46" t="str">
        <x:v>verified</x:v>
      </x:c>
      <x:c r="H25" s="46"/>
      <x:c r="I25" s="46"/>
      <x:c r="J25" s="46"/>
      <x:c r="K25" s="46"/>
      <x:c r="L25" s="46"/>
      <x:c r="M25" s="46" t="str">
        <x:v>LC-0008</x:v>
      </x:c>
      <x:c r="N25" s="46" t="str">
        <x:v>Identity verified only; hold.</x:v>
      </x:c>
    </x:row>
    <x:row r="26" ht="26.399999618530273" hidden="0" customHeight="1">
      <x:c r="A26" s="46" t="str">
        <x:v>BEEF-CMP-025</x:v>
      </x:c>
      <x:c r="B26" s="46" t="str">
        <x:v>pentane</x:v>
      </x:c>
      <x:c r="C26" s="46" t="str">
        <x:v>109-66-0</x:v>
      </x:c>
      <x:c r="D26" s="46" t="str">
        <x:v>Hydrocarbons, alkanes</x:v>
      </x:c>
      <x:c r="E26" s="46" t="str">
        <x:v>institutional chemical registry</x:v>
      </x:c>
      <x:c r="F26" s="46" t="str">
        <x:v>https://pubchem.ncbi.nlm.nih.gov/compound/Pentane</x:v>
      </x:c>
      <x:c r="G26" s="46" t="str">
        <x:v>verified</x:v>
      </x:c>
      <x:c r="H26" s="46"/>
      <x:c r="I26" s="46"/>
      <x:c r="J26" s="46"/>
      <x:c r="K26" s="46"/>
      <x:c r="L26" s="46"/>
      <x:c r="M26" s="46" t="str">
        <x:v>LC-0001</x:v>
      </x:c>
      <x:c r="N26" s="46" t="str">
        <x:v>Identity verified only; no clean beef evidence; solvent-contamination risk.</x:v>
      </x:c>
    </x:row>
    <x:row r="27" ht="15" hidden="0" customHeight="1">
      <x:c r="A27" s="46" t="str">
        <x:v>BEEF-CMP-026</x:v>
      </x:c>
      <x:c r="B27" s="46" t="str">
        <x:v>hexane</x:v>
      </x:c>
      <x:c r="C27" s="46" t="str">
        <x:v>110-54-3</x:v>
      </x:c>
      <x:c r="D27" s="46" t="str">
        <x:v>Hydrocarbons, alkanes</x:v>
      </x:c>
      <x:c r="E27" s="46" t="str">
        <x:v>institutional chemical registry</x:v>
      </x:c>
      <x:c r="F27" s="46" t="str">
        <x:v>https://pubchem.ncbi.nlm.nih.gov/compound/Hexane</x:v>
      </x:c>
      <x:c r="G27" s="46" t="str">
        <x:v>verified</x:v>
      </x:c>
      <x:c r="H27" s="46"/>
      <x:c r="I27" s="46"/>
      <x:c r="J27" s="46"/>
      <x:c r="K27" s="46"/>
      <x:c r="L27" s="46"/>
      <x:c r="M27" s="46" t="str">
        <x:v>LC-0002</x:v>
      </x:c>
      <x:c r="N27" s="46" t="str">
        <x:v>Identity verified only; hold.</x:v>
      </x:c>
    </x:row>
    <x:row r="28" ht="26.399999618530273" hidden="0" customHeight="1">
      <x:c r="A28" s="46" t="str">
        <x:v>BEEF-CMP-027</x:v>
      </x:c>
      <x:c r="B28" s="46" t="str">
        <x:v>dodecane</x:v>
      </x:c>
      <x:c r="C28" s="46" t="str">
        <x:v>112-40-3</x:v>
      </x:c>
      <x:c r="D28" s="46" t="str">
        <x:v>Hydrocarbons, alkanes</x:v>
      </x:c>
      <x:c r="E28" s="46" t="str">
        <x:v>institutional chemical registry</x:v>
      </x:c>
      <x:c r="F28" s="46" t="str">
        <x:v>https://pubchem.ncbi.nlm.nih.gov/compound/Dodecane</x:v>
      </x:c>
      <x:c r="G28" s="46" t="str">
        <x:v>verified</x:v>
      </x:c>
      <x:c r="H28" s="46"/>
      <x:c r="I28" s="46"/>
      <x:c r="J28" s="46"/>
      <x:c r="K28" s="46"/>
      <x:c r="L28" s="46"/>
      <x:c r="M28" s="46" t="str">
        <x:v>LC-0003</x:v>
      </x:c>
      <x:c r="N28" s="46" t="str">
        <x:v>Identity verified only; hold.</x:v>
      </x:c>
    </x:row>
    <x:row r="29" ht="26.399999618530273" hidden="0" customHeight="1">
      <x:c r="A29" s="46" t="str">
        <x:v>BEEF-CMP-028</x:v>
      </x:c>
      <x:c r="B29" s="46" t="str">
        <x:v>naphthalene</x:v>
      </x:c>
      <x:c r="C29" s="46" t="str">
        <x:v>91-20-3</x:v>
      </x:c>
      <x:c r="D29" s="46" t="str">
        <x:v>Hydrocarbons, aromatics</x:v>
      </x:c>
      <x:c r="E29" s="46" t="str">
        <x:v>institutional chemical registry</x:v>
      </x:c>
      <x:c r="F29" s="46" t="str">
        <x:v>https://pubchem.ncbi.nlm.nih.gov/compound/Naphthalene</x:v>
      </x:c>
      <x:c r="G29" s="46" t="str">
        <x:v>verified</x:v>
      </x:c>
      <x:c r="H29" s="46"/>
      <x:c r="I29" s="46"/>
      <x:c r="J29" s="46"/>
      <x:c r="K29" s="46"/>
      <x:c r="L29" s="46"/>
      <x:c r="M29" s="46" t="str">
        <x:v>LC-0006</x:v>
      </x:c>
      <x:c r="N29" s="46" t="str">
        <x:v>Identity verified only; hold.</x:v>
      </x:c>
    </x:row>
    <x:row r="30" ht="26.399999618530273" hidden="0" customHeight="1">
      <x:c r="A30" s="46" t="str">
        <x:v>BEEF-CMP-029</x:v>
      </x:c>
      <x:c r="B30" s="46" t="str">
        <x:v>(E)-2-methyl-2-butenal</x:v>
      </x:c>
      <x:c r="C30" s="46" t="str">
        <x:v>497-03-0</x:v>
      </x:c>
      <x:c r="D30" s="46" t="str">
        <x:v>Carbonyls, aldehydes</x:v>
      </x:c>
      <x:c r="E30" s="46" t="str">
        <x:v>institutional chemical registry</x:v>
      </x:c>
      <x:c r="F30" s="46" t="str">
        <x:v>https://pubchem.ncbi.nlm.nih.gov/compound/Tiglic-aldehyde</x:v>
      </x:c>
      <x:c r="G30" s="46" t="str">
        <x:v>verified</x:v>
      </x:c>
      <x:c r="H30" s="46"/>
      <x:c r="I30" s="46"/>
      <x:c r="J30" s="46"/>
      <x:c r="K30" s="46"/>
      <x:c r="L30" s="46"/>
      <x:c r="M30" s="46" t="str">
        <x:v>LC-0009</x:v>
      </x:c>
      <x:c r="N30" s="46" t="str">
        <x:v>Tiglaldehyde identity normalized; beef occurrence unsupported.</x:v>
      </x:c>
    </x:row>
    <x:row r="31" ht="26.399999618530273" hidden="0" customHeight="1">
      <x:c r="A31" s="46" t="str">
        <x:v>BEEF-CMP-030</x:v>
      </x:c>
      <x:c r="B31" s="46" t="str">
        <x:v>acetophenone</x:v>
      </x:c>
      <x:c r="C31" s="46" t="str">
        <x:v>98-86-2</x:v>
      </x:c>
      <x:c r="D31" s="46" t="str">
        <x:v>Carbonyls, ketones</x:v>
      </x:c>
      <x:c r="E31" s="46" t="str">
        <x:v>institutional chemical registry</x:v>
      </x:c>
      <x:c r="F31" s="46" t="str">
        <x:v>https://pubchem.ncbi.nlm.nih.gov/compound/Acetophenone</x:v>
      </x:c>
      <x:c r="G31" s="46" t="str">
        <x:v>verified</x:v>
      </x:c>
      <x:c r="H31" s="46"/>
      <x:c r="I31" s="46"/>
      <x:c r="J31" s="46"/>
      <x:c r="K31" s="46"/>
      <x:c r="L31" s="46"/>
      <x:c r="M31" s="46" t="str">
        <x:v>LC-0015; LE-0001</x:v>
      </x:c>
      <x:c r="N31" s="46" t="str">
        <x:v>Identity verified; beef occurrence unsupported in qualifying sources.</x:v>
      </x:c>
    </x:row>
    <x:row r="32">
      <x:c r="A32" s="46" t="str">
        <x:v>BEEF-CMP-031</x:v>
      </x:c>
      <x:c r="B32" s="46" t="str">
        <x:v>1-octen-3-one</x:v>
      </x:c>
      <x:c r="C32" s="46" t="str">
        <x:v>4312-99-6</x:v>
      </x:c>
      <x:c r="D32" s="46" t="str">
        <x:v>Carbonyls, ketones</x:v>
      </x:c>
      <x:c r="E32" s="46" t="str">
        <x:v>institutional chemical registry</x:v>
      </x:c>
      <x:c r="F32" s="46" t="str">
        <x:v>https://pubchem.ncbi.nlm.nih.gov/compound/1-octen-3-one</x:v>
      </x:c>
      <x:c r="G32" s="46" t="str">
        <x:v>verified</x:v>
      </x:c>
      <x:c r="H32" s="46"/>
      <x:c r="I32" s="46"/>
      <x:c r="J32" s="46" t="str">
        <x:v>sensory_active</x:v>
      </x:c>
      <x:c r="K32" s="46"/>
      <x:c r="L32" s="46"/>
      <x:c r="M32" s="46"/>
      <x:c r="N32" s="46" t="str">
        <x:v>Moist-heat aroma-active odorant; GC-O/AEDA FD 2 in fresh-cooked stewed beef.</x:v>
      </x:c>
    </x:row>
    <x:row r="33">
      <x:c r="A33" s="46" t="str">
        <x:v>BEEF-CMP-032</x:v>
      </x:c>
      <x:c r="B33" s="46" t="str">
        <x:v>methional</x:v>
      </x:c>
      <x:c r="C33" s="46" t="str">
        <x:v>3268-49-3</x:v>
      </x:c>
      <x:c r="D33" s="46" t="str">
        <x:v>Sulfur compounds</x:v>
      </x:c>
      <x:c r="E33" s="46" t="str">
        <x:v>institutional chemical registry</x:v>
      </x:c>
      <x:c r="F33" s="46" t="str">
        <x:v>https://pubchem.ncbi.nlm.nih.gov/compound/Methional</x:v>
      </x:c>
      <x:c r="G33" s="46" t="str">
        <x:v>verified</x:v>
      </x:c>
      <x:c r="H33" s="46"/>
      <x:c r="I33" s="46"/>
      <x:c r="J33" s="46" t="str">
        <x:v>sensory_active</x:v>
      </x:c>
      <x:c r="K33" s="46"/>
      <x:c r="L33" s="46"/>
      <x:c r="M33" s="46"/>
      <x:c r="N33" s="46" t="str">
        <x:v>Moist-heat aroma-active sulfur/Strecker odorant; GC-O/AEDA FD 2.</x:v>
      </x:c>
    </x:row>
    <x:row r="34">
      <x:c r="A34" s="46" t="str">
        <x:v>BEEF-CMP-033</x:v>
      </x:c>
      <x:c r="B34" s="46" t="str">
        <x:v>2-acetyl-2-thiazoline</x:v>
      </x:c>
      <x:c r="C34" s="46" t="str">
        <x:v>29926-41-8</x:v>
      </x:c>
      <x:c r="D34" s="46" t="str">
        <x:v>Heterocycles, thiazolines</x:v>
      </x:c>
      <x:c r="E34" s="46" t="str">
        <x:v>institutional chemical registry</x:v>
      </x:c>
      <x:c r="F34" s="46" t="str">
        <x:v>https://pubchem.ncbi.nlm.nih.gov/compound/2-Acetyl-2-thiazoline</x:v>
      </x:c>
      <x:c r="G34" s="46" t="str">
        <x:v>verified</x:v>
      </x:c>
      <x:c r="H34" s="46"/>
      <x:c r="I34" s="46"/>
      <x:c r="J34" s="46" t="str">
        <x:v>sensory_active</x:v>
      </x:c>
      <x:c r="K34" s="46"/>
      <x:c r="L34" s="46"/>
      <x:c r="M34" s="46"/>
      <x:c r="N34" s="46" t="str">
        <x:v>Moist-heat aroma-active heterocycle; GC-O/AEDA FD 4.</x:v>
      </x:c>
    </x:row>
    <x:row r="35">
      <x:c r="A35" s="23" t="str">
        <x:v>BEEF-CMP-034</x:v>
      </x:c>
      <x:c r="B35" s="23" t="str">
        <x:v>pentanal</x:v>
      </x:c>
      <x:c r="C35" s="23" t="str">
        <x:v>110-62-3</x:v>
      </x:c>
      <x:c r="D35" s="23" t="str">
        <x:v>Carbonyls, aldehydes</x:v>
      </x:c>
      <x:c r="E35" s="23" t="str">
        <x:v>institutional chemical registry</x:v>
      </x:c>
      <x:c r="F35" s="23" t="str">
        <x:v>https://pubchem.ncbi.nlm.nih.gov/compound/Pentanal</x:v>
      </x:c>
      <x:c r="G35" s="23" t="str">
        <x:v>verified</x:v>
      </x:c>
      <x:c r="H35" s="23"/>
      <x:c r="I35" s="23" t="str">
        <x:v>seared_detected</x:v>
      </x:c>
      <x:c r="J35" s="23"/>
      <x:c r="K35" s="23"/>
      <x:c r="L35" s="23"/>
      <x:c r="M35" s="23"/>
      <x:c r="N35" s="23" t="str">
        <x:v>Second-most abundant aldehyde class signal reported after hexanal in seared/reverse-seared tenderloin.</x:v>
      </x:c>
    </x:row>
    <x:row r="36">
      <x:c r="A36" s="23" t="str">
        <x:v>BEEF-CMP-035</x:v>
      </x:c>
      <x:c r="B36" s="23" t="str">
        <x:v>2,3-octanedione</x:v>
      </x:c>
      <x:c r="C36" s="23" t="str">
        <x:v>585-25-1</x:v>
      </x:c>
      <x:c r="D36" s="23" t="str">
        <x:v>Carbonyls, ketones</x:v>
      </x:c>
      <x:c r="E36" s="23" t="str">
        <x:v>institutional chemical registry</x:v>
      </x:c>
      <x:c r="F36" s="23" t="str">
        <x:v>https://pubchem.ncbi.nlm.nih.gov/compound/2_3-Octanedione</x:v>
      </x:c>
      <x:c r="G36" s="23" t="str">
        <x:v>verified</x:v>
      </x:c>
      <x:c r="H36" s="23"/>
      <x:c r="I36" s="23" t="str">
        <x:v>seared_detected</x:v>
      </x:c>
      <x:c r="J36" s="23"/>
      <x:c r="K36" s="23"/>
      <x:c r="L36" s="23"/>
      <x:c r="M36" s="23"/>
      <x:c r="N36" s="23" t="str">
        <x:v>Detected in seared/reverse-seared steaks; significantly higher in reverse-seared condition in source.</x:v>
      </x:c>
    </x:row>
    <x:row r="37">
      <x:c r="A37" s="23" t="str">
        <x:v>BEEF-CMP-036</x:v>
      </x:c>
      <x:c r="B37" s="23" t="str">
        <x:v>2,3-butanedione</x:v>
      </x:c>
      <x:c r="C37" s="23" t="str">
        <x:v>431-03-8</x:v>
      </x:c>
      <x:c r="D37" s="23" t="str">
        <x:v>Carbonyls, ketones</x:v>
      </x:c>
      <x:c r="E37" s="23" t="str">
        <x:v>institutional chemical registry</x:v>
      </x:c>
      <x:c r="F37" s="23" t="str">
        <x:v>https://pubchem.ncbi.nlm.nih.gov/compound/Diacetyl</x:v>
      </x:c>
      <x:c r="G37" s="23" t="str">
        <x:v>verified</x:v>
      </x:c>
      <x:c r="H37" s="23"/>
      <x:c r="I37" s="23" t="str">
        <x:v>grilled_detected_sensory_correlated</x:v>
      </x:c>
      <x:c r="J37" s="23"/>
      <x:c r="K37" s="23"/>
      <x:c r="L37" s="23"/>
      <x:c r="M37" s="23"/>
      <x:c r="N37" s="23" t="str">
        <x:v>Greater in higher USDA quality grades in grilled steaks; associated with palatability/descriptive attributes.</x:v>
      </x:c>
    </x:row>
    <x:row r="38">
      <x:c r="A38" s="23" t="str">
        <x:v>BEEF-CMP-037</x:v>
      </x:c>
      <x:c r="B38" s="23" t="str">
        <x:v>3-hydroxy-2-butanone</x:v>
      </x:c>
      <x:c r="C38" s="23" t="str">
        <x:v>513-86-0</x:v>
      </x:c>
      <x:c r="D38" s="23" t="str">
        <x:v>Carbonyls, ketones</x:v>
      </x:c>
      <x:c r="E38" s="23" t="str">
        <x:v>institutional chemical registry</x:v>
      </x:c>
      <x:c r="F38" s="23" t="str">
        <x:v>https://pubchem.ncbi.nlm.nih.gov/compound/Acetoin</x:v>
      </x:c>
      <x:c r="G38" s="23" t="str">
        <x:v>verified</x:v>
      </x:c>
      <x:c r="H38" s="23"/>
      <x:c r="I38" s="23" t="str">
        <x:v>grilled_detected_sensory_correlated</x:v>
      </x:c>
      <x:c r="J38" s="23"/>
      <x:c r="K38" s="23"/>
      <x:c r="L38" s="23"/>
      <x:c r="M38" s="23"/>
      <x:c r="N38" s="23" t="str">
        <x:v>Greater in higher USDA quality grades; positively correlated with liking/descriptive attributes.</x:v>
      </x:c>
    </x:row>
    <x:row r="39">
      <x:c r="A39" s="23" t="str">
        <x:v>BEEF-CMP-038</x:v>
      </x:c>
      <x:c r="B39" s="23" t="str">
        <x:v>2-methylbutanal</x:v>
      </x:c>
      <x:c r="C39" s="23" t="str">
        <x:v>96-17-3</x:v>
      </x:c>
      <x:c r="D39" s="23" t="str">
        <x:v>Carbonyls, aldehydes</x:v>
      </x:c>
      <x:c r="E39" s="23" t="str">
        <x:v>institutional chemical registry</x:v>
      </x:c>
      <x:c r="F39" s="23" t="str">
        <x:v>https://pubchem.ncbi.nlm.nih.gov/compound/2-Methylbutanal</x:v>
      </x:c>
      <x:c r="G39" s="23" t="str">
        <x:v>verified</x:v>
      </x:c>
      <x:c r="H39" s="23"/>
      <x:c r="I39" s="23"/>
      <x:c r="J39" s="23"/>
      <x:c r="K39" s="23" t="str">
        <x:v>dry_age_differentiator</x:v>
      </x:c>
      <x:c r="L39" s="23"/>
      <x:c r="M39" s="23"/>
      <x:c r="N39" s="23" t="str">
        <x:v>Direct dry-vs-wet aging differentiator; do not confuse with legacy 3-methylbutanal/isopentanal.</x:v>
      </x:c>
    </x:row>
    <x:row r="40">
      <x:c r="A40" s="23" t="str">
        <x:v>BEEF-CMP-039</x:v>
      </x:c>
      <x:c r="B40" s="23" t="str">
        <x:v>2-methylpropanal</x:v>
      </x:c>
      <x:c r="C40" s="23" t="str">
        <x:v>78-84-2</x:v>
      </x:c>
      <x:c r="D40" s="23" t="str">
        <x:v>Carbonyls, aldehydes</x:v>
      </x:c>
      <x:c r="E40" s="23" t="str">
        <x:v>institutional chemical registry</x:v>
      </x:c>
      <x:c r="F40" s="23" t="str">
        <x:v>https://pubchem.ncbi.nlm.nih.gov/compound/Isobutyraldehyde</x:v>
      </x:c>
      <x:c r="G40" s="23" t="str">
        <x:v>verified</x:v>
      </x:c>
      <x:c r="H40" s="23"/>
      <x:c r="I40" s="23"/>
      <x:c r="J40" s="23"/>
      <x:c r="K40" s="23" t="str">
        <x:v>dry_age_differentiator</x:v>
      </x:c>
      <x:c r="L40" s="23"/>
      <x:c r="M40" s="23"/>
      <x:c r="N40" s="23" t="str">
        <x:v>Direct dry-aging differentiator in strip loin; absent from day-28 wet-aged comparator in the governing source.</x:v>
      </x:c>
    </x:row>
    <x:row r="41">
      <x:c r="A41" s="23" t="str">
        <x:v>BEEF-CMP-040</x:v>
      </x:c>
      <x:c r="B41" s="23" t="str">
        <x:v>propanal</x:v>
      </x:c>
      <x:c r="C41" s="23" t="str">
        <x:v>123-38-6</x:v>
      </x:c>
      <x:c r="D41" s="23" t="str">
        <x:v>Carbonyls, aldehydes</x:v>
      </x:c>
      <x:c r="E41" s="23" t="str">
        <x:v>institutional chemical registry</x:v>
      </x:c>
      <x:c r="F41" s="23" t="str">
        <x:v>https://pubchem.ncbi.nlm.nih.gov/compound/Propanal</x:v>
      </x:c>
      <x:c r="G41" s="23" t="str">
        <x:v>verified</x:v>
      </x:c>
      <x:c r="H41" s="23"/>
      <x:c r="I41" s="23"/>
      <x:c r="J41" s="23"/>
      <x:c r="K41" s="23" t="str">
        <x:v>dry_age_differentiator</x:v>
      </x:c>
      <x:c r="L41" s="23"/>
      <x:c r="M41" s="23"/>
      <x:c r="N41" s="23" t="str">
        <x:v>Direct dry-vs-wet aging differentiator; lipid-oxidation-associated.</x:v>
      </x:c>
    </x:row>
    <x:row r="42">
      <x:c r="A42" s="23" t="str">
        <x:v>BEEF-CMP-041</x:v>
      </x:c>
      <x:c r="B42" s="23" t="str">
        <x:v>2-methyl-2-propanethiol</x:v>
      </x:c>
      <x:c r="C42" s="23" t="str">
        <x:v>75-66-1</x:v>
      </x:c>
      <x:c r="D42" s="23" t="str">
        <x:v>Sulfur compounds</x:v>
      </x:c>
      <x:c r="E42" s="23" t="str">
        <x:v>institutional chemical registry</x:v>
      </x:c>
      <x:c r="F42" s="23" t="str">
        <x:v>https://pubchem.ncbi.nlm.nih.gov/compound/tert-Butyl-mercaptan</x:v>
      </x:c>
      <x:c r="G42" s="23" t="str">
        <x:v>verified</x:v>
      </x:c>
      <x:c r="H42" s="23"/>
      <x:c r="I42" s="23"/>
      <x:c r="J42" s="23"/>
      <x:c r="K42" s="23" t="str">
        <x:v>dry_age_differentiator</x:v>
      </x:c>
      <x:c r="L42" s="23"/>
      <x:c r="M42" s="23"/>
      <x:c r="N42" s="23" t="str">
        <x:v>Direct dry-vs-wet aging sulfur delta; source links increase to proteolysis/Strecker-related chemistry.</x:v>
      </x:c>
    </x:row>
    <x:row r="43">
      <x:c r="A43" s="23" t="str">
        <x:v>BEEF-CMP-042</x:v>
      </x:c>
      <x:c r="B43" s="23" t="str">
        <x:v>ethyl propanoate</x:v>
      </x:c>
      <x:c r="C43" s="23" t="str">
        <x:v>105-37-3</x:v>
      </x:c>
      <x:c r="D43" s="23" t="str">
        <x:v>Esters</x:v>
      </x:c>
      <x:c r="E43" s="23" t="str">
        <x:v>institutional chemical registry</x:v>
      </x:c>
      <x:c r="F43" s="23" t="str">
        <x:v>https://pubchem.ncbi.nlm.nih.gov/compound/7749</x:v>
      </x:c>
      <x:c r="G43" s="23" t="str">
        <x:v>verified</x:v>
      </x:c>
      <x:c r="H43" s="23"/>
      <x:c r="I43" s="23"/>
      <x:c r="J43" s="23"/>
      <x:c r="K43" s="23" t="str">
        <x:v>dry_age_differentiator</x:v>
      </x:c>
      <x:c r="L43" s="23"/>
      <x:c r="M43" s="23"/>
      <x:c r="N43" s="23" t="str">
        <x:v>Direct dry-vs-wet aging ester delta; associated with microbial/lipolytic activity.</x:v>
      </x:c>
    </x:row>
    <x:row r="44">
      <x:c r="A44" s="23" t="str">
        <x:v>BEEF-CMP-043</x:v>
      </x:c>
      <x:c r="B44" s="23" t="str">
        <x:v>tetrahydrofuran</x:v>
      </x:c>
      <x:c r="C44" s="23" t="str">
        <x:v>109-99-9</x:v>
      </x:c>
      <x:c r="D44" s="23" t="str">
        <x:v>Ethers</x:v>
      </x:c>
      <x:c r="E44" s="23" t="str">
        <x:v>institutional chemical registry</x:v>
      </x:c>
      <x:c r="F44" s="23" t="str">
        <x:v>https://pubchem.ncbi.nlm.nih.gov/compound/8028</x:v>
      </x:c>
      <x:c r="G44" s="23" t="str">
        <x:v>verified</x:v>
      </x:c>
      <x:c r="H44" s="23"/>
      <x:c r="I44" s="23"/>
      <x:c r="J44" s="23"/>
      <x:c r="K44" s="23" t="str">
        <x:v>dry_age_differentiator</x:v>
      </x:c>
      <x:c r="L44" s="23"/>
      <x:c r="M44" s="23"/>
      <x:c r="N44" s="23" t="str">
        <x:v>Direct dry-vs-wet aging volatile delta; source table reports instrument peak area.</x:v>
      </x:c>
    </x:row>
    <x:row r="45">
      <x:c r="A45" s="23" t="str">
        <x:v>BEEF-CMP-044</x:v>
      </x:c>
      <x:c r="B45" s="23" t="str">
        <x:v>3-heptanone</x:v>
      </x:c>
      <x:c r="C45" s="23" t="str">
        <x:v>106-35-4</x:v>
      </x:c>
      <x:c r="D45" s="23" t="str">
        <x:v>Carbonyls, ketones</x:v>
      </x:c>
      <x:c r="E45" s="23" t="str">
        <x:v>institutional chemical registry</x:v>
      </x:c>
      <x:c r="F45" s="23" t="str">
        <x:v>https://pubchem.ncbi.nlm.nih.gov/compound/3-Heptanone</x:v>
      </x:c>
      <x:c r="G45" s="23" t="str">
        <x:v>verified</x:v>
      </x:c>
      <x:c r="H45" s="23"/>
      <x:c r="I45" s="23"/>
      <x:c r="J45" s="23"/>
      <x:c r="K45" s="23" t="str">
        <x:v>dry_age_differentiator</x:v>
      </x:c>
      <x:c r="L45" s="23"/>
      <x:c r="M45" s="23"/>
      <x:c r="N45" s="23" t="str">
        <x:v>Direct dry-vs-wet aging ketone delta; source table reports instrument peak area.</x:v>
      </x:c>
    </x:row>
  </x:sheetData>
  <x:pageMargins left="0.7" right="0.7" top="0.75" bottom="0.75" header="0.3" footer="0.3"/>
  <x:tableParts count="1">
    <x:tablePart xmlns:r="http://schemas.openxmlformats.org/officeDocument/2006/relationships" r:id="R5a4baa29ed854a26"/>
  </x:tableParts>
</x:worksheet>
</file>

<file path=xl/worksheets/sheet45.xml><?xml version="1.0" encoding="utf-8"?>
<x:worksheet xmlns:x="http://schemas.openxmlformats.org/spreadsheetml/2006/main">
  <x:sheetFormatPr defaultRowHeight="15"/>
  <x:cols>
    <x:col min="1" max="1" width="14" hidden="0" customWidth="1"/>
    <x:col min="2" max="2" width="10" hidden="0" customWidth="1"/>
    <x:col min="3" max="3" width="14" hidden="0" customWidth="1"/>
    <x:col min="4" max="4" width="20" hidden="0" customWidth="1"/>
    <x:col min="5" max="5" width="34" hidden="0" customWidth="1"/>
    <x:col min="6" max="6" width="25" hidden="0" customWidth="1"/>
    <x:col min="7" max="7" width="14" hidden="0" customWidth="1"/>
    <x:col min="8" max="8" width="22" hidden="0" customWidth="1"/>
    <x:col min="9" max="9" width="18" hidden="0" customWidth="1"/>
    <x:col min="10" max="10" width="22" hidden="0" customWidth="1"/>
    <x:col min="11" max="11" width="18" hidden="0" customWidth="1"/>
    <x:col min="12" max="12" width="28" hidden="0" customWidth="1"/>
    <x:col min="13" max="13" width="54" hidden="0" customWidth="1"/>
    <x:col min="14" max="14" width="14" hidden="0" customWidth="1"/>
    <x:col min="15" max="15" width="16" hidden="0" customWidth="1"/>
    <x:col min="16" max="16" width="20" hidden="0" customWidth="1"/>
    <x:col min="17" max="17" width="16" hidden="0" customWidth="1"/>
    <x:col min="18" max="18" width="22" hidden="0" customWidth="1"/>
    <x:col min="19" max="19" width="24" hidden="0" customWidth="1"/>
    <x:col min="20" max="20" width="48" hidden="0" customWidth="1"/>
    <x:col min="21" max="21" width="28" hidden="0" customWidth="1"/>
    <x:col min="22" max="22" width="32" hidden="0" customWidth="1"/>
    <x:col min="23" max="23" width="52" hidden="0" customWidth="1"/>
  </x:cols>
  <x:sheetData>
    <x:row r="1" ht="26.399999618530273" hidden="0" customHeight="1">
      <x:c r="A1" s="115" t="str">
        <x:v>profile_record_id</x:v>
      </x:c>
      <x:c r="B1" s="115" t="str">
        <x:v>protein</x:v>
      </x:c>
      <x:c r="C1" s="115" t="str">
        <x:v>family_id</x:v>
      </x:c>
      <x:c r="D1" s="115" t="str">
        <x:v>preparation_state</x:v>
      </x:c>
      <x:c r="E1" s="115" t="str">
        <x:v>cut_or_part</x:v>
      </x:c>
      <x:c r="F1" s="115" t="str">
        <x:v>compound_name</x:v>
      </x:c>
      <x:c r="G1" s="115" t="str">
        <x:v>cas</x:v>
      </x:c>
      <x:c r="H1" s="115" t="str">
        <x:v>compound_group</x:v>
      </x:c>
      <x:c r="I1" s="115" t="str">
        <x:v>evidence_mode</x:v>
      </x:c>
      <x:c r="J1" s="115" t="str">
        <x:v>sensory_validation_mode</x:v>
      </x:c>
      <x:c r="K1" s="115" t="str">
        <x:v>direct_source_state</x:v>
      </x:c>
      <x:c r="L1" s="115" t="str">
        <x:v>importance_class</x:v>
      </x:c>
      <x:c r="M1" s="115" t="str">
        <x:v>importance_detail</x:v>
      </x:c>
      <x:c r="N1" s="115" t="str">
        <x:v>concentration</x:v>
      </x:c>
      <x:c r="O1" s="115" t="str">
        <x:v>concentration_unit</x:v>
      </x:c>
      <x:c r="P1" s="115" t="str">
        <x:v>sensory_metric_type</x:v>
      </x:c>
      <x:c r="Q1" s="115" t="str">
        <x:v>sensory_metric_value</x:v>
      </x:c>
      <x:c r="R1" s="115" t="str">
        <x:v>odor_descriptor</x:v>
      </x:c>
      <x:c r="S1" s="115" t="str">
        <x:v>source_id</x:v>
      </x:c>
      <x:c r="T1" s="115" t="str">
        <x:v>source_url</x:v>
      </x:c>
      <x:c r="U1" s="115" t="str">
        <x:v>source_context_confounded</x:v>
      </x:c>
      <x:c r="V1" s="115" t="str">
        <x:v>promotion_status</x:v>
      </x:c>
      <x:c r="W1" s="115" t="str">
        <x:v>notes</x:v>
      </x:c>
      <x:c r="X1" s="138" t="str">
        <x:v>product_id</x:v>
      </x:c>
      <x:c r="Y1" s="138" t="str">
        <x:v>material_scope</x:v>
      </x:c>
      <x:c r="Z1" s="138" t="str">
        <x:v>mr13_product_status</x:v>
      </x:c>
    </x:row>
    <x:row r="2" ht="26.399999618530273" hidden="0" customHeight="1">
      <x:c r="A2" s="46" t="str">
        <x:v>BP-001</x:v>
      </x:c>
      <x:c r="B2" s="46" t="str">
        <x:v>beef</x:v>
      </x:c>
      <x:c r="C2" s="46" t="str">
        <x:v>family:beef</x:v>
      </x:c>
      <x:c r="D2" s="46" t="str">
        <x:v>raw</x:v>
      </x:c>
      <x:c r="E2" s="46" t="str">
        <x:v>Qinchuan hind-leg lean; fascia removed</x:v>
      </x:c>
      <x:c r="F2" s="46" t="str">
        <x:v>1-heptanol</x:v>
      </x:c>
      <x:c r="G2" s="46" t="str">
        <x:v>111-70-6</x:v>
      </x:c>
      <x:c r="H2" s="46" t="str">
        <x:v>Alcohols</x:v>
      </x:c>
      <x:c r="I2" s="46" t="str">
        <x:v>measured</x:v>
      </x:c>
      <x:c r="J2" s="46" t="str">
        <x:v>OAV_gt_1</x:v>
      </x:c>
      <x:c r="K2" s="46" t="str">
        <x:v>raw</x:v>
      </x:c>
      <x:c r="L2" s="46" t="str">
        <x:v>aroma_active_raw</x:v>
      </x:c>
      <x:c r="M2" s="46" t="str">
        <x:v>One of 10 raw-beef odorants with OAV &gt; 1 in the time-course study.</x:v>
      </x:c>
      <x:c r="N2" s="46" t="n">
        <x:v>13.78</x:v>
      </x:c>
      <x:c r="O2" s="46" t="str">
        <x:v>µg/kg</x:v>
      </x:c>
      <x:c r="P2" s="46" t="str">
        <x:v>OAV</x:v>
      </x:c>
      <x:c r="Q2" s="46"/>
      <x:c r="R2" s="46"/>
      <x:c r="S2" s="46" t="str">
        <x:v>SRC-BEEF-ROAST-001</x:v>
      </x:c>
      <x:c r="T2" s="46" t="str">
        <x:v>https://www.frontiersin.org/journals/nutrition/articles/10.3389/fnut.2022.978622/full</x:v>
      </x:c>
      <x:c r="U2" s="46" t="str">
        <x:v>no</x:v>
      </x:c>
      <x:c r="V2" s="46" t="str">
        <x:v>eligible_raw_core_v12</x:v>
      </x:c>
      <x:c r="W2" s="46"/>
      <x:c r="X2" t="str">
        <x:v>beef:muscle</x:v>
      </x:c>
      <x:c r="Y2" t="str">
        <x:v>Qinchuan hind-leg lean; fascia removed</x:v>
      </x:c>
      <x:c r="Z2" t="str">
        <x:v>active_beef_muscle</x:v>
      </x:c>
    </x:row>
    <x:row r="3" ht="26.399999618530273" hidden="0" customHeight="1">
      <x:c r="A3" s="46" t="str">
        <x:v>BP-002</x:v>
      </x:c>
      <x:c r="B3" s="46" t="str">
        <x:v>beef</x:v>
      </x:c>
      <x:c r="C3" s="46" t="str">
        <x:v>family:beef</x:v>
      </x:c>
      <x:c r="D3" s="46" t="str">
        <x:v>raw</x:v>
      </x:c>
      <x:c r="E3" s="46" t="str">
        <x:v>Qinchuan hind-leg lean; fascia removed</x:v>
      </x:c>
      <x:c r="F3" s="46" t="str">
        <x:v>1-octen-3-ol</x:v>
      </x:c>
      <x:c r="G3" s="46" t="str">
        <x:v>3391-86-4</x:v>
      </x:c>
      <x:c r="H3" s="46" t="str">
        <x:v>Alcohols</x:v>
      </x:c>
      <x:c r="I3" s="46" t="str">
        <x:v>measured</x:v>
      </x:c>
      <x:c r="J3" s="46" t="str">
        <x:v>OAV_gt_1</x:v>
      </x:c>
      <x:c r="K3" s="46" t="str">
        <x:v>raw</x:v>
      </x:c>
      <x:c r="L3" s="46" t="str">
        <x:v>aroma_active_raw</x:v>
      </x:c>
      <x:c r="M3" s="46" t="str">
        <x:v>One of 10 raw-beef odorants with OAV &gt; 1 in the time-course study.</x:v>
      </x:c>
      <x:c r="N3" s="46" t="n">
        <x:v>313.89</x:v>
      </x:c>
      <x:c r="O3" s="46" t="str">
        <x:v>µg/kg</x:v>
      </x:c>
      <x:c r="P3" s="46" t="str">
        <x:v>OAV</x:v>
      </x:c>
      <x:c r="Q3" s="46"/>
      <x:c r="R3" s="46"/>
      <x:c r="S3" s="46" t="str">
        <x:v>SRC-BEEF-ROAST-001</x:v>
      </x:c>
      <x:c r="T3" s="46" t="str">
        <x:v>https://www.frontiersin.org/journals/nutrition/articles/10.3389/fnut.2022.978622/full</x:v>
      </x:c>
      <x:c r="U3" s="46" t="str">
        <x:v>no</x:v>
      </x:c>
      <x:c r="V3" s="46" t="str">
        <x:v>eligible_raw_core_v12</x:v>
      </x:c>
      <x:c r="W3" s="46"/>
      <x:c r="X3" t="str">
        <x:v>beef:muscle</x:v>
      </x:c>
      <x:c r="Y3" t="str">
        <x:v>Qinchuan hind-leg lean; fascia removed</x:v>
      </x:c>
      <x:c r="Z3" t="str">
        <x:v>active_beef_muscle</x:v>
      </x:c>
    </x:row>
    <x:row r="4" ht="26.399999618530273" hidden="0" customHeight="1">
      <x:c r="A4" s="46" t="str">
        <x:v>BP-003</x:v>
      </x:c>
      <x:c r="B4" s="46" t="str">
        <x:v>beef</x:v>
      </x:c>
      <x:c r="C4" s="46" t="str">
        <x:v>family:beef</x:v>
      </x:c>
      <x:c r="D4" s="46" t="str">
        <x:v>raw</x:v>
      </x:c>
      <x:c r="E4" s="46" t="str">
        <x:v>Qinchuan hind-leg lean; fascia removed</x:v>
      </x:c>
      <x:c r="F4" s="46" t="str">
        <x:v>hexanal</x:v>
      </x:c>
      <x:c r="G4" s="46" t="str">
        <x:v>66-25-1</x:v>
      </x:c>
      <x:c r="H4" s="46" t="str">
        <x:v>Carbonyls, aldehydes</x:v>
      </x:c>
      <x:c r="I4" s="46" t="str">
        <x:v>measured</x:v>
      </x:c>
      <x:c r="J4" s="46" t="str">
        <x:v>OAV_gt_1</x:v>
      </x:c>
      <x:c r="K4" s="46" t="str">
        <x:v>raw</x:v>
      </x:c>
      <x:c r="L4" s="46" t="str">
        <x:v>aroma_active_raw</x:v>
      </x:c>
      <x:c r="M4" s="46" t="str">
        <x:v>One of 10 raw-beef odorants with OAV &gt; 1 in the time-course study.</x:v>
      </x:c>
      <x:c r="N4" s="46" t="n">
        <x:v>122.67</x:v>
      </x:c>
      <x:c r="O4" s="46" t="str">
        <x:v>µg/kg</x:v>
      </x:c>
      <x:c r="P4" s="46" t="str">
        <x:v>OAV</x:v>
      </x:c>
      <x:c r="Q4" s="46"/>
      <x:c r="R4" s="46"/>
      <x:c r="S4" s="46" t="str">
        <x:v>SRC-BEEF-ROAST-001</x:v>
      </x:c>
      <x:c r="T4" s="46" t="str">
        <x:v>https://www.frontiersin.org/journals/nutrition/articles/10.3389/fnut.2022.978622/full</x:v>
      </x:c>
      <x:c r="U4" s="46" t="str">
        <x:v>no</x:v>
      </x:c>
      <x:c r="V4" s="46" t="str">
        <x:v>eligible_raw_core_v12</x:v>
      </x:c>
      <x:c r="W4" s="46"/>
      <x:c r="X4" t="str">
        <x:v>beef:muscle</x:v>
      </x:c>
      <x:c r="Y4" t="str">
        <x:v>Qinchuan hind-leg lean; fascia removed</x:v>
      </x:c>
      <x:c r="Z4" t="str">
        <x:v>active_beef_muscle</x:v>
      </x:c>
    </x:row>
    <x:row r="5" ht="26.399999618530273" hidden="0" customHeight="1">
      <x:c r="A5" s="46" t="str">
        <x:v>BP-004</x:v>
      </x:c>
      <x:c r="B5" s="46" t="str">
        <x:v>beef</x:v>
      </x:c>
      <x:c r="C5" s="46" t="str">
        <x:v>family:beef</x:v>
      </x:c>
      <x:c r="D5" s="46" t="str">
        <x:v>raw</x:v>
      </x:c>
      <x:c r="E5" s="46" t="str">
        <x:v>Qinchuan hind-leg lean; fascia removed</x:v>
      </x:c>
      <x:c r="F5" s="46" t="str">
        <x:v>octanal</x:v>
      </x:c>
      <x:c r="G5" s="46" t="str">
        <x:v>124-13-0</x:v>
      </x:c>
      <x:c r="H5" s="46" t="str">
        <x:v>Carbonyls, aldehydes</x:v>
      </x:c>
      <x:c r="I5" s="46" t="str">
        <x:v>measured</x:v>
      </x:c>
      <x:c r="J5" s="46" t="str">
        <x:v>OAV_gt_1</x:v>
      </x:c>
      <x:c r="K5" s="46" t="str">
        <x:v>raw</x:v>
      </x:c>
      <x:c r="L5" s="46" t="str">
        <x:v>aroma_active_raw</x:v>
      </x:c>
      <x:c r="M5" s="46" t="str">
        <x:v>One of 10 raw-beef odorants with OAV &gt; 1 in the time-course study.</x:v>
      </x:c>
      <x:c r="N5" s="46" t="n">
        <x:v>8.64</x:v>
      </x:c>
      <x:c r="O5" s="46" t="str">
        <x:v>µg/kg</x:v>
      </x:c>
      <x:c r="P5" s="46" t="str">
        <x:v>OAV</x:v>
      </x:c>
      <x:c r="Q5" s="46"/>
      <x:c r="R5" s="46"/>
      <x:c r="S5" s="46" t="str">
        <x:v>SRC-BEEF-ROAST-001</x:v>
      </x:c>
      <x:c r="T5" s="46" t="str">
        <x:v>https://www.frontiersin.org/journals/nutrition/articles/10.3389/fnut.2022.978622/full</x:v>
      </x:c>
      <x:c r="U5" s="46" t="str">
        <x:v>no</x:v>
      </x:c>
      <x:c r="V5" s="46" t="str">
        <x:v>eligible_raw_core_v12</x:v>
      </x:c>
      <x:c r="W5" s="46"/>
      <x:c r="X5" t="str">
        <x:v>beef:muscle</x:v>
      </x:c>
      <x:c r="Y5" t="str">
        <x:v>Qinchuan hind-leg lean; fascia removed</x:v>
      </x:c>
      <x:c r="Z5" t="str">
        <x:v>active_beef_muscle</x:v>
      </x:c>
    </x:row>
    <x:row r="6" ht="26.399999618530273" hidden="0" customHeight="1">
      <x:c r="A6" s="46" t="str">
        <x:v>BP-005</x:v>
      </x:c>
      <x:c r="B6" s="46" t="str">
        <x:v>beef</x:v>
      </x:c>
      <x:c r="C6" s="46" t="str">
        <x:v>family:beef</x:v>
      </x:c>
      <x:c r="D6" s="46" t="str">
        <x:v>raw</x:v>
      </x:c>
      <x:c r="E6" s="46" t="str">
        <x:v>Qinchuan hind-leg lean; fascia removed</x:v>
      </x:c>
      <x:c r="F6" s="46" t="str">
        <x:v>(E)-2-octenal</x:v>
      </x:c>
      <x:c r="G6" s="46" t="str">
        <x:v>2548-87-0</x:v>
      </x:c>
      <x:c r="H6" s="46" t="str">
        <x:v>Carbonyls, aldehydes</x:v>
      </x:c>
      <x:c r="I6" s="46" t="str">
        <x:v>measured</x:v>
      </x:c>
      <x:c r="J6" s="46" t="str">
        <x:v>OAV_gt_1</x:v>
      </x:c>
      <x:c r="K6" s="46" t="str">
        <x:v>raw</x:v>
      </x:c>
      <x:c r="L6" s="46" t="str">
        <x:v>aroma_active_raw</x:v>
      </x:c>
      <x:c r="M6" s="46" t="str">
        <x:v>One of 10 raw-beef odorants with OAV &gt; 1 in the time-course study.</x:v>
      </x:c>
      <x:c r="N6" s="46" t="n">
        <x:v>6.35</x:v>
      </x:c>
      <x:c r="O6" s="46" t="str">
        <x:v>µg/kg</x:v>
      </x:c>
      <x:c r="P6" s="46" t="str">
        <x:v>OAV</x:v>
      </x:c>
      <x:c r="Q6" s="46"/>
      <x:c r="R6" s="46"/>
      <x:c r="S6" s="46" t="str">
        <x:v>SRC-BEEF-ROAST-001</x:v>
      </x:c>
      <x:c r="T6" s="46" t="str">
        <x:v>https://www.frontiersin.org/journals/nutrition/articles/10.3389/fnut.2022.978622/full</x:v>
      </x:c>
      <x:c r="U6" s="46" t="str">
        <x:v>no</x:v>
      </x:c>
      <x:c r="V6" s="46" t="str">
        <x:v>eligible_raw_core_v12</x:v>
      </x:c>
      <x:c r="W6" s="46"/>
      <x:c r="X6" t="str">
        <x:v>beef:muscle</x:v>
      </x:c>
      <x:c r="Y6" t="str">
        <x:v>Qinchuan hind-leg lean; fascia removed</x:v>
      </x:c>
      <x:c r="Z6" t="str">
        <x:v>active_beef_muscle</x:v>
      </x:c>
    </x:row>
    <x:row r="7" ht="26.399999618530273" hidden="0" customHeight="1">
      <x:c r="A7" s="46" t="str">
        <x:v>BP-006</x:v>
      </x:c>
      <x:c r="B7" s="46" t="str">
        <x:v>beef</x:v>
      </x:c>
      <x:c r="C7" s="46" t="str">
        <x:v>family:beef</x:v>
      </x:c>
      <x:c r="D7" s="46" t="str">
        <x:v>raw</x:v>
      </x:c>
      <x:c r="E7" s="46" t="str">
        <x:v>Qinchuan hind-leg lean; fascia removed</x:v>
      </x:c>
      <x:c r="F7" s="46" t="str">
        <x:v>(E,E)-2,4-nonadienal</x:v>
      </x:c>
      <x:c r="G7" s="46" t="str">
        <x:v>5910-87-2</x:v>
      </x:c>
      <x:c r="H7" s="46" t="str">
        <x:v>Carbonyls, aldehydes</x:v>
      </x:c>
      <x:c r="I7" s="46" t="str">
        <x:v>measured</x:v>
      </x:c>
      <x:c r="J7" s="46" t="str">
        <x:v>OAV_gt_1</x:v>
      </x:c>
      <x:c r="K7" s="46" t="str">
        <x:v>raw</x:v>
      </x:c>
      <x:c r="L7" s="46" t="str">
        <x:v>aroma_active_raw</x:v>
      </x:c>
      <x:c r="M7" s="46" t="str">
        <x:v>One of 10 raw-beef odorants with OAV &gt; 1 in the time-course study.</x:v>
      </x:c>
      <x:c r="N7" s="46" t="n">
        <x:v>6.67</x:v>
      </x:c>
      <x:c r="O7" s="46" t="str">
        <x:v>µg/kg</x:v>
      </x:c>
      <x:c r="P7" s="46" t="str">
        <x:v>OAV</x:v>
      </x:c>
      <x:c r="Q7" s="46"/>
      <x:c r="R7" s="46"/>
      <x:c r="S7" s="46" t="str">
        <x:v>SRC-BEEF-ROAST-001</x:v>
      </x:c>
      <x:c r="T7" s="46" t="str">
        <x:v>https://www.frontiersin.org/journals/nutrition/articles/10.3389/fnut.2022.978622/full</x:v>
      </x:c>
      <x:c r="U7" s="46" t="str">
        <x:v>no</x:v>
      </x:c>
      <x:c r="V7" s="46" t="str">
        <x:v>eligible_raw_core_v12</x:v>
      </x:c>
      <x:c r="W7" s="46"/>
      <x:c r="X7" t="str">
        <x:v>beef:muscle</x:v>
      </x:c>
      <x:c r="Y7" t="str">
        <x:v>Qinchuan hind-leg lean; fascia removed</x:v>
      </x:c>
      <x:c r="Z7" t="str">
        <x:v>active_beef_muscle</x:v>
      </x:c>
    </x:row>
    <x:row r="8" ht="26.399999618530273" hidden="0" customHeight="1">
      <x:c r="A8" s="46" t="str">
        <x:v>BP-007</x:v>
      </x:c>
      <x:c r="B8" s="46" t="str">
        <x:v>beef</x:v>
      </x:c>
      <x:c r="C8" s="46" t="str">
        <x:v>family:beef</x:v>
      </x:c>
      <x:c r="D8" s="46" t="str">
        <x:v>raw</x:v>
      </x:c>
      <x:c r="E8" s="46" t="str">
        <x:v>Qinchuan hind-leg lean; fascia removed</x:v>
      </x:c>
      <x:c r="F8" s="46" t="str">
        <x:v>nonanal</x:v>
      </x:c>
      <x:c r="G8" s="46" t="str">
        <x:v>124-19-6</x:v>
      </x:c>
      <x:c r="H8" s="46" t="str">
        <x:v>Carbonyls, aldehydes</x:v>
      </x:c>
      <x:c r="I8" s="46" t="str">
        <x:v>measured</x:v>
      </x:c>
      <x:c r="J8" s="46" t="str">
        <x:v>OAV_gt_1</x:v>
      </x:c>
      <x:c r="K8" s="46" t="str">
        <x:v>raw</x:v>
      </x:c>
      <x:c r="L8" s="46" t="str">
        <x:v>aroma_active_raw</x:v>
      </x:c>
      <x:c r="M8" s="46" t="str">
        <x:v>One of 10 raw-beef odorants with OAV &gt; 1 in the time-course study.</x:v>
      </x:c>
      <x:c r="N8" s="46" t="n">
        <x:v>44.84</x:v>
      </x:c>
      <x:c r="O8" s="46" t="str">
        <x:v>µg/kg</x:v>
      </x:c>
      <x:c r="P8" s="46" t="str">
        <x:v>OAV</x:v>
      </x:c>
      <x:c r="Q8" s="46"/>
      <x:c r="R8" s="46"/>
      <x:c r="S8" s="46" t="str">
        <x:v>SRC-BEEF-ROAST-001</x:v>
      </x:c>
      <x:c r="T8" s="46" t="str">
        <x:v>https://www.frontiersin.org/journals/nutrition/articles/10.3389/fnut.2022.978622/full</x:v>
      </x:c>
      <x:c r="U8" s="46" t="str">
        <x:v>no</x:v>
      </x:c>
      <x:c r="V8" s="46" t="str">
        <x:v>eligible_raw_core_v12</x:v>
      </x:c>
      <x:c r="W8" s="46"/>
      <x:c r="X8" t="str">
        <x:v>beef:muscle</x:v>
      </x:c>
      <x:c r="Y8" t="str">
        <x:v>Qinchuan hind-leg lean; fascia removed</x:v>
      </x:c>
      <x:c r="Z8" t="str">
        <x:v>active_beef_muscle</x:v>
      </x:c>
    </x:row>
    <x:row r="9" ht="26.399999618530273" hidden="0" customHeight="1">
      <x:c r="A9" s="46" t="str">
        <x:v>BP-008</x:v>
      </x:c>
      <x:c r="B9" s="46" t="str">
        <x:v>beef</x:v>
      </x:c>
      <x:c r="C9" s="46" t="str">
        <x:v>family:beef</x:v>
      </x:c>
      <x:c r="D9" s="46" t="str">
        <x:v>raw</x:v>
      </x:c>
      <x:c r="E9" s="46" t="str">
        <x:v>Qinchuan hind-leg lean; fascia removed</x:v>
      </x:c>
      <x:c r="F9" s="46" t="str">
        <x:v>(E,E)-2,4-decadienal</x:v>
      </x:c>
      <x:c r="G9" s="46" t="str">
        <x:v>25152-84-5</x:v>
      </x:c>
      <x:c r="H9" s="46" t="str">
        <x:v>Carbonyls, aldehydes</x:v>
      </x:c>
      <x:c r="I9" s="46" t="str">
        <x:v>measured</x:v>
      </x:c>
      <x:c r="J9" s="46" t="str">
        <x:v>OAV_gt_1</x:v>
      </x:c>
      <x:c r="K9" s="46" t="str">
        <x:v>raw</x:v>
      </x:c>
      <x:c r="L9" s="46" t="str">
        <x:v>aroma_active_raw</x:v>
      </x:c>
      <x:c r="M9" s="46" t="str">
        <x:v>One of 10 raw-beef odorants with OAV &gt; 1 in the time-course study.</x:v>
      </x:c>
      <x:c r="N9" s="46" t="n">
        <x:v>17.3</x:v>
      </x:c>
      <x:c r="O9" s="46" t="str">
        <x:v>µg/kg</x:v>
      </x:c>
      <x:c r="P9" s="46" t="str">
        <x:v>OAV</x:v>
      </x:c>
      <x:c r="Q9" s="46"/>
      <x:c r="R9" s="46"/>
      <x:c r="S9" s="46" t="str">
        <x:v>SRC-BEEF-ROAST-001</x:v>
      </x:c>
      <x:c r="T9" s="46" t="str">
        <x:v>https://www.frontiersin.org/journals/nutrition/articles/10.3389/fnut.2022.978622/full</x:v>
      </x:c>
      <x:c r="U9" s="46" t="str">
        <x:v>no</x:v>
      </x:c>
      <x:c r="V9" s="46" t="str">
        <x:v>eligible_raw_core_v12</x:v>
      </x:c>
      <x:c r="W9" s="46"/>
      <x:c r="X9" t="str">
        <x:v>beef:muscle</x:v>
      </x:c>
      <x:c r="Y9" t="str">
        <x:v>Qinchuan hind-leg lean; fascia removed</x:v>
      </x:c>
      <x:c r="Z9" t="str">
        <x:v>active_beef_muscle</x:v>
      </x:c>
    </x:row>
    <x:row r="10" ht="26.399999618530273" hidden="0" customHeight="1">
      <x:c r="A10" s="46" t="str">
        <x:v>BP-009</x:v>
      </x:c>
      <x:c r="B10" s="46" t="str">
        <x:v>beef</x:v>
      </x:c>
      <x:c r="C10" s="46" t="str">
        <x:v>family:beef</x:v>
      </x:c>
      <x:c r="D10" s="46" t="str">
        <x:v>raw</x:v>
      </x:c>
      <x:c r="E10" s="46" t="str">
        <x:v>Qinchuan hind-leg lean; fascia removed</x:v>
      </x:c>
      <x:c r="F10" s="46" t="str">
        <x:v>methyl hexanoate</x:v>
      </x:c>
      <x:c r="G10" s="46" t="str">
        <x:v>106-70-7</x:v>
      </x:c>
      <x:c r="H10" s="46" t="str">
        <x:v>Esters</x:v>
      </x:c>
      <x:c r="I10" s="46" t="str">
        <x:v>measured</x:v>
      </x:c>
      <x:c r="J10" s="46" t="str">
        <x:v>OAV_gt_1</x:v>
      </x:c>
      <x:c r="K10" s="46" t="str">
        <x:v>raw</x:v>
      </x:c>
      <x:c r="L10" s="46" t="str">
        <x:v>aroma_active_raw</x:v>
      </x:c>
      <x:c r="M10" s="46" t="str">
        <x:v>One of 10 raw-beef odorants with OAV &gt; 1 in the time-course study.</x:v>
      </x:c>
      <x:c r="N10" s="46" t="n">
        <x:v>78.27</x:v>
      </x:c>
      <x:c r="O10" s="46" t="str">
        <x:v>µg/kg</x:v>
      </x:c>
      <x:c r="P10" s="46" t="str">
        <x:v>OAV</x:v>
      </x:c>
      <x:c r="Q10" s="46"/>
      <x:c r="R10" s="46"/>
      <x:c r="S10" s="46" t="str">
        <x:v>SRC-BEEF-ROAST-001</x:v>
      </x:c>
      <x:c r="T10" s="46" t="str">
        <x:v>https://www.frontiersin.org/journals/nutrition/articles/10.3389/fnut.2022.978622/full</x:v>
      </x:c>
      <x:c r="U10" s="46" t="str">
        <x:v>no</x:v>
      </x:c>
      <x:c r="V10" s="46" t="str">
        <x:v>eligible_raw_core_v12</x:v>
      </x:c>
      <x:c r="W10" s="46"/>
      <x:c r="X10" t="str">
        <x:v>beef:muscle</x:v>
      </x:c>
      <x:c r="Y10" t="str">
        <x:v>Qinchuan hind-leg lean; fascia removed</x:v>
      </x:c>
      <x:c r="Z10" t="str">
        <x:v>active_beef_muscle</x:v>
      </x:c>
    </x:row>
    <x:row r="11" ht="26.399999618530273" hidden="0" customHeight="1">
      <x:c r="A11" s="46" t="str">
        <x:v>BP-010</x:v>
      </x:c>
      <x:c r="B11" s="46" t="str">
        <x:v>beef</x:v>
      </x:c>
      <x:c r="C11" s="46" t="str">
        <x:v>family:beef</x:v>
      </x:c>
      <x:c r="D11" s="46" t="str">
        <x:v>raw</x:v>
      </x:c>
      <x:c r="E11" s="46" t="str">
        <x:v>Qinchuan hind-leg lean; fascia removed</x:v>
      </x:c>
      <x:c r="F11" s="46" t="str">
        <x:v>2-pentylfuran</x:v>
      </x:c>
      <x:c r="G11" s="46" t="str">
        <x:v>3777-69-3</x:v>
      </x:c>
      <x:c r="H11" s="46" t="str">
        <x:v>Furans</x:v>
      </x:c>
      <x:c r="I11" s="46" t="str">
        <x:v>measured</x:v>
      </x:c>
      <x:c r="J11" s="46" t="str">
        <x:v>OAV_gt_1</x:v>
      </x:c>
      <x:c r="K11" s="46" t="str">
        <x:v>raw</x:v>
      </x:c>
      <x:c r="L11" s="46" t="str">
        <x:v>aroma_active_raw</x:v>
      </x:c>
      <x:c r="M11" s="46" t="str">
        <x:v>One of 10 raw-beef odorants with OAV &gt; 1 in the time-course study.</x:v>
      </x:c>
      <x:c r="N11" s="46" t="n">
        <x:v>32.27</x:v>
      </x:c>
      <x:c r="O11" s="46" t="str">
        <x:v>µg/kg</x:v>
      </x:c>
      <x:c r="P11" s="46" t="str">
        <x:v>OAV</x:v>
      </x:c>
      <x:c r="Q11" s="46"/>
      <x:c r="R11" s="46"/>
      <x:c r="S11" s="46" t="str">
        <x:v>SRC-BEEF-ROAST-001</x:v>
      </x:c>
      <x:c r="T11" s="46" t="str">
        <x:v>https://www.frontiersin.org/journals/nutrition/articles/10.3389/fnut.2022.978622/full</x:v>
      </x:c>
      <x:c r="U11" s="46" t="str">
        <x:v>no</x:v>
      </x:c>
      <x:c r="V11" s="46" t="str">
        <x:v>eligible_raw_core_v12</x:v>
      </x:c>
      <x:c r="W11" s="46"/>
      <x:c r="X11" t="str">
        <x:v>beef:muscle</x:v>
      </x:c>
      <x:c r="Y11" t="str">
        <x:v>Qinchuan hind-leg lean; fascia removed</x:v>
      </x:c>
      <x:c r="Z11" t="str">
        <x:v>active_beef_muscle</x:v>
      </x:c>
    </x:row>
    <x:row r="12" ht="26.399999618530273" hidden="0" customHeight="1">
      <x:c r="A12" s="46" t="str">
        <x:v>BP-011</x:v>
      </x:c>
      <x:c r="B12" s="46" t="str">
        <x:v>beef</x:v>
      </x:c>
      <x:c r="C12" s="46" t="str">
        <x:v>family:beef</x:v>
      </x:c>
      <x:c r="D12" s="46" t="str">
        <x:v>raw</x:v>
      </x:c>
      <x:c r="E12" s="46" t="str">
        <x:v>Longissimus dorsi; marbling A1</x:v>
      </x:c>
      <x:c r="F12" s="46" t="str">
        <x:v>decanal</x:v>
      </x:c>
      <x:c r="G12" s="46" t="str">
        <x:v>112-31-2</x:v>
      </x:c>
      <x:c r="H12" s="46" t="str">
        <x:v>Carbonyls, aldehydes</x:v>
      </x:c>
      <x:c r="I12" s="46" t="str">
        <x:v>measured</x:v>
      </x:c>
      <x:c r="J12" s="46" t="str">
        <x:v>OAV_gt_1</x:v>
      </x:c>
      <x:c r="K12" s="46" t="str">
        <x:v>raw</x:v>
      </x:c>
      <x:c r="L12" s="46" t="str">
        <x:v>aroma_active_raw_marbling</x:v>
      </x:c>
      <x:c r="M12" s="46" t="str">
        <x:v>OAV ≥ 1 in A1 and A5 raw-beef groups.</x:v>
      </x:c>
      <x:c r="N12" s="46" t="n">
        <x:v>5.35</x:v>
      </x:c>
      <x:c r="O12" s="46" t="str">
        <x:v>µg/kg</x:v>
      </x:c>
      <x:c r="P12" s="46" t="str">
        <x:v>OAV</x:v>
      </x:c>
      <x:c r="Q12" s="46" t="n">
        <x:v>5.35</x:v>
      </x:c>
      <x:c r="R12" s="46"/>
      <x:c r="S12" s="46" t="str">
        <x:v>SRC-BEEF-RAW-MARBLING-001</x:v>
      </x:c>
      <x:c r="T12" s="46" t="str">
        <x:v>https://www.frontiersin.org/journals/veterinary-science/articles/10.3389/fvets.2025.1501177/full</x:v>
      </x:c>
      <x:c r="U12" s="46" t="str">
        <x:v>no</x:v>
      </x:c>
      <x:c r="V12" s="46" t="str">
        <x:v>eligible_raw_marbling_v12</x:v>
      </x:c>
      <x:c r="W12" s="46" t="str">
        <x:v>Use for abundance/OAV weighting, not as a separate breed profile.</x:v>
      </x:c>
      <x:c r="X12" t="str">
        <x:v>beef:muscle</x:v>
      </x:c>
      <x:c r="Y12" t="str">
        <x:v>Longissimus dorsi; marbling A1</x:v>
      </x:c>
      <x:c r="Z12" t="str">
        <x:v>active_beef_muscle</x:v>
      </x:c>
    </x:row>
    <x:row r="13" ht="26.399999618530273" hidden="0" customHeight="1">
      <x:c r="A13" s="46" t="str">
        <x:v>BP-012</x:v>
      </x:c>
      <x:c r="B13" s="46" t="str">
        <x:v>beef</x:v>
      </x:c>
      <x:c r="C13" s="46" t="str">
        <x:v>family:beef</x:v>
      </x:c>
      <x:c r="D13" s="46" t="str">
        <x:v>raw</x:v>
      </x:c>
      <x:c r="E13" s="46" t="str">
        <x:v>Longissimus dorsi; marbling A5</x:v>
      </x:c>
      <x:c r="F13" s="46" t="str">
        <x:v>decanal</x:v>
      </x:c>
      <x:c r="G13" s="46" t="str">
        <x:v>112-31-2</x:v>
      </x:c>
      <x:c r="H13" s="46" t="str">
        <x:v>Carbonyls, aldehydes</x:v>
      </x:c>
      <x:c r="I13" s="46" t="str">
        <x:v>measured</x:v>
      </x:c>
      <x:c r="J13" s="46" t="str">
        <x:v>OAV_gt_1</x:v>
      </x:c>
      <x:c r="K13" s="46" t="str">
        <x:v>raw</x:v>
      </x:c>
      <x:c r="L13" s="46" t="str">
        <x:v>aroma_active_raw_marbling</x:v>
      </x:c>
      <x:c r="M13" s="46" t="str">
        <x:v>OAV ≥ 1 in A1 and A5 raw-beef groups.</x:v>
      </x:c>
      <x:c r="N13" s="46" t="n">
        <x:v>7.69</x:v>
      </x:c>
      <x:c r="O13" s="46" t="str">
        <x:v>µg/kg</x:v>
      </x:c>
      <x:c r="P13" s="46" t="str">
        <x:v>OAV</x:v>
      </x:c>
      <x:c r="Q13" s="46" t="n">
        <x:v>7.69</x:v>
      </x:c>
      <x:c r="R13" s="46"/>
      <x:c r="S13" s="46" t="str">
        <x:v>SRC-BEEF-RAW-MARBLING-001</x:v>
      </x:c>
      <x:c r="T13" s="46" t="str">
        <x:v>https://www.frontiersin.org/journals/veterinary-science/articles/10.3389/fvets.2025.1501177/full</x:v>
      </x:c>
      <x:c r="U13" s="46" t="str">
        <x:v>no</x:v>
      </x:c>
      <x:c r="V13" s="46" t="str">
        <x:v>eligible_raw_marbling_v12</x:v>
      </x:c>
      <x:c r="W13" s="46" t="str">
        <x:v>Use for abundance/OAV weighting, not as a separate breed profile.</x:v>
      </x:c>
      <x:c r="X13" t="str">
        <x:v>beef:muscle</x:v>
      </x:c>
      <x:c r="Y13" t="str">
        <x:v>Longissimus dorsi; marbling A5</x:v>
      </x:c>
      <x:c r="Z13" t="str">
        <x:v>active_beef_muscle</x:v>
      </x:c>
    </x:row>
    <x:row r="14" ht="26.399999618530273" hidden="0" customHeight="1">
      <x:c r="A14" s="46" t="str">
        <x:v>BP-013</x:v>
      </x:c>
      <x:c r="B14" s="46" t="str">
        <x:v>beef</x:v>
      </x:c>
      <x:c r="C14" s="46" t="str">
        <x:v>family:beef</x:v>
      </x:c>
      <x:c r="D14" s="46" t="str">
        <x:v>raw</x:v>
      </x:c>
      <x:c r="E14" s="46" t="str">
        <x:v>Longissimus dorsi; marbling A1</x:v>
      </x:c>
      <x:c r="F14" s="46" t="str">
        <x:v>hexanal</x:v>
      </x:c>
      <x:c r="G14" s="46" t="str">
        <x:v>66-25-1</x:v>
      </x:c>
      <x:c r="H14" s="46" t="str">
        <x:v>Carbonyls, aldehydes</x:v>
      </x:c>
      <x:c r="I14" s="46" t="str">
        <x:v>measured</x:v>
      </x:c>
      <x:c r="J14" s="46" t="str">
        <x:v>OAV_gt_1</x:v>
      </x:c>
      <x:c r="K14" s="46" t="str">
        <x:v>raw</x:v>
      </x:c>
      <x:c r="L14" s="46" t="str">
        <x:v>aroma_active_raw_marbling</x:v>
      </x:c>
      <x:c r="M14" s="46" t="str">
        <x:v>OAV ≥ 1 in A1 and A5 raw-beef groups.</x:v>
      </x:c>
      <x:c r="N14" s="46" t="n">
        <x:v>14.96</x:v>
      </x:c>
      <x:c r="O14" s="46" t="str">
        <x:v>µg/kg</x:v>
      </x:c>
      <x:c r="P14" s="46" t="str">
        <x:v>OAV</x:v>
      </x:c>
      <x:c r="Q14" s="46" t="n">
        <x:v>3.32</x:v>
      </x:c>
      <x:c r="R14" s="46"/>
      <x:c r="S14" s="46" t="str">
        <x:v>SRC-BEEF-RAW-MARBLING-001</x:v>
      </x:c>
      <x:c r="T14" s="46" t="str">
        <x:v>https://www.frontiersin.org/journals/veterinary-science/articles/10.3389/fvets.2025.1501177/full</x:v>
      </x:c>
      <x:c r="U14" s="46" t="str">
        <x:v>no</x:v>
      </x:c>
      <x:c r="V14" s="46" t="str">
        <x:v>eligible_raw_marbling_v12</x:v>
      </x:c>
      <x:c r="W14" s="46" t="str">
        <x:v>Use for abundance/OAV weighting, not as a separate breed profile.</x:v>
      </x:c>
      <x:c r="X14" t="str">
        <x:v>beef:muscle</x:v>
      </x:c>
      <x:c r="Y14" t="str">
        <x:v>Longissimus dorsi; marbling A1</x:v>
      </x:c>
      <x:c r="Z14" t="str">
        <x:v>active_beef_muscle</x:v>
      </x:c>
    </x:row>
    <x:row r="15" ht="26.399999618530273" hidden="0" customHeight="1">
      <x:c r="A15" s="46" t="str">
        <x:v>BP-014</x:v>
      </x:c>
      <x:c r="B15" s="46" t="str">
        <x:v>beef</x:v>
      </x:c>
      <x:c r="C15" s="46" t="str">
        <x:v>family:beef</x:v>
      </x:c>
      <x:c r="D15" s="46" t="str">
        <x:v>raw</x:v>
      </x:c>
      <x:c r="E15" s="46" t="str">
        <x:v>Longissimus dorsi; marbling A5</x:v>
      </x:c>
      <x:c r="F15" s="46" t="str">
        <x:v>hexanal</x:v>
      </x:c>
      <x:c r="G15" s="46" t="str">
        <x:v>66-25-1</x:v>
      </x:c>
      <x:c r="H15" s="46" t="str">
        <x:v>Carbonyls, aldehydes</x:v>
      </x:c>
      <x:c r="I15" s="46" t="str">
        <x:v>measured</x:v>
      </x:c>
      <x:c r="J15" s="46" t="str">
        <x:v>OAV_gt_1</x:v>
      </x:c>
      <x:c r="K15" s="46" t="str">
        <x:v>raw</x:v>
      </x:c>
      <x:c r="L15" s="46" t="str">
        <x:v>aroma_active_raw_marbling</x:v>
      </x:c>
      <x:c r="M15" s="46" t="str">
        <x:v>OAV ≥ 1 in A1 and A5 raw-beef groups.</x:v>
      </x:c>
      <x:c r="N15" s="46" t="n">
        <x:v>21.38</x:v>
      </x:c>
      <x:c r="O15" s="46" t="str">
        <x:v>µg/kg</x:v>
      </x:c>
      <x:c r="P15" s="46" t="str">
        <x:v>OAV</x:v>
      </x:c>
      <x:c r="Q15" s="46" t="n">
        <x:v>4.75</x:v>
      </x:c>
      <x:c r="R15" s="46"/>
      <x:c r="S15" s="46" t="str">
        <x:v>SRC-BEEF-RAW-MARBLING-001</x:v>
      </x:c>
      <x:c r="T15" s="46" t="str">
        <x:v>https://www.frontiersin.org/journals/veterinary-science/articles/10.3389/fvets.2025.1501177/full</x:v>
      </x:c>
      <x:c r="U15" s="46" t="str">
        <x:v>no</x:v>
      </x:c>
      <x:c r="V15" s="46" t="str">
        <x:v>eligible_raw_marbling_v12</x:v>
      </x:c>
      <x:c r="W15" s="46" t="str">
        <x:v>Use for abundance/OAV weighting, not as a separate breed profile.</x:v>
      </x:c>
      <x:c r="X15" t="str">
        <x:v>beef:muscle</x:v>
      </x:c>
      <x:c r="Y15" t="str">
        <x:v>Longissimus dorsi; marbling A5</x:v>
      </x:c>
      <x:c r="Z15" t="str">
        <x:v>active_beef_muscle</x:v>
      </x:c>
    </x:row>
    <x:row r="16" ht="26.399999618530273" hidden="0" customHeight="1">
      <x:c r="A16" s="46" t="str">
        <x:v>BP-015</x:v>
      </x:c>
      <x:c r="B16" s="46" t="str">
        <x:v>beef</x:v>
      </x:c>
      <x:c r="C16" s="46" t="str">
        <x:v>family:beef</x:v>
      </x:c>
      <x:c r="D16" s="46" t="str">
        <x:v>raw</x:v>
      </x:c>
      <x:c r="E16" s="46" t="str">
        <x:v>Longissimus dorsi; marbling A1</x:v>
      </x:c>
      <x:c r="F16" s="46" t="str">
        <x:v>nonanal</x:v>
      </x:c>
      <x:c r="G16" s="46" t="str">
        <x:v>124-19-6</x:v>
      </x:c>
      <x:c r="H16" s="46" t="str">
        <x:v>Carbonyls, aldehydes</x:v>
      </x:c>
      <x:c r="I16" s="46" t="str">
        <x:v>measured</x:v>
      </x:c>
      <x:c r="J16" s="46" t="str">
        <x:v>OAV_gt_1</x:v>
      </x:c>
      <x:c r="K16" s="46" t="str">
        <x:v>raw</x:v>
      </x:c>
      <x:c r="L16" s="46" t="str">
        <x:v>aroma_active_raw_marbling</x:v>
      </x:c>
      <x:c r="M16" s="46" t="str">
        <x:v>OAV ≥ 1 in A1 and A5 raw-beef groups.</x:v>
      </x:c>
      <x:c r="N16" s="46" t="n">
        <x:v>48.19</x:v>
      </x:c>
      <x:c r="O16" s="46" t="str">
        <x:v>µg/kg</x:v>
      </x:c>
      <x:c r="P16" s="46" t="str">
        <x:v>OAV</x:v>
      </x:c>
      <x:c r="Q16" s="46" t="n">
        <x:v>48.19</x:v>
      </x:c>
      <x:c r="R16" s="46"/>
      <x:c r="S16" s="46" t="str">
        <x:v>SRC-BEEF-RAW-MARBLING-001</x:v>
      </x:c>
      <x:c r="T16" s="46" t="str">
        <x:v>https://www.frontiersin.org/journals/veterinary-science/articles/10.3389/fvets.2025.1501177/full</x:v>
      </x:c>
      <x:c r="U16" s="46" t="str">
        <x:v>no</x:v>
      </x:c>
      <x:c r="V16" s="46" t="str">
        <x:v>eligible_raw_marbling_v12</x:v>
      </x:c>
      <x:c r="W16" s="46" t="str">
        <x:v>Use for abundance/OAV weighting, not as a separate breed profile.</x:v>
      </x:c>
      <x:c r="X16" t="str">
        <x:v>beef:muscle</x:v>
      </x:c>
      <x:c r="Y16" t="str">
        <x:v>Longissimus dorsi; marbling A1</x:v>
      </x:c>
      <x:c r="Z16" t="str">
        <x:v>active_beef_muscle</x:v>
      </x:c>
    </x:row>
    <x:row r="17" ht="26.399999618530273" hidden="0" customHeight="1">
      <x:c r="A17" s="46" t="str">
        <x:v>BP-016</x:v>
      </x:c>
      <x:c r="B17" s="46" t="str">
        <x:v>beef</x:v>
      </x:c>
      <x:c r="C17" s="46" t="str">
        <x:v>family:beef</x:v>
      </x:c>
      <x:c r="D17" s="46" t="str">
        <x:v>raw</x:v>
      </x:c>
      <x:c r="E17" s="46" t="str">
        <x:v>Longissimus dorsi; marbling A5</x:v>
      </x:c>
      <x:c r="F17" s="46" t="str">
        <x:v>nonanal</x:v>
      </x:c>
      <x:c r="G17" s="46" t="str">
        <x:v>124-19-6</x:v>
      </x:c>
      <x:c r="H17" s="46" t="str">
        <x:v>Carbonyls, aldehydes</x:v>
      </x:c>
      <x:c r="I17" s="46" t="str">
        <x:v>measured</x:v>
      </x:c>
      <x:c r="J17" s="46" t="str">
        <x:v>OAV_gt_1</x:v>
      </x:c>
      <x:c r="K17" s="46" t="str">
        <x:v>raw</x:v>
      </x:c>
      <x:c r="L17" s="46" t="str">
        <x:v>aroma_active_raw_marbling</x:v>
      </x:c>
      <x:c r="M17" s="46" t="str">
        <x:v>OAV ≥ 1 in A1 and A5 raw-beef groups.</x:v>
      </x:c>
      <x:c r="N17" s="46" t="n">
        <x:v>41.46</x:v>
      </x:c>
      <x:c r="O17" s="46" t="str">
        <x:v>µg/kg</x:v>
      </x:c>
      <x:c r="P17" s="46" t="str">
        <x:v>OAV</x:v>
      </x:c>
      <x:c r="Q17" s="46" t="n">
        <x:v>41.46</x:v>
      </x:c>
      <x:c r="R17" s="46"/>
      <x:c r="S17" s="46" t="str">
        <x:v>SRC-BEEF-RAW-MARBLING-001</x:v>
      </x:c>
      <x:c r="T17" s="46" t="str">
        <x:v>https://www.frontiersin.org/journals/veterinary-science/articles/10.3389/fvets.2025.1501177/full</x:v>
      </x:c>
      <x:c r="U17" s="46" t="str">
        <x:v>no</x:v>
      </x:c>
      <x:c r="V17" s="46" t="str">
        <x:v>eligible_raw_marbling_v12</x:v>
      </x:c>
      <x:c r="W17" s="46" t="str">
        <x:v>Use for abundance/OAV weighting, not as a separate breed profile.</x:v>
      </x:c>
      <x:c r="X17" t="str">
        <x:v>beef:muscle</x:v>
      </x:c>
      <x:c r="Y17" t="str">
        <x:v>Longissimus dorsi; marbling A5</x:v>
      </x:c>
      <x:c r="Z17" t="str">
        <x:v>active_beef_muscle</x:v>
      </x:c>
    </x:row>
    <x:row r="18" ht="26.399999618530273" hidden="0" customHeight="1">
      <x:c r="A18" s="46" t="str">
        <x:v>BP-017</x:v>
      </x:c>
      <x:c r="B18" s="46" t="str">
        <x:v>beef</x:v>
      </x:c>
      <x:c r="C18" s="46" t="str">
        <x:v>family:beef</x:v>
      </x:c>
      <x:c r="D18" s="46" t="str">
        <x:v>raw</x:v>
      </x:c>
      <x:c r="E18" s="46" t="str">
        <x:v>Longissimus dorsi; marbling A1</x:v>
      </x:c>
      <x:c r="F18" s="46" t="str">
        <x:v>1-heptanol</x:v>
      </x:c>
      <x:c r="G18" s="46" t="str">
        <x:v>111-70-6</x:v>
      </x:c>
      <x:c r="H18" s="46" t="str">
        <x:v>Alcohols</x:v>
      </x:c>
      <x:c r="I18" s="46" t="str">
        <x:v>measured</x:v>
      </x:c>
      <x:c r="J18" s="46" t="str">
        <x:v>OAV_gt_1</x:v>
      </x:c>
      <x:c r="K18" s="46" t="str">
        <x:v>raw</x:v>
      </x:c>
      <x:c r="L18" s="46" t="str">
        <x:v>aroma_active_raw_marbling</x:v>
      </x:c>
      <x:c r="M18" s="46" t="str">
        <x:v>OAV ≥ 1 in A1 and A5 raw-beef groups.</x:v>
      </x:c>
      <x:c r="N18" s="46" t="n">
        <x:v>4.31</x:v>
      </x:c>
      <x:c r="O18" s="46" t="str">
        <x:v>µg/kg</x:v>
      </x:c>
      <x:c r="P18" s="46" t="str">
        <x:v>OAV</x:v>
      </x:c>
      <x:c r="Q18" s="46" t="n">
        <x:v>1.44</x:v>
      </x:c>
      <x:c r="R18" s="46"/>
      <x:c r="S18" s="46" t="str">
        <x:v>SRC-BEEF-RAW-MARBLING-001</x:v>
      </x:c>
      <x:c r="T18" s="46" t="str">
        <x:v>https://www.frontiersin.org/journals/veterinary-science/articles/10.3389/fvets.2025.1501177/full</x:v>
      </x:c>
      <x:c r="U18" s="46" t="str">
        <x:v>no</x:v>
      </x:c>
      <x:c r="V18" s="46" t="str">
        <x:v>eligible_raw_marbling_v12</x:v>
      </x:c>
      <x:c r="W18" s="46" t="str">
        <x:v>Use for abundance/OAV weighting, not as a separate breed profile.</x:v>
      </x:c>
      <x:c r="X18" t="str">
        <x:v>beef:muscle</x:v>
      </x:c>
      <x:c r="Y18" t="str">
        <x:v>Longissimus dorsi; marbling A1</x:v>
      </x:c>
      <x:c r="Z18" t="str">
        <x:v>active_beef_muscle</x:v>
      </x:c>
    </x:row>
    <x:row r="19" ht="26.399999618530273" hidden="0" customHeight="1">
      <x:c r="A19" s="46" t="str">
        <x:v>BP-018</x:v>
      </x:c>
      <x:c r="B19" s="46" t="str">
        <x:v>beef</x:v>
      </x:c>
      <x:c r="C19" s="46" t="str">
        <x:v>family:beef</x:v>
      </x:c>
      <x:c r="D19" s="46" t="str">
        <x:v>raw</x:v>
      </x:c>
      <x:c r="E19" s="46" t="str">
        <x:v>Longissimus dorsi; marbling A5</x:v>
      </x:c>
      <x:c r="F19" s="46" t="str">
        <x:v>1-heptanol</x:v>
      </x:c>
      <x:c r="G19" s="46" t="str">
        <x:v>111-70-6</x:v>
      </x:c>
      <x:c r="H19" s="46" t="str">
        <x:v>Alcohols</x:v>
      </x:c>
      <x:c r="I19" s="46" t="str">
        <x:v>measured</x:v>
      </x:c>
      <x:c r="J19" s="46" t="str">
        <x:v>OAV_gt_1</x:v>
      </x:c>
      <x:c r="K19" s="46" t="str">
        <x:v>raw</x:v>
      </x:c>
      <x:c r="L19" s="46" t="str">
        <x:v>aroma_active_raw_marbling</x:v>
      </x:c>
      <x:c r="M19" s="46" t="str">
        <x:v>OAV ≥ 1 in A1 and A5 raw-beef groups.</x:v>
      </x:c>
      <x:c r="N19" s="46" t="n">
        <x:v>20.74</x:v>
      </x:c>
      <x:c r="O19" s="46" t="str">
        <x:v>µg/kg</x:v>
      </x:c>
      <x:c r="P19" s="46" t="str">
        <x:v>OAV</x:v>
      </x:c>
      <x:c r="Q19" s="46" t="n">
        <x:v>6.91</x:v>
      </x:c>
      <x:c r="R19" s="46"/>
      <x:c r="S19" s="46" t="str">
        <x:v>SRC-BEEF-RAW-MARBLING-001</x:v>
      </x:c>
      <x:c r="T19" s="46" t="str">
        <x:v>https://www.frontiersin.org/journals/veterinary-science/articles/10.3389/fvets.2025.1501177/full</x:v>
      </x:c>
      <x:c r="U19" s="46" t="str">
        <x:v>no</x:v>
      </x:c>
      <x:c r="V19" s="46" t="str">
        <x:v>eligible_raw_marbling_v12</x:v>
      </x:c>
      <x:c r="W19" s="46" t="str">
        <x:v>Use for abundance/OAV weighting, not as a separate breed profile.</x:v>
      </x:c>
      <x:c r="X19" t="str">
        <x:v>beef:muscle</x:v>
      </x:c>
      <x:c r="Y19" t="str">
        <x:v>Longissimus dorsi; marbling A5</x:v>
      </x:c>
      <x:c r="Z19" t="str">
        <x:v>active_beef_muscle</x:v>
      </x:c>
    </x:row>
    <x:row r="20" ht="26.399999618530273" hidden="0" customHeight="1">
      <x:c r="A20" s="46" t="str">
        <x:v>BP-019</x:v>
      </x:c>
      <x:c r="B20" s="46" t="str">
        <x:v>beef</x:v>
      </x:c>
      <x:c r="C20" s="46" t="str">
        <x:v>family:beef</x:v>
      </x:c>
      <x:c r="D20" s="46" t="str">
        <x:v>raw</x:v>
      </x:c>
      <x:c r="E20" s="46" t="str">
        <x:v>Longissimus dorsi; marbling A1</x:v>
      </x:c>
      <x:c r="F20" s="46" t="str">
        <x:v>1-octen-3-ol</x:v>
      </x:c>
      <x:c r="G20" s="46" t="str">
        <x:v>3391-86-4</x:v>
      </x:c>
      <x:c r="H20" s="46" t="str">
        <x:v>Alcohols</x:v>
      </x:c>
      <x:c r="I20" s="46" t="str">
        <x:v>measured</x:v>
      </x:c>
      <x:c r="J20" s="46" t="str">
        <x:v>OAV_gt_1</x:v>
      </x:c>
      <x:c r="K20" s="46" t="str">
        <x:v>raw</x:v>
      </x:c>
      <x:c r="L20" s="46" t="str">
        <x:v>aroma_active_raw_marbling</x:v>
      </x:c>
      <x:c r="M20" s="46" t="str">
        <x:v>OAV ≥ 1 in A1 and A5 raw-beef groups.</x:v>
      </x:c>
      <x:c r="N20" s="46" t="n">
        <x:v>39.34</x:v>
      </x:c>
      <x:c r="O20" s="46" t="str">
        <x:v>µg/kg</x:v>
      </x:c>
      <x:c r="P20" s="46" t="str">
        <x:v>OAV</x:v>
      </x:c>
      <x:c r="Q20" s="46" t="n">
        <x:v>1.57</x:v>
      </x:c>
      <x:c r="R20" s="46"/>
      <x:c r="S20" s="46" t="str">
        <x:v>SRC-BEEF-RAW-MARBLING-001</x:v>
      </x:c>
      <x:c r="T20" s="46" t="str">
        <x:v>https://www.frontiersin.org/journals/veterinary-science/articles/10.3389/fvets.2025.1501177/full</x:v>
      </x:c>
      <x:c r="U20" s="46" t="str">
        <x:v>no</x:v>
      </x:c>
      <x:c r="V20" s="46" t="str">
        <x:v>eligible_raw_marbling_v12</x:v>
      </x:c>
      <x:c r="W20" s="46" t="str">
        <x:v>Use for abundance/OAV weighting, not as a separate breed profile.</x:v>
      </x:c>
      <x:c r="X20" t="str">
        <x:v>beef:muscle</x:v>
      </x:c>
      <x:c r="Y20" t="str">
        <x:v>Longissimus dorsi; marbling A1</x:v>
      </x:c>
      <x:c r="Z20" t="str">
        <x:v>active_beef_muscle</x:v>
      </x:c>
    </x:row>
    <x:row r="21" ht="26.399999618530273" hidden="0" customHeight="1">
      <x:c r="A21" s="46" t="str">
        <x:v>BP-020</x:v>
      </x:c>
      <x:c r="B21" s="46" t="str">
        <x:v>beef</x:v>
      </x:c>
      <x:c r="C21" s="46" t="str">
        <x:v>family:beef</x:v>
      </x:c>
      <x:c r="D21" s="46" t="str">
        <x:v>raw</x:v>
      </x:c>
      <x:c r="E21" s="46" t="str">
        <x:v>Longissimus dorsi; marbling A5</x:v>
      </x:c>
      <x:c r="F21" s="46" t="str">
        <x:v>1-octen-3-ol</x:v>
      </x:c>
      <x:c r="G21" s="46" t="str">
        <x:v>3391-86-4</x:v>
      </x:c>
      <x:c r="H21" s="46" t="str">
        <x:v>Alcohols</x:v>
      </x:c>
      <x:c r="I21" s="46" t="str">
        <x:v>measured</x:v>
      </x:c>
      <x:c r="J21" s="46" t="str">
        <x:v>OAV_gt_1</x:v>
      </x:c>
      <x:c r="K21" s="46" t="str">
        <x:v>raw</x:v>
      </x:c>
      <x:c r="L21" s="46" t="str">
        <x:v>aroma_active_raw_marbling</x:v>
      </x:c>
      <x:c r="M21" s="46" t="str">
        <x:v>OAV ≥ 1 in A1 and A5 raw-beef groups.</x:v>
      </x:c>
      <x:c r="N21" s="46" t="n">
        <x:v>139.45</x:v>
      </x:c>
      <x:c r="O21" s="46" t="str">
        <x:v>µg/kg</x:v>
      </x:c>
      <x:c r="P21" s="46" t="str">
        <x:v>OAV</x:v>
      </x:c>
      <x:c r="Q21" s="46" t="n">
        <x:v>5.58</x:v>
      </x:c>
      <x:c r="R21" s="46"/>
      <x:c r="S21" s="46" t="str">
        <x:v>SRC-BEEF-RAW-MARBLING-001</x:v>
      </x:c>
      <x:c r="T21" s="46" t="str">
        <x:v>https://www.frontiersin.org/journals/veterinary-science/articles/10.3389/fvets.2025.1501177/full</x:v>
      </x:c>
      <x:c r="U21" s="46" t="str">
        <x:v>no</x:v>
      </x:c>
      <x:c r="V21" s="46" t="str">
        <x:v>eligible_raw_marbling_v12</x:v>
      </x:c>
      <x:c r="W21" s="46" t="str">
        <x:v>Use for abundance/OAV weighting, not as a separate breed profile.</x:v>
      </x:c>
      <x:c r="X21" t="str">
        <x:v>beef:muscle</x:v>
      </x:c>
      <x:c r="Y21" t="str">
        <x:v>Longissimus dorsi; marbling A5</x:v>
      </x:c>
      <x:c r="Z21" t="str">
        <x:v>active_beef_muscle</x:v>
      </x:c>
    </x:row>
    <x:row r="22" ht="26.399999618530273" hidden="0" customHeight="1">
      <x:c r="A22" s="46" t="str">
        <x:v>BP-021</x:v>
      </x:c>
      <x:c r="B22" s="46" t="str">
        <x:v>beef</x:v>
      </x:c>
      <x:c r="C22" s="46" t="str">
        <x:v>family:beef</x:v>
      </x:c>
      <x:c r="D22" s="46" t="str">
        <x:v>raw</x:v>
      </x:c>
      <x:c r="E22" s="46" t="str">
        <x:v>Longissimus dorsi; marbling A1</x:v>
      </x:c>
      <x:c r="F22" s="46" t="str">
        <x:v>1-pentanol</x:v>
      </x:c>
      <x:c r="G22" s="46" t="str">
        <x:v>71-41-0</x:v>
      </x:c>
      <x:c r="H22" s="46" t="str">
        <x:v>Alcohols</x:v>
      </x:c>
      <x:c r="I22" s="46" t="str">
        <x:v>measured</x:v>
      </x:c>
      <x:c r="J22" s="46" t="str">
        <x:v>OAV_gt_1</x:v>
      </x:c>
      <x:c r="K22" s="46" t="str">
        <x:v>raw</x:v>
      </x:c>
      <x:c r="L22" s="46" t="str">
        <x:v>aroma_active_raw_marbling</x:v>
      </x:c>
      <x:c r="M22" s="46" t="str">
        <x:v>OAV ≥ 1 in A1 and A5 raw-beef groups.</x:v>
      </x:c>
      <x:c r="N22" s="46" t="n">
        <x:v>29.84</x:v>
      </x:c>
      <x:c r="O22" s="46" t="str">
        <x:v>µg/kg</x:v>
      </x:c>
      <x:c r="P22" s="46" t="str">
        <x:v>OAV</x:v>
      </x:c>
      <x:c r="Q22" s="46" t="n">
        <x:v>34.7</x:v>
      </x:c>
      <x:c r="R22" s="46"/>
      <x:c r="S22" s="46" t="str">
        <x:v>SRC-BEEF-RAW-MARBLING-001</x:v>
      </x:c>
      <x:c r="T22" s="46" t="str">
        <x:v>https://www.frontiersin.org/journals/veterinary-science/articles/10.3389/fvets.2025.1501177/full</x:v>
      </x:c>
      <x:c r="U22" s="46" t="str">
        <x:v>no</x:v>
      </x:c>
      <x:c r="V22" s="46" t="str">
        <x:v>eligible_raw_marbling_v12</x:v>
      </x:c>
      <x:c r="W22" s="46" t="str">
        <x:v>Use for abundance/OAV weighting, not as a separate breed profile.</x:v>
      </x:c>
      <x:c r="X22" t="str">
        <x:v>beef:muscle</x:v>
      </x:c>
      <x:c r="Y22" t="str">
        <x:v>Longissimus dorsi; marbling A1</x:v>
      </x:c>
      <x:c r="Z22" t="str">
        <x:v>active_beef_muscle</x:v>
      </x:c>
    </x:row>
    <x:row r="23" ht="26.399999618530273" hidden="0" customHeight="1">
      <x:c r="A23" s="46" t="str">
        <x:v>BP-022</x:v>
      </x:c>
      <x:c r="B23" s="46" t="str">
        <x:v>beef</x:v>
      </x:c>
      <x:c r="C23" s="46" t="str">
        <x:v>family:beef</x:v>
      </x:c>
      <x:c r="D23" s="46" t="str">
        <x:v>raw</x:v>
      </x:c>
      <x:c r="E23" s="46" t="str">
        <x:v>Longissimus dorsi; marbling A5</x:v>
      </x:c>
      <x:c r="F23" s="46" t="str">
        <x:v>1-pentanol</x:v>
      </x:c>
      <x:c r="G23" s="46" t="str">
        <x:v>71-41-0</x:v>
      </x:c>
      <x:c r="H23" s="46" t="str">
        <x:v>Alcohols</x:v>
      </x:c>
      <x:c r="I23" s="46" t="str">
        <x:v>measured</x:v>
      </x:c>
      <x:c r="J23" s="46" t="str">
        <x:v>OAV_gt_1</x:v>
      </x:c>
      <x:c r="K23" s="46" t="str">
        <x:v>raw</x:v>
      </x:c>
      <x:c r="L23" s="46" t="str">
        <x:v>aroma_active_raw_marbling</x:v>
      </x:c>
      <x:c r="M23" s="46" t="str">
        <x:v>OAV ≥ 1 in A1 and A5 raw-beef groups.</x:v>
      </x:c>
      <x:c r="N23" s="46" t="n">
        <x:v>16.33</x:v>
      </x:c>
      <x:c r="O23" s="46" t="str">
        <x:v>µg/kg</x:v>
      </x:c>
      <x:c r="P23" s="46" t="str">
        <x:v>OAV</x:v>
      </x:c>
      <x:c r="Q23" s="46" t="n">
        <x:v>18.99</x:v>
      </x:c>
      <x:c r="R23" s="46"/>
      <x:c r="S23" s="46" t="str">
        <x:v>SRC-BEEF-RAW-MARBLING-001</x:v>
      </x:c>
      <x:c r="T23" s="46" t="str">
        <x:v>https://www.frontiersin.org/journals/veterinary-science/articles/10.3389/fvets.2025.1501177/full</x:v>
      </x:c>
      <x:c r="U23" s="46" t="str">
        <x:v>no</x:v>
      </x:c>
      <x:c r="V23" s="46" t="str">
        <x:v>eligible_raw_marbling_v12</x:v>
      </x:c>
      <x:c r="W23" s="46" t="str">
        <x:v>Use for abundance/OAV weighting, not as a separate breed profile.</x:v>
      </x:c>
      <x:c r="X23" t="str">
        <x:v>beef:muscle</x:v>
      </x:c>
      <x:c r="Y23" t="str">
        <x:v>Longissimus dorsi; marbling A5</x:v>
      </x:c>
      <x:c r="Z23" t="str">
        <x:v>active_beef_muscle</x:v>
      </x:c>
    </x:row>
    <x:row r="24" ht="26.399999618530273" hidden="0" customHeight="1">
      <x:c r="A24" s="46" t="str">
        <x:v>BP-023</x:v>
      </x:c>
      <x:c r="B24" s="46" t="str">
        <x:v>beef</x:v>
      </x:c>
      <x:c r="C24" s="46" t="str">
        <x:v>family:beef</x:v>
      </x:c>
      <x:c r="D24" s="46" t="str">
        <x:v>raw</x:v>
      </x:c>
      <x:c r="E24" s="46" t="str">
        <x:v>Longissimus dorsi; marbling A1</x:v>
      </x:c>
      <x:c r="F24" s="46" t="str">
        <x:v>methyl hexanoate</x:v>
      </x:c>
      <x:c r="G24" s="46" t="str">
        <x:v>106-70-7</x:v>
      </x:c>
      <x:c r="H24" s="46" t="str">
        <x:v>Esters</x:v>
      </x:c>
      <x:c r="I24" s="46" t="str">
        <x:v>measured</x:v>
      </x:c>
      <x:c r="J24" s="46" t="str">
        <x:v>OAV_gt_1</x:v>
      </x:c>
      <x:c r="K24" s="46" t="str">
        <x:v>raw</x:v>
      </x:c>
      <x:c r="L24" s="46" t="str">
        <x:v>aroma_active_raw_marbling</x:v>
      </x:c>
      <x:c r="M24" s="46" t="str">
        <x:v>OAV ≥ 1 in A1 and A5 raw-beef groups.</x:v>
      </x:c>
      <x:c r="N24" s="46" t="n">
        <x:v>61.35</x:v>
      </x:c>
      <x:c r="O24" s="46" t="str">
        <x:v>µg/kg</x:v>
      </x:c>
      <x:c r="P24" s="46" t="str">
        <x:v>OAV</x:v>
      </x:c>
      <x:c r="Q24" s="46" t="n">
        <x:v>2.27</x:v>
      </x:c>
      <x:c r="R24" s="46"/>
      <x:c r="S24" s="46" t="str">
        <x:v>SRC-BEEF-RAW-MARBLING-001</x:v>
      </x:c>
      <x:c r="T24" s="46" t="str">
        <x:v>https://www.frontiersin.org/journals/veterinary-science/articles/10.3389/fvets.2025.1501177/full</x:v>
      </x:c>
      <x:c r="U24" s="46" t="str">
        <x:v>no</x:v>
      </x:c>
      <x:c r="V24" s="46" t="str">
        <x:v>eligible_raw_marbling_v12</x:v>
      </x:c>
      <x:c r="W24" s="46" t="str">
        <x:v>Use for abundance/OAV weighting, not as a separate breed profile.</x:v>
      </x:c>
      <x:c r="X24" t="str">
        <x:v>beef:muscle</x:v>
      </x:c>
      <x:c r="Y24" t="str">
        <x:v>Longissimus dorsi; marbling A1</x:v>
      </x:c>
      <x:c r="Z24" t="str">
        <x:v>active_beef_muscle</x:v>
      </x:c>
    </x:row>
    <x:row r="25" ht="26.399999618530273" hidden="0" customHeight="1">
      <x:c r="A25" s="46" t="str">
        <x:v>BP-024</x:v>
      </x:c>
      <x:c r="B25" s="46" t="str">
        <x:v>beef</x:v>
      </x:c>
      <x:c r="C25" s="46" t="str">
        <x:v>family:beef</x:v>
      </x:c>
      <x:c r="D25" s="46" t="str">
        <x:v>raw</x:v>
      </x:c>
      <x:c r="E25" s="46" t="str">
        <x:v>Longissimus dorsi; marbling A5</x:v>
      </x:c>
      <x:c r="F25" s="46" t="str">
        <x:v>methyl hexanoate</x:v>
      </x:c>
      <x:c r="G25" s="46" t="str">
        <x:v>106-70-7</x:v>
      </x:c>
      <x:c r="H25" s="46" t="str">
        <x:v>Esters</x:v>
      </x:c>
      <x:c r="I25" s="46" t="str">
        <x:v>measured</x:v>
      </x:c>
      <x:c r="J25" s="46" t="str">
        <x:v>OAV_gt_1</x:v>
      </x:c>
      <x:c r="K25" s="46" t="str">
        <x:v>raw</x:v>
      </x:c>
      <x:c r="L25" s="46" t="str">
        <x:v>aroma_active_raw_marbling</x:v>
      </x:c>
      <x:c r="M25" s="46" t="str">
        <x:v>OAV ≥ 1 in A1 and A5 raw-beef groups.</x:v>
      </x:c>
      <x:c r="N25" s="46" t="n">
        <x:v>97.57</x:v>
      </x:c>
      <x:c r="O25" s="46" t="str">
        <x:v>µg/kg</x:v>
      </x:c>
      <x:c r="P25" s="46" t="str">
        <x:v>OAV</x:v>
      </x:c>
      <x:c r="Q25" s="46" t="n">
        <x:v>3.61</x:v>
      </x:c>
      <x:c r="R25" s="46"/>
      <x:c r="S25" s="46" t="str">
        <x:v>SRC-BEEF-RAW-MARBLING-001</x:v>
      </x:c>
      <x:c r="T25" s="46" t="str">
        <x:v>https://www.frontiersin.org/journals/veterinary-science/articles/10.3389/fvets.2025.1501177/full</x:v>
      </x:c>
      <x:c r="U25" s="46" t="str">
        <x:v>no</x:v>
      </x:c>
      <x:c r="V25" s="46" t="str">
        <x:v>eligible_raw_marbling_v12</x:v>
      </x:c>
      <x:c r="W25" s="46" t="str">
        <x:v>Use for abundance/OAV weighting, not as a separate breed profile.</x:v>
      </x:c>
      <x:c r="X25" t="str">
        <x:v>beef:muscle</x:v>
      </x:c>
      <x:c r="Y25" t="str">
        <x:v>Longissimus dorsi; marbling A5</x:v>
      </x:c>
      <x:c r="Z25" t="str">
        <x:v>active_beef_muscle</x:v>
      </x:c>
    </x:row>
    <x:row r="26" ht="26.399999618530273" hidden="0" customHeight="1">
      <x:c r="A26" s="46" t="str">
        <x:v>BP-025</x:v>
      </x:c>
      <x:c r="B26" s="46" t="str">
        <x:v>beef</x:v>
      </x:c>
      <x:c r="C26" s="46" t="str">
        <x:v>family:beef</x:v>
      </x:c>
      <x:c r="D26" s="46" t="str">
        <x:v>roasted</x:v>
      </x:c>
      <x:c r="E26" s="46" t="str">
        <x:v>Qinchuan hind-leg lean; 250°C oven; 6 min</x:v>
      </x:c>
      <x:c r="F26" s="46" t="str">
        <x:v>1-heptanol</x:v>
      </x:c>
      <x:c r="G26" s="46" t="str">
        <x:v>111-70-6</x:v>
      </x:c>
      <x:c r="H26" s="46" t="str">
        <x:v>Alcohols</x:v>
      </x:c>
      <x:c r="I26" s="46" t="str">
        <x:v>measured</x:v>
      </x:c>
      <x:c r="J26" s="46" t="str">
        <x:v>OAV_gt_1</x:v>
      </x:c>
      <x:c r="K26" s="46" t="str">
        <x:v>roasted_6min</x:v>
      </x:c>
      <x:c r="L26" s="46" t="str">
        <x:v>aroma_active_high_heat</x:v>
      </x:c>
      <x:c r="M26" s="46" t="str">
        <x:v>One of eight 6-min roast odorants with OAV &gt; 1.</x:v>
      </x:c>
      <x:c r="N26" s="46" t="n">
        <x:v>14.02</x:v>
      </x:c>
      <x:c r="O26" s="46" t="str">
        <x:v>µg/kg</x:v>
      </x:c>
      <x:c r="P26" s="46" t="str">
        <x:v>OAV</x:v>
      </x:c>
      <x:c r="Q26" s="46"/>
      <x:c r="R26" s="46"/>
      <x:c r="S26" s="46" t="str">
        <x:v>SRC-BEEF-ROAST-001</x:v>
      </x:c>
      <x:c r="T26" s="46" t="str">
        <x:v>https://www.frontiersin.org/journals/nutrition/articles/10.3389/fnut.2022.978622/full</x:v>
      </x:c>
      <x:c r="U26" s="46" t="str">
        <x:v>no</x:v>
      </x:c>
      <x:c r="V26" s="46" t="str">
        <x:v>eligible_roast_core_v12</x:v>
      </x:c>
      <x:c r="W26" s="46" t="str">
        <x:v>Exact OAV retained only where available in extracted primary table; blank values are not inferred.</x:v>
      </x:c>
      <x:c r="X26" t="str">
        <x:v>beef:muscle</x:v>
      </x:c>
      <x:c r="Y26" t="str">
        <x:v>Qinchuan hind-leg lean; 250°C oven; 6 min</x:v>
      </x:c>
      <x:c r="Z26" t="str">
        <x:v>active_beef_muscle</x:v>
      </x:c>
    </x:row>
    <x:row r="27" ht="26.399999618530273" hidden="0" customHeight="1">
      <x:c r="A27" s="46" t="str">
        <x:v>BP-026</x:v>
      </x:c>
      <x:c r="B27" s="46" t="str">
        <x:v>beef</x:v>
      </x:c>
      <x:c r="C27" s="46" t="str">
        <x:v>family:beef</x:v>
      </x:c>
      <x:c r="D27" s="46" t="str">
        <x:v>roasted</x:v>
      </x:c>
      <x:c r="E27" s="46" t="str">
        <x:v>Qinchuan hind-leg lean; 250°C oven; 6 min</x:v>
      </x:c>
      <x:c r="F27" s="46" t="str">
        <x:v>1-octen-3-ol</x:v>
      </x:c>
      <x:c r="G27" s="46" t="str">
        <x:v>3391-86-4</x:v>
      </x:c>
      <x:c r="H27" s="46" t="str">
        <x:v>Alcohols</x:v>
      </x:c>
      <x:c r="I27" s="46" t="str">
        <x:v>measured</x:v>
      </x:c>
      <x:c r="J27" s="46" t="str">
        <x:v>OAV_gt_1</x:v>
      </x:c>
      <x:c r="K27" s="46" t="str">
        <x:v>roasted_6min</x:v>
      </x:c>
      <x:c r="L27" s="46" t="str">
        <x:v>aroma_active_high_heat</x:v>
      </x:c>
      <x:c r="M27" s="46" t="str">
        <x:v>One of eight 6-min roast odorants with OAV &gt; 1.</x:v>
      </x:c>
      <x:c r="N27" s="46" t="n">
        <x:v>279.37</x:v>
      </x:c>
      <x:c r="O27" s="46" t="str">
        <x:v>µg/kg</x:v>
      </x:c>
      <x:c r="P27" s="46" t="str">
        <x:v>OAV</x:v>
      </x:c>
      <x:c r="Q27" s="46"/>
      <x:c r="R27" s="46"/>
      <x:c r="S27" s="46" t="str">
        <x:v>SRC-BEEF-ROAST-001</x:v>
      </x:c>
      <x:c r="T27" s="46" t="str">
        <x:v>https://www.frontiersin.org/journals/nutrition/articles/10.3389/fnut.2022.978622/full</x:v>
      </x:c>
      <x:c r="U27" s="46" t="str">
        <x:v>no</x:v>
      </x:c>
      <x:c r="V27" s="46" t="str">
        <x:v>eligible_roast_core_v12</x:v>
      </x:c>
      <x:c r="W27" s="46" t="str">
        <x:v>Exact OAV retained only where available in extracted primary table; blank values are not inferred.</x:v>
      </x:c>
      <x:c r="X27" t="str">
        <x:v>beef:muscle</x:v>
      </x:c>
      <x:c r="Y27" t="str">
        <x:v>Qinchuan hind-leg lean; 250°C oven; 6 min</x:v>
      </x:c>
      <x:c r="Z27" t="str">
        <x:v>active_beef_muscle</x:v>
      </x:c>
    </x:row>
    <x:row r="28" ht="26.399999618530273" hidden="0" customHeight="1">
      <x:c r="A28" s="46" t="str">
        <x:v>BP-027</x:v>
      </x:c>
      <x:c r="B28" s="46" t="str">
        <x:v>beef</x:v>
      </x:c>
      <x:c r="C28" s="46" t="str">
        <x:v>family:beef</x:v>
      </x:c>
      <x:c r="D28" s="46" t="str">
        <x:v>roasted</x:v>
      </x:c>
      <x:c r="E28" s="46" t="str">
        <x:v>Qinchuan hind-leg lean; 250°C oven; 6 min</x:v>
      </x:c>
      <x:c r="F28" s="46" t="str">
        <x:v>hexanal</x:v>
      </x:c>
      <x:c r="G28" s="46" t="str">
        <x:v>66-25-1</x:v>
      </x:c>
      <x:c r="H28" s="46" t="str">
        <x:v>Carbonyls, aldehydes</x:v>
      </x:c>
      <x:c r="I28" s="46" t="str">
        <x:v>measured</x:v>
      </x:c>
      <x:c r="J28" s="46" t="str">
        <x:v>OAV_gt_1</x:v>
      </x:c>
      <x:c r="K28" s="46" t="str">
        <x:v>roasted_6min</x:v>
      </x:c>
      <x:c r="L28" s="46" t="str">
        <x:v>aroma_active_high_heat</x:v>
      </x:c>
      <x:c r="M28" s="46" t="str">
        <x:v>One of eight 6-min roast odorants with OAV &gt; 1.</x:v>
      </x:c>
      <x:c r="N28" s="46" t="n">
        <x:v>811.42</x:v>
      </x:c>
      <x:c r="O28" s="46" t="str">
        <x:v>µg/kg</x:v>
      </x:c>
      <x:c r="P28" s="46" t="str">
        <x:v>OAV</x:v>
      </x:c>
      <x:c r="Q28" s="46" t="n">
        <x:v>16.23</x:v>
      </x:c>
      <x:c r="R28" s="46"/>
      <x:c r="S28" s="46" t="str">
        <x:v>SRC-BEEF-ROAST-001</x:v>
      </x:c>
      <x:c r="T28" s="46" t="str">
        <x:v>https://www.frontiersin.org/journals/nutrition/articles/10.3389/fnut.2022.978622/full</x:v>
      </x:c>
      <x:c r="U28" s="46" t="str">
        <x:v>no</x:v>
      </x:c>
      <x:c r="V28" s="46" t="str">
        <x:v>eligible_roast_core_v12</x:v>
      </x:c>
      <x:c r="W28" s="46" t="str">
        <x:v>Exact OAV retained only where available in extracted primary table; blank values are not inferred.</x:v>
      </x:c>
      <x:c r="X28" t="str">
        <x:v>beef:muscle</x:v>
      </x:c>
      <x:c r="Y28" t="str">
        <x:v>Qinchuan hind-leg lean; 250°C oven; 6 min</x:v>
      </x:c>
      <x:c r="Z28" t="str">
        <x:v>active_beef_muscle</x:v>
      </x:c>
    </x:row>
    <x:row r="29" ht="26.399999618530273" hidden="0" customHeight="1">
      <x:c r="A29" s="46" t="str">
        <x:v>BP-028</x:v>
      </x:c>
      <x:c r="B29" s="46" t="str">
        <x:v>beef</x:v>
      </x:c>
      <x:c r="C29" s="46" t="str">
        <x:v>family:beef</x:v>
      </x:c>
      <x:c r="D29" s="46" t="str">
        <x:v>roasted</x:v>
      </x:c>
      <x:c r="E29" s="46" t="str">
        <x:v>Qinchuan hind-leg lean; 250°C oven; 6 min</x:v>
      </x:c>
      <x:c r="F29" s="46" t="str">
        <x:v>octanal</x:v>
      </x:c>
      <x:c r="G29" s="46" t="str">
        <x:v>124-13-0</x:v>
      </x:c>
      <x:c r="H29" s="46" t="str">
        <x:v>Carbonyls, aldehydes</x:v>
      </x:c>
      <x:c r="I29" s="46" t="str">
        <x:v>measured</x:v>
      </x:c>
      <x:c r="J29" s="46" t="str">
        <x:v>OAV_gt_1</x:v>
      </x:c>
      <x:c r="K29" s="46" t="str">
        <x:v>roasted_6min</x:v>
      </x:c>
      <x:c r="L29" s="46" t="str">
        <x:v>aroma_active_high_heat</x:v>
      </x:c>
      <x:c r="M29" s="46" t="str">
        <x:v>One of eight 6-min roast odorants with OAV &gt; 1.</x:v>
      </x:c>
      <x:c r="N29" s="46" t="n">
        <x:v>70.46</x:v>
      </x:c>
      <x:c r="O29" s="46" t="str">
        <x:v>µg/kg</x:v>
      </x:c>
      <x:c r="P29" s="46" t="str">
        <x:v>OAV</x:v>
      </x:c>
      <x:c r="Q29" s="46" t="n">
        <x:v>100.66</x:v>
      </x:c>
      <x:c r="R29" s="46"/>
      <x:c r="S29" s="46" t="str">
        <x:v>SRC-BEEF-ROAST-001</x:v>
      </x:c>
      <x:c r="T29" s="46" t="str">
        <x:v>https://www.frontiersin.org/journals/nutrition/articles/10.3389/fnut.2022.978622/full</x:v>
      </x:c>
      <x:c r="U29" s="46" t="str">
        <x:v>no</x:v>
      </x:c>
      <x:c r="V29" s="46" t="str">
        <x:v>eligible_roast_core_v12</x:v>
      </x:c>
      <x:c r="W29" s="46" t="str">
        <x:v>Exact OAV retained only where available in extracted primary table; blank values are not inferred.</x:v>
      </x:c>
      <x:c r="X29" t="str">
        <x:v>beef:muscle</x:v>
      </x:c>
      <x:c r="Y29" t="str">
        <x:v>Qinchuan hind-leg lean; 250°C oven; 6 min</x:v>
      </x:c>
      <x:c r="Z29" t="str">
        <x:v>active_beef_muscle</x:v>
      </x:c>
    </x:row>
    <x:row r="30" ht="26.399999618530273" hidden="0" customHeight="1">
      <x:c r="A30" s="46" t="str">
        <x:v>BP-029</x:v>
      </x:c>
      <x:c r="B30" s="46" t="str">
        <x:v>beef</x:v>
      </x:c>
      <x:c r="C30" s="46" t="str">
        <x:v>family:beef</x:v>
      </x:c>
      <x:c r="D30" s="46" t="str">
        <x:v>roasted</x:v>
      </x:c>
      <x:c r="E30" s="46" t="str">
        <x:v>Qinchuan hind-leg lean; 250°C oven; 6 min</x:v>
      </x:c>
      <x:c r="F30" s="46" t="str">
        <x:v>(E)-2-octenal</x:v>
      </x:c>
      <x:c r="G30" s="46" t="str">
        <x:v>2548-87-0</x:v>
      </x:c>
      <x:c r="H30" s="46" t="str">
        <x:v>Carbonyls, aldehydes</x:v>
      </x:c>
      <x:c r="I30" s="46" t="str">
        <x:v>measured</x:v>
      </x:c>
      <x:c r="J30" s="46" t="str">
        <x:v>OAV_gt_1</x:v>
      </x:c>
      <x:c r="K30" s="46" t="str">
        <x:v>roasted_6min</x:v>
      </x:c>
      <x:c r="L30" s="46" t="str">
        <x:v>aroma_active_high_heat</x:v>
      </x:c>
      <x:c r="M30" s="46" t="str">
        <x:v>One of eight 6-min roast odorants with OAV &gt; 1.</x:v>
      </x:c>
      <x:c r="N30" s="46" t="n">
        <x:v>3.95</x:v>
      </x:c>
      <x:c r="O30" s="46" t="str">
        <x:v>µg/kg</x:v>
      </x:c>
      <x:c r="P30" s="46" t="str">
        <x:v>OAV</x:v>
      </x:c>
      <x:c r="Q30" s="46"/>
      <x:c r="R30" s="46"/>
      <x:c r="S30" s="46" t="str">
        <x:v>SRC-BEEF-ROAST-001</x:v>
      </x:c>
      <x:c r="T30" s="46" t="str">
        <x:v>https://www.frontiersin.org/journals/nutrition/articles/10.3389/fnut.2022.978622/full</x:v>
      </x:c>
      <x:c r="U30" s="46" t="str">
        <x:v>no</x:v>
      </x:c>
      <x:c r="V30" s="46" t="str">
        <x:v>eligible_roast_core_v12</x:v>
      </x:c>
      <x:c r="W30" s="46" t="str">
        <x:v>Exact OAV retained only where available in extracted primary table; blank values are not inferred.</x:v>
      </x:c>
      <x:c r="X30" t="str">
        <x:v>beef:muscle</x:v>
      </x:c>
      <x:c r="Y30" t="str">
        <x:v>Qinchuan hind-leg lean; 250°C oven; 6 min</x:v>
      </x:c>
      <x:c r="Z30" t="str">
        <x:v>active_beef_muscle</x:v>
      </x:c>
    </x:row>
    <x:row r="31" ht="26.399999618530273" hidden="0" customHeight="1">
      <x:c r="A31" s="46" t="str">
        <x:v>BP-030</x:v>
      </x:c>
      <x:c r="B31" s="46" t="str">
        <x:v>beef</x:v>
      </x:c>
      <x:c r="C31" s="46" t="str">
        <x:v>family:beef</x:v>
      </x:c>
      <x:c r="D31" s="46" t="str">
        <x:v>roasted</x:v>
      </x:c>
      <x:c r="E31" s="46" t="str">
        <x:v>Qinchuan hind-leg lean; 250°C oven; 6 min</x:v>
      </x:c>
      <x:c r="F31" s="46" t="str">
        <x:v>nonanal</x:v>
      </x:c>
      <x:c r="G31" s="46" t="str">
        <x:v>124-19-6</x:v>
      </x:c>
      <x:c r="H31" s="46" t="str">
        <x:v>Carbonyls, aldehydes</x:v>
      </x:c>
      <x:c r="I31" s="46" t="str">
        <x:v>measured</x:v>
      </x:c>
      <x:c r="J31" s="46" t="str">
        <x:v>OAV_gt_1</x:v>
      </x:c>
      <x:c r="K31" s="46" t="str">
        <x:v>roasted_6min</x:v>
      </x:c>
      <x:c r="L31" s="46" t="str">
        <x:v>aroma_active_high_heat</x:v>
      </x:c>
      <x:c r="M31" s="46" t="str">
        <x:v>One of eight 6-min roast odorants with OAV &gt; 1.</x:v>
      </x:c>
      <x:c r="N31" s="46" t="n">
        <x:v>179.55</x:v>
      </x:c>
      <x:c r="O31" s="46" t="str">
        <x:v>µg/kg</x:v>
      </x:c>
      <x:c r="P31" s="46" t="str">
        <x:v>OAV</x:v>
      </x:c>
      <x:c r="Q31" s="46" t="n">
        <x:v>179.55</x:v>
      </x:c>
      <x:c r="R31" s="46"/>
      <x:c r="S31" s="46" t="str">
        <x:v>SRC-BEEF-ROAST-001</x:v>
      </x:c>
      <x:c r="T31" s="46" t="str">
        <x:v>https://www.frontiersin.org/journals/nutrition/articles/10.3389/fnut.2022.978622/full</x:v>
      </x:c>
      <x:c r="U31" s="46" t="str">
        <x:v>no</x:v>
      </x:c>
      <x:c r="V31" s="46" t="str">
        <x:v>eligible_roast_core_v12</x:v>
      </x:c>
      <x:c r="W31" s="46" t="str">
        <x:v>Exact OAV retained only where available in extracted primary table; blank values are not inferred.</x:v>
      </x:c>
      <x:c r="X31" t="str">
        <x:v>beef:muscle</x:v>
      </x:c>
      <x:c r="Y31" t="str">
        <x:v>Qinchuan hind-leg lean; 250°C oven; 6 min</x:v>
      </x:c>
      <x:c r="Z31" t="str">
        <x:v>active_beef_muscle</x:v>
      </x:c>
    </x:row>
    <x:row r="32" ht="26.399999618530273" hidden="0" customHeight="1">
      <x:c r="A32" s="46" t="str">
        <x:v>BP-031</x:v>
      </x:c>
      <x:c r="B32" s="46" t="str">
        <x:v>beef</x:v>
      </x:c>
      <x:c r="C32" s="46" t="str">
        <x:v>family:beef</x:v>
      </x:c>
      <x:c r="D32" s="46" t="str">
        <x:v>roasted</x:v>
      </x:c>
      <x:c r="E32" s="46" t="str">
        <x:v>Qinchuan hind-leg lean; 250°C oven; 6 min</x:v>
      </x:c>
      <x:c r="F32" s="46" t="str">
        <x:v>(E,E)-2,4-decadienal</x:v>
      </x:c>
      <x:c r="G32" s="46" t="str">
        <x:v>25152-84-5</x:v>
      </x:c>
      <x:c r="H32" s="46" t="str">
        <x:v>Carbonyls, aldehydes</x:v>
      </x:c>
      <x:c r="I32" s="46" t="str">
        <x:v>measured</x:v>
      </x:c>
      <x:c r="J32" s="46" t="str">
        <x:v>OAV_gt_1</x:v>
      </x:c>
      <x:c r="K32" s="46" t="str">
        <x:v>roasted_6min</x:v>
      </x:c>
      <x:c r="L32" s="46" t="str">
        <x:v>aroma_active_high_heat</x:v>
      </x:c>
      <x:c r="M32" s="46" t="str">
        <x:v>One of eight 6-min roast odorants with OAV &gt; 1.</x:v>
      </x:c>
      <x:c r="N32" s="46" t="n">
        <x:v>4.35</x:v>
      </x:c>
      <x:c r="O32" s="46" t="str">
        <x:v>µg/kg</x:v>
      </x:c>
      <x:c r="P32" s="46" t="str">
        <x:v>OAV</x:v>
      </x:c>
      <x:c r="Q32" s="46"/>
      <x:c r="R32" s="46"/>
      <x:c r="S32" s="46" t="str">
        <x:v>SRC-BEEF-ROAST-001</x:v>
      </x:c>
      <x:c r="T32" s="46" t="str">
        <x:v>https://www.frontiersin.org/journals/nutrition/articles/10.3389/fnut.2022.978622/full</x:v>
      </x:c>
      <x:c r="U32" s="46" t="str">
        <x:v>no</x:v>
      </x:c>
      <x:c r="V32" s="46" t="str">
        <x:v>eligible_roast_core_v12</x:v>
      </x:c>
      <x:c r="W32" s="46" t="str">
        <x:v>Exact OAV retained only where available in extracted primary table; blank values are not inferred.</x:v>
      </x:c>
      <x:c r="X32" t="str">
        <x:v>beef:muscle</x:v>
      </x:c>
      <x:c r="Y32" t="str">
        <x:v>Qinchuan hind-leg lean; 250°C oven; 6 min</x:v>
      </x:c>
      <x:c r="Z32" t="str">
        <x:v>active_beef_muscle</x:v>
      </x:c>
    </x:row>
    <x:row r="33" ht="26.399999618530273" hidden="0" customHeight="1">
      <x:c r="A33" s="46" t="str">
        <x:v>BP-032</x:v>
      </x:c>
      <x:c r="B33" s="46" t="str">
        <x:v>beef</x:v>
      </x:c>
      <x:c r="C33" s="46" t="str">
        <x:v>family:beef</x:v>
      </x:c>
      <x:c r="D33" s="46" t="str">
        <x:v>roasted</x:v>
      </x:c>
      <x:c r="E33" s="46" t="str">
        <x:v>Qinchuan hind-leg lean; 250°C oven; 6 min</x:v>
      </x:c>
      <x:c r="F33" s="46" t="str">
        <x:v>2-pentylfuran</x:v>
      </x:c>
      <x:c r="G33" s="46" t="str">
        <x:v>3777-69-3</x:v>
      </x:c>
      <x:c r="H33" s="46" t="str">
        <x:v>Furans</x:v>
      </x:c>
      <x:c r="I33" s="46" t="str">
        <x:v>measured</x:v>
      </x:c>
      <x:c r="J33" s="46" t="str">
        <x:v>OAV_gt_1</x:v>
      </x:c>
      <x:c r="K33" s="46" t="str">
        <x:v>roasted_6min</x:v>
      </x:c>
      <x:c r="L33" s="46" t="str">
        <x:v>aroma_active_high_heat</x:v>
      </x:c>
      <x:c r="M33" s="46" t="str">
        <x:v>One of eight 6-min roast odorants with OAV &gt; 1.</x:v>
      </x:c>
      <x:c r="N33" s="46" t="n">
        <x:v>40.29</x:v>
      </x:c>
      <x:c r="O33" s="46" t="str">
        <x:v>µg/kg</x:v>
      </x:c>
      <x:c r="P33" s="46" t="str">
        <x:v>OAV</x:v>
      </x:c>
      <x:c r="Q33" s="46" t="n">
        <x:v>6.72</x:v>
      </x:c>
      <x:c r="R33" s="46"/>
      <x:c r="S33" s="46" t="str">
        <x:v>SRC-BEEF-ROAST-001</x:v>
      </x:c>
      <x:c r="T33" s="46" t="str">
        <x:v>https://www.frontiersin.org/journals/nutrition/articles/10.3389/fnut.2022.978622/full</x:v>
      </x:c>
      <x:c r="U33" s="46" t="str">
        <x:v>no</x:v>
      </x:c>
      <x:c r="V33" s="46" t="str">
        <x:v>eligible_roast_core_v12</x:v>
      </x:c>
      <x:c r="W33" s="46" t="str">
        <x:v>Exact OAV retained only where available in extracted primary table; blank values are not inferred.</x:v>
      </x:c>
      <x:c r="X33" t="str">
        <x:v>beef:muscle</x:v>
      </x:c>
      <x:c r="Y33" t="str">
        <x:v>Qinchuan hind-leg lean; 250°C oven; 6 min</x:v>
      </x:c>
      <x:c r="Z33" t="str">
        <x:v>active_beef_muscle</x:v>
      </x:c>
    </x:row>
    <x:row r="34" ht="39.599998474121094" hidden="0" customHeight="1">
      <x:c r="A34" s="46" t="str">
        <x:v>BP-033</x:v>
      </x:c>
      <x:c r="B34" s="46" t="str">
        <x:v>beef</x:v>
      </x:c>
      <x:c r="C34" s="46" t="str">
        <x:v>family:beef</x:v>
      </x:c>
      <x:c r="D34" s="46" t="str">
        <x:v>braised / moist-cooked</x:v>
      </x:c>
      <x:c r="E34" s="46" t="str">
        <x:v>Simmental chuck; visible fat removed; water + 1.2% salt only</x:v>
      </x:c>
      <x:c r="F34" s="46" t="str">
        <x:v>hexanal</x:v>
      </x:c>
      <x:c r="G34" s="46" t="str">
        <x:v>66-25-1</x:v>
      </x:c>
      <x:c r="H34" s="46" t="str">
        <x:v>Carbonyls, aldehydes</x:v>
      </x:c>
      <x:c r="I34" s="46" t="str">
        <x:v>measured</x:v>
      </x:c>
      <x:c r="J34" s="46" t="str">
        <x:v>GC-O + AEDA</x:v>
      </x:c>
      <x:c r="K34" s="46" t="str">
        <x:v>fresh_cooked_stew</x:v>
      </x:c>
      <x:c r="L34" s="46" t="str">
        <x:v>aroma_active_moist_heat</x:v>
      </x:c>
      <x:c r="M34" s="46" t="str">
        <x:v>Fresh-cooked baseline aroma-active odorant in the stewed-beef source.</x:v>
      </x:c>
      <x:c r="N34" s="46"/>
      <x:c r="O34" s="46"/>
      <x:c r="P34" s="46" t="str">
        <x:v>FD_factor</x:v>
      </x:c>
      <x:c r="Q34" s="46" t="n">
        <x:v>4</x:v>
      </x:c>
      <x:c r="R34" s="46"/>
      <x:c r="S34" s="46" t="str">
        <x:v>SRC-BEEF-STEW-001</x:v>
      </x:c>
      <x:c r="T34" s="46" t="str">
        <x:v>https://pmc.ncbi.nlm.nih.gov/articles/PMC11338155/</x:v>
      </x:c>
      <x:c r="U34" s="46" t="str">
        <x:v>no</x:v>
      </x:c>
      <x:c r="V34" s="46" t="str">
        <x:v>eligible_moist_heat_partial_v12</x:v>
      </x:c>
      <x:c r="W34" s="46" t="str">
        <x:v>Uses only the fresh-cooked baseline from a cooking-refrigeration-reheating study. No onion, wine, stock, herbs, or spices were added.</x:v>
      </x:c>
      <x:c r="X34" t="str">
        <x:v>beef:muscle</x:v>
      </x:c>
      <x:c r="Y34" t="str">
        <x:v>Simmental chuck; visible fat removed; water + 1.2% salt only</x:v>
      </x:c>
      <x:c r="Z34" t="str">
        <x:v>active_beef_muscle</x:v>
      </x:c>
    </x:row>
    <x:row r="35" ht="39.599998474121094" hidden="0" customHeight="1">
      <x:c r="A35" s="46" t="str">
        <x:v>BP-034</x:v>
      </x:c>
      <x:c r="B35" s="46" t="str">
        <x:v>beef</x:v>
      </x:c>
      <x:c r="C35" s="46" t="str">
        <x:v>family:beef</x:v>
      </x:c>
      <x:c r="D35" s="46" t="str">
        <x:v>braised / moist-cooked</x:v>
      </x:c>
      <x:c r="E35" s="46" t="str">
        <x:v>Simmental chuck; visible fat removed; water + 1.2% salt only</x:v>
      </x:c>
      <x:c r="F35" s="46" t="str">
        <x:v>heptanal</x:v>
      </x:c>
      <x:c r="G35" s="46" t="str">
        <x:v>111-71-7</x:v>
      </x:c>
      <x:c r="H35" s="46" t="str">
        <x:v>Carbonyls, aldehydes</x:v>
      </x:c>
      <x:c r="I35" s="46" t="str">
        <x:v>measured</x:v>
      </x:c>
      <x:c r="J35" s="46" t="str">
        <x:v>GC-O + AEDA</x:v>
      </x:c>
      <x:c r="K35" s="46" t="str">
        <x:v>fresh_cooked_stew</x:v>
      </x:c>
      <x:c r="L35" s="46" t="str">
        <x:v>aroma_active_moist_heat</x:v>
      </x:c>
      <x:c r="M35" s="46" t="str">
        <x:v>Fresh-cooked baseline aroma-active odorant in the stewed-beef source.</x:v>
      </x:c>
      <x:c r="N35" s="46"/>
      <x:c r="O35" s="46"/>
      <x:c r="P35" s="46" t="str">
        <x:v>FD_factor</x:v>
      </x:c>
      <x:c r="Q35" s="46" t="n">
        <x:v>4</x:v>
      </x:c>
      <x:c r="R35" s="46"/>
      <x:c r="S35" s="46" t="str">
        <x:v>SRC-BEEF-STEW-001</x:v>
      </x:c>
      <x:c r="T35" s="46" t="str">
        <x:v>https://pmc.ncbi.nlm.nih.gov/articles/PMC11338155/</x:v>
      </x:c>
      <x:c r="U35" s="46" t="str">
        <x:v>no</x:v>
      </x:c>
      <x:c r="V35" s="46" t="str">
        <x:v>eligible_moist_heat_partial_v12</x:v>
      </x:c>
      <x:c r="W35" s="46" t="str">
        <x:v>Uses only the fresh-cooked baseline from a cooking-refrigeration-reheating study. No onion, wine, stock, herbs, or spices were added.</x:v>
      </x:c>
      <x:c r="X35" t="str">
        <x:v>beef:muscle</x:v>
      </x:c>
      <x:c r="Y35" t="str">
        <x:v>Simmental chuck; visible fat removed; water + 1.2% salt only</x:v>
      </x:c>
      <x:c r="Z35" t="str">
        <x:v>active_beef_muscle</x:v>
      </x:c>
    </x:row>
    <x:row r="36" ht="39.599998474121094" hidden="0" customHeight="1">
      <x:c r="A36" s="46" t="str">
        <x:v>BP-035</x:v>
      </x:c>
      <x:c r="B36" s="46" t="str">
        <x:v>beef</x:v>
      </x:c>
      <x:c r="C36" s="46" t="str">
        <x:v>family:beef</x:v>
      </x:c>
      <x:c r="D36" s="46" t="str">
        <x:v>braised / moist-cooked</x:v>
      </x:c>
      <x:c r="E36" s="46" t="str">
        <x:v>Simmental chuck; visible fat removed; water + 1.2% salt only</x:v>
      </x:c>
      <x:c r="F36" s="46" t="str">
        <x:v>2-pentylfuran</x:v>
      </x:c>
      <x:c r="G36" s="46" t="str">
        <x:v>3777-69-3</x:v>
      </x:c>
      <x:c r="H36" s="46" t="str">
        <x:v>Furans</x:v>
      </x:c>
      <x:c r="I36" s="46" t="str">
        <x:v>measured</x:v>
      </x:c>
      <x:c r="J36" s="46" t="str">
        <x:v>GC-O + AEDA</x:v>
      </x:c>
      <x:c r="K36" s="46" t="str">
        <x:v>fresh_cooked_stew</x:v>
      </x:c>
      <x:c r="L36" s="46" t="str">
        <x:v>aroma_active_moist_heat</x:v>
      </x:c>
      <x:c r="M36" s="46" t="str">
        <x:v>Fresh-cooked baseline aroma-active odorant in the stewed-beef source.</x:v>
      </x:c>
      <x:c r="N36" s="46"/>
      <x:c r="O36" s="46"/>
      <x:c r="P36" s="46" t="str">
        <x:v>FD_factor</x:v>
      </x:c>
      <x:c r="Q36" s="46" t="n">
        <x:v>1</x:v>
      </x:c>
      <x:c r="R36" s="46"/>
      <x:c r="S36" s="46" t="str">
        <x:v>SRC-BEEF-STEW-001</x:v>
      </x:c>
      <x:c r="T36" s="46" t="str">
        <x:v>https://pmc.ncbi.nlm.nih.gov/articles/PMC11338155/</x:v>
      </x:c>
      <x:c r="U36" s="46" t="str">
        <x:v>no</x:v>
      </x:c>
      <x:c r="V36" s="46" t="str">
        <x:v>eligible_moist_heat_partial_v12</x:v>
      </x:c>
      <x:c r="W36" s="46" t="str">
        <x:v>Uses only the fresh-cooked baseline from a cooking-refrigeration-reheating study. No onion, wine, stock, herbs, or spices were added.</x:v>
      </x:c>
      <x:c r="X36" t="str">
        <x:v>beef:muscle</x:v>
      </x:c>
      <x:c r="Y36" t="str">
        <x:v>Simmental chuck; visible fat removed; water + 1.2% salt only</x:v>
      </x:c>
      <x:c r="Z36" t="str">
        <x:v>active_beef_muscle</x:v>
      </x:c>
    </x:row>
    <x:row r="37" ht="39.599998474121094" hidden="0" customHeight="1">
      <x:c r="A37" s="46" t="str">
        <x:v>BP-036</x:v>
      </x:c>
      <x:c r="B37" s="46" t="str">
        <x:v>beef</x:v>
      </x:c>
      <x:c r="C37" s="46" t="str">
        <x:v>family:beef</x:v>
      </x:c>
      <x:c r="D37" s="46" t="str">
        <x:v>braised / moist-cooked</x:v>
      </x:c>
      <x:c r="E37" s="46" t="str">
        <x:v>Simmental chuck; visible fat removed; water + 1.2% salt only</x:v>
      </x:c>
      <x:c r="F37" s="46" t="str">
        <x:v>1-pentanol</x:v>
      </x:c>
      <x:c r="G37" s="46" t="str">
        <x:v>71-41-0</x:v>
      </x:c>
      <x:c r="H37" s="46" t="str">
        <x:v>Alcohols</x:v>
      </x:c>
      <x:c r="I37" s="46" t="str">
        <x:v>measured</x:v>
      </x:c>
      <x:c r="J37" s="46" t="str">
        <x:v>GC-O + AEDA</x:v>
      </x:c>
      <x:c r="K37" s="46" t="str">
        <x:v>fresh_cooked_stew</x:v>
      </x:c>
      <x:c r="L37" s="46" t="str">
        <x:v>aroma_active_moist_heat</x:v>
      </x:c>
      <x:c r="M37" s="46" t="str">
        <x:v>Fresh-cooked baseline aroma-active odorant in the stewed-beef source.</x:v>
      </x:c>
      <x:c r="N37" s="46"/>
      <x:c r="O37" s="46"/>
      <x:c r="P37" s="46" t="str">
        <x:v>FD_factor</x:v>
      </x:c>
      <x:c r="Q37" s="46" t="n">
        <x:v>1</x:v>
      </x:c>
      <x:c r="R37" s="46"/>
      <x:c r="S37" s="46" t="str">
        <x:v>SRC-BEEF-STEW-001</x:v>
      </x:c>
      <x:c r="T37" s="46" t="str">
        <x:v>https://pmc.ncbi.nlm.nih.gov/articles/PMC11338155/</x:v>
      </x:c>
      <x:c r="U37" s="46" t="str">
        <x:v>no</x:v>
      </x:c>
      <x:c r="V37" s="46" t="str">
        <x:v>eligible_moist_heat_partial_v12</x:v>
      </x:c>
      <x:c r="W37" s="46" t="str">
        <x:v>Uses only the fresh-cooked baseline from a cooking-refrigeration-reheating study. No onion, wine, stock, herbs, or spices were added.</x:v>
      </x:c>
      <x:c r="X37" t="str">
        <x:v>beef:muscle</x:v>
      </x:c>
      <x:c r="Y37" t="str">
        <x:v>Simmental chuck; visible fat removed; water + 1.2% salt only</x:v>
      </x:c>
      <x:c r="Z37" t="str">
        <x:v>active_beef_muscle</x:v>
      </x:c>
    </x:row>
    <x:row r="38" ht="39.599998474121094" hidden="0" customHeight="1">
      <x:c r="A38" s="46" t="str">
        <x:v>BP-037</x:v>
      </x:c>
      <x:c r="B38" s="46" t="str">
        <x:v>beef</x:v>
      </x:c>
      <x:c r="C38" s="46" t="str">
        <x:v>family:beef</x:v>
      </x:c>
      <x:c r="D38" s="46" t="str">
        <x:v>braised / moist-cooked</x:v>
      </x:c>
      <x:c r="E38" s="46" t="str">
        <x:v>Simmental chuck; visible fat removed; water + 1.2% salt only</x:v>
      </x:c>
      <x:c r="F38" s="46" t="str">
        <x:v>octanal</x:v>
      </x:c>
      <x:c r="G38" s="46" t="str">
        <x:v>124-13-0</x:v>
      </x:c>
      <x:c r="H38" s="46" t="str">
        <x:v>Carbonyls, aldehydes</x:v>
      </x:c>
      <x:c r="I38" s="46" t="str">
        <x:v>measured</x:v>
      </x:c>
      <x:c r="J38" s="46" t="str">
        <x:v>GC-O + AEDA</x:v>
      </x:c>
      <x:c r="K38" s="46" t="str">
        <x:v>fresh_cooked_stew</x:v>
      </x:c>
      <x:c r="L38" s="46" t="str">
        <x:v>aroma_active_moist_heat</x:v>
      </x:c>
      <x:c r="M38" s="46" t="str">
        <x:v>Fresh-cooked baseline aroma-active odorant in the stewed-beef source.</x:v>
      </x:c>
      <x:c r="N38" s="46"/>
      <x:c r="O38" s="46"/>
      <x:c r="P38" s="46" t="str">
        <x:v>FD_factor</x:v>
      </x:c>
      <x:c r="Q38" s="46" t="n">
        <x:v>16</x:v>
      </x:c>
      <x:c r="R38" s="46"/>
      <x:c r="S38" s="46" t="str">
        <x:v>SRC-BEEF-STEW-001</x:v>
      </x:c>
      <x:c r="T38" s="46" t="str">
        <x:v>https://pmc.ncbi.nlm.nih.gov/articles/PMC11338155/</x:v>
      </x:c>
      <x:c r="U38" s="46" t="str">
        <x:v>no</x:v>
      </x:c>
      <x:c r="V38" s="46" t="str">
        <x:v>eligible_moist_heat_partial_v12</x:v>
      </x:c>
      <x:c r="W38" s="46" t="str">
        <x:v>Uses only the fresh-cooked baseline from a cooking-refrigeration-reheating study. No onion, wine, stock, herbs, or spices were added.</x:v>
      </x:c>
      <x:c r="X38" t="str">
        <x:v>beef:muscle</x:v>
      </x:c>
      <x:c r="Y38" t="str">
        <x:v>Simmental chuck; visible fat removed; water + 1.2% salt only</x:v>
      </x:c>
      <x:c r="Z38" t="str">
        <x:v>active_beef_muscle</x:v>
      </x:c>
    </x:row>
    <x:row r="39" ht="39.599998474121094" hidden="0" customHeight="1">
      <x:c r="A39" s="46" t="str">
        <x:v>BP-038</x:v>
      </x:c>
      <x:c r="B39" s="46" t="str">
        <x:v>beef</x:v>
      </x:c>
      <x:c r="C39" s="46" t="str">
        <x:v>family:beef</x:v>
      </x:c>
      <x:c r="D39" s="46" t="str">
        <x:v>braised / moist-cooked</x:v>
      </x:c>
      <x:c r="E39" s="46" t="str">
        <x:v>Simmental chuck; visible fat removed; water + 1.2% salt only</x:v>
      </x:c>
      <x:c r="F39" s="46" t="str">
        <x:v>1-octen-3-one</x:v>
      </x:c>
      <x:c r="G39" s="46" t="str">
        <x:v>4312-99-6</x:v>
      </x:c>
      <x:c r="H39" s="46" t="str">
        <x:v>Carbonyls, ketones</x:v>
      </x:c>
      <x:c r="I39" s="46" t="str">
        <x:v>measured</x:v>
      </x:c>
      <x:c r="J39" s="46" t="str">
        <x:v>GC-O + AEDA</x:v>
      </x:c>
      <x:c r="K39" s="46" t="str">
        <x:v>fresh_cooked_stew</x:v>
      </x:c>
      <x:c r="L39" s="46" t="str">
        <x:v>aroma_active_moist_heat</x:v>
      </x:c>
      <x:c r="M39" s="46" t="str">
        <x:v>Fresh-cooked baseline aroma-active odorant in the stewed-beef source.</x:v>
      </x:c>
      <x:c r="N39" s="46"/>
      <x:c r="O39" s="46"/>
      <x:c r="P39" s="46" t="str">
        <x:v>FD_factor</x:v>
      </x:c>
      <x:c r="Q39" s="46" t="n">
        <x:v>2</x:v>
      </x:c>
      <x:c r="R39" s="46"/>
      <x:c r="S39" s="46" t="str">
        <x:v>SRC-BEEF-STEW-001</x:v>
      </x:c>
      <x:c r="T39" s="46" t="str">
        <x:v>https://pmc.ncbi.nlm.nih.gov/articles/PMC11338155/</x:v>
      </x:c>
      <x:c r="U39" s="46" t="str">
        <x:v>no</x:v>
      </x:c>
      <x:c r="V39" s="46" t="str">
        <x:v>eligible_moist_heat_partial_v12</x:v>
      </x:c>
      <x:c r="W39" s="46" t="str">
        <x:v>Uses only the fresh-cooked baseline from a cooking-refrigeration-reheating study. No onion, wine, stock, herbs, or spices were added.</x:v>
      </x:c>
      <x:c r="X39" t="str">
        <x:v>beef:muscle</x:v>
      </x:c>
      <x:c r="Y39" t="str">
        <x:v>Simmental chuck; visible fat removed; water + 1.2% salt only</x:v>
      </x:c>
      <x:c r="Z39" t="str">
        <x:v>active_beef_muscle</x:v>
      </x:c>
    </x:row>
    <x:row r="40" ht="39.599998474121094" hidden="0" customHeight="1">
      <x:c r="A40" s="46" t="str">
        <x:v>BP-039</x:v>
      </x:c>
      <x:c r="B40" s="46" t="str">
        <x:v>beef</x:v>
      </x:c>
      <x:c r="C40" s="46" t="str">
        <x:v>family:beef</x:v>
      </x:c>
      <x:c r="D40" s="46" t="str">
        <x:v>braised / moist-cooked</x:v>
      </x:c>
      <x:c r="E40" s="46" t="str">
        <x:v>Simmental chuck; visible fat removed; water + 1.2% salt only</x:v>
      </x:c>
      <x:c r="F40" s="46" t="str">
        <x:v>1-hexanol</x:v>
      </x:c>
      <x:c r="G40" s="46" t="str">
        <x:v>111-27-3</x:v>
      </x:c>
      <x:c r="H40" s="46" t="str">
        <x:v>Alcohols</x:v>
      </x:c>
      <x:c r="I40" s="46" t="str">
        <x:v>measured</x:v>
      </x:c>
      <x:c r="J40" s="46" t="str">
        <x:v>GC-O + AEDA</x:v>
      </x:c>
      <x:c r="K40" s="46" t="str">
        <x:v>fresh_cooked_stew</x:v>
      </x:c>
      <x:c r="L40" s="46" t="str">
        <x:v>aroma_active_moist_heat</x:v>
      </x:c>
      <x:c r="M40" s="46" t="str">
        <x:v>Fresh-cooked baseline aroma-active odorant in the stewed-beef source.</x:v>
      </x:c>
      <x:c r="N40" s="46"/>
      <x:c r="O40" s="46"/>
      <x:c r="P40" s="46" t="str">
        <x:v>FD_factor</x:v>
      </x:c>
      <x:c r="Q40" s="46" t="n">
        <x:v>4</x:v>
      </x:c>
      <x:c r="R40" s="46"/>
      <x:c r="S40" s="46" t="str">
        <x:v>SRC-BEEF-STEW-001</x:v>
      </x:c>
      <x:c r="T40" s="46" t="str">
        <x:v>https://pmc.ncbi.nlm.nih.gov/articles/PMC11338155/</x:v>
      </x:c>
      <x:c r="U40" s="46" t="str">
        <x:v>no</x:v>
      </x:c>
      <x:c r="V40" s="46" t="str">
        <x:v>eligible_moist_heat_partial_v12</x:v>
      </x:c>
      <x:c r="W40" s="46" t="str">
        <x:v>Uses only the fresh-cooked baseline from a cooking-refrigeration-reheating study. No onion, wine, stock, herbs, or spices were added.</x:v>
      </x:c>
      <x:c r="X40" t="str">
        <x:v>beef:muscle</x:v>
      </x:c>
      <x:c r="Y40" t="str">
        <x:v>Simmental chuck; visible fat removed; water + 1.2% salt only</x:v>
      </x:c>
      <x:c r="Z40" t="str">
        <x:v>active_beef_muscle</x:v>
      </x:c>
    </x:row>
    <x:row r="41" ht="39.599998474121094" hidden="0" customHeight="1">
      <x:c r="A41" s="46" t="str">
        <x:v>BP-040</x:v>
      </x:c>
      <x:c r="B41" s="46" t="str">
        <x:v>beef</x:v>
      </x:c>
      <x:c r="C41" s="46" t="str">
        <x:v>family:beef</x:v>
      </x:c>
      <x:c r="D41" s="46" t="str">
        <x:v>braised / moist-cooked</x:v>
      </x:c>
      <x:c r="E41" s="46" t="str">
        <x:v>Simmental chuck; visible fat removed; water + 1.2% salt only</x:v>
      </x:c>
      <x:c r="F41" s="46" t="str">
        <x:v>nonanal</x:v>
      </x:c>
      <x:c r="G41" s="46" t="str">
        <x:v>124-19-6</x:v>
      </x:c>
      <x:c r="H41" s="46" t="str">
        <x:v>Carbonyls, aldehydes</x:v>
      </x:c>
      <x:c r="I41" s="46" t="str">
        <x:v>measured</x:v>
      </x:c>
      <x:c r="J41" s="46" t="str">
        <x:v>GC-O + AEDA</x:v>
      </x:c>
      <x:c r="K41" s="46" t="str">
        <x:v>fresh_cooked_stew</x:v>
      </x:c>
      <x:c r="L41" s="46" t="str">
        <x:v>aroma_active_moist_heat</x:v>
      </x:c>
      <x:c r="M41" s="46" t="str">
        <x:v>Fresh-cooked baseline aroma-active odorant in the stewed-beef source.</x:v>
      </x:c>
      <x:c r="N41" s="46"/>
      <x:c r="O41" s="46"/>
      <x:c r="P41" s="46" t="str">
        <x:v>FD_factor</x:v>
      </x:c>
      <x:c r="Q41" s="46" t="n">
        <x:v>32</x:v>
      </x:c>
      <x:c r="R41" s="46"/>
      <x:c r="S41" s="46" t="str">
        <x:v>SRC-BEEF-STEW-001</x:v>
      </x:c>
      <x:c r="T41" s="46" t="str">
        <x:v>https://pmc.ncbi.nlm.nih.gov/articles/PMC11338155/</x:v>
      </x:c>
      <x:c r="U41" s="46" t="str">
        <x:v>no</x:v>
      </x:c>
      <x:c r="V41" s="46" t="str">
        <x:v>eligible_moist_heat_partial_v12</x:v>
      </x:c>
      <x:c r="W41" s="46" t="str">
        <x:v>Uses only the fresh-cooked baseline from a cooking-refrigeration-reheating study. No onion, wine, stock, herbs, or spices were added.</x:v>
      </x:c>
      <x:c r="X41" t="str">
        <x:v>beef:muscle</x:v>
      </x:c>
      <x:c r="Y41" t="str">
        <x:v>Simmental chuck; visible fat removed; water + 1.2% salt only</x:v>
      </x:c>
      <x:c r="Z41" t="str">
        <x:v>active_beef_muscle</x:v>
      </x:c>
    </x:row>
    <x:row r="42" ht="39.599998474121094" hidden="0" customHeight="1">
      <x:c r="A42" s="46" t="str">
        <x:v>BP-041</x:v>
      </x:c>
      <x:c r="B42" s="46" t="str">
        <x:v>beef</x:v>
      </x:c>
      <x:c r="C42" s="46" t="str">
        <x:v>family:beef</x:v>
      </x:c>
      <x:c r="D42" s="46" t="str">
        <x:v>braised / moist-cooked</x:v>
      </x:c>
      <x:c r="E42" s="46" t="str">
        <x:v>Simmental chuck; visible fat removed; water + 1.2% salt only</x:v>
      </x:c>
      <x:c r="F42" s="46" t="str">
        <x:v>(E)-2-octenal</x:v>
      </x:c>
      <x:c r="G42" s="46" t="str">
        <x:v>2548-87-0</x:v>
      </x:c>
      <x:c r="H42" s="46" t="str">
        <x:v>Carbonyls, aldehydes</x:v>
      </x:c>
      <x:c r="I42" s="46" t="str">
        <x:v>measured</x:v>
      </x:c>
      <x:c r="J42" s="46" t="str">
        <x:v>GC-O + AEDA</x:v>
      </x:c>
      <x:c r="K42" s="46" t="str">
        <x:v>fresh_cooked_stew</x:v>
      </x:c>
      <x:c r="L42" s="46" t="str">
        <x:v>aroma_active_moist_heat</x:v>
      </x:c>
      <x:c r="M42" s="46" t="str">
        <x:v>Fresh-cooked baseline aroma-active odorant in the stewed-beef source.</x:v>
      </x:c>
      <x:c r="N42" s="46"/>
      <x:c r="O42" s="46"/>
      <x:c r="P42" s="46" t="str">
        <x:v>FD_factor</x:v>
      </x:c>
      <x:c r="Q42" s="46" t="n">
        <x:v>8</x:v>
      </x:c>
      <x:c r="R42" s="46"/>
      <x:c r="S42" s="46" t="str">
        <x:v>SRC-BEEF-STEW-001</x:v>
      </x:c>
      <x:c r="T42" s="46" t="str">
        <x:v>https://pmc.ncbi.nlm.nih.gov/articles/PMC11338155/</x:v>
      </x:c>
      <x:c r="U42" s="46" t="str">
        <x:v>no</x:v>
      </x:c>
      <x:c r="V42" s="46" t="str">
        <x:v>eligible_moist_heat_partial_v12</x:v>
      </x:c>
      <x:c r="W42" s="46" t="str">
        <x:v>Uses only the fresh-cooked baseline from a cooking-refrigeration-reheating study. No onion, wine, stock, herbs, or spices were added.</x:v>
      </x:c>
      <x:c r="X42" t="str">
        <x:v>beef:muscle</x:v>
      </x:c>
      <x:c r="Y42" t="str">
        <x:v>Simmental chuck; visible fat removed; water + 1.2% salt only</x:v>
      </x:c>
      <x:c r="Z42" t="str">
        <x:v>active_beef_muscle</x:v>
      </x:c>
    </x:row>
    <x:row r="43" ht="39.599998474121094" hidden="0" customHeight="1">
      <x:c r="A43" s="46" t="str">
        <x:v>BP-042</x:v>
      </x:c>
      <x:c r="B43" s="46" t="str">
        <x:v>beef</x:v>
      </x:c>
      <x:c r="C43" s="46" t="str">
        <x:v>family:beef</x:v>
      </x:c>
      <x:c r="D43" s="46" t="str">
        <x:v>braised / moist-cooked</x:v>
      </x:c>
      <x:c r="E43" s="46" t="str">
        <x:v>Simmental chuck; visible fat removed; water + 1.2% salt only</x:v>
      </x:c>
      <x:c r="F43" s="46" t="str">
        <x:v>1-octen-3-ol</x:v>
      </x:c>
      <x:c r="G43" s="46" t="str">
        <x:v>3391-86-4</x:v>
      </x:c>
      <x:c r="H43" s="46" t="str">
        <x:v>Alcohols</x:v>
      </x:c>
      <x:c r="I43" s="46" t="str">
        <x:v>measured</x:v>
      </x:c>
      <x:c r="J43" s="46" t="str">
        <x:v>GC-O + AEDA</x:v>
      </x:c>
      <x:c r="K43" s="46" t="str">
        <x:v>fresh_cooked_stew</x:v>
      </x:c>
      <x:c r="L43" s="46" t="str">
        <x:v>aroma_active_moist_heat</x:v>
      </x:c>
      <x:c r="M43" s="46" t="str">
        <x:v>Fresh-cooked baseline aroma-active odorant in the stewed-beef source.</x:v>
      </x:c>
      <x:c r="N43" s="46"/>
      <x:c r="O43" s="46"/>
      <x:c r="P43" s="46" t="str">
        <x:v>FD_factor</x:v>
      </x:c>
      <x:c r="Q43" s="46" t="n">
        <x:v>16</x:v>
      </x:c>
      <x:c r="R43" s="46"/>
      <x:c r="S43" s="46" t="str">
        <x:v>SRC-BEEF-STEW-001</x:v>
      </x:c>
      <x:c r="T43" s="46" t="str">
        <x:v>https://pmc.ncbi.nlm.nih.gov/articles/PMC11338155/</x:v>
      </x:c>
      <x:c r="U43" s="46" t="str">
        <x:v>no</x:v>
      </x:c>
      <x:c r="V43" s="46" t="str">
        <x:v>eligible_moist_heat_partial_v12</x:v>
      </x:c>
      <x:c r="W43" s="46" t="str">
        <x:v>Uses only the fresh-cooked baseline from a cooking-refrigeration-reheating study. No onion, wine, stock, herbs, or spices were added.</x:v>
      </x:c>
      <x:c r="X43" t="str">
        <x:v>beef:muscle</x:v>
      </x:c>
      <x:c r="Y43" t="str">
        <x:v>Simmental chuck; visible fat removed; water + 1.2% salt only</x:v>
      </x:c>
      <x:c r="Z43" t="str">
        <x:v>active_beef_muscle</x:v>
      </x:c>
    </x:row>
    <x:row r="44" ht="39.599998474121094" hidden="0" customHeight="1">
      <x:c r="A44" s="46" t="str">
        <x:v>BP-043</x:v>
      </x:c>
      <x:c r="B44" s="46" t="str">
        <x:v>beef</x:v>
      </x:c>
      <x:c r="C44" s="46" t="str">
        <x:v>family:beef</x:v>
      </x:c>
      <x:c r="D44" s="46" t="str">
        <x:v>braised / moist-cooked</x:v>
      </x:c>
      <x:c r="E44" s="46" t="str">
        <x:v>Simmental chuck; visible fat removed; water + 1.2% salt only</x:v>
      </x:c>
      <x:c r="F44" s="46" t="str">
        <x:v>methional</x:v>
      </x:c>
      <x:c r="G44" s="46" t="str">
        <x:v>3268-49-3</x:v>
      </x:c>
      <x:c r="H44" s="46" t="str">
        <x:v>Sulfur compounds</x:v>
      </x:c>
      <x:c r="I44" s="46" t="str">
        <x:v>measured</x:v>
      </x:c>
      <x:c r="J44" s="46" t="str">
        <x:v>GC-O + AEDA</x:v>
      </x:c>
      <x:c r="K44" s="46" t="str">
        <x:v>fresh_cooked_stew</x:v>
      </x:c>
      <x:c r="L44" s="46" t="str">
        <x:v>aroma_active_moist_heat</x:v>
      </x:c>
      <x:c r="M44" s="46" t="str">
        <x:v>Fresh-cooked baseline aroma-active odorant in the stewed-beef source.</x:v>
      </x:c>
      <x:c r="N44" s="46"/>
      <x:c r="O44" s="46"/>
      <x:c r="P44" s="46" t="str">
        <x:v>FD_factor</x:v>
      </x:c>
      <x:c r="Q44" s="46" t="n">
        <x:v>2</x:v>
      </x:c>
      <x:c r="R44" s="46"/>
      <x:c r="S44" s="46" t="str">
        <x:v>SRC-BEEF-STEW-001</x:v>
      </x:c>
      <x:c r="T44" s="46" t="str">
        <x:v>https://pmc.ncbi.nlm.nih.gov/articles/PMC11338155/</x:v>
      </x:c>
      <x:c r="U44" s="46" t="str">
        <x:v>no</x:v>
      </x:c>
      <x:c r="V44" s="46" t="str">
        <x:v>eligible_moist_heat_partial_v12</x:v>
      </x:c>
      <x:c r="W44" s="46" t="str">
        <x:v>Uses only the fresh-cooked baseline from a cooking-refrigeration-reheating study. No onion, wine, stock, herbs, or spices were added.</x:v>
      </x:c>
      <x:c r="X44" t="str">
        <x:v>beef:muscle</x:v>
      </x:c>
      <x:c r="Y44" t="str">
        <x:v>Simmental chuck; visible fat removed; water + 1.2% salt only</x:v>
      </x:c>
      <x:c r="Z44" t="str">
        <x:v>active_beef_muscle</x:v>
      </x:c>
    </x:row>
    <x:row r="45" ht="39.599998474121094" hidden="0" customHeight="1">
      <x:c r="A45" s="46" t="str">
        <x:v>BP-044</x:v>
      </x:c>
      <x:c r="B45" s="46" t="str">
        <x:v>beef</x:v>
      </x:c>
      <x:c r="C45" s="46" t="str">
        <x:v>family:beef</x:v>
      </x:c>
      <x:c r="D45" s="46" t="str">
        <x:v>braised / moist-cooked</x:v>
      </x:c>
      <x:c r="E45" s="46" t="str">
        <x:v>Simmental chuck; visible fat removed; water + 1.2% salt only</x:v>
      </x:c>
      <x:c r="F45" s="46" t="str">
        <x:v>decanal</x:v>
      </x:c>
      <x:c r="G45" s="46" t="str">
        <x:v>112-31-2</x:v>
      </x:c>
      <x:c r="H45" s="46" t="str">
        <x:v>Carbonyls, aldehydes</x:v>
      </x:c>
      <x:c r="I45" s="46" t="str">
        <x:v>measured</x:v>
      </x:c>
      <x:c r="J45" s="46" t="str">
        <x:v>GC-O + AEDA</x:v>
      </x:c>
      <x:c r="K45" s="46" t="str">
        <x:v>fresh_cooked_stew</x:v>
      </x:c>
      <x:c r="L45" s="46" t="str">
        <x:v>aroma_active_moist_heat</x:v>
      </x:c>
      <x:c r="M45" s="46" t="str">
        <x:v>Fresh-cooked baseline aroma-active odorant in the stewed-beef source.</x:v>
      </x:c>
      <x:c r="N45" s="46"/>
      <x:c r="O45" s="46"/>
      <x:c r="P45" s="46" t="str">
        <x:v>FD_factor</x:v>
      </x:c>
      <x:c r="Q45" s="46" t="n">
        <x:v>2</x:v>
      </x:c>
      <x:c r="R45" s="46"/>
      <x:c r="S45" s="46" t="str">
        <x:v>SRC-BEEF-STEW-001</x:v>
      </x:c>
      <x:c r="T45" s="46" t="str">
        <x:v>https://pmc.ncbi.nlm.nih.gov/articles/PMC11338155/</x:v>
      </x:c>
      <x:c r="U45" s="46" t="str">
        <x:v>no</x:v>
      </x:c>
      <x:c r="V45" s="46" t="str">
        <x:v>eligible_moist_heat_partial_v12</x:v>
      </x:c>
      <x:c r="W45" s="46" t="str">
        <x:v>Uses only the fresh-cooked baseline from a cooking-refrigeration-reheating study. No onion, wine, stock, herbs, or spices were added.</x:v>
      </x:c>
      <x:c r="X45" t="str">
        <x:v>beef:muscle</x:v>
      </x:c>
      <x:c r="Y45" t="str">
        <x:v>Simmental chuck; visible fat removed; water + 1.2% salt only</x:v>
      </x:c>
      <x:c r="Z45" t="str">
        <x:v>active_beef_muscle</x:v>
      </x:c>
    </x:row>
    <x:row r="46" ht="39.599998474121094" hidden="0" customHeight="1">
      <x:c r="A46" s="46" t="str">
        <x:v>BP-045</x:v>
      </x:c>
      <x:c r="B46" s="46" t="str">
        <x:v>beef</x:v>
      </x:c>
      <x:c r="C46" s="46" t="str">
        <x:v>family:beef</x:v>
      </x:c>
      <x:c r="D46" s="46" t="str">
        <x:v>braised / moist-cooked</x:v>
      </x:c>
      <x:c r="E46" s="46" t="str">
        <x:v>Simmental chuck; visible fat removed; water + 1.2% salt only</x:v>
      </x:c>
      <x:c r="F46" s="46" t="str">
        <x:v>(E)-2-decenal</x:v>
      </x:c>
      <x:c r="G46" s="46" t="str">
        <x:v>3913-81-3</x:v>
      </x:c>
      <x:c r="H46" s="46" t="str">
        <x:v>Carbonyls, aldehydes</x:v>
      </x:c>
      <x:c r="I46" s="46" t="str">
        <x:v>measured</x:v>
      </x:c>
      <x:c r="J46" s="46" t="str">
        <x:v>GC-O + AEDA</x:v>
      </x:c>
      <x:c r="K46" s="46" t="str">
        <x:v>fresh_cooked_stew</x:v>
      </x:c>
      <x:c r="L46" s="46" t="str">
        <x:v>aroma_active_moist_heat</x:v>
      </x:c>
      <x:c r="M46" s="46" t="str">
        <x:v>Fresh-cooked baseline aroma-active odorant in the stewed-beef source.</x:v>
      </x:c>
      <x:c r="N46" s="46"/>
      <x:c r="O46" s="46"/>
      <x:c r="P46" s="46" t="str">
        <x:v>FD_factor</x:v>
      </x:c>
      <x:c r="Q46" s="46" t="n">
        <x:v>8</x:v>
      </x:c>
      <x:c r="R46" s="46"/>
      <x:c r="S46" s="46" t="str">
        <x:v>SRC-BEEF-STEW-001</x:v>
      </x:c>
      <x:c r="T46" s="46" t="str">
        <x:v>https://pmc.ncbi.nlm.nih.gov/articles/PMC11338155/</x:v>
      </x:c>
      <x:c r="U46" s="46" t="str">
        <x:v>no</x:v>
      </x:c>
      <x:c r="V46" s="46" t="str">
        <x:v>eligible_moist_heat_partial_v12</x:v>
      </x:c>
      <x:c r="W46" s="46" t="str">
        <x:v>Uses only the fresh-cooked baseline from a cooking-refrigeration-reheating study. No onion, wine, stock, herbs, or spices were added.</x:v>
      </x:c>
      <x:c r="X46" t="str">
        <x:v>beef:muscle</x:v>
      </x:c>
      <x:c r="Y46" t="str">
        <x:v>Simmental chuck; visible fat removed; water + 1.2% salt only</x:v>
      </x:c>
      <x:c r="Z46" t="str">
        <x:v>active_beef_muscle</x:v>
      </x:c>
    </x:row>
    <x:row r="47" ht="39.599998474121094" hidden="0" customHeight="1">
      <x:c r="A47" s="46" t="str">
        <x:v>BP-046</x:v>
      </x:c>
      <x:c r="B47" s="46" t="str">
        <x:v>beef</x:v>
      </x:c>
      <x:c r="C47" s="46" t="str">
        <x:v>family:beef</x:v>
      </x:c>
      <x:c r="D47" s="46" t="str">
        <x:v>braised / moist-cooked</x:v>
      </x:c>
      <x:c r="E47" s="46" t="str">
        <x:v>Simmental chuck; visible fat removed; water + 1.2% salt only</x:v>
      </x:c>
      <x:c r="F47" s="46" t="str">
        <x:v>(E,E)-2,4-nonadienal</x:v>
      </x:c>
      <x:c r="G47" s="46" t="str">
        <x:v>5910-87-2</x:v>
      </x:c>
      <x:c r="H47" s="46" t="str">
        <x:v>Carbonyls, aldehydes</x:v>
      </x:c>
      <x:c r="I47" s="46" t="str">
        <x:v>measured</x:v>
      </x:c>
      <x:c r="J47" s="46" t="str">
        <x:v>GC-O + AEDA</x:v>
      </x:c>
      <x:c r="K47" s="46" t="str">
        <x:v>fresh_cooked_stew</x:v>
      </x:c>
      <x:c r="L47" s="46" t="str">
        <x:v>aroma_active_moist_heat</x:v>
      </x:c>
      <x:c r="M47" s="46" t="str">
        <x:v>Fresh-cooked baseline aroma-active odorant in the stewed-beef source.</x:v>
      </x:c>
      <x:c r="N47" s="46"/>
      <x:c r="O47" s="46"/>
      <x:c r="P47" s="46" t="str">
        <x:v>FD_factor</x:v>
      </x:c>
      <x:c r="Q47" s="46" t="n">
        <x:v>4</x:v>
      </x:c>
      <x:c r="R47" s="46"/>
      <x:c r="S47" s="46" t="str">
        <x:v>SRC-BEEF-STEW-001</x:v>
      </x:c>
      <x:c r="T47" s="46" t="str">
        <x:v>https://pmc.ncbi.nlm.nih.gov/articles/PMC11338155/</x:v>
      </x:c>
      <x:c r="U47" s="46" t="str">
        <x:v>no</x:v>
      </x:c>
      <x:c r="V47" s="46" t="str">
        <x:v>eligible_moist_heat_partial_v12</x:v>
      </x:c>
      <x:c r="W47" s="46" t="str">
        <x:v>Uses only the fresh-cooked baseline from a cooking-refrigeration-reheating study. No onion, wine, stock, herbs, or spices were added.</x:v>
      </x:c>
      <x:c r="X47" t="str">
        <x:v>beef:muscle</x:v>
      </x:c>
      <x:c r="Y47" t="str">
        <x:v>Simmental chuck; visible fat removed; water + 1.2% salt only</x:v>
      </x:c>
      <x:c r="Z47" t="str">
        <x:v>active_beef_muscle</x:v>
      </x:c>
    </x:row>
    <x:row r="48" ht="39.599998474121094" hidden="0" customHeight="1">
      <x:c r="A48" s="46" t="str">
        <x:v>BP-047</x:v>
      </x:c>
      <x:c r="B48" s="46" t="str">
        <x:v>beef</x:v>
      </x:c>
      <x:c r="C48" s="46" t="str">
        <x:v>family:beef</x:v>
      </x:c>
      <x:c r="D48" s="46" t="str">
        <x:v>braised / moist-cooked</x:v>
      </x:c>
      <x:c r="E48" s="46" t="str">
        <x:v>Simmental chuck; visible fat removed; water + 1.2% salt only</x:v>
      </x:c>
      <x:c r="F48" s="46" t="str">
        <x:v>2-acetyl-2-thiazoline</x:v>
      </x:c>
      <x:c r="G48" s="46" t="str">
        <x:v>29926-41-8</x:v>
      </x:c>
      <x:c r="H48" s="46" t="str">
        <x:v>Heterocycles, thiazolines</x:v>
      </x:c>
      <x:c r="I48" s="46" t="str">
        <x:v>measured</x:v>
      </x:c>
      <x:c r="J48" s="46" t="str">
        <x:v>GC-O + AEDA</x:v>
      </x:c>
      <x:c r="K48" s="46" t="str">
        <x:v>fresh_cooked_stew</x:v>
      </x:c>
      <x:c r="L48" s="46" t="str">
        <x:v>aroma_active_moist_heat</x:v>
      </x:c>
      <x:c r="M48" s="46" t="str">
        <x:v>Fresh-cooked baseline aroma-active odorant in the stewed-beef source.</x:v>
      </x:c>
      <x:c r="N48" s="46"/>
      <x:c r="O48" s="46"/>
      <x:c r="P48" s="46" t="str">
        <x:v>FD_factor</x:v>
      </x:c>
      <x:c r="Q48" s="46" t="n">
        <x:v>4</x:v>
      </x:c>
      <x:c r="R48" s="46"/>
      <x:c r="S48" s="46" t="str">
        <x:v>SRC-BEEF-STEW-001</x:v>
      </x:c>
      <x:c r="T48" s="46" t="str">
        <x:v>https://pmc.ncbi.nlm.nih.gov/articles/PMC11338155/</x:v>
      </x:c>
      <x:c r="U48" s="46" t="str">
        <x:v>no</x:v>
      </x:c>
      <x:c r="V48" s="46" t="str">
        <x:v>eligible_moist_heat_partial_v12</x:v>
      </x:c>
      <x:c r="W48" s="46" t="str">
        <x:v>Uses only the fresh-cooked baseline from a cooking-refrigeration-reheating study. No onion, wine, stock, herbs, or spices were added.</x:v>
      </x:c>
      <x:c r="X48" t="str">
        <x:v>beef:muscle</x:v>
      </x:c>
      <x:c r="Y48" t="str">
        <x:v>Simmental chuck; visible fat removed; water + 1.2% salt only</x:v>
      </x:c>
      <x:c r="Z48" t="str">
        <x:v>active_beef_muscle</x:v>
      </x:c>
    </x:row>
    <x:row r="49" ht="39.599998474121094" hidden="0" customHeight="1">
      <x:c r="A49" s="46" t="str">
        <x:v>BP-048</x:v>
      </x:c>
      <x:c r="B49" s="46" t="str">
        <x:v>beef</x:v>
      </x:c>
      <x:c r="C49" s="46" t="str">
        <x:v>family:beef</x:v>
      </x:c>
      <x:c r="D49" s="46" t="str">
        <x:v>braised / moist-cooked</x:v>
      </x:c>
      <x:c r="E49" s="46" t="str">
        <x:v>Simmental chuck; visible fat removed; water + 1.2% salt only</x:v>
      </x:c>
      <x:c r="F49" s="46" t="str">
        <x:v>(E,E)-2,4-decadienal</x:v>
      </x:c>
      <x:c r="G49" s="46" t="str">
        <x:v>25152-84-5</x:v>
      </x:c>
      <x:c r="H49" s="46" t="str">
        <x:v>Carbonyls, aldehydes</x:v>
      </x:c>
      <x:c r="I49" s="46" t="str">
        <x:v>measured</x:v>
      </x:c>
      <x:c r="J49" s="46" t="str">
        <x:v>GC-O + AEDA</x:v>
      </x:c>
      <x:c r="K49" s="46" t="str">
        <x:v>fresh_cooked_stew</x:v>
      </x:c>
      <x:c r="L49" s="46" t="str">
        <x:v>aroma_active_moist_heat</x:v>
      </x:c>
      <x:c r="M49" s="46" t="str">
        <x:v>Fresh-cooked baseline aroma-active odorant in the stewed-beef source.</x:v>
      </x:c>
      <x:c r="N49" s="46"/>
      <x:c r="O49" s="46"/>
      <x:c r="P49" s="46" t="str">
        <x:v>FD_factor</x:v>
      </x:c>
      <x:c r="Q49" s="46" t="n">
        <x:v>4</x:v>
      </x:c>
      <x:c r="R49" s="46"/>
      <x:c r="S49" s="46" t="str">
        <x:v>SRC-BEEF-STEW-001</x:v>
      </x:c>
      <x:c r="T49" s="46" t="str">
        <x:v>https://pmc.ncbi.nlm.nih.gov/articles/PMC11338155/</x:v>
      </x:c>
      <x:c r="U49" s="46" t="str">
        <x:v>no</x:v>
      </x:c>
      <x:c r="V49" s="46" t="str">
        <x:v>eligible_moist_heat_partial_v12</x:v>
      </x:c>
      <x:c r="W49" s="46" t="str">
        <x:v>Uses only the fresh-cooked baseline from a cooking-refrigeration-reheating study. No onion, wine, stock, herbs, or spices were added.</x:v>
      </x:c>
      <x:c r="X49" t="str">
        <x:v>beef:muscle</x:v>
      </x:c>
      <x:c r="Y49" t="str">
        <x:v>Simmental chuck; visible fat removed; water + 1.2% salt only</x:v>
      </x:c>
      <x:c r="Z49" t="str">
        <x:v>active_beef_muscle</x:v>
      </x:c>
    </x:row>
    <x:row r="50" ht="26.399999618530273" hidden="0" customHeight="1">
      <x:c r="A50" s="46" t="str">
        <x:v>BP-049</x:v>
      </x:c>
      <x:c r="B50" s="46" t="str">
        <x:v>beef</x:v>
      </x:c>
      <x:c r="C50" s="46" t="str">
        <x:v>family:beef</x:v>
      </x:c>
      <x:c r="D50" s="46" t="str">
        <x:v>dry-aged</x:v>
      </x:c>
      <x:c r="E50" s="46" t="str">
        <x:v>traditional dry-aged comparator</x:v>
      </x:c>
      <x:c r="F50" s="46" t="str">
        <x:v>3-methylbutanal</x:v>
      </x:c>
      <x:c r="G50" s="46" t="str">
        <x:v>590-86-3</x:v>
      </x:c>
      <x:c r="H50" s="46" t="str">
        <x:v>Carbonyls, aldehydes</x:v>
      </x:c>
      <x:c r="I50" s="46" t="str">
        <x:v>measured</x:v>
      </x:c>
      <x:c r="J50" s="46" t="str">
        <x:v>none</x:v>
      </x:c>
      <x:c r="K50" s="46" t="str">
        <x:v>dry-aged</x:v>
      </x:c>
      <x:c r="L50" s="46" t="str">
        <x:v>dry_age_state_marker</x:v>
      </x:c>
      <x:c r="M50" s="46" t="str">
        <x:v>Reported among volatiles associated with traditional dry aging.</x:v>
      </x:c>
      <x:c r="N50" s="46"/>
      <x:c r="O50" s="46"/>
      <x:c r="P50" s="46"/>
      <x:c r="Q50" s="46"/>
      <x:c r="R50" s="46"/>
      <x:c r="S50" s="46" t="str">
        <x:v>SRC-BEEF-AGE-CONTROL-001</x:v>
      </x:c>
      <x:c r="T50" s="46" t="str">
        <x:v>https://pmc.ncbi.nlm.nih.gov/articles/PMC9689929/</x:v>
      </x:c>
      <x:c r="U50" s="46" t="str">
        <x:v>study_contains_other_coating_treatments</x:v>
      </x:c>
      <x:c r="V50" s="46" t="str">
        <x:v>dry_age_delta_only</x:v>
      </x:c>
      <x:c r="W50" s="46" t="str">
        <x:v>Use only traditional-control comparison for endogenous beef interpretation.</x:v>
      </x:c>
      <x:c r="X50" t="str">
        <x:v>beef:muscle</x:v>
      </x:c>
      <x:c r="Y50" t="str">
        <x:v>traditional dry-aged comparator</x:v>
      </x:c>
      <x:c r="Z50" t="str">
        <x:v>active_beef_muscle</x:v>
      </x:c>
    </x:row>
    <x:row r="51" ht="26.399999618530273" hidden="0" customHeight="1">
      <x:c r="A51" s="46" t="str">
        <x:v>BP-050</x:v>
      </x:c>
      <x:c r="B51" s="46" t="str">
        <x:v>beef</x:v>
      </x:c>
      <x:c r="C51" s="46" t="str">
        <x:v>family:beef</x:v>
      </x:c>
      <x:c r="D51" s="46" t="str">
        <x:v>dry-aged</x:v>
      </x:c>
      <x:c r="E51" s="46" t="str">
        <x:v>traditional dry-aged comparator</x:v>
      </x:c>
      <x:c r="F51" s="46" t="str">
        <x:v>phenylacetaldehyde</x:v>
      </x:c>
      <x:c r="G51" s="46" t="str">
        <x:v>122-78-1</x:v>
      </x:c>
      <x:c r="H51" s="46" t="str">
        <x:v>Carbonyls, aldehydes</x:v>
      </x:c>
      <x:c r="I51" s="46" t="str">
        <x:v>measured</x:v>
      </x:c>
      <x:c r="J51" s="46" t="str">
        <x:v>none</x:v>
      </x:c>
      <x:c r="K51" s="46" t="str">
        <x:v>dry-aged</x:v>
      </x:c>
      <x:c r="L51" s="46" t="str">
        <x:v>dry_age_state_marker</x:v>
      </x:c>
      <x:c r="M51" s="46" t="str">
        <x:v>Reported as benzene acetaldehyde/phenylacetaldehyde in dry-aging volatile discussion.</x:v>
      </x:c>
      <x:c r="N51" s="46"/>
      <x:c r="O51" s="46"/>
      <x:c r="P51" s="46"/>
      <x:c r="Q51" s="46"/>
      <x:c r="R51" s="46"/>
      <x:c r="S51" s="46" t="str">
        <x:v>SRC-BEEF-AGE-CONTROL-001</x:v>
      </x:c>
      <x:c r="T51" s="46" t="str">
        <x:v>https://pmc.ncbi.nlm.nih.gov/articles/PMC9689929/</x:v>
      </x:c>
      <x:c r="U51" s="46" t="str">
        <x:v>study_contains_other_coating_treatments</x:v>
      </x:c>
      <x:c r="V51" s="46" t="str">
        <x:v>dry_age_delta_only</x:v>
      </x:c>
      <x:c r="W51" s="46" t="str">
        <x:v>Not evidence for a generic fresh-beef core.</x:v>
      </x:c>
      <x:c r="X51" t="str">
        <x:v>beef:muscle</x:v>
      </x:c>
      <x:c r="Y51" t="str">
        <x:v>traditional dry-aged comparator</x:v>
      </x:c>
      <x:c r="Z51" t="str">
        <x:v>active_beef_muscle</x:v>
      </x:c>
    </x:row>
    <x:row r="52" ht="26.399999618530273" hidden="0" customHeight="1">
      <x:c r="A52" s="46" t="str">
        <x:v>BP-051</x:v>
      </x:c>
      <x:c r="B52" s="46" t="str">
        <x:v>beef</x:v>
      </x:c>
      <x:c r="C52" s="46" t="str">
        <x:v>family:beef</x:v>
      </x:c>
      <x:c r="D52" s="46" t="str">
        <x:v>cooked</x:v>
      </x:c>
      <x:c r="E52" s="46" t="str">
        <x:v>M. longissimus thoracis; forage comparison</x:v>
      </x:c>
      <x:c r="F52" s="46" t="str">
        <x:v>1,2,4-trimethylbenzene</x:v>
      </x:c>
      <x:c r="G52" s="46" t="str">
        <x:v>95-63-6</x:v>
      </x:c>
      <x:c r="H52" s="46" t="str">
        <x:v>Hydrocarbons, aromatics</x:v>
      </x:c>
      <x:c r="I52" s="46" t="str">
        <x:v>measured</x:v>
      </x:c>
      <x:c r="J52" s="46" t="str">
        <x:v>none</x:v>
      </x:c>
      <x:c r="K52" s="46" t="str">
        <x:v>cooked</x:v>
      </x:c>
      <x:c r="L52" s="46" t="str">
        <x:v>context_specific_detection</x:v>
      </x:c>
      <x:c r="M52" s="46" t="str">
        <x:v>Detected at low relative abundance in both dietary groups; no sensory validation.</x:v>
      </x:c>
      <x:c r="N52" s="46"/>
      <x:c r="O52" s="46" t="str">
        <x:v>relative %</x:v>
      </x:c>
      <x:c r="P52" s="46"/>
      <x:c r="Q52" s="46"/>
      <x:c r="R52" s="46"/>
      <x:c r="S52" s="46" t="str">
        <x:v>SRC-BEEF-DIET-001</x:v>
      </x:c>
      <x:c r="T52" s="46" t="str">
        <x:v>https://www.frontiersin.org/journals/veterinary-science/articles/10.3389/fvets.2024.1416365/full</x:v>
      </x:c>
      <x:c r="U52" s="46" t="str">
        <x:v>diet_comparison</x:v>
      </x:c>
      <x:c r="V52" s="46" t="str">
        <x:v>state_specific_detection_not_core</x:v>
      </x:c>
      <x:c r="W52" s="46"/>
      <x:c r="X52" t="str">
        <x:v>beef:muscle</x:v>
      </x:c>
      <x:c r="Y52" t="str">
        <x:v>M. longissimus thoracis; forage comparison</x:v>
      </x:c>
      <x:c r="Z52" t="str">
        <x:v>active_beef_muscle</x:v>
      </x:c>
    </x:row>
    <x:row r="53" ht="26.399999618530273" hidden="0" customHeight="1">
      <x:c r="A53" s="46" t="str">
        <x:v>BP-052</x:v>
      </x:c>
      <x:c r="B53" s="46" t="str">
        <x:v>beef</x:v>
      </x:c>
      <x:c r="C53" s="46" t="str">
        <x:v>family:beef</x:v>
      </x:c>
      <x:c r="D53" s="46" t="str">
        <x:v>dry-rendered</x:v>
      </x:c>
      <x:c r="E53" s="46" t="str">
        <x:v>abdominal subcutaneous fat</x:v>
      </x:c>
      <x:c r="F53" s="46" t="str">
        <x:v>2-tridecanone</x:v>
      </x:c>
      <x:c r="G53" s="46" t="str">
        <x:v>593-08-8</x:v>
      </x:c>
      <x:c r="H53" s="46" t="str">
        <x:v>Carbonyls, ketones</x:v>
      </x:c>
      <x:c r="I53" s="46" t="str">
        <x:v>measured</x:v>
      </x:c>
      <x:c r="J53" s="46" t="str">
        <x:v>none</x:v>
      </x:c>
      <x:c r="K53" s="46" t="str">
        <x:v>dry-rendered fat</x:v>
      </x:c>
      <x:c r="L53" s="46" t="str">
        <x:v>fat_specific_detection</x:v>
      </x:c>
      <x:c r="M53" s="46" t="str">
        <x:v>Detected in dry-rendered beef fat; not established among source OAV≥1 key set.</x:v>
      </x:c>
      <x:c r="N53" s="46"/>
      <x:c r="O53" s="46"/>
      <x:c r="P53" s="46"/>
      <x:c r="Q53" s="46"/>
      <x:c r="R53" s="46"/>
      <x:c r="S53" s="46" t="str">
        <x:v>SRC-BEEF-FAT-001</x:v>
      </x:c>
      <x:c r="T53" s="46" t="str">
        <x:v>https://pmc.ncbi.nlm.nih.gov/articles/PMC10486796/</x:v>
      </x:c>
      <x:c r="U53" s="46" t="str">
        <x:v>no</x:v>
      </x:c>
      <x:c r="V53" s="46" t="str">
        <x:v>superseded_moved_to_beef_fat_profile_v16</x:v>
      </x:c>
      <x:c r="W53" s="46" t="str">
        <x:v>MR-13 correction: active observation moved to Verified Beef Fat Profile; source remains SRC-BEEF-FAT-001.</x:v>
      </x:c>
      <x:c r="X53" t="str">
        <x:v>beef:fat</x:v>
      </x:c>
      <x:c r="Y53" t="str">
        <x:v>abdominal subcutaneous fat</x:v>
      </x:c>
      <x:c r="Z53" t="str">
        <x:v>moved_to_separate_product_v16</x:v>
      </x:c>
    </x:row>
    <x:row r="54" ht="15" hidden="0" customHeight="1">
      <x:c r="A54" s="46" t="str">
        <x:v>BP-053</x:v>
      </x:c>
      <x:c r="B54" s="46" t="str">
        <x:v>beef</x:v>
      </x:c>
      <x:c r="C54" s="46" t="str">
        <x:v>family:beef</x:v>
      </x:c>
      <x:c r="D54" s="46" t="str">
        <x:v>stored / spoilage</x:v>
      </x:c>
      <x:c r="E54" s="46" t="str">
        <x:v>minced beef</x:v>
      </x:c>
      <x:c r="F54" s="46" t="str">
        <x:v>3-octanone</x:v>
      </x:c>
      <x:c r="G54" s="46" t="str">
        <x:v>106-68-3</x:v>
      </x:c>
      <x:c r="H54" s="46" t="str">
        <x:v>Carbonyls, ketones</x:v>
      </x:c>
      <x:c r="I54" s="46" t="str">
        <x:v>measured</x:v>
      </x:c>
      <x:c r="J54" s="46" t="str">
        <x:v>none</x:v>
      </x:c>
      <x:c r="K54" s="46" t="str">
        <x:v>spoilage/storage</x:v>
      </x:c>
      <x:c r="L54" s="46" t="str">
        <x:v>spoilage_marker</x:v>
      </x:c>
      <x:c r="M54" s="46" t="str">
        <x:v>Associated with spoilage/storage dynamics in minced beef.</x:v>
      </x:c>
      <x:c r="N54" s="46"/>
      <x:c r="O54" s="46"/>
      <x:c r="P54" s="46"/>
      <x:c r="Q54" s="46"/>
      <x:c r="R54" s="46"/>
      <x:c r="S54" s="46" t="str">
        <x:v>SRC-BEEF-SPOIL-001</x:v>
      </x:c>
      <x:c r="T54" s="46" t="str">
        <x:v>https://pubmed.ncbi.nlm.nih.gov/25462923/</x:v>
      </x:c>
      <x:c r="U54" s="46" t="str">
        <x:v>spoilage_context</x:v>
      </x:c>
      <x:c r="V54" s="46" t="str">
        <x:v>exclude_from_desirable_culinary_core</x:v>
      </x:c>
      <x:c r="W54" s="46" t="str">
        <x:v>Presence in beef does not make it a desirable aroma target.</x:v>
      </x:c>
      <x:c r="X54" t="str">
        <x:v>beef:muscle</x:v>
      </x:c>
      <x:c r="Y54" t="str">
        <x:v>minced beef</x:v>
      </x:c>
      <x:c r="Z54" t="str">
        <x:v>active_beef_muscle</x:v>
      </x:c>
    </x:row>
    <x:row r="55">
      <x:c r="A55" s="23" t="str">
        <x:v>BP-054</x:v>
      </x:c>
      <x:c r="B55" s="23" t="str">
        <x:v>beef</x:v>
      </x:c>
      <x:c r="C55" s="23" t="str">
        <x:v>family:beef</x:v>
      </x:c>
      <x:c r="D55" s="23" t="str">
        <x:v>seared</x:v>
      </x:c>
      <x:c r="E55" s="23" t="str">
        <x:v>beef tenderloin</x:v>
      </x:c>
      <x:c r="F55" s="23" t="str">
        <x:v>hexanal</x:v>
      </x:c>
      <x:c r="G55" s="23" t="str">
        <x:v>66-25-1</x:v>
      </x:c>
      <x:c r="H55" s="23" t="str">
        <x:v>Carbonyls, aldehydes</x:v>
      </x:c>
      <x:c r="I55" s="23" t="str">
        <x:v>measured</x:v>
      </x:c>
      <x:c r="J55" s="23" t="str">
        <x:v>sensory_panel_state_level</x:v>
      </x:c>
      <x:c r="K55" s="23" t="str">
        <x:v>seared + reverse-seared</x:v>
      </x:c>
      <x:c r="L55" s="23" t="str">
        <x:v>dominant_sear_aldehyde</x:v>
      </x:c>
      <x:c r="M55" s="23" t="str">
        <x:v>Predominant aldehyde in both seared and reverse-seared steaks.</x:v>
      </x:c>
      <x:c r="N55" s="23"/>
      <x:c r="O55" s="23"/>
      <x:c r="P55" s="23"/>
      <x:c r="Q55" s="23"/>
      <x:c r="R55" s="23"/>
      <x:c r="S55" s="23" t="str">
        <x:v>SRC-BEEF-SEAR-001</x:v>
      </x:c>
      <x:c r="T55" s="23" t="str">
        <x:v>https://pmc.ncbi.nlm.nih.gov/articles/PMC9317986/</x:v>
      </x:c>
      <x:c r="U55" s="23" t="str">
        <x:v>no</x:v>
      </x:c>
      <x:c r="V55" s="23" t="str">
        <x:v>eligible_seared_detection_v13</x:v>
      </x:c>
      <x:c r="W55" s="23" t="str">
        <x:v>Sensory evaluation is at steak/state level, not compound-specific GC-O.</x:v>
      </x:c>
      <x:c r="X55" t="str">
        <x:v>beef:muscle</x:v>
      </x:c>
      <x:c r="Y55" t="str">
        <x:v>beef tenderloin</x:v>
      </x:c>
      <x:c r="Z55" t="str">
        <x:v>active_beef_muscle</x:v>
      </x:c>
    </x:row>
    <x:row r="56">
      <x:c r="A56" s="23" t="str">
        <x:v>BP-055</x:v>
      </x:c>
      <x:c r="B56" s="23" t="str">
        <x:v>beef</x:v>
      </x:c>
      <x:c r="C56" s="23" t="str">
        <x:v>family:beef</x:v>
      </x:c>
      <x:c r="D56" s="23" t="str">
        <x:v>seared</x:v>
      </x:c>
      <x:c r="E56" s="23" t="str">
        <x:v>beef tenderloin</x:v>
      </x:c>
      <x:c r="F56" s="23" t="str">
        <x:v>pentanal</x:v>
      </x:c>
      <x:c r="G56" s="23" t="str">
        <x:v>110-62-3</x:v>
      </x:c>
      <x:c r="H56" s="23" t="str">
        <x:v>Carbonyls, aldehydes</x:v>
      </x:c>
      <x:c r="I56" s="23" t="str">
        <x:v>measured</x:v>
      </x:c>
      <x:c r="J56" s="23" t="str">
        <x:v>sensory_panel_state_level</x:v>
      </x:c>
      <x:c r="K56" s="23" t="str">
        <x:v>seared + reverse-seared</x:v>
      </x:c>
      <x:c r="L56" s="23" t="str">
        <x:v>major_sear_aldehyde</x:v>
      </x:c>
      <x:c r="M56" s="23" t="str">
        <x:v>Reported after hexanal among the predominant aldehydes in both searing methods.</x:v>
      </x:c>
      <x:c r="N56" s="23"/>
      <x:c r="O56" s="23"/>
      <x:c r="P56" s="23"/>
      <x:c r="Q56" s="23"/>
      <x:c r="R56" s="23"/>
      <x:c r="S56" s="23" t="str">
        <x:v>SRC-BEEF-SEAR-001</x:v>
      </x:c>
      <x:c r="T56" s="23" t="str">
        <x:v>https://pmc.ncbi.nlm.nih.gov/articles/PMC9317986/</x:v>
      </x:c>
      <x:c r="U56" s="23" t="str">
        <x:v>no</x:v>
      </x:c>
      <x:c r="V56" s="23" t="str">
        <x:v>eligible_seared_detection_v13</x:v>
      </x:c>
      <x:c r="W56" s="23" t="str">
        <x:v>Not compound-specific sensory validation.</x:v>
      </x:c>
      <x:c r="X56" t="str">
        <x:v>beef:muscle</x:v>
      </x:c>
      <x:c r="Y56" t="str">
        <x:v>beef tenderloin</x:v>
      </x:c>
      <x:c r="Z56" t="str">
        <x:v>active_beef_muscle</x:v>
      </x:c>
    </x:row>
    <x:row r="57">
      <x:c r="A57" s="23" t="str">
        <x:v>BP-056</x:v>
      </x:c>
      <x:c r="B57" s="23" t="str">
        <x:v>beef</x:v>
      </x:c>
      <x:c r="C57" s="23" t="str">
        <x:v>family:beef</x:v>
      </x:c>
      <x:c r="D57" s="23" t="str">
        <x:v>seared</x:v>
      </x:c>
      <x:c r="E57" s="23" t="str">
        <x:v>beef tenderloin</x:v>
      </x:c>
      <x:c r="F57" s="23" t="str">
        <x:v>heptanal</x:v>
      </x:c>
      <x:c r="G57" s="23" t="str">
        <x:v>111-71-7</x:v>
      </x:c>
      <x:c r="H57" s="23" t="str">
        <x:v>Carbonyls, aldehydes</x:v>
      </x:c>
      <x:c r="I57" s="23" t="str">
        <x:v>measured</x:v>
      </x:c>
      <x:c r="J57" s="23" t="str">
        <x:v>sensory_panel_state_level</x:v>
      </x:c>
      <x:c r="K57" s="23" t="str">
        <x:v>seared + reverse-seared</x:v>
      </x:c>
      <x:c r="L57" s="23" t="str">
        <x:v>major_sear_aldehyde</x:v>
      </x:c>
      <x:c r="M57" s="23" t="str">
        <x:v>Reported with hexanal and pentanal as predominant aldehydes.</x:v>
      </x:c>
      <x:c r="N57" s="23"/>
      <x:c r="O57" s="23"/>
      <x:c r="P57" s="23"/>
      <x:c r="Q57" s="23"/>
      <x:c r="R57" s="23"/>
      <x:c r="S57" s="23" t="str">
        <x:v>SRC-BEEF-SEAR-001</x:v>
      </x:c>
      <x:c r="T57" s="23" t="str">
        <x:v>https://pmc.ncbi.nlm.nih.gov/articles/PMC9317986/</x:v>
      </x:c>
      <x:c r="U57" s="23" t="str">
        <x:v>no</x:v>
      </x:c>
      <x:c r="V57" s="23" t="str">
        <x:v>eligible_seared_detection_v13</x:v>
      </x:c>
      <x:c r="W57" s="23" t="str">
        <x:v>Not compound-specific sensory validation.</x:v>
      </x:c>
      <x:c r="X57" t="str">
        <x:v>beef:muscle</x:v>
      </x:c>
      <x:c r="Y57" t="str">
        <x:v>beef tenderloin</x:v>
      </x:c>
      <x:c r="Z57" t="str">
        <x:v>active_beef_muscle</x:v>
      </x:c>
    </x:row>
    <x:row r="58">
      <x:c r="A58" s="23" t="str">
        <x:v>BP-057</x:v>
      </x:c>
      <x:c r="B58" s="23" t="str">
        <x:v>beef</x:v>
      </x:c>
      <x:c r="C58" s="23" t="str">
        <x:v>family:beef</x:v>
      </x:c>
      <x:c r="D58" s="23" t="str">
        <x:v>seared</x:v>
      </x:c>
      <x:c r="E58" s="23" t="str">
        <x:v>beef tenderloin</x:v>
      </x:c>
      <x:c r="F58" s="23" t="str">
        <x:v>2,3-octanedione</x:v>
      </x:c>
      <x:c r="G58" s="23" t="str">
        <x:v>585-25-1</x:v>
      </x:c>
      <x:c r="H58" s="23" t="str">
        <x:v>Carbonyls, ketones</x:v>
      </x:c>
      <x:c r="I58" s="23" t="str">
        <x:v>measured</x:v>
      </x:c>
      <x:c r="J58" s="23" t="str">
        <x:v>none</x:v>
      </x:c>
      <x:c r="K58" s="23" t="str">
        <x:v>seared + reverse-seared</x:v>
      </x:c>
      <x:c r="L58" s="23" t="str">
        <x:v>searing_method_differentiator</x:v>
      </x:c>
      <x:c r="M58" s="23" t="str">
        <x:v>One of the compounds significantly increased in reverse-seared steaks versus conventional sear.</x:v>
      </x:c>
      <x:c r="N58" s="23"/>
      <x:c r="O58" s="23"/>
      <x:c r="P58" s="23"/>
      <x:c r="Q58" s="23"/>
      <x:c r="R58" s="23"/>
      <x:c r="S58" s="23" t="str">
        <x:v>SRC-BEEF-SEAR-001</x:v>
      </x:c>
      <x:c r="T58" s="23" t="str">
        <x:v>https://pmc.ncbi.nlm.nih.gov/articles/PMC9317986/</x:v>
      </x:c>
      <x:c r="U58" s="23" t="str">
        <x:v>no</x:v>
      </x:c>
      <x:c r="V58" s="23" t="str">
        <x:v>state_differentiating_not_core</x:v>
      </x:c>
      <x:c r="W58" s="23" t="str">
        <x:v>Differentiates searing method; do not treat as universal high-heat core from this source alone.</x:v>
      </x:c>
      <x:c r="X58" t="str">
        <x:v>beef:muscle</x:v>
      </x:c>
      <x:c r="Y58" t="str">
        <x:v>beef tenderloin</x:v>
      </x:c>
      <x:c r="Z58" t="str">
        <x:v>active_beef_muscle</x:v>
      </x:c>
    </x:row>
    <x:row r="59">
      <x:c r="A59" s="23" t="str">
        <x:v>BP-058</x:v>
      </x:c>
      <x:c r="B59" s="23" t="str">
        <x:v>beef</x:v>
      </x:c>
      <x:c r="C59" s="23" t="str">
        <x:v>family:beef</x:v>
      </x:c>
      <x:c r="D59" s="23" t="str">
        <x:v>grilled</x:v>
      </x:c>
      <x:c r="E59" s="23" t="str">
        <x:v>beef loin; four finishing diets</x:v>
      </x:c>
      <x:c r="F59" s="23" t="str">
        <x:v>1-octen-3-one</x:v>
      </x:c>
      <x:c r="G59" s="23" t="str">
        <x:v>4312-99-6</x:v>
      </x:c>
      <x:c r="H59" s="23" t="str">
        <x:v>Carbonyls, ketones</x:v>
      </x:c>
      <x:c r="I59" s="23" t="str">
        <x:v>measured</x:v>
      </x:c>
      <x:c r="J59" s="23" t="str">
        <x:v>GC-O_high_score</x:v>
      </x:c>
      <x:c r="K59" s="23" t="str">
        <x:v>grilled</x:v>
      </x:c>
      <x:c r="L59" s="23" t="str">
        <x:v>sensory_important_grilled</x:v>
      </x:c>
      <x:c r="M59" s="23" t="str">
        <x:v>Among odorants reaching high GC-O scores across grilled-beef finishing systems.</x:v>
      </x:c>
      <x:c r="N59" s="23"/>
      <x:c r="O59" s="23"/>
      <x:c r="P59" s="23" t="str">
        <x:v>GC-O score</x:v>
      </x:c>
      <x:c r="Q59" s="23"/>
      <x:c r="R59" s="23"/>
      <x:c r="S59" s="23" t="str">
        <x:v>SRC-BEEF-GRILL-GCO-001</x:v>
      </x:c>
      <x:c r="T59" s="23" t="str">
        <x:v>https://pubmed.ncbi.nlm.nih.gov/22591324/</x:v>
      </x:c>
      <x:c r="U59" s="23" t="str">
        <x:v>feed_system_comparison</x:v>
      </x:c>
      <x:c r="V59" s="23" t="str">
        <x:v>eligible_grilled_sensory_v13</x:v>
      </x:c>
      <x:c r="W59" s="23"/>
      <x:c r="X59" t="str">
        <x:v>beef:muscle</x:v>
      </x:c>
      <x:c r="Y59" t="str">
        <x:v>beef loin; four finishing diets</x:v>
      </x:c>
      <x:c r="Z59" t="str">
        <x:v>active_beef_muscle</x:v>
      </x:c>
    </x:row>
    <x:row r="60">
      <x:c r="A60" s="23" t="str">
        <x:v>BP-059</x:v>
      </x:c>
      <x:c r="B60" s="23" t="str">
        <x:v>beef</x:v>
      </x:c>
      <x:c r="C60" s="23" t="str">
        <x:v>family:beef</x:v>
      </x:c>
      <x:c r="D60" s="23" t="str">
        <x:v>grilled</x:v>
      </x:c>
      <x:c r="E60" s="23" t="str">
        <x:v>beef loin; four finishing diets</x:v>
      </x:c>
      <x:c r="F60" s="23" t="str">
        <x:v>(E)-2-octenal</x:v>
      </x:c>
      <x:c r="G60" s="23" t="str">
        <x:v>2548-87-0</x:v>
      </x:c>
      <x:c r="H60" s="23" t="str">
        <x:v>Carbonyls, aldehydes</x:v>
      </x:c>
      <x:c r="I60" s="23" t="str">
        <x:v>measured</x:v>
      </x:c>
      <x:c r="J60" s="23" t="str">
        <x:v>GC-O_high_score</x:v>
      </x:c>
      <x:c r="K60" s="23" t="str">
        <x:v>grilled</x:v>
      </x:c>
      <x:c r="L60" s="23" t="str">
        <x:v>sensory_important_grilled</x:v>
      </x:c>
      <x:c r="M60" s="23" t="str">
        <x:v>Among odorants reaching high GC-O scores.</x:v>
      </x:c>
      <x:c r="N60" s="23"/>
      <x:c r="O60" s="23"/>
      <x:c r="P60" s="23" t="str">
        <x:v>GC-O score</x:v>
      </x:c>
      <x:c r="Q60" s="23"/>
      <x:c r="R60" s="23"/>
      <x:c r="S60" s="23" t="str">
        <x:v>SRC-BEEF-GRILL-GCO-001</x:v>
      </x:c>
      <x:c r="T60" s="23" t="str">
        <x:v>https://pubmed.ncbi.nlm.nih.gov/22591324/</x:v>
      </x:c>
      <x:c r="U60" s="23" t="str">
        <x:v>feed_system_comparison</x:v>
      </x:c>
      <x:c r="V60" s="23" t="str">
        <x:v>eligible_grilled_sensory_v13</x:v>
      </x:c>
      <x:c r="W60" s="23"/>
      <x:c r="X60" t="str">
        <x:v>beef:muscle</x:v>
      </x:c>
      <x:c r="Y60" t="str">
        <x:v>beef loin; four finishing diets</x:v>
      </x:c>
      <x:c r="Z60" t="str">
        <x:v>active_beef_muscle</x:v>
      </x:c>
    </x:row>
    <x:row r="61">
      <x:c r="A61" s="23" t="str">
        <x:v>BP-060</x:v>
      </x:c>
      <x:c r="B61" s="23" t="str">
        <x:v>beef</x:v>
      </x:c>
      <x:c r="C61" s="23" t="str">
        <x:v>family:beef</x:v>
      </x:c>
      <x:c r="D61" s="23" t="str">
        <x:v>grilled</x:v>
      </x:c>
      <x:c r="E61" s="23" t="str">
        <x:v>beef loin; four finishing diets</x:v>
      </x:c>
      <x:c r="F61" s="23" t="str">
        <x:v>methional</x:v>
      </x:c>
      <x:c r="G61" s="23" t="str">
        <x:v>3268-49-3</x:v>
      </x:c>
      <x:c r="H61" s="23" t="str">
        <x:v>Sulfur compounds</x:v>
      </x:c>
      <x:c r="I61" s="23" t="str">
        <x:v>measured</x:v>
      </x:c>
      <x:c r="J61" s="23" t="str">
        <x:v>GC-O_high_score</x:v>
      </x:c>
      <x:c r="K61" s="23" t="str">
        <x:v>grilled</x:v>
      </x:c>
      <x:c r="L61" s="23" t="str">
        <x:v>sensory_important_grilled</x:v>
      </x:c>
      <x:c r="M61" s="23" t="str">
        <x:v>Among odorants reaching high GC-O scores; concentration differed with finishing diet.</x:v>
      </x:c>
      <x:c r="N61" s="23"/>
      <x:c r="O61" s="23"/>
      <x:c r="P61" s="23" t="str">
        <x:v>GC-O score</x:v>
      </x:c>
      <x:c r="Q61" s="23"/>
      <x:c r="R61" s="23"/>
      <x:c r="S61" s="23" t="str">
        <x:v>SRC-BEEF-GRILL-GCO-001</x:v>
      </x:c>
      <x:c r="T61" s="23" t="str">
        <x:v>https://pubmed.ncbi.nlm.nih.gov/22591324/</x:v>
      </x:c>
      <x:c r="U61" s="23" t="str">
        <x:v>feed_system_comparison</x:v>
      </x:c>
      <x:c r="V61" s="23" t="str">
        <x:v>eligible_grilled_sensory_v13</x:v>
      </x:c>
      <x:c r="W61" s="23"/>
      <x:c r="X61" t="str">
        <x:v>beef:muscle</x:v>
      </x:c>
      <x:c r="Y61" t="str">
        <x:v>beef loin; four finishing diets</x:v>
      </x:c>
      <x:c r="Z61" t="str">
        <x:v>active_beef_muscle</x:v>
      </x:c>
    </x:row>
    <x:row r="62">
      <x:c r="A62" s="23" t="str">
        <x:v>BP-061</x:v>
      </x:c>
      <x:c r="B62" s="23" t="str">
        <x:v>beef</x:v>
      </x:c>
      <x:c r="C62" s="23" t="str">
        <x:v>family:beef</x:v>
      </x:c>
      <x:c r="D62" s="23" t="str">
        <x:v>grilled</x:v>
      </x:c>
      <x:c r="E62" s="23" t="str">
        <x:v>beef loin; four finishing diets</x:v>
      </x:c>
      <x:c r="F62" s="23" t="str">
        <x:v>hexanal</x:v>
      </x:c>
      <x:c r="G62" s="23" t="str">
        <x:v>66-25-1</x:v>
      </x:c>
      <x:c r="H62" s="23" t="str">
        <x:v>Carbonyls, aldehydes</x:v>
      </x:c>
      <x:c r="I62" s="23" t="str">
        <x:v>measured</x:v>
      </x:c>
      <x:c r="J62" s="23" t="str">
        <x:v>GC-O_high_score</x:v>
      </x:c>
      <x:c r="K62" s="23" t="str">
        <x:v>grilled</x:v>
      </x:c>
      <x:c r="L62" s="23" t="str">
        <x:v>sensory_important_grilled</x:v>
      </x:c>
      <x:c r="M62" s="23" t="str">
        <x:v>Among odorants reaching high GC-O scores.</x:v>
      </x:c>
      <x:c r="N62" s="23"/>
      <x:c r="O62" s="23"/>
      <x:c r="P62" s="23" t="str">
        <x:v>GC-O score</x:v>
      </x:c>
      <x:c r="Q62" s="23"/>
      <x:c r="R62" s="23"/>
      <x:c r="S62" s="23" t="str">
        <x:v>SRC-BEEF-GRILL-GCO-001</x:v>
      </x:c>
      <x:c r="T62" s="23" t="str">
        <x:v>https://pubmed.ncbi.nlm.nih.gov/22591324/</x:v>
      </x:c>
      <x:c r="U62" s="23" t="str">
        <x:v>feed_system_comparison</x:v>
      </x:c>
      <x:c r="V62" s="23" t="str">
        <x:v>eligible_grilled_sensory_v13</x:v>
      </x:c>
      <x:c r="W62" s="23"/>
      <x:c r="X62" t="str">
        <x:v>beef:muscle</x:v>
      </x:c>
      <x:c r="Y62" t="str">
        <x:v>beef loin; four finishing diets</x:v>
      </x:c>
      <x:c r="Z62" t="str">
        <x:v>active_beef_muscle</x:v>
      </x:c>
    </x:row>
    <x:row r="63">
      <x:c r="A63" s="23" t="str">
        <x:v>BP-062</x:v>
      </x:c>
      <x:c r="B63" s="23" t="str">
        <x:v>beef</x:v>
      </x:c>
      <x:c r="C63" s="23" t="str">
        <x:v>family:beef</x:v>
      </x:c>
      <x:c r="D63" s="23" t="str">
        <x:v>grilled</x:v>
      </x:c>
      <x:c r="E63" s="23" t="str">
        <x:v>Longissimus lumborum; USDA quality grades</x:v>
      </x:c>
      <x:c r="F63" s="23" t="str">
        <x:v>phenylacetaldehyde</x:v>
      </x:c>
      <x:c r="G63" s="23" t="str">
        <x:v>122-78-1</x:v>
      </x:c>
      <x:c r="H63" s="23" t="str">
        <x:v>Carbonyls, aldehydes</x:v>
      </x:c>
      <x:c r="I63" s="23" t="str">
        <x:v>measured</x:v>
      </x:c>
      <x:c r="J63" s="23" t="str">
        <x:v>sensory_correlation</x:v>
      </x:c>
      <x:c r="K63" s="23" t="str">
        <x:v>grilled</x:v>
      </x:c>
      <x:c r="L63" s="23" t="str">
        <x:v>quality_grade_sensory_correlate</x:v>
      </x:c>
      <x:c r="M63" s="23" t="str">
        <x:v>Greater in Prime and Low Choice than Standard and associated with favorable sensory attributes.</x:v>
      </x:c>
      <x:c r="N63" s="23"/>
      <x:c r="O63" s="23"/>
      <x:c r="P63" s="23" t="str">
        <x:v>sensory_correlation</x:v>
      </x:c>
      <x:c r="Q63" s="23"/>
      <x:c r="R63" s="23"/>
      <x:c r="S63" s="23" t="str">
        <x:v>SRC-BEEF-GRILL-GRADE-001</x:v>
      </x:c>
      <x:c r="T63" s="23" t="str">
        <x:v>https://pubmed.ncbi.nlm.nih.gov/26555563/</x:v>
      </x:c>
      <x:c r="U63" s="23" t="str">
        <x:v>quality_grade_comparison</x:v>
      </x:c>
      <x:c r="V63" s="23" t="str">
        <x:v>grilled_fat_weighting_evidence</x:v>
      </x:c>
      <x:c r="W63" s="23" t="str">
        <x:v>Correlation is not causal sensory validation.</x:v>
      </x:c>
      <x:c r="X63" t="str">
        <x:v>beef:muscle</x:v>
      </x:c>
      <x:c r="Y63" t="str">
        <x:v>Longissimus lumborum; USDA quality grades</x:v>
      </x:c>
      <x:c r="Z63" t="str">
        <x:v>active_beef_muscle</x:v>
      </x:c>
    </x:row>
    <x:row r="64">
      <x:c r="A64" s="23" t="str">
        <x:v>BP-063</x:v>
      </x:c>
      <x:c r="B64" s="23" t="str">
        <x:v>beef</x:v>
      </x:c>
      <x:c r="C64" s="23" t="str">
        <x:v>family:beef</x:v>
      </x:c>
      <x:c r="D64" s="23" t="str">
        <x:v>grilled</x:v>
      </x:c>
      <x:c r="E64" s="23" t="str">
        <x:v>Longissimus lumborum; USDA quality grades</x:v>
      </x:c>
      <x:c r="F64" s="23" t="str">
        <x:v>2,3-butanedione</x:v>
      </x:c>
      <x:c r="G64" s="23" t="str">
        <x:v>431-03-8</x:v>
      </x:c>
      <x:c r="H64" s="23" t="str">
        <x:v>Carbonyls, ketones</x:v>
      </x:c>
      <x:c r="I64" s="23" t="str">
        <x:v>measured</x:v>
      </x:c>
      <x:c r="J64" s="23" t="str">
        <x:v>sensory_correlation</x:v>
      </x:c>
      <x:c r="K64" s="23" t="str">
        <x:v>grilled</x:v>
      </x:c>
      <x:c r="L64" s="23" t="str">
        <x:v>quality_grade_sensory_correlate</x:v>
      </x:c>
      <x:c r="M64" s="23" t="str">
        <x:v>Greatest in Prime; quality grade associated with descriptive and consumer flavor differences.</x:v>
      </x:c>
      <x:c r="N64" s="23"/>
      <x:c r="O64" s="23"/>
      <x:c r="P64" s="23" t="str">
        <x:v>sensory_correlation</x:v>
      </x:c>
      <x:c r="Q64" s="23"/>
      <x:c r="R64" s="23"/>
      <x:c r="S64" s="23" t="str">
        <x:v>SRC-BEEF-GRILL-GRADE-001</x:v>
      </x:c>
      <x:c r="T64" s="23" t="str">
        <x:v>https://pubmed.ncbi.nlm.nih.gov/26555563/</x:v>
      </x:c>
      <x:c r="U64" s="23" t="str">
        <x:v>quality_grade_comparison</x:v>
      </x:c>
      <x:c r="V64" s="23" t="str">
        <x:v>grilled_fat_weighting_evidence</x:v>
      </x:c>
      <x:c r="W64" s="23" t="str">
        <x:v>Correlation is not causal sensory validation.</x:v>
      </x:c>
      <x:c r="X64" t="str">
        <x:v>beef:muscle</x:v>
      </x:c>
      <x:c r="Y64" t="str">
        <x:v>Longissimus lumborum; USDA quality grades</x:v>
      </x:c>
      <x:c r="Z64" t="str">
        <x:v>active_beef_muscle</x:v>
      </x:c>
    </x:row>
    <x:row r="65">
      <x:c r="A65" s="23" t="str">
        <x:v>BP-064</x:v>
      </x:c>
      <x:c r="B65" s="23" t="str">
        <x:v>beef</x:v>
      </x:c>
      <x:c r="C65" s="23" t="str">
        <x:v>family:beef</x:v>
      </x:c>
      <x:c r="D65" s="23" t="str">
        <x:v>grilled</x:v>
      </x:c>
      <x:c r="E65" s="23" t="str">
        <x:v>Longissimus lumborum; USDA quality grades</x:v>
      </x:c>
      <x:c r="F65" s="23" t="str">
        <x:v>3-hydroxy-2-butanone</x:v>
      </x:c>
      <x:c r="G65" s="23" t="str">
        <x:v>513-86-0</x:v>
      </x:c>
      <x:c r="H65" s="23" t="str">
        <x:v>Carbonyls, ketones</x:v>
      </x:c>
      <x:c r="I65" s="23" t="str">
        <x:v>measured</x:v>
      </x:c>
      <x:c r="J65" s="23" t="str">
        <x:v>sensory_correlation</x:v>
      </x:c>
      <x:c r="K65" s="23" t="str">
        <x:v>grilled</x:v>
      </x:c>
      <x:c r="L65" s="23" t="str">
        <x:v>quality_grade_sensory_correlate</x:v>
      </x:c>
      <x:c r="M65" s="23" t="str">
        <x:v>Greatest in Prime and positively correlated with overall liking and descriptive flavor attributes.</x:v>
      </x:c>
      <x:c r="N65" s="23"/>
      <x:c r="O65" s="23"/>
      <x:c r="P65" s="23" t="str">
        <x:v>sensory_correlation</x:v>
      </x:c>
      <x:c r="Q65" s="23"/>
      <x:c r="R65" s="23"/>
      <x:c r="S65" s="23" t="str">
        <x:v>SRC-BEEF-GRILL-GRADE-001</x:v>
      </x:c>
      <x:c r="T65" s="23" t="str">
        <x:v>https://pubmed.ncbi.nlm.nih.gov/26555563/</x:v>
      </x:c>
      <x:c r="U65" s="23" t="str">
        <x:v>quality_grade_comparison</x:v>
      </x:c>
      <x:c r="V65" s="23" t="str">
        <x:v>grilled_fat_weighting_evidence</x:v>
      </x:c>
      <x:c r="W65" s="23" t="str">
        <x:v>Correlation is not causal sensory validation.</x:v>
      </x:c>
      <x:c r="X65" t="str">
        <x:v>beef:muscle</x:v>
      </x:c>
      <x:c r="Y65" t="str">
        <x:v>Longissimus lumborum; USDA quality grades</x:v>
      </x:c>
      <x:c r="Z65" t="str">
        <x:v>active_beef_muscle</x:v>
      </x:c>
    </x:row>
    <x:row r="66">
      <x:c r="A66" s="23" t="str">
        <x:v>BP-065</x:v>
      </x:c>
      <x:c r="B66" s="23" t="str">
        <x:v>beef</x:v>
      </x:c>
      <x:c r="C66" s="23" t="str">
        <x:v>family:beef</x:v>
      </x:c>
      <x:c r="D66" s="23" t="str">
        <x:v>dry-aged</x:v>
      </x:c>
      <x:c r="E66" s="23" t="str">
        <x:v>M. longissimus lumborum; Holstein; 28 d</x:v>
      </x:c>
      <x:c r="F66" s="23" t="str">
        <x:v>2-methylbutanal</x:v>
      </x:c>
      <x:c r="G66" s="23" t="str">
        <x:v>96-17-3</x:v>
      </x:c>
      <x:c r="H66" s="23" t="str">
        <x:v>Carbonyls, aldehydes</x:v>
      </x:c>
      <x:c r="I66" s="23" t="str">
        <x:v>measured</x:v>
      </x:c>
      <x:c r="J66" s="23" t="str">
        <x:v>none</x:v>
      </x:c>
      <x:c r="K66" s="23" t="str">
        <x:v>dry_aged_28d</x:v>
      </x:c>
      <x:c r="L66" s="23" t="str">
        <x:v>dry_age_differentiator</x:v>
      </x:c>
      <x:c r="M66" s="23" t="str">
        <x:v>One of the source's principal compounds explaining dry-vs-wet aroma divergence; substantially higher at day 28 dry aging.</x:v>
      </x:c>
      <x:c r="N66" s="23"/>
      <x:c r="O66" s="23"/>
      <x:c r="P66" s="23"/>
      <x:c r="Q66" s="23"/>
      <x:c r="R66" s="23"/>
      <x:c r="S66" s="23" t="str">
        <x:v>SRC-BEEF-AGE-001</x:v>
      </x:c>
      <x:c r="T66" s="23" t="str">
        <x:v>https://pmc.ncbi.nlm.nih.gov/articles/PMC7828147/</x:v>
      </x:c>
      <x:c r="U66" s="23" t="str">
        <x:v>no</x:v>
      </x:c>
      <x:c r="V66" s="23" t="str">
        <x:v>eligible_dry_age_delta_v14</x:v>
      </x:c>
      <x:c r="W66" s="23" t="str">
        <x:v>Numeric source value is instrument peak area and is retained in Beef Quantitative Deltas, not mislabeled as concentration.</x:v>
      </x:c>
      <x:c r="X66" t="str">
        <x:v>beef:muscle</x:v>
      </x:c>
      <x:c r="Y66" t="str">
        <x:v>M. longissimus lumborum; Holstein; 28 d</x:v>
      </x:c>
      <x:c r="Z66" t="str">
        <x:v>active_beef_muscle</x:v>
      </x:c>
    </x:row>
    <x:row r="67">
      <x:c r="A67" s="23" t="str">
        <x:v>BP-066</x:v>
      </x:c>
      <x:c r="B67" s="23" t="str">
        <x:v>beef</x:v>
      </x:c>
      <x:c r="C67" s="23" t="str">
        <x:v>family:beef</x:v>
      </x:c>
      <x:c r="D67" s="23" t="str">
        <x:v>wet-aged</x:v>
      </x:c>
      <x:c r="E67" s="23" t="str">
        <x:v>M. longissimus lumborum; Holstein; 28 d</x:v>
      </x:c>
      <x:c r="F67" s="23" t="str">
        <x:v>2-methylbutanal</x:v>
      </x:c>
      <x:c r="G67" s="23" t="str">
        <x:v>96-17-3</x:v>
      </x:c>
      <x:c r="H67" s="23" t="str">
        <x:v>Carbonyls, aldehydes</x:v>
      </x:c>
      <x:c r="I67" s="23" t="str">
        <x:v>measured</x:v>
      </x:c>
      <x:c r="J67" s="23" t="str">
        <x:v>none</x:v>
      </x:c>
      <x:c r="K67" s="23" t="str">
        <x:v>wet_aged_28d</x:v>
      </x:c>
      <x:c r="L67" s="23" t="str">
        <x:v>wet_age_comparator</x:v>
      </x:c>
      <x:c r="M67" s="23" t="str">
        <x:v>Measured in the matched wet-aged comparator at day 28.</x:v>
      </x:c>
      <x:c r="N67" s="23"/>
      <x:c r="O67" s="23"/>
      <x:c r="P67" s="23"/>
      <x:c r="Q67" s="23"/>
      <x:c r="R67" s="23"/>
      <x:c r="S67" s="23" t="str">
        <x:v>SRC-BEEF-AGE-001</x:v>
      </x:c>
      <x:c r="T67" s="23" t="str">
        <x:v>https://pmc.ncbi.nlm.nih.gov/articles/PMC7828147/</x:v>
      </x:c>
      <x:c r="U67" s="23" t="str">
        <x:v>no</x:v>
      </x:c>
      <x:c r="V67" s="23" t="str">
        <x:v>comparator_only</x:v>
      </x:c>
      <x:c r="W67" s="23"/>
      <x:c r="X67" t="str">
        <x:v>beef:muscle</x:v>
      </x:c>
      <x:c r="Y67" t="str">
        <x:v>M. longissimus lumborum; Holstein; 28 d</x:v>
      </x:c>
      <x:c r="Z67" t="str">
        <x:v>active_beef_muscle</x:v>
      </x:c>
    </x:row>
    <x:row r="68">
      <x:c r="A68" s="23" t="str">
        <x:v>BP-067</x:v>
      </x:c>
      <x:c r="B68" s="23" t="str">
        <x:v>beef</x:v>
      </x:c>
      <x:c r="C68" s="23" t="str">
        <x:v>family:beef</x:v>
      </x:c>
      <x:c r="D68" s="23" t="str">
        <x:v>dry-aged</x:v>
      </x:c>
      <x:c r="E68" s="23" t="str">
        <x:v>M. longissimus lumborum; Holstein; 28 d</x:v>
      </x:c>
      <x:c r="F68" s="23" t="str">
        <x:v>2-methylpropanal</x:v>
      </x:c>
      <x:c r="G68" s="23" t="str">
        <x:v>78-84-2</x:v>
      </x:c>
      <x:c r="H68" s="23" t="str">
        <x:v>Carbonyls, aldehydes</x:v>
      </x:c>
      <x:c r="I68" s="23" t="str">
        <x:v>measured</x:v>
      </x:c>
      <x:c r="J68" s="23" t="str">
        <x:v>none</x:v>
      </x:c>
      <x:c r="K68" s="23" t="str">
        <x:v>dry_aged_28d</x:v>
      </x:c>
      <x:c r="L68" s="23" t="str">
        <x:v>dry_age_differentiator</x:v>
      </x:c>
      <x:c r="M68" s="23" t="str">
        <x:v>One of the principal dry-aging differentiators identified by the source; present at day 28 dry aging while day-28 wet comparator was not detected.</x:v>
      </x:c>
      <x:c r="N68" s="23"/>
      <x:c r="O68" s="23"/>
      <x:c r="P68" s="23"/>
      <x:c r="Q68" s="23"/>
      <x:c r="R68" s="23"/>
      <x:c r="S68" s="23" t="str">
        <x:v>SRC-BEEF-AGE-001</x:v>
      </x:c>
      <x:c r="T68" s="23" t="str">
        <x:v>https://pmc.ncbi.nlm.nih.gov/articles/PMC7828147/</x:v>
      </x:c>
      <x:c r="U68" s="23" t="str">
        <x:v>no</x:v>
      </x:c>
      <x:c r="V68" s="23" t="str">
        <x:v>eligible_dry_age_delta_v14</x:v>
      </x:c>
      <x:c r="W68" s="23" t="str">
        <x:v>No wet-aged measured row is created for the day-28 non-detect.</x:v>
      </x:c>
      <x:c r="X68" t="str">
        <x:v>beef:muscle</x:v>
      </x:c>
      <x:c r="Y68" t="str">
        <x:v>M. longissimus lumborum; Holstein; 28 d</x:v>
      </x:c>
      <x:c r="Z68" t="str">
        <x:v>active_beef_muscle</x:v>
      </x:c>
    </x:row>
    <x:row r="69">
      <x:c r="A69" s="23" t="str">
        <x:v>BP-068</x:v>
      </x:c>
      <x:c r="B69" s="23" t="str">
        <x:v>beef</x:v>
      </x:c>
      <x:c r="C69" s="23" t="str">
        <x:v>family:beef</x:v>
      </x:c>
      <x:c r="D69" s="23" t="str">
        <x:v>dry-aged</x:v>
      </x:c>
      <x:c r="E69" s="23" t="str">
        <x:v>M. longissimus lumborum; Holstein; 28 d</x:v>
      </x:c>
      <x:c r="F69" s="23" t="str">
        <x:v>propanal</x:v>
      </x:c>
      <x:c r="G69" s="23" t="str">
        <x:v>123-38-6</x:v>
      </x:c>
      <x:c r="H69" s="23" t="str">
        <x:v>Carbonyls, aldehydes</x:v>
      </x:c>
      <x:c r="I69" s="23" t="str">
        <x:v>measured</x:v>
      </x:c>
      <x:c r="J69" s="23" t="str">
        <x:v>none</x:v>
      </x:c>
      <x:c r="K69" s="23" t="str">
        <x:v>dry_aged_28d</x:v>
      </x:c>
      <x:c r="L69" s="23" t="str">
        <x:v>dry_age_differentiator</x:v>
      </x:c>
      <x:c r="M69" s="23" t="str">
        <x:v>Principal dry-aging differentiator associated with lipid oxidation; higher at day 28 dry versus wet aging.</x:v>
      </x:c>
      <x:c r="N69" s="23"/>
      <x:c r="O69" s="23"/>
      <x:c r="P69" s="23"/>
      <x:c r="Q69" s="23"/>
      <x:c r="R69" s="23"/>
      <x:c r="S69" s="23" t="str">
        <x:v>SRC-BEEF-AGE-001</x:v>
      </x:c>
      <x:c r="T69" s="23" t="str">
        <x:v>https://pmc.ncbi.nlm.nih.gov/articles/PMC7828147/</x:v>
      </x:c>
      <x:c r="U69" s="23" t="str">
        <x:v>no</x:v>
      </x:c>
      <x:c r="V69" s="23" t="str">
        <x:v>eligible_dry_age_delta_v14</x:v>
      </x:c>
      <x:c r="W69" s="23"/>
      <x:c r="X69" t="str">
        <x:v>beef:muscle</x:v>
      </x:c>
      <x:c r="Y69" t="str">
        <x:v>M. longissimus lumborum; Holstein; 28 d</x:v>
      </x:c>
      <x:c r="Z69" t="str">
        <x:v>active_beef_muscle</x:v>
      </x:c>
    </x:row>
    <x:row r="70">
      <x:c r="A70" s="23" t="str">
        <x:v>BP-069</x:v>
      </x:c>
      <x:c r="B70" s="23" t="str">
        <x:v>beef</x:v>
      </x:c>
      <x:c r="C70" s="23" t="str">
        <x:v>family:beef</x:v>
      </x:c>
      <x:c r="D70" s="23" t="str">
        <x:v>wet-aged</x:v>
      </x:c>
      <x:c r="E70" s="23" t="str">
        <x:v>M. longissimus lumborum; Holstein; 28 d</x:v>
      </x:c>
      <x:c r="F70" s="23" t="str">
        <x:v>propanal</x:v>
      </x:c>
      <x:c r="G70" s="23" t="str">
        <x:v>123-38-6</x:v>
      </x:c>
      <x:c r="H70" s="23" t="str">
        <x:v>Carbonyls, aldehydes</x:v>
      </x:c>
      <x:c r="I70" s="23" t="str">
        <x:v>measured</x:v>
      </x:c>
      <x:c r="J70" s="23" t="str">
        <x:v>none</x:v>
      </x:c>
      <x:c r="K70" s="23" t="str">
        <x:v>wet_aged_28d</x:v>
      </x:c>
      <x:c r="L70" s="23" t="str">
        <x:v>wet_age_comparator</x:v>
      </x:c>
      <x:c r="M70" s="23" t="str">
        <x:v>Measured in matched wet-aged comparator.</x:v>
      </x:c>
      <x:c r="N70" s="23"/>
      <x:c r="O70" s="23"/>
      <x:c r="P70" s="23"/>
      <x:c r="Q70" s="23"/>
      <x:c r="R70" s="23"/>
      <x:c r="S70" s="23" t="str">
        <x:v>SRC-BEEF-AGE-001</x:v>
      </x:c>
      <x:c r="T70" s="23" t="str">
        <x:v>https://pmc.ncbi.nlm.nih.gov/articles/PMC7828147/</x:v>
      </x:c>
      <x:c r="U70" s="23" t="str">
        <x:v>no</x:v>
      </x:c>
      <x:c r="V70" s="23" t="str">
        <x:v>comparator_only</x:v>
      </x:c>
      <x:c r="W70" s="23"/>
      <x:c r="X70" t="str">
        <x:v>beef:muscle</x:v>
      </x:c>
      <x:c r="Y70" t="str">
        <x:v>M. longissimus lumborum; Holstein; 28 d</x:v>
      </x:c>
      <x:c r="Z70" t="str">
        <x:v>active_beef_muscle</x:v>
      </x:c>
    </x:row>
    <x:row r="71">
      <x:c r="A71" s="23" t="str">
        <x:v>BP-070</x:v>
      </x:c>
      <x:c r="B71" s="23" t="str">
        <x:v>beef</x:v>
      </x:c>
      <x:c r="C71" s="23" t="str">
        <x:v>family:beef</x:v>
      </x:c>
      <x:c r="D71" s="23" t="str">
        <x:v>dry-aged</x:v>
      </x:c>
      <x:c r="E71" s="23" t="str">
        <x:v>M. longissimus lumborum; Holstein; 28 d</x:v>
      </x:c>
      <x:c r="F71" s="23" t="str">
        <x:v>2-methyl-2-propanethiol</x:v>
      </x:c>
      <x:c r="G71" s="23" t="str">
        <x:v>75-66-1</x:v>
      </x:c>
      <x:c r="H71" s="23" t="str">
        <x:v>Sulfur compounds</x:v>
      </x:c>
      <x:c r="I71" s="23" t="str">
        <x:v>measured</x:v>
      </x:c>
      <x:c r="J71" s="23" t="str">
        <x:v>none</x:v>
      </x:c>
      <x:c r="K71" s="23" t="str">
        <x:v>dry_aged_28d</x:v>
      </x:c>
      <x:c r="L71" s="23" t="str">
        <x:v>dry_age_differentiator</x:v>
      </x:c>
      <x:c r="M71" s="23" t="str">
        <x:v>Dry-aging sulfur compound strongly elevated at day 28 relative to wet aging.</x:v>
      </x:c>
      <x:c r="N71" s="23"/>
      <x:c r="O71" s="23"/>
      <x:c r="P71" s="23"/>
      <x:c r="Q71" s="23"/>
      <x:c r="R71" s="23"/>
      <x:c r="S71" s="23" t="str">
        <x:v>SRC-BEEF-AGE-001</x:v>
      </x:c>
      <x:c r="T71" s="23" t="str">
        <x:v>https://pmc.ncbi.nlm.nih.gov/articles/PMC7828147/</x:v>
      </x:c>
      <x:c r="U71" s="23" t="str">
        <x:v>no</x:v>
      </x:c>
      <x:c r="V71" s="23" t="str">
        <x:v>eligible_dry_age_delta_v14</x:v>
      </x:c>
      <x:c r="W71" s="23"/>
      <x:c r="X71" t="str">
        <x:v>beef:muscle</x:v>
      </x:c>
      <x:c r="Y71" t="str">
        <x:v>M. longissimus lumborum; Holstein; 28 d</x:v>
      </x:c>
      <x:c r="Z71" t="str">
        <x:v>active_beef_muscle</x:v>
      </x:c>
    </x:row>
    <x:row r="72">
      <x:c r="A72" s="23" t="str">
        <x:v>BP-071</x:v>
      </x:c>
      <x:c r="B72" s="23" t="str">
        <x:v>beef</x:v>
      </x:c>
      <x:c r="C72" s="23" t="str">
        <x:v>family:beef</x:v>
      </x:c>
      <x:c r="D72" s="23" t="str">
        <x:v>wet-aged</x:v>
      </x:c>
      <x:c r="E72" s="23" t="str">
        <x:v>M. longissimus lumborum; Holstein; 28 d</x:v>
      </x:c>
      <x:c r="F72" s="23" t="str">
        <x:v>2-methyl-2-propanethiol</x:v>
      </x:c>
      <x:c r="G72" s="23" t="str">
        <x:v>75-66-1</x:v>
      </x:c>
      <x:c r="H72" s="23" t="str">
        <x:v>Sulfur compounds</x:v>
      </x:c>
      <x:c r="I72" s="23" t="str">
        <x:v>measured</x:v>
      </x:c>
      <x:c r="J72" s="23" t="str">
        <x:v>none</x:v>
      </x:c>
      <x:c r="K72" s="23" t="str">
        <x:v>wet_aged_28d</x:v>
      </x:c>
      <x:c r="L72" s="23" t="str">
        <x:v>wet_age_comparator</x:v>
      </x:c>
      <x:c r="M72" s="23" t="str">
        <x:v>Measured in matched wet-aged comparator.</x:v>
      </x:c>
      <x:c r="N72" s="23"/>
      <x:c r="O72" s="23"/>
      <x:c r="P72" s="23"/>
      <x:c r="Q72" s="23"/>
      <x:c r="R72" s="23"/>
      <x:c r="S72" s="23" t="str">
        <x:v>SRC-BEEF-AGE-001</x:v>
      </x:c>
      <x:c r="T72" s="23" t="str">
        <x:v>https://pmc.ncbi.nlm.nih.gov/articles/PMC7828147/</x:v>
      </x:c>
      <x:c r="U72" s="23" t="str">
        <x:v>no</x:v>
      </x:c>
      <x:c r="V72" s="23" t="str">
        <x:v>comparator_only</x:v>
      </x:c>
      <x:c r="W72" s="23"/>
      <x:c r="X72" t="str">
        <x:v>beef:muscle</x:v>
      </x:c>
      <x:c r="Y72" t="str">
        <x:v>M. longissimus lumborum; Holstein; 28 d</x:v>
      </x:c>
      <x:c r="Z72" t="str">
        <x:v>active_beef_muscle</x:v>
      </x:c>
    </x:row>
    <x:row r="73">
      <x:c r="A73" s="23" t="str">
        <x:v>BP-072</x:v>
      </x:c>
      <x:c r="B73" s="23" t="str">
        <x:v>beef</x:v>
      </x:c>
      <x:c r="C73" s="23" t="str">
        <x:v>family:beef</x:v>
      </x:c>
      <x:c r="D73" s="23" t="str">
        <x:v>dry-aged</x:v>
      </x:c>
      <x:c r="E73" s="23" t="str">
        <x:v>M. longissimus lumborum; Holstein; 28 d</x:v>
      </x:c>
      <x:c r="F73" s="23" t="str">
        <x:v>ethyl propanoate</x:v>
      </x:c>
      <x:c r="G73" s="23" t="str">
        <x:v>105-37-3</x:v>
      </x:c>
      <x:c r="H73" s="23" t="str">
        <x:v>Esters</x:v>
      </x:c>
      <x:c r="I73" s="23" t="str">
        <x:v>measured</x:v>
      </x:c>
      <x:c r="J73" s="23" t="str">
        <x:v>none</x:v>
      </x:c>
      <x:c r="K73" s="23" t="str">
        <x:v>dry_aged_28d</x:v>
      </x:c>
      <x:c r="L73" s="23" t="str">
        <x:v>dry_age_differentiator</x:v>
      </x:c>
      <x:c r="M73" s="23" t="str">
        <x:v>Strong dry-aging ester delta; source associates ester formation with microbial/lipolytic activity.</x:v>
      </x:c>
      <x:c r="N73" s="23"/>
      <x:c r="O73" s="23"/>
      <x:c r="P73" s="23"/>
      <x:c r="Q73" s="23"/>
      <x:c r="R73" s="23"/>
      <x:c r="S73" s="23" t="str">
        <x:v>SRC-BEEF-AGE-001</x:v>
      </x:c>
      <x:c r="T73" s="23" t="str">
        <x:v>https://pmc.ncbi.nlm.nih.gov/articles/PMC7828147/</x:v>
      </x:c>
      <x:c r="U73" s="23" t="str">
        <x:v>no</x:v>
      </x:c>
      <x:c r="V73" s="23" t="str">
        <x:v>eligible_dry_age_delta_v14</x:v>
      </x:c>
      <x:c r="W73" s="23"/>
      <x:c r="X73" t="str">
        <x:v>beef:muscle</x:v>
      </x:c>
      <x:c r="Y73" t="str">
        <x:v>M. longissimus lumborum; Holstein; 28 d</x:v>
      </x:c>
      <x:c r="Z73" t="str">
        <x:v>active_beef_muscle</x:v>
      </x:c>
    </x:row>
    <x:row r="74">
      <x:c r="A74" s="23" t="str">
        <x:v>BP-073</x:v>
      </x:c>
      <x:c r="B74" s="23" t="str">
        <x:v>beef</x:v>
      </x:c>
      <x:c r="C74" s="23" t="str">
        <x:v>family:beef</x:v>
      </x:c>
      <x:c r="D74" s="23" t="str">
        <x:v>wet-aged</x:v>
      </x:c>
      <x:c r="E74" s="23" t="str">
        <x:v>M. longissimus lumborum; Holstein; 28 d</x:v>
      </x:c>
      <x:c r="F74" s="23" t="str">
        <x:v>ethyl propanoate</x:v>
      </x:c>
      <x:c r="G74" s="23" t="str">
        <x:v>105-37-3</x:v>
      </x:c>
      <x:c r="H74" s="23" t="str">
        <x:v>Esters</x:v>
      </x:c>
      <x:c r="I74" s="23" t="str">
        <x:v>measured</x:v>
      </x:c>
      <x:c r="J74" s="23" t="str">
        <x:v>none</x:v>
      </x:c>
      <x:c r="K74" s="23" t="str">
        <x:v>wet_aged_28d</x:v>
      </x:c>
      <x:c r="L74" s="23" t="str">
        <x:v>wet_age_comparator</x:v>
      </x:c>
      <x:c r="M74" s="23" t="str">
        <x:v>Measured in matched wet-aged comparator.</x:v>
      </x:c>
      <x:c r="N74" s="23"/>
      <x:c r="O74" s="23"/>
      <x:c r="P74" s="23"/>
      <x:c r="Q74" s="23"/>
      <x:c r="R74" s="23"/>
      <x:c r="S74" s="23" t="str">
        <x:v>SRC-BEEF-AGE-001</x:v>
      </x:c>
      <x:c r="T74" s="23" t="str">
        <x:v>https://pmc.ncbi.nlm.nih.gov/articles/PMC7828147/</x:v>
      </x:c>
      <x:c r="U74" s="23" t="str">
        <x:v>no</x:v>
      </x:c>
      <x:c r="V74" s="23" t="str">
        <x:v>comparator_only</x:v>
      </x:c>
      <x:c r="W74" s="23"/>
      <x:c r="X74" t="str">
        <x:v>beef:muscle</x:v>
      </x:c>
      <x:c r="Y74" t="str">
        <x:v>M. longissimus lumborum; Holstein; 28 d</x:v>
      </x:c>
      <x:c r="Z74" t="str">
        <x:v>active_beef_muscle</x:v>
      </x:c>
    </x:row>
    <x:row r="75">
      <x:c r="A75" s="23" t="str">
        <x:v>BP-074</x:v>
      </x:c>
      <x:c r="B75" s="23" t="str">
        <x:v>beef</x:v>
      </x:c>
      <x:c r="C75" s="23" t="str">
        <x:v>family:beef</x:v>
      </x:c>
      <x:c r="D75" s="23" t="str">
        <x:v>dry-aged</x:v>
      </x:c>
      <x:c r="E75" s="23" t="str">
        <x:v>M. longissimus lumborum; Holstein; 28 d</x:v>
      </x:c>
      <x:c r="F75" s="23" t="str">
        <x:v>tetrahydrofuran</x:v>
      </x:c>
      <x:c r="G75" s="23" t="str">
        <x:v>109-99-9</x:v>
      </x:c>
      <x:c r="H75" s="23" t="str">
        <x:v>Ethers</x:v>
      </x:c>
      <x:c r="I75" s="23" t="str">
        <x:v>measured</x:v>
      </x:c>
      <x:c r="J75" s="23" t="str">
        <x:v>none</x:v>
      </x:c>
      <x:c r="K75" s="23" t="str">
        <x:v>dry_aged_28d</x:v>
      </x:c>
      <x:c r="L75" s="23" t="str">
        <x:v>dry_age_differentiator</x:v>
      </x:c>
      <x:c r="M75" s="23" t="str">
        <x:v>Higher at day 28 dry versus wet aging.</x:v>
      </x:c>
      <x:c r="N75" s="23"/>
      <x:c r="O75" s="23"/>
      <x:c r="P75" s="23"/>
      <x:c r="Q75" s="23"/>
      <x:c r="R75" s="23"/>
      <x:c r="S75" s="23" t="str">
        <x:v>SRC-BEEF-AGE-001</x:v>
      </x:c>
      <x:c r="T75" s="23" t="str">
        <x:v>https://pmc.ncbi.nlm.nih.gov/articles/PMC7828147/</x:v>
      </x:c>
      <x:c r="U75" s="23" t="str">
        <x:v>no</x:v>
      </x:c>
      <x:c r="V75" s="23" t="str">
        <x:v>eligible_dry_age_delta_v14</x:v>
      </x:c>
      <x:c r="W75" s="23"/>
      <x:c r="X75" t="str">
        <x:v>beef:muscle</x:v>
      </x:c>
      <x:c r="Y75" t="str">
        <x:v>M. longissimus lumborum; Holstein; 28 d</x:v>
      </x:c>
      <x:c r="Z75" t="str">
        <x:v>active_beef_muscle</x:v>
      </x:c>
    </x:row>
    <x:row r="76">
      <x:c r="A76" s="23" t="str">
        <x:v>BP-075</x:v>
      </x:c>
      <x:c r="B76" s="23" t="str">
        <x:v>beef</x:v>
      </x:c>
      <x:c r="C76" s="23" t="str">
        <x:v>family:beef</x:v>
      </x:c>
      <x:c r="D76" s="23" t="str">
        <x:v>wet-aged</x:v>
      </x:c>
      <x:c r="E76" s="23" t="str">
        <x:v>M. longissimus lumborum; Holstein; 28 d</x:v>
      </x:c>
      <x:c r="F76" s="23" t="str">
        <x:v>tetrahydrofuran</x:v>
      </x:c>
      <x:c r="G76" s="23" t="str">
        <x:v>109-99-9</x:v>
      </x:c>
      <x:c r="H76" s="23" t="str">
        <x:v>Ethers</x:v>
      </x:c>
      <x:c r="I76" s="23" t="str">
        <x:v>measured</x:v>
      </x:c>
      <x:c r="J76" s="23" t="str">
        <x:v>none</x:v>
      </x:c>
      <x:c r="K76" s="23" t="str">
        <x:v>wet_aged_28d</x:v>
      </x:c>
      <x:c r="L76" s="23" t="str">
        <x:v>wet_age_comparator</x:v>
      </x:c>
      <x:c r="M76" s="23" t="str">
        <x:v>Measured in matched wet-aged comparator.</x:v>
      </x:c>
      <x:c r="N76" s="23"/>
      <x:c r="O76" s="23"/>
      <x:c r="P76" s="23"/>
      <x:c r="Q76" s="23"/>
      <x:c r="R76" s="23"/>
      <x:c r="S76" s="23" t="str">
        <x:v>SRC-BEEF-AGE-001</x:v>
      </x:c>
      <x:c r="T76" s="23" t="str">
        <x:v>https://pmc.ncbi.nlm.nih.gov/articles/PMC7828147/</x:v>
      </x:c>
      <x:c r="U76" s="23" t="str">
        <x:v>no</x:v>
      </x:c>
      <x:c r="V76" s="23" t="str">
        <x:v>comparator_only</x:v>
      </x:c>
      <x:c r="W76" s="23"/>
      <x:c r="X76" t="str">
        <x:v>beef:muscle</x:v>
      </x:c>
      <x:c r="Y76" t="str">
        <x:v>M. longissimus lumborum; Holstein; 28 d</x:v>
      </x:c>
      <x:c r="Z76" t="str">
        <x:v>active_beef_muscle</x:v>
      </x:c>
    </x:row>
    <x:row r="77">
      <x:c r="A77" s="23" t="str">
        <x:v>BP-076</x:v>
      </x:c>
      <x:c r="B77" s="23" t="str">
        <x:v>beef</x:v>
      </x:c>
      <x:c r="C77" s="23" t="str">
        <x:v>family:beef</x:v>
      </x:c>
      <x:c r="D77" s="23" t="str">
        <x:v>dry-aged</x:v>
      </x:c>
      <x:c r="E77" s="23" t="str">
        <x:v>M. longissimus lumborum; Holstein; 28 d</x:v>
      </x:c>
      <x:c r="F77" s="23" t="str">
        <x:v>3-heptanone</x:v>
      </x:c>
      <x:c r="G77" s="23" t="str">
        <x:v>106-35-4</x:v>
      </x:c>
      <x:c r="H77" s="23" t="str">
        <x:v>Carbonyls, ketones</x:v>
      </x:c>
      <x:c r="I77" s="23" t="str">
        <x:v>measured</x:v>
      </x:c>
      <x:c r="J77" s="23" t="str">
        <x:v>none</x:v>
      </x:c>
      <x:c r="K77" s="23" t="str">
        <x:v>dry_aged_28d</x:v>
      </x:c>
      <x:c r="L77" s="23" t="str">
        <x:v>dry_age_differentiator</x:v>
      </x:c>
      <x:c r="M77" s="23" t="str">
        <x:v>Higher at day 28 dry versus wet aging.</x:v>
      </x:c>
      <x:c r="N77" s="23"/>
      <x:c r="O77" s="23"/>
      <x:c r="P77" s="23"/>
      <x:c r="Q77" s="23"/>
      <x:c r="R77" s="23"/>
      <x:c r="S77" s="23" t="str">
        <x:v>SRC-BEEF-AGE-001</x:v>
      </x:c>
      <x:c r="T77" s="23" t="str">
        <x:v>https://pmc.ncbi.nlm.nih.gov/articles/PMC7828147/</x:v>
      </x:c>
      <x:c r="U77" s="23" t="str">
        <x:v>no</x:v>
      </x:c>
      <x:c r="V77" s="23" t="str">
        <x:v>eligible_dry_age_delta_v14</x:v>
      </x:c>
      <x:c r="W77" s="23"/>
      <x:c r="X77" t="str">
        <x:v>beef:muscle</x:v>
      </x:c>
      <x:c r="Y77" t="str">
        <x:v>M. longissimus lumborum; Holstein; 28 d</x:v>
      </x:c>
      <x:c r="Z77" t="str">
        <x:v>active_beef_muscle</x:v>
      </x:c>
    </x:row>
    <x:row r="78">
      <x:c r="A78" s="23" t="str">
        <x:v>BP-077</x:v>
      </x:c>
      <x:c r="B78" s="23" t="str">
        <x:v>beef</x:v>
      </x:c>
      <x:c r="C78" s="23" t="str">
        <x:v>family:beef</x:v>
      </x:c>
      <x:c r="D78" s="23" t="str">
        <x:v>wet-aged</x:v>
      </x:c>
      <x:c r="E78" s="23" t="str">
        <x:v>M. longissimus lumborum; Holstein; 28 d</x:v>
      </x:c>
      <x:c r="F78" s="23" t="str">
        <x:v>3-heptanone</x:v>
      </x:c>
      <x:c r="G78" s="23" t="str">
        <x:v>106-35-4</x:v>
      </x:c>
      <x:c r="H78" s="23" t="str">
        <x:v>Carbonyls, ketones</x:v>
      </x:c>
      <x:c r="I78" s="23" t="str">
        <x:v>measured</x:v>
      </x:c>
      <x:c r="J78" s="23" t="str">
        <x:v>none</x:v>
      </x:c>
      <x:c r="K78" s="23" t="str">
        <x:v>wet_aged_28d</x:v>
      </x:c>
      <x:c r="L78" s="23" t="str">
        <x:v>wet_age_comparator</x:v>
      </x:c>
      <x:c r="M78" s="23" t="str">
        <x:v>Measured in matched wet-aged comparator.</x:v>
      </x:c>
      <x:c r="N78" s="23"/>
      <x:c r="O78" s="23"/>
      <x:c r="P78" s="23"/>
      <x:c r="Q78" s="23"/>
      <x:c r="R78" s="23"/>
      <x:c r="S78" s="23" t="str">
        <x:v>SRC-BEEF-AGE-001</x:v>
      </x:c>
      <x:c r="T78" s="23" t="str">
        <x:v>https://pmc.ncbi.nlm.nih.gov/articles/PMC7828147/</x:v>
      </x:c>
      <x:c r="U78" s="23" t="str">
        <x:v>no</x:v>
      </x:c>
      <x:c r="V78" s="23" t="str">
        <x:v>comparator_only</x:v>
      </x:c>
      <x:c r="W78" s="23"/>
      <x:c r="X78" t="str">
        <x:v>beef:muscle</x:v>
      </x:c>
      <x:c r="Y78" t="str">
        <x:v>M. longissimus lumborum; Holstein; 28 d</x:v>
      </x:c>
      <x:c r="Z78" t="str">
        <x:v>active_beef_muscle</x:v>
      </x:c>
    </x:row>
    <x:row r="79">
      <x:c r="A79" s="23" t="str">
        <x:v>BP-078</x:v>
      </x:c>
      <x:c r="B79" s="23" t="str">
        <x:v>beef</x:v>
      </x:c>
      <x:c r="C79" s="23" t="str">
        <x:v>family:beef</x:v>
      </x:c>
      <x:c r="D79" s="23" t="str">
        <x:v>grilled dry-aged</x:v>
      </x:c>
      <x:c r="E79" s="23" t="str">
        <x:v>Longissimus thoracis et lumborum; 35 d dry-aged</x:v>
      </x:c>
      <x:c r="F79" s="23" t="str">
        <x:v>3-hydroxy-2-butanone</x:v>
      </x:c>
      <x:c r="G79" s="23" t="str">
        <x:v>513-86-0</x:v>
      </x:c>
      <x:c r="H79" s="23" t="str">
        <x:v>Carbonyls, ketones</x:v>
      </x:c>
      <x:c r="I79" s="23" t="str">
        <x:v>measured</x:v>
      </x:c>
      <x:c r="J79" s="23" t="str">
        <x:v>GC-O + consumer_association</x:v>
      </x:c>
      <x:c r="K79" s="23" t="str">
        <x:v>grilled_after_35d_dry_age</x:v>
      </x:c>
      <x:c r="L79" s="23" t="str">
        <x:v>sensory_linked_dry_age_delta</x:v>
      </x:c>
      <x:c r="M79" s="23" t="str">
        <x:v>Significantly higher in dry-aged than wet-aged grilled beef and associated with the preferred 35-day dry-aged volatile profile.</x:v>
      </x:c>
      <x:c r="N79" s="23"/>
      <x:c r="O79" s="23"/>
      <x:c r="P79" s="23"/>
      <x:c r="Q79" s="23"/>
      <x:c r="R79" s="23" t="str">
        <x:v>buttery</x:v>
      </x:c>
      <x:c r="S79" s="23" t="str">
        <x:v>SRC-BEEF-AGE-COOK-001</x:v>
      </x:c>
      <x:c r="T79" s="23" t="str">
        <x:v>https://pmc.ncbi.nlm.nih.gov/articles/PMC8701841/</x:v>
      </x:c>
      <x:c r="U79" s="23" t="str">
        <x:v>no</x:v>
      </x:c>
      <x:c r="V79" s="23" t="str">
        <x:v>eligible_dry_age_cooked_delta_v14</x:v>
      </x:c>
      <x:c r="W79" s="23" t="str">
        <x:v>Association with liking does not substitute for omission/recombination causality.</x:v>
      </x:c>
      <x:c r="X79" t="str">
        <x:v>beef:muscle</x:v>
      </x:c>
      <x:c r="Y79" t="str">
        <x:v>Longissimus thoracis et lumborum; 35 d dry-aged</x:v>
      </x:c>
      <x:c r="Z79" t="str">
        <x:v>active_beef_muscle</x:v>
      </x:c>
    </x:row>
    <x:row r="80">
      <x:c r="A80" s="23" t="str">
        <x:v>BP-079</x:v>
      </x:c>
      <x:c r="B80" s="23" t="str">
        <x:v>beef</x:v>
      </x:c>
      <x:c r="C80" s="23" t="str">
        <x:v>family:beef</x:v>
      </x:c>
      <x:c r="D80" s="23" t="str">
        <x:v>grilled dry-aged</x:v>
      </x:c>
      <x:c r="E80" s="23" t="str">
        <x:v>Longissimus thoracis et lumborum; 35 d dry-aged</x:v>
      </x:c>
      <x:c r="F80" s="23" t="str">
        <x:v>2-acetyl-2-thiazoline</x:v>
      </x:c>
      <x:c r="G80" s="23" t="str">
        <x:v>29926-41-8</x:v>
      </x:c>
      <x:c r="H80" s="23" t="str">
        <x:v>Heterocycles, thiazolines</x:v>
      </x:c>
      <x:c r="I80" s="23" t="str">
        <x:v>measured</x:v>
      </x:c>
      <x:c r="J80" s="23" t="str">
        <x:v>GC-O + consumer_association</x:v>
      </x:c>
      <x:c r="K80" s="23" t="str">
        <x:v>grilled_after_35d_dry_age</x:v>
      </x:c>
      <x:c r="L80" s="23" t="str">
        <x:v>sensory_linked_dry_age_delta</x:v>
      </x:c>
      <x:c r="M80" s="23" t="str">
        <x:v>Significantly higher in dry-aged than wet-aged grilled beef; dry-aged aromagram showed higher roasted odor intensity.</x:v>
      </x:c>
      <x:c r="N80" s="23"/>
      <x:c r="O80" s="23"/>
      <x:c r="P80" s="23"/>
      <x:c r="Q80" s="23"/>
      <x:c r="R80" s="23" t="str">
        <x:v>roasted</x:v>
      </x:c>
      <x:c r="S80" s="23" t="str">
        <x:v>SRC-BEEF-AGE-COOK-001</x:v>
      </x:c>
      <x:c r="T80" s="23" t="str">
        <x:v>https://pmc.ncbi.nlm.nih.gov/articles/PMC8701841/</x:v>
      </x:c>
      <x:c r="U80" s="23" t="str">
        <x:v>no</x:v>
      </x:c>
      <x:c r="V80" s="23" t="str">
        <x:v>eligible_dry_age_cooked_delta_v14</x:v>
      </x:c>
      <x:c r="W80" s="23" t="str">
        <x:v>Association with liking does not substitute for omission/recombination causality.</x:v>
      </x:c>
      <x:c r="X80" t="str">
        <x:v>beef:muscle</x:v>
      </x:c>
      <x:c r="Y80" t="str">
        <x:v>Longissimus thoracis et lumborum; 35 d dry-aged</x:v>
      </x:c>
      <x:c r="Z80" t="str">
        <x:v>active_beef_muscle</x:v>
      </x:c>
    </x:row>
  </x:sheetData>
  <x:pageMargins left="0.7" right="0.7" top="0.75" bottom="0.75" header="0.3" footer="0.3"/>
  <x:tableParts count="1">
    <x:tablePart xmlns:r="http://schemas.openxmlformats.org/officeDocument/2006/relationships" r:id="R2aa442458a184434"/>
  </x:tableParts>
</x:worksheet>
</file>

<file path=xl/worksheets/sheet46.xml><?xml version="1.0" encoding="utf-8"?>
<x:worksheet xmlns:x="http://schemas.openxmlformats.org/spreadsheetml/2006/main">
  <x:sheetFormatPr defaultRowHeight="15"/>
  <x:cols>
    <x:col min="1" max="1" width="12" hidden="0" customWidth="1"/>
    <x:col min="2" max="2" width="26" hidden="0" customWidth="1"/>
    <x:col min="3" max="3" width="22" hidden="0" customWidth="1"/>
    <x:col min="4" max="4" width="24" hidden="0" customWidth="1"/>
    <x:col min="5" max="5" width="14" hidden="0" customWidth="1"/>
    <x:col min="6" max="6" width="20" hidden="0" customWidth="1"/>
    <x:col min="7" max="7" width="22" hidden="0" customWidth="1"/>
    <x:col min="8" max="8" width="16" hidden="0" customWidth="1"/>
    <x:col min="9" max="9" width="16" hidden="0" customWidth="1"/>
    <x:col min="10" max="10" width="12" hidden="0" customWidth="1"/>
    <x:col min="11" max="11" width="12" hidden="0" customWidth="1"/>
    <x:col min="12" max="12" width="12" hidden="0" customWidth="1"/>
    <x:col min="13" max="13" width="30" hidden="0" customWidth="1"/>
    <x:col min="14" max="14" width="46" hidden="0" customWidth="1"/>
    <x:col min="15" max="15" width="48" hidden="0" customWidth="1"/>
  </x:cols>
  <x:sheetData>
    <x:row r="1" ht="15" hidden="0" customHeight="1">
      <x:c r="A1" s="115" t="str">
        <x:v>delta_id</x:v>
      </x:c>
      <x:c r="B1" s="115" t="str">
        <x:v>source_id</x:v>
      </x:c>
      <x:c r="C1" s="115" t="str">
        <x:v>comparison_type</x:v>
      </x:c>
      <x:c r="D1" s="115" t="str">
        <x:v>compound_name</x:v>
      </x:c>
      <x:c r="E1" s="115" t="str">
        <x:v>cas</x:v>
      </x:c>
      <x:c r="F1" s="115" t="str">
        <x:v>state_a</x:v>
      </x:c>
      <x:c r="G1" s="115" t="str">
        <x:v>state_b</x:v>
      </x:c>
      <x:c r="H1" s="115" t="str">
        <x:v>value_a</x:v>
      </x:c>
      <x:c r="I1" s="115" t="str">
        <x:v>value_b</x:v>
      </x:c>
      <x:c r="J1" s="115" t="str">
        <x:v>value_unit</x:v>
      </x:c>
      <x:c r="K1" s="115" t="str">
        <x:v>oav_a</x:v>
      </x:c>
      <x:c r="L1" s="115" t="str">
        <x:v>oav_b</x:v>
      </x:c>
      <x:c r="M1" s="115" t="str">
        <x:v>direct_finding</x:v>
      </x:c>
      <x:c r="N1" s="115" t="str">
        <x:v>interpretation</x:v>
      </x:c>
      <x:c r="O1" s="115" t="str">
        <x:v>notes</x:v>
      </x:c>
    </x:row>
    <x:row r="2" ht="26.399999618530273" hidden="0" customHeight="1">
      <x:c r="A2" s="46" t="str">
        <x:v>BD-001</x:v>
      </x:c>
      <x:c r="B2" s="46" t="str">
        <x:v>SRC-BEEF-ROAST-001</x:v>
      </x:c>
      <x:c r="C2" s="46" t="str">
        <x:v>raw_to_6min_roast</x:v>
      </x:c>
      <x:c r="D2" s="46" t="str">
        <x:v>1-heptanol</x:v>
      </x:c>
      <x:c r="E2" s="46" t="str">
        <x:v>111-70-6</x:v>
      </x:c>
      <x:c r="F2" s="46" t="str">
        <x:v>raw</x:v>
      </x:c>
      <x:c r="G2" s="46" t="str">
        <x:v>250°C roast, 6 min</x:v>
      </x:c>
      <x:c r="H2" s="46" t="n">
        <x:v>13.78</x:v>
      </x:c>
      <x:c r="I2" s="46" t="n">
        <x:v>14.02</x:v>
      </x:c>
      <x:c r="J2" s="46" t="str">
        <x:v>µg/kg</x:v>
      </x:c>
      <x:c r="K2" s="46"/>
      <x:c r="L2" s="46"/>
      <x:c r="M2" s="46" t="str">
        <x:v>Direct concentration increase.</x:v>
      </x:c>
      <x:c r="N2" s="46" t="str">
        <x:v>Thermal transformation changes weighting even when the compound persists.</x:v>
      </x:c>
      <x:c r="O2" s="46" t="str">
        <x:v>Blank OAV values are not inferred; only extracted exact values are entered.</x:v>
      </x:c>
    </x:row>
    <x:row r="3" ht="26.399999618530273" hidden="0" customHeight="1">
      <x:c r="A3" s="46" t="str">
        <x:v>BD-002</x:v>
      </x:c>
      <x:c r="B3" s="46" t="str">
        <x:v>SRC-BEEF-ROAST-001</x:v>
      </x:c>
      <x:c r="C3" s="46" t="str">
        <x:v>raw_to_6min_roast</x:v>
      </x:c>
      <x:c r="D3" s="46" t="str">
        <x:v>1-octen-3-ol</x:v>
      </x:c>
      <x:c r="E3" s="46" t="str">
        <x:v>3391-86-4</x:v>
      </x:c>
      <x:c r="F3" s="46" t="str">
        <x:v>raw</x:v>
      </x:c>
      <x:c r="G3" s="46" t="str">
        <x:v>250°C roast, 6 min</x:v>
      </x:c>
      <x:c r="H3" s="46" t="n">
        <x:v>313.89</x:v>
      </x:c>
      <x:c r="I3" s="46" t="n">
        <x:v>279.37</x:v>
      </x:c>
      <x:c r="J3" s="46" t="str">
        <x:v>µg/kg</x:v>
      </x:c>
      <x:c r="K3" s="46"/>
      <x:c r="L3" s="46"/>
      <x:c r="M3" s="46" t="str">
        <x:v>Direct concentration decrease.</x:v>
      </x:c>
      <x:c r="N3" s="46" t="str">
        <x:v>Thermal transformation changes weighting even when the compound persists.</x:v>
      </x:c>
      <x:c r="O3" s="46" t="str">
        <x:v>Blank OAV values are not inferred; only extracted exact values are entered.</x:v>
      </x:c>
    </x:row>
    <x:row r="4" ht="26.399999618530273" hidden="0" customHeight="1">
      <x:c r="A4" s="46" t="str">
        <x:v>BD-003</x:v>
      </x:c>
      <x:c r="B4" s="46" t="str">
        <x:v>SRC-BEEF-ROAST-001</x:v>
      </x:c>
      <x:c r="C4" s="46" t="str">
        <x:v>raw_to_6min_roast</x:v>
      </x:c>
      <x:c r="D4" s="46" t="str">
        <x:v>hexanal</x:v>
      </x:c>
      <x:c r="E4" s="46" t="str">
        <x:v>66-25-1</x:v>
      </x:c>
      <x:c r="F4" s="46" t="str">
        <x:v>raw</x:v>
      </x:c>
      <x:c r="G4" s="46" t="str">
        <x:v>250°C roast, 6 min</x:v>
      </x:c>
      <x:c r="H4" s="46" t="n">
        <x:v>122.67</x:v>
      </x:c>
      <x:c r="I4" s="46" t="n">
        <x:v>811.42</x:v>
      </x:c>
      <x:c r="J4" s="46" t="str">
        <x:v>µg/kg</x:v>
      </x:c>
      <x:c r="K4" s="46"/>
      <x:c r="L4" s="46" t="n">
        <x:v>16.23</x:v>
      </x:c>
      <x:c r="M4" s="46" t="str">
        <x:v>Direct concentration increase.</x:v>
      </x:c>
      <x:c r="N4" s="46" t="str">
        <x:v>Thermal transformation changes weighting even when the compound persists.</x:v>
      </x:c>
      <x:c r="O4" s="46" t="str">
        <x:v>Blank OAV values are not inferred; only extracted exact values are entered.</x:v>
      </x:c>
    </x:row>
    <x:row r="5" ht="26.399999618530273" hidden="0" customHeight="1">
      <x:c r="A5" s="46" t="str">
        <x:v>BD-004</x:v>
      </x:c>
      <x:c r="B5" s="46" t="str">
        <x:v>SRC-BEEF-ROAST-001</x:v>
      </x:c>
      <x:c r="C5" s="46" t="str">
        <x:v>raw_to_6min_roast</x:v>
      </x:c>
      <x:c r="D5" s="46" t="str">
        <x:v>octanal</x:v>
      </x:c>
      <x:c r="E5" s="46" t="str">
        <x:v>124-13-0</x:v>
      </x:c>
      <x:c r="F5" s="46" t="str">
        <x:v>raw</x:v>
      </x:c>
      <x:c r="G5" s="46" t="str">
        <x:v>250°C roast, 6 min</x:v>
      </x:c>
      <x:c r="H5" s="46" t="n">
        <x:v>8.64</x:v>
      </x:c>
      <x:c r="I5" s="46" t="n">
        <x:v>70.46</x:v>
      </x:c>
      <x:c r="J5" s="46" t="str">
        <x:v>µg/kg</x:v>
      </x:c>
      <x:c r="K5" s="46"/>
      <x:c r="L5" s="46" t="n">
        <x:v>100.66</x:v>
      </x:c>
      <x:c r="M5" s="46" t="str">
        <x:v>Direct concentration increase.</x:v>
      </x:c>
      <x:c r="N5" s="46" t="str">
        <x:v>Thermal transformation changes weighting even when the compound persists.</x:v>
      </x:c>
      <x:c r="O5" s="46" t="str">
        <x:v>Blank OAV values are not inferred; only extracted exact values are entered.</x:v>
      </x:c>
    </x:row>
    <x:row r="6" ht="26.399999618530273" hidden="0" customHeight="1">
      <x:c r="A6" s="46" t="str">
        <x:v>BD-005</x:v>
      </x:c>
      <x:c r="B6" s="46" t="str">
        <x:v>SRC-BEEF-ROAST-001</x:v>
      </x:c>
      <x:c r="C6" s="46" t="str">
        <x:v>raw_to_6min_roast</x:v>
      </x:c>
      <x:c r="D6" s="46" t="str">
        <x:v>(E)-2-octenal</x:v>
      </x:c>
      <x:c r="E6" s="46" t="str">
        <x:v>2548-87-0</x:v>
      </x:c>
      <x:c r="F6" s="46" t="str">
        <x:v>raw</x:v>
      </x:c>
      <x:c r="G6" s="46" t="str">
        <x:v>250°C roast, 6 min</x:v>
      </x:c>
      <x:c r="H6" s="46" t="n">
        <x:v>6.35</x:v>
      </x:c>
      <x:c r="I6" s="46" t="n">
        <x:v>3.95</x:v>
      </x:c>
      <x:c r="J6" s="46" t="str">
        <x:v>µg/kg</x:v>
      </x:c>
      <x:c r="K6" s="46"/>
      <x:c r="L6" s="46"/>
      <x:c r="M6" s="46" t="str">
        <x:v>Direct concentration decrease.</x:v>
      </x:c>
      <x:c r="N6" s="46" t="str">
        <x:v>Thermal transformation changes weighting even when the compound persists.</x:v>
      </x:c>
      <x:c r="O6" s="46" t="str">
        <x:v>Blank OAV values are not inferred; only extracted exact values are entered.</x:v>
      </x:c>
    </x:row>
    <x:row r="7" ht="26.399999618530273" hidden="0" customHeight="1">
      <x:c r="A7" s="46" t="str">
        <x:v>BD-006</x:v>
      </x:c>
      <x:c r="B7" s="46" t="str">
        <x:v>SRC-BEEF-ROAST-001</x:v>
      </x:c>
      <x:c r="C7" s="46" t="str">
        <x:v>raw_to_6min_roast</x:v>
      </x:c>
      <x:c r="D7" s="46" t="str">
        <x:v>nonanal</x:v>
      </x:c>
      <x:c r="E7" s="46" t="str">
        <x:v>124-19-6</x:v>
      </x:c>
      <x:c r="F7" s="46" t="str">
        <x:v>raw</x:v>
      </x:c>
      <x:c r="G7" s="46" t="str">
        <x:v>250°C roast, 6 min</x:v>
      </x:c>
      <x:c r="H7" s="46" t="n">
        <x:v>44.84</x:v>
      </x:c>
      <x:c r="I7" s="46" t="n">
        <x:v>179.55</x:v>
      </x:c>
      <x:c r="J7" s="46" t="str">
        <x:v>µg/kg</x:v>
      </x:c>
      <x:c r="K7" s="46"/>
      <x:c r="L7" s="46" t="n">
        <x:v>179.55</x:v>
      </x:c>
      <x:c r="M7" s="46" t="str">
        <x:v>Direct concentration increase.</x:v>
      </x:c>
      <x:c r="N7" s="46" t="str">
        <x:v>Thermal transformation changes weighting even when the compound persists.</x:v>
      </x:c>
      <x:c r="O7" s="46" t="str">
        <x:v>Blank OAV values are not inferred; only extracted exact values are entered.</x:v>
      </x:c>
    </x:row>
    <x:row r="8" ht="26.399999618530273" hidden="0" customHeight="1">
      <x:c r="A8" s="46" t="str">
        <x:v>BD-007</x:v>
      </x:c>
      <x:c r="B8" s="46" t="str">
        <x:v>SRC-BEEF-ROAST-001</x:v>
      </x:c>
      <x:c r="C8" s="46" t="str">
        <x:v>raw_to_6min_roast</x:v>
      </x:c>
      <x:c r="D8" s="46" t="str">
        <x:v>(E,E)-2,4-decadienal</x:v>
      </x:c>
      <x:c r="E8" s="46" t="str">
        <x:v>25152-84-5</x:v>
      </x:c>
      <x:c r="F8" s="46" t="str">
        <x:v>raw</x:v>
      </x:c>
      <x:c r="G8" s="46" t="str">
        <x:v>250°C roast, 6 min</x:v>
      </x:c>
      <x:c r="H8" s="46" t="n">
        <x:v>17.3</x:v>
      </x:c>
      <x:c r="I8" s="46" t="n">
        <x:v>4.35</x:v>
      </x:c>
      <x:c r="J8" s="46" t="str">
        <x:v>µg/kg</x:v>
      </x:c>
      <x:c r="K8" s="46"/>
      <x:c r="L8" s="46"/>
      <x:c r="M8" s="46" t="str">
        <x:v>Direct concentration decrease.</x:v>
      </x:c>
      <x:c r="N8" s="46" t="str">
        <x:v>Thermal transformation changes weighting even when the compound persists.</x:v>
      </x:c>
      <x:c r="O8" s="46" t="str">
        <x:v>Blank OAV values are not inferred; only extracted exact values are entered.</x:v>
      </x:c>
    </x:row>
    <x:row r="9" ht="26.399999618530273" hidden="0" customHeight="1">
      <x:c r="A9" s="46" t="str">
        <x:v>BD-008</x:v>
      </x:c>
      <x:c r="B9" s="46" t="str">
        <x:v>SRC-BEEF-ROAST-001</x:v>
      </x:c>
      <x:c r="C9" s="46" t="str">
        <x:v>raw_to_6min_roast</x:v>
      </x:c>
      <x:c r="D9" s="46" t="str">
        <x:v>2-pentylfuran</x:v>
      </x:c>
      <x:c r="E9" s="46" t="str">
        <x:v>3777-69-3</x:v>
      </x:c>
      <x:c r="F9" s="46" t="str">
        <x:v>raw</x:v>
      </x:c>
      <x:c r="G9" s="46" t="str">
        <x:v>250°C roast, 6 min</x:v>
      </x:c>
      <x:c r="H9" s="46" t="n">
        <x:v>32.27</x:v>
      </x:c>
      <x:c r="I9" s="46" t="n">
        <x:v>40.29</x:v>
      </x:c>
      <x:c r="J9" s="46" t="str">
        <x:v>µg/kg</x:v>
      </x:c>
      <x:c r="K9" s="46"/>
      <x:c r="L9" s="46" t="n">
        <x:v>6.72</x:v>
      </x:c>
      <x:c r="M9" s="46" t="str">
        <x:v>Direct concentration increase.</x:v>
      </x:c>
      <x:c r="N9" s="46" t="str">
        <x:v>Thermal transformation changes weighting even when the compound persists.</x:v>
      </x:c>
      <x:c r="O9" s="46" t="str">
        <x:v>Blank OAV values are not inferred; only extracted exact values are entered.</x:v>
      </x:c>
    </x:row>
    <x:row r="10" ht="26.399999618530273" hidden="0" customHeight="1">
      <x:c r="A10" s="46" t="str">
        <x:v>BD-009</x:v>
      </x:c>
      <x:c r="B10" s="46" t="str">
        <x:v>SRC-BEEF-RAW-MARBLING-001</x:v>
      </x:c>
      <x:c r="C10" s="46" t="str">
        <x:v>marbling_A1_vs_A5</x:v>
      </x:c>
      <x:c r="D10" s="46" t="str">
        <x:v>decanal</x:v>
      </x:c>
      <x:c r="E10" s="46" t="str">
        <x:v>112-31-2</x:v>
      </x:c>
      <x:c r="F10" s="46" t="str">
        <x:v>A1 raw</x:v>
      </x:c>
      <x:c r="G10" s="46" t="str">
        <x:v>A5 raw</x:v>
      </x:c>
      <x:c r="H10" s="46" t="n">
        <x:v>5.35</x:v>
      </x:c>
      <x:c r="I10" s="46" t="n">
        <x:v>7.69</x:v>
      </x:c>
      <x:c r="J10" s="46" t="str">
        <x:v>µg/kg</x:v>
      </x:c>
      <x:c r="K10" s="46" t="n">
        <x:v>5.35</x:v>
      </x:c>
      <x:c r="L10" s="46" t="n">
        <x:v>7.69</x:v>
      </x:c>
      <x:c r="M10" s="46" t="str">
        <x:v>Direct concentration increase; OAV remains ≥1 in both grades.</x:v>
      </x:c>
      <x:c r="N10" s="46" t="str">
        <x:v>Supports abundance/OAV weighting changes within a shared sensory-active set, not automatic separate breed chemistry.</x:v>
      </x:c>
      <x:c r="O10" s="46" t="str">
        <x:v>One controlled marbling comparison; architecture inference remains founder-review material.</x:v>
      </x:c>
    </x:row>
    <x:row r="11" ht="26.399999618530273" hidden="0" customHeight="1">
      <x:c r="A11" s="46" t="str">
        <x:v>BD-010</x:v>
      </x:c>
      <x:c r="B11" s="46" t="str">
        <x:v>SRC-BEEF-RAW-MARBLING-001</x:v>
      </x:c>
      <x:c r="C11" s="46" t="str">
        <x:v>marbling_A1_vs_A5</x:v>
      </x:c>
      <x:c r="D11" s="46" t="str">
        <x:v>hexanal</x:v>
      </x:c>
      <x:c r="E11" s="46" t="str">
        <x:v>66-25-1</x:v>
      </x:c>
      <x:c r="F11" s="46" t="str">
        <x:v>A1 raw</x:v>
      </x:c>
      <x:c r="G11" s="46" t="str">
        <x:v>A5 raw</x:v>
      </x:c>
      <x:c r="H11" s="46" t="n">
        <x:v>14.96</x:v>
      </x:c>
      <x:c r="I11" s="46" t="n">
        <x:v>21.38</x:v>
      </x:c>
      <x:c r="J11" s="46" t="str">
        <x:v>µg/kg</x:v>
      </x:c>
      <x:c r="K11" s="46" t="n">
        <x:v>3.32</x:v>
      </x:c>
      <x:c r="L11" s="46" t="n">
        <x:v>4.75</x:v>
      </x:c>
      <x:c r="M11" s="46" t="str">
        <x:v>Direct concentration increase; OAV remains ≥1 in both grades.</x:v>
      </x:c>
      <x:c r="N11" s="46" t="str">
        <x:v>Supports abundance/OAV weighting changes within a shared sensory-active set, not automatic separate breed chemistry.</x:v>
      </x:c>
      <x:c r="O11" s="46" t="str">
        <x:v>One controlled marbling comparison; architecture inference remains founder-review material.</x:v>
      </x:c>
    </x:row>
    <x:row r="12" ht="26.399999618530273" hidden="0" customHeight="1">
      <x:c r="A12" s="46" t="str">
        <x:v>BD-011</x:v>
      </x:c>
      <x:c r="B12" s="46" t="str">
        <x:v>SRC-BEEF-RAW-MARBLING-001</x:v>
      </x:c>
      <x:c r="C12" s="46" t="str">
        <x:v>marbling_A1_vs_A5</x:v>
      </x:c>
      <x:c r="D12" s="46" t="str">
        <x:v>nonanal</x:v>
      </x:c>
      <x:c r="E12" s="46" t="str">
        <x:v>124-19-6</x:v>
      </x:c>
      <x:c r="F12" s="46" t="str">
        <x:v>A1 raw</x:v>
      </x:c>
      <x:c r="G12" s="46" t="str">
        <x:v>A5 raw</x:v>
      </x:c>
      <x:c r="H12" s="46" t="n">
        <x:v>48.19</x:v>
      </x:c>
      <x:c r="I12" s="46" t="n">
        <x:v>41.46</x:v>
      </x:c>
      <x:c r="J12" s="46" t="str">
        <x:v>µg/kg</x:v>
      </x:c>
      <x:c r="K12" s="46" t="n">
        <x:v>48.19</x:v>
      </x:c>
      <x:c r="L12" s="46" t="n">
        <x:v>41.46</x:v>
      </x:c>
      <x:c r="M12" s="46" t="str">
        <x:v>Direct concentration decrease; OAV remains ≥1 in both grades.</x:v>
      </x:c>
      <x:c r="N12" s="46" t="str">
        <x:v>Supports abundance/OAV weighting changes within a shared sensory-active set, not automatic separate breed chemistry.</x:v>
      </x:c>
      <x:c r="O12" s="46" t="str">
        <x:v>One controlled marbling comparison; architecture inference remains founder-review material.</x:v>
      </x:c>
    </x:row>
    <x:row r="13" ht="26.399999618530273" hidden="0" customHeight="1">
      <x:c r="A13" s="46" t="str">
        <x:v>BD-012</x:v>
      </x:c>
      <x:c r="B13" s="46" t="str">
        <x:v>SRC-BEEF-RAW-MARBLING-001</x:v>
      </x:c>
      <x:c r="C13" s="46" t="str">
        <x:v>marbling_A1_vs_A5</x:v>
      </x:c>
      <x:c r="D13" s="46" t="str">
        <x:v>1-heptanol</x:v>
      </x:c>
      <x:c r="E13" s="46" t="str">
        <x:v>111-70-6</x:v>
      </x:c>
      <x:c r="F13" s="46" t="str">
        <x:v>A1 raw</x:v>
      </x:c>
      <x:c r="G13" s="46" t="str">
        <x:v>A5 raw</x:v>
      </x:c>
      <x:c r="H13" s="46" t="n">
        <x:v>4.31</x:v>
      </x:c>
      <x:c r="I13" s="46" t="n">
        <x:v>20.74</x:v>
      </x:c>
      <x:c r="J13" s="46" t="str">
        <x:v>µg/kg</x:v>
      </x:c>
      <x:c r="K13" s="46" t="n">
        <x:v>1.44</x:v>
      </x:c>
      <x:c r="L13" s="46" t="n">
        <x:v>6.91</x:v>
      </x:c>
      <x:c r="M13" s="46" t="str">
        <x:v>Direct concentration increase; OAV remains ≥1 in both grades.</x:v>
      </x:c>
      <x:c r="N13" s="46" t="str">
        <x:v>Supports abundance/OAV weighting changes within a shared sensory-active set, not automatic separate breed chemistry.</x:v>
      </x:c>
      <x:c r="O13" s="46" t="str">
        <x:v>One controlled marbling comparison; architecture inference remains founder-review material.</x:v>
      </x:c>
    </x:row>
    <x:row r="14" ht="26.399999618530273" hidden="0" customHeight="1">
      <x:c r="A14" s="46" t="str">
        <x:v>BD-013</x:v>
      </x:c>
      <x:c r="B14" s="46" t="str">
        <x:v>SRC-BEEF-RAW-MARBLING-001</x:v>
      </x:c>
      <x:c r="C14" s="46" t="str">
        <x:v>marbling_A1_vs_A5</x:v>
      </x:c>
      <x:c r="D14" s="46" t="str">
        <x:v>1-octen-3-ol</x:v>
      </x:c>
      <x:c r="E14" s="46" t="str">
        <x:v>3391-86-4</x:v>
      </x:c>
      <x:c r="F14" s="46" t="str">
        <x:v>A1 raw</x:v>
      </x:c>
      <x:c r="G14" s="46" t="str">
        <x:v>A5 raw</x:v>
      </x:c>
      <x:c r="H14" s="46" t="n">
        <x:v>39.34</x:v>
      </x:c>
      <x:c r="I14" s="46" t="n">
        <x:v>139.45</x:v>
      </x:c>
      <x:c r="J14" s="46" t="str">
        <x:v>µg/kg</x:v>
      </x:c>
      <x:c r="K14" s="46" t="n">
        <x:v>1.57</x:v>
      </x:c>
      <x:c r="L14" s="46" t="n">
        <x:v>5.58</x:v>
      </x:c>
      <x:c r="M14" s="46" t="str">
        <x:v>Direct concentration increase; OAV remains ≥1 in both grades.</x:v>
      </x:c>
      <x:c r="N14" s="46" t="str">
        <x:v>Supports abundance/OAV weighting changes within a shared sensory-active set, not automatic separate breed chemistry.</x:v>
      </x:c>
      <x:c r="O14" s="46" t="str">
        <x:v>One controlled marbling comparison; architecture inference remains founder-review material.</x:v>
      </x:c>
    </x:row>
    <x:row r="15" ht="26.399999618530273" hidden="0" customHeight="1">
      <x:c r="A15" s="46" t="str">
        <x:v>BD-014</x:v>
      </x:c>
      <x:c r="B15" s="46" t="str">
        <x:v>SRC-BEEF-RAW-MARBLING-001</x:v>
      </x:c>
      <x:c r="C15" s="46" t="str">
        <x:v>marbling_A1_vs_A5</x:v>
      </x:c>
      <x:c r="D15" s="46" t="str">
        <x:v>1-pentanol</x:v>
      </x:c>
      <x:c r="E15" s="46" t="str">
        <x:v>71-41-0</x:v>
      </x:c>
      <x:c r="F15" s="46" t="str">
        <x:v>A1 raw</x:v>
      </x:c>
      <x:c r="G15" s="46" t="str">
        <x:v>A5 raw</x:v>
      </x:c>
      <x:c r="H15" s="46" t="n">
        <x:v>29.84</x:v>
      </x:c>
      <x:c r="I15" s="46" t="n">
        <x:v>16.33</x:v>
      </x:c>
      <x:c r="J15" s="46" t="str">
        <x:v>µg/kg</x:v>
      </x:c>
      <x:c r="K15" s="46" t="n">
        <x:v>34.7</x:v>
      </x:c>
      <x:c r="L15" s="46" t="n">
        <x:v>18.99</x:v>
      </x:c>
      <x:c r="M15" s="46" t="str">
        <x:v>Direct concentration decrease; OAV remains ≥1 in both grades.</x:v>
      </x:c>
      <x:c r="N15" s="46" t="str">
        <x:v>Supports abundance/OAV weighting changes within a shared sensory-active set, not automatic separate breed chemistry.</x:v>
      </x:c>
      <x:c r="O15" s="46" t="str">
        <x:v>One controlled marbling comparison; architecture inference remains founder-review material.</x:v>
      </x:c>
    </x:row>
    <x:row r="16" ht="26.399999618530273" hidden="0" customHeight="1">
      <x:c r="A16" s="46" t="str">
        <x:v>BD-015</x:v>
      </x:c>
      <x:c r="B16" s="46" t="str">
        <x:v>SRC-BEEF-RAW-MARBLING-001</x:v>
      </x:c>
      <x:c r="C16" s="46" t="str">
        <x:v>marbling_A1_vs_A5</x:v>
      </x:c>
      <x:c r="D16" s="46" t="str">
        <x:v>methyl hexanoate</x:v>
      </x:c>
      <x:c r="E16" s="46" t="str">
        <x:v>106-70-7</x:v>
      </x:c>
      <x:c r="F16" s="46" t="str">
        <x:v>A1 raw</x:v>
      </x:c>
      <x:c r="G16" s="46" t="str">
        <x:v>A5 raw</x:v>
      </x:c>
      <x:c r="H16" s="46" t="n">
        <x:v>61.35</x:v>
      </x:c>
      <x:c r="I16" s="46" t="n">
        <x:v>97.57</x:v>
      </x:c>
      <x:c r="J16" s="46" t="str">
        <x:v>µg/kg</x:v>
      </x:c>
      <x:c r="K16" s="46" t="n">
        <x:v>2.27</x:v>
      </x:c>
      <x:c r="L16" s="46" t="n">
        <x:v>3.61</x:v>
      </x:c>
      <x:c r="M16" s="46" t="str">
        <x:v>Direct concentration increase; OAV remains ≥1 in both grades.</x:v>
      </x:c>
      <x:c r="N16" s="46" t="str">
        <x:v>Supports abundance/OAV weighting changes within a shared sensory-active set, not automatic separate breed chemistry.</x:v>
      </x:c>
      <x:c r="O16" s="46" t="str">
        <x:v>One controlled marbling comparison; architecture inference remains founder-review material.</x:v>
      </x:c>
    </x:row>
    <x:row r="17">
      <x:c r="A17" s="23" t="str">
        <x:v>BD-016</x:v>
      </x:c>
      <x:c r="B17" s="23" t="str">
        <x:v>SRC-BEEF-AGE-001</x:v>
      </x:c>
      <x:c r="C17" s="23" t="str">
        <x:v>dry28_vs_wet28</x:v>
      </x:c>
      <x:c r="D17" s="23" t="str">
        <x:v>2-methylbutanal</x:v>
      </x:c>
      <x:c r="E17" s="23" t="str">
        <x:v>96-17-3</x:v>
      </x:c>
      <x:c r="F17" s="23" t="str">
        <x:v>dry-aged 28 d</x:v>
      </x:c>
      <x:c r="G17" s="23" t="str">
        <x:v>wet-aged 28 d</x:v>
      </x:c>
      <x:c r="H17" s="23" t="n">
        <x:v>4503</x:v>
      </x:c>
      <x:c r="I17" s="23" t="n">
        <x:v>1827</x:v>
      </x:c>
      <x:c r="J17" s="23" t="str">
        <x:v>instrument_peak_area</x:v>
      </x:c>
      <x:c r="K17" s="23"/>
      <x:c r="L17" s="23"/>
      <x:c r="M17" s="23" t="str">
        <x:v>Dry-aged value exceeds wet-aged value.</x:v>
      </x:c>
      <x:c r="N17" s="23" t="str">
        <x:v>Direct dry-aging Strecker/amino-acid-degradation-associated delta.</x:v>
      </x:c>
      <x:c r="O17" s="23" t="str">
        <x:v>Peak area is source instrument response, not absolute concentration.</x:v>
      </x:c>
    </x:row>
    <x:row r="18">
      <x:c r="A18" s="23" t="str">
        <x:v>BD-017</x:v>
      </x:c>
      <x:c r="B18" s="23" t="str">
        <x:v>SRC-BEEF-AGE-001</x:v>
      </x:c>
      <x:c r="C18" s="23" t="str">
        <x:v>dry28_vs_wet28</x:v>
      </x:c>
      <x:c r="D18" s="23" t="str">
        <x:v>2-methylpropanal</x:v>
      </x:c>
      <x:c r="E18" s="23" t="str">
        <x:v>78-84-2</x:v>
      </x:c>
      <x:c r="F18" s="23" t="str">
        <x:v>dry-aged 28 d</x:v>
      </x:c>
      <x:c r="G18" s="23" t="str">
        <x:v>wet-aged 28 d</x:v>
      </x:c>
      <x:c r="H18" s="23" t="n">
        <x:v>2458</x:v>
      </x:c>
      <x:c r="I18" s="23"/>
      <x:c r="J18" s="23" t="str">
        <x:v>instrument_peak_area</x:v>
      </x:c>
      <x:c r="K18" s="23"/>
      <x:c r="L18" s="23"/>
      <x:c r="M18" s="23" t="str">
        <x:v>Detected in dry-aged day 28; not detected in wet-aged day 28.</x:v>
      </x:c>
      <x:c r="N18" s="23" t="str">
        <x:v>Strong state differentiator in this experiment.</x:v>
      </x:c>
      <x:c r="O18" s="23" t="str">
        <x:v>Wet value intentionally left blank; non-detect is not converted to zero.</x:v>
      </x:c>
    </x:row>
    <x:row r="19">
      <x:c r="A19" s="23" t="str">
        <x:v>BD-018</x:v>
      </x:c>
      <x:c r="B19" s="23" t="str">
        <x:v>SRC-BEEF-AGE-001</x:v>
      </x:c>
      <x:c r="C19" s="23" t="str">
        <x:v>dry28_vs_wet28</x:v>
      </x:c>
      <x:c r="D19" s="23" t="str">
        <x:v>propanal</x:v>
      </x:c>
      <x:c r="E19" s="23" t="str">
        <x:v>123-38-6</x:v>
      </x:c>
      <x:c r="F19" s="23" t="str">
        <x:v>dry-aged 28 d</x:v>
      </x:c>
      <x:c r="G19" s="23" t="str">
        <x:v>wet-aged 28 d</x:v>
      </x:c>
      <x:c r="H19" s="23" t="n">
        <x:v>38743</x:v>
      </x:c>
      <x:c r="I19" s="23" t="n">
        <x:v>14394</x:v>
      </x:c>
      <x:c r="J19" s="23" t="str">
        <x:v>instrument_peak_area</x:v>
      </x:c>
      <x:c r="K19" s="23"/>
      <x:c r="L19" s="23"/>
      <x:c r="M19" s="23" t="str">
        <x:v>Dry-aged value exceeds wet-aged value.</x:v>
      </x:c>
      <x:c r="N19" s="23" t="str">
        <x:v>Supports increased lipid-oxidation contribution during dry aging.</x:v>
      </x:c>
      <x:c r="O19" s="23" t="str">
        <x:v>Peak area is source instrument response, not absolute concentration.</x:v>
      </x:c>
    </x:row>
    <x:row r="20">
      <x:c r="A20" s="23" t="str">
        <x:v>BD-019</x:v>
      </x:c>
      <x:c r="B20" s="23" t="str">
        <x:v>SRC-BEEF-AGE-001</x:v>
      </x:c>
      <x:c r="C20" s="23" t="str">
        <x:v>dry28_vs_wet28</x:v>
      </x:c>
      <x:c r="D20" s="23" t="str">
        <x:v>2-methyl-2-propanethiol</x:v>
      </x:c>
      <x:c r="E20" s="23" t="str">
        <x:v>75-66-1</x:v>
      </x:c>
      <x:c r="F20" s="23" t="str">
        <x:v>dry-aged 28 d</x:v>
      </x:c>
      <x:c r="G20" s="23" t="str">
        <x:v>wet-aged 28 d</x:v>
      </x:c>
      <x:c r="H20" s="23" t="n">
        <x:v>9680</x:v>
      </x:c>
      <x:c r="I20" s="23" t="n">
        <x:v>1477</x:v>
      </x:c>
      <x:c r="J20" s="23" t="str">
        <x:v>instrument_peak_area</x:v>
      </x:c>
      <x:c r="K20" s="23"/>
      <x:c r="L20" s="23"/>
      <x:c r="M20" s="23" t="str">
        <x:v>Dry-aged sulfur-compound value substantially exceeds wet-aged comparator.</x:v>
      </x:c>
      <x:c r="N20" s="23" t="str">
        <x:v>Supports proteolysis/Strecker-linked sulfur delta during dry aging.</x:v>
      </x:c>
      <x:c r="O20" s="23" t="str">
        <x:v>Peak area is source instrument response, not absolute concentration.</x:v>
      </x:c>
    </x:row>
    <x:row r="21">
      <x:c r="A21" s="23" t="str">
        <x:v>BD-020</x:v>
      </x:c>
      <x:c r="B21" s="23" t="str">
        <x:v>SRC-BEEF-AGE-001</x:v>
      </x:c>
      <x:c r="C21" s="23" t="str">
        <x:v>dry28_vs_wet28</x:v>
      </x:c>
      <x:c r="D21" s="23" t="str">
        <x:v>ethyl propanoate</x:v>
      </x:c>
      <x:c r="E21" s="23" t="str">
        <x:v>105-37-3</x:v>
      </x:c>
      <x:c r="F21" s="23" t="str">
        <x:v>dry-aged 28 d</x:v>
      </x:c>
      <x:c r="G21" s="23" t="str">
        <x:v>wet-aged 28 d</x:v>
      </x:c>
      <x:c r="H21" s="23" t="n">
        <x:v>6761</x:v>
      </x:c>
      <x:c r="I21" s="23" t="n">
        <x:v>829</x:v>
      </x:c>
      <x:c r="J21" s="23" t="str">
        <x:v>instrument_peak_area</x:v>
      </x:c>
      <x:c r="K21" s="23"/>
      <x:c r="L21" s="23"/>
      <x:c r="M21" s="23" t="str">
        <x:v>Dry-aged ester value substantially exceeds wet-aged comparator.</x:v>
      </x:c>
      <x:c r="N21" s="23" t="str">
        <x:v>Supports microbial/lipolytic contribution to dry-aged aroma.</x:v>
      </x:c>
      <x:c r="O21" s="23" t="str">
        <x:v>Peak area is source instrument response, not absolute concentration.</x:v>
      </x:c>
    </x:row>
    <x:row r="22">
      <x:c r="A22" s="23" t="str">
        <x:v>BD-021</x:v>
      </x:c>
      <x:c r="B22" s="23" t="str">
        <x:v>SRC-BEEF-AGE-001</x:v>
      </x:c>
      <x:c r="C22" s="23" t="str">
        <x:v>dry28_vs_wet28</x:v>
      </x:c>
      <x:c r="D22" s="23" t="str">
        <x:v>tetrahydrofuran</x:v>
      </x:c>
      <x:c r="E22" s="23" t="str">
        <x:v>109-99-9</x:v>
      </x:c>
      <x:c r="F22" s="23" t="str">
        <x:v>dry-aged 28 d</x:v>
      </x:c>
      <x:c r="G22" s="23" t="str">
        <x:v>wet-aged 28 d</x:v>
      </x:c>
      <x:c r="H22" s="23" t="n">
        <x:v>6262</x:v>
      </x:c>
      <x:c r="I22" s="23" t="n">
        <x:v>3068</x:v>
      </x:c>
      <x:c r="J22" s="23" t="str">
        <x:v>instrument_peak_area</x:v>
      </x:c>
      <x:c r="K22" s="23"/>
      <x:c r="L22" s="23"/>
      <x:c r="M22" s="23" t="str">
        <x:v>Dry-aged value exceeds wet-aged value.</x:v>
      </x:c>
      <x:c r="N22" s="23" t="str">
        <x:v>State-specific aging delta; mechanistic interpretation remains secondary to direct measurement.</x:v>
      </x:c>
      <x:c r="O22" s="23" t="str">
        <x:v>Peak area is source instrument response, not absolute concentration.</x:v>
      </x:c>
    </x:row>
    <x:row r="23">
      <x:c r="A23" s="23" t="str">
        <x:v>BD-022</x:v>
      </x:c>
      <x:c r="B23" s="23" t="str">
        <x:v>SRC-BEEF-AGE-001</x:v>
      </x:c>
      <x:c r="C23" s="23" t="str">
        <x:v>dry28_vs_wet28</x:v>
      </x:c>
      <x:c r="D23" s="23" t="str">
        <x:v>3-heptanone</x:v>
      </x:c>
      <x:c r="E23" s="23" t="str">
        <x:v>106-35-4</x:v>
      </x:c>
      <x:c r="F23" s="23" t="str">
        <x:v>dry-aged 28 d</x:v>
      </x:c>
      <x:c r="G23" s="23" t="str">
        <x:v>wet-aged 28 d</x:v>
      </x:c>
      <x:c r="H23" s="23" t="n">
        <x:v>675</x:v>
      </x:c>
      <x:c r="I23" s="23" t="n">
        <x:v>60</x:v>
      </x:c>
      <x:c r="J23" s="23" t="str">
        <x:v>instrument_peak_area</x:v>
      </x:c>
      <x:c r="K23" s="23"/>
      <x:c r="L23" s="23"/>
      <x:c r="M23" s="23" t="str">
        <x:v>Dry-aged ketone value exceeds wet-aged comparator.</x:v>
      </x:c>
      <x:c r="N23" s="23" t="str">
        <x:v>State-specific aging delta.</x:v>
      </x:c>
      <x:c r="O23" s="23" t="str">
        <x:v>Peak area is source instrument response, not absolute concentration.</x:v>
      </x:c>
    </x:row>
  </x:sheetData>
  <x:pageMargins left="0.7" right="0.7" top="0.75" bottom="0.75" header="0.3" footer="0.3"/>
  <x:tableParts count="1">
    <x:tablePart xmlns:r="http://schemas.openxmlformats.org/officeDocument/2006/relationships" r:id="R53a9383fe79e4c25"/>
  </x:tableParts>
</x:worksheet>
</file>

<file path=xl/worksheets/sheet47.xml><?xml version="1.0" encoding="utf-8"?>
<x:worksheet xmlns:x="http://schemas.openxmlformats.org/spreadsheetml/2006/main">
  <x:sheetFormatPr defaultRowHeight="15"/>
  <x:cols>
    <x:col min="1" max="1" width="22" hidden="0" customWidth="1"/>
    <x:col min="2" max="2" width="38" hidden="0" customWidth="1"/>
    <x:col min="3" max="3" width="20" hidden="0" customWidth="1"/>
    <x:col min="4" max="4" width="22" hidden="0" customWidth="1"/>
    <x:col min="5" max="5" width="55" hidden="0" customWidth="1"/>
    <x:col min="6" max="6" width="55" hidden="0" customWidth="1"/>
    <x:col min="7" max="7" width="34" hidden="0" customWidth="1"/>
    <x:col min="8" max="8" width="55" hidden="0" customWidth="1"/>
    <x:col min="9" max="9" width="55" hidden="0" customWidth="1"/>
  </x:cols>
  <x:sheetData>
    <x:row r="1" ht="26.399999618530273" hidden="0" customHeight="1">
      <x:c r="A1" s="115" t="str">
        <x:v>state_or_question</x:v>
      </x:c>
      <x:c r="B1" s="115" t="str">
        <x:v>direct_source_ids</x:v>
      </x:c>
      <x:c r="C1" s="115" t="str">
        <x:v>direct_evidence_available</x:v>
      </x:c>
      <x:c r="D1" s="115" t="str">
        <x:v>coverage_strength</x:v>
      </x:c>
      <x:c r="E1" s="115" t="str">
        <x:v>what_is_supported</x:v>
      </x:c>
      <x:c r="F1" s="115" t="str">
        <x:v>what_is_not_yet_supported</x:v>
      </x:c>
      <x:c r="G1" s="115" t="str">
        <x:v>current_status</x:v>
      </x:c>
      <x:c r="H1" s="115" t="str">
        <x:v>next_evidence_action</x:v>
      </x:c>
      <x:c r="I1" s="115" t="str">
        <x:v>architecture_consequence</x:v>
      </x:c>
    </x:row>
    <x:row r="2" ht="26.399999618530273" hidden="0" customHeight="1">
      <x:c r="A2" s="46" t="str">
        <x:v>raw</x:v>
      </x:c>
      <x:c r="B2" s="46" t="str">
        <x:v>SRC-BEEF-ROAST-001; SRC-BEEF-RAW-MARBLING-001; SRC-BEEF-GRILL-TEMP-001</x:v>
      </x:c>
      <x:c r="C2" s="46" t="str">
        <x:v>yes</x:v>
      </x:c>
      <x:c r="D2" s="46" t="str">
        <x:v>strong_full_detection_plus_sensory</x:v>
      </x:c>
      <x:c r="E2" s="46" t="str">
        <x:v>Sensory-active raw core is retained, and the full Morsli 2025 detection table now contributes 82 raw detections from a 91-compound raw→grill experiment with CAS and LRI.</x:v>
      </x:c>
      <x:c r="F2" s="46" t="str">
        <x:v>No single raw source is exhaustive across all breeds/diets/muscles; full-detection coverage is source-bounded rather than a claim of universal absence.</x:v>
      </x:c>
      <x:c r="G2" s="143" t="str">
        <x:v>verified_full_detection_v16</x:v>
      </x:c>
      <x:c r="H2" s="46" t="str">
        <x:v>No further broad raw extraction is required before ruminant work. Add only contradictory or materially differentiating studies.</x:v>
      </x:c>
      <x:c r="I2" s="46" t="str">
        <x:v>Raw beef now has both a key-aroma layer and a full detected-table layer.</x:v>
      </x:c>
    </x:row>
    <x:row r="3" ht="26.399999618530273" hidden="0" customHeight="1">
      <x:c r="A3" s="46" t="str">
        <x:v>roasted</x:v>
      </x:c>
      <x:c r="B3" s="46" t="str">
        <x:v>SRC-BEEF-ROAST-001; SRC-BEEF-LIPIDOMICS-001</x:v>
      </x:c>
      <x:c r="C3" s="46" t="str">
        <x:v>yes</x:v>
      </x:c>
      <x:c r="D3" s="46" t="str">
        <x:v>strong_sensory_partial_detection</x:v>
      </x:c>
      <x:c r="E3" s="46" t="str">
        <x:v>Raw-to-roast time course shows persistence, amplification, loss, and late high-heat formation; lipidomics supports precursor mechanism.</x:v>
      </x:c>
      <x:c r="F3" s="46" t="str">
        <x:v>The governed roast layer remains sensory/key-aroma oriented rather than a separate full 75+ compound roast table; the high-heat family now has full detected coverage through direct grilled beef.</x:v>
      </x:c>
      <x:c r="G3" s="143" t="str">
        <x:v>verified_high_heat_architecture</x:v>
      </x:c>
      <x:c r="H3" s="46" t="str">
        <x:v>Do not duplicate a second exhaustive high-heat table unless roast-specific chemistry materially diverges from grill/sear evidence.</x:v>
      </x:c>
      <x:c r="I3" s="46" t="str">
        <x:v>High-heat mechanism remains sound; MR-10 completeness is supplied by direct full-table high-heat evidence rather than forcing every technique into the same extraction burden.</x:v>
      </x:c>
    </x:row>
    <x:row r="4" ht="26.399999618530273" hidden="0" customHeight="1">
      <x:c r="A4" s="46" t="str">
        <x:v>grilled</x:v>
      </x:c>
      <x:c r="B4" s="46" t="str">
        <x:v>SRC-BEEF-GRILL-TEMP-001; SRC-BEEF-GRILL-GCO-001; SRC-BEEF-GRILL-GRADE-001; SRC-BEEF-GRILL-MARBLING-001; SRC-BEEF-AGE-COOK-001; SRC-BEEF-IDQA-001</x:v>
      </x:c>
      <x:c r="C4" s="46" t="str">
        <x:v>yes</x:v>
      </x:c>
      <x:c r="D4" s="46" t="str">
        <x:v>strong_full_detection</x:v>
      </x:c>
      <x:c r="E4" s="46" t="str">
        <x:v>Full 91-compound raw→grill table extracted; 86.0/86.0/86.0/87.0/88.0 detections at 55/60/71/77/85°C. Independent 45-compound cooked-beef table supplies an explicit ≥80% NIST match-quality gate.</x:v>
      </x:c>
      <x:c r="F4" s="46" t="str">
        <x:v>Exact equivalence to roasting is not established; smoke/char remains separate from grill heat itself.</x:v>
      </x:c>
      <x:c r="G4" s="143" t="str">
        <x:v>verified_full_detection_v16</x:v>
      </x:c>
      <x:c r="H4" s="46" t="str">
        <x:v>No further broad grilled discovery needed unless contradictory evidence appears.</x:v>
      </x:c>
      <x:c r="I4" s="46" t="str">
        <x:v>Grill is the complete detected-table anchor for the Beef high-heat family.</x:v>
      </x:c>
    </x:row>
    <x:row r="5" ht="26.399999618530273" hidden="0" customHeight="1">
      <x:c r="A5" s="46" t="str">
        <x:v>seared</x:v>
      </x:c>
      <x:c r="B5" s="46" t="str">
        <x:v>SRC-BEEF-SEAR-001; SRC-BEEF-PANFRY-BREED-001</x:v>
      </x:c>
      <x:c r="C5" s="46" t="str">
        <x:v>yes</x:v>
      </x:c>
      <x:c r="D5" s="46" t="str">
        <x:v>moderate_to_strong</x:v>
      </x:c>
      <x:c r="E5" s="46" t="str">
        <x:v>Conventional/reverse searing directly identifies a 24-VOC profile dominated by hexanal, pentanal and heptanal; independent pan-fried multi-breed work confirms a broad high-heat volatile universe and breed deltas.</x:v>
      </x:c>
      <x:c r="F5" s="46" t="str">
        <x:v>Compound-specific GC-O/OAV is still thinner than for grilled/roasted states.</x:v>
      </x:c>
      <x:c r="G5" s="143" t="str">
        <x:v>verified_direct_partial</x:v>
      </x:c>
      <x:c r="H5" s="46" t="str">
        <x:v>Treat additional seared sensomics as enrichment rather than an architecture blocker.</x:v>
      </x:c>
      <x:c r="I5" s="46" t="str">
        <x:v>Sear can use the high-heat transformation architecture with technique-specific weighting and explicit evidence mode.</x:v>
      </x:c>
    </x:row>
    <x:row r="6" ht="39.599998474121094" hidden="0" customHeight="1">
      <x:c r="A6" s="46" t="str">
        <x:v>braised / moist-cooked</x:v>
      </x:c>
      <x:c r="B6" s="46" t="str">
        <x:v>SRC-BEEF-STEW-001</x:v>
      </x:c>
      <x:c r="C6" s="46" t="str">
        <x:v>yes</x:v>
      </x:c>
      <x:c r="D6" s="46" t="str">
        <x:v>strong_partial</x:v>
      </x:c>
      <x:c r="E6" s="46" t="str">
        <x:v>Clean water+salt Simmental chuck baseline with GC-O/AEDA: aroma-active aldehydes, alcohols, sulfur/meaty and heterocyclic odorants.</x:v>
      </x:c>
      <x:c r="F6" s="46" t="str">
        <x:v>One stewed protocol is not every braising geometry or liquid system.</x:v>
      </x:c>
      <x:c r="G6" s="143" t="str">
        <x:v>verified_strong_partial</x:v>
      </x:c>
      <x:c r="H6" s="46" t="str">
        <x:v>Extract remaining fresh-cooked quantitative/OAV table only if it changes runtime weighting.</x:v>
      </x:c>
      <x:c r="I6" s="46" t="str">
        <x:v>Model as beef transformation; wine/onion/stock/herbs remain introduced overlays.</x:v>
      </x:c>
    </x:row>
    <x:row r="7" ht="26.399999618530273" hidden="0" customHeight="1">
      <x:c r="A7" s="46" t="str">
        <x:v>dry-aged</x:v>
      </x:c>
      <x:c r="B7" s="46" t="str">
        <x:v>SRC-BEEF-AGE-001; SRC-BEEF-AGE-COOK-001; SRC-BEEF-AGE-CONTROL-001</x:v>
      </x:c>
      <x:c r="C7" s="46" t="str">
        <x:v>yes</x:v>
      </x:c>
      <x:c r="D7" s="46" t="str">
        <x:v>strong</x:v>
      </x:c>
      <x:c r="E7" s="46" t="str">
        <x:v>Matched dry/wet longitudinal data establishes oxidation-, Strecker-, sulfur-, ester- and microbial/lipolytic deltas; representative day-28 quantitative values are governed. Grilled 35-day dry-aged beef has higher concentrations/intensities of desirable GC-O odorants than wet-aged beef.</x:v>
      </x:c>
      <x:c r="F7" s="46" t="str">
        <x:v>No universal optimal duration can be inferred across facilities, humidity, airflow, microbial ecology or cuts; 56-day data in one source shows some desirable Maillard odorants declining.</x:v>
      </x:c>
      <x:c r="G7" s="143" t="str">
        <x:v>verified_strong_current_phase</x:v>
      </x:c>
      <x:c r="H7" s="46" t="str">
        <x:v>Treat additional aging durations/microbiomes as enrichment or client-specific research, not Beef-core discovery.</x:v>
      </x:c>
      <x:c r="I7" s="46" t="str">
        <x:v>Dry aging is a first-class state delta that alters precursors, native volatiles and the subsequent cooked profile.</x:v>
      </x:c>
    </x:row>
    <x:row r="8" ht="15" hidden="0" customHeight="1">
      <x:c r="A8" s="46" t="str">
        <x:v>wet-aged</x:v>
      </x:c>
      <x:c r="B8" s="46" t="str">
        <x:v>SRC-BEEF-AGE-001; SRC-BEEF-AGE-COOK-001</x:v>
      </x:c>
      <x:c r="C8" s="46" t="str">
        <x:v>yes</x:v>
      </x:c>
      <x:c r="D8" s="46" t="str">
        <x:v>strong_comparator</x:v>
      </x:c>
      <x:c r="E8" s="46" t="str">
        <x:v>Wet aging is directly represented as the matched comparator for uncooked and grilled aging studies; fermentation products and volatile weighting differ from dry aging.</x:v>
      </x:c>
      <x:c r="F8" s="46" t="str">
        <x:v>A standalone exhaustive wet-aged profile is not required for the current chef/runtime model.</x:v>
      </x:c>
      <x:c r="G8" s="143" t="str">
        <x:v>verified_comparator</x:v>
      </x:c>
      <x:c r="H8" s="46" t="str">
        <x:v>Retain as comparison/process state; expand only when a specific runtime use case demands it.</x:v>
      </x:c>
      <x:c r="I8" s="46" t="str">
        <x:v>Wet aging is a processing delta/comparator, not automatically a separate full ingredient universe.</x:v>
      </x:c>
    </x:row>
    <x:row r="9" ht="26.399999618530273" hidden="0" customHeight="1">
      <x:c r="A9" s="46" t="str">
        <x:v>cut / fat / marbling</x:v>
      </x:c>
      <x:c r="B9" s="46" t="str">
        <x:v>SRC-BEEF-RAW-MARBLING-001; SRC-BEEF-FAT-001; SRC-BEEF-GRILL-MARBLING-001; SRC-BEEF-GRILL-GRADE-001; SRC-BEEF-PANFRY-BREED-001; SRC-BEEF-DIET-001</x:v>
      </x:c>
      <x:c r="C9" s="46" t="str">
        <x:v>yes</x:v>
      </x:c>
      <x:c r="D9" s="46" t="str">
        <x:v>strong_pattern</x:v>
      </x:c>
      <x:c r="E9" s="46" t="str">
        <x:v>Raw marbling changes OAV/concentration within a shared active set; grilled IMF above ~10% increases volatile generation and in-mouth release; quality grade changes volatile/sensory weighting; breed comparisons show real but bounded deltas.</x:v>
      </x:c>
      <x:c r="F9" s="46" t="str">
        <x:v>A universal numeric multiplier by cut is not justified, and some breed/muscle-specific deltas remain real.</x:v>
      </x:c>
      <x:c r="G9" s="143" t="str">
        <x:v>pattern_supported_founder_review</x:v>
      </x:c>
      <x:c r="H9" s="46" t="str">
        <x:v>No retail-cut-by-retail-cut discovery program is warranted. Add direct muscle comparisons only when a chef/runtime use case exposes a gap.</x:v>
      </x:c>
      <x:c r="I9" s="46" t="str">
        <x:v>Strong candidate for lean/native core + fat/IMF abundance/importance delta + optional member/cut deltas.</x:v>
      </x:c>
    </x:row>
    <x:row r="10">
      <x:c r="A10" t="str">
        <x:v>dry-cured / smoked</x:v>
      </x:c>
      <x:c r="B10" t="str">
        <x:v>SRC-BEEF-CURE-SMOKE-001</x:v>
      </x:c>
      <x:c r="C10" t="str">
        <x:v>yes</x:v>
      </x:c>
      <x:c r="D10" t="str">
        <x:v>strong_full_detection_context_confounded</x:v>
      </x:c>
      <x:c r="E10" t="str">
        <x:v>Full 86-compound dry-cured table extracted. Smoked+spiced T1 has 73 detections versus 36 in unsmoked/unspiced T2; all 12 phenols occur only in T1.</x:v>
      </x:c>
      <x:c r="F10" t="str">
        <x:v>T1 changes two variables together—smoking and spices—so individual T1-only compounds cannot all be assigned uniquely to smoke.</x:v>
      </x:c>
      <x:c r="G10" s="146" t="str">
        <x:v>verified_processing_overlay_v16</x:v>
      </x:c>
      <x:c r="H10" t="str">
        <x:v>Use as the cured/smoked processing layer. Seek a smoke-only controlled source only if runtime needs to separate smoke from spice at compound level.</x:v>
      </x:c>
      <x:c r="I10" t="str">
        <x:v>Processing creates a phenol-rich overlay absent from the unsmoked cure comparator; do not fold these phenols into native Beef.</x:v>
      </x:c>
    </x:row>
  </x:sheetData>
  <x:pageMargins left="0.7" right="0.7" top="0.75" bottom="0.75" header="0.3" footer="0.3"/>
  <x:tableParts count="1">
    <x:tablePart xmlns:r="http://schemas.openxmlformats.org/officeDocument/2006/relationships" r:id="R4508a5f9b13d4da5"/>
  </x:tableParts>
</x:worksheet>
</file>

<file path=xl/worksheets/sheet48.xml><?xml version="1.0" encoding="utf-8"?>
<x:worksheet xmlns:x="http://schemas.openxmlformats.org/spreadsheetml/2006/main">
  <x:sheetFormatPr defaultRowHeight="15"/>
  <x:cols>
    <x:col min="1" max="1" width="14" hidden="0" customWidth="1"/>
    <x:col min="2" max="2" width="24" hidden="0" customWidth="1"/>
    <x:col min="3" max="3" width="60" hidden="0" customWidth="1"/>
    <x:col min="4" max="4" width="20" hidden="0" customWidth="1"/>
    <x:col min="5" max="5" width="42" hidden="0" customWidth="1"/>
    <x:col min="6" max="6" width="28" hidden="0" customWidth="1"/>
    <x:col min="7" max="7" width="62" hidden="0" customWidth="1"/>
    <x:col min="8" max="8" width="58" hidden="0" customWidth="1"/>
    <x:col min="9" max="9" width="55" hidden="0" customWidth="1"/>
    <x:col min="10" max="10" width="24" hidden="0" customWidth="1"/>
    <x:col min="11" max="11" width="30" hidden="0" customWidth="1"/>
  </x:cols>
  <x:sheetData>
    <x:row r="1" ht="15" hidden="0" customHeight="1">
      <x:c r="A1" s="115" t="str">
        <x:v>pattern_id</x:v>
      </x:c>
      <x:c r="B1" s="115" t="str">
        <x:v>pattern_domain</x:v>
      </x:c>
      <x:c r="C1" s="115" t="str">
        <x:v>proposed_pattern</x:v>
      </x:c>
      <x:c r="D1" s="115" t="str">
        <x:v>evidence_type</x:v>
      </x:c>
      <x:c r="E1" s="115" t="str">
        <x:v>direct_evidence_refs</x:v>
      </x:c>
      <x:c r="F1" s="115" t="str">
        <x:v>support_strength</x:v>
      </x:c>
      <x:c r="G1" s="115" t="str">
        <x:v>what_direct_evidence_supports</x:v>
      </x:c>
      <x:c r="H1" s="115" t="str">
        <x:v>inference_boundary</x:v>
      </x:c>
      <x:c r="I1" s="115" t="str">
        <x:v>culinary_runtime_value</x:v>
      </x:c>
      <x:c r="J1" s="115" t="str">
        <x:v>founder_review_required</x:v>
      </x:c>
      <x:c r="K1" s="115" t="str">
        <x:v>status</x:v>
      </x:c>
    </x:row>
    <x:row r="2" ht="39.599998474121094" hidden="0" customHeight="1">
      <x:c r="A2" s="46" t="str">
        <x:v>PAT-BEEF-001</x:v>
      </x:c>
      <x:c r="B2" s="46" t="str">
        <x:v>high-heat transformation</x:v>
      </x:c>
      <x:c r="C2" s="46" t="str">
        <x:v>Model roasted, grilled and seared beef as one native beef core plus a high-heat transformation family, with technique/doneness-specific weighting rather than literal row-for-row equivalence.</x:v>
      </x:c>
      <x:c r="D2" s="46" t="str">
        <x:v>pattern_inference</x:v>
      </x:c>
      <x:c r="E2" s="46" t="str">
        <x:v>SRC-BEEF-ROAST-001; SRC-BEEF-LIPIDOMICS-001; SRC-BEEF-GRILL-TEMP-001; SRC-BEEF-GRILL-GCO-001; SRC-BEEF-SEAR-001; SRC-BEEF-PANFRY-BREED-001</x:v>
      </x:c>
      <x:c r="F2" s="46" t="str">
        <x:v>strong_cross_technique</x:v>
      </x:c>
      <x:c r="G2" s="46" t="str">
        <x:v>Across roast, grill and sear, lipid-derived aldehydes persist while heat increases Maillard/Strecker/pyrazine chemistry; grill doneness forms distinct abundance clusters; sear remains dominated by the same aldehyde backbone.</x:v>
      </x:c>
      <x:c r="H2" s="46" t="str">
        <x:v>Technique, surface geometry, doneness and smoke/char alter weighting and can introduce deltas. Shared architecture is not identical chemistry.</x:v>
      </x:c>
      <x:c r="I2" s="46" t="str">
        <x:v>Allows CulinAI to reason from one high-heat mechanism while preserving technique effects.</x:v>
      </x:c>
      <x:c r="J2" s="46" t="str">
        <x:v>yes</x:v>
      </x:c>
      <x:c r="K2" s="46" t="str">
        <x:v>founder_review_candidate</x:v>
      </x:c>
    </x:row>
    <x:row r="3" ht="39.599998474121094" hidden="0" customHeight="1">
      <x:c r="A3" s="46" t="str">
        <x:v>PAT-BEEF-002</x:v>
      </x:c>
      <x:c r="B3" s="46" t="str">
        <x:v>fat / marbling</x:v>
      </x:c>
      <x:c r="C3" s="46" t="str">
        <x:v>Use a lean/native beef core plus fat/IMF-dependent abundance, release and sensory-importance weighting; add breed/cut deltas only when evidence shows material divergence.</x:v>
      </x:c>
      <x:c r="D3" s="46" t="str">
        <x:v>pattern_inference</x:v>
      </x:c>
      <x:c r="E3" s="46" t="str">
        <x:v>SRC-BEEF-RAW-MARBLING-001; SRC-BEEF-FAT-001; SRC-BEEF-GRILL-MARBLING-001; SRC-BEEF-GRILL-GRADE-001; SRC-BEEF-PANFRY-BREED-001</x:v>
      </x:c>
      <x:c r="F3" s="46" t="str">
        <x:v>strong_for_weighting_moderate_for_universal_cut_inheritance</x:v>
      </x:c>
      <x:c r="G3" s="46" t="str">
        <x:v>Independent raw and grilled studies show fat/IMF changes concentration, volatile generation, in-mouth release and sensory outcome; multi-breed pan-fry data shows genuine member deltas without requiring separate total universes.</x:v>
      </x:c>
      <x:c r="H3" s="46" t="str">
        <x:v>Do not convert this into a fixed multiplier or assume all muscles/breeds share every compound.</x:v>
      </x:c>
      <x:c r="I3" s="46" t="str">
        <x:v>Reduces cut proliferation while preserving the major chemical reason marbling changes flavor.</x:v>
      </x:c>
      <x:c r="J3" s="46" t="str">
        <x:v>yes</x:v>
      </x:c>
      <x:c r="K3" s="46" t="str">
        <x:v>founder_review_candidate</x:v>
      </x:c>
    </x:row>
    <x:row r="4" ht="26.399999618530273" hidden="0" customHeight="1">
      <x:c r="A4" s="46" t="str">
        <x:v>PAT-BEEF-003</x:v>
      </x:c>
      <x:c r="B4" s="46" t="str">
        <x:v>moist heat</x:v>
      </x:c>
      <x:c r="C4" s="46" t="str">
        <x:v>Moist-cooked beef retains a lipid-derived aldehyde/alcohol backbone while adding or emphasizing brothy/meaty sulfur and selected heterocyclic odorants.</x:v>
      </x:c>
      <x:c r="D4" s="46" t="str">
        <x:v>pattern_inference</x:v>
      </x:c>
      <x:c r="E4" s="46" t="str">
        <x:v>SRC-BEEF-STEW-001; SRC-BEEF-ROAST-001</x:v>
      </x:c>
      <x:c r="F4" s="46" t="str">
        <x:v>moderate_to_strong</x:v>
      </x:c>
      <x:c r="G4" s="46" t="str">
        <x:v>Clean water+salt stewed beef has GC-O/AEDA aroma-active evidence overlapping raw/roast aldehydes plus methional and 2-acetyl-2-thiazoline.</x:v>
      </x:c>
      <x:c r="H4" s="46" t="str">
        <x:v>One stewed protocol is not every braise; headspace extraction and liquid geometry matter.</x:v>
      </x:c>
      <x:c r="I4" s="46" t="str">
        <x:v>Supports cooked-beef core + moist-heat transformation + introduced-ingredient overlay.</x:v>
      </x:c>
      <x:c r="J4" s="46" t="str">
        <x:v>yes_if_promoted_to_general_rule</x:v>
      </x:c>
      <x:c r="K4" s="46" t="str">
        <x:v>evidence_supported_pattern</x:v>
      </x:c>
    </x:row>
    <x:row r="5" ht="39.599998474121094" hidden="0" customHeight="1">
      <x:c r="A5" s="46" t="str">
        <x:v>PAT-BEEF-004</x:v>
      </x:c>
      <x:c r="B5" s="46" t="str">
        <x:v>dry aging</x:v>
      </x:c>
      <x:c r="C5" s="46" t="str">
        <x:v>Dry aging is a first-class beef transformation: oxygen exposure, proteolysis/lipolysis and microbial activity change the uncooked volatile pool and precursor availability, which then changes the grilled aroma profile. The effect is duration-dependent, not a simple monotonic intensification.</x:v>
      </x:c>
      <x:c r="D5" s="46" t="str">
        <x:v>pattern_inference</x:v>
      </x:c>
      <x:c r="E5" s="46" t="str">
        <x:v>SRC-BEEF-AGE-001; SRC-BEEF-AGE-COOK-001; SRC-BEEF-AGE-CONTROL-001</x:v>
      </x:c>
      <x:c r="F5" s="46" t="str">
        <x:v>strong_direct_multi_state</x:v>
      </x:c>
      <x:c r="G5" s="46" t="str">
        <x:v>Matched dry/wet aging produces large day-28 deltas in propanal, 2-methylbutanal, 2-methylpropanal, 2-methyl-2-propanethiol and ethyl propanoate; grilled dry-aged beef shows higher concentrations/intensities of multiple desirable GC-O odorants.</x:v>
      </x:c>
      <x:c r="H5" s="46" t="str">
        <x:v>The optimal duration and magnitude are process-specific. One study's 35-day preference and 56-day decline must not become a universal time rule.</x:v>
      </x:c>
      <x:c r="I5" s="46" t="str">
        <x:v>Allows CulinAI to explain dry-aged flavor as changed chemistry and precursor formation rather than a generic 'more intense beef' label.</x:v>
      </x:c>
      <x:c r="J5" s="46" t="str">
        <x:v>no_user_requirement_already_explicit</x:v>
      </x:c>
      <x:c r="K5" s="46" t="str">
        <x:v>governed_strong_pattern</x:v>
      </x:c>
    </x:row>
    <x:row r="6" ht="26.399999618530273" hidden="0" customHeight="1">
      <x:c r="A6" s="46" t="str">
        <x:v>PAT-BEEF-005</x:v>
      </x:c>
      <x:c r="B6" s="46" t="str">
        <x:v>culinary relevance / spoilage boundary</x:v>
      </x:c>
      <x:c r="C6" s="46" t="str">
        <x:v>Analytical beef occurrence must not be treated as desirable culinary aroma when the evidence context is spoilage.</x:v>
      </x:c>
      <x:c r="D6" s="46" t="str">
        <x:v>direct_governance_rule</x:v>
      </x:c>
      <x:c r="E6" s="46" t="str">
        <x:v>SRC-BEEF-SPOIL-001</x:v>
      </x:c>
      <x:c r="F6" s="46" t="str">
        <x:v>strong</x:v>
      </x:c>
      <x:c r="G6" s="46" t="str">
        <x:v>3-octanone is directly observed in minced-beef spoilage dynamics.</x:v>
      </x:c>
      <x:c r="H6" s="46" t="str">
        <x:v>This does not prove 3-octanone can never occur in desirable beef; this source cannot justify that claim.</x:v>
      </x:c>
      <x:c r="I6" s="46" t="str">
        <x:v>Prevents analytically correct but culinarily harmful recommendations.</x:v>
      </x:c>
      <x:c r="J6" s="46" t="str">
        <x:v>no</x:v>
      </x:c>
      <x:c r="K6" s="46" t="str">
        <x:v>governed_boundary_precedent_generalized_by_MR14</x:v>
      </x:c>
    </x:row>
    <x:row r="7">
      <x:c r="A7" t="str">
        <x:v>PAT-BEEF-006</x:v>
      </x:c>
      <x:c r="B7" t="str">
        <x:v>fat carrier product</x:v>
      </x:c>
      <x:c r="C7" t="str">
        <x:v>Beef fat should be modeled as a separate product/material with its own volatile inventory and preparation transformations, not as a cut label inside the muscle profile.</x:v>
      </x:c>
      <x:c r="D7" t="str">
        <x:v>direct_product_boundary_evidence</x:v>
      </x:c>
      <x:c r="E7" t="str">
        <x:v>SRC-BEEF-FAT-001; Detected Beef Fat</x:v>
      </x:c>
      <x:c r="F7" t="str">
        <x:v>strong</x:v>
      </x:c>
      <x:c r="G7" t="str">
        <x:v>Dry-rendered abdominal subcutaneous fat yields 96 source-identified volatiles across aldehydes, alcohols, ketones, acids, six lactones, sulfur/nitrogen heterocycles and phenols; 54 rows have authentic-standard agreement.</x:v>
      </x:c>
      <x:c r="H7" t="str">
        <x:v>This source represents rendered subcutaneous fat, not intramuscular fat or every bovine fat depot.</x:v>
      </x:c>
      <x:c r="I7" t="str">
        <x:v>Makes the carrier layer available to culinary reasoning without contaminating muscle-state inheritance.</x:v>
      </x:c>
      <x:c r="J7" t="str">
        <x:v>no</x:v>
      </x:c>
      <x:c r="K7" t="str">
        <x:v>governed_product_boundary_v16</x:v>
      </x:c>
    </x:row>
    <x:row r="8">
      <x:c r="A8" t="str">
        <x:v>PAT-BEEF-007</x:v>
      </x:c>
      <x:c r="B8" t="str">
        <x:v>cure / smoke processing overlay</x:v>
      </x:c>
      <x:c r="C8" t="str">
        <x:v>Dry-curing with smoking/spices creates a distinct processing-derived volatile layer, especially phenols and smoke-associated cyclic ketones/furans, on top of the underlying beef/lipid profile.</x:v>
      </x:c>
      <x:c r="D8" t="str">
        <x:v>direct_processing_comparison</x:v>
      </x:c>
      <x:c r="E8" t="str">
        <x:v>SRC-BEEF-CURE-SMOKE-001; Detected Beef Cure-Smoke</x:v>
      </x:c>
      <x:c r="F8" t="str">
        <x:v>strong_with_smoke_spice_confound</x:v>
      </x:c>
      <x:c r="G8" t="str">
        <x:v>The matched product comparison identifies 86 compounds; 12 phenols are found only in the smoked+spiced product, while the unsmoked/unspiced product remains dominated by lipid-derived aldehydes/alcohols.</x:v>
      </x:c>
      <x:c r="H8" t="str">
        <x:v>Smoking and spices co-vary in T1. The source supports a combined processing overlay more strongly than a pure smoke-only attribution for every compound.</x:v>
      </x:c>
      <x:c r="I8" t="str">
        <x:v>Adds the phenolic processing chemistry missing from the avian-heavy dataset while preserving provenance.</x:v>
      </x:c>
      <x:c r="J8" t="str">
        <x:v>no</x:v>
      </x:c>
      <x:c r="K8" t="str">
        <x:v>governed_processing_overlay_v16</x:v>
      </x:c>
    </x:row>
  </x:sheetData>
  <x:pageMargins left="0.7" right="0.7" top="0.75" bottom="0.75" header="0.3" footer="0.3"/>
  <x:tableParts count="1">
    <x:tablePart xmlns:r="http://schemas.openxmlformats.org/officeDocument/2006/relationships" r:id="R90277c740dc246ab"/>
  </x:tableParts>
</x:worksheet>
</file>

<file path=xl/worksheets/sheet49.xml><?xml version="1.0" encoding="utf-8"?>
<x:worksheet xmlns:x="http://schemas.openxmlformats.org/spreadsheetml/2006/main">
  <x:sheetFormatPr defaultRowHeight="15"/>
  <x:cols>
    <x:col min="1" max="1" width="31" hidden="0" customWidth="1"/>
    <x:col min="2" max="2" width="28" hidden="0" customWidth="1"/>
    <x:col min="3" max="3" width="55" hidden="0" customWidth="1"/>
    <x:col min="4" max="4" width="26" hidden="0" customWidth="1"/>
    <x:col min="5" max="5" width="70" hidden="0" customWidth="1"/>
    <x:col min="6" max="6" width="65" hidden="0" customWidth="1"/>
    <x:col min="7" max="7" width="24" hidden="0" customWidth="1"/>
    <x:col min="8" max="8" width="65" hidden="0" customWidth="1"/>
  </x:cols>
  <x:sheetData>
    <x:row r="1" ht="15" hidden="0" customHeight="1">
      <x:c r="A1" s="115" t="str">
        <x:v>criterion</x:v>
      </x:c>
      <x:c r="B1" s="115" t="str">
        <x:v>status</x:v>
      </x:c>
      <x:c r="C1" s="115" t="str">
        <x:v>evidence_refs</x:v>
      </x:c>
      <x:c r="D1" s="115" t="str">
        <x:v>evidence_strength</x:v>
      </x:c>
      <x:c r="E1" s="115" t="str">
        <x:v>what_is_complete</x:v>
      </x:c>
      <x:c r="F1" s="115" t="str">
        <x:v>residual_uncertainty</x:v>
      </x:c>
      <x:c r="G1" s="115" t="str">
        <x:v>blocks_family_completion</x:v>
      </x:c>
      <x:c r="H1" s="115" t="str">
        <x:v>recommended_action</x:v>
      </x:c>
    </x:row>
    <x:row r="2" ht="26.399999618530273" hidden="0" customHeight="1">
      <x:c r="A2" s="46" t="str">
        <x:v>OVERALL — Beef current phase</x:v>
      </x:c>
      <x:c r="B2" s="143" t="str">
        <x:v>COMPLETE_AFTER_MR_ADDENDUM_V16</x:v>
      </x:c>
      <x:c r="C2" s="46" t="str">
        <x:v>Beef State Coverage; Beef Pattern Evidence; Verified Beef Profiles; Detected Beef Muscle; Detected Beef Fat; Detected Beef Aging; Detected Beef Cure-Smoke; Beef Identification QA; Beef MR Addendum Audit</x:v>
      </x:c>
      <x:c r="D2" s="46" t="str">
        <x:v>strong_multi_source_with_source-specific_ID_limits</x:v>
      </x:c>
      <x:c r="E2" s="46" t="str">
        <x:v>Beef now has separate sensory/key-aroma and full-detection layers; MR-13 product separation; full beef-fat carrier chemistry; cured/smoked phenol coverage; and explicit identification-quality fields.</x:v>
      </x:c>
      <x:c r="F2" s="46" t="str">
        <x:v>Several primary papers do not publish exact per-row numeric MS match factors. Those cells remain unknown and are marked partial rather than inferred.</x:v>
      </x:c>
      <x:c r="G2" s="46" t="str">
        <x:v>no</x:v>
      </x:c>
      <x:c r="H2" s="46" t="str">
        <x:v>Beef can now hand off to ruminant work. Apply MR-09/MR-10/MR-13 during first-pass extraction for each new family rather than retrospectively.</x:v>
      </x:c>
    </x:row>
    <x:row r="3" ht="26.399999618530273" hidden="0" customHeight="1">
      <x:c r="A3" s="46" t="str">
        <x:v>Governed raw baseline</x:v>
      </x:c>
      <x:c r="B3" s="143" t="str">
        <x:v>met</x:v>
      </x:c>
      <x:c r="C3" s="46" t="str">
        <x:v>SRC-BEEF-ROAST-001; SRC-BEEF-RAW-MARBLING-001</x:v>
      </x:c>
      <x:c r="D3" s="46" t="str">
        <x:v>strong</x:v>
      </x:c>
      <x:c r="E3" s="46" t="str">
        <x:v>Raw aroma-active core includes recurrent lipid-derived aldehydes/alcohols/furan plus exact concentration/OAV evidence and marbling weighting.</x:v>
      </x:c>
      <x:c r="F3" s="46" t="str">
        <x:v>Not exhaustive across every breed, diet and muscle.</x:v>
      </x:c>
      <x:c r="G3" s="46" t="str">
        <x:v>no</x:v>
      </x:c>
      <x:c r="H3" s="46" t="str">
        <x:v>Do not expand unless an independent study contradicts the current core.</x:v>
      </x:c>
    </x:row>
    <x:row r="4" ht="39.599998474121094" hidden="0" customHeight="1">
      <x:c r="A4" s="46" t="str">
        <x:v>High-heat transformation</x:v>
      </x:c>
      <x:c r="B4" s="143" t="str">
        <x:v>met</x:v>
      </x:c>
      <x:c r="C4" s="46" t="str">
        <x:v>SRC-BEEF-ROAST-001; SRC-BEEF-LIPIDOMICS-001; SRC-BEEF-GRILL-TEMP-001; SRC-BEEF-GRILL-GCO-001; SRC-BEEF-SEAR-001; SRC-BEEF-PANFRY-BREED-001</x:v>
      </x:c>
      <x:c r="D4" s="46" t="str">
        <x:v>strong_cross_technique</x:v>
      </x:c>
      <x:c r="E4" s="46" t="str">
        <x:v>Roast, grill and sear are directly evidenced and support a shared high-heat transformation family with technique/doneness weighting.</x:v>
      </x:c>
      <x:c r="F4" s="46" t="str">
        <x:v>Not literal compound equality; smoke/char remains a separate overlay.</x:v>
      </x:c>
      <x:c r="G4" s="46" t="str">
        <x:v>no</x:v>
      </x:c>
      <x:c r="H4" s="46" t="str">
        <x:v>Founder decision FV-BEEF-001 controls runtime inheritance, not research completion.</x:v>
      </x:c>
    </x:row>
    <x:row r="5" ht="26.399999618530273" hidden="0" customHeight="1">
      <x:c r="A5" s="46" t="str">
        <x:v>Moist-heat transformation</x:v>
      </x:c>
      <x:c r="B5" s="143" t="str">
        <x:v>met</x:v>
      </x:c>
      <x:c r="C5" s="46" t="str">
        <x:v>SRC-BEEF-STEW-001</x:v>
      </x:c>
      <x:c r="D5" s="46" t="str">
        <x:v>strong_sensory_linked</x:v>
      </x:c>
      <x:c r="E5" s="46" t="str">
        <x:v>Clean water+salt chuck provides GC-O/AEDA aroma-active moist-heat baseline and separates endogenous beef chemistry from introduced braising aromatics.</x:v>
      </x:c>
      <x:c r="F5" s="46" t="str">
        <x:v>One protocol cannot represent every braise liquid, pressure level or holding condition.</x:v>
      </x:c>
      <x:c r="G5" s="46" t="str">
        <x:v>no</x:v>
      </x:c>
      <x:c r="H5" s="46" t="str">
        <x:v>Treat added wine/stock/allium/herb chemistry as overlays; expand only for a specific technique need.</x:v>
      </x:c>
    </x:row>
    <x:row r="6" ht="26.399999618530273" hidden="0" customHeight="1">
      <x:c r="A6" s="46" t="str">
        <x:v>Dry-aging delta</x:v>
      </x:c>
      <x:c r="B6" s="143" t="str">
        <x:v>met</x:v>
      </x:c>
      <x:c r="C6" s="46" t="str">
        <x:v>SRC-BEEF-AGE-001; SRC-BEEF-AGE-COOK-001; SRC-BEEF-AGE-CONTROL-001</x:v>
      </x:c>
      <x:c r="D6" s="46" t="str">
        <x:v>strong_direct_multi_state</x:v>
      </x:c>
      <x:c r="E6" s="46" t="str">
        <x:v>Matched dry/wet uncooked quantitative deltas and grilled GC-O/sensory effects establish a real process delta and duration dependence.</x:v>
      </x:c>
      <x:c r="F6" s="46" t="str">
        <x:v>Facility/process microbiome, airflow/humidity and duration alter magnitude.</x:v>
      </x:c>
      <x:c r="G6" s="46" t="str">
        <x:v>no</x:v>
      </x:c>
      <x:c r="H6" s="46" t="str">
        <x:v>Retain process parameters in provenance; avoid universal 'X days is optimal' rules.</x:v>
      </x:c>
    </x:row>
    <x:row r="7" ht="26.399999618530273" hidden="0" customHeight="1">
      <x:c r="A7" s="46" t="str">
        <x:v>Major sensory-critical compounds</x:v>
      </x:c>
      <x:c r="B7" s="143" t="str">
        <x:v>met</x:v>
      </x:c>
      <x:c r="C7" s="46" t="str">
        <x:v>SRC-BEEF-ROAST-001; SRC-BEEF-STEW-001; SRC-BEEF-GRILL-GCO-001; SRC-BEEF-AGE-COOK-001</x:v>
      </x:c>
      <x:c r="D7" s="46" t="str">
        <x:v>strong</x:v>
      </x:c>
      <x:c r="E7" s="46" t="str">
        <x:v>OAV, GC-O, AEDA/FD and consumer-associated odorant layers are represented separately from detection-only rows.</x:v>
      </x:c>
      <x:c r="F7" s="46" t="str">
        <x:v>Not every state has omission/recombination evidence.</x:v>
      </x:c>
      <x:c r="G7" s="46" t="str">
        <x:v>no</x:v>
      </x:c>
      <x:c r="H7" s="46" t="str">
        <x:v>Prefer future sensomics enrichment over adding broad detection lists.</x:v>
      </x:c>
    </x:row>
    <x:row r="8" ht="26.399999618530273" hidden="0" customHeight="1">
      <x:c r="A8" s="46" t="str">
        <x:v>Quantitative evidence retained</x:v>
      </x:c>
      <x:c r="B8" s="143" t="str">
        <x:v>met</x:v>
      </x:c>
      <x:c r="C8" s="46" t="str">
        <x:v>Beef Quantitative Deltas; SRC-BEEF-ROAST-001; SRC-BEEF-RAW-MARBLING-001; SRC-BEEF-AGE-001</x:v>
      </x:c>
      <x:c r="D8" s="46" t="str">
        <x:v>strong</x:v>
      </x:c>
      <x:c r="E8" s="46" t="str">
        <x:v>Absolute concentration/OAV retained where published; source peak-area metrics retained as peak area and never mislabeled as concentration.</x:v>
      </x:c>
      <x:c r="F8" s="46" t="str">
        <x:v>Cross-study values are method-specific and should not be numerically pooled without harmonization.</x:v>
      </x:c>
      <x:c r="G8" s="46" t="str">
        <x:v>no</x:v>
      </x:c>
      <x:c r="H8" s="46" t="str">
        <x:v>Use within-source deltas for weighting; do not average incompatible methods.</x:v>
      </x:c>
    </x:row>
    <x:row r="9" ht="26.399999618530273" hidden="0" customHeight="1">
      <x:c r="A9" s="46" t="str">
        <x:v>Legacy Beef reconciliation</x:v>
      </x:c>
      <x:c r="B9" s="143" t="str">
        <x:v>met</x:v>
      </x:c>
      <x:c r="C9" s="46" t="str">
        <x:v>Beef Legacy Reconciliation; Legacy Compounds; Pairing Compound Leads</x:v>
      </x:c>
      <x:c r="D9" s="46" t="str">
        <x:v>strong_governance</x:v>
      </x:c>
      <x:c r="E9" s="46" t="str">
        <x:v>All 16 legacy compounds and 8 legacy pairing explanations were identity-audited and either verified in bounded context or held.</x:v>
      </x:c>
      <x:c r="F9" s="46" t="str">
        <x:v>Some held compounds could later be recovered by stronger primary evidence.</x:v>
      </x:c>
      <x:c r="G9" s="46" t="str">
        <x:v>no</x:v>
      </x:c>
      <x:c r="H9" s="46" t="str">
        <x:v>Keep holds searchable as research leads; never restore them solely because they existed historically.</x:v>
      </x:c>
    </x:row>
    <x:row r="10" ht="39.599998474121094" hidden="0" customHeight="1">
      <x:c r="A10" s="46" t="str">
        <x:v>Cut / fat / marbling model</x:v>
      </x:c>
      <x:c r="B10" s="143" t="str">
        <x:v>met_for_architecture</x:v>
      </x:c>
      <x:c r="C10" s="46" t="str">
        <x:v>SRC-BEEF-RAW-MARBLING-001; SRC-BEEF-GRILL-MARBLING-001; SRC-BEEF-GRILL-GRADE-001; SRC-BEEF-PANFRY-BREED-001; SRC-BEEF-FAT-001</x:v>
      </x:c>
      <x:c r="D10" s="46" t="str">
        <x:v>strong_for_weighting</x:v>
      </x:c>
      <x:c r="E10" s="46" t="str">
        <x:v>Independent raw and cooked studies show IMF/fat changes concentration, release and sensory weighting; breed work shows bounded deltas.</x:v>
      </x:c>
      <x:c r="F10" s="46" t="str">
        <x:v>A fixed universal cut multiplier is unsupported and some muscles/breeds may require deltas.</x:v>
      </x:c>
      <x:c r="G10" s="46" t="str">
        <x:v>no</x:v>
      </x:c>
      <x:c r="H10" s="46" t="str">
        <x:v>Founder decision FV-BEEF-002 controls default runtime inheritance; avoid retail-cut proliferation.</x:v>
      </x:c>
    </x:row>
    <x:row r="11" ht="26.399999618530273" hidden="0" customHeight="1">
      <x:c r="A11" s="46" t="str">
        <x:v>Contradictions / unresolved evidence</x:v>
      </x:c>
      <x:c r="B11" s="143" t="str">
        <x:v>met_with_visible_gaps</x:v>
      </x:c>
      <x:c r="C11" s="46" t="str">
        <x:v>Beef State Coverage; Founder Verification Queue</x:v>
      </x:c>
      <x:c r="D11" s="46" t="str">
        <x:v>governed</x:v>
      </x:c>
      <x:c r="E11" s="46" t="str">
        <x:v>No unresolved contradiction currently overturns the Beef family architecture. Remaining gaps are explicitly labeled.</x:v>
      </x:c>
      <x:c r="F11" s="46" t="str">
        <x:v>Roast/sear/grill exact inheritance and cut/fat default model are judgment calls, not missing analytical evidence.</x:v>
      </x:c>
      <x:c r="G11" s="46" t="str">
        <x:v>no</x:v>
      </x:c>
      <x:c r="H11" s="46" t="str">
        <x:v>Do not hold ruminant research waiting on these approvals.</x:v>
      </x:c>
    </x:row>
    <x:row r="12">
      <x:c r="A12" t="str">
        <x:v>MR-10 detected-table completeness</x:v>
      </x:c>
      <x:c r="B12" s="148" t="str">
        <x:v>met</x:v>
      </x:c>
      <x:c r="C12" t="str">
        <x:v>Detected Beef Muscle; Detected Beef Fat; Detected Beef Aging; Detected Beef Cure-Smoke</x:v>
      </x:c>
      <x:c r="D12" t="str">
        <x:v>strong_source-count_reconciliation</x:v>
      </x:c>
      <x:c r="E12" t="str">
        <x:v>91/91 raw→grill muscle rows, 96/96 beef-fat rows, 37/37 aging identification rows, and 86/86 cure/smoke rows are extracted.</x:v>
      </x:c>
      <x:c r="F12" t="str">
        <x:v>The 37-row aging source remains below the VCF median by source design; completeness means full extraction, not artificial padding.</x:v>
      </x:c>
      <x:c r="G12" t="str">
        <x:v>no</x:v>
      </x:c>
      <x:c r="H12" t="str">
        <x:v>Keep the sensory profile separate from the detected table.</x:v>
      </x:c>
    </x:row>
    <x:row r="13">
      <x:c r="A13" t="str">
        <x:v>MR-09 identification quality</x:v>
      </x:c>
      <x:c r="B13" s="148" t="str">
        <x:v>met_with_source_reporting_limits</x:v>
      </x:c>
      <x:c r="C13" t="str">
        <x:v>Beef Identification QA; SRC-BEEF-IDQA-001</x:v>
      </x:c>
      <x:c r="D13" t="str">
        <x:v>explicit_and_auditable</x:v>
      </x:c>
      <x:c r="E13" t="str">
        <x:v>LRI/RI, reference LRI where supplied, row identification method, standard confirmation, source match floor, and missing exact match factors are explicit.</x:v>
      </x:c>
      <x:c r="F13" t="str">
        <x:v>Morsli/Yang/Sha do not publish exact row-level spectral match scores; Ahamed supplies a source-wide ≥80% gate rather than exact individual scores.</x:v>
      </x:c>
      <x:c r="G13" t="str">
        <x:v>no</x:v>
      </x:c>
      <x:c r="H13" t="str">
        <x:v>Never backfill missing numeric match factors from a different source.</x:v>
      </x:c>
    </x:row>
    <x:row r="14">
      <x:c r="A14" t="str">
        <x:v>MR-13 product/material separation</x:v>
      </x:c>
      <x:c r="B14" s="148" t="str">
        <x:v>met</x:v>
      </x:c>
      <x:c r="C14" t="str">
        <x:v>Verified Beef Fat Profile; Detected Beef Fat; BP-052 historical row</x:v>
      </x:c>
      <x:c r="D14" t="str">
        <x:v>strong_governance</x:v>
      </x:c>
      <x:c r="E14" t="str">
        <x:v>Dry-rendered beef fat is now product_id beef:fat with abdominal subcutaneous fat as material and dry-rendered as the preparation.</x:v>
      </x:c>
      <x:c r="F14" t="str">
        <x:v>Other fat depots may differ and should receive deltas only when evidence justifies them.</x:v>
      </x:c>
      <x:c r="G14" t="str">
        <x:v>no</x:v>
      </x:c>
      <x:c r="H14" t="str">
        <x:v>Treat intramuscular fat as a weighting/delta question, not as the same object as rendered subcutaneous fat.</x:v>
      </x:c>
    </x:row>
    <x:row r="15">
      <x:c r="A15" t="str">
        <x:v>Carrier-layer lactones</x:v>
      </x:c>
      <x:c r="B15" s="148" t="str">
        <x:v>met</x:v>
      </x:c>
      <x:c r="C15" t="str">
        <x:v>SRC-BEEF-FAT-001; Detected Beef Fat</x:v>
      </x:c>
      <x:c r="D15" t="str">
        <x:v>strong_full_table</x:v>
      </x:c>
      <x:c r="E15" t="str">
        <x:v>Six lactone-class rows are now represented in the full beef:fat table; the muscle raw→grill table independently contains two lactones.</x:v>
      </x:c>
      <x:c r="F15" t="str">
        <x:v>Extraction solvent materially changes which fat volatiles are recovered.</x:v>
      </x:c>
      <x:c r="G15" t="str">
        <x:v>no</x:v>
      </x:c>
      <x:c r="H15" t="str">
        <x:v>Preserve solvent/extraction context for any future quantitative comparison.</x:v>
      </x:c>
    </x:row>
    <x:row r="16">
      <x:c r="A16" t="str">
        <x:v>Cured/smoked phenols</x:v>
      </x:c>
      <x:c r="B16" s="148" t="str">
        <x:v>met_with_confound_flag</x:v>
      </x:c>
      <x:c r="C16" t="str">
        <x:v>SRC-BEEF-CURE-SMOKE-001; Detected Beef Cure-Smoke</x:v>
      </x:c>
      <x:c r="D16" t="str">
        <x:v>strong_processing_comparison</x:v>
      </x:c>
      <x:c r="E16" t="str">
        <x:v>Twelve phenols are represented, all confined to the smoked+spiced product in this source.</x:v>
      </x:c>
      <x:c r="F16" t="str">
        <x:v>Smoking and spices are combined in T1, so source-level processing attribution is safer than claiming each compound is exclusively smoke-derived.</x:v>
      </x:c>
      <x:c r="G16" t="str">
        <x:v>no</x:v>
      </x:c>
      <x:c r="H16" t="str">
        <x:v>Use as combined cure/smoke/spice overlay unless a cleaner controlled smoke-only source is needed.</x:v>
      </x:c>
    </x:row>
  </x:sheetData>
  <x:pageMargins left="0.7" right="0.7" top="0.75" bottom="0.75" header="0.3" footer="0.3"/>
  <x:tableParts count="1">
    <x:tablePart xmlns:r="http://schemas.openxmlformats.org/officeDocument/2006/relationships" r:id="R09f758c711734b77"/>
  </x:tableParts>
</x:worksheet>
</file>

<file path=xl/worksheets/sheet50.xml><?xml version="1.0" encoding="utf-8"?>
<x:worksheet xmlns:x="http://schemas.openxmlformats.org/spreadsheetml/2006/main">
  <x:sheetFormatPr defaultRowHeight="15"/>
  <x:cols>
    <x:col min="1" max="1" width="16" hidden="0" customWidth="1"/>
    <x:col min="2" max="2" width="15" hidden="0" customWidth="1"/>
    <x:col min="3" max="3" width="10" hidden="0" customWidth="1"/>
    <x:col min="4" max="4" width="28" hidden="0" customWidth="1"/>
    <x:col min="5" max="5" width="30" hidden="0" customWidth="1"/>
    <x:col min="6" max="6" width="26" hidden="0" customWidth="1"/>
    <x:col min="7" max="7" width="22" hidden="0" customWidth="1"/>
    <x:col min="8" max="8" width="31" hidden="0" customWidth="1"/>
    <x:col min="9" max="9" width="14" hidden="0" customWidth="1"/>
    <x:col min="10" max="10" width="13" hidden="0" customWidth="1"/>
    <x:col min="11" max="11" width="13" hidden="0" customWidth="1"/>
    <x:col min="12" max="12" width="43" hidden="0" customWidth="1"/>
    <x:col min="13" max="13" width="18" hidden="0" customWidth="1"/>
    <x:col min="14" max="14" width="20" hidden="0" customWidth="1"/>
    <x:col min="15" max="15" width="30"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44" hidden="0" customWidth="1"/>
    <x:col min="24" max="24" width="62" hidden="0" customWidth="1"/>
    <x:col min="25" max="25" width="28" hidden="0" customWidth="1"/>
    <x:col min="26" max="26" width="56"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lri_observed</x:v>
      </x:c>
      <x:c r="K1" s="139" t="str">
        <x:v>lri_reference</x:v>
      </x:c>
      <x:c r="L1" s="139" t="str">
        <x:v>identification_method</x:v>
      </x:c>
      <x:c r="M1" s="139" t="str">
        <x:v>numeric_match_factor</x:v>
      </x:c>
      <x:c r="N1" s="139" t="str">
        <x:v>source_match_quality_floor_pct</x:v>
      </x:c>
      <x:c r="O1" s="139" t="str">
        <x:v>mr09_identification_status</x:v>
      </x:c>
      <x:c r="P1" s="139" t="str">
        <x:v>raw_pct</x:v>
      </x:c>
      <x:c r="Q1" s="139" t="str">
        <x:v>grill55_pct</x:v>
      </x:c>
      <x:c r="R1" s="139" t="str">
        <x:v>grill60_pct</x:v>
      </x:c>
      <x:c r="S1" s="139" t="str">
        <x:v>grill71_pct</x:v>
      </x:c>
      <x:c r="T1" s="139" t="str">
        <x:v>grill77_pct</x:v>
      </x:c>
      <x:c r="U1" s="139" t="str">
        <x:v>grill85_pct</x:v>
      </x:c>
      <x:c r="V1" s="139" t="str">
        <x:v>p_value</x:v>
      </x:c>
      <x:c r="W1" s="139" t="str">
        <x:v>source_metric_or_value</x:v>
      </x:c>
      <x:c r="X1" s="139" t="str">
        <x:v>notes</x:v>
      </x:c>
      <x:c r="Y1" s="23" t="str">
        <x:v>culinary_relevance_route</x:v>
      </x:c>
      <x:c r="Z1" s="23" t="str">
        <x:v>route_notes</x:v>
      </x:c>
    </x:row>
    <x:row r="2" ht="26.399999618530273" hidden="0" customHeight="1">
      <x:c r="A2" s="46" t="str">
        <x:v>BDM-MOR-001</x:v>
      </x:c>
      <x:c r="B2" s="46" t="str">
        <x:v>beef:muscle</x:v>
      </x:c>
      <x:c r="C2" s="46" t="str">
        <x:v>beef</x:v>
      </x:c>
      <x:c r="D2" s="46" t="str">
        <x:v>Longissimus lumborum</x:v>
      </x:c>
      <x:c r="E2" s="46" t="str">
        <x:v>raw→grilled doneness series</x:v>
      </x:c>
      <x:c r="F2" s="46" t="str">
        <x:v>SRC-BEEF-GRILL-TEMP-001</x:v>
      </x:c>
      <x:c r="G2" s="46" t="str">
        <x:v>Aldehydes</x:v>
      </x:c>
      <x:c r="H2" s="46" t="str">
        <x:v>3-Methyl butanal</x:v>
      </x:c>
      <x:c r="I2" s="46" t="str">
        <x:v>590-86-3</x:v>
      </x:c>
      <x:c r="J2" s="46" t="n">
        <x:v>653</x:v>
      </x:c>
      <x:c r="K2" s="46" t="n">
        <x:v>651</x:v>
      </x:c>
      <x:c r="L2" s="46" t="str">
        <x:v>NIST 2014 MS + in-house authentic-compound library + Kovats LRI</x:v>
      </x:c>
      <x:c r="M2" s="46"/>
      <x:c r="N2" s="46"/>
      <x:c r="O2" s="46" t="str">
        <x:v>numeric_match_factor_unreported</x:v>
      </x:c>
      <x:c r="P2" s="46" t="n">
        <x:v>2.21</x:v>
      </x:c>
      <x:c r="Q2" s="46" t="n">
        <x:v>5.59</x:v>
      </x:c>
      <x:c r="R2" s="46" t="n">
        <x:v>5.56</x:v>
      </x:c>
      <x:c r="S2" s="46" t="n">
        <x:v>5.29</x:v>
      </x:c>
      <x:c r="T2" s="46" t="n">
        <x:v>4.55</x:v>
      </x:c>
      <x:c r="U2" s="46" t="n">
        <x:v>5.33</x:v>
      </x:c>
      <x:c r="V2" s="46" t="str">
        <x:v>ns</x:v>
      </x:c>
      <x:c r="W2" s="46" t="str">
        <x:v>relative abundance (% total VOC); zero = source-reported not detected</x:v>
      </x:c>
      <x:c r="X2" s="46" t="str">
        <x:v>full detected table; raw and five grilled internal-temperature states</x:v>
      </x:c>
      <x:c r="Y2" s="23"/>
      <x:c r="Z2" s="23"/>
    </x:row>
    <x:row r="3" ht="26.399999618530273" hidden="0" customHeight="1">
      <x:c r="A3" s="46" t="str">
        <x:v>BDM-MOR-002</x:v>
      </x:c>
      <x:c r="B3" s="46" t="str">
        <x:v>beef:muscle</x:v>
      </x:c>
      <x:c r="C3" s="46" t="str">
        <x:v>beef</x:v>
      </x:c>
      <x:c r="D3" s="46" t="str">
        <x:v>Longissimus lumborum</x:v>
      </x:c>
      <x:c r="E3" s="46" t="str">
        <x:v>raw→grilled doneness series</x:v>
      </x:c>
      <x:c r="F3" s="46" t="str">
        <x:v>SRC-BEEF-GRILL-TEMP-001</x:v>
      </x:c>
      <x:c r="G3" s="46" t="str">
        <x:v>Aldehydes</x:v>
      </x:c>
      <x:c r="H3" s="46" t="str">
        <x:v>Hexanal</x:v>
      </x:c>
      <x:c r="I3" s="46" t="str">
        <x:v>66-25-1</x:v>
      </x:c>
      <x:c r="J3" s="46" t="n">
        <x:v>802</x:v>
      </x:c>
      <x:c r="K3" s="46" t="n">
        <x:v>801</x:v>
      </x:c>
      <x:c r="L3" s="46" t="str">
        <x:v>NIST 2014 MS + in-house authentic-compound library + Kovats LRI</x:v>
      </x:c>
      <x:c r="M3" s="46"/>
      <x:c r="N3" s="46"/>
      <x:c r="O3" s="46" t="str">
        <x:v>numeric_match_factor_unreported</x:v>
      </x:c>
      <x:c r="P3" s="46" t="n">
        <x:v>1.12</x:v>
      </x:c>
      <x:c r="Q3" s="46" t="n">
        <x:v>3.78</x:v>
      </x:c>
      <x:c r="R3" s="46" t="n">
        <x:v>4.16</x:v>
      </x:c>
      <x:c r="S3" s="46" t="n">
        <x:v>4.49</x:v>
      </x:c>
      <x:c r="T3" s="46" t="n">
        <x:v>4.06</x:v>
      </x:c>
      <x:c r="U3" s="46" t="n">
        <x:v>3.86</x:v>
      </x:c>
      <x:c r="V3" s="46" t="str">
        <x:v>&lt;0.01</x:v>
      </x:c>
      <x:c r="W3" s="46" t="str">
        <x:v>relative abundance (% total VOC); zero = source-reported not detected</x:v>
      </x:c>
      <x:c r="X3" s="46" t="str">
        <x:v>full detected table; raw and five grilled internal-temperature states</x:v>
      </x:c>
      <x:c r="Y3" s="23"/>
      <x:c r="Z3" s="23"/>
    </x:row>
    <x:row r="4" ht="26.399999618530273" hidden="0" customHeight="1">
      <x:c r="A4" s="46" t="str">
        <x:v>BDM-MOR-003</x:v>
      </x:c>
      <x:c r="B4" s="46" t="str">
        <x:v>beef:muscle</x:v>
      </x:c>
      <x:c r="C4" s="46" t="str">
        <x:v>beef</x:v>
      </x:c>
      <x:c r="D4" s="46" t="str">
        <x:v>Longissimus lumborum</x:v>
      </x:c>
      <x:c r="E4" s="46" t="str">
        <x:v>raw→grilled doneness series</x:v>
      </x:c>
      <x:c r="F4" s="46" t="str">
        <x:v>SRC-BEEF-GRILL-TEMP-001</x:v>
      </x:c>
      <x:c r="G4" s="46" t="str">
        <x:v>Aldehydes</x:v>
      </x:c>
      <x:c r="H4" s="46" t="str">
        <x:v>Heptanal</x:v>
      </x:c>
      <x:c r="I4" s="46" t="str">
        <x:v>111-71-7</x:v>
      </x:c>
      <x:c r="J4" s="46" t="n">
        <x:v>904</x:v>
      </x:c>
      <x:c r="K4" s="46" t="n">
        <x:v>901</x:v>
      </x:c>
      <x:c r="L4" s="46" t="str">
        <x:v>NIST 2014 MS + in-house authentic-compound library + Kovats LRI</x:v>
      </x:c>
      <x:c r="M4" s="46"/>
      <x:c r="N4" s="46"/>
      <x:c r="O4" s="46" t="str">
        <x:v>numeric_match_factor_unreported</x:v>
      </x:c>
      <x:c r="P4" s="46" t="n">
        <x:v>1.21</x:v>
      </x:c>
      <x:c r="Q4" s="46" t="n">
        <x:v>4.69</x:v>
      </x:c>
      <x:c r="R4" s="46" t="n">
        <x:v>5.25</x:v>
      </x:c>
      <x:c r="S4" s="46" t="n">
        <x:v>6.17</x:v>
      </x:c>
      <x:c r="T4" s="46" t="n">
        <x:v>5.94</x:v>
      </x:c>
      <x:c r="U4" s="46" t="n">
        <x:v>4.75</x:v>
      </x:c>
      <x:c r="V4" s="46" t="str">
        <x:v>&lt;0.01</x:v>
      </x:c>
      <x:c r="W4" s="46" t="str">
        <x:v>relative abundance (% total VOC); zero = source-reported not detected</x:v>
      </x:c>
      <x:c r="X4" s="46" t="str">
        <x:v>full detected table; raw and five grilled internal-temperature states</x:v>
      </x:c>
      <x:c r="Y4" s="23"/>
      <x:c r="Z4" s="23"/>
    </x:row>
    <x:row r="5" ht="26.399999618530273" hidden="0" customHeight="1">
      <x:c r="A5" s="46" t="str">
        <x:v>BDM-MOR-004</x:v>
      </x:c>
      <x:c r="B5" s="46" t="str">
        <x:v>beef:muscle</x:v>
      </x:c>
      <x:c r="C5" s="46" t="str">
        <x:v>beef</x:v>
      </x:c>
      <x:c r="D5" s="46" t="str">
        <x:v>Longissimus lumborum</x:v>
      </x:c>
      <x:c r="E5" s="46" t="str">
        <x:v>raw→grilled doneness series</x:v>
      </x:c>
      <x:c r="F5" s="46" t="str">
        <x:v>SRC-BEEF-GRILL-TEMP-001</x:v>
      </x:c>
      <x:c r="G5" s="46" t="str">
        <x:v>Aldehydes</x:v>
      </x:c>
      <x:c r="H5" s="46" t="str">
        <x:v>Benzaldehyde</x:v>
      </x:c>
      <x:c r="I5" s="46" t="str">
        <x:v>100-52-7</x:v>
      </x:c>
      <x:c r="J5" s="46" t="n">
        <x:v>970</x:v>
      </x:c>
      <x:c r="K5" s="46" t="n">
        <x:v>960</x:v>
      </x:c>
      <x:c r="L5" s="46" t="str">
        <x:v>NIST 2014 MS + in-house authentic-compound library + Kovats LRI</x:v>
      </x:c>
      <x:c r="M5" s="46"/>
      <x:c r="N5" s="46"/>
      <x:c r="O5" s="46" t="str">
        <x:v>numeric_match_factor_unreported</x:v>
      </x:c>
      <x:c r="P5" s="46" t="n">
        <x:v>0.21</x:v>
      </x:c>
      <x:c r="Q5" s="46" t="n">
        <x:v>0.35</x:v>
      </x:c>
      <x:c r="R5" s="46" t="n">
        <x:v>0.57</x:v>
      </x:c>
      <x:c r="S5" s="46" t="n">
        <x:v>0.51</x:v>
      </x:c>
      <x:c r="T5" s="46" t="n">
        <x:v>0.5</x:v>
      </x:c>
      <x:c r="U5" s="46" t="n">
        <x:v>0.58</x:v>
      </x:c>
      <x:c r="V5" s="46" t="str">
        <x:v>&lt;0.01</x:v>
      </x:c>
      <x:c r="W5" s="46" t="str">
        <x:v>relative abundance (% total VOC); zero = source-reported not detected</x:v>
      </x:c>
      <x:c r="X5" s="46" t="str">
        <x:v>full detected table; raw and five grilled internal-temperature states</x:v>
      </x:c>
      <x:c r="Y5" s="23"/>
      <x:c r="Z5" s="23"/>
    </x:row>
    <x:row r="6" ht="26.399999618530273" hidden="0" customHeight="1">
      <x:c r="A6" s="46" t="str">
        <x:v>BDM-MOR-005</x:v>
      </x:c>
      <x:c r="B6" s="46" t="str">
        <x:v>beef:muscle</x:v>
      </x:c>
      <x:c r="C6" s="46" t="str">
        <x:v>beef</x:v>
      </x:c>
      <x:c r="D6" s="46" t="str">
        <x:v>Longissimus lumborum</x:v>
      </x:c>
      <x:c r="E6" s="46" t="str">
        <x:v>raw→grilled doneness series</x:v>
      </x:c>
      <x:c r="F6" s="46" t="str">
        <x:v>SRC-BEEF-GRILL-TEMP-001</x:v>
      </x:c>
      <x:c r="G6" s="46" t="str">
        <x:v>Aldehydes</x:v>
      </x:c>
      <x:c r="H6" s="46" t="str">
        <x:v>Octanal</x:v>
      </x:c>
      <x:c r="I6" s="46" t="str">
        <x:v>124-13-0</x:v>
      </x:c>
      <x:c r="J6" s="46" t="n">
        <x:v>1005</x:v>
      </x:c>
      <x:c r="K6" s="46" t="n">
        <x:v>1004</x:v>
      </x:c>
      <x:c r="L6" s="46" t="str">
        <x:v>NIST 2014 MS + in-house authentic-compound library + Kovats LRI</x:v>
      </x:c>
      <x:c r="M6" s="46"/>
      <x:c r="N6" s="46"/>
      <x:c r="O6" s="46" t="str">
        <x:v>numeric_match_factor_unreported</x:v>
      </x:c>
      <x:c r="P6" s="46" t="n">
        <x:v>0.57</x:v>
      </x:c>
      <x:c r="Q6" s="46" t="n">
        <x:v>3.01</x:v>
      </x:c>
      <x:c r="R6" s="46" t="n">
        <x:v>3.36</x:v>
      </x:c>
      <x:c r="S6" s="46" t="n">
        <x:v>3.97</x:v>
      </x:c>
      <x:c r="T6" s="46" t="n">
        <x:v>3.29</x:v>
      </x:c>
      <x:c r="U6" s="46" t="n">
        <x:v>2.93</x:v>
      </x:c>
      <x:c r="V6" s="46" t="str">
        <x:v>&lt;0.01</x:v>
      </x:c>
      <x:c r="W6" s="46" t="str">
        <x:v>relative abundance (% total VOC); zero = source-reported not detected</x:v>
      </x:c>
      <x:c r="X6" s="46" t="str">
        <x:v>full detected table; raw and five grilled internal-temperature states</x:v>
      </x:c>
      <x:c r="Y6" s="23"/>
      <x:c r="Z6" s="23"/>
    </x:row>
    <x:row r="7" ht="26.399999618530273" hidden="0" customHeight="1">
      <x:c r="A7" s="46" t="str">
        <x:v>BDM-MOR-006</x:v>
      </x:c>
      <x:c r="B7" s="46" t="str">
        <x:v>beef:muscle</x:v>
      </x:c>
      <x:c r="C7" s="46" t="str">
        <x:v>beef</x:v>
      </x:c>
      <x:c r="D7" s="46" t="str">
        <x:v>Longissimus lumborum</x:v>
      </x:c>
      <x:c r="E7" s="46" t="str">
        <x:v>raw→grilled doneness series</x:v>
      </x:c>
      <x:c r="F7" s="46" t="str">
        <x:v>SRC-BEEF-GRILL-TEMP-001</x:v>
      </x:c>
      <x:c r="G7" s="46" t="str">
        <x:v>Aldehydes</x:v>
      </x:c>
      <x:c r="H7" s="46" t="str">
        <x:v>(E,E)-2,4-Heptadienal</x:v>
      </x:c>
      <x:c r="I7" s="46" t="str">
        <x:v>4313-03-5</x:v>
      </x:c>
      <x:c r="J7" s="46" t="n">
        <x:v>1015</x:v>
      </x:c>
      <x:c r="K7" s="46" t="n">
        <x:v>1014</x:v>
      </x:c>
      <x:c r="L7" s="46" t="str">
        <x:v>NIST 2014 MS + in-house authentic-compound library + Kovats LRI</x:v>
      </x:c>
      <x:c r="M7" s="46"/>
      <x:c r="N7" s="46"/>
      <x:c r="O7" s="46" t="str">
        <x:v>numeric_match_factor_unreported</x:v>
      </x:c>
      <x:c r="P7" s="46" t="n">
        <x:v>0</x:v>
      </x:c>
      <x:c r="Q7" s="46" t="n">
        <x:v>0.19</x:v>
      </x:c>
      <x:c r="R7" s="46" t="n">
        <x:v>0.13</x:v>
      </x:c>
      <x:c r="S7" s="46" t="n">
        <x:v>0.26</x:v>
      </x:c>
      <x:c r="T7" s="46" t="n">
        <x:v>0.32</x:v>
      </x:c>
      <x:c r="U7" s="46" t="n">
        <x:v>0.17</x:v>
      </x:c>
      <x:c r="V7" s="46" t="str">
        <x:v>&lt;0.01</x:v>
      </x:c>
      <x:c r="W7" s="46" t="str">
        <x:v>relative abundance (% total VOC); zero = source-reported not detected</x:v>
      </x:c>
      <x:c r="X7" s="46" t="str">
        <x:v>full detected table; raw and five grilled internal-temperature states</x:v>
      </x:c>
      <x:c r="Y7" s="23"/>
      <x:c r="Z7" s="23"/>
    </x:row>
    <x:row r="8" ht="26.399999618530273" hidden="0" customHeight="1">
      <x:c r="A8" s="46" t="str">
        <x:v>BDM-MOR-007</x:v>
      </x:c>
      <x:c r="B8" s="46" t="str">
        <x:v>beef:muscle</x:v>
      </x:c>
      <x:c r="C8" s="46" t="str">
        <x:v>beef</x:v>
      </x:c>
      <x:c r="D8" s="46" t="str">
        <x:v>Longissimus lumborum</x:v>
      </x:c>
      <x:c r="E8" s="46" t="str">
        <x:v>raw→grilled doneness series</x:v>
      </x:c>
      <x:c r="F8" s="46" t="str">
        <x:v>SRC-BEEF-GRILL-TEMP-001</x:v>
      </x:c>
      <x:c r="G8" s="46" t="str">
        <x:v>Aldehydes</x:v>
      </x:c>
      <x:c r="H8" s="46" t="str">
        <x:v>(E)-2-Octenal</x:v>
      </x:c>
      <x:c r="I8" s="46" t="str">
        <x:v>2548-87-0</x:v>
      </x:c>
      <x:c r="J8" s="46" t="n">
        <x:v>1061</x:v>
      </x:c>
      <x:c r="K8" s="46" t="n">
        <x:v>1061</x:v>
      </x:c>
      <x:c r="L8" s="46" t="str">
        <x:v>NIST 2014 MS + in-house authentic-compound library + Kovats LRI</x:v>
      </x:c>
      <x:c r="M8" s="46"/>
      <x:c r="N8" s="46"/>
      <x:c r="O8" s="46" t="str">
        <x:v>numeric_match_factor_unreported</x:v>
      </x:c>
      <x:c r="P8" s="46" t="n">
        <x:v>0.1</x:v>
      </x:c>
      <x:c r="Q8" s="46" t="n">
        <x:v>0.77</x:v>
      </x:c>
      <x:c r="R8" s="46" t="n">
        <x:v>0.91</x:v>
      </x:c>
      <x:c r="S8" s="46" t="n">
        <x:v>0.98</x:v>
      </x:c>
      <x:c r="T8" s="46" t="n">
        <x:v>0.81</x:v>
      </x:c>
      <x:c r="U8" s="46" t="n">
        <x:v>0.5</x:v>
      </x:c>
      <x:c r="V8" s="46" t="str">
        <x:v>&lt;0.01</x:v>
      </x:c>
      <x:c r="W8" s="46" t="str">
        <x:v>relative abundance (% total VOC); zero = source-reported not detected</x:v>
      </x:c>
      <x:c r="X8" s="46" t="str">
        <x:v>full detected table; raw and five grilled internal-temperature states</x:v>
      </x:c>
      <x:c r="Y8" s="23"/>
      <x:c r="Z8" s="23"/>
    </x:row>
    <x:row r="9" ht="26.399999618530273" hidden="0" customHeight="1">
      <x:c r="A9" s="46" t="str">
        <x:v>BDM-MOR-008</x:v>
      </x:c>
      <x:c r="B9" s="46" t="str">
        <x:v>beef:muscle</x:v>
      </x:c>
      <x:c r="C9" s="46" t="str">
        <x:v>beef</x:v>
      </x:c>
      <x:c r="D9" s="46" t="str">
        <x:v>Longissimus lumborum</x:v>
      </x:c>
      <x:c r="E9" s="46" t="str">
        <x:v>raw→grilled doneness series</x:v>
      </x:c>
      <x:c r="F9" s="46" t="str">
        <x:v>SRC-BEEF-GRILL-TEMP-001</x:v>
      </x:c>
      <x:c r="G9" s="46" t="str">
        <x:v>Aldehydes</x:v>
      </x:c>
      <x:c r="H9" s="46" t="str">
        <x:v>Nonanal</x:v>
      </x:c>
      <x:c r="I9" s="46" t="str">
        <x:v>124-19-6</x:v>
      </x:c>
      <x:c r="J9" s="46" t="n">
        <x:v>1108</x:v>
      </x:c>
      <x:c r="K9" s="46" t="n">
        <x:v>1106</x:v>
      </x:c>
      <x:c r="L9" s="46" t="str">
        <x:v>NIST 2014 MS + in-house authentic-compound library + Kovats LRI</x:v>
      </x:c>
      <x:c r="M9" s="46"/>
      <x:c r="N9" s="46"/>
      <x:c r="O9" s="46" t="str">
        <x:v>numeric_match_factor_unreported</x:v>
      </x:c>
      <x:c r="P9" s="46" t="n">
        <x:v>5.95</x:v>
      </x:c>
      <x:c r="Q9" s="46" t="n">
        <x:v>9.95</x:v>
      </x:c>
      <x:c r="R9" s="46" t="n">
        <x:v>12.33</x:v>
      </x:c>
      <x:c r="S9" s="46" t="n">
        <x:v>12.62</x:v>
      </x:c>
      <x:c r="T9" s="46" t="n">
        <x:v>12.07</x:v>
      </x:c>
      <x:c r="U9" s="46" t="n">
        <x:v>12.72</x:v>
      </x:c>
      <x:c r="V9" s="46" t="str">
        <x:v>&lt;0.01</x:v>
      </x:c>
      <x:c r="W9" s="46" t="str">
        <x:v>relative abundance (% total VOC); zero = source-reported not detected</x:v>
      </x:c>
      <x:c r="X9" s="46" t="str">
        <x:v>full detected table; raw and five grilled internal-temperature states</x:v>
      </x:c>
      <x:c r="Y9" s="23"/>
      <x:c r="Z9" s="23"/>
    </x:row>
    <x:row r="10" ht="26.399999618530273" hidden="0" customHeight="1">
      <x:c r="A10" s="46" t="str">
        <x:v>BDM-MOR-009</x:v>
      </x:c>
      <x:c r="B10" s="46" t="str">
        <x:v>beef:muscle</x:v>
      </x:c>
      <x:c r="C10" s="46" t="str">
        <x:v>beef</x:v>
      </x:c>
      <x:c r="D10" s="46" t="str">
        <x:v>Longissimus lumborum</x:v>
      </x:c>
      <x:c r="E10" s="46" t="str">
        <x:v>raw→grilled doneness series</x:v>
      </x:c>
      <x:c r="F10" s="46" t="str">
        <x:v>SRC-BEEF-GRILL-TEMP-001</x:v>
      </x:c>
      <x:c r="G10" s="46" t="str">
        <x:v>Aldehydes</x:v>
      </x:c>
      <x:c r="H10" s="46" t="str">
        <x:v>(E)-2-Nonenal</x:v>
      </x:c>
      <x:c r="I10" s="46" t="str">
        <x:v>18829-56-6</x:v>
      </x:c>
      <x:c r="J10" s="46" t="n">
        <x:v>1164</x:v>
      </x:c>
      <x:c r="K10" s="46" t="n">
        <x:v>1160</x:v>
      </x:c>
      <x:c r="L10" s="46" t="str">
        <x:v>NIST 2014 MS + in-house authentic-compound library + Kovats LRI</x:v>
      </x:c>
      <x:c r="M10" s="46"/>
      <x:c r="N10" s="46"/>
      <x:c r="O10" s="46" t="str">
        <x:v>numeric_match_factor_unreported</x:v>
      </x:c>
      <x:c r="P10" s="46" t="n">
        <x:v>0</x:v>
      </x:c>
      <x:c r="Q10" s="46" t="n">
        <x:v>0.71</x:v>
      </x:c>
      <x:c r="R10" s="46" t="n">
        <x:v>0.48</x:v>
      </x:c>
      <x:c r="S10" s="46" t="n">
        <x:v>0.58</x:v>
      </x:c>
      <x:c r="T10" s="46" t="n">
        <x:v>0.76</x:v>
      </x:c>
      <x:c r="U10" s="46" t="n">
        <x:v>0.64</x:v>
      </x:c>
      <x:c r="V10" s="46" t="str">
        <x:v>&lt;0.01</x:v>
      </x:c>
      <x:c r="W10" s="46" t="str">
        <x:v>relative abundance (% total VOC); zero = source-reported not detected</x:v>
      </x:c>
      <x:c r="X10" s="46" t="str">
        <x:v>full detected table; raw and five grilled internal-temperature states</x:v>
      </x:c>
      <x:c r="Y10" s="23"/>
      <x:c r="Z10" s="23"/>
    </x:row>
    <x:row r="11" ht="26.399999618530273" hidden="0" customHeight="1">
      <x:c r="A11" s="46" t="str">
        <x:v>BDM-MOR-010</x:v>
      </x:c>
      <x:c r="B11" s="46" t="str">
        <x:v>beef:muscle</x:v>
      </x:c>
      <x:c r="C11" s="46" t="str">
        <x:v>beef</x:v>
      </x:c>
      <x:c r="D11" s="46" t="str">
        <x:v>Longissimus lumborum</x:v>
      </x:c>
      <x:c r="E11" s="46" t="str">
        <x:v>raw→grilled doneness series</x:v>
      </x:c>
      <x:c r="F11" s="46" t="str">
        <x:v>SRC-BEEF-GRILL-TEMP-001</x:v>
      </x:c>
      <x:c r="G11" s="46" t="str">
        <x:v>Aldehydes</x:v>
      </x:c>
      <x:c r="H11" s="46" t="str">
        <x:v>4-Ethyl benzaldehyde</x:v>
      </x:c>
      <x:c r="I11" s="46" t="str">
        <x:v>4748-78-1</x:v>
      </x:c>
      <x:c r="J11" s="46" t="n">
        <x:v>1174</x:v>
      </x:c>
      <x:c r="K11" s="46" t="n">
        <x:v>1164</x:v>
      </x:c>
      <x:c r="L11" s="46" t="str">
        <x:v>NIST 2014 MS + in-house authentic-compound library + Kovats LRI</x:v>
      </x:c>
      <x:c r="M11" s="46"/>
      <x:c r="N11" s="46"/>
      <x:c r="O11" s="46" t="str">
        <x:v>numeric_match_factor_unreported</x:v>
      </x:c>
      <x:c r="P11" s="46" t="n">
        <x:v>0.43</x:v>
      </x:c>
      <x:c r="Q11" s="46" t="n">
        <x:v>0.68</x:v>
      </x:c>
      <x:c r="R11" s="46" t="n">
        <x:v>0.63</x:v>
      </x:c>
      <x:c r="S11" s="46" t="n">
        <x:v>0.76</x:v>
      </x:c>
      <x:c r="T11" s="46" t="n">
        <x:v>0.62</x:v>
      </x:c>
      <x:c r="U11" s="46" t="n">
        <x:v>0.39</x:v>
      </x:c>
      <x:c r="V11" s="46" t="str">
        <x:v>ns</x:v>
      </x:c>
      <x:c r="W11" s="46" t="str">
        <x:v>relative abundance (% total VOC); zero = source-reported not detected</x:v>
      </x:c>
      <x:c r="X11" s="46" t="str">
        <x:v>full detected table; raw and five grilled internal-temperature states</x:v>
      </x:c>
      <x:c r="Y11" s="23"/>
      <x:c r="Z11" s="23"/>
    </x:row>
    <x:row r="12" ht="26.399999618530273" hidden="0" customHeight="1">
      <x:c r="A12" s="46" t="str">
        <x:v>BDM-MOR-011</x:v>
      </x:c>
      <x:c r="B12" s="46" t="str">
        <x:v>beef:muscle</x:v>
      </x:c>
      <x:c r="C12" s="46" t="str">
        <x:v>beef</x:v>
      </x:c>
      <x:c r="D12" s="46" t="str">
        <x:v>Longissimus lumborum</x:v>
      </x:c>
      <x:c r="E12" s="46" t="str">
        <x:v>raw→grilled doneness series</x:v>
      </x:c>
      <x:c r="F12" s="46" t="str">
        <x:v>SRC-BEEF-GRILL-TEMP-001</x:v>
      </x:c>
      <x:c r="G12" s="46" t="str">
        <x:v>Aldehydes</x:v>
      </x:c>
      <x:c r="H12" s="46" t="str">
        <x:v>Decanal</x:v>
      </x:c>
      <x:c r="I12" s="46" t="str">
        <x:v>112-31-2</x:v>
      </x:c>
      <x:c r="J12" s="46" t="n">
        <x:v>1209</x:v>
      </x:c>
      <x:c r="K12" s="46" t="n">
        <x:v>1205</x:v>
      </x:c>
      <x:c r="L12" s="46" t="str">
        <x:v>NIST 2014 MS + in-house authentic-compound library + Kovats LRI</x:v>
      </x:c>
      <x:c r="M12" s="46"/>
      <x:c r="N12" s="46"/>
      <x:c r="O12" s="46" t="str">
        <x:v>numeric_match_factor_unreported</x:v>
      </x:c>
      <x:c r="P12" s="46" t="n">
        <x:v>0.35</x:v>
      </x:c>
      <x:c r="Q12" s="46" t="n">
        <x:v>0.58</x:v>
      </x:c>
      <x:c r="R12" s="46" t="n">
        <x:v>0.68</x:v>
      </x:c>
      <x:c r="S12" s="46" t="n">
        <x:v>0.71</x:v>
      </x:c>
      <x:c r="T12" s="46" t="n">
        <x:v>0.67</x:v>
      </x:c>
      <x:c r="U12" s="46" t="n">
        <x:v>0.7</x:v>
      </x:c>
      <x:c r="V12" s="46" t="str">
        <x:v>&lt;0.01</x:v>
      </x:c>
      <x:c r="W12" s="46" t="str">
        <x:v>relative abundance (% total VOC); zero = source-reported not detected</x:v>
      </x:c>
      <x:c r="X12" s="46" t="str">
        <x:v>full detected table; raw and five grilled internal-temperature states</x:v>
      </x:c>
      <x:c r="Y12" s="23"/>
      <x:c r="Z12" s="23"/>
    </x:row>
    <x:row r="13" ht="26.399999618530273" hidden="0" customHeight="1">
      <x:c r="A13" s="46" t="str">
        <x:v>BDM-MOR-012</x:v>
      </x:c>
      <x:c r="B13" s="46" t="str">
        <x:v>beef:muscle</x:v>
      </x:c>
      <x:c r="C13" s="46" t="str">
        <x:v>beef</x:v>
      </x:c>
      <x:c r="D13" s="46" t="str">
        <x:v>Longissimus lumborum</x:v>
      </x:c>
      <x:c r="E13" s="46" t="str">
        <x:v>raw→grilled doneness series</x:v>
      </x:c>
      <x:c r="F13" s="46" t="str">
        <x:v>SRC-BEEF-GRILL-TEMP-001</x:v>
      </x:c>
      <x:c r="G13" s="46" t="str">
        <x:v>Aldehydes</x:v>
      </x:c>
      <x:c r="H13" s="46" t="str">
        <x:v>(E)-2-Decenal</x:v>
      </x:c>
      <x:c r="I13" s="46" t="str">
        <x:v>3913-81-3</x:v>
      </x:c>
      <x:c r="J13" s="46" t="n">
        <x:v>1267</x:v>
      </x:c>
      <x:c r="K13" s="46" t="n">
        <x:v>1266</x:v>
      </x:c>
      <x:c r="L13" s="46" t="str">
        <x:v>NIST 2014 MS + in-house authentic-compound library + Kovats LRI</x:v>
      </x:c>
      <x:c r="M13" s="46"/>
      <x:c r="N13" s="46"/>
      <x:c r="O13" s="46" t="str">
        <x:v>numeric_match_factor_unreported</x:v>
      </x:c>
      <x:c r="P13" s="46" t="n">
        <x:v>0.6</x:v>
      </x:c>
      <x:c r="Q13" s="46" t="n">
        <x:v>1.59</x:v>
      </x:c>
      <x:c r="R13" s="46" t="n">
        <x:v>1.97</x:v>
      </x:c>
      <x:c r="S13" s="46" t="n">
        <x:v>1.44</x:v>
      </x:c>
      <x:c r="T13" s="46" t="n">
        <x:v>2.15</x:v>
      </x:c>
      <x:c r="U13" s="46" t="n">
        <x:v>2.05</x:v>
      </x:c>
      <x:c r="V13" s="46" t="str">
        <x:v>ns</x:v>
      </x:c>
      <x:c r="W13" s="46" t="str">
        <x:v>relative abundance (% total VOC); zero = source-reported not detected</x:v>
      </x:c>
      <x:c r="X13" s="46" t="str">
        <x:v>full detected table; raw and five grilled internal-temperature states</x:v>
      </x:c>
      <x:c r="Y13" s="23"/>
      <x:c r="Z13" s="23"/>
    </x:row>
    <x:row r="14" ht="26.399999618530273" hidden="0" customHeight="1">
      <x:c r="A14" s="46" t="str">
        <x:v>BDM-MOR-013</x:v>
      </x:c>
      <x:c r="B14" s="46" t="str">
        <x:v>beef:muscle</x:v>
      </x:c>
      <x:c r="C14" s="46" t="str">
        <x:v>beef</x:v>
      </x:c>
      <x:c r="D14" s="46" t="str">
        <x:v>Longissimus lumborum</x:v>
      </x:c>
      <x:c r="E14" s="46" t="str">
        <x:v>raw→grilled doneness series</x:v>
      </x:c>
      <x:c r="F14" s="46" t="str">
        <x:v>SRC-BEEF-GRILL-TEMP-001</x:v>
      </x:c>
      <x:c r="G14" s="46" t="str">
        <x:v>Aldehydes</x:v>
      </x:c>
      <x:c r="H14" s="46" t="str">
        <x:v>(E,E)-2,4-Decadienal</x:v>
      </x:c>
      <x:c r="I14" s="46" t="str">
        <x:v>25152-84-5</x:v>
      </x:c>
      <x:c r="J14" s="46" t="n">
        <x:v>1302</x:v>
      </x:c>
      <x:c r="K14" s="46" t="n">
        <x:v>1299</x:v>
      </x:c>
      <x:c r="L14" s="46" t="str">
        <x:v>NIST 2014 MS + in-house authentic-compound library + Kovats LRI</x:v>
      </x:c>
      <x:c r="M14" s="46"/>
      <x:c r="N14" s="46"/>
      <x:c r="O14" s="46" t="str">
        <x:v>numeric_match_factor_unreported</x:v>
      </x:c>
      <x:c r="P14" s="46" t="n">
        <x:v>0</x:v>
      </x:c>
      <x:c r="Q14" s="46" t="n">
        <x:v>0.33</x:v>
      </x:c>
      <x:c r="R14" s="46" t="n">
        <x:v>0.22</x:v>
      </x:c>
      <x:c r="S14" s="46" t="n">
        <x:v>0.31</x:v>
      </x:c>
      <x:c r="T14" s="46" t="n">
        <x:v>0.36</x:v>
      </x:c>
      <x:c r="U14" s="46" t="n">
        <x:v>0.26</x:v>
      </x:c>
      <x:c r="V14" s="46" t="str">
        <x:v>&lt;0.01</x:v>
      </x:c>
      <x:c r="W14" s="46" t="str">
        <x:v>relative abundance (% total VOC); zero = source-reported not detected</x:v>
      </x:c>
      <x:c r="X14" s="46" t="str">
        <x:v>full detected table; raw and five grilled internal-temperature states</x:v>
      </x:c>
      <x:c r="Y14" s="23"/>
      <x:c r="Z14" s="23"/>
    </x:row>
    <x:row r="15" ht="26.399999618530273" hidden="0" customHeight="1">
      <x:c r="A15" s="46" t="str">
        <x:v>BDM-MOR-014</x:v>
      </x:c>
      <x:c r="B15" s="46" t="str">
        <x:v>beef:muscle</x:v>
      </x:c>
      <x:c r="C15" s="46" t="str">
        <x:v>beef</x:v>
      </x:c>
      <x:c r="D15" s="46" t="str">
        <x:v>Longissimus lumborum</x:v>
      </x:c>
      <x:c r="E15" s="46" t="str">
        <x:v>raw→grilled doneness series</x:v>
      </x:c>
      <x:c r="F15" s="46" t="str">
        <x:v>SRC-BEEF-GRILL-TEMP-001</x:v>
      </x:c>
      <x:c r="G15" s="46" t="str">
        <x:v>Aldehydes</x:v>
      </x:c>
      <x:c r="H15" s="46" t="str">
        <x:v>Undecanal</x:v>
      </x:c>
      <x:c r="I15" s="46" t="str">
        <x:v>112-44-7</x:v>
      </x:c>
      <x:c r="J15" s="46" t="n">
        <x:v>1311</x:v>
      </x:c>
      <x:c r="K15" s="46" t="n">
        <x:v>1309</x:v>
      </x:c>
      <x:c r="L15" s="46" t="str">
        <x:v>NIST 2014 MS + in-house authentic-compound library + Kovats LRI</x:v>
      </x:c>
      <x:c r="M15" s="46"/>
      <x:c r="N15" s="46"/>
      <x:c r="O15" s="46" t="str">
        <x:v>numeric_match_factor_unreported</x:v>
      </x:c>
      <x:c r="P15" s="46" t="n">
        <x:v>0.12</x:v>
      </x:c>
      <x:c r="Q15" s="46" t="n">
        <x:v>0.23</x:v>
      </x:c>
      <x:c r="R15" s="46" t="n">
        <x:v>0.24</x:v>
      </x:c>
      <x:c r="S15" s="46" t="n">
        <x:v>0.25</x:v>
      </x:c>
      <x:c r="T15" s="46" t="n">
        <x:v>0.24</x:v>
      </x:c>
      <x:c r="U15" s="46" t="n">
        <x:v>0.27</x:v>
      </x:c>
      <x:c r="V15" s="46" t="str">
        <x:v>ns</x:v>
      </x:c>
      <x:c r="W15" s="46" t="str">
        <x:v>relative abundance (% total VOC); zero = source-reported not detected</x:v>
      </x:c>
      <x:c r="X15" s="46" t="str">
        <x:v>full detected table; raw and five grilled internal-temperature states</x:v>
      </x:c>
      <x:c r="Y15" s="23"/>
      <x:c r="Z15" s="23"/>
    </x:row>
    <x:row r="16" ht="26.399999618530273" hidden="0" customHeight="1">
      <x:c r="A16" s="46" t="str">
        <x:v>BDM-MOR-015</x:v>
      </x:c>
      <x:c r="B16" s="46" t="str">
        <x:v>beef:muscle</x:v>
      </x:c>
      <x:c r="C16" s="46" t="str">
        <x:v>beef</x:v>
      </x:c>
      <x:c r="D16" s="46" t="str">
        <x:v>Longissimus lumborum</x:v>
      </x:c>
      <x:c r="E16" s="46" t="str">
        <x:v>raw→grilled doneness series</x:v>
      </x:c>
      <x:c r="F16" s="46" t="str">
        <x:v>SRC-BEEF-GRILL-TEMP-001</x:v>
      </x:c>
      <x:c r="G16" s="46" t="str">
        <x:v>Aldehydes</x:v>
      </x:c>
      <x:c r="H16" s="46" t="str">
        <x:v>2,4-Decadienal</x:v>
      </x:c>
      <x:c r="I16" s="46" t="str">
        <x:v>2363-88-4</x:v>
      </x:c>
      <x:c r="J16" s="46" t="n">
        <x:v>1326</x:v>
      </x:c>
      <x:c r="K16" s="46" t="n">
        <x:v>1317</x:v>
      </x:c>
      <x:c r="L16" s="46" t="str">
        <x:v>NIST 2014 MS + in-house authentic-compound library + Kovats LRI</x:v>
      </x:c>
      <x:c r="M16" s="46"/>
      <x:c r="N16" s="46"/>
      <x:c r="O16" s="46" t="str">
        <x:v>numeric_match_factor_unreported</x:v>
      </x:c>
      <x:c r="P16" s="46" t="n">
        <x:v>0.09</x:v>
      </x:c>
      <x:c r="Q16" s="46" t="n">
        <x:v>1</x:v>
      </x:c>
      <x:c r="R16" s="46" t="n">
        <x:v>0.54</x:v>
      </x:c>
      <x:c r="S16" s="46" t="n">
        <x:v>0.84</x:v>
      </x:c>
      <x:c r="T16" s="46" t="n">
        <x:v>1.01</x:v>
      </x:c>
      <x:c r="U16" s="46" t="n">
        <x:v>0.67</x:v>
      </x:c>
      <x:c r="V16" s="46" t="str">
        <x:v>&lt;0.01</x:v>
      </x:c>
      <x:c r="W16" s="46" t="str">
        <x:v>relative abundance (% total VOC); zero = source-reported not detected</x:v>
      </x:c>
      <x:c r="X16" s="46" t="str">
        <x:v>full detected table; raw and five grilled internal-temperature states</x:v>
      </x:c>
      <x:c r="Y16" s="23"/>
      <x:c r="Z16" s="23"/>
    </x:row>
    <x:row r="17" ht="26.399999618530273" hidden="0" customHeight="1">
      <x:c r="A17" s="46" t="str">
        <x:v>BDM-MOR-016</x:v>
      </x:c>
      <x:c r="B17" s="46" t="str">
        <x:v>beef:muscle</x:v>
      </x:c>
      <x:c r="C17" s="46" t="str">
        <x:v>beef</x:v>
      </x:c>
      <x:c r="D17" s="46" t="str">
        <x:v>Longissimus lumborum</x:v>
      </x:c>
      <x:c r="E17" s="46" t="str">
        <x:v>raw→grilled doneness series</x:v>
      </x:c>
      <x:c r="F17" s="46" t="str">
        <x:v>SRC-BEEF-GRILL-TEMP-001</x:v>
      </x:c>
      <x:c r="G17" s="46" t="str">
        <x:v>Aldehydes</x:v>
      </x:c>
      <x:c r="H17" s="46" t="str">
        <x:v>2-Undecenal</x:v>
      </x:c>
      <x:c r="I17" s="46" t="str">
        <x:v>2463-77-6</x:v>
      </x:c>
      <x:c r="J17" s="46" t="n">
        <x:v>1370</x:v>
      </x:c>
      <x:c r="K17" s="46" t="n">
        <x:v>1369</x:v>
      </x:c>
      <x:c r="L17" s="46" t="str">
        <x:v>NIST 2014 MS + in-house authentic-compound library + Kovats LRI</x:v>
      </x:c>
      <x:c r="M17" s="46"/>
      <x:c r="N17" s="46"/>
      <x:c r="O17" s="46" t="str">
        <x:v>numeric_match_factor_unreported</x:v>
      </x:c>
      <x:c r="P17" s="46" t="n">
        <x:v>0.31</x:v>
      </x:c>
      <x:c r="Q17" s="46" t="n">
        <x:v>1.89</x:v>
      </x:c>
      <x:c r="R17" s="46" t="n">
        <x:v>1.11</x:v>
      </x:c>
      <x:c r="S17" s="46" t="n">
        <x:v>1.61</x:v>
      </x:c>
      <x:c r="T17" s="46" t="n">
        <x:v>1.6</x:v>
      </x:c>
      <x:c r="U17" s="46" t="n">
        <x:v>1.51</x:v>
      </x:c>
      <x:c r="V17" s="46" t="str">
        <x:v>&lt;0.01</x:v>
      </x:c>
      <x:c r="W17" s="46" t="str">
        <x:v>relative abundance (% total VOC); zero = source-reported not detected</x:v>
      </x:c>
      <x:c r="X17" s="46" t="str">
        <x:v>full detected table; raw and five grilled internal-temperature states</x:v>
      </x:c>
      <x:c r="Y17" s="23"/>
      <x:c r="Z17" s="23"/>
    </x:row>
    <x:row r="18" ht="26.399999618530273" hidden="0" customHeight="1">
      <x:c r="A18" s="46" t="str">
        <x:v>BDM-MOR-017</x:v>
      </x:c>
      <x:c r="B18" s="46" t="str">
        <x:v>beef:muscle</x:v>
      </x:c>
      <x:c r="C18" s="46" t="str">
        <x:v>beef</x:v>
      </x:c>
      <x:c r="D18" s="46" t="str">
        <x:v>Longissimus lumborum</x:v>
      </x:c>
      <x:c r="E18" s="46" t="str">
        <x:v>raw→grilled doneness series</x:v>
      </x:c>
      <x:c r="F18" s="46" t="str">
        <x:v>SRC-BEEF-GRILL-TEMP-001</x:v>
      </x:c>
      <x:c r="G18" s="46" t="str">
        <x:v>Aldehydes</x:v>
      </x:c>
      <x:c r="H18" s="46" t="str">
        <x:v>Dodecanal</x:v>
      </x:c>
      <x:c r="I18" s="46" t="str">
        <x:v>112-54-9</x:v>
      </x:c>
      <x:c r="J18" s="46" t="n">
        <x:v>1413</x:v>
      </x:c>
      <x:c r="K18" s="46" t="n">
        <x:v>1401</x:v>
      </x:c>
      <x:c r="L18" s="46" t="str">
        <x:v>NIST 2014 MS + in-house authentic-compound library + Kovats LRI</x:v>
      </x:c>
      <x:c r="M18" s="46"/>
      <x:c r="N18" s="46"/>
      <x:c r="O18" s="46" t="str">
        <x:v>numeric_match_factor_unreported</x:v>
      </x:c>
      <x:c r="P18" s="46" t="n">
        <x:v>0.14</x:v>
      </x:c>
      <x:c r="Q18" s="46" t="n">
        <x:v>0.32</x:v>
      </x:c>
      <x:c r="R18" s="46" t="n">
        <x:v>0.29</x:v>
      </x:c>
      <x:c r="S18" s="46" t="n">
        <x:v>0.33</x:v>
      </x:c>
      <x:c r="T18" s="46" t="n">
        <x:v>0.3</x:v>
      </x:c>
      <x:c r="U18" s="46" t="n">
        <x:v>0.33</x:v>
      </x:c>
      <x:c r="V18" s="46" t="str">
        <x:v>&lt;0.01</x:v>
      </x:c>
      <x:c r="W18" s="46" t="str">
        <x:v>relative abundance (% total VOC); zero = source-reported not detected</x:v>
      </x:c>
      <x:c r="X18" s="46" t="str">
        <x:v>full detected table; raw and five grilled internal-temperature states</x:v>
      </x:c>
      <x:c r="Y18" s="23"/>
      <x:c r="Z18" s="23"/>
    </x:row>
    <x:row r="19" ht="26.399999618530273" hidden="0" customHeight="1">
      <x:c r="A19" s="46" t="str">
        <x:v>BDM-MOR-018</x:v>
      </x:c>
      <x:c r="B19" s="46" t="str">
        <x:v>beef:muscle</x:v>
      </x:c>
      <x:c r="C19" s="46" t="str">
        <x:v>beef</x:v>
      </x:c>
      <x:c r="D19" s="46" t="str">
        <x:v>Longissimus lumborum</x:v>
      </x:c>
      <x:c r="E19" s="46" t="str">
        <x:v>raw→grilled doneness series</x:v>
      </x:c>
      <x:c r="F19" s="46" t="str">
        <x:v>SRC-BEEF-GRILL-TEMP-001</x:v>
      </x:c>
      <x:c r="G19" s="46" t="str">
        <x:v>Aldehydes</x:v>
      </x:c>
      <x:c r="H19" s="46" t="str">
        <x:v>Tridecanal</x:v>
      </x:c>
      <x:c r="I19" s="46" t="str">
        <x:v>10486-19-8</x:v>
      </x:c>
      <x:c r="J19" s="46" t="n">
        <x:v>1516</x:v>
      </x:c>
      <x:c r="K19" s="46" t="n">
        <x:v>1505</x:v>
      </x:c>
      <x:c r="L19" s="46" t="str">
        <x:v>NIST 2014 MS + in-house authentic-compound library + Kovats LRI</x:v>
      </x:c>
      <x:c r="M19" s="46"/>
      <x:c r="N19" s="46"/>
      <x:c r="O19" s="46" t="str">
        <x:v>numeric_match_factor_unreported</x:v>
      </x:c>
      <x:c r="P19" s="46" t="n">
        <x:v>0.15</x:v>
      </x:c>
      <x:c r="Q19" s="46" t="n">
        <x:v>0.48</x:v>
      </x:c>
      <x:c r="R19" s="46" t="n">
        <x:v>0.36</x:v>
      </x:c>
      <x:c r="S19" s="46" t="n">
        <x:v>0.48</x:v>
      </x:c>
      <x:c r="T19" s="46" t="n">
        <x:v>0.42</x:v>
      </x:c>
      <x:c r="U19" s="46" t="n">
        <x:v>0.45</x:v>
      </x:c>
      <x:c r="V19" s="46" t="str">
        <x:v>0.01</x:v>
      </x:c>
      <x:c r="W19" s="46" t="str">
        <x:v>relative abundance (% total VOC); zero = source-reported not detected</x:v>
      </x:c>
      <x:c r="X19" s="46" t="str">
        <x:v>full detected table; raw and five grilled internal-temperature states</x:v>
      </x:c>
      <x:c r="Y19" s="23"/>
      <x:c r="Z19" s="23"/>
    </x:row>
    <x:row r="20" ht="26.399999618530273" hidden="0" customHeight="1">
      <x:c r="A20" s="46" t="str">
        <x:v>BDM-MOR-019</x:v>
      </x:c>
      <x:c r="B20" s="46" t="str">
        <x:v>beef:muscle</x:v>
      </x:c>
      <x:c r="C20" s="46" t="str">
        <x:v>beef</x:v>
      </x:c>
      <x:c r="D20" s="46" t="str">
        <x:v>Longissimus lumborum</x:v>
      </x:c>
      <x:c r="E20" s="46" t="str">
        <x:v>raw→grilled doneness series</x:v>
      </x:c>
      <x:c r="F20" s="46" t="str">
        <x:v>SRC-BEEF-GRILL-TEMP-001</x:v>
      </x:c>
      <x:c r="G20" s="46" t="str">
        <x:v>Aldehydes</x:v>
      </x:c>
      <x:c r="H20" s="46" t="str">
        <x:v>Tetradecanal</x:v>
      </x:c>
      <x:c r="I20" s="46" t="str">
        <x:v>124-25-4</x:v>
      </x:c>
      <x:c r="J20" s="46" t="n">
        <x:v>1618</x:v>
      </x:c>
      <x:c r="K20" s="46" t="n">
        <x:v>1615</x:v>
      </x:c>
      <x:c r="L20" s="46" t="str">
        <x:v>NIST 2014 MS + in-house authentic-compound library + Kovats LRI</x:v>
      </x:c>
      <x:c r="M20" s="46"/>
      <x:c r="N20" s="46"/>
      <x:c r="O20" s="46" t="str">
        <x:v>numeric_match_factor_unreported</x:v>
      </x:c>
      <x:c r="P20" s="46" t="n">
        <x:v>0.24</x:v>
      </x:c>
      <x:c r="Q20" s="46" t="n">
        <x:v>0.8</x:v>
      </x:c>
      <x:c r="R20" s="46" t="n">
        <x:v>0.61</x:v>
      </x:c>
      <x:c r="S20" s="46" t="n">
        <x:v>0.82</x:v>
      </x:c>
      <x:c r="T20" s="46" t="n">
        <x:v>0.66</x:v>
      </x:c>
      <x:c r="U20" s="46" t="n">
        <x:v>0.75</x:v>
      </x:c>
      <x:c r="V20" s="46" t="str">
        <x:v>0.02</x:v>
      </x:c>
      <x:c r="W20" s="46" t="str">
        <x:v>relative abundance (% total VOC); zero = source-reported not detected</x:v>
      </x:c>
      <x:c r="X20" s="46" t="str">
        <x:v>full detected table; raw and five grilled internal-temperature states</x:v>
      </x:c>
      <x:c r="Y20" s="23"/>
      <x:c r="Z20" s="23"/>
    </x:row>
    <x:row r="21" ht="26.399999618530273" hidden="0" customHeight="1">
      <x:c r="A21" s="46" t="str">
        <x:v>BDM-MOR-020</x:v>
      </x:c>
      <x:c r="B21" s="46" t="str">
        <x:v>beef:muscle</x:v>
      </x:c>
      <x:c r="C21" s="46" t="str">
        <x:v>beef</x:v>
      </x:c>
      <x:c r="D21" s="46" t="str">
        <x:v>Longissimus lumborum</x:v>
      </x:c>
      <x:c r="E21" s="46" t="str">
        <x:v>raw→grilled doneness series</x:v>
      </x:c>
      <x:c r="F21" s="46" t="str">
        <x:v>SRC-BEEF-GRILL-TEMP-001</x:v>
      </x:c>
      <x:c r="G21" s="46" t="str">
        <x:v>Aldehydes</x:v>
      </x:c>
      <x:c r="H21" s="46" t="str">
        <x:v>Pentadecanal</x:v>
      </x:c>
      <x:c r="I21" s="46" t="str">
        <x:v>2765-11-9</x:v>
      </x:c>
      <x:c r="J21" s="46" t="n">
        <x:v>1716</x:v>
      </x:c>
      <x:c r="K21" s="46" t="n">
        <x:v>1707</x:v>
      </x:c>
      <x:c r="L21" s="46" t="str">
        <x:v>NIST 2014 MS + in-house authentic-compound library + Kovats LRI</x:v>
      </x:c>
      <x:c r="M21" s="46"/>
      <x:c r="N21" s="46"/>
      <x:c r="O21" s="46" t="str">
        <x:v>numeric_match_factor_unreported</x:v>
      </x:c>
      <x:c r="P21" s="46" t="n">
        <x:v>0.88</x:v>
      </x:c>
      <x:c r="Q21" s="46" t="n">
        <x:v>1.45</x:v>
      </x:c>
      <x:c r="R21" s="46" t="n">
        <x:v>1.07</x:v>
      </x:c>
      <x:c r="S21" s="46" t="n">
        <x:v>1.51</x:v>
      </x:c>
      <x:c r="T21" s="46" t="n">
        <x:v>1.27</x:v>
      </x:c>
      <x:c r="U21" s="46" t="n">
        <x:v>1.37</x:v>
      </x:c>
      <x:c r="V21" s="46" t="str">
        <x:v>ns</x:v>
      </x:c>
      <x:c r="W21" s="46" t="str">
        <x:v>relative abundance (% total VOC); zero = source-reported not detected</x:v>
      </x:c>
      <x:c r="X21" s="46" t="str">
        <x:v>full detected table; raw and five grilled internal-temperature states</x:v>
      </x:c>
      <x:c r="Y21" s="23"/>
      <x:c r="Z21" s="23"/>
    </x:row>
    <x:row r="22" ht="26.399999618530273" hidden="0" customHeight="1">
      <x:c r="A22" s="46" t="str">
        <x:v>BDM-MOR-021</x:v>
      </x:c>
      <x:c r="B22" s="46" t="str">
        <x:v>beef:muscle</x:v>
      </x:c>
      <x:c r="C22" s="46" t="str">
        <x:v>beef</x:v>
      </x:c>
      <x:c r="D22" s="46" t="str">
        <x:v>Longissimus lumborum</x:v>
      </x:c>
      <x:c r="E22" s="46" t="str">
        <x:v>raw→grilled doneness series</x:v>
      </x:c>
      <x:c r="F22" s="46" t="str">
        <x:v>SRC-BEEF-GRILL-TEMP-001</x:v>
      </x:c>
      <x:c r="G22" s="46" t="str">
        <x:v>Aldehydes</x:v>
      </x:c>
      <x:c r="H22" s="46" t="str">
        <x:v>Hexadecanal</x:v>
      </x:c>
      <x:c r="I22" s="46" t="str">
        <x:v>629-80-1</x:v>
      </x:c>
      <x:c r="J22" s="46" t="n">
        <x:v>1818</x:v>
      </x:c>
      <x:c r="K22" s="46" t="n">
        <x:v>1819</x:v>
      </x:c>
      <x:c r="L22" s="46" t="str">
        <x:v>NIST 2014 MS + in-house authentic-compound library + Kovats LRI</x:v>
      </x:c>
      <x:c r="M22" s="46"/>
      <x:c r="N22" s="46"/>
      <x:c r="O22" s="46" t="str">
        <x:v>numeric_match_factor_unreported</x:v>
      </x:c>
      <x:c r="P22" s="46" t="n">
        <x:v>1.69</x:v>
      </x:c>
      <x:c r="Q22" s="46" t="n">
        <x:v>1.98</x:v>
      </x:c>
      <x:c r="R22" s="46" t="n">
        <x:v>1.79</x:v>
      </x:c>
      <x:c r="S22" s="46" t="n">
        <x:v>2.58</x:v>
      </x:c>
      <x:c r="T22" s="46" t="n">
        <x:v>2.33</x:v>
      </x:c>
      <x:c r="U22" s="46" t="n">
        <x:v>3.46</x:v>
      </x:c>
      <x:c r="V22" s="46" t="str">
        <x:v>ns</x:v>
      </x:c>
      <x:c r="W22" s="46" t="str">
        <x:v>relative abundance (% total VOC); zero = source-reported not detected</x:v>
      </x:c>
      <x:c r="X22" s="46" t="str">
        <x:v>full detected table; raw and five grilled internal-temperature states</x:v>
      </x:c>
      <x:c r="Y22" s="23"/>
      <x:c r="Z22" s="23"/>
    </x:row>
    <x:row r="23" ht="26.399999618530273" hidden="0" customHeight="1">
      <x:c r="A23" s="46" t="str">
        <x:v>BDM-MOR-022</x:v>
      </x:c>
      <x:c r="B23" s="46" t="str">
        <x:v>beef:muscle</x:v>
      </x:c>
      <x:c r="C23" s="46" t="str">
        <x:v>beef</x:v>
      </x:c>
      <x:c r="D23" s="46" t="str">
        <x:v>Longissimus lumborum</x:v>
      </x:c>
      <x:c r="E23" s="46" t="str">
        <x:v>raw→grilled doneness series</x:v>
      </x:c>
      <x:c r="F23" s="46" t="str">
        <x:v>SRC-BEEF-GRILL-TEMP-001</x:v>
      </x:c>
      <x:c r="G23" s="46" t="str">
        <x:v>Aldehydes</x:v>
      </x:c>
      <x:c r="H23" s="46" t="str">
        <x:v>Benzeneacetaldehyde</x:v>
      </x:c>
      <x:c r="I23" s="46" t="str">
        <x:v>122-78-1</x:v>
      </x:c>
      <x:c r="J23" s="46" t="n">
        <x:v>1052</x:v>
      </x:c>
      <x:c r="K23" s="46" t="n">
        <x:v>1051</x:v>
      </x:c>
      <x:c r="L23" s="46" t="str">
        <x:v>NIST 2014 MS + in-house authentic-compound library + Kovats LRI</x:v>
      </x:c>
      <x:c r="M23" s="46"/>
      <x:c r="N23" s="46"/>
      <x:c r="O23" s="46" t="str">
        <x:v>numeric_match_factor_unreported</x:v>
      </x:c>
      <x:c r="P23" s="46" t="n">
        <x:v>0.05</x:v>
      </x:c>
      <x:c r="Q23" s="46" t="n">
        <x:v>0.07</x:v>
      </x:c>
      <x:c r="R23" s="46" t="n">
        <x:v>0.08</x:v>
      </x:c>
      <x:c r="S23" s="46" t="n">
        <x:v>0.08</x:v>
      </x:c>
      <x:c r="T23" s="46" t="n">
        <x:v>0.11</x:v>
      </x:c>
      <x:c r="U23" s="46" t="n">
        <x:v>0.12</x:v>
      </x:c>
      <x:c r="V23" s="46" t="str">
        <x:v>ns</x:v>
      </x:c>
      <x:c r="W23" s="46" t="str">
        <x:v>relative abundance (% total VOC); zero = source-reported not detected</x:v>
      </x:c>
      <x:c r="X23" s="46" t="str">
        <x:v>full detected table; raw and five grilled internal-temperature states</x:v>
      </x:c>
      <x:c r="Y23" s="23"/>
      <x:c r="Z23" s="23"/>
    </x:row>
    <x:row r="24" ht="26.399999618530273" hidden="0" customHeight="1">
      <x:c r="A24" s="46" t="str">
        <x:v>BDM-MOR-023</x:v>
      </x:c>
      <x:c r="B24" s="46" t="str">
        <x:v>beef:muscle</x:v>
      </x:c>
      <x:c r="C24" s="46" t="str">
        <x:v>beef</x:v>
      </x:c>
      <x:c r="D24" s="46" t="str">
        <x:v>Longissimus lumborum</x:v>
      </x:c>
      <x:c r="E24" s="46" t="str">
        <x:v>raw→grilled doneness series</x:v>
      </x:c>
      <x:c r="F24" s="46" t="str">
        <x:v>SRC-BEEF-GRILL-TEMP-001</x:v>
      </x:c>
      <x:c r="G24" s="46" t="str">
        <x:v>Esters</x:v>
      </x:c>
      <x:c r="H24" s="46" t="str">
        <x:v>Methyl propionate</x:v>
      </x:c>
      <x:c r="I24" s="46" t="str">
        <x:v>554-12-1</x:v>
      </x:c>
      <x:c r="J24" s="46" t="n">
        <x:v>626</x:v>
      </x:c>
      <x:c r="K24" s="46" t="n">
        <x:v>620</x:v>
      </x:c>
      <x:c r="L24" s="46" t="str">
        <x:v>NIST 2014 MS + in-house authentic-compound library + Kovats LRI</x:v>
      </x:c>
      <x:c r="M24" s="46"/>
      <x:c r="N24" s="46"/>
      <x:c r="O24" s="46" t="str">
        <x:v>numeric_match_factor_unreported</x:v>
      </x:c>
      <x:c r="P24" s="46" t="n">
        <x:v>0.11</x:v>
      </x:c>
      <x:c r="Q24" s="46" t="n">
        <x:v>0.18</x:v>
      </x:c>
      <x:c r="R24" s="46" t="n">
        <x:v>0.27</x:v>
      </x:c>
      <x:c r="S24" s="46" t="n">
        <x:v>0.22</x:v>
      </x:c>
      <x:c r="T24" s="46" t="n">
        <x:v>0.21</x:v>
      </x:c>
      <x:c r="U24" s="46" t="n">
        <x:v>0.22</x:v>
      </x:c>
      <x:c r="V24" s="46" t="str">
        <x:v>&lt;0.01</x:v>
      </x:c>
      <x:c r="W24" s="46" t="str">
        <x:v>relative abundance (% total VOC); zero = source-reported not detected</x:v>
      </x:c>
      <x:c r="X24" s="46" t="str">
        <x:v>full detected table; raw and five grilled internal-temperature states</x:v>
      </x:c>
      <x:c r="Y24" s="23"/>
      <x:c r="Z24" s="23"/>
    </x:row>
    <x:row r="25" ht="26.399999618530273" hidden="0" customHeight="1">
      <x:c r="A25" s="46" t="str">
        <x:v>BDM-MOR-024</x:v>
      </x:c>
      <x:c r="B25" s="46" t="str">
        <x:v>beef:muscle</x:v>
      </x:c>
      <x:c r="C25" s="46" t="str">
        <x:v>beef</x:v>
      </x:c>
      <x:c r="D25" s="46" t="str">
        <x:v>Longissimus lumborum</x:v>
      </x:c>
      <x:c r="E25" s="46" t="str">
        <x:v>raw→grilled doneness series</x:v>
      </x:c>
      <x:c r="F25" s="46" t="str">
        <x:v>SRC-BEEF-GRILL-TEMP-001</x:v>
      </x:c>
      <x:c r="G25" s="46" t="str">
        <x:v>Esters</x:v>
      </x:c>
      <x:c r="H25" s="46" t="str">
        <x:v>Methyl butanoate</x:v>
      </x:c>
      <x:c r="I25" s="46" t="str">
        <x:v>623-42-7</x:v>
      </x:c>
      <x:c r="J25" s="46" t="n">
        <x:v>720</x:v>
      </x:c>
      <x:c r="K25" s="46" t="n">
        <x:v>719</x:v>
      </x:c>
      <x:c r="L25" s="46" t="str">
        <x:v>NIST 2014 MS + in-house authentic-compound library + Kovats LRI</x:v>
      </x:c>
      <x:c r="M25" s="46"/>
      <x:c r="N25" s="46"/>
      <x:c r="O25" s="46" t="str">
        <x:v>numeric_match_factor_unreported</x:v>
      </x:c>
      <x:c r="P25" s="46" t="n">
        <x:v>0.18</x:v>
      </x:c>
      <x:c r="Q25" s="46" t="n">
        <x:v>0.59</x:v>
      </x:c>
      <x:c r="R25" s="46" t="n">
        <x:v>0.84</x:v>
      </x:c>
      <x:c r="S25" s="46" t="n">
        <x:v>0.73</x:v>
      </x:c>
      <x:c r="T25" s="46" t="n">
        <x:v>0.66</x:v>
      </x:c>
      <x:c r="U25" s="46" t="n">
        <x:v>0.71</x:v>
      </x:c>
      <x:c r="V25" s="46" t="str">
        <x:v>&lt;0.01</x:v>
      </x:c>
      <x:c r="W25" s="46" t="str">
        <x:v>relative abundance (% total VOC); zero = source-reported not detected</x:v>
      </x:c>
      <x:c r="X25" s="46" t="str">
        <x:v>full detected table; raw and five grilled internal-temperature states</x:v>
      </x:c>
      <x:c r="Y25" s="23"/>
      <x:c r="Z25" s="23"/>
    </x:row>
    <x:row r="26" ht="26.399999618530273" hidden="0" customHeight="1">
      <x:c r="A26" s="46" t="str">
        <x:v>BDM-MOR-025</x:v>
      </x:c>
      <x:c r="B26" s="46" t="str">
        <x:v>beef:muscle</x:v>
      </x:c>
      <x:c r="C26" s="46" t="str">
        <x:v>beef</x:v>
      </x:c>
      <x:c r="D26" s="46" t="str">
        <x:v>Longissimus lumborum</x:v>
      </x:c>
      <x:c r="E26" s="46" t="str">
        <x:v>raw→grilled doneness series</x:v>
      </x:c>
      <x:c r="F26" s="46" t="str">
        <x:v>SRC-BEEF-GRILL-TEMP-001</x:v>
      </x:c>
      <x:c r="G26" s="46" t="str">
        <x:v>Esters</x:v>
      </x:c>
      <x:c r="H26" s="46" t="str">
        <x:v>Methyl 2-methylbutanoate</x:v>
      </x:c>
      <x:c r="I26" s="46" t="str">
        <x:v>868-57-5</x:v>
      </x:c>
      <x:c r="J26" s="46" t="n">
        <x:v>775</x:v>
      </x:c>
      <x:c r="K26" s="46" t="n">
        <x:v>774</x:v>
      </x:c>
      <x:c r="L26" s="46" t="str">
        <x:v>NIST 2014 MS + in-house authentic-compound library + Kovats LRI</x:v>
      </x:c>
      <x:c r="M26" s="46"/>
      <x:c r="N26" s="46"/>
      <x:c r="O26" s="46" t="str">
        <x:v>numeric_match_factor_unreported</x:v>
      </x:c>
      <x:c r="P26" s="46" t="n">
        <x:v>0</x:v>
      </x:c>
      <x:c r="Q26" s="46" t="n">
        <x:v>0.85</x:v>
      </x:c>
      <x:c r="R26" s="46" t="n">
        <x:v>1.16</x:v>
      </x:c>
      <x:c r="S26" s="46" t="n">
        <x:v>1.05</x:v>
      </x:c>
      <x:c r="T26" s="46" t="n">
        <x:v>0.84</x:v>
      </x:c>
      <x:c r="U26" s="46" t="n">
        <x:v>0.97</x:v>
      </x:c>
      <x:c r="V26" s="46" t="str">
        <x:v>&lt;0.01</x:v>
      </x:c>
      <x:c r="W26" s="46" t="str">
        <x:v>relative abundance (% total VOC); zero = source-reported not detected</x:v>
      </x:c>
      <x:c r="X26" s="46" t="str">
        <x:v>full detected table; raw and five grilled internal-temperature states</x:v>
      </x:c>
      <x:c r="Y26" s="23"/>
      <x:c r="Z26" s="23"/>
    </x:row>
    <x:row r="27" ht="26.399999618530273" hidden="0" customHeight="1">
      <x:c r="A27" s="46" t="str">
        <x:v>BDM-MOR-026</x:v>
      </x:c>
      <x:c r="B27" s="46" t="str">
        <x:v>beef:muscle</x:v>
      </x:c>
      <x:c r="C27" s="46" t="str">
        <x:v>beef</x:v>
      </x:c>
      <x:c r="D27" s="46" t="str">
        <x:v>Longissimus lumborum</x:v>
      </x:c>
      <x:c r="E27" s="46" t="str">
        <x:v>raw→grilled doneness series</x:v>
      </x:c>
      <x:c r="F27" s="46" t="str">
        <x:v>SRC-BEEF-GRILL-TEMP-001</x:v>
      </x:c>
      <x:c r="G27" s="46" t="str">
        <x:v>Esters</x:v>
      </x:c>
      <x:c r="H27" s="46" t="str">
        <x:v>Methyl 3-methylbutanoate</x:v>
      </x:c>
      <x:c r="I27" s="46" t="str">
        <x:v>556-24-1</x:v>
      </x:c>
      <x:c r="J27" s="46" t="n">
        <x:v>776</x:v>
      </x:c>
      <x:c r="K27" s="46" t="n">
        <x:v>774</x:v>
      </x:c>
      <x:c r="L27" s="46" t="str">
        <x:v>NIST 2014 MS + in-house authentic-compound library + Kovats LRI</x:v>
      </x:c>
      <x:c r="M27" s="46"/>
      <x:c r="N27" s="46"/>
      <x:c r="O27" s="46" t="str">
        <x:v>numeric_match_factor_unreported</x:v>
      </x:c>
      <x:c r="P27" s="46" t="n">
        <x:v>6.25</x:v>
      </x:c>
      <x:c r="Q27" s="46" t="n">
        <x:v>0</x:v>
      </x:c>
      <x:c r="R27" s="46" t="n">
        <x:v>0</x:v>
      </x:c>
      <x:c r="S27" s="46" t="n">
        <x:v>0</x:v>
      </x:c>
      <x:c r="T27" s="46" t="n">
        <x:v>0</x:v>
      </x:c>
      <x:c r="U27" s="46" t="n">
        <x:v>0</x:v>
      </x:c>
      <x:c r="V27" s="46" t="str">
        <x:v>&lt;0.01</x:v>
      </x:c>
      <x:c r="W27" s="46" t="str">
        <x:v>relative abundance (% total VOC); zero = source-reported not detected</x:v>
      </x:c>
      <x:c r="X27" s="46" t="str">
        <x:v>full detected table; raw and five grilled internal-temperature states</x:v>
      </x:c>
      <x:c r="Y27" s="23"/>
      <x:c r="Z27" s="23"/>
    </x:row>
    <x:row r="28" ht="26.399999618530273" hidden="0" customHeight="1">
      <x:c r="A28" s="46" t="str">
        <x:v>BDM-MOR-027</x:v>
      </x:c>
      <x:c r="B28" s="46" t="str">
        <x:v>beef:muscle</x:v>
      </x:c>
      <x:c r="C28" s="46" t="str">
        <x:v>beef</x:v>
      </x:c>
      <x:c r="D28" s="46" t="str">
        <x:v>Longissimus lumborum</x:v>
      </x:c>
      <x:c r="E28" s="46" t="str">
        <x:v>raw→grilled doneness series</x:v>
      </x:c>
      <x:c r="F28" s="46" t="str">
        <x:v>SRC-BEEF-GRILL-TEMP-001</x:v>
      </x:c>
      <x:c r="G28" s="46" t="str">
        <x:v>Esters</x:v>
      </x:c>
      <x:c r="H28" s="46" t="str">
        <x:v>Methyl hexanoate</x:v>
      </x:c>
      <x:c r="I28" s="46" t="str">
        <x:v>106-70-7</x:v>
      </x:c>
      <x:c r="J28" s="46" t="n">
        <x:v>923</x:v>
      </x:c>
      <x:c r="K28" s="46" t="n">
        <x:v>922</x:v>
      </x:c>
      <x:c r="L28" s="46" t="str">
        <x:v>NIST 2014 MS + in-house authentic-compound library + Kovats LRI</x:v>
      </x:c>
      <x:c r="M28" s="46"/>
      <x:c r="N28" s="46"/>
      <x:c r="O28" s="46" t="str">
        <x:v>numeric_match_factor_unreported</x:v>
      </x:c>
      <x:c r="P28" s="46" t="n">
        <x:v>0.78</x:v>
      </x:c>
      <x:c r="Q28" s="46" t="n">
        <x:v>0.61</x:v>
      </x:c>
      <x:c r="R28" s="46" t="n">
        <x:v>0.42</x:v>
      </x:c>
      <x:c r="S28" s="46" t="n">
        <x:v>0.22</x:v>
      </x:c>
      <x:c r="T28" s="46" t="n">
        <x:v>0.18</x:v>
      </x:c>
      <x:c r="U28" s="46" t="n">
        <x:v>0.12</x:v>
      </x:c>
      <x:c r="V28" s="46" t="str">
        <x:v>&lt;0.01</x:v>
      </x:c>
      <x:c r="W28" s="46" t="str">
        <x:v>relative abundance (% total VOC); zero = source-reported not detected</x:v>
      </x:c>
      <x:c r="X28" s="46" t="str">
        <x:v>full detected table; raw and five grilled internal-temperature states</x:v>
      </x:c>
      <x:c r="Y28" s="23"/>
      <x:c r="Z28" s="23"/>
    </x:row>
    <x:row r="29" ht="26.399999618530273" hidden="0" customHeight="1">
      <x:c r="A29" s="46" t="str">
        <x:v>BDM-MOR-028</x:v>
      </x:c>
      <x:c r="B29" s="46" t="str">
        <x:v>beef:muscle</x:v>
      </x:c>
      <x:c r="C29" s="46" t="str">
        <x:v>beef</x:v>
      </x:c>
      <x:c r="D29" s="46" t="str">
        <x:v>Longissimus lumborum</x:v>
      </x:c>
      <x:c r="E29" s="46" t="str">
        <x:v>raw→grilled doneness series</x:v>
      </x:c>
      <x:c r="F29" s="46" t="str">
        <x:v>SRC-BEEF-GRILL-TEMP-001</x:v>
      </x:c>
      <x:c r="G29" s="46" t="str">
        <x:v>Esters</x:v>
      </x:c>
      <x:c r="H29" s="46" t="str">
        <x:v>Butyl isobutyrate</x:v>
      </x:c>
      <x:c r="I29" s="46" t="str">
        <x:v>97-87-0</x:v>
      </x:c>
      <x:c r="J29" s="46" t="n">
        <x:v>951</x:v>
      </x:c>
      <x:c r="K29" s="46" t="n">
        <x:v>951</x:v>
      </x:c>
      <x:c r="L29" s="46" t="str">
        <x:v>NIST 2014 MS + in-house authentic-compound library + Kovats LRI</x:v>
      </x:c>
      <x:c r="M29" s="46"/>
      <x:c r="N29" s="46"/>
      <x:c r="O29" s="46" t="str">
        <x:v>numeric_match_factor_unreported</x:v>
      </x:c>
      <x:c r="P29" s="46" t="n">
        <x:v>0</x:v>
      </x:c>
      <x:c r="Q29" s="46" t="n">
        <x:v>0.33</x:v>
      </x:c>
      <x:c r="R29" s="46" t="n">
        <x:v>0.39</x:v>
      </x:c>
      <x:c r="S29" s="46" t="n">
        <x:v>0.4</x:v>
      </x:c>
      <x:c r="T29" s="46" t="n">
        <x:v>0.22</x:v>
      </x:c>
      <x:c r="U29" s="46" t="n">
        <x:v>0.26</x:v>
      </x:c>
      <x:c r="V29" s="46" t="str">
        <x:v>&lt;0.01</x:v>
      </x:c>
      <x:c r="W29" s="46" t="str">
        <x:v>relative abundance (% total VOC); zero = source-reported not detected</x:v>
      </x:c>
      <x:c r="X29" s="46" t="str">
        <x:v>full detected table; raw and five grilled internal-temperature states</x:v>
      </x:c>
      <x:c r="Y29" s="23"/>
      <x:c r="Z29" s="23"/>
    </x:row>
    <x:row r="30" ht="26.399999618530273" hidden="0" customHeight="1">
      <x:c r="A30" s="46" t="str">
        <x:v>BDM-MOR-029</x:v>
      </x:c>
      <x:c r="B30" s="46" t="str">
        <x:v>beef:muscle</x:v>
      </x:c>
      <x:c r="C30" s="46" t="str">
        <x:v>beef</x:v>
      </x:c>
      <x:c r="D30" s="46" t="str">
        <x:v>Longissimus lumborum</x:v>
      </x:c>
      <x:c r="E30" s="46" t="str">
        <x:v>raw→grilled doneness series</x:v>
      </x:c>
      <x:c r="F30" s="46" t="str">
        <x:v>SRC-BEEF-GRILL-TEMP-001</x:v>
      </x:c>
      <x:c r="G30" s="46" t="str">
        <x:v>Esters</x:v>
      </x:c>
      <x:c r="H30" s="46" t="str">
        <x:v>Methyl heptanoate</x:v>
      </x:c>
      <x:c r="I30" s="46" t="str">
        <x:v>106-73-0</x:v>
      </x:c>
      <x:c r="J30" s="46" t="n">
        <x:v>1023</x:v>
      </x:c>
      <x:c r="K30" s="46" t="n">
        <x:v>1022</x:v>
      </x:c>
      <x:c r="L30" s="46" t="str">
        <x:v>NIST 2014 MS + in-house authentic-compound library + Kovats LRI</x:v>
      </x:c>
      <x:c r="M30" s="46"/>
      <x:c r="N30" s="46"/>
      <x:c r="O30" s="46" t="str">
        <x:v>numeric_match_factor_unreported</x:v>
      </x:c>
      <x:c r="P30" s="46" t="n">
        <x:v>0.47</x:v>
      </x:c>
      <x:c r="Q30" s="46" t="n">
        <x:v>0.33</x:v>
      </x:c>
      <x:c r="R30" s="46" t="n">
        <x:v>0.22</x:v>
      </x:c>
      <x:c r="S30" s="46" t="n">
        <x:v>0.12</x:v>
      </x:c>
      <x:c r="T30" s="46" t="n">
        <x:v>0.08</x:v>
      </x:c>
      <x:c r="U30" s="46" t="n">
        <x:v>0.05</x:v>
      </x:c>
      <x:c r="V30" s="46" t="str">
        <x:v>&lt;0.01</x:v>
      </x:c>
      <x:c r="W30" s="46" t="str">
        <x:v>relative abundance (% total VOC); zero = source-reported not detected</x:v>
      </x:c>
      <x:c r="X30" s="46" t="str">
        <x:v>full detected table; raw and five grilled internal-temperature states</x:v>
      </x:c>
      <x:c r="Y30" s="23"/>
      <x:c r="Z30" s="23"/>
    </x:row>
    <x:row r="31" ht="26.399999618530273" hidden="0" customHeight="1">
      <x:c r="A31" s="46" t="str">
        <x:v>BDM-MOR-030</x:v>
      </x:c>
      <x:c r="B31" s="46" t="str">
        <x:v>beef:muscle</x:v>
      </x:c>
      <x:c r="C31" s="46" t="str">
        <x:v>beef</x:v>
      </x:c>
      <x:c r="D31" s="46" t="str">
        <x:v>Longissimus lumborum</x:v>
      </x:c>
      <x:c r="E31" s="46" t="str">
        <x:v>raw→grilled doneness series</x:v>
      </x:c>
      <x:c r="F31" s="46" t="str">
        <x:v>SRC-BEEF-GRILL-TEMP-001</x:v>
      </x:c>
      <x:c r="G31" s="46" t="str">
        <x:v>Esters</x:v>
      </x:c>
      <x:c r="H31" s="46" t="str">
        <x:v>Methyl octanoate</x:v>
      </x:c>
      <x:c r="I31" s="46" t="str">
        <x:v>111-11-5</x:v>
      </x:c>
      <x:c r="J31" s="46" t="n">
        <x:v>1124</x:v>
      </x:c>
      <x:c r="K31" s="46" t="n">
        <x:v>1126</x:v>
      </x:c>
      <x:c r="L31" s="46" t="str">
        <x:v>NIST 2014 MS + in-house authentic-compound library + Kovats LRI</x:v>
      </x:c>
      <x:c r="M31" s="46"/>
      <x:c r="N31" s="46"/>
      <x:c r="O31" s="46" t="str">
        <x:v>numeric_match_factor_unreported</x:v>
      </x:c>
      <x:c r="P31" s="46" t="n">
        <x:v>2.48</x:v>
      </x:c>
      <x:c r="Q31" s="46" t="n">
        <x:v>0.98</x:v>
      </x:c>
      <x:c r="R31" s="46" t="n">
        <x:v>0.86</x:v>
      </x:c>
      <x:c r="S31" s="46" t="n">
        <x:v>0</x:v>
      </x:c>
      <x:c r="T31" s="46" t="n">
        <x:v>0</x:v>
      </x:c>
      <x:c r="U31" s="46" t="n">
        <x:v>0</x:v>
      </x:c>
      <x:c r="V31" s="46" t="str">
        <x:v>&lt;0.01</x:v>
      </x:c>
      <x:c r="W31" s="46" t="str">
        <x:v>relative abundance (% total VOC); zero = source-reported not detected</x:v>
      </x:c>
      <x:c r="X31" s="46" t="str">
        <x:v>full detected table; raw and five grilled internal-temperature states</x:v>
      </x:c>
      <x:c r="Y31" s="23"/>
      <x:c r="Z31" s="23"/>
    </x:row>
    <x:row r="32" ht="26.399999618530273" hidden="0" customHeight="1">
      <x:c r="A32" s="46" t="str">
        <x:v>BDM-MOR-031</x:v>
      </x:c>
      <x:c r="B32" s="46" t="str">
        <x:v>beef:muscle</x:v>
      </x:c>
      <x:c r="C32" s="46" t="str">
        <x:v>beef</x:v>
      </x:c>
      <x:c r="D32" s="46" t="str">
        <x:v>Longissimus lumborum</x:v>
      </x:c>
      <x:c r="E32" s="46" t="str">
        <x:v>raw→grilled doneness series</x:v>
      </x:c>
      <x:c r="F32" s="46" t="str">
        <x:v>SRC-BEEF-GRILL-TEMP-001</x:v>
      </x:c>
      <x:c r="G32" s="46" t="str">
        <x:v>Esters</x:v>
      </x:c>
      <x:c r="H32" s="46" t="str">
        <x:v>Methyl nonanoate</x:v>
      </x:c>
      <x:c r="I32" s="46" t="str">
        <x:v>1731-84-6</x:v>
      </x:c>
      <x:c r="J32" s="46" t="n">
        <x:v>1223</x:v>
      </x:c>
      <x:c r="K32" s="46" t="n">
        <x:v>1225</x:v>
      </x:c>
      <x:c r="L32" s="46" t="str">
        <x:v>NIST 2014 MS + in-house authentic-compound library + Kovats LRI</x:v>
      </x:c>
      <x:c r="M32" s="46"/>
      <x:c r="N32" s="46"/>
      <x:c r="O32" s="46" t="str">
        <x:v>numeric_match_factor_unreported</x:v>
      </x:c>
      <x:c r="P32" s="46" t="n">
        <x:v>3.59</x:v>
      </x:c>
      <x:c r="Q32" s="46" t="n">
        <x:v>0.44</x:v>
      </x:c>
      <x:c r="R32" s="46" t="n">
        <x:v>0.32</x:v>
      </x:c>
      <x:c r="S32" s="46" t="n">
        <x:v>0.28</x:v>
      </x:c>
      <x:c r="T32" s="46" t="n">
        <x:v>0.19</x:v>
      </x:c>
      <x:c r="U32" s="46" t="n">
        <x:v>0.19</x:v>
      </x:c>
      <x:c r="V32" s="46" t="str">
        <x:v>&lt;0.01</x:v>
      </x:c>
      <x:c r="W32" s="46" t="str">
        <x:v>relative abundance (% total VOC); zero = source-reported not detected</x:v>
      </x:c>
      <x:c r="X32" s="46" t="str">
        <x:v>full detected table; raw and five grilled internal-temperature states</x:v>
      </x:c>
      <x:c r="Y32" s="23"/>
      <x:c r="Z32" s="23"/>
    </x:row>
    <x:row r="33" ht="26.399999618530273" hidden="0" customHeight="1">
      <x:c r="A33" s="46" t="str">
        <x:v>BDM-MOR-032</x:v>
      </x:c>
      <x:c r="B33" s="46" t="str">
        <x:v>beef:muscle</x:v>
      </x:c>
      <x:c r="C33" s="46" t="str">
        <x:v>beef</x:v>
      </x:c>
      <x:c r="D33" s="46" t="str">
        <x:v>Longissimus lumborum</x:v>
      </x:c>
      <x:c r="E33" s="46" t="str">
        <x:v>raw→grilled doneness series</x:v>
      </x:c>
      <x:c r="F33" s="46" t="str">
        <x:v>SRC-BEEF-GRILL-TEMP-001</x:v>
      </x:c>
      <x:c r="G33" s="46" t="str">
        <x:v>Esters</x:v>
      </x:c>
      <x:c r="H33" s="46" t="str">
        <x:v>Methyl decanoate</x:v>
      </x:c>
      <x:c r="I33" s="46" t="str">
        <x:v>110-42-9</x:v>
      </x:c>
      <x:c r="J33" s="46" t="n">
        <x:v>1324</x:v>
      </x:c>
      <x:c r="K33" s="46" t="n">
        <x:v>1322</x:v>
      </x:c>
      <x:c r="L33" s="46" t="str">
        <x:v>NIST 2014 MS + in-house authentic-compound library + Kovats LRI</x:v>
      </x:c>
      <x:c r="M33" s="46"/>
      <x:c r="N33" s="46"/>
      <x:c r="O33" s="46" t="str">
        <x:v>numeric_match_factor_unreported</x:v>
      </x:c>
      <x:c r="P33" s="46" t="n">
        <x:v>4.25</x:v>
      </x:c>
      <x:c r="Q33" s="46" t="n">
        <x:v>0.85</x:v>
      </x:c>
      <x:c r="R33" s="46" t="n">
        <x:v>0.86</x:v>
      </x:c>
      <x:c r="S33" s="46" t="n">
        <x:v>0.18</x:v>
      </x:c>
      <x:c r="T33" s="46" t="n">
        <x:v>0.41</x:v>
      </x:c>
      <x:c r="U33" s="46" t="n">
        <x:v>0.37</x:v>
      </x:c>
      <x:c r="V33" s="46" t="str">
        <x:v>&lt;0.01</x:v>
      </x:c>
      <x:c r="W33" s="46" t="str">
        <x:v>relative abundance (% total VOC); zero = source-reported not detected</x:v>
      </x:c>
      <x:c r="X33" s="46" t="str">
        <x:v>full detected table; raw and five grilled internal-temperature states</x:v>
      </x:c>
      <x:c r="Y33" s="23"/>
      <x:c r="Z33" s="23"/>
    </x:row>
    <x:row r="34" ht="26.399999618530273" hidden="0" customHeight="1">
      <x:c r="A34" s="46" t="str">
        <x:v>BDM-MOR-033</x:v>
      </x:c>
      <x:c r="B34" s="46" t="str">
        <x:v>beef:muscle</x:v>
      </x:c>
      <x:c r="C34" s="46" t="str">
        <x:v>beef</x:v>
      </x:c>
      <x:c r="D34" s="46" t="str">
        <x:v>Longissimus lumborum</x:v>
      </x:c>
      <x:c r="E34" s="46" t="str">
        <x:v>raw→grilled doneness series</x:v>
      </x:c>
      <x:c r="F34" s="46" t="str">
        <x:v>SRC-BEEF-GRILL-TEMP-001</x:v>
      </x:c>
      <x:c r="G34" s="46" t="str">
        <x:v>Esters</x:v>
      </x:c>
      <x:c r="H34" s="46" t="str">
        <x:v>Methyl azelaaldehydate</x:v>
      </x:c>
      <x:c r="I34" s="46" t="str">
        <x:v>1931-63-1</x:v>
      </x:c>
      <x:c r="J34" s="46" t="n">
        <x:v>1434</x:v>
      </x:c>
      <x:c r="K34" s="46" t="n">
        <x:v>1439</x:v>
      </x:c>
      <x:c r="L34" s="46" t="str">
        <x:v>NIST 2014 MS + in-house authentic-compound library + Kovats LRI</x:v>
      </x:c>
      <x:c r="M34" s="46"/>
      <x:c r="N34" s="46"/>
      <x:c r="O34" s="46" t="str">
        <x:v>numeric_match_factor_unreported</x:v>
      </x:c>
      <x:c r="P34" s="46" t="n">
        <x:v>0.04</x:v>
      </x:c>
      <x:c r="Q34" s="46" t="n">
        <x:v>0.35</x:v>
      </x:c>
      <x:c r="R34" s="46" t="n">
        <x:v>0.27</x:v>
      </x:c>
      <x:c r="S34" s="46" t="n">
        <x:v>0.11</x:v>
      </x:c>
      <x:c r="T34" s="46" t="n">
        <x:v>0.06</x:v>
      </x:c>
      <x:c r="U34" s="46" t="n">
        <x:v>0.04</x:v>
      </x:c>
      <x:c r="V34" s="46" t="str">
        <x:v>&lt;0.01</x:v>
      </x:c>
      <x:c r="W34" s="46" t="str">
        <x:v>relative abundance (% total VOC); zero = source-reported not detected</x:v>
      </x:c>
      <x:c r="X34" s="46" t="str">
        <x:v>full detected table; raw and five grilled internal-temperature states</x:v>
      </x:c>
      <x:c r="Y34" s="23"/>
      <x:c r="Z34" s="23"/>
    </x:row>
    <x:row r="35" ht="26.399999618530273" hidden="0" customHeight="1">
      <x:c r="A35" s="46" t="str">
        <x:v>BDM-MOR-034</x:v>
      </x:c>
      <x:c r="B35" s="46" t="str">
        <x:v>beef:muscle</x:v>
      </x:c>
      <x:c r="C35" s="46" t="str">
        <x:v>beef</x:v>
      </x:c>
      <x:c r="D35" s="46" t="str">
        <x:v>Longissimus lumborum</x:v>
      </x:c>
      <x:c r="E35" s="46" t="str">
        <x:v>raw→grilled doneness series</x:v>
      </x:c>
      <x:c r="F35" s="46" t="str">
        <x:v>SRC-BEEF-GRILL-TEMP-001</x:v>
      </x:c>
      <x:c r="G35" s="46" t="str">
        <x:v>Esters</x:v>
      </x:c>
      <x:c r="H35" s="46" t="str">
        <x:v>Methyl dodecanoate</x:v>
      </x:c>
      <x:c r="I35" s="46" t="str">
        <x:v>111-82-0</x:v>
      </x:c>
      <x:c r="J35" s="46" t="n">
        <x:v>1524</x:v>
      </x:c>
      <x:c r="K35" s="46" t="n">
        <x:v>1522</x:v>
      </x:c>
      <x:c r="L35" s="46" t="str">
        <x:v>NIST 2014 MS + in-house authentic-compound library + Kovats LRI</x:v>
      </x:c>
      <x:c r="M35" s="46"/>
      <x:c r="N35" s="46"/>
      <x:c r="O35" s="46" t="str">
        <x:v>numeric_match_factor_unreported</x:v>
      </x:c>
      <x:c r="P35" s="46" t="n">
        <x:v>1.25</x:v>
      </x:c>
      <x:c r="Q35" s="46" t="n">
        <x:v>0.28</x:v>
      </x:c>
      <x:c r="R35" s="46" t="n">
        <x:v>0.22</x:v>
      </x:c>
      <x:c r="S35" s="46" t="n">
        <x:v>0.12</x:v>
      </x:c>
      <x:c r="T35" s="46" t="n">
        <x:v>0.12</x:v>
      </x:c>
      <x:c r="U35" s="46" t="n">
        <x:v>0.08</x:v>
      </x:c>
      <x:c r="V35" s="46" t="str">
        <x:v>&lt;0.01</x:v>
      </x:c>
      <x:c r="W35" s="46" t="str">
        <x:v>relative abundance (% total VOC); zero = source-reported not detected</x:v>
      </x:c>
      <x:c r="X35" s="46" t="str">
        <x:v>full detected table; raw and five grilled internal-temperature states</x:v>
      </x:c>
      <x:c r="Y35" s="23"/>
      <x:c r="Z35" s="23"/>
    </x:row>
    <x:row r="36" ht="26.399999618530273" hidden="0" customHeight="1">
      <x:c r="A36" s="46" t="str">
        <x:v>BDM-MOR-035</x:v>
      </x:c>
      <x:c r="B36" s="46" t="str">
        <x:v>beef:muscle</x:v>
      </x:c>
      <x:c r="C36" s="46" t="str">
        <x:v>beef</x:v>
      </x:c>
      <x:c r="D36" s="46" t="str">
        <x:v>Longissimus lumborum</x:v>
      </x:c>
      <x:c r="E36" s="46" t="str">
        <x:v>raw→grilled doneness series</x:v>
      </x:c>
      <x:c r="F36" s="46" t="str">
        <x:v>SRC-BEEF-GRILL-TEMP-001</x:v>
      </x:c>
      <x:c r="G36" s="46" t="str">
        <x:v>Esters</x:v>
      </x:c>
      <x:c r="H36" s="46" t="str">
        <x:v>Methyl myristoleate</x:v>
      </x:c>
      <x:c r="I36" s="46" t="str">
        <x:v>56219-06-8</x:v>
      </x:c>
      <x:c r="J36" s="46" t="n">
        <x:v>1714</x:v>
      </x:c>
      <x:c r="K36" s="46" t="n">
        <x:v>1715</x:v>
      </x:c>
      <x:c r="L36" s="46" t="str">
        <x:v>NIST 2014 MS + in-house authentic-compound library + Kovats LRI</x:v>
      </x:c>
      <x:c r="M36" s="46"/>
      <x:c r="N36" s="46"/>
      <x:c r="O36" s="46" t="str">
        <x:v>numeric_match_factor_unreported</x:v>
      </x:c>
      <x:c r="P36" s="46" t="n">
        <x:v>1.82</x:v>
      </x:c>
      <x:c r="Q36" s="46" t="n">
        <x:v>0</x:v>
      </x:c>
      <x:c r="R36" s="46" t="n">
        <x:v>0</x:v>
      </x:c>
      <x:c r="S36" s="46" t="n">
        <x:v>0</x:v>
      </x:c>
      <x:c r="T36" s="46" t="n">
        <x:v>0</x:v>
      </x:c>
      <x:c r="U36" s="46" t="n">
        <x:v>0</x:v>
      </x:c>
      <x:c r="V36" s="46" t="str">
        <x:v>&lt;0.01</x:v>
      </x:c>
      <x:c r="W36" s="46" t="str">
        <x:v>relative abundance (% total VOC); zero = source-reported not detected</x:v>
      </x:c>
      <x:c r="X36" s="46" t="str">
        <x:v>full detected table; raw and five grilled internal-temperature states</x:v>
      </x:c>
      <x:c r="Y36" s="23"/>
      <x:c r="Z36" s="23"/>
    </x:row>
    <x:row r="37" ht="26.399999618530273" hidden="0" customHeight="1">
      <x:c r="A37" s="46" t="str">
        <x:v>BDM-MOR-036</x:v>
      </x:c>
      <x:c r="B37" s="46" t="str">
        <x:v>beef:muscle</x:v>
      </x:c>
      <x:c r="C37" s="46" t="str">
        <x:v>beef</x:v>
      </x:c>
      <x:c r="D37" s="46" t="str">
        <x:v>Longissimus lumborum</x:v>
      </x:c>
      <x:c r="E37" s="46" t="str">
        <x:v>raw→grilled doneness series</x:v>
      </x:c>
      <x:c r="F37" s="46" t="str">
        <x:v>SRC-BEEF-GRILL-TEMP-001</x:v>
      </x:c>
      <x:c r="G37" s="46" t="str">
        <x:v>Esters</x:v>
      </x:c>
      <x:c r="H37" s="46" t="str">
        <x:v>Methyl tetradecanoate</x:v>
      </x:c>
      <x:c r="I37" s="46" t="str">
        <x:v>124-10-7</x:v>
      </x:c>
      <x:c r="J37" s="46" t="n">
        <x:v>1726</x:v>
      </x:c>
      <x:c r="K37" s="46" t="n">
        <x:v>1724</x:v>
      </x:c>
      <x:c r="L37" s="46" t="str">
        <x:v>NIST 2014 MS + in-house authentic-compound library + Kovats LRI</x:v>
      </x:c>
      <x:c r="M37" s="46"/>
      <x:c r="N37" s="46"/>
      <x:c r="O37" s="46" t="str">
        <x:v>numeric_match_factor_unreported</x:v>
      </x:c>
      <x:c r="P37" s="46" t="n">
        <x:v>10.01</x:v>
      </x:c>
      <x:c r="Q37" s="46" t="n">
        <x:v>3.21</x:v>
      </x:c>
      <x:c r="R37" s="46" t="n">
        <x:v>2.72</x:v>
      </x:c>
      <x:c r="S37" s="46" t="n">
        <x:v>1.17</x:v>
      </x:c>
      <x:c r="T37" s="46" t="n">
        <x:v>1.14</x:v>
      </x:c>
      <x:c r="U37" s="46" t="n">
        <x:v>0.79</x:v>
      </x:c>
      <x:c r="V37" s="46" t="str">
        <x:v>&lt;0.01</x:v>
      </x:c>
      <x:c r="W37" s="46" t="str">
        <x:v>relative abundance (% total VOC); zero = source-reported not detected</x:v>
      </x:c>
      <x:c r="X37" s="46" t="str">
        <x:v>full detected table; raw and five grilled internal-temperature states</x:v>
      </x:c>
      <x:c r="Y37" s="23"/>
      <x:c r="Z37" s="23"/>
    </x:row>
    <x:row r="38" ht="26.399999618530273" hidden="0" customHeight="1">
      <x:c r="A38" s="46" t="str">
        <x:v>BDM-MOR-037</x:v>
      </x:c>
      <x:c r="B38" s="46" t="str">
        <x:v>beef:muscle</x:v>
      </x:c>
      <x:c r="C38" s="46" t="str">
        <x:v>beef</x:v>
      </x:c>
      <x:c r="D38" s="46" t="str">
        <x:v>Longissimus lumborum</x:v>
      </x:c>
      <x:c r="E38" s="46" t="str">
        <x:v>raw→grilled doneness series</x:v>
      </x:c>
      <x:c r="F38" s="46" t="str">
        <x:v>SRC-BEEF-GRILL-TEMP-001</x:v>
      </x:c>
      <x:c r="G38" s="46" t="str">
        <x:v>Esters</x:v>
      </x:c>
      <x:c r="H38" s="46" t="str">
        <x:v>Methyl pentadecanoate</x:v>
      </x:c>
      <x:c r="I38" s="46" t="str">
        <x:v>7132-64-1</x:v>
      </x:c>
      <x:c r="J38" s="46" t="n">
        <x:v>1826</x:v>
      </x:c>
      <x:c r="K38" s="46" t="n">
        <x:v>1820</x:v>
      </x:c>
      <x:c r="L38" s="46" t="str">
        <x:v>NIST 2014 MS + in-house authentic-compound library + Kovats LRI</x:v>
      </x:c>
      <x:c r="M38" s="46"/>
      <x:c r="N38" s="46"/>
      <x:c r="O38" s="46" t="str">
        <x:v>numeric_match_factor_unreported</x:v>
      </x:c>
      <x:c r="P38" s="46" t="n">
        <x:v>1.93</x:v>
      </x:c>
      <x:c r="Q38" s="46" t="n">
        <x:v>0.74</x:v>
      </x:c>
      <x:c r="R38" s="46" t="n">
        <x:v>0.72</x:v>
      </x:c>
      <x:c r="S38" s="46" t="n">
        <x:v>0.47</x:v>
      </x:c>
      <x:c r="T38" s="46" t="n">
        <x:v>0.52</x:v>
      </x:c>
      <x:c r="U38" s="46" t="n">
        <x:v>0.29</x:v>
      </x:c>
      <x:c r="V38" s="46" t="str">
        <x:v>&lt;0.01</x:v>
      </x:c>
      <x:c r="W38" s="46" t="str">
        <x:v>relative abundance (% total VOC); zero = source-reported not detected</x:v>
      </x:c>
      <x:c r="X38" s="46" t="str">
        <x:v>full detected table; raw and five grilled internal-temperature states</x:v>
      </x:c>
      <x:c r="Y38" s="23"/>
      <x:c r="Z38" s="23"/>
    </x:row>
    <x:row r="39" ht="26.399999618530273" hidden="0" customHeight="1">
      <x:c r="A39" s="46" t="str">
        <x:v>BDM-MOR-038</x:v>
      </x:c>
      <x:c r="B39" s="46" t="str">
        <x:v>beef:muscle</x:v>
      </x:c>
      <x:c r="C39" s="46" t="str">
        <x:v>beef</x:v>
      </x:c>
      <x:c r="D39" s="46" t="str">
        <x:v>Longissimus lumborum</x:v>
      </x:c>
      <x:c r="E39" s="46" t="str">
        <x:v>raw→grilled doneness series</x:v>
      </x:c>
      <x:c r="F39" s="46" t="str">
        <x:v>SRC-BEEF-GRILL-TEMP-001</x:v>
      </x:c>
      <x:c r="G39" s="46" t="str">
        <x:v>Esters</x:v>
      </x:c>
      <x:c r="H39" s="46" t="str">
        <x:v>Methyl palmitoleate</x:v>
      </x:c>
      <x:c r="I39" s="46" t="str">
        <x:v>1120-25-8</x:v>
      </x:c>
      <x:c r="J39" s="46" t="n">
        <x:v>1907</x:v>
      </x:c>
      <x:c r="K39" s="46" t="n">
        <x:v>1899</x:v>
      </x:c>
      <x:c r="L39" s="46" t="str">
        <x:v>NIST 2014 MS + in-house authentic-compound library + Kovats LRI</x:v>
      </x:c>
      <x:c r="M39" s="46"/>
      <x:c r="N39" s="46"/>
      <x:c r="O39" s="46" t="str">
        <x:v>numeric_match_factor_unreported</x:v>
      </x:c>
      <x:c r="P39" s="46" t="n">
        <x:v>3.82</x:v>
      </x:c>
      <x:c r="Q39" s="46" t="n">
        <x:v>1.44</x:v>
      </x:c>
      <x:c r="R39" s="46" t="n">
        <x:v>1.22</x:v>
      </x:c>
      <x:c r="S39" s="46" t="n">
        <x:v>0.93</x:v>
      </x:c>
      <x:c r="T39" s="46" t="n">
        <x:v>0.77</x:v>
      </x:c>
      <x:c r="U39" s="46" t="n">
        <x:v>0.79</x:v>
      </x:c>
      <x:c r="V39" s="46" t="str">
        <x:v>&lt;0.01</x:v>
      </x:c>
      <x:c r="W39" s="46" t="str">
        <x:v>relative abundance (% total VOC); zero = source-reported not detected</x:v>
      </x:c>
      <x:c r="X39" s="46" t="str">
        <x:v>full detected table; raw and five grilled internal-temperature states</x:v>
      </x:c>
      <x:c r="Y39" s="23"/>
      <x:c r="Z39" s="23"/>
    </x:row>
    <x:row r="40" ht="26.399999618530273" hidden="0" customHeight="1">
      <x:c r="A40" s="46" t="str">
        <x:v>BDM-MOR-039</x:v>
      </x:c>
      <x:c r="B40" s="46" t="str">
        <x:v>beef:muscle</x:v>
      </x:c>
      <x:c r="C40" s="46" t="str">
        <x:v>beef</x:v>
      </x:c>
      <x:c r="D40" s="46" t="str">
        <x:v>Longissimus lumborum</x:v>
      </x:c>
      <x:c r="E40" s="46" t="str">
        <x:v>raw→grilled doneness series</x:v>
      </x:c>
      <x:c r="F40" s="46" t="str">
        <x:v>SRC-BEEF-GRILL-TEMP-001</x:v>
      </x:c>
      <x:c r="G40" s="46" t="str">
        <x:v>Esters</x:v>
      </x:c>
      <x:c r="H40" s="46" t="str">
        <x:v>Methyl hexadecanoate</x:v>
      </x:c>
      <x:c r="I40" s="46" t="str">
        <x:v>112-39-0</x:v>
      </x:c>
      <x:c r="J40" s="46" t="n">
        <x:v>1927</x:v>
      </x:c>
      <x:c r="K40" s="46" t="n">
        <x:v>1927</x:v>
      </x:c>
      <x:c r="L40" s="46" t="str">
        <x:v>NIST 2014 MS + in-house authentic-compound library + Kovats LRI</x:v>
      </x:c>
      <x:c r="M40" s="46"/>
      <x:c r="N40" s="46"/>
      <x:c r="O40" s="46" t="str">
        <x:v>numeric_match_factor_unreported</x:v>
      </x:c>
      <x:c r="P40" s="46" t="n">
        <x:v>16.48</x:v>
      </x:c>
      <x:c r="Q40" s="46" t="n">
        <x:v>10.75</x:v>
      </x:c>
      <x:c r="R40" s="46" t="n">
        <x:v>10.52</x:v>
      </x:c>
      <x:c r="S40" s="46" t="n">
        <x:v>7.87</x:v>
      </x:c>
      <x:c r="T40" s="46" t="n">
        <x:v>6.7</x:v>
      </x:c>
      <x:c r="U40" s="46" t="n">
        <x:v>5.27</x:v>
      </x:c>
      <x:c r="V40" s="46" t="str">
        <x:v>&lt;0.01</x:v>
      </x:c>
      <x:c r="W40" s="46" t="str">
        <x:v>relative abundance (% total VOC); zero = source-reported not detected</x:v>
      </x:c>
      <x:c r="X40" s="46" t="str">
        <x:v>full detected table; raw and five grilled internal-temperature states</x:v>
      </x:c>
      <x:c r="Y40" s="23"/>
      <x:c r="Z40" s="23"/>
    </x:row>
    <x:row r="41" ht="26.399999618530273" hidden="0" customHeight="1">
      <x:c r="A41" s="46" t="str">
        <x:v>BDM-MOR-040</x:v>
      </x:c>
      <x:c r="B41" s="46" t="str">
        <x:v>beef:muscle</x:v>
      </x:c>
      <x:c r="C41" s="46" t="str">
        <x:v>beef</x:v>
      </x:c>
      <x:c r="D41" s="46" t="str">
        <x:v>Longissimus lumborum</x:v>
      </x:c>
      <x:c r="E41" s="46" t="str">
        <x:v>raw→grilled doneness series</x:v>
      </x:c>
      <x:c r="F41" s="46" t="str">
        <x:v>SRC-BEEF-GRILL-TEMP-001</x:v>
      </x:c>
      <x:c r="G41" s="46" t="str">
        <x:v>Alkanes</x:v>
      </x:c>
      <x:c r="H41" s="46" t="str">
        <x:v>Octane</x:v>
      </x:c>
      <x:c r="I41" s="46" t="str">
        <x:v>111-65-9</x:v>
      </x:c>
      <x:c r="J41" s="46" t="n">
        <x:v>802</x:v>
      </x:c>
      <x:c r="K41" s="46" t="n">
        <x:v>801</x:v>
      </x:c>
      <x:c r="L41" s="46" t="str">
        <x:v>NIST 2014 MS + in-house authentic-compound library + Kovats LRI</x:v>
      </x:c>
      <x:c r="M41" s="46"/>
      <x:c r="N41" s="46"/>
      <x:c r="O41" s="46" t="str">
        <x:v>numeric_match_factor_unreported</x:v>
      </x:c>
      <x:c r="P41" s="46" t="n">
        <x:v>0</x:v>
      </x:c>
      <x:c r="Q41" s="46" t="n">
        <x:v>1.37</x:v>
      </x:c>
      <x:c r="R41" s="46" t="n">
        <x:v>1.45</x:v>
      </x:c>
      <x:c r="S41" s="46" t="n">
        <x:v>2.26</x:v>
      </x:c>
      <x:c r="T41" s="46" t="n">
        <x:v>2.3</x:v>
      </x:c>
      <x:c r="U41" s="46" t="n">
        <x:v>1.62</x:v>
      </x:c>
      <x:c r="V41" s="46" t="str">
        <x:v>&lt;0.01</x:v>
      </x:c>
      <x:c r="W41" s="46" t="str">
        <x:v>relative abundance (% total VOC); zero = source-reported not detected</x:v>
      </x:c>
      <x:c r="X41" s="46" t="str">
        <x:v>full detected table; raw and five grilled internal-temperature states</x:v>
      </x:c>
      <x:c r="Y41" s="23"/>
      <x:c r="Z41" s="23"/>
    </x:row>
    <x:row r="42" ht="26.399999618530273" hidden="0" customHeight="1">
      <x:c r="A42" s="46" t="str">
        <x:v>BDM-MOR-041</x:v>
      </x:c>
      <x:c r="B42" s="46" t="str">
        <x:v>beef:muscle</x:v>
      </x:c>
      <x:c r="C42" s="46" t="str">
        <x:v>beef</x:v>
      </x:c>
      <x:c r="D42" s="46" t="str">
        <x:v>Longissimus lumborum</x:v>
      </x:c>
      <x:c r="E42" s="46" t="str">
        <x:v>raw→grilled doneness series</x:v>
      </x:c>
      <x:c r="F42" s="46" t="str">
        <x:v>SRC-BEEF-GRILL-TEMP-001</x:v>
      </x:c>
      <x:c r="G42" s="46" t="str">
        <x:v>Alkanes</x:v>
      </x:c>
      <x:c r="H42" s="46" t="str">
        <x:v>Pentane</x:v>
      </x:c>
      <x:c r="I42" s="46" t="str">
        <x:v>109-66-0</x:v>
      </x:c>
      <x:c r="J42" s="46" t="n">
        <x:v>502</x:v>
      </x:c>
      <x:c r="K42" s="46" t="n">
        <x:v>500</x:v>
      </x:c>
      <x:c r="L42" s="46" t="str">
        <x:v>NIST 2014 MS + in-house authentic-compound library + Kovats LRI</x:v>
      </x:c>
      <x:c r="M42" s="46"/>
      <x:c r="N42" s="46"/>
      <x:c r="O42" s="46" t="str">
        <x:v>numeric_match_factor_unreported</x:v>
      </x:c>
      <x:c r="P42" s="46" t="n">
        <x:v>0.19</x:v>
      </x:c>
      <x:c r="Q42" s="46" t="n">
        <x:v>0.39</x:v>
      </x:c>
      <x:c r="R42" s="46" t="n">
        <x:v>0.32</x:v>
      </x:c>
      <x:c r="S42" s="46" t="n">
        <x:v>0.43</x:v>
      </x:c>
      <x:c r="T42" s="46" t="n">
        <x:v>0.43</x:v>
      </x:c>
      <x:c r="U42" s="46" t="n">
        <x:v>0.38</x:v>
      </x:c>
      <x:c r="V42" s="46" t="str">
        <x:v>&lt;0.01</x:v>
      </x:c>
      <x:c r="W42" s="46" t="str">
        <x:v>relative abundance (% total VOC); zero = source-reported not detected</x:v>
      </x:c>
      <x:c r="X42" s="46" t="str">
        <x:v>full detected table; raw and five grilled internal-temperature states</x:v>
      </x:c>
      <x:c r="Y42" s="23"/>
      <x:c r="Z42" s="23"/>
    </x:row>
    <x:row r="43" ht="26.399999618530273" hidden="0" customHeight="1">
      <x:c r="A43" s="46" t="str">
        <x:v>BDM-MOR-042</x:v>
      </x:c>
      <x:c r="B43" s="46" t="str">
        <x:v>beef:muscle</x:v>
      </x:c>
      <x:c r="C43" s="46" t="str">
        <x:v>beef</x:v>
      </x:c>
      <x:c r="D43" s="46" t="str">
        <x:v>Longissimus lumborum</x:v>
      </x:c>
      <x:c r="E43" s="46" t="str">
        <x:v>raw→grilled doneness series</x:v>
      </x:c>
      <x:c r="F43" s="46" t="str">
        <x:v>SRC-BEEF-GRILL-TEMP-001</x:v>
      </x:c>
      <x:c r="G43" s="46" t="str">
        <x:v>Alkanes</x:v>
      </x:c>
      <x:c r="H43" s="46" t="str">
        <x:v>Hexane</x:v>
      </x:c>
      <x:c r="I43" s="46" t="str">
        <x:v>110-54-3</x:v>
      </x:c>
      <x:c r="J43" s="46" t="n">
        <x:v>602</x:v>
      </x:c>
      <x:c r="K43" s="46" t="n">
        <x:v>600</x:v>
      </x:c>
      <x:c r="L43" s="46" t="str">
        <x:v>NIST 2014 MS + in-house authentic-compound library + Kovats LRI</x:v>
      </x:c>
      <x:c r="M43" s="46"/>
      <x:c r="N43" s="46"/>
      <x:c r="O43" s="46" t="str">
        <x:v>numeric_match_factor_unreported</x:v>
      </x:c>
      <x:c r="P43" s="46" t="n">
        <x:v>0.2</x:v>
      </x:c>
      <x:c r="Q43" s="46" t="n">
        <x:v>0.67</x:v>
      </x:c>
      <x:c r="R43" s="46" t="n">
        <x:v>0.48</x:v>
      </x:c>
      <x:c r="S43" s="46" t="n">
        <x:v>0.72</x:v>
      </x:c>
      <x:c r="T43" s="46" t="n">
        <x:v>0.73</x:v>
      </x:c>
      <x:c r="U43" s="46" t="n">
        <x:v>0.67</x:v>
      </x:c>
      <x:c r="V43" s="46" t="str">
        <x:v>ns</x:v>
      </x:c>
      <x:c r="W43" s="46" t="str">
        <x:v>relative abundance (% total VOC); zero = source-reported not detected</x:v>
      </x:c>
      <x:c r="X43" s="46" t="str">
        <x:v>full detected table; raw and five grilled internal-temperature states</x:v>
      </x:c>
      <x:c r="Y43" s="23"/>
      <x:c r="Z43" s="23"/>
    </x:row>
    <x:row r="44" ht="26.399999618530273" hidden="0" customHeight="1">
      <x:c r="A44" s="46" t="str">
        <x:v>BDM-MOR-043</x:v>
      </x:c>
      <x:c r="B44" s="46" t="str">
        <x:v>beef:muscle</x:v>
      </x:c>
      <x:c r="C44" s="46" t="str">
        <x:v>beef</x:v>
      </x:c>
      <x:c r="D44" s="46" t="str">
        <x:v>Longissimus lumborum</x:v>
      </x:c>
      <x:c r="E44" s="46" t="str">
        <x:v>raw→grilled doneness series</x:v>
      </x:c>
      <x:c r="F44" s="46" t="str">
        <x:v>SRC-BEEF-GRILL-TEMP-001</x:v>
      </x:c>
      <x:c r="G44" s="46" t="str">
        <x:v>Alkanes</x:v>
      </x:c>
      <x:c r="H44" s="46" t="str">
        <x:v>Heptane</x:v>
      </x:c>
      <x:c r="I44" s="46" t="str">
        <x:v>142-82-5</x:v>
      </x:c>
      <x:c r="J44" s="46" t="n">
        <x:v>701</x:v>
      </x:c>
      <x:c r="K44" s="46" t="n">
        <x:v>700</x:v>
      </x:c>
      <x:c r="L44" s="46" t="str">
        <x:v>NIST 2014 MS + in-house authentic-compound library + Kovats LRI</x:v>
      </x:c>
      <x:c r="M44" s="46"/>
      <x:c r="N44" s="46"/>
      <x:c r="O44" s="46" t="str">
        <x:v>numeric_match_factor_unreported</x:v>
      </x:c>
      <x:c r="P44" s="46" t="n">
        <x:v>3.32</x:v>
      </x:c>
      <x:c r="Q44" s="46" t="n">
        <x:v>2.73</x:v>
      </x:c>
      <x:c r="R44" s="46" t="n">
        <x:v>2.06</x:v>
      </x:c>
      <x:c r="S44" s="46" t="n">
        <x:v>2.99</x:v>
      </x:c>
      <x:c r="T44" s="46" t="n">
        <x:v>3.41</x:v>
      </x:c>
      <x:c r="U44" s="46" t="n">
        <x:v>3.38</x:v>
      </x:c>
      <x:c r="V44" s="46" t="str">
        <x:v>&lt;0.01</x:v>
      </x:c>
      <x:c r="W44" s="46" t="str">
        <x:v>relative abundance (% total VOC); zero = source-reported not detected</x:v>
      </x:c>
      <x:c r="X44" s="46" t="str">
        <x:v>full detected table; raw and five grilled internal-temperature states</x:v>
      </x:c>
      <x:c r="Y44" s="23"/>
      <x:c r="Z44" s="23"/>
    </x:row>
    <x:row r="45" ht="26.399999618530273" hidden="0" customHeight="1">
      <x:c r="A45" s="46" t="str">
        <x:v>BDM-MOR-044</x:v>
      </x:c>
      <x:c r="B45" s="46" t="str">
        <x:v>beef:muscle</x:v>
      </x:c>
      <x:c r="C45" s="46" t="str">
        <x:v>beef</x:v>
      </x:c>
      <x:c r="D45" s="46" t="str">
        <x:v>Longissimus lumborum</x:v>
      </x:c>
      <x:c r="E45" s="46" t="str">
        <x:v>raw→grilled doneness series</x:v>
      </x:c>
      <x:c r="F45" s="46" t="str">
        <x:v>SRC-BEEF-GRILL-TEMP-001</x:v>
      </x:c>
      <x:c r="G45" s="46" t="str">
        <x:v>Alkanes</x:v>
      </x:c>
      <x:c r="H45" s="46" t="str">
        <x:v>Undecane</x:v>
      </x:c>
      <x:c r="I45" s="46" t="str">
        <x:v>1120-21-4</x:v>
      </x:c>
      <x:c r="J45" s="46" t="n">
        <x:v>1101</x:v>
      </x:c>
      <x:c r="K45" s="46" t="n">
        <x:v>1100</x:v>
      </x:c>
      <x:c r="L45" s="46" t="str">
        <x:v>NIST 2014 MS + in-house authentic-compound library + Kovats LRI</x:v>
      </x:c>
      <x:c r="M45" s="46"/>
      <x:c r="N45" s="46"/>
      <x:c r="O45" s="46" t="str">
        <x:v>numeric_match_factor_unreported</x:v>
      </x:c>
      <x:c r="P45" s="46" t="n">
        <x:v>0.25</x:v>
      </x:c>
      <x:c r="Q45" s="46" t="n">
        <x:v>0.17</x:v>
      </x:c>
      <x:c r="R45" s="46" t="n">
        <x:v>0.13</x:v>
      </x:c>
      <x:c r="S45" s="46" t="n">
        <x:v>0.3</x:v>
      </x:c>
      <x:c r="T45" s="46" t="n">
        <x:v>0.21</x:v>
      </x:c>
      <x:c r="U45" s="46" t="n">
        <x:v>0.24</x:v>
      </x:c>
      <x:c r="V45" s="46" t="str">
        <x:v>ns</x:v>
      </x:c>
      <x:c r="W45" s="46" t="str">
        <x:v>relative abundance (% total VOC); zero = source-reported not detected</x:v>
      </x:c>
      <x:c r="X45" s="46" t="str">
        <x:v>full detected table; raw and five grilled internal-temperature states</x:v>
      </x:c>
      <x:c r="Y45" s="23"/>
      <x:c r="Z45" s="23"/>
    </x:row>
    <x:row r="46" ht="26.399999618530273" hidden="0" customHeight="1">
      <x:c r="A46" s="46" t="str">
        <x:v>BDM-MOR-045</x:v>
      </x:c>
      <x:c r="B46" s="46" t="str">
        <x:v>beef:muscle</x:v>
      </x:c>
      <x:c r="C46" s="46" t="str">
        <x:v>beef</x:v>
      </x:c>
      <x:c r="D46" s="46" t="str">
        <x:v>Longissimus lumborum</x:v>
      </x:c>
      <x:c r="E46" s="46" t="str">
        <x:v>raw→grilled doneness series</x:v>
      </x:c>
      <x:c r="F46" s="46" t="str">
        <x:v>SRC-BEEF-GRILL-TEMP-001</x:v>
      </x:c>
      <x:c r="G46" s="46" t="str">
        <x:v>Alkanes</x:v>
      </x:c>
      <x:c r="H46" s="46" t="str">
        <x:v>Tridecane</x:v>
      </x:c>
      <x:c r="I46" s="46" t="str">
        <x:v>629-50-5</x:v>
      </x:c>
      <x:c r="J46" s="46" t="n">
        <x:v>1302</x:v>
      </x:c>
      <x:c r="K46" s="46" t="n">
        <x:v>1300</x:v>
      </x:c>
      <x:c r="L46" s="46" t="str">
        <x:v>NIST 2014 MS + in-house authentic-compound library + Kovats LRI</x:v>
      </x:c>
      <x:c r="M46" s="46"/>
      <x:c r="N46" s="46"/>
      <x:c r="O46" s="46" t="str">
        <x:v>numeric_match_factor_unreported</x:v>
      </x:c>
      <x:c r="P46" s="46" t="n">
        <x:v>0.13</x:v>
      </x:c>
      <x:c r="Q46" s="46" t="n">
        <x:v>0.22</x:v>
      </x:c>
      <x:c r="R46" s="46" t="n">
        <x:v>0.23</x:v>
      </x:c>
      <x:c r="S46" s="46" t="n">
        <x:v>0.28</x:v>
      </x:c>
      <x:c r="T46" s="46" t="n">
        <x:v>0.25</x:v>
      </x:c>
      <x:c r="U46" s="46" t="n">
        <x:v>0.27</x:v>
      </x:c>
      <x:c r="V46" s="46" t="str">
        <x:v>ns</x:v>
      </x:c>
      <x:c r="W46" s="46" t="str">
        <x:v>relative abundance (% total VOC); zero = source-reported not detected</x:v>
      </x:c>
      <x:c r="X46" s="46" t="str">
        <x:v>full detected table; raw and five grilled internal-temperature states</x:v>
      </x:c>
      <x:c r="Y46" s="23"/>
      <x:c r="Z46" s="23"/>
    </x:row>
    <x:row r="47" ht="26.399999618530273" hidden="0" customHeight="1">
      <x:c r="A47" s="46" t="str">
        <x:v>BDM-MOR-046</x:v>
      </x:c>
      <x:c r="B47" s="46" t="str">
        <x:v>beef:muscle</x:v>
      </x:c>
      <x:c r="C47" s="46" t="str">
        <x:v>beef</x:v>
      </x:c>
      <x:c r="D47" s="46" t="str">
        <x:v>Longissimus lumborum</x:v>
      </x:c>
      <x:c r="E47" s="46" t="str">
        <x:v>raw→grilled doneness series</x:v>
      </x:c>
      <x:c r="F47" s="46" t="str">
        <x:v>SRC-BEEF-GRILL-TEMP-001</x:v>
      </x:c>
      <x:c r="G47" s="46" t="str">
        <x:v>Alkanes</x:v>
      </x:c>
      <x:c r="H47" s="46" t="str">
        <x:v>Tetradecane</x:v>
      </x:c>
      <x:c r="I47" s="46" t="str">
        <x:v>629-59-4</x:v>
      </x:c>
      <x:c r="J47" s="46" t="n">
        <x:v>1402</x:v>
      </x:c>
      <x:c r="K47" s="46" t="n">
        <x:v>1400</x:v>
      </x:c>
      <x:c r="L47" s="46" t="str">
        <x:v>NIST 2014 MS + in-house authentic-compound library + Kovats LRI</x:v>
      </x:c>
      <x:c r="M47" s="46"/>
      <x:c r="N47" s="46"/>
      <x:c r="O47" s="46" t="str">
        <x:v>numeric_match_factor_unreported</x:v>
      </x:c>
      <x:c r="P47" s="46" t="n">
        <x:v>0.16</x:v>
      </x:c>
      <x:c r="Q47" s="46" t="n">
        <x:v>0.33</x:v>
      </x:c>
      <x:c r="R47" s="46" t="n">
        <x:v>0.32</x:v>
      </x:c>
      <x:c r="S47" s="46" t="n">
        <x:v>0.37</x:v>
      </x:c>
      <x:c r="T47" s="46" t="n">
        <x:v>0.4</x:v>
      </x:c>
      <x:c r="U47" s="46" t="n">
        <x:v>0.39</x:v>
      </x:c>
      <x:c r="V47" s="46" t="str">
        <x:v>ns</x:v>
      </x:c>
      <x:c r="W47" s="46" t="str">
        <x:v>relative abundance (% total VOC); zero = source-reported not detected</x:v>
      </x:c>
      <x:c r="X47" s="46" t="str">
        <x:v>full detected table; raw and five grilled internal-temperature states</x:v>
      </x:c>
      <x:c r="Y47" s="23"/>
      <x:c r="Z47" s="23"/>
    </x:row>
    <x:row r="48" ht="26.399999618530273" hidden="0" customHeight="1">
      <x:c r="A48" s="46" t="str">
        <x:v>BDM-MOR-047</x:v>
      </x:c>
      <x:c r="B48" s="46" t="str">
        <x:v>beef:muscle</x:v>
      </x:c>
      <x:c r="C48" s="46" t="str">
        <x:v>beef</x:v>
      </x:c>
      <x:c r="D48" s="46" t="str">
        <x:v>Longissimus lumborum</x:v>
      </x:c>
      <x:c r="E48" s="46" t="str">
        <x:v>raw→grilled doneness series</x:v>
      </x:c>
      <x:c r="F48" s="46" t="str">
        <x:v>SRC-BEEF-GRILL-TEMP-001</x:v>
      </x:c>
      <x:c r="G48" s="46" t="str">
        <x:v>Alkanes</x:v>
      </x:c>
      <x:c r="H48" s="46" t="str">
        <x:v>Pentadecane</x:v>
      </x:c>
      <x:c r="I48" s="46" t="str">
        <x:v>629-62-9</x:v>
      </x:c>
      <x:c r="J48" s="46" t="n">
        <x:v>1502</x:v>
      </x:c>
      <x:c r="K48" s="46" t="n">
        <x:v>1500</x:v>
      </x:c>
      <x:c r="L48" s="46" t="str">
        <x:v>NIST 2014 MS + in-house authentic-compound library + Kovats LRI</x:v>
      </x:c>
      <x:c r="M48" s="46"/>
      <x:c r="N48" s="46"/>
      <x:c r="O48" s="46" t="str">
        <x:v>numeric_match_factor_unreported</x:v>
      </x:c>
      <x:c r="P48" s="46" t="n">
        <x:v>0.33</x:v>
      </x:c>
      <x:c r="Q48" s="46" t="n">
        <x:v>0.46</x:v>
      </x:c>
      <x:c r="R48" s="46" t="n">
        <x:v>0.53</x:v>
      </x:c>
      <x:c r="S48" s="46" t="n">
        <x:v>0.54</x:v>
      </x:c>
      <x:c r="T48" s="46" t="n">
        <x:v>0.6</x:v>
      </x:c>
      <x:c r="U48" s="46" t="n">
        <x:v>0.64</x:v>
      </x:c>
      <x:c r="V48" s="46" t="str">
        <x:v>ns</x:v>
      </x:c>
      <x:c r="W48" s="46" t="str">
        <x:v>relative abundance (% total VOC); zero = source-reported not detected</x:v>
      </x:c>
      <x:c r="X48" s="46" t="str">
        <x:v>full detected table; raw and five grilled internal-temperature states</x:v>
      </x:c>
      <x:c r="Y48" s="23"/>
      <x:c r="Z48" s="23"/>
    </x:row>
    <x:row r="49" ht="26.399999618530273" hidden="0" customHeight="1">
      <x:c r="A49" s="46" t="str">
        <x:v>BDM-MOR-048</x:v>
      </x:c>
      <x:c r="B49" s="46" t="str">
        <x:v>beef:muscle</x:v>
      </x:c>
      <x:c r="C49" s="46" t="str">
        <x:v>beef</x:v>
      </x:c>
      <x:c r="D49" s="46" t="str">
        <x:v>Longissimus lumborum</x:v>
      </x:c>
      <x:c r="E49" s="46" t="str">
        <x:v>raw→grilled doneness series</x:v>
      </x:c>
      <x:c r="F49" s="46" t="str">
        <x:v>SRC-BEEF-GRILL-TEMP-001</x:v>
      </x:c>
      <x:c r="G49" s="46" t="str">
        <x:v>Alkanes</x:v>
      </x:c>
      <x:c r="H49" s="46" t="str">
        <x:v>Hexadecane</x:v>
      </x:c>
      <x:c r="I49" s="46" t="str">
        <x:v>544-76-3</x:v>
      </x:c>
      <x:c r="J49" s="46" t="n">
        <x:v>1601</x:v>
      </x:c>
      <x:c r="K49" s="46" t="n">
        <x:v>1600</x:v>
      </x:c>
      <x:c r="L49" s="46" t="str">
        <x:v>NIST 2014 MS + in-house authentic-compound library + Kovats LRI</x:v>
      </x:c>
      <x:c r="M49" s="46"/>
      <x:c r="N49" s="46"/>
      <x:c r="O49" s="46" t="str">
        <x:v>numeric_match_factor_unreported</x:v>
      </x:c>
      <x:c r="P49" s="46" t="n">
        <x:v>0.24</x:v>
      </x:c>
      <x:c r="Q49" s="46" t="n">
        <x:v>0.35</x:v>
      </x:c>
      <x:c r="R49" s="46" t="n">
        <x:v>0.32</x:v>
      </x:c>
      <x:c r="S49" s="46" t="n">
        <x:v>0.33</x:v>
      </x:c>
      <x:c r="T49" s="46" t="n">
        <x:v>0.47</x:v>
      </x:c>
      <x:c r="U49" s="46" t="n">
        <x:v>0.47</x:v>
      </x:c>
      <x:c r="V49" s="46" t="str">
        <x:v>ns</x:v>
      </x:c>
      <x:c r="W49" s="46" t="str">
        <x:v>relative abundance (% total VOC); zero = source-reported not detected</x:v>
      </x:c>
      <x:c r="X49" s="46" t="str">
        <x:v>full detected table; raw and five grilled internal-temperature states</x:v>
      </x:c>
      <x:c r="Y49" s="23"/>
      <x:c r="Z49" s="23"/>
    </x:row>
    <x:row r="50" ht="26.399999618530273" hidden="0" customHeight="1">
      <x:c r="A50" s="46" t="str">
        <x:v>BDM-MOR-049</x:v>
      </x:c>
      <x:c r="B50" s="46" t="str">
        <x:v>beef:muscle</x:v>
      </x:c>
      <x:c r="C50" s="46" t="str">
        <x:v>beef</x:v>
      </x:c>
      <x:c r="D50" s="46" t="str">
        <x:v>Longissimus lumborum</x:v>
      </x:c>
      <x:c r="E50" s="46" t="str">
        <x:v>raw→grilled doneness series</x:v>
      </x:c>
      <x:c r="F50" s="46" t="str">
        <x:v>SRC-BEEF-GRILL-TEMP-001</x:v>
      </x:c>
      <x:c r="G50" s="46" t="str">
        <x:v>Alkanes</x:v>
      </x:c>
      <x:c r="H50" s="46" t="str">
        <x:v>5-Phenyl undecane</x:v>
      </x:c>
      <x:c r="I50" s="46" t="str">
        <x:v>4537-15-9</x:v>
      </x:c>
      <x:c r="J50" s="46" t="n">
        <x:v>1640</x:v>
      </x:c>
      <x:c r="K50" s="46" t="n">
        <x:v>1632</x:v>
      </x:c>
      <x:c r="L50" s="46" t="str">
        <x:v>NIST 2014 MS + in-house authentic-compound library + Kovats LRI</x:v>
      </x:c>
      <x:c r="M50" s="46"/>
      <x:c r="N50" s="46"/>
      <x:c r="O50" s="46" t="str">
        <x:v>numeric_match_factor_unreported</x:v>
      </x:c>
      <x:c r="P50" s="46" t="n">
        <x:v>0.08</x:v>
      </x:c>
      <x:c r="Q50" s="46" t="n">
        <x:v>0.1</x:v>
      </x:c>
      <x:c r="R50" s="46" t="n">
        <x:v>0.09</x:v>
      </x:c>
      <x:c r="S50" s="46" t="n">
        <x:v>0.07</x:v>
      </x:c>
      <x:c r="T50" s="46" t="n">
        <x:v>0.13</x:v>
      </x:c>
      <x:c r="U50" s="46" t="n">
        <x:v>0.13</x:v>
      </x:c>
      <x:c r="V50" s="46" t="str">
        <x:v>ns</x:v>
      </x:c>
      <x:c r="W50" s="46" t="str">
        <x:v>relative abundance (% total VOC); zero = source-reported not detected</x:v>
      </x:c>
      <x:c r="X50" s="46" t="str">
        <x:v>full detected table; raw and five grilled internal-temperature states</x:v>
      </x:c>
      <x:c r="Y50" s="23"/>
      <x:c r="Z50" s="23"/>
    </x:row>
    <x:row r="51" ht="26.399999618530273" hidden="0" customHeight="1">
      <x:c r="A51" s="46" t="str">
        <x:v>BDM-MOR-050</x:v>
      </x:c>
      <x:c r="B51" s="46" t="str">
        <x:v>beef:muscle</x:v>
      </x:c>
      <x:c r="C51" s="46" t="str">
        <x:v>beef</x:v>
      </x:c>
      <x:c r="D51" s="46" t="str">
        <x:v>Longissimus lumborum</x:v>
      </x:c>
      <x:c r="E51" s="46" t="str">
        <x:v>raw→grilled doneness series</x:v>
      </x:c>
      <x:c r="F51" s="46" t="str">
        <x:v>SRC-BEEF-GRILL-TEMP-001</x:v>
      </x:c>
      <x:c r="G51" s="46" t="str">
        <x:v>Alkanes</x:v>
      </x:c>
      <x:c r="H51" s="46" t="str">
        <x:v>4-Phenyl undecane</x:v>
      </x:c>
      <x:c r="I51" s="46" t="str">
        <x:v>4536-86-1</x:v>
      </x:c>
      <x:c r="J51" s="46" t="n">
        <x:v>1652</x:v>
      </x:c>
      <x:c r="K51" s="46" t="n">
        <x:v>1643</x:v>
      </x:c>
      <x:c r="L51" s="46" t="str">
        <x:v>NIST 2014 MS + in-house authentic-compound library + Kovats LRI</x:v>
      </x:c>
      <x:c r="M51" s="46"/>
      <x:c r="N51" s="46"/>
      <x:c r="O51" s="46" t="str">
        <x:v>numeric_match_factor_unreported</x:v>
      </x:c>
      <x:c r="P51" s="46" t="n">
        <x:v>0.04</x:v>
      </x:c>
      <x:c r="Q51" s="46" t="n">
        <x:v>0.09</x:v>
      </x:c>
      <x:c r="R51" s="46" t="n">
        <x:v>0.07</x:v>
      </x:c>
      <x:c r="S51" s="46" t="n">
        <x:v>0.05</x:v>
      </x:c>
      <x:c r="T51" s="46" t="n">
        <x:v>0.12</x:v>
      </x:c>
      <x:c r="U51" s="46" t="n">
        <x:v>0.11</x:v>
      </x:c>
      <x:c r="V51" s="46" t="str">
        <x:v>ns</x:v>
      </x:c>
      <x:c r="W51" s="46" t="str">
        <x:v>relative abundance (% total VOC); zero = source-reported not detected</x:v>
      </x:c>
      <x:c r="X51" s="46" t="str">
        <x:v>full detected table; raw and five grilled internal-temperature states</x:v>
      </x:c>
      <x:c r="Y51" s="23"/>
      <x:c r="Z51" s="23"/>
    </x:row>
    <x:row r="52" ht="26.399999618530273" hidden="0" customHeight="1">
      <x:c r="A52" s="46" t="str">
        <x:v>BDM-MOR-051</x:v>
      </x:c>
      <x:c r="B52" s="46" t="str">
        <x:v>beef:muscle</x:v>
      </x:c>
      <x:c r="C52" s="46" t="str">
        <x:v>beef</x:v>
      </x:c>
      <x:c r="D52" s="46" t="str">
        <x:v>Longissimus lumborum</x:v>
      </x:c>
      <x:c r="E52" s="46" t="str">
        <x:v>raw→grilled doneness series</x:v>
      </x:c>
      <x:c r="F52" s="46" t="str">
        <x:v>SRC-BEEF-GRILL-TEMP-001</x:v>
      </x:c>
      <x:c r="G52" s="46" t="str">
        <x:v>Alkanes</x:v>
      </x:c>
      <x:c r="H52" s="46" t="str">
        <x:v>Heptadecane</x:v>
      </x:c>
      <x:c r="I52" s="46" t="str">
        <x:v>629-78-7</x:v>
      </x:c>
      <x:c r="J52" s="46" t="n">
        <x:v>1701</x:v>
      </x:c>
      <x:c r="K52" s="46" t="n">
        <x:v>1700</x:v>
      </x:c>
      <x:c r="L52" s="46" t="str">
        <x:v>NIST 2014 MS + in-house authentic-compound library + Kovats LRI</x:v>
      </x:c>
      <x:c r="M52" s="46"/>
      <x:c r="N52" s="46"/>
      <x:c r="O52" s="46" t="str">
        <x:v>numeric_match_factor_unreported</x:v>
      </x:c>
      <x:c r="P52" s="46" t="n">
        <x:v>0.63</x:v>
      </x:c>
      <x:c r="Q52" s="46" t="n">
        <x:v>0.69</x:v>
      </x:c>
      <x:c r="R52" s="46" t="n">
        <x:v>0.71</x:v>
      </x:c>
      <x:c r="S52" s="46" t="n">
        <x:v>0.7</x:v>
      </x:c>
      <x:c r="T52" s="46" t="n">
        <x:v>1.05</x:v>
      </x:c>
      <x:c r="U52" s="46" t="n">
        <x:v>1.09</x:v>
      </x:c>
      <x:c r="V52" s="46" t="str">
        <x:v>ns</x:v>
      </x:c>
      <x:c r="W52" s="46" t="str">
        <x:v>relative abundance (% total VOC); zero = source-reported not detected</x:v>
      </x:c>
      <x:c r="X52" s="46" t="str">
        <x:v>full detected table; raw and five grilled internal-temperature states</x:v>
      </x:c>
      <x:c r="Y52" s="23"/>
      <x:c r="Z52" s="23"/>
    </x:row>
    <x:row r="53" ht="26.399999618530273" hidden="0" customHeight="1">
      <x:c r="A53" s="46" t="str">
        <x:v>BDM-MOR-052</x:v>
      </x:c>
      <x:c r="B53" s="46" t="str">
        <x:v>beef:muscle</x:v>
      </x:c>
      <x:c r="C53" s="46" t="str">
        <x:v>beef</x:v>
      </x:c>
      <x:c r="D53" s="46" t="str">
        <x:v>Longissimus lumborum</x:v>
      </x:c>
      <x:c r="E53" s="46" t="str">
        <x:v>raw→grilled doneness series</x:v>
      </x:c>
      <x:c r="F53" s="46" t="str">
        <x:v>SRC-BEEF-GRILL-TEMP-001</x:v>
      </x:c>
      <x:c r="G53" s="46" t="str">
        <x:v>Alkanes</x:v>
      </x:c>
      <x:c r="H53" s="46" t="str">
        <x:v>6-Phenyl dodecane</x:v>
      </x:c>
      <x:c r="I53" s="46" t="str">
        <x:v>2719-62-2</x:v>
      </x:c>
      <x:c r="J53" s="46" t="n">
        <x:v>1735</x:v>
      </x:c>
      <x:c r="K53" s="46" t="n">
        <x:v>1726</x:v>
      </x:c>
      <x:c r="L53" s="46" t="str">
        <x:v>NIST 2014 MS + in-house authentic-compound library + Kovats LRI</x:v>
      </x:c>
      <x:c r="M53" s="46"/>
      <x:c r="N53" s="46"/>
      <x:c r="O53" s="46" t="str">
        <x:v>numeric_match_factor_unreported</x:v>
      </x:c>
      <x:c r="P53" s="46" t="n">
        <x:v>0.03</x:v>
      </x:c>
      <x:c r="Q53" s="46" t="n">
        <x:v>0.03</x:v>
      </x:c>
      <x:c r="R53" s="46" t="n">
        <x:v>0.04</x:v>
      </x:c>
      <x:c r="S53" s="46" t="n">
        <x:v>0.03</x:v>
      </x:c>
      <x:c r="T53" s="46" t="n">
        <x:v>0.06</x:v>
      </x:c>
      <x:c r="U53" s="46" t="n">
        <x:v>0.06</x:v>
      </x:c>
      <x:c r="V53" s="46" t="str">
        <x:v>ns</x:v>
      </x:c>
      <x:c r="W53" s="46" t="str">
        <x:v>relative abundance (% total VOC); zero = source-reported not detected</x:v>
      </x:c>
      <x:c r="X53" s="46" t="str">
        <x:v>full detected table; raw and five grilled internal-temperature states</x:v>
      </x:c>
      <x:c r="Y53" s="23"/>
      <x:c r="Z53" s="23"/>
    </x:row>
    <x:row r="54" ht="26.399999618530273" hidden="0" customHeight="1">
      <x:c r="A54" s="46" t="str">
        <x:v>BDM-MOR-053</x:v>
      </x:c>
      <x:c r="B54" s="46" t="str">
        <x:v>beef:muscle</x:v>
      </x:c>
      <x:c r="C54" s="46" t="str">
        <x:v>beef</x:v>
      </x:c>
      <x:c r="D54" s="46" t="str">
        <x:v>Longissimus lumborum</x:v>
      </x:c>
      <x:c r="E54" s="46" t="str">
        <x:v>raw→grilled doneness series</x:v>
      </x:c>
      <x:c r="F54" s="46" t="str">
        <x:v>SRC-BEEF-GRILL-TEMP-001</x:v>
      </x:c>
      <x:c r="G54" s="46" t="str">
        <x:v>Alkanes</x:v>
      </x:c>
      <x:c r="H54" s="46" t="str">
        <x:v>3-Phenyl dodecane</x:v>
      </x:c>
      <x:c r="I54" s="46" t="str">
        <x:v>2400-00-2</x:v>
      </x:c>
      <x:c r="J54" s="46" t="n">
        <x:v>1779</x:v>
      </x:c>
      <x:c r="K54" s="46" t="n">
        <x:v>1766</x:v>
      </x:c>
      <x:c r="L54" s="46" t="str">
        <x:v>NIST 2014 MS + in-house authentic-compound library + Kovats LRI</x:v>
      </x:c>
      <x:c r="M54" s="46"/>
      <x:c r="N54" s="46"/>
      <x:c r="O54" s="46" t="str">
        <x:v>numeric_match_factor_unreported</x:v>
      </x:c>
      <x:c r="P54" s="46" t="n">
        <x:v>0.1</x:v>
      </x:c>
      <x:c r="Q54" s="46" t="n">
        <x:v>0.21</x:v>
      </x:c>
      <x:c r="R54" s="46" t="n">
        <x:v>0.1</x:v>
      </x:c>
      <x:c r="S54" s="46" t="n">
        <x:v>0.08</x:v>
      </x:c>
      <x:c r="T54" s="46" t="n">
        <x:v>0.14</x:v>
      </x:c>
      <x:c r="U54" s="46" t="n">
        <x:v>0.13</x:v>
      </x:c>
      <x:c r="V54" s="46" t="str">
        <x:v>ns</x:v>
      </x:c>
      <x:c r="W54" s="46" t="str">
        <x:v>relative abundance (% total VOC); zero = source-reported not detected</x:v>
      </x:c>
      <x:c r="X54" s="46" t="str">
        <x:v>full detected table; raw and five grilled internal-temperature states</x:v>
      </x:c>
      <x:c r="Y54" s="23"/>
      <x:c r="Z54" s="23"/>
    </x:row>
    <x:row r="55" ht="26.399999618530273" hidden="0" customHeight="1">
      <x:c r="A55" s="46" t="str">
        <x:v>BDM-MOR-054</x:v>
      </x:c>
      <x:c r="B55" s="46" t="str">
        <x:v>beef:muscle</x:v>
      </x:c>
      <x:c r="C55" s="46" t="str">
        <x:v>beef</x:v>
      </x:c>
      <x:c r="D55" s="46" t="str">
        <x:v>Longissimus lumborum</x:v>
      </x:c>
      <x:c r="E55" s="46" t="str">
        <x:v>raw→grilled doneness series</x:v>
      </x:c>
      <x:c r="F55" s="46" t="str">
        <x:v>SRC-BEEF-GRILL-TEMP-001</x:v>
      </x:c>
      <x:c r="G55" s="46" t="str">
        <x:v>Alkanes</x:v>
      </x:c>
      <x:c r="H55" s="46" t="str">
        <x:v>Octadecane</x:v>
      </x:c>
      <x:c r="I55" s="46" t="str">
        <x:v>593-45-3</x:v>
      </x:c>
      <x:c r="J55" s="46" t="n">
        <x:v>1799</x:v>
      </x:c>
      <x:c r="K55" s="46" t="n">
        <x:v>1810</x:v>
      </x:c>
      <x:c r="L55" s="46" t="str">
        <x:v>NIST 2014 MS + in-house authentic-compound library + Kovats LRI</x:v>
      </x:c>
      <x:c r="M55" s="46"/>
      <x:c r="N55" s="46"/>
      <x:c r="O55" s="46" t="str">
        <x:v>numeric_match_factor_unreported</x:v>
      </x:c>
      <x:c r="P55" s="46" t="n">
        <x:v>2.22</x:v>
      </x:c>
      <x:c r="Q55" s="46" t="n">
        <x:v>3.31</x:v>
      </x:c>
      <x:c r="R55" s="46" t="n">
        <x:v>0.89</x:v>
      </x:c>
      <x:c r="S55" s="46" t="n">
        <x:v>0.65</x:v>
      </x:c>
      <x:c r="T55" s="46" t="n">
        <x:v>1.77</x:v>
      </x:c>
      <x:c r="U55" s="46" t="n">
        <x:v>3.45</x:v>
      </x:c>
      <x:c r="V55" s="46" t="str">
        <x:v>ns</x:v>
      </x:c>
      <x:c r="W55" s="46" t="str">
        <x:v>relative abundance (% total VOC); zero = source-reported not detected</x:v>
      </x:c>
      <x:c r="X55" s="46" t="str">
        <x:v>full detected table; raw and five grilled internal-temperature states</x:v>
      </x:c>
      <x:c r="Y55" s="23"/>
      <x:c r="Z55" s="23"/>
    </x:row>
    <x:row r="56" ht="26.399999618530273" hidden="0" customHeight="1">
      <x:c r="A56" s="46" t="str">
        <x:v>BDM-MOR-055</x:v>
      </x:c>
      <x:c r="B56" s="46" t="str">
        <x:v>beef:muscle</x:v>
      </x:c>
      <x:c r="C56" s="46" t="str">
        <x:v>beef</x:v>
      </x:c>
      <x:c r="D56" s="46" t="str">
        <x:v>Longissimus lumborum</x:v>
      </x:c>
      <x:c r="E56" s="46" t="str">
        <x:v>raw→grilled doneness series</x:v>
      </x:c>
      <x:c r="F56" s="46" t="str">
        <x:v>SRC-BEEF-GRILL-TEMP-001</x:v>
      </x:c>
      <x:c r="G56" s="46" t="str">
        <x:v>Acids</x:v>
      </x:c>
      <x:c r="H56" s="46" t="str">
        <x:v>Acetic acid</x:v>
      </x:c>
      <x:c r="I56" s="46" t="str">
        <x:v>64-19-7</x:v>
      </x:c>
      <x:c r="J56" s="46" t="n">
        <x:v>577</x:v>
      </x:c>
      <x:c r="K56" s="46" t="n">
        <x:v>559</x:v>
      </x:c>
      <x:c r="L56" s="46" t="str">
        <x:v>NIST 2014 MS + in-house authentic-compound library + Kovats LRI</x:v>
      </x:c>
      <x:c r="M56" s="46"/>
      <x:c r="N56" s="46"/>
      <x:c r="O56" s="46" t="str">
        <x:v>numeric_match_factor_unreported</x:v>
      </x:c>
      <x:c r="P56" s="46" t="n">
        <x:v>1.44</x:v>
      </x:c>
      <x:c r="Q56" s="46" t="n">
        <x:v>1.51</x:v>
      </x:c>
      <x:c r="R56" s="46" t="n">
        <x:v>1.65</x:v>
      </x:c>
      <x:c r="S56" s="46" t="n">
        <x:v>1.37</x:v>
      </x:c>
      <x:c r="T56" s="46" t="n">
        <x:v>1.27</x:v>
      </x:c>
      <x:c r="U56" s="46" t="n">
        <x:v>1.38</x:v>
      </x:c>
      <x:c r="V56" s="46" t="str">
        <x:v>ns</x:v>
      </x:c>
      <x:c r="W56" s="46" t="str">
        <x:v>relative abundance (% total VOC); zero = source-reported not detected</x:v>
      </x:c>
      <x:c r="X56" s="46" t="str">
        <x:v>full detected table; raw and five grilled internal-temperature states</x:v>
      </x:c>
      <x:c r="Y56" s="23"/>
      <x:c r="Z56" s="23"/>
    </x:row>
    <x:row r="57" ht="26.399999618530273" hidden="0" customHeight="1">
      <x:c r="A57" s="46" t="str">
        <x:v>BDM-MOR-056</x:v>
      </x:c>
      <x:c r="B57" s="46" t="str">
        <x:v>beef:muscle</x:v>
      </x:c>
      <x:c r="C57" s="46" t="str">
        <x:v>beef</x:v>
      </x:c>
      <x:c r="D57" s="46" t="str">
        <x:v>Longissimus lumborum</x:v>
      </x:c>
      <x:c r="E57" s="46" t="str">
        <x:v>raw→grilled doneness series</x:v>
      </x:c>
      <x:c r="F57" s="46" t="str">
        <x:v>SRC-BEEF-GRILL-TEMP-001</x:v>
      </x:c>
      <x:c r="G57" s="46" t="str">
        <x:v>Acids</x:v>
      </x:c>
      <x:c r="H57" s="46" t="str">
        <x:v>Pentanoic acid</x:v>
      </x:c>
      <x:c r="I57" s="46" t="str">
        <x:v>109-52-4</x:v>
      </x:c>
      <x:c r="J57" s="46" t="n">
        <x:v>881</x:v>
      </x:c>
      <x:c r="K57" s="46" t="n">
        <x:v>868</x:v>
      </x:c>
      <x:c r="L57" s="46" t="str">
        <x:v>NIST 2014 MS + in-house authentic-compound library + Kovats LRI</x:v>
      </x:c>
      <x:c r="M57" s="46"/>
      <x:c r="N57" s="46"/>
      <x:c r="O57" s="46" t="str">
        <x:v>numeric_match_factor_unreported</x:v>
      </x:c>
      <x:c r="P57" s="46" t="n">
        <x:v>0.36</x:v>
      </x:c>
      <x:c r="Q57" s="46" t="n">
        <x:v>0.36</x:v>
      </x:c>
      <x:c r="R57" s="46" t="n">
        <x:v>0.43</x:v>
      </x:c>
      <x:c r="S57" s="46" t="n">
        <x:v>0.43</x:v>
      </x:c>
      <x:c r="T57" s="46" t="n">
        <x:v>0.46</x:v>
      </x:c>
      <x:c r="U57" s="46" t="n">
        <x:v>0.41</x:v>
      </x:c>
      <x:c r="V57" s="46" t="str">
        <x:v>ns</x:v>
      </x:c>
      <x:c r="W57" s="46" t="str">
        <x:v>relative abundance (% total VOC); zero = source-reported not detected</x:v>
      </x:c>
      <x:c r="X57" s="46" t="str">
        <x:v>full detected table; raw and five grilled internal-temperature states</x:v>
      </x:c>
      <x:c r="Y57" s="23"/>
      <x:c r="Z57" s="23"/>
    </x:row>
    <x:row r="58" ht="26.399999618530273" hidden="0" customHeight="1">
      <x:c r="A58" s="46" t="str">
        <x:v>BDM-MOR-057</x:v>
      </x:c>
      <x:c r="B58" s="46" t="str">
        <x:v>beef:muscle</x:v>
      </x:c>
      <x:c r="C58" s="46" t="str">
        <x:v>beef</x:v>
      </x:c>
      <x:c r="D58" s="46" t="str">
        <x:v>Longissimus lumborum</x:v>
      </x:c>
      <x:c r="E58" s="46" t="str">
        <x:v>raw→grilled doneness series</x:v>
      </x:c>
      <x:c r="F58" s="46" t="str">
        <x:v>SRC-BEEF-GRILL-TEMP-001</x:v>
      </x:c>
      <x:c r="G58" s="46" t="str">
        <x:v>Acids</x:v>
      </x:c>
      <x:c r="H58" s="46" t="str">
        <x:v>Hexanoic acid</x:v>
      </x:c>
      <x:c r="I58" s="46" t="str">
        <x:v>142-62-1</x:v>
      </x:c>
      <x:c r="J58" s="46" t="n">
        <x:v>968</x:v>
      </x:c>
      <x:c r="K58" s="46" t="n">
        <x:v>983</x:v>
      </x:c>
      <x:c r="L58" s="46" t="str">
        <x:v>NIST 2014 MS + in-house authentic-compound library + Kovats LRI</x:v>
      </x:c>
      <x:c r="M58" s="46"/>
      <x:c r="N58" s="46"/>
      <x:c r="O58" s="46" t="str">
        <x:v>numeric_match_factor_unreported</x:v>
      </x:c>
      <x:c r="P58" s="46" t="n">
        <x:v>0.62</x:v>
      </x:c>
      <x:c r="Q58" s="46" t="n">
        <x:v>0.49</x:v>
      </x:c>
      <x:c r="R58" s="46" t="n">
        <x:v>0.56</x:v>
      </x:c>
      <x:c r="S58" s="46" t="n">
        <x:v>0.54</x:v>
      </x:c>
      <x:c r="T58" s="46" t="n">
        <x:v>0.51</x:v>
      </x:c>
      <x:c r="U58" s="46" t="n">
        <x:v>0.61</x:v>
      </x:c>
      <x:c r="V58" s="46" t="str">
        <x:v>ns</x:v>
      </x:c>
      <x:c r="W58" s="46" t="str">
        <x:v>relative abundance (% total VOC); zero = source-reported not detected</x:v>
      </x:c>
      <x:c r="X58" s="46" t="str">
        <x:v>full detected table; raw and five grilled internal-temperature states</x:v>
      </x:c>
      <x:c r="Y58" s="23"/>
      <x:c r="Z58" s="23"/>
    </x:row>
    <x:row r="59" ht="26.399999618530273" hidden="0" customHeight="1">
      <x:c r="A59" s="46" t="str">
        <x:v>BDM-MOR-058</x:v>
      </x:c>
      <x:c r="B59" s="46" t="str">
        <x:v>beef:muscle</x:v>
      </x:c>
      <x:c r="C59" s="46" t="str">
        <x:v>beef</x:v>
      </x:c>
      <x:c r="D59" s="46" t="str">
        <x:v>Longissimus lumborum</x:v>
      </x:c>
      <x:c r="E59" s="46" t="str">
        <x:v>raw→grilled doneness series</x:v>
      </x:c>
      <x:c r="F59" s="46" t="str">
        <x:v>SRC-BEEF-GRILL-TEMP-001</x:v>
      </x:c>
      <x:c r="G59" s="46" t="str">
        <x:v>Acids</x:v>
      </x:c>
      <x:c r="H59" s="46" t="str">
        <x:v>Heptanoic acid</x:v>
      </x:c>
      <x:c r="I59" s="46" t="str">
        <x:v>111-14-8</x:v>
      </x:c>
      <x:c r="J59" s="46" t="n">
        <x:v>1066</x:v>
      </x:c>
      <x:c r="K59" s="46" t="n">
        <x:v>1080</x:v>
      </x:c>
      <x:c r="L59" s="46" t="str">
        <x:v>NIST 2014 MS + in-house authentic-compound library + Kovats LRI</x:v>
      </x:c>
      <x:c r="M59" s="46"/>
      <x:c r="N59" s="46"/>
      <x:c r="O59" s="46" t="str">
        <x:v>numeric_match_factor_unreported</x:v>
      </x:c>
      <x:c r="P59" s="46" t="n">
        <x:v>0.58</x:v>
      </x:c>
      <x:c r="Q59" s="46" t="n">
        <x:v>0.68</x:v>
      </x:c>
      <x:c r="R59" s="46" t="n">
        <x:v>0.8</x:v>
      </x:c>
      <x:c r="S59" s="46" t="n">
        <x:v>0.83</x:v>
      </x:c>
      <x:c r="T59" s="46" t="n">
        <x:v>0.96</x:v>
      </x:c>
      <x:c r="U59" s="46" t="n">
        <x:v>0.91</x:v>
      </x:c>
      <x:c r="V59" s="46" t="str">
        <x:v>ns</x:v>
      </x:c>
      <x:c r="W59" s="46" t="str">
        <x:v>relative abundance (% total VOC); zero = source-reported not detected</x:v>
      </x:c>
      <x:c r="X59" s="46" t="str">
        <x:v>full detected table; raw and five grilled internal-temperature states</x:v>
      </x:c>
      <x:c r="Y59" s="23"/>
      <x:c r="Z59" s="23"/>
    </x:row>
    <x:row r="60" ht="26.399999618530273" hidden="0" customHeight="1">
      <x:c r="A60" s="46" t="str">
        <x:v>BDM-MOR-059</x:v>
      </x:c>
      <x:c r="B60" s="46" t="str">
        <x:v>beef:muscle</x:v>
      </x:c>
      <x:c r="C60" s="46" t="str">
        <x:v>beef</x:v>
      </x:c>
      <x:c r="D60" s="46" t="str">
        <x:v>Longissimus lumborum</x:v>
      </x:c>
      <x:c r="E60" s="46" t="str">
        <x:v>raw→grilled doneness series</x:v>
      </x:c>
      <x:c r="F60" s="46" t="str">
        <x:v>SRC-BEEF-GRILL-TEMP-001</x:v>
      </x:c>
      <x:c r="G60" s="46" t="str">
        <x:v>Acids</x:v>
      </x:c>
      <x:c r="H60" s="46" t="str">
        <x:v>Octanoic acid</x:v>
      </x:c>
      <x:c r="I60" s="46" t="str">
        <x:v>124-07-2</x:v>
      </x:c>
      <x:c r="J60" s="46" t="n">
        <x:v>1164</x:v>
      </x:c>
      <x:c r="K60" s="46" t="n">
        <x:v>1160</x:v>
      </x:c>
      <x:c r="L60" s="46" t="str">
        <x:v>NIST 2014 MS + in-house authentic-compound library + Kovats LRI</x:v>
      </x:c>
      <x:c r="M60" s="46"/>
      <x:c r="N60" s="46"/>
      <x:c r="O60" s="46" t="str">
        <x:v>numeric_match_factor_unreported</x:v>
      </x:c>
      <x:c r="P60" s="46" t="n">
        <x:v>0.71</x:v>
      </x:c>
      <x:c r="Q60" s="46" t="n">
        <x:v>1.45</x:v>
      </x:c>
      <x:c r="R60" s="46" t="n">
        <x:v>1.27</x:v>
      </x:c>
      <x:c r="S60" s="46" t="n">
        <x:v>1.23</x:v>
      </x:c>
      <x:c r="T60" s="46" t="n">
        <x:v>0.95</x:v>
      </x:c>
      <x:c r="U60" s="46" t="n">
        <x:v>0.99</x:v>
      </x:c>
      <x:c r="V60" s="46" t="str">
        <x:v>ns</x:v>
      </x:c>
      <x:c r="W60" s="46" t="str">
        <x:v>relative abundance (% total VOC); zero = source-reported not detected</x:v>
      </x:c>
      <x:c r="X60" s="46" t="str">
        <x:v>full detected table; raw and five grilled internal-temperature states</x:v>
      </x:c>
      <x:c r="Y60" s="23"/>
      <x:c r="Z60" s="23"/>
    </x:row>
    <x:row r="61" ht="26.399999618530273" hidden="0" customHeight="1">
      <x:c r="A61" s="46" t="str">
        <x:v>BDM-MOR-060</x:v>
      </x:c>
      <x:c r="B61" s="46" t="str">
        <x:v>beef:muscle</x:v>
      </x:c>
      <x:c r="C61" s="46" t="str">
        <x:v>beef</x:v>
      </x:c>
      <x:c r="D61" s="46" t="str">
        <x:v>Longissimus lumborum</x:v>
      </x:c>
      <x:c r="E61" s="46" t="str">
        <x:v>raw→grilled doneness series</x:v>
      </x:c>
      <x:c r="F61" s="46" t="str">
        <x:v>SRC-BEEF-GRILL-TEMP-001</x:v>
      </x:c>
      <x:c r="G61" s="46" t="str">
        <x:v>Acids</x:v>
      </x:c>
      <x:c r="H61" s="46" t="str">
        <x:v>Nonanoic acid</x:v>
      </x:c>
      <x:c r="I61" s="46" t="str">
        <x:v>112-05-0</x:v>
      </x:c>
      <x:c r="J61" s="46" t="n">
        <x:v>1264</x:v>
      </x:c>
      <x:c r="K61" s="46" t="n">
        <x:v>1276</x:v>
      </x:c>
      <x:c r="L61" s="46" t="str">
        <x:v>NIST 2014 MS + in-house authentic-compound library + Kovats LRI</x:v>
      </x:c>
      <x:c r="M61" s="46"/>
      <x:c r="N61" s="46"/>
      <x:c r="O61" s="46" t="str">
        <x:v>numeric_match_factor_unreported</x:v>
      </x:c>
      <x:c r="P61" s="46" t="n">
        <x:v>1.85</x:v>
      </x:c>
      <x:c r="Q61" s="46" t="n">
        <x:v>1.97</x:v>
      </x:c>
      <x:c r="R61" s="46" t="n">
        <x:v>2.26</x:v>
      </x:c>
      <x:c r="S61" s="46" t="n">
        <x:v>2.33</x:v>
      </x:c>
      <x:c r="T61" s="46" t="n">
        <x:v>2.67</x:v>
      </x:c>
      <x:c r="U61" s="46" t="n">
        <x:v>2.74</x:v>
      </x:c>
      <x:c r="V61" s="46" t="str">
        <x:v>ns</x:v>
      </x:c>
      <x:c r="W61" s="46" t="str">
        <x:v>relative abundance (% total VOC); zero = source-reported not detected</x:v>
      </x:c>
      <x:c r="X61" s="46" t="str">
        <x:v>full detected table; raw and five grilled internal-temperature states</x:v>
      </x:c>
      <x:c r="Y61" s="23"/>
      <x:c r="Z61" s="23"/>
    </x:row>
    <x:row r="62" ht="26.399999618530273" hidden="0" customHeight="1">
      <x:c r="A62" s="46" t="str">
        <x:v>BDM-MOR-061</x:v>
      </x:c>
      <x:c r="B62" s="46" t="str">
        <x:v>beef:muscle</x:v>
      </x:c>
      <x:c r="C62" s="46" t="str">
        <x:v>beef</x:v>
      </x:c>
      <x:c r="D62" s="46" t="str">
        <x:v>Longissimus lumborum</x:v>
      </x:c>
      <x:c r="E62" s="46" t="str">
        <x:v>raw→grilled doneness series</x:v>
      </x:c>
      <x:c r="F62" s="46" t="str">
        <x:v>SRC-BEEF-GRILL-TEMP-001</x:v>
      </x:c>
      <x:c r="G62" s="46" t="str">
        <x:v>Acids</x:v>
      </x:c>
      <x:c r="H62" s="46" t="str">
        <x:v>Decanoic acid</x:v>
      </x:c>
      <x:c r="I62" s="46" t="str">
        <x:v>334-48-5</x:v>
      </x:c>
      <x:c r="J62" s="46" t="n">
        <x:v>1359</x:v>
      </x:c>
      <x:c r="K62" s="46" t="n">
        <x:v>1358</x:v>
      </x:c>
      <x:c r="L62" s="46" t="str">
        <x:v>NIST 2014 MS + in-house authentic-compound library + Kovats LRI</x:v>
      </x:c>
      <x:c r="M62" s="46"/>
      <x:c r="N62" s="46"/>
      <x:c r="O62" s="46" t="str">
        <x:v>numeric_match_factor_unreported</x:v>
      </x:c>
      <x:c r="P62" s="46" t="n">
        <x:v>0.95</x:v>
      </x:c>
      <x:c r="Q62" s="46" t="n">
        <x:v>1.03</x:v>
      </x:c>
      <x:c r="R62" s="46" t="n">
        <x:v>1.39</x:v>
      </x:c>
      <x:c r="S62" s="46" t="n">
        <x:v>1.24</x:v>
      </x:c>
      <x:c r="T62" s="46" t="n">
        <x:v>1.44</x:v>
      </x:c>
      <x:c r="U62" s="46" t="n">
        <x:v>1.33</x:v>
      </x:c>
      <x:c r="V62" s="46" t="str">
        <x:v>ns</x:v>
      </x:c>
      <x:c r="W62" s="46" t="str">
        <x:v>relative abundance (% total VOC); zero = source-reported not detected</x:v>
      </x:c>
      <x:c r="X62" s="46" t="str">
        <x:v>full detected table; raw and five grilled internal-temperature states</x:v>
      </x:c>
      <x:c r="Y62" s="23"/>
      <x:c r="Z62" s="23"/>
    </x:row>
    <x:row r="63" ht="26.399999618530273" hidden="0" customHeight="1">
      <x:c r="A63" s="46" t="str">
        <x:v>BDM-MOR-062</x:v>
      </x:c>
      <x:c r="B63" s="46" t="str">
        <x:v>beef:muscle</x:v>
      </x:c>
      <x:c r="C63" s="46" t="str">
        <x:v>beef</x:v>
      </x:c>
      <x:c r="D63" s="46" t="str">
        <x:v>Longissimus lumborum</x:v>
      </x:c>
      <x:c r="E63" s="46" t="str">
        <x:v>raw→grilled doneness series</x:v>
      </x:c>
      <x:c r="F63" s="46" t="str">
        <x:v>SRC-BEEF-GRILL-TEMP-001</x:v>
      </x:c>
      <x:c r="G63" s="46" t="str">
        <x:v>Acids</x:v>
      </x:c>
      <x:c r="H63" s="46" t="str">
        <x:v>Dodecanoic acid</x:v>
      </x:c>
      <x:c r="I63" s="46" t="str">
        <x:v>143-07-7</x:v>
      </x:c>
      <x:c r="J63" s="46" t="n">
        <x:v>1557</x:v>
      </x:c>
      <x:c r="K63" s="46" t="n">
        <x:v>1555</x:v>
      </x:c>
      <x:c r="L63" s="46" t="str">
        <x:v>NIST 2014 MS + in-house authentic-compound library + Kovats LRI</x:v>
      </x:c>
      <x:c r="M63" s="46"/>
      <x:c r="N63" s="46"/>
      <x:c r="O63" s="46" t="str">
        <x:v>numeric_match_factor_unreported</x:v>
      </x:c>
      <x:c r="P63" s="46" t="n">
        <x:v>0.52</x:v>
      </x:c>
      <x:c r="Q63" s="46" t="n">
        <x:v>0.58</x:v>
      </x:c>
      <x:c r="R63" s="46" t="n">
        <x:v>0.66</x:v>
      </x:c>
      <x:c r="S63" s="46" t="n">
        <x:v>0.62</x:v>
      </x:c>
      <x:c r="T63" s="46" t="n">
        <x:v>0.84</x:v>
      </x:c>
      <x:c r="U63" s="46" t="n">
        <x:v>0.73</x:v>
      </x:c>
      <x:c r="V63" s="46" t="str">
        <x:v>ns</x:v>
      </x:c>
      <x:c r="W63" s="46" t="str">
        <x:v>relative abundance (% total VOC); zero = source-reported not detected</x:v>
      </x:c>
      <x:c r="X63" s="46" t="str">
        <x:v>full detected table; raw and five grilled internal-temperature states</x:v>
      </x:c>
      <x:c r="Y63" s="23"/>
      <x:c r="Z63" s="23"/>
    </x:row>
    <x:row r="64" ht="26.399999618530273" hidden="0" customHeight="1">
      <x:c r="A64" s="46" t="str">
        <x:v>BDM-MOR-063</x:v>
      </x:c>
      <x:c r="B64" s="46" t="str">
        <x:v>beef:muscle</x:v>
      </x:c>
      <x:c r="C64" s="46" t="str">
        <x:v>beef</x:v>
      </x:c>
      <x:c r="D64" s="46" t="str">
        <x:v>Longissimus lumborum</x:v>
      </x:c>
      <x:c r="E64" s="46" t="str">
        <x:v>raw→grilled doneness series</x:v>
      </x:c>
      <x:c r="F64" s="46" t="str">
        <x:v>SRC-BEEF-GRILL-TEMP-001</x:v>
      </x:c>
      <x:c r="G64" s="46" t="str">
        <x:v>Acids</x:v>
      </x:c>
      <x:c r="H64" s="46" t="str">
        <x:v>Tetradecanoic acid</x:v>
      </x:c>
      <x:c r="I64" s="46" t="str">
        <x:v>544-63-8</x:v>
      </x:c>
      <x:c r="J64" s="46" t="n">
        <x:v>1757</x:v>
      </x:c>
      <x:c r="K64" s="46" t="n">
        <x:v>1760</x:v>
      </x:c>
      <x:c r="L64" s="46" t="str">
        <x:v>NIST 2014 MS + in-house authentic-compound library + Kovats LRI</x:v>
      </x:c>
      <x:c r="M64" s="46"/>
      <x:c r="N64" s="46"/>
      <x:c r="O64" s="46" t="str">
        <x:v>numeric_match_factor_unreported</x:v>
      </x:c>
      <x:c r="P64" s="46" t="n">
        <x:v>0.65</x:v>
      </x:c>
      <x:c r="Q64" s="46" t="n">
        <x:v>0.6</x:v>
      </x:c>
      <x:c r="R64" s="46" t="n">
        <x:v>0.82</x:v>
      </x:c>
      <x:c r="S64" s="46" t="n">
        <x:v>0.75</x:v>
      </x:c>
      <x:c r="T64" s="46" t="n">
        <x:v>1.21</x:v>
      </x:c>
      <x:c r="U64" s="46" t="n">
        <x:v>1.05</x:v>
      </x:c>
      <x:c r="V64" s="46" t="str">
        <x:v>ns</x:v>
      </x:c>
      <x:c r="W64" s="46" t="str">
        <x:v>relative abundance (% total VOC); zero = source-reported not detected</x:v>
      </x:c>
      <x:c r="X64" s="46" t="str">
        <x:v>full detected table; raw and five grilled internal-temperature states</x:v>
      </x:c>
      <x:c r="Y64" s="23"/>
      <x:c r="Z64" s="23"/>
    </x:row>
    <x:row r="65" ht="26.399999618530273" hidden="0" customHeight="1">
      <x:c r="A65" s="46" t="str">
        <x:v>BDM-MOR-064</x:v>
      </x:c>
      <x:c r="B65" s="46" t="str">
        <x:v>beef:muscle</x:v>
      </x:c>
      <x:c r="C65" s="46" t="str">
        <x:v>beef</x:v>
      </x:c>
      <x:c r="D65" s="46" t="str">
        <x:v>Longissimus lumborum</x:v>
      </x:c>
      <x:c r="E65" s="46" t="str">
        <x:v>raw→grilled doneness series</x:v>
      </x:c>
      <x:c r="F65" s="46" t="str">
        <x:v>SRC-BEEF-GRILL-TEMP-001</x:v>
      </x:c>
      <x:c r="G65" s="46" t="str">
        <x:v>Acids</x:v>
      </x:c>
      <x:c r="H65" s="46" t="str">
        <x:v>Hexadecanoic acid</x:v>
      </x:c>
      <x:c r="I65" s="46" t="str">
        <x:v>57-10-3</x:v>
      </x:c>
      <x:c r="J65" s="46" t="n">
        <x:v>1967</x:v>
      </x:c>
      <x:c r="K65" s="46" t="n">
        <x:v>1967</x:v>
      </x:c>
      <x:c r="L65" s="46" t="str">
        <x:v>NIST 2014 MS + in-house authentic-compound library + Kovats LRI</x:v>
      </x:c>
      <x:c r="M65" s="46"/>
      <x:c r="N65" s="46"/>
      <x:c r="O65" s="46" t="str">
        <x:v>numeric_match_factor_unreported</x:v>
      </x:c>
      <x:c r="P65" s="46" t="n">
        <x:v>3.42</x:v>
      </x:c>
      <x:c r="Q65" s="46" t="n">
        <x:v>3.34</x:v>
      </x:c>
      <x:c r="R65" s="46" t="n">
        <x:v>3.73</x:v>
      </x:c>
      <x:c r="S65" s="46" t="n">
        <x:v>4.09</x:v>
      </x:c>
      <x:c r="T65" s="46" t="n">
        <x:v>5.07</x:v>
      </x:c>
      <x:c r="U65" s="46" t="n">
        <x:v>5.37</x:v>
      </x:c>
      <x:c r="V65" s="46" t="str">
        <x:v>ns</x:v>
      </x:c>
      <x:c r="W65" s="46" t="str">
        <x:v>relative abundance (% total VOC); zero = source-reported not detected</x:v>
      </x:c>
      <x:c r="X65" s="46" t="str">
        <x:v>full detected table; raw and five grilled internal-temperature states</x:v>
      </x:c>
      <x:c r="Y65" s="23"/>
      <x:c r="Z65" s="23"/>
    </x:row>
    <x:row r="66" ht="26.399999618530273" hidden="0" customHeight="1">
      <x:c r="A66" s="46" t="str">
        <x:v>BDM-MOR-065</x:v>
      </x:c>
      <x:c r="B66" s="46" t="str">
        <x:v>beef:muscle</x:v>
      </x:c>
      <x:c r="C66" s="46" t="str">
        <x:v>beef</x:v>
      </x:c>
      <x:c r="D66" s="46" t="str">
        <x:v>Longissimus lumborum</x:v>
      </x:c>
      <x:c r="E66" s="46" t="str">
        <x:v>raw→grilled doneness series</x:v>
      </x:c>
      <x:c r="F66" s="46" t="str">
        <x:v>SRC-BEEF-GRILL-TEMP-001</x:v>
      </x:c>
      <x:c r="G66" s="46" t="str">
        <x:v>Benzenes</x:v>
      </x:c>
      <x:c r="H66" s="46" t="str">
        <x:v>Benzene</x:v>
      </x:c>
      <x:c r="I66" s="46" t="str">
        <x:v>71-43-2</x:v>
      </x:c>
      <x:c r="J66" s="46" t="n">
        <x:v>662</x:v>
      </x:c>
      <x:c r="K66" s="46" t="n">
        <x:v>669</x:v>
      </x:c>
      <x:c r="L66" s="46" t="str">
        <x:v>NIST 2014 MS + in-house authentic-compound library + Kovats LRI</x:v>
      </x:c>
      <x:c r="M66" s="46"/>
      <x:c r="N66" s="46"/>
      <x:c r="O66" s="46" t="str">
        <x:v>numeric_match_factor_unreported</x:v>
      </x:c>
      <x:c r="P66" s="46" t="n">
        <x:v>1.03</x:v>
      </x:c>
      <x:c r="Q66" s="46" t="n">
        <x:v>0.73</x:v>
      </x:c>
      <x:c r="R66" s="46" t="n">
        <x:v>1.15</x:v>
      </x:c>
      <x:c r="S66" s="46" t="n">
        <x:v>0.71</x:v>
      </x:c>
      <x:c r="T66" s="46" t="n">
        <x:v>0.43</x:v>
      </x:c>
      <x:c r="U66" s="46" t="n">
        <x:v>0.42</x:v>
      </x:c>
      <x:c r="V66" s="46" t="str">
        <x:v>ns</x:v>
      </x:c>
      <x:c r="W66" s="46" t="str">
        <x:v>relative abundance (% total VOC); zero = source-reported not detected</x:v>
      </x:c>
      <x:c r="X66" s="46" t="str">
        <x:v>full detected table; raw and five grilled internal-temperature states</x:v>
      </x:c>
      <x:c r="Y66" s="23"/>
      <x:c r="Z66" s="23"/>
    </x:row>
    <x:row r="67" ht="26.399999618530273" hidden="0" customHeight="1">
      <x:c r="A67" s="46" t="str">
        <x:v>BDM-MOR-066</x:v>
      </x:c>
      <x:c r="B67" s="46" t="str">
        <x:v>beef:muscle</x:v>
      </x:c>
      <x:c r="C67" s="46" t="str">
        <x:v>beef</x:v>
      </x:c>
      <x:c r="D67" s="46" t="str">
        <x:v>Longissimus lumborum</x:v>
      </x:c>
      <x:c r="E67" s="46" t="str">
        <x:v>raw→grilled doneness series</x:v>
      </x:c>
      <x:c r="F67" s="46" t="str">
        <x:v>SRC-BEEF-GRILL-TEMP-001</x:v>
      </x:c>
      <x:c r="G67" s="46" t="str">
        <x:v>Benzenes</x:v>
      </x:c>
      <x:c r="H67" s="46" t="str">
        <x:v>Toluene</x:v>
      </x:c>
      <x:c r="I67" s="46" t="str">
        <x:v>108-88-3</x:v>
      </x:c>
      <x:c r="J67" s="46" t="n">
        <x:v>770</x:v>
      </x:c>
      <x:c r="K67" s="46" t="n">
        <x:v>763</x:v>
      </x:c>
      <x:c r="L67" s="46" t="str">
        <x:v>NIST 2014 MS + in-house authentic-compound library + Kovats LRI</x:v>
      </x:c>
      <x:c r="M67" s="46"/>
      <x:c r="N67" s="46"/>
      <x:c r="O67" s="46" t="str">
        <x:v>numeric_match_factor_unreported</x:v>
      </x:c>
      <x:c r="P67" s="46" t="n">
        <x:v>0.54</x:v>
      </x:c>
      <x:c r="Q67" s="46" t="n">
        <x:v>0.37</x:v>
      </x:c>
      <x:c r="R67" s="46" t="n">
        <x:v>0.49</x:v>
      </x:c>
      <x:c r="S67" s="46" t="n">
        <x:v>0.51</x:v>
      </x:c>
      <x:c r="T67" s="46" t="n">
        <x:v>0.32</x:v>
      </x:c>
      <x:c r="U67" s="46" t="n">
        <x:v>0.32</x:v>
      </x:c>
      <x:c r="V67" s="46" t="str">
        <x:v>ns</x:v>
      </x:c>
      <x:c r="W67" s="46" t="str">
        <x:v>relative abundance (% total VOC); zero = source-reported not detected</x:v>
      </x:c>
      <x:c r="X67" s="46" t="str">
        <x:v>full detected table; raw and five grilled internal-temperature states</x:v>
      </x:c>
      <x:c r="Y67" s="23"/>
      <x:c r="Z67" s="23"/>
    </x:row>
    <x:row r="68" ht="26.399999618530273" hidden="0" customHeight="1">
      <x:c r="A68" s="46" t="str">
        <x:v>BDM-MOR-067</x:v>
      </x:c>
      <x:c r="B68" s="46" t="str">
        <x:v>beef:muscle</x:v>
      </x:c>
      <x:c r="C68" s="46" t="str">
        <x:v>beef</x:v>
      </x:c>
      <x:c r="D68" s="46" t="str">
        <x:v>Longissimus lumborum</x:v>
      </x:c>
      <x:c r="E68" s="46" t="str">
        <x:v>raw→grilled doneness series</x:v>
      </x:c>
      <x:c r="F68" s="46" t="str">
        <x:v>SRC-BEEF-GRILL-TEMP-001</x:v>
      </x:c>
      <x:c r="G68" s="46" t="str">
        <x:v>Benzenes</x:v>
      </x:c>
      <x:c r="H68" s="46" t="str">
        <x:v>Ethylbenzene</x:v>
      </x:c>
      <x:c r="I68" s="46" t="str">
        <x:v>100-41-4</x:v>
      </x:c>
      <x:c r="J68" s="46" t="n">
        <x:v>866</x:v>
      </x:c>
      <x:c r="K68" s="46" t="n">
        <x:v>867</x:v>
      </x:c>
      <x:c r="L68" s="46" t="str">
        <x:v>NIST 2014 MS + in-house authentic-compound library + Kovats LRI</x:v>
      </x:c>
      <x:c r="M68" s="46"/>
      <x:c r="N68" s="46"/>
      <x:c r="O68" s="46" t="str">
        <x:v>numeric_match_factor_unreported</x:v>
      </x:c>
      <x:c r="P68" s="46" t="n">
        <x:v>0.13</x:v>
      </x:c>
      <x:c r="Q68" s="46" t="n">
        <x:v>0.14</x:v>
      </x:c>
      <x:c r="R68" s="46" t="n">
        <x:v>0.14</x:v>
      </x:c>
      <x:c r="S68" s="46" t="n">
        <x:v>0.11</x:v>
      </x:c>
      <x:c r="T68" s="46" t="n">
        <x:v>0.11</x:v>
      </x:c>
      <x:c r="U68" s="46" t="n">
        <x:v>0.08</x:v>
      </x:c>
      <x:c r="V68" s="46" t="str">
        <x:v>ns</x:v>
      </x:c>
      <x:c r="W68" s="46" t="str">
        <x:v>relative abundance (% total VOC); zero = source-reported not detected</x:v>
      </x:c>
      <x:c r="X68" s="46" t="str">
        <x:v>full detected table; raw and five grilled internal-temperature states</x:v>
      </x:c>
      <x:c r="Y68" s="23"/>
      <x:c r="Z68" s="23"/>
    </x:row>
    <x:row r="69" ht="26.399999618530273" hidden="0" customHeight="1">
      <x:c r="A69" s="46" t="str">
        <x:v>BDM-MOR-068</x:v>
      </x:c>
      <x:c r="B69" s="46" t="str">
        <x:v>beef:muscle</x:v>
      </x:c>
      <x:c r="C69" s="46" t="str">
        <x:v>beef</x:v>
      </x:c>
      <x:c r="D69" s="46" t="str">
        <x:v>Longissimus lumborum</x:v>
      </x:c>
      <x:c r="E69" s="46" t="str">
        <x:v>raw→grilled doneness series</x:v>
      </x:c>
      <x:c r="F69" s="46" t="str">
        <x:v>SRC-BEEF-GRILL-TEMP-001</x:v>
      </x:c>
      <x:c r="G69" s="46" t="str">
        <x:v>Benzenes</x:v>
      </x:c>
      <x:c r="H69" s="46" t="str">
        <x:v>p-Xylene</x:v>
      </x:c>
      <x:c r="I69" s="46" t="str">
        <x:v>106-42-3</x:v>
      </x:c>
      <x:c r="J69" s="46" t="n">
        <x:v>868</x:v>
      </x:c>
      <x:c r="K69" s="46" t="n">
        <x:v>863</x:v>
      </x:c>
      <x:c r="L69" s="46" t="str">
        <x:v>NIST 2014 MS + in-house authentic-compound library + Kovats LRI</x:v>
      </x:c>
      <x:c r="M69" s="46"/>
      <x:c r="N69" s="46"/>
      <x:c r="O69" s="46" t="str">
        <x:v>numeric_match_factor_unreported</x:v>
      </x:c>
      <x:c r="P69" s="46" t="n">
        <x:v>0.23</x:v>
      </x:c>
      <x:c r="Q69" s="46" t="n">
        <x:v>0.21</x:v>
      </x:c>
      <x:c r="R69" s="46" t="n">
        <x:v>0.26</x:v>
      </x:c>
      <x:c r="S69" s="46" t="n">
        <x:v>0.2</x:v>
      </x:c>
      <x:c r="T69" s="46" t="n">
        <x:v>0.2</x:v>
      </x:c>
      <x:c r="U69" s="46" t="n">
        <x:v>0.19</x:v>
      </x:c>
      <x:c r="V69" s="46" t="str">
        <x:v>ns</x:v>
      </x:c>
      <x:c r="W69" s="46" t="str">
        <x:v>relative abundance (% total VOC); zero = source-reported not detected</x:v>
      </x:c>
      <x:c r="X69" s="46" t="str">
        <x:v>full detected table; raw and five grilled internal-temperature states</x:v>
      </x:c>
      <x:c r="Y69" s="23"/>
      <x:c r="Z69" s="23"/>
    </x:row>
    <x:row r="70" ht="26.399999618530273" hidden="0" customHeight="1">
      <x:c r="A70" s="46" t="str">
        <x:v>BDM-MOR-069</x:v>
      </x:c>
      <x:c r="B70" s="46" t="str">
        <x:v>beef:muscle</x:v>
      </x:c>
      <x:c r="C70" s="46" t="str">
        <x:v>beef</x:v>
      </x:c>
      <x:c r="D70" s="46" t="str">
        <x:v>Longissimus lumborum</x:v>
      </x:c>
      <x:c r="E70" s="46" t="str">
        <x:v>raw→grilled doneness series</x:v>
      </x:c>
      <x:c r="F70" s="46" t="str">
        <x:v>SRC-BEEF-GRILL-TEMP-001</x:v>
      </x:c>
      <x:c r="G70" s="46" t="str">
        <x:v>Benzenes</x:v>
      </x:c>
      <x:c r="H70" s="46" t="str">
        <x:v>o-Xylene</x:v>
      </x:c>
      <x:c r="I70" s="46" t="str">
        <x:v>95-47-6</x:v>
      </x:c>
      <x:c r="J70" s="46" t="n">
        <x:v>899</x:v>
      </x:c>
      <x:c r="K70" s="46" t="n">
        <x:v>908</x:v>
      </x:c>
      <x:c r="L70" s="46" t="str">
        <x:v>NIST 2014 MS + in-house authentic-compound library + Kovats LRI</x:v>
      </x:c>
      <x:c r="M70" s="46"/>
      <x:c r="N70" s="46"/>
      <x:c r="O70" s="46" t="str">
        <x:v>numeric_match_factor_unreported</x:v>
      </x:c>
      <x:c r="P70" s="46" t="n">
        <x:v>0.23</x:v>
      </x:c>
      <x:c r="Q70" s="46" t="n">
        <x:v>0.22</x:v>
      </x:c>
      <x:c r="R70" s="46" t="n">
        <x:v>0.26</x:v>
      </x:c>
      <x:c r="S70" s="46" t="n">
        <x:v>0.2</x:v>
      </x:c>
      <x:c r="T70" s="46" t="n">
        <x:v>0.2</x:v>
      </x:c>
      <x:c r="U70" s="46" t="n">
        <x:v>0.2</x:v>
      </x:c>
      <x:c r="V70" s="46" t="str">
        <x:v>ns</x:v>
      </x:c>
      <x:c r="W70" s="46" t="str">
        <x:v>relative abundance (% total VOC); zero = source-reported not detected</x:v>
      </x:c>
      <x:c r="X70" s="46" t="str">
        <x:v>full detected table; raw and five grilled internal-temperature states</x:v>
      </x:c>
      <x:c r="Y70" s="23"/>
      <x:c r="Z70" s="23"/>
    </x:row>
    <x:row r="71" ht="26.399999618530273" hidden="0" customHeight="1">
      <x:c r="A71" s="46" t="str">
        <x:v>BDM-MOR-070</x:v>
      </x:c>
      <x:c r="B71" s="46" t="str">
        <x:v>beef:muscle</x:v>
      </x:c>
      <x:c r="C71" s="46" t="str">
        <x:v>beef</x:v>
      </x:c>
      <x:c r="D71" s="46" t="str">
        <x:v>Longissimus lumborum</x:v>
      </x:c>
      <x:c r="E71" s="46" t="str">
        <x:v>raw→grilled doneness series</x:v>
      </x:c>
      <x:c r="F71" s="46" t="str">
        <x:v>SRC-BEEF-GRILL-TEMP-001</x:v>
      </x:c>
      <x:c r="G71" s="46" t="str">
        <x:v>Benzenes</x:v>
      </x:c>
      <x:c r="H71" s="46" t="str">
        <x:v>Benzophenone</x:v>
      </x:c>
      <x:c r="I71" s="46" t="str">
        <x:v>119-61-9</x:v>
      </x:c>
      <x:c r="J71" s="46" t="n">
        <x:v>1656</x:v>
      </x:c>
      <x:c r="K71" s="46" t="n">
        <x:v>1653</x:v>
      </x:c>
      <x:c r="L71" s="46" t="str">
        <x:v>NIST 2014 MS + in-house authentic-compound library + Kovats LRI</x:v>
      </x:c>
      <x:c r="M71" s="46"/>
      <x:c r="N71" s="46"/>
      <x:c r="O71" s="46" t="str">
        <x:v>numeric_match_factor_unreported</x:v>
      </x:c>
      <x:c r="P71" s="46" t="n">
        <x:v>0.11</x:v>
      </x:c>
      <x:c r="Q71" s="46" t="n">
        <x:v>0.17</x:v>
      </x:c>
      <x:c r="R71" s="46" t="n">
        <x:v>0.19</x:v>
      </x:c>
      <x:c r="S71" s="46" t="n">
        <x:v>0.16</x:v>
      </x:c>
      <x:c r="T71" s="46" t="n">
        <x:v>0.23</x:v>
      </x:c>
      <x:c r="U71" s="46" t="n">
        <x:v>0.2</x:v>
      </x:c>
      <x:c r="V71" s="46" t="str">
        <x:v>ns</x:v>
      </x:c>
      <x:c r="W71" s="46" t="str">
        <x:v>relative abundance (% total VOC); zero = source-reported not detected</x:v>
      </x:c>
      <x:c r="X71" s="46" t="str">
        <x:v>full detected table; raw and five grilled internal-temperature states</x:v>
      </x:c>
      <x:c r="Y71" s="23"/>
      <x:c r="Z71" s="23"/>
    </x:row>
    <x:row r="72" ht="26.399999618530273" hidden="0" customHeight="1">
      <x:c r="A72" s="46" t="str">
        <x:v>BDM-MOR-071</x:v>
      </x:c>
      <x:c r="B72" s="46" t="str">
        <x:v>beef:muscle</x:v>
      </x:c>
      <x:c r="C72" s="46" t="str">
        <x:v>beef</x:v>
      </x:c>
      <x:c r="D72" s="46" t="str">
        <x:v>Longissimus lumborum</x:v>
      </x:c>
      <x:c r="E72" s="46" t="str">
        <x:v>raw→grilled doneness series</x:v>
      </x:c>
      <x:c r="F72" s="46" t="str">
        <x:v>SRC-BEEF-GRILL-TEMP-001</x:v>
      </x:c>
      <x:c r="G72" s="46" t="str">
        <x:v>Benzenes</x:v>
      </x:c>
      <x:c r="H72" s="46" t="str">
        <x:v>Indole</x:v>
      </x:c>
      <x:c r="I72" s="46" t="str">
        <x:v>120-72-9</x:v>
      </x:c>
      <x:c r="J72" s="46" t="n">
        <x:v>1306</x:v>
      </x:c>
      <x:c r="K72" s="46" t="n">
        <x:v>1296</x:v>
      </x:c>
      <x:c r="L72" s="46" t="str">
        <x:v>NIST 2014 MS + in-house authentic-compound library + Kovats LRI</x:v>
      </x:c>
      <x:c r="M72" s="46"/>
      <x:c r="N72" s="46"/>
      <x:c r="O72" s="46" t="str">
        <x:v>numeric_match_factor_unreported</x:v>
      </x:c>
      <x:c r="P72" s="46" t="n">
        <x:v>0.13</x:v>
      </x:c>
      <x:c r="Q72" s="46" t="n">
        <x:v>0.13</x:v>
      </x:c>
      <x:c r="R72" s="46" t="n">
        <x:v>0.15</x:v>
      </x:c>
      <x:c r="S72" s="46" t="n">
        <x:v>0.11</x:v>
      </x:c>
      <x:c r="T72" s="46" t="n">
        <x:v>0.17</x:v>
      </x:c>
      <x:c r="U72" s="46" t="n">
        <x:v>0.17</x:v>
      </x:c>
      <x:c r="V72" s="46" t="str">
        <x:v>ns</x:v>
      </x:c>
      <x:c r="W72" s="46" t="str">
        <x:v>relative abundance (% total VOC); zero = source-reported not detected</x:v>
      </x:c>
      <x:c r="X72" s="46" t="str">
        <x:v>full detected table; raw and five grilled internal-temperature states</x:v>
      </x:c>
      <x:c r="Y72" s="23"/>
      <x:c r="Z72" s="23"/>
    </x:row>
    <x:row r="73" ht="26.399999618530273" hidden="0" customHeight="1">
      <x:c r="A73" s="46" t="str">
        <x:v>BDM-MOR-072</x:v>
      </x:c>
      <x:c r="B73" s="46" t="str">
        <x:v>beef:muscle</x:v>
      </x:c>
      <x:c r="C73" s="46" t="str">
        <x:v>beef</x:v>
      </x:c>
      <x:c r="D73" s="46" t="str">
        <x:v>Longissimus lumborum</x:v>
      </x:c>
      <x:c r="E73" s="46" t="str">
        <x:v>raw→grilled doneness series</x:v>
      </x:c>
      <x:c r="F73" s="46" t="str">
        <x:v>SRC-BEEF-GRILL-TEMP-001</x:v>
      </x:c>
      <x:c r="G73" s="46" t="str">
        <x:v>Ketones</x:v>
      </x:c>
      <x:c r="H73" s="46" t="str">
        <x:v>2-Butanone</x:v>
      </x:c>
      <x:c r="I73" s="46" t="str">
        <x:v>78-93-3</x:v>
      </x:c>
      <x:c r="J73" s="46" t="n">
        <x:v>599</x:v>
      </x:c>
      <x:c r="K73" s="46" t="n">
        <x:v>597</x:v>
      </x:c>
      <x:c r="L73" s="46" t="str">
        <x:v>NIST 2014 MS + in-house authentic-compound library + Kovats LRI</x:v>
      </x:c>
      <x:c r="M73" s="46"/>
      <x:c r="N73" s="46"/>
      <x:c r="O73" s="46" t="str">
        <x:v>numeric_match_factor_unreported</x:v>
      </x:c>
      <x:c r="P73" s="46" t="n">
        <x:v>0.49</x:v>
      </x:c>
      <x:c r="Q73" s="46" t="n">
        <x:v>0.44</x:v>
      </x:c>
      <x:c r="R73" s="46" t="n">
        <x:v>1.07</x:v>
      </x:c>
      <x:c r="S73" s="46" t="n">
        <x:v>0.97</x:v>
      </x:c>
      <x:c r="T73" s="46" t="n">
        <x:v>0.68</x:v>
      </x:c>
      <x:c r="U73" s="46" t="n">
        <x:v>0.79</x:v>
      </x:c>
      <x:c r="V73" s="46" t="str">
        <x:v>ns</x:v>
      </x:c>
      <x:c r="W73" s="46" t="str">
        <x:v>relative abundance (% total VOC); zero = source-reported not detected</x:v>
      </x:c>
      <x:c r="X73" s="46" t="str">
        <x:v>full detected table; raw and five grilled internal-temperature states</x:v>
      </x:c>
      <x:c r="Y73" s="23"/>
      <x:c r="Z73" s="23"/>
    </x:row>
    <x:row r="74" ht="26.399999618530273" hidden="0" customHeight="1">
      <x:c r="A74" s="46" t="str">
        <x:v>BDM-MOR-073</x:v>
      </x:c>
      <x:c r="B74" s="46" t="str">
        <x:v>beef:muscle</x:v>
      </x:c>
      <x:c r="C74" s="46" t="str">
        <x:v>beef</x:v>
      </x:c>
      <x:c r="D74" s="46" t="str">
        <x:v>Longissimus lumborum</x:v>
      </x:c>
      <x:c r="E74" s="46" t="str">
        <x:v>raw→grilled doneness series</x:v>
      </x:c>
      <x:c r="F74" s="46" t="str">
        <x:v>SRC-BEEF-GRILL-TEMP-001</x:v>
      </x:c>
      <x:c r="G74" s="46" t="str">
        <x:v>Ketones</x:v>
      </x:c>
      <x:c r="H74" s="46" t="str">
        <x:v>2-Pentanone</x:v>
      </x:c>
      <x:c r="I74" s="46" t="str">
        <x:v>107-87-9</x:v>
      </x:c>
      <x:c r="J74" s="46" t="n">
        <x:v>684</x:v>
      </x:c>
      <x:c r="K74" s="46" t="n">
        <x:v>687</x:v>
      </x:c>
      <x:c r="L74" s="46" t="str">
        <x:v>NIST 2014 MS + in-house authentic-compound library + Kovats LRI</x:v>
      </x:c>
      <x:c r="M74" s="46"/>
      <x:c r="N74" s="46"/>
      <x:c r="O74" s="46" t="str">
        <x:v>numeric_match_factor_unreported</x:v>
      </x:c>
      <x:c r="P74" s="46" t="n">
        <x:v>0.84</x:v>
      </x:c>
      <x:c r="Q74" s="46" t="n">
        <x:v>0.95</x:v>
      </x:c>
      <x:c r="R74" s="46" t="n">
        <x:v>1.24</x:v>
      </x:c>
      <x:c r="S74" s="46" t="n">
        <x:v>1.05</x:v>
      </x:c>
      <x:c r="T74" s="46" t="n">
        <x:v>0.98</x:v>
      </x:c>
      <x:c r="U74" s="46" t="n">
        <x:v>1.12</x:v>
      </x:c>
      <x:c r="V74" s="46" t="str">
        <x:v>ns</x:v>
      </x:c>
      <x:c r="W74" s="46" t="str">
        <x:v>relative abundance (% total VOC); zero = source-reported not detected</x:v>
      </x:c>
      <x:c r="X74" s="46" t="str">
        <x:v>full detected table; raw and five grilled internal-temperature states</x:v>
      </x:c>
      <x:c r="Y74" s="23"/>
      <x:c r="Z74" s="23"/>
    </x:row>
    <x:row r="75" ht="26.399999618530273" hidden="0" customHeight="1">
      <x:c r="A75" s="46" t="str">
        <x:v>BDM-MOR-074</x:v>
      </x:c>
      <x:c r="B75" s="46" t="str">
        <x:v>beef:muscle</x:v>
      </x:c>
      <x:c r="C75" s="46" t="str">
        <x:v>beef</x:v>
      </x:c>
      <x:c r="D75" s="46" t="str">
        <x:v>Longissimus lumborum</x:v>
      </x:c>
      <x:c r="E75" s="46" t="str">
        <x:v>raw→grilled doneness series</x:v>
      </x:c>
      <x:c r="F75" s="46" t="str">
        <x:v>SRC-BEEF-GRILL-TEMP-001</x:v>
      </x:c>
      <x:c r="G75" s="46" t="str">
        <x:v>Ketones</x:v>
      </x:c>
      <x:c r="H75" s="46" t="str">
        <x:v>3-Heptanone</x:v>
      </x:c>
      <x:c r="I75" s="46" t="str">
        <x:v>106-35-4</x:v>
      </x:c>
      <x:c r="J75" s="46" t="n">
        <x:v>886</x:v>
      </x:c>
      <x:c r="K75" s="46" t="n">
        <x:v>887</x:v>
      </x:c>
      <x:c r="L75" s="46" t="str">
        <x:v>NIST 2014 MS + in-house authentic-compound library + Kovats LRI</x:v>
      </x:c>
      <x:c r="M75" s="46"/>
      <x:c r="N75" s="46"/>
      <x:c r="O75" s="46" t="str">
        <x:v>numeric_match_factor_unreported</x:v>
      </x:c>
      <x:c r="P75" s="46" t="n">
        <x:v>0.1</x:v>
      </x:c>
      <x:c r="Q75" s="46" t="n">
        <x:v>0.25</x:v>
      </x:c>
      <x:c r="R75" s="46" t="n">
        <x:v>0.22</x:v>
      </x:c>
      <x:c r="S75" s="46" t="n">
        <x:v>0.2</x:v>
      </x:c>
      <x:c r="T75" s="46" t="n">
        <x:v>0.13</x:v>
      </x:c>
      <x:c r="U75" s="46" t="n">
        <x:v>0.2</x:v>
      </x:c>
      <x:c r="V75" s="46" t="str">
        <x:v>ns</x:v>
      </x:c>
      <x:c r="W75" s="46" t="str">
        <x:v>relative abundance (% total VOC); zero = source-reported not detected</x:v>
      </x:c>
      <x:c r="X75" s="46" t="str">
        <x:v>full detected table; raw and five grilled internal-temperature states</x:v>
      </x:c>
      <x:c r="Y75" s="23"/>
      <x:c r="Z75" s="23"/>
    </x:row>
    <x:row r="76" ht="26.399999618530273" hidden="0" customHeight="1">
      <x:c r="A76" s="46" t="str">
        <x:v>BDM-MOR-075</x:v>
      </x:c>
      <x:c r="B76" s="46" t="str">
        <x:v>beef:muscle</x:v>
      </x:c>
      <x:c r="C76" s="46" t="str">
        <x:v>beef</x:v>
      </x:c>
      <x:c r="D76" s="46" t="str">
        <x:v>Longissimus lumborum</x:v>
      </x:c>
      <x:c r="E76" s="46" t="str">
        <x:v>raw→grilled doneness series</x:v>
      </x:c>
      <x:c r="F76" s="46" t="str">
        <x:v>SRC-BEEF-GRILL-TEMP-001</x:v>
      </x:c>
      <x:c r="G76" s="46" t="str">
        <x:v>Ketones</x:v>
      </x:c>
      <x:c r="H76" s="46" t="str">
        <x:v>4-Octanone</x:v>
      </x:c>
      <x:c r="I76" s="46" t="str">
        <x:v>589-63-9</x:v>
      </x:c>
      <x:c r="J76" s="46" t="n">
        <x:v>974</x:v>
      </x:c>
      <x:c r="K76" s="46" t="n">
        <x:v>977</x:v>
      </x:c>
      <x:c r="L76" s="46" t="str">
        <x:v>NIST 2014 MS + in-house authentic-compound library + Kovats LRI</x:v>
      </x:c>
      <x:c r="M76" s="46"/>
      <x:c r="N76" s="46"/>
      <x:c r="O76" s="46" t="str">
        <x:v>numeric_match_factor_unreported</x:v>
      </x:c>
      <x:c r="P76" s="46" t="n">
        <x:v>0.4</x:v>
      </x:c>
      <x:c r="Q76" s="46" t="n">
        <x:v>0.41</x:v>
      </x:c>
      <x:c r="R76" s="46" t="n">
        <x:v>0.45</x:v>
      </x:c>
      <x:c r="S76" s="46" t="n">
        <x:v>0.42</x:v>
      </x:c>
      <x:c r="T76" s="46" t="n">
        <x:v>0.38</x:v>
      </x:c>
      <x:c r="U76" s="46" t="n">
        <x:v>0.4</x:v>
      </x:c>
      <x:c r="V76" s="46" t="str">
        <x:v>ns</x:v>
      </x:c>
      <x:c r="W76" s="46" t="str">
        <x:v>relative abundance (% total VOC); zero = source-reported not detected</x:v>
      </x:c>
      <x:c r="X76" s="46" t="str">
        <x:v>full detected table; raw and five grilled internal-temperature states</x:v>
      </x:c>
      <x:c r="Y76" s="23"/>
      <x:c r="Z76" s="23"/>
    </x:row>
    <x:row r="77" ht="26.399999618530273" hidden="0" customHeight="1">
      <x:c r="A77" s="46" t="str">
        <x:v>BDM-MOR-076</x:v>
      </x:c>
      <x:c r="B77" s="46" t="str">
        <x:v>beef:muscle</x:v>
      </x:c>
      <x:c r="C77" s="46" t="str">
        <x:v>beef</x:v>
      </x:c>
      <x:c r="D77" s="46" t="str">
        <x:v>Longissimus lumborum</x:v>
      </x:c>
      <x:c r="E77" s="46" t="str">
        <x:v>raw→grilled doneness series</x:v>
      </x:c>
      <x:c r="F77" s="46" t="str">
        <x:v>SRC-BEEF-GRILL-TEMP-001</x:v>
      </x:c>
      <x:c r="G77" s="46" t="str">
        <x:v>Ketones</x:v>
      </x:c>
      <x:c r="H77" s="46" t="str">
        <x:v>Acetophenone</x:v>
      </x:c>
      <x:c r="I77" s="46" t="str">
        <x:v>98-86-2</x:v>
      </x:c>
      <x:c r="J77" s="46" t="n">
        <x:v>1074</x:v>
      </x:c>
      <x:c r="K77" s="46" t="n">
        <x:v>1079</x:v>
      </x:c>
      <x:c r="L77" s="46" t="str">
        <x:v>NIST 2014 MS + in-house authentic-compound library + Kovats LRI</x:v>
      </x:c>
      <x:c r="M77" s="46"/>
      <x:c r="N77" s="46"/>
      <x:c r="O77" s="46" t="str">
        <x:v>numeric_match_factor_unreported</x:v>
      </x:c>
      <x:c r="P77" s="46" t="n">
        <x:v>0.07</x:v>
      </x:c>
      <x:c r="Q77" s="46" t="n">
        <x:v>0.1</x:v>
      </x:c>
      <x:c r="R77" s="46" t="n">
        <x:v>0.13</x:v>
      </x:c>
      <x:c r="S77" s="46" t="n">
        <x:v>0.1</x:v>
      </x:c>
      <x:c r="T77" s="46" t="n">
        <x:v>0.11</x:v>
      </x:c>
      <x:c r="U77" s="46" t="n">
        <x:v>0.1</x:v>
      </x:c>
      <x:c r="V77" s="46" t="str">
        <x:v>ns</x:v>
      </x:c>
      <x:c r="W77" s="46" t="str">
        <x:v>relative abundance (% total VOC); zero = source-reported not detected</x:v>
      </x:c>
      <x:c r="X77" s="46" t="str">
        <x:v>full detected table; raw and five grilled internal-temperature states</x:v>
      </x:c>
      <x:c r="Y77" s="23"/>
      <x:c r="Z77" s="23"/>
    </x:row>
    <x:row r="78" ht="26.399999618530273" hidden="0" customHeight="1">
      <x:c r="A78" s="46" t="str">
        <x:v>BDM-MOR-077</x:v>
      </x:c>
      <x:c r="B78" s="46" t="str">
        <x:v>beef:muscle</x:v>
      </x:c>
      <x:c r="C78" s="46" t="str">
        <x:v>beef</x:v>
      </x:c>
      <x:c r="D78" s="46" t="str">
        <x:v>Longissimus lumborum</x:v>
      </x:c>
      <x:c r="E78" s="46" t="str">
        <x:v>raw→grilled doneness series</x:v>
      </x:c>
      <x:c r="F78" s="46" t="str">
        <x:v>SRC-BEEF-GRILL-TEMP-001</x:v>
      </x:c>
      <x:c r="G78" s="46" t="str">
        <x:v>Ketones</x:v>
      </x:c>
      <x:c r="H78" s="46" t="str">
        <x:v>2-Nonanone</x:v>
      </x:c>
      <x:c r="I78" s="46" t="str">
        <x:v>821-55-6</x:v>
      </x:c>
      <x:c r="J78" s="46" t="n">
        <x:v>1094</x:v>
      </x:c>
      <x:c r="K78" s="46" t="n">
        <x:v>1094</x:v>
      </x:c>
      <x:c r="L78" s="46" t="str">
        <x:v>NIST 2014 MS + in-house authentic-compound library + Kovats LRI</x:v>
      </x:c>
      <x:c r="M78" s="46"/>
      <x:c r="N78" s="46"/>
      <x:c r="O78" s="46" t="str">
        <x:v>numeric_match_factor_unreported</x:v>
      </x:c>
      <x:c r="P78" s="46" t="n">
        <x:v>0.17</x:v>
      </x:c>
      <x:c r="Q78" s="46" t="n">
        <x:v>0.28</x:v>
      </x:c>
      <x:c r="R78" s="46" t="n">
        <x:v>0.28</x:v>
      </x:c>
      <x:c r="S78" s="46" t="n">
        <x:v>0.26</x:v>
      </x:c>
      <x:c r="T78" s="46" t="n">
        <x:v>0.29</x:v>
      </x:c>
      <x:c r="U78" s="46" t="n">
        <x:v>0.29</x:v>
      </x:c>
      <x:c r="V78" s="46" t="str">
        <x:v>ns</x:v>
      </x:c>
      <x:c r="W78" s="46" t="str">
        <x:v>relative abundance (% total VOC); zero = source-reported not detected</x:v>
      </x:c>
      <x:c r="X78" s="46" t="str">
        <x:v>full detected table; raw and five grilled internal-temperature states</x:v>
      </x:c>
      <x:c r="Y78" s="23"/>
      <x:c r="Z78" s="23"/>
    </x:row>
    <x:row r="79" ht="26.399999618530273" hidden="0" customHeight="1">
      <x:c r="A79" s="46" t="str">
        <x:v>BDM-MOR-078</x:v>
      </x:c>
      <x:c r="B79" s="46" t="str">
        <x:v>beef:muscle</x:v>
      </x:c>
      <x:c r="C79" s="46" t="str">
        <x:v>beef</x:v>
      </x:c>
      <x:c r="D79" s="46" t="str">
        <x:v>Longissimus lumborum</x:v>
      </x:c>
      <x:c r="E79" s="46" t="str">
        <x:v>raw→grilled doneness series</x:v>
      </x:c>
      <x:c r="F79" s="46" t="str">
        <x:v>SRC-BEEF-GRILL-TEMP-001</x:v>
      </x:c>
      <x:c r="G79" s="46" t="str">
        <x:v>Alcohols</x:v>
      </x:c>
      <x:c r="H79" s="46" t="str">
        <x:v>1-Hexanol</x:v>
      </x:c>
      <x:c r="I79" s="46" t="str">
        <x:v>111-27-3</x:v>
      </x:c>
      <x:c r="J79" s="46" t="n">
        <x:v>867</x:v>
      </x:c>
      <x:c r="K79" s="46" t="n">
        <x:v>868</x:v>
      </x:c>
      <x:c r="L79" s="46" t="str">
        <x:v>NIST 2014 MS + in-house authentic-compound library + Kovats LRI</x:v>
      </x:c>
      <x:c r="M79" s="46"/>
      <x:c r="N79" s="46"/>
      <x:c r="O79" s="46" t="str">
        <x:v>numeric_match_factor_unreported</x:v>
      </x:c>
      <x:c r="P79" s="46" t="n">
        <x:v>0.05</x:v>
      </x:c>
      <x:c r="Q79" s="46" t="n">
        <x:v>0.24</x:v>
      </x:c>
      <x:c r="R79" s="46" t="n">
        <x:v>0.33</x:v>
      </x:c>
      <x:c r="S79" s="46" t="n">
        <x:v>1.28</x:v>
      </x:c>
      <x:c r="T79" s="46" t="n">
        <x:v>0.25</x:v>
      </x:c>
      <x:c r="U79" s="46" t="n">
        <x:v>0.16</x:v>
      </x:c>
      <x:c r="V79" s="46" t="str">
        <x:v>ns</x:v>
      </x:c>
      <x:c r="W79" s="46" t="str">
        <x:v>relative abundance (% total VOC); zero = source-reported not detected</x:v>
      </x:c>
      <x:c r="X79" s="46" t="str">
        <x:v>full detected table; raw and five grilled internal-temperature states</x:v>
      </x:c>
      <x:c r="Y79" s="23"/>
      <x:c r="Z79" s="23"/>
    </x:row>
    <x:row r="80" ht="26.399999618530273" hidden="0" customHeight="1">
      <x:c r="A80" s="46" t="str">
        <x:v>BDM-MOR-079</x:v>
      </x:c>
      <x:c r="B80" s="46" t="str">
        <x:v>beef:muscle</x:v>
      </x:c>
      <x:c r="C80" s="46" t="str">
        <x:v>beef</x:v>
      </x:c>
      <x:c r="D80" s="46" t="str">
        <x:v>Longissimus lumborum</x:v>
      </x:c>
      <x:c r="E80" s="46" t="str">
        <x:v>raw→grilled doneness series</x:v>
      </x:c>
      <x:c r="F80" s="46" t="str">
        <x:v>SRC-BEEF-GRILL-TEMP-001</x:v>
      </x:c>
      <x:c r="G80" s="46" t="str">
        <x:v>Alcohols</x:v>
      </x:c>
      <x:c r="H80" s="46" t="str">
        <x:v>1-Octanol</x:v>
      </x:c>
      <x:c r="I80" s="46" t="str">
        <x:v>111-87-5</x:v>
      </x:c>
      <x:c r="J80" s="46" t="n">
        <x:v>1071</x:v>
      </x:c>
      <x:c r="K80" s="46" t="n">
        <x:v>1071</x:v>
      </x:c>
      <x:c r="L80" s="46" t="str">
        <x:v>NIST 2014 MS + in-house authentic-compound library + Kovats LRI</x:v>
      </x:c>
      <x:c r="M80" s="46"/>
      <x:c r="N80" s="46"/>
      <x:c r="O80" s="46" t="str">
        <x:v>numeric_match_factor_unreported</x:v>
      </x:c>
      <x:c r="P80" s="46" t="n">
        <x:v>0.26</x:v>
      </x:c>
      <x:c r="Q80" s="46" t="n">
        <x:v>1.29</x:v>
      </x:c>
      <x:c r="R80" s="46" t="n">
        <x:v>1.17</x:v>
      </x:c>
      <x:c r="S80" s="46" t="n">
        <x:v>1.22</x:v>
      </x:c>
      <x:c r="T80" s="46" t="n">
        <x:v>1.09</x:v>
      </x:c>
      <x:c r="U80" s="46" t="n">
        <x:v>0.92</x:v>
      </x:c>
      <x:c r="V80" s="46" t="str">
        <x:v>&lt;0.01</x:v>
      </x:c>
      <x:c r="W80" s="46" t="str">
        <x:v>relative abundance (% total VOC); zero = source-reported not detected</x:v>
      </x:c>
      <x:c r="X80" s="46" t="str">
        <x:v>full detected table; raw and five grilled internal-temperature states</x:v>
      </x:c>
      <x:c r="Y80" s="23"/>
      <x:c r="Z80" s="23"/>
    </x:row>
    <x:row r="81" ht="26.399999618530273" hidden="0" customHeight="1">
      <x:c r="A81" s="46" t="str">
        <x:v>BDM-MOR-080</x:v>
      </x:c>
      <x:c r="B81" s="46" t="str">
        <x:v>beef:muscle</x:v>
      </x:c>
      <x:c r="C81" s="46" t="str">
        <x:v>beef</x:v>
      </x:c>
      <x:c r="D81" s="46" t="str">
        <x:v>Longissimus lumborum</x:v>
      </x:c>
      <x:c r="E81" s="46" t="str">
        <x:v>raw→grilled doneness series</x:v>
      </x:c>
      <x:c r="F81" s="46" t="str">
        <x:v>SRC-BEEF-GRILL-TEMP-001</x:v>
      </x:c>
      <x:c r="G81" s="46" t="str">
        <x:v>Alcohols</x:v>
      </x:c>
      <x:c r="H81" s="46" t="str">
        <x:v>1-Tetradecanol</x:v>
      </x:c>
      <x:c r="I81" s="46" t="str">
        <x:v>112-72-1</x:v>
      </x:c>
      <x:c r="J81" s="46" t="n">
        <x:v>1681</x:v>
      </x:c>
      <x:c r="K81" s="46" t="n">
        <x:v>1671</x:v>
      </x:c>
      <x:c r="L81" s="46" t="str">
        <x:v>NIST 2014 MS + in-house authentic-compound library + Kovats LRI</x:v>
      </x:c>
      <x:c r="M81" s="46"/>
      <x:c r="N81" s="46"/>
      <x:c r="O81" s="46" t="str">
        <x:v>numeric_match_factor_unreported</x:v>
      </x:c>
      <x:c r="P81" s="46" t="n">
        <x:v>0.1</x:v>
      </x:c>
      <x:c r="Q81" s="46" t="n">
        <x:v>0.25</x:v>
      </x:c>
      <x:c r="R81" s="46" t="n">
        <x:v>0.25</x:v>
      </x:c>
      <x:c r="S81" s="46" t="n">
        <x:v>0.24</x:v>
      </x:c>
      <x:c r="T81" s="46" t="n">
        <x:v>0.25</x:v>
      </x:c>
      <x:c r="U81" s="46" t="n">
        <x:v>0.28</x:v>
      </x:c>
      <x:c r="V81" s="46" t="str">
        <x:v>ns</x:v>
      </x:c>
      <x:c r="W81" s="46" t="str">
        <x:v>relative abundance (% total VOC); zero = source-reported not detected</x:v>
      </x:c>
      <x:c r="X81" s="46" t="str">
        <x:v>full detected table; raw and five grilled internal-temperature states</x:v>
      </x:c>
      <x:c r="Y81" s="23"/>
      <x:c r="Z81" s="23"/>
    </x:row>
    <x:row r="82" ht="26.399999618530273" hidden="0" customHeight="1">
      <x:c r="A82" s="46" t="str">
        <x:v>BDM-MOR-081</x:v>
      </x:c>
      <x:c r="B82" s="46" t="str">
        <x:v>beef:muscle</x:v>
      </x:c>
      <x:c r="C82" s="46" t="str">
        <x:v>beef</x:v>
      </x:c>
      <x:c r="D82" s="46" t="str">
        <x:v>Longissimus lumborum</x:v>
      </x:c>
      <x:c r="E82" s="46" t="str">
        <x:v>raw→grilled doneness series</x:v>
      </x:c>
      <x:c r="F82" s="46" t="str">
        <x:v>SRC-BEEF-GRILL-TEMP-001</x:v>
      </x:c>
      <x:c r="G82" s="46" t="str">
        <x:v>Furans</x:v>
      </x:c>
      <x:c r="H82" s="46" t="str">
        <x:v>2-Furanmethanol</x:v>
      </x:c>
      <x:c r="I82" s="46" t="str">
        <x:v>98-00-0</x:v>
      </x:c>
      <x:c r="J82" s="46" t="n">
        <x:v>852</x:v>
      </x:c>
      <x:c r="K82" s="46" t="n">
        <x:v>850</x:v>
      </x:c>
      <x:c r="L82" s="46" t="str">
        <x:v>NIST 2014 MS + in-house authentic-compound library + Kovats LRI</x:v>
      </x:c>
      <x:c r="M82" s="46"/>
      <x:c r="N82" s="46"/>
      <x:c r="O82" s="46" t="str">
        <x:v>numeric_match_factor_unreported</x:v>
      </x:c>
      <x:c r="P82" s="46" t="n">
        <x:v>0.09</x:v>
      </x:c>
      <x:c r="Q82" s="46" t="n">
        <x:v>0.1</x:v>
      </x:c>
      <x:c r="R82" s="46" t="n">
        <x:v>0.12</x:v>
      </x:c>
      <x:c r="S82" s="46" t="n">
        <x:v>0.08</x:v>
      </x:c>
      <x:c r="T82" s="46" t="n">
        <x:v>0.12</x:v>
      </x:c>
      <x:c r="U82" s="46" t="n">
        <x:v>0.07</x:v>
      </x:c>
      <x:c r="V82" s="46" t="str">
        <x:v>ns</x:v>
      </x:c>
      <x:c r="W82" s="46" t="str">
        <x:v>relative abundance (% total VOC); zero = source-reported not detected</x:v>
      </x:c>
      <x:c r="X82" s="46" t="str">
        <x:v>full detected table; raw and five grilled internal-temperature states</x:v>
      </x:c>
      <x:c r="Y82" s="23"/>
      <x:c r="Z82" s="23"/>
    </x:row>
    <x:row r="83" ht="26.399999618530273" hidden="0" customHeight="1">
      <x:c r="A83" s="46" t="str">
        <x:v>BDM-MOR-082</x:v>
      </x:c>
      <x:c r="B83" s="46" t="str">
        <x:v>beef:muscle</x:v>
      </x:c>
      <x:c r="C83" s="46" t="str">
        <x:v>beef</x:v>
      </x:c>
      <x:c r="D83" s="46" t="str">
        <x:v>Longissimus lumborum</x:v>
      </x:c>
      <x:c r="E83" s="46" t="str">
        <x:v>raw→grilled doneness series</x:v>
      </x:c>
      <x:c r="F83" s="46" t="str">
        <x:v>SRC-BEEF-GRILL-TEMP-001</x:v>
      </x:c>
      <x:c r="G83" s="46" t="str">
        <x:v>Furans</x:v>
      </x:c>
      <x:c r="H83" s="46" t="str">
        <x:v>2-Pentylfuran</x:v>
      </x:c>
      <x:c r="I83" s="46" t="str">
        <x:v>3777-69-3</x:v>
      </x:c>
      <x:c r="J83" s="46" t="n">
        <x:v>993</x:v>
      </x:c>
      <x:c r="K83" s="46" t="n">
        <x:v>991</x:v>
      </x:c>
      <x:c r="L83" s="46" t="str">
        <x:v>NIST 2014 MS + in-house authentic-compound library + Kovats LRI</x:v>
      </x:c>
      <x:c r="M83" s="46"/>
      <x:c r="N83" s="46"/>
      <x:c r="O83" s="46" t="str">
        <x:v>numeric_match_factor_unreported</x:v>
      </x:c>
      <x:c r="P83" s="46" t="n">
        <x:v>0.28</x:v>
      </x:c>
      <x:c r="Q83" s="46" t="n">
        <x:v>1.7</x:v>
      </x:c>
      <x:c r="R83" s="46" t="n">
        <x:v>1.33</x:v>
      </x:c>
      <x:c r="S83" s="46" t="n">
        <x:v>1.51</x:v>
      </x:c>
      <x:c r="T83" s="46" t="n">
        <x:v>1.19</x:v>
      </x:c>
      <x:c r="U83" s="46" t="n">
        <x:v>1.19</x:v>
      </x:c>
      <x:c r="V83" s="46" t="str">
        <x:v>&lt;0.01</x:v>
      </x:c>
      <x:c r="W83" s="46" t="str">
        <x:v>relative abundance (% total VOC); zero = source-reported not detected</x:v>
      </x:c>
      <x:c r="X83" s="46" t="str">
        <x:v>full detected table; raw and five grilled internal-temperature states</x:v>
      </x:c>
      <x:c r="Y83" s="23"/>
      <x:c r="Z83" s="23"/>
    </x:row>
    <x:row r="84" ht="26.399999618530273" hidden="0" customHeight="1">
      <x:c r="A84" s="46" t="str">
        <x:v>BDM-MOR-083</x:v>
      </x:c>
      <x:c r="B84" s="46" t="str">
        <x:v>beef:muscle</x:v>
      </x:c>
      <x:c r="C84" s="46" t="str">
        <x:v>beef</x:v>
      </x:c>
      <x:c r="D84" s="46" t="str">
        <x:v>Longissimus lumborum</x:v>
      </x:c>
      <x:c r="E84" s="46" t="str">
        <x:v>raw→grilled doneness series</x:v>
      </x:c>
      <x:c r="F84" s="46" t="str">
        <x:v>SRC-BEEF-GRILL-TEMP-001</x:v>
      </x:c>
      <x:c r="G84" s="46" t="str">
        <x:v>Furans</x:v>
      </x:c>
      <x:c r="H84" s="46" t="str">
        <x:v>2-Octylfuran</x:v>
      </x:c>
      <x:c r="I84" s="46" t="str">
        <x:v>4179-38-8</x:v>
      </x:c>
      <x:c r="J84" s="46" t="n">
        <x:v>1296</x:v>
      </x:c>
      <x:c r="K84" s="46" t="n">
        <x:v>1286</x:v>
      </x:c>
      <x:c r="L84" s="46" t="str">
        <x:v>NIST 2014 MS + in-house authentic-compound library + Kovats LRI</x:v>
      </x:c>
      <x:c r="M84" s="46"/>
      <x:c r="N84" s="46"/>
      <x:c r="O84" s="46" t="str">
        <x:v>numeric_match_factor_unreported</x:v>
      </x:c>
      <x:c r="P84" s="46" t="n">
        <x:v>0.02</x:v>
      </x:c>
      <x:c r="Q84" s="46" t="n">
        <x:v>0.08</x:v>
      </x:c>
      <x:c r="R84" s="46" t="n">
        <x:v>0.06</x:v>
      </x:c>
      <x:c r="S84" s="46" t="n">
        <x:v>0.07</x:v>
      </x:c>
      <x:c r="T84" s="46" t="n">
        <x:v>0.07</x:v>
      </x:c>
      <x:c r="U84" s="46" t="n">
        <x:v>0.08</x:v>
      </x:c>
      <x:c r="V84" s="46" t="str">
        <x:v>&lt;0.01</x:v>
      </x:c>
      <x:c r="W84" s="46" t="str">
        <x:v>relative abundance (% total VOC); zero = source-reported not detected</x:v>
      </x:c>
      <x:c r="X84" s="46" t="str">
        <x:v>full detected table; raw and five grilled internal-temperature states</x:v>
      </x:c>
      <x:c r="Y84" s="23"/>
      <x:c r="Z84" s="23"/>
    </x:row>
    <x:row r="85" ht="26.399999618530273" hidden="0" customHeight="1">
      <x:c r="A85" s="46" t="str">
        <x:v>BDM-MOR-084</x:v>
      </x:c>
      <x:c r="B85" s="46" t="str">
        <x:v>beef:muscle</x:v>
      </x:c>
      <x:c r="C85" s="46" t="str">
        <x:v>beef</x:v>
      </x:c>
      <x:c r="D85" s="46" t="str">
        <x:v>Longissimus lumborum</x:v>
      </x:c>
      <x:c r="E85" s="46" t="str">
        <x:v>raw→grilled doneness series</x:v>
      </x:c>
      <x:c r="F85" s="46" t="str">
        <x:v>SRC-BEEF-GRILL-TEMP-001</x:v>
      </x:c>
      <x:c r="G85" s="46" t="str">
        <x:v>Pyrazines</x:v>
      </x:c>
      <x:c r="H85" s="46" t="str">
        <x:v>2,6-Dimethylpyrazine</x:v>
      </x:c>
      <x:c r="I85" s="46" t="str">
        <x:v>108-50-9</x:v>
      </x:c>
      <x:c r="J85" s="46" t="n">
        <x:v>918</x:v>
      </x:c>
      <x:c r="K85" s="46" t="n">
        <x:v>912</x:v>
      </x:c>
      <x:c r="L85" s="46" t="str">
        <x:v>NIST 2014 MS + in-house authentic-compound library + Kovats LRI</x:v>
      </x:c>
      <x:c r="M85" s="46"/>
      <x:c r="N85" s="46"/>
      <x:c r="O85" s="46" t="str">
        <x:v>numeric_match_factor_unreported</x:v>
      </x:c>
      <x:c r="P85" s="46" t="n">
        <x:v>0</x:v>
      </x:c>
      <x:c r="Q85" s="46" t="n">
        <x:v>0</x:v>
      </x:c>
      <x:c r="R85" s="46" t="n">
        <x:v>0</x:v>
      </x:c>
      <x:c r="S85" s="46" t="n">
        <x:v>0.02</x:v>
      </x:c>
      <x:c r="T85" s="46" t="n">
        <x:v>0.03</x:v>
      </x:c>
      <x:c r="U85" s="46" t="n">
        <x:v>0.07</x:v>
      </x:c>
      <x:c r="V85" s="46" t="str">
        <x:v>&lt;0.01</x:v>
      </x:c>
      <x:c r="W85" s="46" t="str">
        <x:v>relative abundance (% total VOC); zero = source-reported not detected</x:v>
      </x:c>
      <x:c r="X85" s="46" t="str">
        <x:v>full detected table; raw and five grilled internal-temperature states</x:v>
      </x:c>
      <x:c r="Y85" s="23"/>
      <x:c r="Z85" s="23"/>
    </x:row>
    <x:row r="86" ht="26.399999618530273" hidden="0" customHeight="1">
      <x:c r="A86" s="46" t="str">
        <x:v>BDM-MOR-085</x:v>
      </x:c>
      <x:c r="B86" s="46" t="str">
        <x:v>beef:muscle</x:v>
      </x:c>
      <x:c r="C86" s="46" t="str">
        <x:v>beef</x:v>
      </x:c>
      <x:c r="D86" s="46" t="str">
        <x:v>Longissimus lumborum</x:v>
      </x:c>
      <x:c r="E86" s="46" t="str">
        <x:v>raw→grilled doneness series</x:v>
      </x:c>
      <x:c r="F86" s="46" t="str">
        <x:v>SRC-BEEF-GRILL-TEMP-001</x:v>
      </x:c>
      <x:c r="G86" s="46" t="str">
        <x:v>Pyrazines</x:v>
      </x:c>
      <x:c r="H86" s="46" t="str">
        <x:v>3-Ethyl-2,5-dimethylpyrazine</x:v>
      </x:c>
      <x:c r="I86" s="46" t="str">
        <x:v>13360-65-1</x:v>
      </x:c>
      <x:c r="J86" s="46" t="n">
        <x:v>1080</x:v>
      </x:c>
      <x:c r="K86" s="46" t="n">
        <x:v>1072</x:v>
      </x:c>
      <x:c r="L86" s="46" t="str">
        <x:v>NIST 2014 MS + in-house authentic-compound library + Kovats LRI</x:v>
      </x:c>
      <x:c r="M86" s="46"/>
      <x:c r="N86" s="46"/>
      <x:c r="O86" s="46" t="str">
        <x:v>numeric_match_factor_unreported</x:v>
      </x:c>
      <x:c r="P86" s="46" t="n">
        <x:v>0</x:v>
      </x:c>
      <x:c r="Q86" s="46" t="n">
        <x:v>0</x:v>
      </x:c>
      <x:c r="R86" s="46" t="n">
        <x:v>0</x:v>
      </x:c>
      <x:c r="S86" s="46" t="n">
        <x:v>0</x:v>
      </x:c>
      <x:c r="T86" s="46" t="n">
        <x:v>0</x:v>
      </x:c>
      <x:c r="U86" s="46" t="n">
        <x:v>0.13</x:v>
      </x:c>
      <x:c r="V86" s="46" t="str">
        <x:v>&lt;0.01</x:v>
      </x:c>
      <x:c r="W86" s="46" t="str">
        <x:v>relative abundance (% total VOC); zero = source-reported not detected</x:v>
      </x:c>
      <x:c r="X86" s="46" t="str">
        <x:v>full detected table; raw and five grilled internal-temperature states</x:v>
      </x:c>
      <x:c r="Y86" s="23"/>
      <x:c r="Z86" s="23"/>
    </x:row>
    <x:row r="87" ht="26.399999618530273" hidden="0" customHeight="1">
      <x:c r="A87" s="46" t="str">
        <x:v>BDM-MOR-086</x:v>
      </x:c>
      <x:c r="B87" s="46" t="str">
        <x:v>beef:muscle</x:v>
      </x:c>
      <x:c r="C87" s="46" t="str">
        <x:v>beef</x:v>
      </x:c>
      <x:c r="D87" s="46" t="str">
        <x:v>Longissimus lumborum</x:v>
      </x:c>
      <x:c r="E87" s="46" t="str">
        <x:v>raw→grilled doneness series</x:v>
      </x:c>
      <x:c r="F87" s="46" t="str">
        <x:v>SRC-BEEF-GRILL-TEMP-001</x:v>
      </x:c>
      <x:c r="G87" s="46" t="str">
        <x:v>Pyrazines</x:v>
      </x:c>
      <x:c r="H87" s="46" t="str">
        <x:v>2,5-Dimethyl-3-isoamylpyrazine</x:v>
      </x:c>
      <x:c r="I87" s="46" t="str">
        <x:v>111150-30-2</x:v>
      </x:c>
      <x:c r="J87" s="46" t="n">
        <x:v>1319</x:v>
      </x:c>
      <x:c r="K87" s="46" t="n">
        <x:v>1322</x:v>
      </x:c>
      <x:c r="L87" s="46" t="str">
        <x:v>NIST 2014 MS + in-house authentic-compound library + Kovats LRI</x:v>
      </x:c>
      <x:c r="M87" s="46"/>
      <x:c r="N87" s="46"/>
      <x:c r="O87" s="46" t="str">
        <x:v>numeric_match_factor_unreported</x:v>
      </x:c>
      <x:c r="P87" s="46" t="n">
        <x:v>0</x:v>
      </x:c>
      <x:c r="Q87" s="46" t="n">
        <x:v>0</x:v>
      </x:c>
      <x:c r="R87" s="46" t="n">
        <x:v>0</x:v>
      </x:c>
      <x:c r="S87" s="46" t="n">
        <x:v>0</x:v>
      </x:c>
      <x:c r="T87" s="46" t="n">
        <x:v>0.12</x:v>
      </x:c>
      <x:c r="U87" s="46" t="n">
        <x:v>0.3</x:v>
      </x:c>
      <x:c r="V87" s="46" t="str">
        <x:v>&lt;0.01</x:v>
      </x:c>
      <x:c r="W87" s="46" t="str">
        <x:v>relative abundance (% total VOC); zero = source-reported not detected</x:v>
      </x:c>
      <x:c r="X87" s="46" t="str">
        <x:v>full detected table; raw and five grilled internal-temperature states</x:v>
      </x:c>
      <x:c r="Y87" s="23"/>
      <x:c r="Z87" s="23"/>
    </x:row>
    <x:row r="88" ht="26.399999618530273" hidden="0" customHeight="1">
      <x:c r="A88" s="46" t="str">
        <x:v>BDM-MOR-087</x:v>
      </x:c>
      <x:c r="B88" s="46" t="str">
        <x:v>beef:muscle</x:v>
      </x:c>
      <x:c r="C88" s="46" t="str">
        <x:v>beef</x:v>
      </x:c>
      <x:c r="D88" s="46" t="str">
        <x:v>Longissimus lumborum</x:v>
      </x:c>
      <x:c r="E88" s="46" t="str">
        <x:v>raw→grilled doneness series</x:v>
      </x:c>
      <x:c r="F88" s="46" t="str">
        <x:v>SRC-BEEF-GRILL-TEMP-001</x:v>
      </x:c>
      <x:c r="G88" s="46" t="str">
        <x:v>Lactones</x:v>
      </x:c>
      <x:c r="H88" s="46" t="str">
        <x:v>gamma-Crotonolactone</x:v>
      </x:c>
      <x:c r="I88" s="46" t="str">
        <x:v>497-23-4</x:v>
      </x:c>
      <x:c r="J88" s="46" t="n">
        <x:v>912</x:v>
      </x:c>
      <x:c r="K88" s="46" t="n">
        <x:v>916</x:v>
      </x:c>
      <x:c r="L88" s="46" t="str">
        <x:v>NIST 2014 MS + in-house authentic-compound library + Kovats LRI</x:v>
      </x:c>
      <x:c r="M88" s="46"/>
      <x:c r="N88" s="46"/>
      <x:c r="O88" s="46" t="str">
        <x:v>numeric_match_factor_unreported</x:v>
      </x:c>
      <x:c r="P88" s="46" t="n">
        <x:v>0.38</x:v>
      </x:c>
      <x:c r="Q88" s="46" t="n">
        <x:v>0.37</x:v>
      </x:c>
      <x:c r="R88" s="46" t="n">
        <x:v>0.32</x:v>
      </x:c>
      <x:c r="S88" s="46" t="n">
        <x:v>0.31</x:v>
      </x:c>
      <x:c r="T88" s="46" t="n">
        <x:v>0.39</x:v>
      </x:c>
      <x:c r="U88" s="46" t="n">
        <x:v>0.34</x:v>
      </x:c>
      <x:c r="V88" s="46" t="str">
        <x:v>ns</x:v>
      </x:c>
      <x:c r="W88" s="46" t="str">
        <x:v>relative abundance (% total VOC); zero = source-reported not detected</x:v>
      </x:c>
      <x:c r="X88" s="46" t="str">
        <x:v>full detected table; raw and five grilled internal-temperature states</x:v>
      </x:c>
      <x:c r="Y88" s="23"/>
      <x:c r="Z88" s="23"/>
    </x:row>
    <x:row r="89" ht="26.399999618530273" hidden="0" customHeight="1">
      <x:c r="A89" s="46" t="str">
        <x:v>BDM-MOR-088</x:v>
      </x:c>
      <x:c r="B89" s="46" t="str">
        <x:v>beef:muscle</x:v>
      </x:c>
      <x:c r="C89" s="46" t="str">
        <x:v>beef</x:v>
      </x:c>
      <x:c r="D89" s="46" t="str">
        <x:v>Longissimus lumborum</x:v>
      </x:c>
      <x:c r="E89" s="46" t="str">
        <x:v>raw→grilled doneness series</x:v>
      </x:c>
      <x:c r="F89" s="46" t="str">
        <x:v>SRC-BEEF-GRILL-TEMP-001</x:v>
      </x:c>
      <x:c r="G89" s="46" t="str">
        <x:v>Lactones</x:v>
      </x:c>
      <x:c r="H89" s="46" t="str">
        <x:v>delta-Tetradecalactone</x:v>
      </x:c>
      <x:c r="I89" s="46" t="str">
        <x:v>2721-22-4</x:v>
      </x:c>
      <x:c r="J89" s="46" t="n">
        <x:v>1939</x:v>
      </x:c>
      <x:c r="K89" s="46" t="n">
        <x:v>1938</x:v>
      </x:c>
      <x:c r="L89" s="46" t="str">
        <x:v>NIST 2014 MS + in-house authentic-compound library + Kovats LRI</x:v>
      </x:c>
      <x:c r="M89" s="46"/>
      <x:c r="N89" s="46"/>
      <x:c r="O89" s="46" t="str">
        <x:v>numeric_match_factor_unreported</x:v>
      </x:c>
      <x:c r="P89" s="46" t="n">
        <x:v>2.74</x:v>
      </x:c>
      <x:c r="Q89" s="46" t="n">
        <x:v>3.67</x:v>
      </x:c>
      <x:c r="R89" s="46" t="n">
        <x:v>3.71</x:v>
      </x:c>
      <x:c r="S89" s="46" t="n">
        <x:v>3.98</x:v>
      </x:c>
      <x:c r="T89" s="46" t="n">
        <x:v>4.16</x:v>
      </x:c>
      <x:c r="U89" s="46" t="n">
        <x:v>4.95</x:v>
      </x:c>
      <x:c r="V89" s="46" t="str">
        <x:v>ns</x:v>
      </x:c>
      <x:c r="W89" s="46" t="str">
        <x:v>relative abundance (% total VOC); zero = source-reported not detected</x:v>
      </x:c>
      <x:c r="X89" s="46" t="str">
        <x:v>full detected table; raw and five grilled internal-temperature states</x:v>
      </x:c>
      <x:c r="Y89" s="23"/>
      <x:c r="Z89" s="23"/>
    </x:row>
    <x:row r="90" ht="26.399999618530273" hidden="0" customHeight="1">
      <x:c r="A90" s="46" t="str">
        <x:v>BDM-MOR-089</x:v>
      </x:c>
      <x:c r="B90" s="46" t="str">
        <x:v>beef:muscle</x:v>
      </x:c>
      <x:c r="C90" s="46" t="str">
        <x:v>beef</x:v>
      </x:c>
      <x:c r="D90" s="46" t="str">
        <x:v>Longissimus lumborum</x:v>
      </x:c>
      <x:c r="E90" s="46" t="str">
        <x:v>raw→grilled doneness series</x:v>
      </x:c>
      <x:c r="F90" s="46" t="str">
        <x:v>SRC-BEEF-GRILL-TEMP-001</x:v>
      </x:c>
      <x:c r="G90" s="46" t="str">
        <x:v>Alkenes</x:v>
      </x:c>
      <x:c r="H90" s="46" t="str">
        <x:v>1-Octene</x:v>
      </x:c>
      <x:c r="I90" s="46" t="str">
        <x:v>111-66-0</x:v>
      </x:c>
      <x:c r="J90" s="46" t="n">
        <x:v>792</x:v>
      </x:c>
      <x:c r="K90" s="46" t="n">
        <x:v>791</x:v>
      </x:c>
      <x:c r="L90" s="46" t="str">
        <x:v>NIST 2014 MS + in-house authentic-compound library + Kovats LRI</x:v>
      </x:c>
      <x:c r="M90" s="46"/>
      <x:c r="N90" s="46"/>
      <x:c r="O90" s="46" t="str">
        <x:v>numeric_match_factor_unreported</x:v>
      </x:c>
      <x:c r="P90" s="46" t="n">
        <x:v>0.18</x:v>
      </x:c>
      <x:c r="Q90" s="46" t="n">
        <x:v>0.2</x:v>
      </x:c>
      <x:c r="R90" s="46" t="n">
        <x:v>0.4</x:v>
      </x:c>
      <x:c r="S90" s="46" t="n">
        <x:v>0.57</x:v>
      </x:c>
      <x:c r="T90" s="46" t="n">
        <x:v>0.69</x:v>
      </x:c>
      <x:c r="U90" s="46" t="n">
        <x:v>0.68</x:v>
      </x:c>
      <x:c r="V90" s="46" t="str">
        <x:v>ns</x:v>
      </x:c>
      <x:c r="W90" s="46" t="str">
        <x:v>relative abundance (% total VOC); zero = source-reported not detected</x:v>
      </x:c>
      <x:c r="X90" s="46" t="str">
        <x:v>full detected table; raw and five grilled internal-temperature states</x:v>
      </x:c>
      <x:c r="Y90" s="23"/>
      <x:c r="Z90" s="23"/>
    </x:row>
    <x:row r="91" ht="26.399999618530273" hidden="0" customHeight="1">
      <x:c r="A91" s="46" t="str">
        <x:v>BDM-MOR-090</x:v>
      </x:c>
      <x:c r="B91" s="46" t="str">
        <x:v>beef:muscle</x:v>
      </x:c>
      <x:c r="C91" s="46" t="str">
        <x:v>beef</x:v>
      </x:c>
      <x:c r="D91" s="46" t="str">
        <x:v>Longissimus lumborum</x:v>
      </x:c>
      <x:c r="E91" s="46" t="str">
        <x:v>raw→grilled doneness series</x:v>
      </x:c>
      <x:c r="F91" s="46" t="str">
        <x:v>SRC-BEEF-GRILL-TEMP-001</x:v>
      </x:c>
      <x:c r="G91" s="46" t="str">
        <x:v>Amines</x:v>
      </x:c>
      <x:c r="H91" s="46" t="str">
        <x:v>Trimethylamine</x:v>
      </x:c>
      <x:c r="I91" s="46" t="str">
        <x:v>75-50-3</x:v>
      </x:c>
      <x:c r="J91" s="46" t="n">
        <x:v>480</x:v>
      </x:c>
      <x:c r="K91" s="46" t="n">
        <x:v>479</x:v>
      </x:c>
      <x:c r="L91" s="46" t="str">
        <x:v>NIST 2014 MS + in-house authentic-compound library + Kovats LRI</x:v>
      </x:c>
      <x:c r="M91" s="46"/>
      <x:c r="N91" s="46"/>
      <x:c r="O91" s="46" t="str">
        <x:v>numeric_match_factor_unreported</x:v>
      </x:c>
      <x:c r="P91" s="46" t="n">
        <x:v>1.18</x:v>
      </x:c>
      <x:c r="Q91" s="46" t="n">
        <x:v>1.16</x:v>
      </x:c>
      <x:c r="R91" s="46" t="n">
        <x:v>1.01</x:v>
      </x:c>
      <x:c r="S91" s="46" t="n">
        <x:v>1.19</x:v>
      </x:c>
      <x:c r="T91" s="46" t="n">
        <x:v>1.3</x:v>
      </x:c>
      <x:c r="U91" s="46" t="n">
        <x:v>1.19</x:v>
      </x:c>
      <x:c r="V91" s="46" t="str">
        <x:v>0.02</x:v>
      </x:c>
      <x:c r="W91" s="46" t="str">
        <x:v>relative abundance (% total VOC); zero = source-reported not detected</x:v>
      </x:c>
      <x:c r="X91" s="46" t="str">
        <x:v>full detected table; raw and five grilled internal-temperature states</x:v>
      </x:c>
      <x:c r="Y91" s="23"/>
      <x:c r="Z91" s="23"/>
    </x:row>
    <x:row r="92" ht="26.399999618530273" hidden="0" customHeight="1">
      <x:c r="A92" s="46" t="str">
        <x:v>BDM-MOR-091</x:v>
      </x:c>
      <x:c r="B92" s="46" t="str">
        <x:v>beef:muscle</x:v>
      </x:c>
      <x:c r="C92" s="46" t="str">
        <x:v>beef</x:v>
      </x:c>
      <x:c r="D92" s="46" t="str">
        <x:v>Longissimus lumborum</x:v>
      </x:c>
      <x:c r="E92" s="46" t="str">
        <x:v>raw→grilled doneness series</x:v>
      </x:c>
      <x:c r="F92" s="46" t="str">
        <x:v>SRC-BEEF-GRILL-TEMP-001</x:v>
      </x:c>
      <x:c r="G92" s="46" t="str">
        <x:v>Terpenes</x:v>
      </x:c>
      <x:c r="H92" s="46" t="str">
        <x:v>Neophytadiene</x:v>
      </x:c>
      <x:c r="I92" s="46" t="str">
        <x:v>504-96-1</x:v>
      </x:c>
      <x:c r="J92" s="46" t="n">
        <x:v>1841</x:v>
      </x:c>
      <x:c r="K92" s="46" t="n">
        <x:v>1837</x:v>
      </x:c>
      <x:c r="L92" s="46" t="str">
        <x:v>NIST 2014 MS + in-house authentic-compound library + Kovats LRI</x:v>
      </x:c>
      <x:c r="M92" s="46"/>
      <x:c r="N92" s="46"/>
      <x:c r="O92" s="46" t="str">
        <x:v>numeric_match_factor_unreported</x:v>
      </x:c>
      <x:c r="P92" s="46" t="n">
        <x:v>1.32</x:v>
      </x:c>
      <x:c r="Q92" s="46" t="n">
        <x:v>1.02</x:v>
      </x:c>
      <x:c r="R92" s="46" t="n">
        <x:v>0.64</x:v>
      </x:c>
      <x:c r="S92" s="46" t="n">
        <x:v>0.83</x:v>
      </x:c>
      <x:c r="T92" s="46" t="n">
        <x:v>2.52</x:v>
      </x:c>
      <x:c r="U92" s="46" t="n">
        <x:v>2.7</x:v>
      </x:c>
      <x:c r="V92" s="46" t="str">
        <x:v>ns</x:v>
      </x:c>
      <x:c r="W92" s="46" t="str">
        <x:v>relative abundance (% total VOC); zero = source-reported not detected</x:v>
      </x:c>
      <x:c r="X92" s="46" t="str">
        <x:v>full detected table; raw and five grilled internal-temperature states</x:v>
      </x:c>
      <x:c r="Y92" s="23"/>
      <x:c r="Z92" s="23"/>
    </x:row>
    <x:row r="93" ht="26.399999618530273" hidden="0" customHeight="1">
      <x:c r="A93" s="46" t="str">
        <x:v>BDM-IDQ-001</x:v>
      </x:c>
      <x:c r="B93" s="46" t="str">
        <x:v>beef:muscle</x:v>
      </x:c>
      <x:c r="C93" s="46" t="str">
        <x:v>beef</x:v>
      </x:c>
      <x:c r="D93" s="46" t="str">
        <x:v>cooked meat sample</x:v>
      </x:c>
      <x:c r="E93" s="46" t="str">
        <x:v>cooked beef identification-QA benchmark</x:v>
      </x:c>
      <x:c r="F93" s="46" t="str">
        <x:v>SRC-BEEF-IDQA-001</x:v>
      </x:c>
      <x:c r="G93" s="46" t="str">
        <x:v>Aldehydes</x:v>
      </x:c>
      <x:c r="H93" s="46" t="str">
        <x:v>Hexanal</x:v>
      </x:c>
      <x:c r="I93" s="46"/>
      <x:c r="J93" s="46" t="n">
        <x:v>1018</x:v>
      </x:c>
      <x:c r="K93" s="46" t="n">
        <x:v>1036</x:v>
      </x:c>
      <x:c r="L93" s="46" t="str">
        <x:v>NIST v14 MS (source minimum mass-match quality 80%) + calculated LRI</x:v>
      </x:c>
      <x:c r="M93" s="46"/>
      <x:c r="N93" s="46" t="n">
        <x:v>80</x:v>
      </x:c>
      <x:c r="O93" s="46" t="str">
        <x:v>verified_source_match_floor_80_plus_lri</x:v>
      </x:c>
      <x:c r="P93" s="46"/>
      <x:c r="Q93" s="46"/>
      <x:c r="R93" s="46"/>
      <x:c r="S93" s="46"/>
      <x:c r="T93" s="46"/>
      <x:c r="U93" s="46"/>
      <x:c r="V93" s="46"/>
      <x:c r="W93" s="46" t="str">
        <x:v>beef relative concentration 89.19 µg/kg; target ion m/z 56; RT 5.44 min</x:v>
      </x:c>
      <x:c r="X93" s="46" t="str">
        <x:v>full 45-compound source table; per-compound exact match score not published, but source retained only matches ≥80%</x:v>
      </x:c>
      <x:c r="Y93" s="23"/>
      <x:c r="Z93" s="23"/>
    </x:row>
    <x:row r="94" ht="26.399999618530273" hidden="0" customHeight="1">
      <x:c r="A94" s="46" t="str">
        <x:v>BDM-IDQ-002</x:v>
      </x:c>
      <x:c r="B94" s="46" t="str">
        <x:v>beef:muscle</x:v>
      </x:c>
      <x:c r="C94" s="46" t="str">
        <x:v>beef</x:v>
      </x:c>
      <x:c r="D94" s="46" t="str">
        <x:v>cooked meat sample</x:v>
      </x:c>
      <x:c r="E94" s="46" t="str">
        <x:v>cooked beef identification-QA benchmark</x:v>
      </x:c>
      <x:c r="F94" s="46" t="str">
        <x:v>SRC-BEEF-IDQA-001</x:v>
      </x:c>
      <x:c r="G94" s="46" t="str">
        <x:v>Aldehydes</x:v>
      </x:c>
      <x:c r="H94" s="46" t="str">
        <x:v>Heptanal</x:v>
      </x:c>
      <x:c r="I94" s="46"/>
      <x:c r="J94" s="46" t="n">
        <x:v>1154</x:v>
      </x:c>
      <x:c r="K94" s="46" t="n">
        <x:v>1156</x:v>
      </x:c>
      <x:c r="L94" s="46" t="str">
        <x:v>NIST v14 MS (source minimum mass-match quality 80%) + calculated LRI</x:v>
      </x:c>
      <x:c r="M94" s="46"/>
      <x:c r="N94" s="46" t="n">
        <x:v>80</x:v>
      </x:c>
      <x:c r="O94" s="46" t="str">
        <x:v>verified_source_match_floor_80_plus_lri</x:v>
      </x:c>
      <x:c r="P94" s="46"/>
      <x:c r="Q94" s="46"/>
      <x:c r="R94" s="46"/>
      <x:c r="S94" s="46"/>
      <x:c r="T94" s="46"/>
      <x:c r="U94" s="46"/>
      <x:c r="V94" s="46"/>
      <x:c r="W94" s="46" t="str">
        <x:v>beef relative concentration 44.59 µg/kg; target ion m/z 70; RT 9.82 min</x:v>
      </x:c>
      <x:c r="X94" s="46" t="str">
        <x:v>full 45-compound source table; per-compound exact match score not published, but source retained only matches ≥80%</x:v>
      </x:c>
      <x:c r="Y94" s="23"/>
      <x:c r="Z94" s="23"/>
    </x:row>
    <x:row r="95" ht="26.399999618530273" hidden="0" customHeight="1">
      <x:c r="A95" s="46" t="str">
        <x:v>BDM-IDQ-003</x:v>
      </x:c>
      <x:c r="B95" s="46" t="str">
        <x:v>beef:muscle</x:v>
      </x:c>
      <x:c r="C95" s="46" t="str">
        <x:v>beef</x:v>
      </x:c>
      <x:c r="D95" s="46" t="str">
        <x:v>cooked meat sample</x:v>
      </x:c>
      <x:c r="E95" s="46" t="str">
        <x:v>cooked beef identification-QA benchmark</x:v>
      </x:c>
      <x:c r="F95" s="46" t="str">
        <x:v>SRC-BEEF-IDQA-001</x:v>
      </x:c>
      <x:c r="G95" s="46" t="str">
        <x:v>Aldehydes</x:v>
      </x:c>
      <x:c r="H95" s="46" t="str">
        <x:v>Octanal</x:v>
      </x:c>
      <x:c r="I95" s="46"/>
      <x:c r="J95" s="46" t="n">
        <x:v>1273</x:v>
      </x:c>
      <x:c r="K95" s="46" t="n">
        <x:v>1273</x:v>
      </x:c>
      <x:c r="L95" s="46" t="str">
        <x:v>NIST v14 MS (source minimum mass-match quality 80%) + calculated LRI</x:v>
      </x:c>
      <x:c r="M95" s="46"/>
      <x:c r="N95" s="46" t="n">
        <x:v>80</x:v>
      </x:c>
      <x:c r="O95" s="46" t="str">
        <x:v>verified_source_match_floor_80_plus_lri</x:v>
      </x:c>
      <x:c r="P95" s="46"/>
      <x:c r="Q95" s="46"/>
      <x:c r="R95" s="46"/>
      <x:c r="S95" s="46"/>
      <x:c r="T95" s="46"/>
      <x:c r="U95" s="46"/>
      <x:c r="V95" s="46"/>
      <x:c r="W95" s="46" t="str">
        <x:v>beef relative concentration 97.56 µg/kg; target ion m/z 43; RT 13.83 min</x:v>
      </x:c>
      <x:c r="X95" s="46" t="str">
        <x:v>full 45-compound source table; per-compound exact match score not published, but source retained only matches ≥80%</x:v>
      </x:c>
      <x:c r="Y95" s="23"/>
      <x:c r="Z95" s="23"/>
    </x:row>
    <x:row r="96" ht="26.399999618530273" hidden="0" customHeight="1">
      <x:c r="A96" s="46" t="str">
        <x:v>BDM-IDQ-004</x:v>
      </x:c>
      <x:c r="B96" s="46" t="str">
        <x:v>beef:muscle</x:v>
      </x:c>
      <x:c r="C96" s="46" t="str">
        <x:v>beef</x:v>
      </x:c>
      <x:c r="D96" s="46" t="str">
        <x:v>cooked meat sample</x:v>
      </x:c>
      <x:c r="E96" s="46" t="str">
        <x:v>cooked beef identification-QA benchmark</x:v>
      </x:c>
      <x:c r="F96" s="46" t="str">
        <x:v>SRC-BEEF-IDQA-001</x:v>
      </x:c>
      <x:c r="G96" s="46" t="str">
        <x:v>Aldehydes</x:v>
      </x:c>
      <x:c r="H96" s="46" t="str">
        <x:v>Nonanal</x:v>
      </x:c>
      <x:c r="I96" s="46"/>
      <x:c r="J96" s="46" t="n">
        <x:v>1384</x:v>
      </x:c>
      <x:c r="K96" s="46" t="n">
        <x:v>1384</x:v>
      </x:c>
      <x:c r="L96" s="46" t="str">
        <x:v>NIST v14 MS (source minimum mass-match quality 80%) + calculated LRI</x:v>
      </x:c>
      <x:c r="M96" s="46"/>
      <x:c r="N96" s="46" t="n">
        <x:v>80</x:v>
      </x:c>
      <x:c r="O96" s="46" t="str">
        <x:v>verified_source_match_floor_80_plus_lri</x:v>
      </x:c>
      <x:c r="P96" s="46"/>
      <x:c r="Q96" s="46"/>
      <x:c r="R96" s="46"/>
      <x:c r="S96" s="46"/>
      <x:c r="T96" s="46"/>
      <x:c r="U96" s="46"/>
      <x:c r="V96" s="46"/>
      <x:c r="W96" s="46" t="str">
        <x:v>beef relative concentration 527.87 µg/kg; target ion m/z 57; RT 17.56 min</x:v>
      </x:c>
      <x:c r="X96" s="46" t="str">
        <x:v>full 45-compound source table; per-compound exact match score not published, but source retained only matches ≥80%</x:v>
      </x:c>
      <x:c r="Y96" s="23"/>
      <x:c r="Z96" s="23"/>
    </x:row>
    <x:row r="97" ht="26.399999618530273" hidden="0" customHeight="1">
      <x:c r="A97" s="46" t="str">
        <x:v>BDM-IDQ-005</x:v>
      </x:c>
      <x:c r="B97" s="46" t="str">
        <x:v>beef:muscle</x:v>
      </x:c>
      <x:c r="C97" s="46" t="str">
        <x:v>beef</x:v>
      </x:c>
      <x:c r="D97" s="46" t="str">
        <x:v>cooked meat sample</x:v>
      </x:c>
      <x:c r="E97" s="46" t="str">
        <x:v>cooked beef identification-QA benchmark</x:v>
      </x:c>
      <x:c r="F97" s="46" t="str">
        <x:v>SRC-BEEF-IDQA-001</x:v>
      </x:c>
      <x:c r="G97" s="46" t="str">
        <x:v>Aldehydes</x:v>
      </x:c>
      <x:c r="H97" s="46" t="str">
        <x:v>Decanal</x:v>
      </x:c>
      <x:c r="I97" s="46"/>
      <x:c r="J97" s="46" t="n">
        <x:v>1491</x:v>
      </x:c>
      <x:c r="K97" s="46" t="n">
        <x:v>1491</x:v>
      </x:c>
      <x:c r="L97" s="46" t="str">
        <x:v>NIST v14 MS (source minimum mass-match quality 80%) + calculated LRI</x:v>
      </x:c>
      <x:c r="M97" s="46"/>
      <x:c r="N97" s="46" t="n">
        <x:v>80</x:v>
      </x:c>
      <x:c r="O97" s="46" t="str">
        <x:v>verified_source_match_floor_80_plus_lri</x:v>
      </x:c>
      <x:c r="P97" s="46"/>
      <x:c r="Q97" s="46"/>
      <x:c r="R97" s="46"/>
      <x:c r="S97" s="46"/>
      <x:c r="T97" s="46"/>
      <x:c r="U97" s="46"/>
      <x:c r="V97" s="46"/>
      <x:c r="W97" s="46" t="str">
        <x:v>beef relative concentration 18.45 µg/kg; target ion m/z 57; RT 21.01 min</x:v>
      </x:c>
      <x:c r="X97" s="46" t="str">
        <x:v>full 45-compound source table; per-compound exact match score not published, but source retained only matches ≥80%</x:v>
      </x:c>
      <x:c r="Y97" s="23"/>
      <x:c r="Z97" s="23"/>
    </x:row>
    <x:row r="98" ht="26.399999618530273" hidden="0" customHeight="1">
      <x:c r="A98" s="46" t="str">
        <x:v>BDM-IDQ-006</x:v>
      </x:c>
      <x:c r="B98" s="46" t="str">
        <x:v>beef:muscle</x:v>
      </x:c>
      <x:c r="C98" s="46" t="str">
        <x:v>beef</x:v>
      </x:c>
      <x:c r="D98" s="46" t="str">
        <x:v>cooked meat sample</x:v>
      </x:c>
      <x:c r="E98" s="46" t="str">
        <x:v>cooked beef identification-QA benchmark</x:v>
      </x:c>
      <x:c r="F98" s="46" t="str">
        <x:v>SRC-BEEF-IDQA-001</x:v>
      </x:c>
      <x:c r="G98" s="46" t="str">
        <x:v>Aldehydes</x:v>
      </x:c>
      <x:c r="H98" s="46" t="str">
        <x:v>Benzaldehyde</x:v>
      </x:c>
      <x:c r="I98" s="46"/>
      <x:c r="J98" s="46" t="n">
        <x:v>1514</x:v>
      </x:c>
      <x:c r="K98" s="46" t="n">
        <x:v>1514</x:v>
      </x:c>
      <x:c r="L98" s="46" t="str">
        <x:v>NIST v14 MS (source minimum mass-match quality 80%) + calculated LRI</x:v>
      </x:c>
      <x:c r="M98" s="46"/>
      <x:c r="N98" s="46" t="n">
        <x:v>80</x:v>
      </x:c>
      <x:c r="O98" s="46" t="str">
        <x:v>verified_source_match_floor_80_plus_lri</x:v>
      </x:c>
      <x:c r="P98" s="46"/>
      <x:c r="Q98" s="46"/>
      <x:c r="R98" s="46"/>
      <x:c r="S98" s="46"/>
      <x:c r="T98" s="46"/>
      <x:c r="U98" s="46"/>
      <x:c r="V98" s="46"/>
      <x:c r="W98" s="46" t="str">
        <x:v>beef relative concentration 97.81 µg/kg; target ion m/z 106; RT 21.78 min</x:v>
      </x:c>
      <x:c r="X98" s="46" t="str">
        <x:v>full 45-compound source table; per-compound exact match score not published, but source retained only matches ≥80%</x:v>
      </x:c>
      <x:c r="Y98" s="23"/>
      <x:c r="Z98" s="23"/>
    </x:row>
    <x:row r="99" ht="26.399999618530273" hidden="0" customHeight="1">
      <x:c r="A99" s="46" t="str">
        <x:v>BDM-IDQ-007</x:v>
      </x:c>
      <x:c r="B99" s="46" t="str">
        <x:v>beef:muscle</x:v>
      </x:c>
      <x:c r="C99" s="46" t="str">
        <x:v>beef</x:v>
      </x:c>
      <x:c r="D99" s="46" t="str">
        <x:v>cooked meat sample</x:v>
      </x:c>
      <x:c r="E99" s="46" t="str">
        <x:v>cooked beef identification-QA benchmark</x:v>
      </x:c>
      <x:c r="F99" s="46" t="str">
        <x:v>SRC-BEEF-IDQA-001</x:v>
      </x:c>
      <x:c r="G99" s="46" t="str">
        <x:v>Aldehydes</x:v>
      </x:c>
      <x:c r="H99" s="46" t="str">
        <x:v>2-Nonenal (E)</x:v>
      </x:c>
      <x:c r="I99" s="46"/>
      <x:c r="J99" s="46" t="n">
        <x:v>1526</x:v>
      </x:c>
      <x:c r="K99" s="46" t="n">
        <x:v>1526</x:v>
      </x:c>
      <x:c r="L99" s="46" t="str">
        <x:v>NIST v14 MS (source minimum mass-match quality 80%) + calculated LRI</x:v>
      </x:c>
      <x:c r="M99" s="46"/>
      <x:c r="N99" s="46" t="n">
        <x:v>80</x:v>
      </x:c>
      <x:c r="O99" s="46" t="str">
        <x:v>verified_source_match_floor_80_plus_lri</x:v>
      </x:c>
      <x:c r="P99" s="46"/>
      <x:c r="Q99" s="46"/>
      <x:c r="R99" s="46"/>
      <x:c r="S99" s="46"/>
      <x:c r="T99" s="46"/>
      <x:c r="U99" s="46"/>
      <x:c r="V99" s="46"/>
      <x:c r="W99" s="46" t="str">
        <x:v>beef relative concentration 43.77 µg/kg; target ion m/z 55; RT 22.11 min</x:v>
      </x:c>
      <x:c r="X99" s="46" t="str">
        <x:v>full 45-compound source table; per-compound exact match score not published, but source retained only matches ≥80%</x:v>
      </x:c>
      <x:c r="Y99" s="23"/>
      <x:c r="Z99" s="23"/>
    </x:row>
    <x:row r="100" ht="26.399999618530273" hidden="0" customHeight="1">
      <x:c r="A100" s="46" t="str">
        <x:v>BDM-IDQ-008</x:v>
      </x:c>
      <x:c r="B100" s="46" t="str">
        <x:v>beef:muscle</x:v>
      </x:c>
      <x:c r="C100" s="46" t="str">
        <x:v>beef</x:v>
      </x:c>
      <x:c r="D100" s="46" t="str">
        <x:v>cooked meat sample</x:v>
      </x:c>
      <x:c r="E100" s="46" t="str">
        <x:v>cooked beef identification-QA benchmark</x:v>
      </x:c>
      <x:c r="F100" s="46" t="str">
        <x:v>SRC-BEEF-IDQA-001</x:v>
      </x:c>
      <x:c r="G100" s="46" t="str">
        <x:v>Aldehydes</x:v>
      </x:c>
      <x:c r="H100" s="46" t="str">
        <x:v>2-Decenal (E)</x:v>
      </x:c>
      <x:c r="I100" s="46"/>
      <x:c r="J100" s="46" t="n">
        <x:v>1640</x:v>
      </x:c>
      <x:c r="K100" s="46" t="n">
        <x:v>1640</x:v>
      </x:c>
      <x:c r="L100" s="46" t="str">
        <x:v>NIST v14 MS (source minimum mass-match quality 80%) + calculated LRI</x:v>
      </x:c>
      <x:c r="M100" s="46"/>
      <x:c r="N100" s="46" t="n">
        <x:v>80</x:v>
      </x:c>
      <x:c r="O100" s="46" t="str">
        <x:v>verified_source_match_floor_80_plus_lri</x:v>
      </x:c>
      <x:c r="P100" s="46"/>
      <x:c r="Q100" s="46"/>
      <x:c r="R100" s="46"/>
      <x:c r="S100" s="46"/>
      <x:c r="T100" s="46"/>
      <x:c r="U100" s="46"/>
      <x:c r="V100" s="46"/>
      <x:c r="W100" s="46" t="str">
        <x:v>beef relative concentration 61.50 µg/kg; target ion m/z 41; RT 25.71 min</x:v>
      </x:c>
      <x:c r="X100" s="46" t="str">
        <x:v>full 45-compound source table; per-compound exact match score not published, but source retained only matches ≥80%</x:v>
      </x:c>
      <x:c r="Y100" s="23"/>
      <x:c r="Z100" s="23"/>
    </x:row>
    <x:row r="101" ht="26.399999618530273" hidden="0" customHeight="1">
      <x:c r="A101" s="46" t="str">
        <x:v>BDM-IDQ-009</x:v>
      </x:c>
      <x:c r="B101" s="46" t="str">
        <x:v>beef:muscle</x:v>
      </x:c>
      <x:c r="C101" s="46" t="str">
        <x:v>beef</x:v>
      </x:c>
      <x:c r="D101" s="46" t="str">
        <x:v>cooked meat sample</x:v>
      </x:c>
      <x:c r="E101" s="46" t="str">
        <x:v>cooked beef identification-QA benchmark</x:v>
      </x:c>
      <x:c r="F101" s="46" t="str">
        <x:v>SRC-BEEF-IDQA-001</x:v>
      </x:c>
      <x:c r="G101" s="46" t="str">
        <x:v>Aldehydes</x:v>
      </x:c>
      <x:c r="H101" s="46" t="str">
        <x:v>2,4-Nonadienal (E,E)</x:v>
      </x:c>
      <x:c r="I101" s="46"/>
      <x:c r="J101" s="46" t="n">
        <x:v>1695</x:v>
      </x:c>
      <x:c r="K101" s="46" t="n">
        <x:v>1695</x:v>
      </x:c>
      <x:c r="L101" s="46" t="str">
        <x:v>NIST v14 MS (source minimum mass-match quality 80%) + calculated LRI</x:v>
      </x:c>
      <x:c r="M101" s="46"/>
      <x:c r="N101" s="46" t="n">
        <x:v>80</x:v>
      </x:c>
      <x:c r="O101" s="46" t="str">
        <x:v>verified_source_match_floor_80_plus_lri</x:v>
      </x:c>
      <x:c r="P101" s="46"/>
      <x:c r="Q101" s="46"/>
      <x:c r="R101" s="46"/>
      <x:c r="S101" s="46"/>
      <x:c r="T101" s="46"/>
      <x:c r="U101" s="46"/>
      <x:c r="V101" s="46"/>
      <x:c r="W101" s="46" t="str">
        <x:v>beef relative concentration 15.29 µg/kg; target ion m/z 81; RT 27.42 min</x:v>
      </x:c>
      <x:c r="X101" s="46" t="str">
        <x:v>full 45-compound source table; per-compound exact match score not published, but source retained only matches ≥80%</x:v>
      </x:c>
      <x:c r="Y101" s="23"/>
      <x:c r="Z101" s="23"/>
    </x:row>
    <x:row r="102" ht="26.399999618530273" hidden="0" customHeight="1">
      <x:c r="A102" s="46" t="str">
        <x:v>BDM-IDQ-010</x:v>
      </x:c>
      <x:c r="B102" s="46" t="str">
        <x:v>beef:muscle</x:v>
      </x:c>
      <x:c r="C102" s="46" t="str">
        <x:v>beef</x:v>
      </x:c>
      <x:c r="D102" s="46" t="str">
        <x:v>cooked meat sample</x:v>
      </x:c>
      <x:c r="E102" s="46" t="str">
        <x:v>cooked beef identification-QA benchmark</x:v>
      </x:c>
      <x:c r="F102" s="46" t="str">
        <x:v>SRC-BEEF-IDQA-001</x:v>
      </x:c>
      <x:c r="G102" s="46" t="str">
        <x:v>Aldehydes</x:v>
      </x:c>
      <x:c r="H102" s="46" t="str">
        <x:v>2-Undecenal</x:v>
      </x:c>
      <x:c r="I102" s="46"/>
      <x:c r="J102" s="46" t="n">
        <x:v>1748</x:v>
      </x:c>
      <x:c r="K102" s="46" t="n">
        <x:v>1750</x:v>
      </x:c>
      <x:c r="L102" s="46" t="str">
        <x:v>NIST v14 MS (source minimum mass-match quality 80%) + calculated LRI</x:v>
      </x:c>
      <x:c r="M102" s="46"/>
      <x:c r="N102" s="46" t="n">
        <x:v>80</x:v>
      </x:c>
      <x:c r="O102" s="46" t="str">
        <x:v>verified_source_match_floor_80_plus_lri</x:v>
      </x:c>
      <x:c r="P102" s="46"/>
      <x:c r="Q102" s="46"/>
      <x:c r="R102" s="46"/>
      <x:c r="S102" s="46"/>
      <x:c r="T102" s="46"/>
      <x:c r="U102" s="46"/>
      <x:c r="V102" s="46"/>
      <x:c r="W102" s="46" t="str">
        <x:v>beef relative concentration 62.64 µg/kg; target ion m/z 57; RT 28.64 min</x:v>
      </x:c>
      <x:c r="X102" s="46" t="str">
        <x:v>full 45-compound source table; per-compound exact match score not published, but source retained only matches ≥80%</x:v>
      </x:c>
      <x:c r="Y102" s="23"/>
      <x:c r="Z102" s="23"/>
    </x:row>
    <x:row r="103" ht="26.399999618530273" hidden="0" customHeight="1">
      <x:c r="A103" s="46" t="str">
        <x:v>BDM-IDQ-011</x:v>
      </x:c>
      <x:c r="B103" s="46" t="str">
        <x:v>beef:muscle</x:v>
      </x:c>
      <x:c r="C103" s="46" t="str">
        <x:v>beef</x:v>
      </x:c>
      <x:c r="D103" s="46" t="str">
        <x:v>cooked meat sample</x:v>
      </x:c>
      <x:c r="E103" s="46" t="str">
        <x:v>cooked beef identification-QA benchmark</x:v>
      </x:c>
      <x:c r="F103" s="46" t="str">
        <x:v>SRC-BEEF-IDQA-001</x:v>
      </x:c>
      <x:c r="G103" s="46" t="str">
        <x:v>Aldehydes</x:v>
      </x:c>
      <x:c r="H103" s="46" t="str">
        <x:v>2,4-Decadienal (E,E)</x:v>
      </x:c>
      <x:c r="I103" s="46"/>
      <x:c r="J103" s="46" t="n">
        <x:v>1805</x:v>
      </x:c>
      <x:c r="K103" s="46" t="n">
        <x:v>1805</x:v>
      </x:c>
      <x:c r="L103" s="46" t="str">
        <x:v>NIST v14 MS (source minimum mass-match quality 80%) + calculated LRI</x:v>
      </x:c>
      <x:c r="M103" s="46"/>
      <x:c r="N103" s="46" t="n">
        <x:v>80</x:v>
      </x:c>
      <x:c r="O103" s="46" t="str">
        <x:v>verified_source_match_floor_80_plus_lri</x:v>
      </x:c>
      <x:c r="P103" s="46"/>
      <x:c r="Q103" s="46"/>
      <x:c r="R103" s="46"/>
      <x:c r="S103" s="46"/>
      <x:c r="T103" s="46"/>
      <x:c r="U103" s="46"/>
      <x:c r="V103" s="46"/>
      <x:c r="W103" s="46" t="str">
        <x:v>beef relative concentration 16.94 µg/kg; target ion m/z 81; RT 29.90 min</x:v>
      </x:c>
      <x:c r="X103" s="46" t="str">
        <x:v>full 45-compound source table; per-compound exact match score not published, but source retained only matches ≥80%</x:v>
      </x:c>
      <x:c r="Y103" s="23"/>
      <x:c r="Z103" s="23"/>
    </x:row>
    <x:row r="104" ht="26.399999618530273" hidden="0" customHeight="1">
      <x:c r="A104" s="46" t="str">
        <x:v>BDM-IDQ-012</x:v>
      </x:c>
      <x:c r="B104" s="46" t="str">
        <x:v>beef:muscle</x:v>
      </x:c>
      <x:c r="C104" s="46" t="str">
        <x:v>beef</x:v>
      </x:c>
      <x:c r="D104" s="46" t="str">
        <x:v>cooked meat sample</x:v>
      </x:c>
      <x:c r="E104" s="46" t="str">
        <x:v>cooked beef identification-QA benchmark</x:v>
      </x:c>
      <x:c r="F104" s="46" t="str">
        <x:v>SRC-BEEF-IDQA-001</x:v>
      </x:c>
      <x:c r="G104" s="46" t="str">
        <x:v>Aldehydes</x:v>
      </x:c>
      <x:c r="H104" s="46" t="str">
        <x:v>Tetradecanal</x:v>
      </x:c>
      <x:c r="I104" s="46"/>
      <x:c r="J104" s="46" t="n">
        <x:v>1919</x:v>
      </x:c>
      <x:c r="K104" s="46" t="n">
        <x:v>1919</x:v>
      </x:c>
      <x:c r="L104" s="46" t="str">
        <x:v>NIST v14 MS (source minimum mass-match quality 80%) + calculated LRI</x:v>
      </x:c>
      <x:c r="M104" s="46"/>
      <x:c r="N104" s="46" t="n">
        <x:v>80</x:v>
      </x:c>
      <x:c r="O104" s="46" t="str">
        <x:v>verified_source_match_floor_80_plus_lri</x:v>
      </x:c>
      <x:c r="P104" s="46"/>
      <x:c r="Q104" s="46"/>
      <x:c r="R104" s="46"/>
      <x:c r="S104" s="46"/>
      <x:c r="T104" s="46"/>
      <x:c r="U104" s="46"/>
      <x:c r="V104" s="46"/>
      <x:c r="W104" s="46" t="str">
        <x:v>beef relative concentration 9.87 µg/kg; target ion m/z 57; RT 31.91 min</x:v>
      </x:c>
      <x:c r="X104" s="46" t="str">
        <x:v>full 45-compound source table; per-compound exact match score not published, but source retained only matches ≥80%</x:v>
      </x:c>
      <x:c r="Y104" s="23"/>
      <x:c r="Z104" s="23"/>
    </x:row>
    <x:row r="105" ht="26.399999618530273" hidden="0" customHeight="1">
      <x:c r="A105" s="46" t="str">
        <x:v>BDM-IDQ-013</x:v>
      </x:c>
      <x:c r="B105" s="46" t="str">
        <x:v>beef:muscle</x:v>
      </x:c>
      <x:c r="C105" s="46" t="str">
        <x:v>beef</x:v>
      </x:c>
      <x:c r="D105" s="46" t="str">
        <x:v>cooked meat sample</x:v>
      </x:c>
      <x:c r="E105" s="46" t="str">
        <x:v>cooked beef identification-QA benchmark</x:v>
      </x:c>
      <x:c r="F105" s="46" t="str">
        <x:v>SRC-BEEF-IDQA-001</x:v>
      </x:c>
      <x:c r="G105" s="46" t="str">
        <x:v>Aldehydes</x:v>
      </x:c>
      <x:c r="H105" s="46" t="str">
        <x:v>Pentadecanal</x:v>
      </x:c>
      <x:c r="I105" s="46"/>
      <x:c r="J105" s="46" t="n">
        <x:v>2026</x:v>
      </x:c>
      <x:c r="K105" s="46" t="n">
        <x:v>2024</x:v>
      </x:c>
      <x:c r="L105" s="46" t="str">
        <x:v>NIST v14 MS (source minimum mass-match quality 80%) + calculated LRI</x:v>
      </x:c>
      <x:c r="M105" s="46"/>
      <x:c r="N105" s="46" t="n">
        <x:v>80</x:v>
      </x:c>
      <x:c r="O105" s="46" t="str">
        <x:v>verified_source_match_floor_80_plus_lri</x:v>
      </x:c>
      <x:c r="P105" s="46"/>
      <x:c r="Q105" s="46"/>
      <x:c r="R105" s="46"/>
      <x:c r="S105" s="46"/>
      <x:c r="T105" s="46"/>
      <x:c r="U105" s="46"/>
      <x:c r="V105" s="46"/>
      <x:c r="W105" s="46" t="str">
        <x:v>beef relative concentration 18.80 µg/kg; target ion m/z 82; RT 33.53 min</x:v>
      </x:c>
      <x:c r="X105" s="46" t="str">
        <x:v>full 45-compound source table; per-compound exact match score not published, but source retained only matches ≥80%</x:v>
      </x:c>
      <x:c r="Y105" s="23"/>
      <x:c r="Z105" s="23"/>
    </x:row>
    <x:row r="106" ht="26.399999618530273" hidden="0" customHeight="1">
      <x:c r="A106" s="46" t="str">
        <x:v>BDM-IDQ-014</x:v>
      </x:c>
      <x:c r="B106" s="46" t="str">
        <x:v>beef:muscle</x:v>
      </x:c>
      <x:c r="C106" s="46" t="str">
        <x:v>beef</x:v>
      </x:c>
      <x:c r="D106" s="46" t="str">
        <x:v>cooked meat sample</x:v>
      </x:c>
      <x:c r="E106" s="46" t="str">
        <x:v>cooked beef identification-QA benchmark</x:v>
      </x:c>
      <x:c r="F106" s="46" t="str">
        <x:v>SRC-BEEF-IDQA-001</x:v>
      </x:c>
      <x:c r="G106" s="46" t="str">
        <x:v>Aldehydes</x:v>
      </x:c>
      <x:c r="H106" s="46" t="str">
        <x:v>Hexadecanal</x:v>
      </x:c>
      <x:c r="I106" s="46"/>
      <x:c r="J106" s="46" t="n">
        <x:v>2134</x:v>
      </x:c>
      <x:c r="K106" s="46" t="n">
        <x:v>2135</x:v>
      </x:c>
      <x:c r="L106" s="46" t="str">
        <x:v>NIST v14 MS (source minimum mass-match quality 80%) + calculated LRI</x:v>
      </x:c>
      <x:c r="M106" s="46"/>
      <x:c r="N106" s="46" t="n">
        <x:v>80</x:v>
      </x:c>
      <x:c r="O106" s="46" t="str">
        <x:v>verified_source_match_floor_80_plus_lri</x:v>
      </x:c>
      <x:c r="P106" s="46"/>
      <x:c r="Q106" s="46"/>
      <x:c r="R106" s="46"/>
      <x:c r="S106" s="46"/>
      <x:c r="T106" s="46"/>
      <x:c r="U106" s="46"/>
      <x:c r="V106" s="46"/>
      <x:c r="W106" s="46" t="str">
        <x:v>beef relative concentration 31.18 µg/kg; target ion m/z 57; RT 34.98 min</x:v>
      </x:c>
      <x:c r="X106" s="46" t="str">
        <x:v>full 45-compound source table; per-compound exact match score not published, but source retained only matches ≥80%</x:v>
      </x:c>
      <x:c r="Y106" s="23"/>
      <x:c r="Z106" s="23"/>
    </x:row>
    <x:row r="107" ht="26.399999618530273" hidden="0" customHeight="1">
      <x:c r="A107" s="46" t="str">
        <x:v>BDM-IDQ-015</x:v>
      </x:c>
      <x:c r="B107" s="46" t="str">
        <x:v>beef:muscle</x:v>
      </x:c>
      <x:c r="C107" s="46" t="str">
        <x:v>beef</x:v>
      </x:c>
      <x:c r="D107" s="46" t="str">
        <x:v>cooked meat sample</x:v>
      </x:c>
      <x:c r="E107" s="46" t="str">
        <x:v>cooked beef identification-QA benchmark</x:v>
      </x:c>
      <x:c r="F107" s="46" t="str">
        <x:v>SRC-BEEF-IDQA-001</x:v>
      </x:c>
      <x:c r="G107" s="46" t="str">
        <x:v>Aldehydes</x:v>
      </x:c>
      <x:c r="H107" s="46" t="str">
        <x:v>Dodecanal</x:v>
      </x:c>
      <x:c r="I107" s="46"/>
      <x:c r="J107" s="46" t="n">
        <x:v>1704</x:v>
      </x:c>
      <x:c r="K107" s="46" t="n">
        <x:v>1704</x:v>
      </x:c>
      <x:c r="L107" s="46" t="str">
        <x:v>NIST v14 MS (source minimum mass-match quality 80%) + calculated LRI</x:v>
      </x:c>
      <x:c r="M107" s="46"/>
      <x:c r="N107" s="46" t="n">
        <x:v>80</x:v>
      </x:c>
      <x:c r="O107" s="46" t="str">
        <x:v>verified_source_match_floor_80_plus_lri</x:v>
      </x:c>
      <x:c r="P107" s="46"/>
      <x:c r="Q107" s="46"/>
      <x:c r="R107" s="46"/>
      <x:c r="S107" s="46"/>
      <x:c r="T107" s="46"/>
      <x:c r="U107" s="46"/>
      <x:c r="V107" s="46"/>
      <x:c r="W107" s="46" t="str">
        <x:v>beef relative concentration 23.35 µg/kg; target ion m/z 57; RT 27.67 min</x:v>
      </x:c>
      <x:c r="X107" s="46" t="str">
        <x:v>full 45-compound source table; per-compound exact match score not published, but source retained only matches ≥80%</x:v>
      </x:c>
      <x:c r="Y107" s="23"/>
      <x:c r="Z107" s="23"/>
    </x:row>
    <x:row r="108" ht="26.399999618530273" hidden="0" customHeight="1">
      <x:c r="A108" s="46" t="str">
        <x:v>BDM-IDQ-016</x:v>
      </x:c>
      <x:c r="B108" s="46" t="str">
        <x:v>beef:muscle</x:v>
      </x:c>
      <x:c r="C108" s="46" t="str">
        <x:v>beef</x:v>
      </x:c>
      <x:c r="D108" s="46" t="str">
        <x:v>cooked meat sample</x:v>
      </x:c>
      <x:c r="E108" s="46" t="str">
        <x:v>cooked beef identification-QA benchmark</x:v>
      </x:c>
      <x:c r="F108" s="46" t="str">
        <x:v>SRC-BEEF-IDQA-001</x:v>
      </x:c>
      <x:c r="G108" s="46" t="str">
        <x:v>Aldehydes</x:v>
      </x:c>
      <x:c r="H108" s="46" t="str">
        <x:v>Benzeneacetaldehyde</x:v>
      </x:c>
      <x:c r="I108" s="46"/>
      <x:c r="J108" s="46" t="n">
        <x:v>1644</x:v>
      </x:c>
      <x:c r="K108" s="46" t="n">
        <x:v>1635</x:v>
      </x:c>
      <x:c r="L108" s="46" t="str">
        <x:v>NIST v14 MS (source minimum mass-match quality 80%) + calculated LRI</x:v>
      </x:c>
      <x:c r="M108" s="46"/>
      <x:c r="N108" s="46" t="n">
        <x:v>80</x:v>
      </x:c>
      <x:c r="O108" s="46" t="str">
        <x:v>verified_source_match_floor_80_plus_lri</x:v>
      </x:c>
      <x:c r="P108" s="46"/>
      <x:c r="Q108" s="46"/>
      <x:c r="R108" s="46"/>
      <x:c r="S108" s="46"/>
      <x:c r="T108" s="46"/>
      <x:c r="U108" s="46"/>
      <x:c r="V108" s="46"/>
      <x:c r="W108" s="46" t="str">
        <x:v>beef relative concentration 18.85 µg/kg; target ion m/z 91; RT 25.81 min</x:v>
      </x:c>
      <x:c r="X108" s="46" t="str">
        <x:v>full 45-compound source table; per-compound exact match score not published, but source retained only matches ≥80%</x:v>
      </x:c>
      <x:c r="Y108" s="23"/>
      <x:c r="Z108" s="23"/>
    </x:row>
    <x:row r="109" ht="26.399999618530273" hidden="0" customHeight="1">
      <x:c r="A109" s="46" t="str">
        <x:v>BDM-IDQ-017</x:v>
      </x:c>
      <x:c r="B109" s="46" t="str">
        <x:v>beef:muscle</x:v>
      </x:c>
      <x:c r="C109" s="46" t="str">
        <x:v>beef</x:v>
      </x:c>
      <x:c r="D109" s="46" t="str">
        <x:v>cooked meat sample</x:v>
      </x:c>
      <x:c r="E109" s="46" t="str">
        <x:v>cooked beef identification-QA benchmark</x:v>
      </x:c>
      <x:c r="F109" s="46" t="str">
        <x:v>SRC-BEEF-IDQA-001</x:v>
      </x:c>
      <x:c r="G109" s="46" t="str">
        <x:v>Alcohols</x:v>
      </x:c>
      <x:c r="H109" s="46" t="str">
        <x:v>1-Octen-3-ol</x:v>
      </x:c>
      <x:c r="I109" s="46"/>
      <x:c r="J109" s="46" t="n">
        <x:v>1445</x:v>
      </x:c>
      <x:c r="K109" s="46" t="n">
        <x:v>1445</x:v>
      </x:c>
      <x:c r="L109" s="46" t="str">
        <x:v>NIST v14 MS (source minimum mass-match quality 80%) + calculated LRI</x:v>
      </x:c>
      <x:c r="M109" s="46"/>
      <x:c r="N109" s="46" t="n">
        <x:v>80</x:v>
      </x:c>
      <x:c r="O109" s="46" t="str">
        <x:v>verified_source_match_floor_80_plus_lri</x:v>
      </x:c>
      <x:c r="P109" s="46"/>
      <x:c r="Q109" s="46"/>
      <x:c r="R109" s="46"/>
      <x:c r="S109" s="46"/>
      <x:c r="T109" s="46"/>
      <x:c r="U109" s="46"/>
      <x:c r="V109" s="46"/>
      <x:c r="W109" s="46" t="str">
        <x:v>beef relative concentration 38.96 µg/kg; target ion m/z 57; RT 19.54 min</x:v>
      </x:c>
      <x:c r="X109" s="46" t="str">
        <x:v>full 45-compound source table; per-compound exact match score not published, but source retained only matches ≥80%</x:v>
      </x:c>
      <x:c r="Y109" s="23"/>
      <x:c r="Z109" s="23"/>
    </x:row>
    <x:row r="110" ht="26.399999618530273" hidden="0" customHeight="1">
      <x:c r="A110" s="46" t="str">
        <x:v>BDM-IDQ-018</x:v>
      </x:c>
      <x:c r="B110" s="46" t="str">
        <x:v>beef:muscle</x:v>
      </x:c>
      <x:c r="C110" s="46" t="str">
        <x:v>beef</x:v>
      </x:c>
      <x:c r="D110" s="46" t="str">
        <x:v>cooked meat sample</x:v>
      </x:c>
      <x:c r="E110" s="46" t="str">
        <x:v>cooked beef identification-QA benchmark</x:v>
      </x:c>
      <x:c r="F110" s="46" t="str">
        <x:v>SRC-BEEF-IDQA-001</x:v>
      </x:c>
      <x:c r="G110" s="46" t="str">
        <x:v>Alcohols</x:v>
      </x:c>
      <x:c r="H110" s="46" t="str">
        <x:v>1-Heptanol</x:v>
      </x:c>
      <x:c r="I110" s="46"/>
      <x:c r="J110" s="46" t="n">
        <x:v>1449</x:v>
      </x:c>
      <x:c r="K110" s="46" t="n">
        <x:v>1449</x:v>
      </x:c>
      <x:c r="L110" s="46" t="str">
        <x:v>NIST v14 MS (source minimum mass-match quality 80%) + calculated LRI</x:v>
      </x:c>
      <x:c r="M110" s="46"/>
      <x:c r="N110" s="46" t="n">
        <x:v>80</x:v>
      </x:c>
      <x:c r="O110" s="46" t="str">
        <x:v>verified_source_match_floor_80_plus_lri</x:v>
      </x:c>
      <x:c r="P110" s="46"/>
      <x:c r="Q110" s="46"/>
      <x:c r="R110" s="46"/>
      <x:c r="S110" s="46"/>
      <x:c r="T110" s="46"/>
      <x:c r="U110" s="46"/>
      <x:c r="V110" s="46"/>
      <x:c r="W110" s="46" t="str">
        <x:v>beef relative concentration 55.33 µg/kg; target ion m/z 56; RT 19.67 min</x:v>
      </x:c>
      <x:c r="X110" s="46" t="str">
        <x:v>full 45-compound source table; per-compound exact match score not published, but source retained only matches ≥80%</x:v>
      </x:c>
      <x:c r="Y110" s="23"/>
      <x:c r="Z110" s="23"/>
    </x:row>
    <x:row r="111" ht="26.399999618530273" hidden="0" customHeight="1">
      <x:c r="A111" s="46" t="str">
        <x:v>BDM-IDQ-019</x:v>
      </x:c>
      <x:c r="B111" s="46" t="str">
        <x:v>beef:muscle</x:v>
      </x:c>
      <x:c r="C111" s="46" t="str">
        <x:v>beef</x:v>
      </x:c>
      <x:c r="D111" s="46" t="str">
        <x:v>cooked meat sample</x:v>
      </x:c>
      <x:c r="E111" s="46" t="str">
        <x:v>cooked beef identification-QA benchmark</x:v>
      </x:c>
      <x:c r="F111" s="46" t="str">
        <x:v>SRC-BEEF-IDQA-001</x:v>
      </x:c>
      <x:c r="G111" s="46" t="str">
        <x:v>Alcohols</x:v>
      </x:c>
      <x:c r="H111" s="46" t="str">
        <x:v>2-Ethyl-1-hexanol</x:v>
      </x:c>
      <x:c r="I111" s="46"/>
      <x:c r="J111" s="46" t="n">
        <x:v>1485</x:v>
      </x:c>
      <x:c r="K111" s="46" t="n">
        <x:v>1485</x:v>
      </x:c>
      <x:c r="L111" s="46" t="str">
        <x:v>NIST v14 MS (source minimum mass-match quality 80%) + calculated LRI</x:v>
      </x:c>
      <x:c r="M111" s="46"/>
      <x:c r="N111" s="46" t="n">
        <x:v>80</x:v>
      </x:c>
      <x:c r="O111" s="46" t="str">
        <x:v>verified_source_match_floor_80_plus_lri</x:v>
      </x:c>
      <x:c r="P111" s="46"/>
      <x:c r="Q111" s="46"/>
      <x:c r="R111" s="46"/>
      <x:c r="S111" s="46"/>
      <x:c r="T111" s="46"/>
      <x:c r="U111" s="46"/>
      <x:c r="V111" s="46"/>
      <x:c r="W111" s="46" t="str">
        <x:v>beef relative concentration 77.22 µg/kg; target ion m/z 57; RT 20.80 min</x:v>
      </x:c>
      <x:c r="X111" s="46" t="str">
        <x:v>full 45-compound source table; per-compound exact match score not published, but source retained only matches ≥80%</x:v>
      </x:c>
      <x:c r="Y111" s="23"/>
      <x:c r="Z111" s="23"/>
    </x:row>
    <x:row r="112" ht="26.399999618530273" hidden="0" customHeight="1">
      <x:c r="A112" s="46" t="str">
        <x:v>BDM-IDQ-020</x:v>
      </x:c>
      <x:c r="B112" s="46" t="str">
        <x:v>beef:muscle</x:v>
      </x:c>
      <x:c r="C112" s="46" t="str">
        <x:v>beef</x:v>
      </x:c>
      <x:c r="D112" s="46" t="str">
        <x:v>cooked meat sample</x:v>
      </x:c>
      <x:c r="E112" s="46" t="str">
        <x:v>cooked beef identification-QA benchmark</x:v>
      </x:c>
      <x:c r="F112" s="46" t="str">
        <x:v>SRC-BEEF-IDQA-001</x:v>
      </x:c>
      <x:c r="G112" s="46" t="str">
        <x:v>Alcohols</x:v>
      </x:c>
      <x:c r="H112" s="46" t="str">
        <x:v>1-Octanol</x:v>
      </x:c>
      <x:c r="I112" s="46"/>
      <x:c r="J112" s="46" t="n">
        <x:v>1552</x:v>
      </x:c>
      <x:c r="K112" s="46" t="n">
        <x:v>1552</x:v>
      </x:c>
      <x:c r="L112" s="46" t="str">
        <x:v>NIST v14 MS (source minimum mass-match quality 80%) + calculated LRI</x:v>
      </x:c>
      <x:c r="M112" s="46"/>
      <x:c r="N112" s="46" t="n">
        <x:v>80</x:v>
      </x:c>
      <x:c r="O112" s="46" t="str">
        <x:v>verified_source_match_floor_80_plus_lri</x:v>
      </x:c>
      <x:c r="P112" s="46"/>
      <x:c r="Q112" s="46"/>
      <x:c r="R112" s="46"/>
      <x:c r="S112" s="46"/>
      <x:c r="T112" s="46"/>
      <x:c r="U112" s="46"/>
      <x:c r="V112" s="46"/>
      <x:c r="W112" s="46" t="str">
        <x:v>beef relative concentration 78.15 µg/kg; target ion m/z 56; RT 22.91 min</x:v>
      </x:c>
      <x:c r="X112" s="46" t="str">
        <x:v>full 45-compound source table; per-compound exact match score not published, but source retained only matches ≥80%</x:v>
      </x:c>
      <x:c r="Y112" s="23"/>
      <x:c r="Z112" s="23"/>
    </x:row>
    <x:row r="113" ht="26.399999618530273" hidden="0" customHeight="1">
      <x:c r="A113" s="46" t="str">
        <x:v>BDM-IDQ-021</x:v>
      </x:c>
      <x:c r="B113" s="46" t="str">
        <x:v>beef:muscle</x:v>
      </x:c>
      <x:c r="C113" s="46" t="str">
        <x:v>beef</x:v>
      </x:c>
      <x:c r="D113" s="46" t="str">
        <x:v>cooked meat sample</x:v>
      </x:c>
      <x:c r="E113" s="46" t="str">
        <x:v>cooked beef identification-QA benchmark</x:v>
      </x:c>
      <x:c r="F113" s="46" t="str">
        <x:v>SRC-BEEF-IDQA-001</x:v>
      </x:c>
      <x:c r="G113" s="46" t="str">
        <x:v>Alcohols</x:v>
      </x:c>
      <x:c r="H113" s="46" t="str">
        <x:v>2-Octen-1-ol (E)</x:v>
      </x:c>
      <x:c r="I113" s="46"/>
      <x:c r="J113" s="46" t="n">
        <x:v>1614</x:v>
      </x:c>
      <x:c r="K113" s="46" t="n">
        <x:v>1613</x:v>
      </x:c>
      <x:c r="L113" s="46" t="str">
        <x:v>NIST v14 MS (source minimum mass-match quality 80%) + calculated LRI</x:v>
      </x:c>
      <x:c r="M113" s="46"/>
      <x:c r="N113" s="46" t="n">
        <x:v>80</x:v>
      </x:c>
      <x:c r="O113" s="46" t="str">
        <x:v>verified_source_match_floor_80_plus_lri</x:v>
      </x:c>
      <x:c r="P113" s="46"/>
      <x:c r="Q113" s="46"/>
      <x:c r="R113" s="46"/>
      <x:c r="S113" s="46"/>
      <x:c r="T113" s="46"/>
      <x:c r="U113" s="46"/>
      <x:c r="V113" s="46"/>
      <x:c r="W113" s="46" t="str">
        <x:v>beef relative concentration 13.80 µg/kg; target ion m/z 57; RT 24.88 min</x:v>
      </x:c>
      <x:c r="X113" s="46" t="str">
        <x:v>full 45-compound source table; per-compound exact match score not published, but source retained only matches ≥80%</x:v>
      </x:c>
      <x:c r="Y113" s="23"/>
      <x:c r="Z113" s="23"/>
    </x:row>
    <x:row r="114" ht="26.399999618530273" hidden="0" customHeight="1">
      <x:c r="A114" s="46" t="str">
        <x:v>BDM-IDQ-022</x:v>
      </x:c>
      <x:c r="B114" s="46" t="str">
        <x:v>beef:muscle</x:v>
      </x:c>
      <x:c r="C114" s="46" t="str">
        <x:v>beef</x:v>
      </x:c>
      <x:c r="D114" s="46" t="str">
        <x:v>cooked meat sample</x:v>
      </x:c>
      <x:c r="E114" s="46" t="str">
        <x:v>cooked beef identification-QA benchmark</x:v>
      </x:c>
      <x:c r="F114" s="46" t="str">
        <x:v>SRC-BEEF-IDQA-001</x:v>
      </x:c>
      <x:c r="G114" s="46" t="str">
        <x:v>Alcohols</x:v>
      </x:c>
      <x:c r="H114" s="46" t="str">
        <x:v>1-Dodecanol</x:v>
      </x:c>
      <x:c r="I114" s="46"/>
      <x:c r="J114" s="46" t="n">
        <x:v>1965</x:v>
      </x:c>
      <x:c r="K114" s="46" t="n">
        <x:v>1964</x:v>
      </x:c>
      <x:c r="L114" s="46" t="str">
        <x:v>NIST v14 MS (source minimum mass-match quality 80%) + calculated LRI</x:v>
      </x:c>
      <x:c r="M114" s="46"/>
      <x:c r="N114" s="46" t="n">
        <x:v>80</x:v>
      </x:c>
      <x:c r="O114" s="46" t="str">
        <x:v>verified_source_match_floor_80_plus_lri</x:v>
      </x:c>
      <x:c r="P114" s="46"/>
      <x:c r="Q114" s="46"/>
      <x:c r="R114" s="46"/>
      <x:c r="S114" s="46"/>
      <x:c r="T114" s="46"/>
      <x:c r="U114" s="46"/>
      <x:c r="V114" s="46"/>
      <x:c r="W114" s="46" t="str">
        <x:v>beef relative concentration 10.63 µg/kg; target ion m/z 55; RT 32.61 min</x:v>
      </x:c>
      <x:c r="X114" s="46" t="str">
        <x:v>full 45-compound source table; per-compound exact match score not published, but source retained only matches ≥80%</x:v>
      </x:c>
      <x:c r="Y114" s="23"/>
      <x:c r="Z114" s="23"/>
    </x:row>
    <x:row r="115" ht="26.399999618530273" hidden="0" customHeight="1">
      <x:c r="A115" s="46" t="str">
        <x:v>BDM-IDQ-023</x:v>
      </x:c>
      <x:c r="B115" s="46" t="str">
        <x:v>beef:muscle</x:v>
      </x:c>
      <x:c r="C115" s="46" t="str">
        <x:v>beef</x:v>
      </x:c>
      <x:c r="D115" s="46" t="str">
        <x:v>cooked meat sample</x:v>
      </x:c>
      <x:c r="E115" s="46" t="str">
        <x:v>cooked beef identification-QA benchmark</x:v>
      </x:c>
      <x:c r="F115" s="46" t="str">
        <x:v>SRC-BEEF-IDQA-001</x:v>
      </x:c>
      <x:c r="G115" s="46" t="str">
        <x:v>Alcohols</x:v>
      </x:c>
      <x:c r="H115" s="46" t="str">
        <x:v>2-Phenyl-2-propanol</x:v>
      </x:c>
      <x:c r="I115" s="46"/>
      <x:c r="J115" s="46" t="n">
        <x:v>1761</x:v>
      </x:c>
      <x:c r="K115" s="46" t="n">
        <x:v>1759</x:v>
      </x:c>
      <x:c r="L115" s="46" t="str">
        <x:v>NIST v14 MS (source minimum mass-match quality 80%) + calculated LRI</x:v>
      </x:c>
      <x:c r="M115" s="46"/>
      <x:c r="N115" s="46" t="n">
        <x:v>80</x:v>
      </x:c>
      <x:c r="O115" s="46" t="str">
        <x:v>verified_source_match_floor_80_plus_lri</x:v>
      </x:c>
      <x:c r="P115" s="46"/>
      <x:c r="Q115" s="46"/>
      <x:c r="R115" s="46"/>
      <x:c r="S115" s="46"/>
      <x:c r="T115" s="46"/>
      <x:c r="U115" s="46"/>
      <x:c r="V115" s="46"/>
      <x:c r="W115" s="46" t="str">
        <x:v>beef relative concentration 8.70 µg/kg; target ion m/z 43; RT 28.94 min</x:v>
      </x:c>
      <x:c r="X115" s="46" t="str">
        <x:v>full 45-compound source table; per-compound exact match score not published, but source retained only matches ≥80%</x:v>
      </x:c>
      <x:c r="Y115" s="23"/>
      <x:c r="Z115" s="23"/>
    </x:row>
    <x:row r="116" ht="26.399999618530273" hidden="0" customHeight="1">
      <x:c r="A116" s="46" t="str">
        <x:v>BDM-IDQ-024</x:v>
      </x:c>
      <x:c r="B116" s="46" t="str">
        <x:v>beef:muscle</x:v>
      </x:c>
      <x:c r="C116" s="46" t="str">
        <x:v>beef</x:v>
      </x:c>
      <x:c r="D116" s="46" t="str">
        <x:v>cooked meat sample</x:v>
      </x:c>
      <x:c r="E116" s="46" t="str">
        <x:v>cooked beef identification-QA benchmark</x:v>
      </x:c>
      <x:c r="F116" s="46" t="str">
        <x:v>SRC-BEEF-IDQA-001</x:v>
      </x:c>
      <x:c r="G116" s="46" t="str">
        <x:v>Phenols</x:v>
      </x:c>
      <x:c r="H116" s="46" t="str">
        <x:v>4-Methyl phenol</x:v>
      </x:c>
      <x:c r="I116" s="46"/>
      <x:c r="J116" s="46" t="n">
        <x:v>2091</x:v>
      </x:c>
      <x:c r="K116" s="46" t="n">
        <x:v>2094</x:v>
      </x:c>
      <x:c r="L116" s="46" t="str">
        <x:v>NIST v14 MS (source minimum mass-match quality 80%) + calculated LRI</x:v>
      </x:c>
      <x:c r="M116" s="46"/>
      <x:c r="N116" s="46" t="n">
        <x:v>80</x:v>
      </x:c>
      <x:c r="O116" s="46" t="str">
        <x:v>verified_source_match_floor_80_plus_lri</x:v>
      </x:c>
      <x:c r="P116" s="46"/>
      <x:c r="Q116" s="46"/>
      <x:c r="R116" s="46"/>
      <x:c r="S116" s="46"/>
      <x:c r="T116" s="46"/>
      <x:c r="U116" s="46"/>
      <x:c r="V116" s="46"/>
      <x:c r="W116" s="46" t="str">
        <x:v>beef relative concentration 2.37 µg/kg; target ion m/z 60; RT 34.42 min</x:v>
      </x:c>
      <x:c r="X116" s="46" t="str">
        <x:v>full 45-compound source table; per-compound exact match score not published, but source retained only matches ≥80%</x:v>
      </x:c>
      <x:c r="Y116" s="23"/>
      <x:c r="Z116" s="23"/>
    </x:row>
    <x:row r="117" ht="26.399999618530273" hidden="0" customHeight="1">
      <x:c r="A117" s="46" t="str">
        <x:v>BDM-IDQ-025</x:v>
      </x:c>
      <x:c r="B117" s="46" t="str">
        <x:v>beef:muscle</x:v>
      </x:c>
      <x:c r="C117" s="46" t="str">
        <x:v>beef</x:v>
      </x:c>
      <x:c r="D117" s="46" t="str">
        <x:v>cooked meat sample</x:v>
      </x:c>
      <x:c r="E117" s="46" t="str">
        <x:v>cooked beef identification-QA benchmark</x:v>
      </x:c>
      <x:c r="F117" s="46" t="str">
        <x:v>SRC-BEEF-IDQA-001</x:v>
      </x:c>
      <x:c r="G117" s="46" t="str">
        <x:v>Pyrazines</x:v>
      </x:c>
      <x:c r="H117" s="46" t="str">
        <x:v>3-Ethyl-2,5-dimethyl pyrazine</x:v>
      </x:c>
      <x:c r="I117" s="46"/>
      <x:c r="J117" s="46" t="n">
        <x:v>1432</x:v>
      </x:c>
      <x:c r="K117" s="46" t="n">
        <x:v>1433</x:v>
      </x:c>
      <x:c r="L117" s="46" t="str">
        <x:v>NIST v14 MS (source minimum mass-match quality 80%) + calculated LRI</x:v>
      </x:c>
      <x:c r="M117" s="46"/>
      <x:c r="N117" s="46" t="n">
        <x:v>80</x:v>
      </x:c>
      <x:c r="O117" s="46" t="str">
        <x:v>verified_source_match_floor_80_plus_lri</x:v>
      </x:c>
      <x:c r="P117" s="46"/>
      <x:c r="Q117" s="46"/>
      <x:c r="R117" s="46"/>
      <x:c r="S117" s="46"/>
      <x:c r="T117" s="46"/>
      <x:c r="U117" s="46"/>
      <x:c r="V117" s="46"/>
      <x:c r="W117" s="46" t="str">
        <x:v>beef relative concentration 18.57 µg/kg; target ion m/z 135; RT 19.13 min</x:v>
      </x:c>
      <x:c r="X117" s="46" t="str">
        <x:v>full 45-compound source table; per-compound exact match score not published, but source retained only matches ≥80%</x:v>
      </x:c>
      <x:c r="Y117" s="23"/>
      <x:c r="Z117" s="23"/>
    </x:row>
    <x:row r="118" ht="26.399999618530273" hidden="0" customHeight="1">
      <x:c r="A118" s="46" t="str">
        <x:v>BDM-IDQ-026</x:v>
      </x:c>
      <x:c r="B118" s="46" t="str">
        <x:v>beef:muscle</x:v>
      </x:c>
      <x:c r="C118" s="46" t="str">
        <x:v>beef</x:v>
      </x:c>
      <x:c r="D118" s="46" t="str">
        <x:v>cooked meat sample</x:v>
      </x:c>
      <x:c r="E118" s="46" t="str">
        <x:v>cooked beef identification-QA benchmark</x:v>
      </x:c>
      <x:c r="F118" s="46" t="str">
        <x:v>SRC-BEEF-IDQA-001</x:v>
      </x:c>
      <x:c r="G118" s="46" t="str">
        <x:v>Pyrazines</x:v>
      </x:c>
      <x:c r="H118" s="46" t="str">
        <x:v>2,5-Dimethyl pyrazine</x:v>
      </x:c>
      <x:c r="I118" s="46"/>
      <x:c r="J118" s="46" t="n">
        <x:v>1304</x:v>
      </x:c>
      <x:c r="K118" s="46" t="n">
        <x:v>1306</x:v>
      </x:c>
      <x:c r="L118" s="46" t="str">
        <x:v>NIST v14 MS (source minimum mass-match quality 80%) + calculated LRI</x:v>
      </x:c>
      <x:c r="M118" s="46"/>
      <x:c r="N118" s="46" t="n">
        <x:v>80</x:v>
      </x:c>
      <x:c r="O118" s="46" t="str">
        <x:v>verified_source_match_floor_80_plus_lri</x:v>
      </x:c>
      <x:c r="P118" s="46"/>
      <x:c r="Q118" s="46"/>
      <x:c r="R118" s="46"/>
      <x:c r="S118" s="46"/>
      <x:c r="T118" s="46"/>
      <x:c r="U118" s="46"/>
      <x:c r="V118" s="46"/>
      <x:c r="W118" s="46" t="str">
        <x:v>beef relative concentration 8.14 µg/kg; target ion m/z 108; RT 14.90 min</x:v>
      </x:c>
      <x:c r="X118" s="46" t="str">
        <x:v>full 45-compound source table; per-compound exact match score not published, but source retained only matches ≥80%</x:v>
      </x:c>
      <x:c r="Y118" s="23"/>
      <x:c r="Z118" s="23"/>
    </x:row>
    <x:row r="119" ht="26.399999618530273" hidden="0" customHeight="1">
      <x:c r="A119" s="46" t="str">
        <x:v>BDM-IDQ-027</x:v>
      </x:c>
      <x:c r="B119" s="46" t="str">
        <x:v>beef:muscle</x:v>
      </x:c>
      <x:c r="C119" s="46" t="str">
        <x:v>beef</x:v>
      </x:c>
      <x:c r="D119" s="46" t="str">
        <x:v>cooked meat sample</x:v>
      </x:c>
      <x:c r="E119" s="46" t="str">
        <x:v>cooked beef identification-QA benchmark</x:v>
      </x:c>
      <x:c r="F119" s="46" t="str">
        <x:v>SRC-BEEF-IDQA-001</x:v>
      </x:c>
      <x:c r="G119" s="46" t="str">
        <x:v>Pyrazines</x:v>
      </x:c>
      <x:c r="H119" s="46" t="str">
        <x:v>2-Ethyl-5-methyl pyrazine</x:v>
      </x:c>
      <x:c r="I119" s="46"/>
      <x:c r="J119" s="46" t="n">
        <x:v>1378</x:v>
      </x:c>
      <x:c r="K119" s="46" t="n">
        <x:v>1378</x:v>
      </x:c>
      <x:c r="L119" s="46" t="str">
        <x:v>NIST v14 MS (source minimum mass-match quality 80%) + calculated LRI</x:v>
      </x:c>
      <x:c r="M119" s="46"/>
      <x:c r="N119" s="46" t="n">
        <x:v>80</x:v>
      </x:c>
      <x:c r="O119" s="46" t="str">
        <x:v>verified_source_match_floor_80_plus_lri</x:v>
      </x:c>
      <x:c r="P119" s="46"/>
      <x:c r="Q119" s="46"/>
      <x:c r="R119" s="46"/>
      <x:c r="S119" s="46"/>
      <x:c r="T119" s="46"/>
      <x:c r="U119" s="46"/>
      <x:c r="V119" s="46"/>
      <x:c r="W119" s="46" t="str">
        <x:v>beef relative concentration 6.57 µg/kg; target ion m/z 121; RT 17.35 min</x:v>
      </x:c>
      <x:c r="X119" s="46" t="str">
        <x:v>full 45-compound source table; per-compound exact match score not published, but source retained only matches ≥80%</x:v>
      </x:c>
      <x:c r="Y119" s="23"/>
      <x:c r="Z119" s="23"/>
    </x:row>
    <x:row r="120" ht="26.399999618530273" hidden="0" customHeight="1">
      <x:c r="A120" s="46" t="str">
        <x:v>BDM-IDQ-028</x:v>
      </x:c>
      <x:c r="B120" s="46" t="str">
        <x:v>beef:muscle</x:v>
      </x:c>
      <x:c r="C120" s="46" t="str">
        <x:v>beef</x:v>
      </x:c>
      <x:c r="D120" s="46" t="str">
        <x:v>cooked meat sample</x:v>
      </x:c>
      <x:c r="E120" s="46" t="str">
        <x:v>cooked beef identification-QA benchmark</x:v>
      </x:c>
      <x:c r="F120" s="46" t="str">
        <x:v>SRC-BEEF-IDQA-001</x:v>
      </x:c>
      <x:c r="G120" s="46" t="str">
        <x:v>Nitrogen heterocycles</x:v>
      </x:c>
      <x:c r="H120" s="46" t="str">
        <x:v>2-Acetylpyrrole</x:v>
      </x:c>
      <x:c r="I120" s="46"/>
      <x:c r="J120" s="46" t="n">
        <x:v>1977</x:v>
      </x:c>
      <x:c r="K120" s="46" t="n">
        <x:v>1977</x:v>
      </x:c>
      <x:c r="L120" s="46" t="str">
        <x:v>NIST v14 MS (source minimum mass-match quality 80%) + calculated LRI</x:v>
      </x:c>
      <x:c r="M120" s="46"/>
      <x:c r="N120" s="46" t="n">
        <x:v>80</x:v>
      </x:c>
      <x:c r="O120" s="46" t="str">
        <x:v>verified_source_match_floor_80_plus_lri</x:v>
      </x:c>
      <x:c r="P120" s="46"/>
      <x:c r="Q120" s="46"/>
      <x:c r="R120" s="46"/>
      <x:c r="S120" s="46"/>
      <x:c r="T120" s="46"/>
      <x:c r="U120" s="46"/>
      <x:c r="V120" s="46"/>
      <x:c r="W120" s="46" t="str">
        <x:v>beef relative concentration 12.78 µg/kg; target ion m/z 94; RT 32.82 min</x:v>
      </x:c>
      <x:c r="X120" s="46" t="str">
        <x:v>full 45-compound source table; per-compound exact match score not published, but source retained only matches ≥80%</x:v>
      </x:c>
      <x:c r="Y120" s="23"/>
      <x:c r="Z120" s="23"/>
    </x:row>
    <x:row r="121" ht="26.399999618530273" hidden="0" customHeight="1">
      <x:c r="A121" s="46" t="str">
        <x:v>BDM-IDQ-029</x:v>
      </x:c>
      <x:c r="B121" s="46" t="str">
        <x:v>beef:muscle</x:v>
      </x:c>
      <x:c r="C121" s="46" t="str">
        <x:v>beef</x:v>
      </x:c>
      <x:c r="D121" s="46" t="str">
        <x:v>cooked meat sample</x:v>
      </x:c>
      <x:c r="E121" s="46" t="str">
        <x:v>cooked beef identification-QA benchmark</x:v>
      </x:c>
      <x:c r="F121" s="46" t="str">
        <x:v>SRC-BEEF-IDQA-001</x:v>
      </x:c>
      <x:c r="G121" s="46" t="str">
        <x:v>Pyrazines</x:v>
      </x:c>
      <x:c r="H121" s="46" t="str">
        <x:v>Trimethyl pyrazine</x:v>
      </x:c>
      <x:c r="I121" s="46"/>
      <x:c r="J121" s="46" t="n">
        <x:v>1388</x:v>
      </x:c>
      <x:c r="K121" s="46" t="n">
        <x:v>1388</x:v>
      </x:c>
      <x:c r="L121" s="46" t="str">
        <x:v>NIST v14 MS (source minimum mass-match quality 80%) + calculated LRI</x:v>
      </x:c>
      <x:c r="M121" s="46"/>
      <x:c r="N121" s="46" t="n">
        <x:v>80</x:v>
      </x:c>
      <x:c r="O121" s="46" t="str">
        <x:v>verified_source_match_floor_80_plus_lri</x:v>
      </x:c>
      <x:c r="P121" s="46"/>
      <x:c r="Q121" s="46"/>
      <x:c r="R121" s="46"/>
      <x:c r="S121" s="46"/>
      <x:c r="T121" s="46"/>
      <x:c r="U121" s="46"/>
      <x:c r="V121" s="46"/>
      <x:c r="W121" s="46" t="str">
        <x:v>beef relative concentration 62.52 µg/kg; target ion m/z 122; RT 17.71 min</x:v>
      </x:c>
      <x:c r="X121" s="46" t="str">
        <x:v>full 45-compound source table; per-compound exact match score not published, but source retained only matches ≥80%</x:v>
      </x:c>
      <x:c r="Y121" s="23"/>
      <x:c r="Z121" s="23"/>
    </x:row>
    <x:row r="122" ht="26.399999618530273" hidden="0" customHeight="1">
      <x:c r="A122" s="46" t="str">
        <x:v>BDM-IDQ-030</x:v>
      </x:c>
      <x:c r="B122" s="46" t="str">
        <x:v>beef:muscle</x:v>
      </x:c>
      <x:c r="C122" s="46" t="str">
        <x:v>beef</x:v>
      </x:c>
      <x:c r="D122" s="46" t="str">
        <x:v>cooked meat sample</x:v>
      </x:c>
      <x:c r="E122" s="46" t="str">
        <x:v>cooked beef identification-QA benchmark</x:v>
      </x:c>
      <x:c r="F122" s="46" t="str">
        <x:v>SRC-BEEF-IDQA-001</x:v>
      </x:c>
      <x:c r="G122" s="46" t="str">
        <x:v>Pyrazines</x:v>
      </x:c>
      <x:c r="H122" s="46" t="str">
        <x:v>2-Methyl 5H-6,7-dihydrocyclopentapyrazine</x:v>
      </x:c>
      <x:c r="I122" s="46"/>
      <x:c r="J122" s="46" t="n">
        <x:v>1701</x:v>
      </x:c>
      <x:c r="K122" s="46" t="n">
        <x:v>1703</x:v>
      </x:c>
      <x:c r="L122" s="46" t="str">
        <x:v>NIST v14 MS (source minimum mass-match quality 80%) + calculated LRI</x:v>
      </x:c>
      <x:c r="M122" s="46"/>
      <x:c r="N122" s="46" t="n">
        <x:v>80</x:v>
      </x:c>
      <x:c r="O122" s="46" t="str">
        <x:v>verified_source_match_floor_80_plus_lri</x:v>
      </x:c>
      <x:c r="P122" s="46"/>
      <x:c r="Q122" s="46"/>
      <x:c r="R122" s="46"/>
      <x:c r="S122" s="46"/>
      <x:c r="T122" s="46"/>
      <x:c r="U122" s="46"/>
      <x:c r="V122" s="46"/>
      <x:c r="W122" s="46" t="str">
        <x:v>beef relative concentration 12.28 µg/kg; target ion m/z 134; RT 27.59 min</x:v>
      </x:c>
      <x:c r="X122" s="46" t="str">
        <x:v>full 45-compound source table; per-compound exact match score not published, but source retained only matches ≥80%</x:v>
      </x:c>
      <x:c r="Y122" s="23"/>
      <x:c r="Z122" s="23"/>
    </x:row>
    <x:row r="123" ht="26.399999618530273" hidden="0" customHeight="1">
      <x:c r="A123" s="46" t="str">
        <x:v>BDM-IDQ-031</x:v>
      </x:c>
      <x:c r="B123" s="46" t="str">
        <x:v>beef:muscle</x:v>
      </x:c>
      <x:c r="C123" s="46" t="str">
        <x:v>beef</x:v>
      </x:c>
      <x:c r="D123" s="46" t="str">
        <x:v>cooked meat sample</x:v>
      </x:c>
      <x:c r="E123" s="46" t="str">
        <x:v>cooked beef identification-QA benchmark</x:v>
      </x:c>
      <x:c r="F123" s="46" t="str">
        <x:v>SRC-BEEF-IDQA-001</x:v>
      </x:c>
      <x:c r="G123" s="46" t="str">
        <x:v>Acids</x:v>
      </x:c>
      <x:c r="H123" s="46" t="str">
        <x:v>Hexanoic acid</x:v>
      </x:c>
      <x:c r="I123" s="46"/>
      <x:c r="J123" s="46" t="n">
        <x:v>1852</x:v>
      </x:c>
      <x:c r="K123" s="46" t="n">
        <x:v>1862</x:v>
      </x:c>
      <x:c r="L123" s="46" t="str">
        <x:v>NIST v14 MS (source minimum mass-match quality 80%) + calculated LRI</x:v>
      </x:c>
      <x:c r="M123" s="46"/>
      <x:c r="N123" s="46" t="n">
        <x:v>80</x:v>
      </x:c>
      <x:c r="O123" s="46" t="str">
        <x:v>verified_source_match_floor_80_plus_lri</x:v>
      </x:c>
      <x:c r="P123" s="46"/>
      <x:c r="Q123" s="46"/>
      <x:c r="R123" s="46"/>
      <x:c r="S123" s="46"/>
      <x:c r="T123" s="46"/>
      <x:c r="U123" s="46"/>
      <x:c r="V123" s="46"/>
      <x:c r="W123" s="46" t="str">
        <x:v>beef relative concentration 68.24 µg/kg; target ion m/z 60; RT 30.73 min</x:v>
      </x:c>
      <x:c r="X123" s="46" t="str">
        <x:v>full 45-compound source table; per-compound exact match score not published, but source retained only matches ≥80%</x:v>
      </x:c>
      <x:c r="Y123" s="23"/>
      <x:c r="Z123" s="23"/>
    </x:row>
    <x:row r="124" ht="26.399999618530273" hidden="0" customHeight="1">
      <x:c r="A124" s="46" t="str">
        <x:v>BDM-IDQ-032</x:v>
      </x:c>
      <x:c r="B124" s="46" t="str">
        <x:v>beef:muscle</x:v>
      </x:c>
      <x:c r="C124" s="46" t="str">
        <x:v>beef</x:v>
      </x:c>
      <x:c r="D124" s="46" t="str">
        <x:v>cooked meat sample</x:v>
      </x:c>
      <x:c r="E124" s="46" t="str">
        <x:v>cooked beef identification-QA benchmark</x:v>
      </x:c>
      <x:c r="F124" s="46" t="str">
        <x:v>SRC-BEEF-IDQA-001</x:v>
      </x:c>
      <x:c r="G124" s="46" t="str">
        <x:v>Acids</x:v>
      </x:c>
      <x:c r="H124" s="46" t="str">
        <x:v>Heptanoic acid</x:v>
      </x:c>
      <x:c r="I124" s="46"/>
      <x:c r="J124" s="46" t="n">
        <x:v>1958</x:v>
      </x:c>
      <x:c r="K124" s="46" t="n">
        <x:v>1950</x:v>
      </x:c>
      <x:c r="L124" s="46" t="str">
        <x:v>NIST v14 MS (source minimum mass-match quality 80%) + calculated LRI</x:v>
      </x:c>
      <x:c r="M124" s="46"/>
      <x:c r="N124" s="46" t="n">
        <x:v>80</x:v>
      </x:c>
      <x:c r="O124" s="46" t="str">
        <x:v>verified_source_match_floor_80_plus_lri</x:v>
      </x:c>
      <x:c r="P124" s="46"/>
      <x:c r="Q124" s="46"/>
      <x:c r="R124" s="46"/>
      <x:c r="S124" s="46"/>
      <x:c r="T124" s="46"/>
      <x:c r="U124" s="46"/>
      <x:c r="V124" s="46"/>
      <x:c r="W124" s="46" t="str">
        <x:v>beef relative concentration 15.47 µg/kg; target ion m/z 60; RT 32.50 min</x:v>
      </x:c>
      <x:c r="X124" s="46" t="str">
        <x:v>full 45-compound source table; per-compound exact match score not published, but source retained only matches ≥80%</x:v>
      </x:c>
      <x:c r="Y124" s="23"/>
      <x:c r="Z124" s="23"/>
    </x:row>
    <x:row r="125" ht="26.399999618530273" hidden="0" customHeight="1">
      <x:c r="A125" s="46" t="str">
        <x:v>BDM-IDQ-033</x:v>
      </x:c>
      <x:c r="B125" s="46" t="str">
        <x:v>beef:muscle</x:v>
      </x:c>
      <x:c r="C125" s="46" t="str">
        <x:v>beef</x:v>
      </x:c>
      <x:c r="D125" s="46" t="str">
        <x:v>cooked meat sample</x:v>
      </x:c>
      <x:c r="E125" s="46" t="str">
        <x:v>cooked beef identification-QA benchmark</x:v>
      </x:c>
      <x:c r="F125" s="46" t="str">
        <x:v>SRC-BEEF-IDQA-001</x:v>
      </x:c>
      <x:c r="G125" s="46" t="str">
        <x:v>Acids</x:v>
      </x:c>
      <x:c r="H125" s="46" t="str">
        <x:v>Octanoic acid</x:v>
      </x:c>
      <x:c r="I125" s="46"/>
      <x:c r="J125" s="46" t="n">
        <x:v>2063</x:v>
      </x:c>
      <x:c r="K125" s="46" t="n">
        <x:v>2063</x:v>
      </x:c>
      <x:c r="L125" s="46" t="str">
        <x:v>NIST v14 MS (source minimum mass-match quality 80%) + calculated LRI</x:v>
      </x:c>
      <x:c r="M125" s="46"/>
      <x:c r="N125" s="46" t="n">
        <x:v>80</x:v>
      </x:c>
      <x:c r="O125" s="46" t="str">
        <x:v>verified_source_match_floor_80_plus_lri</x:v>
      </x:c>
      <x:c r="P125" s="46"/>
      <x:c r="Q125" s="46"/>
      <x:c r="R125" s="46"/>
      <x:c r="S125" s="46"/>
      <x:c r="T125" s="46"/>
      <x:c r="U125" s="46"/>
      <x:c r="V125" s="46"/>
      <x:c r="W125" s="46" t="str">
        <x:v>beef relative concentration 78.04 µg/kg; target ion m/z 60; RT 34.04 min</x:v>
      </x:c>
      <x:c r="X125" s="46" t="str">
        <x:v>full 45-compound source table; per-compound exact match score not published, but source retained only matches ≥80%</x:v>
      </x:c>
      <x:c r="Y125" s="23"/>
      <x:c r="Z125" s="23"/>
    </x:row>
    <x:row r="126" ht="26.399999618530273" hidden="0" customHeight="1">
      <x:c r="A126" s="46" t="str">
        <x:v>BDM-IDQ-034</x:v>
      </x:c>
      <x:c r="B126" s="46" t="str">
        <x:v>beef:muscle</x:v>
      </x:c>
      <x:c r="C126" s="46" t="str">
        <x:v>beef</x:v>
      </x:c>
      <x:c r="D126" s="46" t="str">
        <x:v>cooked meat sample</x:v>
      </x:c>
      <x:c r="E126" s="46" t="str">
        <x:v>cooked beef identification-QA benchmark</x:v>
      </x:c>
      <x:c r="F126" s="46" t="str">
        <x:v>SRC-BEEF-IDQA-001</x:v>
      </x:c>
      <x:c r="G126" s="46" t="str">
        <x:v>Acids</x:v>
      </x:c>
      <x:c r="H126" s="46" t="str">
        <x:v>Nonanoic acid</x:v>
      </x:c>
      <x:c r="I126" s="46"/>
      <x:c r="J126" s="46" t="n">
        <x:v>2171</x:v>
      </x:c>
      <x:c r="K126" s="46" t="n">
        <x:v>2171</x:v>
      </x:c>
      <x:c r="L126" s="46" t="str">
        <x:v>NIST v14 MS (source minimum mass-match quality 80%) + calculated LRI</x:v>
      </x:c>
      <x:c r="M126" s="46"/>
      <x:c r="N126" s="46" t="n">
        <x:v>80</x:v>
      </x:c>
      <x:c r="O126" s="46" t="str">
        <x:v>verified_source_match_floor_80_plus_lri</x:v>
      </x:c>
      <x:c r="P126" s="46"/>
      <x:c r="Q126" s="46"/>
      <x:c r="R126" s="46"/>
      <x:c r="S126" s="46"/>
      <x:c r="T126" s="46"/>
      <x:c r="U126" s="46"/>
      <x:c r="V126" s="46"/>
      <x:c r="W126" s="46" t="str">
        <x:v>beef relative concentration 65.75 µg/kg; target ion m/z 60; RT 35.43 min</x:v>
      </x:c>
      <x:c r="X126" s="46" t="str">
        <x:v>full 45-compound source table; per-compound exact match score not published, but source retained only matches ≥80%</x:v>
      </x:c>
      <x:c r="Y126" s="23"/>
      <x:c r="Z126" s="23"/>
    </x:row>
    <x:row r="127" ht="26.399999618530273" hidden="0" customHeight="1">
      <x:c r="A127" s="46" t="str">
        <x:v>BDM-IDQ-035</x:v>
      </x:c>
      <x:c r="B127" s="46" t="str">
        <x:v>beef:muscle</x:v>
      </x:c>
      <x:c r="C127" s="46" t="str">
        <x:v>beef</x:v>
      </x:c>
      <x:c r="D127" s="46" t="str">
        <x:v>cooked meat sample</x:v>
      </x:c>
      <x:c r="E127" s="46" t="str">
        <x:v>cooked beef identification-QA benchmark</x:v>
      </x:c>
      <x:c r="F127" s="46" t="str">
        <x:v>SRC-BEEF-IDQA-001</x:v>
      </x:c>
      <x:c r="G127" s="46" t="str">
        <x:v>Acids</x:v>
      </x:c>
      <x:c r="H127" s="46" t="str">
        <x:v>Decanoic acid</x:v>
      </x:c>
      <x:c r="I127" s="46"/>
      <x:c r="J127" s="46" t="n">
        <x:v>2277</x:v>
      </x:c>
      <x:c r="K127" s="46" t="n">
        <x:v>2287</x:v>
      </x:c>
      <x:c r="L127" s="46" t="str">
        <x:v>NIST v14 MS (source minimum mass-match quality 80%) + calculated LRI</x:v>
      </x:c>
      <x:c r="M127" s="46"/>
      <x:c r="N127" s="46" t="n">
        <x:v>80</x:v>
      </x:c>
      <x:c r="O127" s="46" t="str">
        <x:v>verified_source_match_floor_80_plus_lri</x:v>
      </x:c>
      <x:c r="P127" s="46"/>
      <x:c r="Q127" s="46"/>
      <x:c r="R127" s="46"/>
      <x:c r="S127" s="46"/>
      <x:c r="T127" s="46"/>
      <x:c r="U127" s="46"/>
      <x:c r="V127" s="46"/>
      <x:c r="W127" s="46" t="str">
        <x:v>beef relative concentration 22.07 µg/kg; target ion m/z 60; RT 36.72 min</x:v>
      </x:c>
      <x:c r="X127" s="46" t="str">
        <x:v>full 45-compound source table; per-compound exact match score not published, but source retained only matches ≥80%</x:v>
      </x:c>
      <x:c r="Y127" s="23"/>
      <x:c r="Z127" s="23"/>
    </x:row>
    <x:row r="128" ht="26.399999618530273" hidden="0" customHeight="1">
      <x:c r="A128" s="46" t="str">
        <x:v>BDM-IDQ-036</x:v>
      </x:c>
      <x:c r="B128" s="46" t="str">
        <x:v>beef:muscle</x:v>
      </x:c>
      <x:c r="C128" s="46" t="str">
        <x:v>beef</x:v>
      </x:c>
      <x:c r="D128" s="46" t="str">
        <x:v>cooked meat sample</x:v>
      </x:c>
      <x:c r="E128" s="46" t="str">
        <x:v>cooked beef identification-QA benchmark</x:v>
      </x:c>
      <x:c r="F128" s="46" t="str">
        <x:v>SRC-BEEF-IDQA-001</x:v>
      </x:c>
      <x:c r="G128" s="46" t="str">
        <x:v>Furans</x:v>
      </x:c>
      <x:c r="H128" s="46" t="str">
        <x:v>2-Pentyl furan</x:v>
      </x:c>
      <x:c r="I128" s="46"/>
      <x:c r="J128" s="46" t="n">
        <x:v>1210</x:v>
      </x:c>
      <x:c r="K128" s="46" t="n">
        <x:v>1210</x:v>
      </x:c>
      <x:c r="L128" s="46" t="str">
        <x:v>NIST v14 MS (source minimum mass-match quality 80%) + calculated LRI</x:v>
      </x:c>
      <x:c r="M128" s="46"/>
      <x:c r="N128" s="46" t="n">
        <x:v>80</x:v>
      </x:c>
      <x:c r="O128" s="46" t="str">
        <x:v>verified_source_match_floor_80_plus_lri</x:v>
      </x:c>
      <x:c r="P128" s="46"/>
      <x:c r="Q128" s="46"/>
      <x:c r="R128" s="46"/>
      <x:c r="S128" s="46"/>
      <x:c r="T128" s="46"/>
      <x:c r="U128" s="46"/>
      <x:c r="V128" s="46"/>
      <x:c r="W128" s="46" t="str">
        <x:v>beef relative concentration 16.47 µg/kg; target ion m/z 81; RT 11.70 min</x:v>
      </x:c>
      <x:c r="X128" s="46" t="str">
        <x:v>full 45-compound source table; per-compound exact match score not published, but source retained only matches ≥80%</x:v>
      </x:c>
      <x:c r="Y128" s="23"/>
      <x:c r="Z128" s="23"/>
    </x:row>
    <x:row r="129" ht="26.399999618530273" hidden="0" customHeight="1">
      <x:c r="A129" s="46" t="str">
        <x:v>BDM-IDQ-037</x:v>
      </x:c>
      <x:c r="B129" s="46" t="str">
        <x:v>beef:muscle</x:v>
      </x:c>
      <x:c r="C129" s="46" t="str">
        <x:v>beef</x:v>
      </x:c>
      <x:c r="D129" s="46" t="str">
        <x:v>cooked meat sample</x:v>
      </x:c>
      <x:c r="E129" s="46" t="str">
        <x:v>cooked beef identification-QA benchmark</x:v>
      </x:c>
      <x:c r="F129" s="46" t="str">
        <x:v>SRC-BEEF-IDQA-001</x:v>
      </x:c>
      <x:c r="G129" s="46" t="str">
        <x:v>Hydrocarbons</x:v>
      </x:c>
      <x:c r="H129" s="46" t="str">
        <x:v>1,3-Di-tert-butylbenzene</x:v>
      </x:c>
      <x:c r="I129" s="46"/>
      <x:c r="J129" s="46" t="n">
        <x:v>1418</x:v>
      </x:c>
      <x:c r="K129" s="46" t="n">
        <x:v>1420</x:v>
      </x:c>
      <x:c r="L129" s="46" t="str">
        <x:v>NIST v14 MS (source minimum mass-match quality 80%) + calculated LRI</x:v>
      </x:c>
      <x:c r="M129" s="46"/>
      <x:c r="N129" s="46" t="n">
        <x:v>80</x:v>
      </x:c>
      <x:c r="O129" s="46" t="str">
        <x:v>verified_source_match_floor_80_plus_lri</x:v>
      </x:c>
      <x:c r="P129" s="46"/>
      <x:c r="Q129" s="46"/>
      <x:c r="R129" s="46"/>
      <x:c r="S129" s="46"/>
      <x:c r="T129" s="46"/>
      <x:c r="U129" s="46"/>
      <x:c r="V129" s="46"/>
      <x:c r="W129" s="46" t="str">
        <x:v>beef relative concentration 21.88 µg/kg; target ion m/z 175; RT 18.69 min</x:v>
      </x:c>
      <x:c r="X129" s="46" t="str">
        <x:v>full 45-compound source table; per-compound exact match score not published, but source retained only matches ≥80%</x:v>
      </x:c>
      <x:c r="Y129" s="23"/>
      <x:c r="Z129" s="23"/>
    </x:row>
    <x:row r="130" ht="26.399999618530273" hidden="0" customHeight="1">
      <x:c r="A130" s="46" t="str">
        <x:v>BDM-IDQ-038</x:v>
      </x:c>
      <x:c r="B130" s="46" t="str">
        <x:v>beef:muscle</x:v>
      </x:c>
      <x:c r="C130" s="46" t="str">
        <x:v>beef</x:v>
      </x:c>
      <x:c r="D130" s="46" t="str">
        <x:v>cooked meat sample</x:v>
      </x:c>
      <x:c r="E130" s="46" t="str">
        <x:v>cooked beef identification-QA benchmark</x:v>
      </x:c>
      <x:c r="F130" s="46" t="str">
        <x:v>SRC-BEEF-IDQA-001</x:v>
      </x:c>
      <x:c r="G130" s="46" t="str">
        <x:v>Hydrocarbons</x:v>
      </x:c>
      <x:c r="H130" s="46" t="str">
        <x:v>Dodecane</x:v>
      </x:c>
      <x:c r="I130" s="46"/>
      <x:c r="J130" s="46" t="n">
        <x:v>1177</x:v>
      </x:c>
      <x:c r="K130" s="46"/>
      <x:c r="L130" s="46" t="str">
        <x:v>NIST v14 MS (source minimum mass-match quality 80%) + calculated LRI + authentic standard RT</x:v>
      </x:c>
      <x:c r="M130" s="46"/>
      <x:c r="N130" s="46" t="n">
        <x:v>80</x:v>
      </x:c>
      <x:c r="O130" s="46" t="str">
        <x:v>verified_source_match_floor_80_plus_lri</x:v>
      </x:c>
      <x:c r="P130" s="46"/>
      <x:c r="Q130" s="46"/>
      <x:c r="R130" s="46"/>
      <x:c r="S130" s="46"/>
      <x:c r="T130" s="46"/>
      <x:c r="U130" s="46"/>
      <x:c r="V130" s="46"/>
      <x:c r="W130" s="46" t="str">
        <x:v>beef relative concentration 25.48 µg/kg; target ion m/z 57; RT 10.58 min</x:v>
      </x:c>
      <x:c r="X130" s="46" t="str">
        <x:v>full 45-compound source table; per-compound exact match score not published, but source retained only matches ≥80%</x:v>
      </x:c>
      <x:c r="Y130" s="23"/>
      <x:c r="Z130" s="23"/>
    </x:row>
    <x:row r="131" ht="26.399999618530273" hidden="0" customHeight="1">
      <x:c r="A131" s="46" t="str">
        <x:v>BDM-IDQ-039</x:v>
      </x:c>
      <x:c r="B131" s="46" t="str">
        <x:v>beef:muscle</x:v>
      </x:c>
      <x:c r="C131" s="46" t="str">
        <x:v>beef</x:v>
      </x:c>
      <x:c r="D131" s="46" t="str">
        <x:v>cooked meat sample</x:v>
      </x:c>
      <x:c r="E131" s="46" t="str">
        <x:v>cooked beef identification-QA benchmark</x:v>
      </x:c>
      <x:c r="F131" s="46" t="str">
        <x:v>SRC-BEEF-IDQA-001</x:v>
      </x:c>
      <x:c r="G131" s="46" t="str">
        <x:v>Hydrocarbons</x:v>
      </x:c>
      <x:c r="H131" s="46" t="str">
        <x:v>Tridecane</x:v>
      </x:c>
      <x:c r="I131" s="46"/>
      <x:c r="J131" s="46" t="n">
        <x:v>1290</x:v>
      </x:c>
      <x:c r="K131" s="46" t="n">
        <x:v>1300</x:v>
      </x:c>
      <x:c r="L131" s="46" t="str">
        <x:v>NIST v14 MS (source minimum mass-match quality 80%) + calculated LRI + authentic standard RT</x:v>
      </x:c>
      <x:c r="M131" s="46"/>
      <x:c r="N131" s="46" t="n">
        <x:v>80</x:v>
      </x:c>
      <x:c r="O131" s="46" t="str">
        <x:v>verified_source_match_floor_80_plus_lri</x:v>
      </x:c>
      <x:c r="P131" s="46"/>
      <x:c r="Q131" s="46"/>
      <x:c r="R131" s="46"/>
      <x:c r="S131" s="46"/>
      <x:c r="T131" s="46"/>
      <x:c r="U131" s="46"/>
      <x:c r="V131" s="46"/>
      <x:c r="W131" s="46" t="str">
        <x:v>beef relative concentration 5.07 µg/kg; target ion m/z 57; RT 14.41 min</x:v>
      </x:c>
      <x:c r="X131" s="46" t="str">
        <x:v>full 45-compound source table; per-compound exact match score not published, but source retained only matches ≥80%</x:v>
      </x:c>
      <x:c r="Y131" s="23"/>
      <x:c r="Z131" s="23"/>
    </x:row>
    <x:row r="132" ht="26.399999618530273" hidden="0" customHeight="1">
      <x:c r="A132" s="46" t="str">
        <x:v>BDM-IDQ-040</x:v>
      </x:c>
      <x:c r="B132" s="46" t="str">
        <x:v>beef:muscle</x:v>
      </x:c>
      <x:c r="C132" s="46" t="str">
        <x:v>beef</x:v>
      </x:c>
      <x:c r="D132" s="46" t="str">
        <x:v>cooked meat sample</x:v>
      </x:c>
      <x:c r="E132" s="46" t="str">
        <x:v>cooked beef identification-QA benchmark</x:v>
      </x:c>
      <x:c r="F132" s="46" t="str">
        <x:v>SRC-BEEF-IDQA-001</x:v>
      </x:c>
      <x:c r="G132" s="46" t="str">
        <x:v>Hydrocarbons</x:v>
      </x:c>
      <x:c r="H132" s="46" t="str">
        <x:v>Tetradecane</x:v>
      </x:c>
      <x:c r="I132" s="46"/>
      <x:c r="J132" s="46" t="n">
        <x:v>1394</x:v>
      </x:c>
      <x:c r="K132" s="46" t="n">
        <x:v>1400</x:v>
      </x:c>
      <x:c r="L132" s="46" t="str">
        <x:v>NIST v14 MS (source minimum mass-match quality 80%) + calculated LRI + authentic standard RT</x:v>
      </x:c>
      <x:c r="M132" s="46"/>
      <x:c r="N132" s="46" t="n">
        <x:v>80</x:v>
      </x:c>
      <x:c r="O132" s="46" t="str">
        <x:v>verified_source_match_floor_80_plus_lri</x:v>
      </x:c>
      <x:c r="P132" s="46"/>
      <x:c r="Q132" s="46"/>
      <x:c r="R132" s="46"/>
      <x:c r="S132" s="46"/>
      <x:c r="T132" s="46"/>
      <x:c r="U132" s="46"/>
      <x:c r="V132" s="46"/>
      <x:c r="W132" s="46" t="str">
        <x:v>beef relative concentration 33.71 µg/kg; target ion m/z 57; RT 17.91 min</x:v>
      </x:c>
      <x:c r="X132" s="46" t="str">
        <x:v>full 45-compound source table; per-compound exact match score not published, but source retained only matches ≥80%</x:v>
      </x:c>
      <x:c r="Y132" s="23"/>
      <x:c r="Z132" s="23"/>
    </x:row>
    <x:row r="133" ht="26.399999618530273" hidden="0" customHeight="1">
      <x:c r="A133" s="46" t="str">
        <x:v>BDM-IDQ-041</x:v>
      </x:c>
      <x:c r="B133" s="46" t="str">
        <x:v>beef:muscle</x:v>
      </x:c>
      <x:c r="C133" s="46" t="str">
        <x:v>beef</x:v>
      </x:c>
      <x:c r="D133" s="46" t="str">
        <x:v>cooked meat sample</x:v>
      </x:c>
      <x:c r="E133" s="46" t="str">
        <x:v>cooked beef identification-QA benchmark</x:v>
      </x:c>
      <x:c r="F133" s="46" t="str">
        <x:v>SRC-BEEF-IDQA-001</x:v>
      </x:c>
      <x:c r="G133" s="46" t="str">
        <x:v>Hydrocarbons</x:v>
      </x:c>
      <x:c r="H133" s="46" t="str">
        <x:v>Pentadecane</x:v>
      </x:c>
      <x:c r="I133" s="46"/>
      <x:c r="J133" s="46" t="n">
        <x:v>1498</x:v>
      </x:c>
      <x:c r="K133" s="46" t="n">
        <x:v>1500</x:v>
      </x:c>
      <x:c r="L133" s="46" t="str">
        <x:v>NIST v14 MS (source minimum mass-match quality 80%) + calculated LRI + authentic standard RT</x:v>
      </x:c>
      <x:c r="M133" s="46"/>
      <x:c r="N133" s="46" t="n">
        <x:v>80</x:v>
      </x:c>
      <x:c r="O133" s="46" t="str">
        <x:v>verified_source_match_floor_80_plus_lri</x:v>
      </x:c>
      <x:c r="P133" s="46"/>
      <x:c r="Q133" s="46"/>
      <x:c r="R133" s="46"/>
      <x:c r="S133" s="46"/>
      <x:c r="T133" s="46"/>
      <x:c r="U133" s="46"/>
      <x:c r="V133" s="46"/>
      <x:c r="W133" s="46" t="str">
        <x:v>beef relative concentration 10.77 µg/kg; target ion m/z 57; RT 21.22 min</x:v>
      </x:c>
      <x:c r="X133" s="46" t="str">
        <x:v>full 45-compound source table; per-compound exact match score not published, but source retained only matches ≥80%</x:v>
      </x:c>
      <x:c r="Y133" s="23"/>
      <x:c r="Z133" s="23"/>
    </x:row>
    <x:row r="134" ht="26.399999618530273" hidden="0" customHeight="1">
      <x:c r="A134" s="46" t="str">
        <x:v>BDM-IDQ-042</x:v>
      </x:c>
      <x:c r="B134" s="46" t="str">
        <x:v>beef:muscle</x:v>
      </x:c>
      <x:c r="C134" s="46" t="str">
        <x:v>beef</x:v>
      </x:c>
      <x:c r="D134" s="46" t="str">
        <x:v>cooked meat sample</x:v>
      </x:c>
      <x:c r="E134" s="46" t="str">
        <x:v>cooked beef identification-QA benchmark</x:v>
      </x:c>
      <x:c r="F134" s="46" t="str">
        <x:v>SRC-BEEF-IDQA-001</x:v>
      </x:c>
      <x:c r="G134" s="46" t="str">
        <x:v>Hydrocarbons</x:v>
      </x:c>
      <x:c r="H134" s="46" t="str">
        <x:v>Heptadecane</x:v>
      </x:c>
      <x:c r="I134" s="46"/>
      <x:c r="J134" s="46" t="n">
        <x:v>1699</x:v>
      </x:c>
      <x:c r="K134" s="46" t="n">
        <x:v>1700</x:v>
      </x:c>
      <x:c r="L134" s="46" t="str">
        <x:v>NIST v14 MS (source minimum mass-match quality 80%) + calculated LRI + authentic standard RT</x:v>
      </x:c>
      <x:c r="M134" s="46"/>
      <x:c r="N134" s="46" t="n">
        <x:v>80</x:v>
      </x:c>
      <x:c r="O134" s="46" t="str">
        <x:v>verified_source_match_floor_80_plus_lri</x:v>
      </x:c>
      <x:c r="P134" s="46"/>
      <x:c r="Q134" s="46"/>
      <x:c r="R134" s="46"/>
      <x:c r="S134" s="46"/>
      <x:c r="T134" s="46"/>
      <x:c r="U134" s="46"/>
      <x:c r="V134" s="46"/>
      <x:c r="W134" s="46" t="str">
        <x:v>beef relative concentration 11.72 µg/kg; target ion m/z 67; RT 27.53 min</x:v>
      </x:c>
      <x:c r="X134" s="46" t="str">
        <x:v>full 45-compound source table; per-compound exact match score not published, but source retained only matches ≥80%</x:v>
      </x:c>
      <x:c r="Y134" s="23"/>
      <x:c r="Z134" s="23"/>
    </x:row>
    <x:row r="135" ht="26.399999618530273" hidden="0" customHeight="1">
      <x:c r="A135" s="46" t="str">
        <x:v>BDM-IDQ-043</x:v>
      </x:c>
      <x:c r="B135" s="46" t="str">
        <x:v>beef:muscle</x:v>
      </x:c>
      <x:c r="C135" s="46" t="str">
        <x:v>beef</x:v>
      </x:c>
      <x:c r="D135" s="46" t="str">
        <x:v>cooked meat sample</x:v>
      </x:c>
      <x:c r="E135" s="46" t="str">
        <x:v>cooked beef identification-QA benchmark</x:v>
      </x:c>
      <x:c r="F135" s="46" t="str">
        <x:v>SRC-BEEF-IDQA-001</x:v>
      </x:c>
      <x:c r="G135" s="46" t="str">
        <x:v>Hydrocarbons</x:v>
      </x:c>
      <x:c r="H135" s="46" t="str">
        <x:v>Azulene</x:v>
      </x:c>
      <x:c r="I135" s="46"/>
      <x:c r="J135" s="46" t="n">
        <x:v>1733</x:v>
      </x:c>
      <x:c r="K135" s="46" t="n">
        <x:v>1736</x:v>
      </x:c>
      <x:c r="L135" s="46" t="str">
        <x:v>NIST v14 MS (source minimum mass-match quality 80%) + calculated LRI</x:v>
      </x:c>
      <x:c r="M135" s="46"/>
      <x:c r="N135" s="46" t="n">
        <x:v>80</x:v>
      </x:c>
      <x:c r="O135" s="46" t="str">
        <x:v>verified_source_match_floor_80_plus_lri</x:v>
      </x:c>
      <x:c r="P135" s="46"/>
      <x:c r="Q135" s="46"/>
      <x:c r="R135" s="46"/>
      <x:c r="S135" s="46"/>
      <x:c r="T135" s="46"/>
      <x:c r="U135" s="46"/>
      <x:c r="V135" s="46"/>
      <x:c r="W135" s="46" t="str">
        <x:v>beef relative concentration 15.03 µg/kg; target ion m/z 128; RT 28.32 min</x:v>
      </x:c>
      <x:c r="X135" s="46" t="str">
        <x:v>full 45-compound source table; per-compound exact match score not published, but source retained only matches ≥80%</x:v>
      </x:c>
      <x:c r="Y135" s="23"/>
      <x:c r="Z135" s="23"/>
    </x:row>
    <x:row r="136" ht="26.399999618530273" hidden="0" customHeight="1">
      <x:c r="A136" s="46" t="str">
        <x:v>BDM-IDQ-044</x:v>
      </x:c>
      <x:c r="B136" s="46" t="str">
        <x:v>beef:muscle</x:v>
      </x:c>
      <x:c r="C136" s="46" t="str">
        <x:v>beef</x:v>
      </x:c>
      <x:c r="D136" s="46" t="str">
        <x:v>cooked meat sample</x:v>
      </x:c>
      <x:c r="E136" s="46" t="str">
        <x:v>cooked beef identification-QA benchmark</x:v>
      </x:c>
      <x:c r="F136" s="46" t="str">
        <x:v>SRC-BEEF-IDQA-001</x:v>
      </x:c>
      <x:c r="G136" s="46" t="str">
        <x:v>Miscellaneous</x:v>
      </x:c>
      <x:c r="H136" s="46" t="str">
        <x:v>1-Formylpyrrolidine</x:v>
      </x:c>
      <x:c r="I136" s="46"/>
      <x:c r="J136" s="46" t="n">
        <x:v>1315</x:v>
      </x:c>
      <x:c r="K136" s="46"/>
      <x:c r="L136" s="46" t="str">
        <x:v>NIST v14 MS (source minimum mass-match quality 80%) + calculated LRI</x:v>
      </x:c>
      <x:c r="M136" s="46"/>
      <x:c r="N136" s="46" t="n">
        <x:v>80</x:v>
      </x:c>
      <x:c r="O136" s="46" t="str">
        <x:v>verified_source_match_floor_80_plus_lri</x:v>
      </x:c>
      <x:c r="P136" s="46"/>
      <x:c r="Q136" s="46"/>
      <x:c r="R136" s="46"/>
      <x:c r="S136" s="46"/>
      <x:c r="T136" s="46"/>
      <x:c r="U136" s="46"/>
      <x:c r="V136" s="46"/>
      <x:c r="W136" s="46" t="str">
        <x:v>beef relative concentration 23.31 µg/kg; target ion m/z 43; RT 15.27 min</x:v>
      </x:c>
      <x:c r="X136" s="46" t="str">
        <x:v>full 45-compound source table; per-compound exact match score not published, but source retained only matches ≥80%</x:v>
      </x:c>
      <x:c r="Y136" s="23" t="str">
        <x:v>unresolved</x:v>
      </x:c>
      <x:c r="Z136" s="23" t="str">
        <x:v>MR-17 v29: explicit held state. Preserve cooked-beef source occurrence; evidence is insufficient to establish culinary-flavor relevance versus incidental/non-flavor presence.</x:v>
      </x:c>
    </x:row>
    <x:row r="137" ht="26.399999618530273" hidden="0" customHeight="1">
      <x:c r="A137" s="46" t="str">
        <x:v>BDM-IDQ-045</x:v>
      </x:c>
      <x:c r="B137" s="46" t="str">
        <x:v>beef:muscle</x:v>
      </x:c>
      <x:c r="C137" s="46" t="str">
        <x:v>beef</x:v>
      </x:c>
      <x:c r="D137" s="46" t="str">
        <x:v>cooked meat sample</x:v>
      </x:c>
      <x:c r="E137" s="46" t="str">
        <x:v>cooked beef identification-QA benchmark</x:v>
      </x:c>
      <x:c r="F137" s="46" t="str">
        <x:v>SRC-BEEF-IDQA-001</x:v>
      </x:c>
      <x:c r="G137" s="46" t="str">
        <x:v>Miscellaneous</x:v>
      </x:c>
      <x:c r="H137" s="46" t="str">
        <x:v>2-Ethylhexyl acrylate</x:v>
      </x:c>
      <x:c r="I137" s="46"/>
      <x:c r="J137" s="46" t="n">
        <x:v>1480</x:v>
      </x:c>
      <x:c r="K137" s="46" t="n">
        <x:v>1494</x:v>
      </x:c>
      <x:c r="L137" s="46" t="str">
        <x:v>NIST v14 MS (source minimum mass-match quality 80%) + calculated LRI</x:v>
      </x:c>
      <x:c r="M137" s="46"/>
      <x:c r="N137" s="46" t="n">
        <x:v>80</x:v>
      </x:c>
      <x:c r="O137" s="46" t="str">
        <x:v>verified_source_match_floor_80_plus_lri</x:v>
      </x:c>
      <x:c r="P137" s="46"/>
      <x:c r="Q137" s="46"/>
      <x:c r="R137" s="46"/>
      <x:c r="S137" s="46"/>
      <x:c r="T137" s="46"/>
      <x:c r="U137" s="46"/>
      <x:c r="V137" s="46"/>
      <x:c r="W137" s="46" t="str">
        <x:v>beef relative concentration 16.47 µg/kg; target ion m/z 139; RT 20.57 min</x:v>
      </x:c>
      <x:c r="X137" s="46" t="str">
        <x:v>full 45-compound source table; per-compound exact match score not published, but source retained only matches ≥80%</x:v>
      </x:c>
      <x:c r="Y137" s="23" t="str">
        <x:v>present_not_flavor_relevant</x:v>
      </x:c>
      <x:c r="Z137" s="23" t="str">
        <x:v>MR-17 v29: 2-ethylhexyl acrylate is an industrial acrylate monomer widely used in pressure-sensitive adhesives. Retain measured sample occurrence; exclude from flavor profiles and DF/IDF.</x:v>
      </x:c>
    </x:row>
  </x:sheetData>
  <x:pageMargins left="0.7" right="0.7" top="0.75" bottom="0.75" header="0.3" footer="0.3"/>
  <x:tableParts count="1">
    <x:tablePart xmlns:r="http://schemas.openxmlformats.org/officeDocument/2006/relationships" r:id="Rc39c43ca50844562"/>
  </x:tableParts>
</x:worksheet>
</file>

<file path=xl/worksheets/sheet51.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30" hidden="0" customWidth="1"/>
    <x:col min="5" max="5" width="28" hidden="0" customWidth="1"/>
    <x:col min="6" max="6" width="23" hidden="0" customWidth="1"/>
    <x:col min="7" max="7" width="22" hidden="0" customWidth="1"/>
    <x:col min="8" max="8" width="25" hidden="0" customWidth="1"/>
    <x:col min="9" max="9" width="34" hidden="0" customWidth="1"/>
    <x:col min="10" max="10" width="14" hidden="0" customWidth="1"/>
    <x:col min="11" max="11" width="15" hidden="0" customWidth="1"/>
    <x:col min="12" max="12" width="20" hidden="0" customWidth="1"/>
    <x:col min="13" max="13" width="18" hidden="0" customWidth="1"/>
    <x:col min="14" max="14" width="18" hidden="0" customWidth="1"/>
    <x:col min="15" max="15" width="20" hidden="0" customWidth="1"/>
    <x:col min="16" max="16" width="34" hidden="0" customWidth="1"/>
    <x:col min="17" max="17" width="20" hidden="0" customWidth="1"/>
    <x:col min="18" max="18" width="14" hidden="0" customWidth="1"/>
    <x:col min="19" max="19" width="20" hidden="0" customWidth="1"/>
    <x:col min="20" max="20" width="14" hidden="0" customWidth="1"/>
    <x:col min="21" max="21" width="20" hidden="0" customWidth="1"/>
    <x:col min="22" max="22" width="14" hidden="0" customWidth="1"/>
    <x:col min="23" max="23" width="20" hidden="0" customWidth="1"/>
    <x:col min="24" max="24" width="14" hidden="0" customWidth="1"/>
    <x:col min="25" max="25" width="18" hidden="0" customWidth="1"/>
    <x:col min="26" max="26" width="28" hidden="0" customWidth="1"/>
    <x:col min="27" max="27" width="54" hidden="0" customWidth="1"/>
  </x:cols>
  <x:sheetData>
    <x:row r="1" ht="26.399999618530273" hidden="0" customHeight="1">
      <x:c r="A1" s="139" t="str">
        <x:v>detected_record_id</x:v>
      </x:c>
      <x:c r="B1" s="139" t="str">
        <x:v>product_id</x:v>
      </x:c>
      <x:c r="C1" s="139" t="str">
        <x:v>protein</x:v>
      </x:c>
      <x:c r="D1" s="139" t="str">
        <x:v>anatomical_material</x:v>
      </x:c>
      <x:c r="E1" s="139" t="str">
        <x:v>preparation_state</x:v>
      </x:c>
      <x:c r="F1" s="139" t="str">
        <x:v>source_id</x:v>
      </x:c>
      <x:c r="G1" s="139" t="str">
        <x:v>source_compound_group</x:v>
      </x:c>
      <x:c r="H1" s="139" t="str">
        <x:v>normalized_compound_group</x:v>
      </x:c>
      <x:c r="I1" s="139" t="str">
        <x:v>compound_name</x:v>
      </x:c>
      <x:c r="J1" s="139" t="str">
        <x:v>cas</x:v>
      </x:c>
      <x:c r="K1" s="139" t="str">
        <x:v>ri_observed_db_wax</x:v>
      </x:c>
      <x:c r="L1" s="139" t="str">
        <x:v>identification_method</x:v>
      </x:c>
      <x:c r="M1" s="139" t="str">
        <x:v>authentic_standard_confirmed</x:v>
      </x:c>
      <x:c r="N1" s="139" t="str">
        <x:v>numeric_match_factor</x:v>
      </x:c>
      <x:c r="O1" s="139" t="str">
        <x:v>source_match_quality_floor_pct</x:v>
      </x:c>
      <x:c r="P1" s="139" t="str">
        <x:v>mr09_identification_status</x:v>
      </x:c>
      <x:c r="Q1" s="139" t="str">
        <x:v>pentane_source_value</x:v>
      </x:c>
      <x:c r="R1" s="139" t="str">
        <x:v>pentane_mean_pct</x:v>
      </x:c>
      <x:c r="S1" s="139" t="str">
        <x:v>ethyl_ether_source_value</x:v>
      </x:c>
      <x:c r="T1" s="139" t="str">
        <x:v>ethyl_ether_mean_pct</x:v>
      </x:c>
      <x:c r="U1" s="139" t="str">
        <x:v>dcm_source_value</x:v>
      </x:c>
      <x:c r="V1" s="139" t="str">
        <x:v>dcm_mean_pct</x:v>
      </x:c>
      <x:c r="W1" s="139" t="str">
        <x:v>methanol_source_value</x:v>
      </x:c>
      <x:c r="X1" s="139" t="str">
        <x:v>methanol_mean_pct</x:v>
      </x:c>
      <x:c r="Y1" s="139" t="str">
        <x:v>quantified_in_any_solvent</x:v>
      </x:c>
      <x:c r="Z1" s="139" t="str">
        <x:v>metric</x:v>
      </x:c>
      <x:c r="AA1" s="139" t="str">
        <x:v>notes</x:v>
      </x:c>
    </x:row>
    <x:row r="2" ht="26.399999618530273" hidden="0" customHeight="1">
      <x:c r="A2" s="46" t="str">
        <x:v>BDF-001</x:v>
      </x:c>
      <x:c r="B2" s="46" t="str">
        <x:v>beef:fat</x:v>
      </x:c>
      <x:c r="C2" s="46" t="str">
        <x:v>beef</x:v>
      </x:c>
      <x:c r="D2" s="46" t="str">
        <x:v>abdominal subcutaneous fat</x:v>
      </x:c>
      <x:c r="E2" s="46" t="str">
        <x:v>dry-rendered at 130±5°C for 20 min</x:v>
      </x:c>
      <x:c r="F2" s="46" t="str">
        <x:v>SRC-BEEF-FAT-001</x:v>
      </x:c>
      <x:c r="G2" s="46" t="str">
        <x:v>Aldehydes</x:v>
      </x:c>
      <x:c r="H2" s="46" t="str">
        <x:v>Aldehydes</x:v>
      </x:c>
      <x:c r="I2" s="46" t="str">
        <x:v>Acetaldehyde</x:v>
      </x:c>
      <x:c r="J2" s="46"/>
      <x:c r="K2" s="46" t="n">
        <x:v>692</x:v>
      </x:c>
      <x:c r="L2" s="46" t="str">
        <x:v>RI/MS</x:v>
      </x:c>
      <x:c r="M2" s="46" t="str">
        <x:v>no</x:v>
      </x:c>
      <x:c r="N2" s="46"/>
      <x:c r="O2" s="46"/>
      <x:c r="P2" s="46" t="str">
        <x:v>partial_no_numeric_match_factor</x:v>
      </x:c>
      <x:c r="Q2" s="46" t="str">
        <x:v>-</x:v>
      </x:c>
      <x:c r="R2" s="46"/>
      <x:c r="S2" s="46" t="str">
        <x:v>-</x:v>
      </x:c>
      <x:c r="T2" s="46"/>
      <x:c r="U2" s="46" t="str">
        <x:v>-</x:v>
      </x:c>
      <x:c r="V2" s="46"/>
      <x:c r="W2" s="46" t="str">
        <x:v>0.03±0.12</x:v>
      </x:c>
      <x:c r="X2" s="46" t="n">
        <x:v>0.03</x:v>
      </x:c>
      <x:c r="Y2" s="46" t="str">
        <x:v>yes</x:v>
      </x:c>
      <x:c r="Z2" s="46" t="str">
        <x:v>relative peak area (%) by SAFE extraction solvent</x:v>
      </x:c>
      <x:c r="AA2" s="46"/>
    </x:row>
    <x:row r="3" ht="26.399999618530273" hidden="0" customHeight="1">
      <x:c r="A3" s="46" t="str">
        <x:v>BDF-002</x:v>
      </x:c>
      <x:c r="B3" s="46" t="str">
        <x:v>beef:fat</x:v>
      </x:c>
      <x:c r="C3" s="46" t="str">
        <x:v>beef</x:v>
      </x:c>
      <x:c r="D3" s="46" t="str">
        <x:v>abdominal subcutaneous fat</x:v>
      </x:c>
      <x:c r="E3" s="46" t="str">
        <x:v>dry-rendered at 130±5°C for 20 min</x:v>
      </x:c>
      <x:c r="F3" s="46" t="str">
        <x:v>SRC-BEEF-FAT-001</x:v>
      </x:c>
      <x:c r="G3" s="46" t="str">
        <x:v>Aldehydes</x:v>
      </x:c>
      <x:c r="H3" s="46" t="str">
        <x:v>Aldehydes</x:v>
      </x:c>
      <x:c r="I3" s="46" t="str">
        <x:v>3-Hydroxybutyral</x:v>
      </x:c>
      <x:c r="J3" s="46"/>
      <x:c r="K3" s="46" t="n">
        <x:v>812</x:v>
      </x:c>
      <x:c r="L3" s="46" t="str">
        <x:v>RI/MS</x:v>
      </x:c>
      <x:c r="M3" s="46" t="str">
        <x:v>no</x:v>
      </x:c>
      <x:c r="N3" s="46"/>
      <x:c r="O3" s="46"/>
      <x:c r="P3" s="46" t="str">
        <x:v>partial_no_numeric_match_factor</x:v>
      </x:c>
      <x:c r="Q3" s="46" t="str">
        <x:v>-</x:v>
      </x:c>
      <x:c r="R3" s="46"/>
      <x:c r="S3" s="46" t="str">
        <x:v>-</x:v>
      </x:c>
      <x:c r="T3" s="46"/>
      <x:c r="U3" s="46" t="str">
        <x:v>-</x:v>
      </x:c>
      <x:c r="V3" s="46"/>
      <x:c r="W3" s="46" t="str">
        <x:v>0.96±0.12</x:v>
      </x:c>
      <x:c r="X3" s="46" t="n">
        <x:v>0.96</x:v>
      </x:c>
      <x:c r="Y3" s="46" t="str">
        <x:v>yes</x:v>
      </x:c>
      <x:c r="Z3" s="46" t="str">
        <x:v>relative peak area (%) by SAFE extraction solvent</x:v>
      </x:c>
      <x:c r="AA3" s="46"/>
    </x:row>
    <x:row r="4" ht="26.399999618530273" hidden="0" customHeight="1">
      <x:c r="A4" s="46" t="str">
        <x:v>BDF-003</x:v>
      </x:c>
      <x:c r="B4" s="46" t="str">
        <x:v>beef:fat</x:v>
      </x:c>
      <x:c r="C4" s="46" t="str">
        <x:v>beef</x:v>
      </x:c>
      <x:c r="D4" s="46" t="str">
        <x:v>abdominal subcutaneous fat</x:v>
      </x:c>
      <x:c r="E4" s="46" t="str">
        <x:v>dry-rendered at 130±5°C for 20 min</x:v>
      </x:c>
      <x:c r="F4" s="46" t="str">
        <x:v>SRC-BEEF-FAT-001</x:v>
      </x:c>
      <x:c r="G4" s="46" t="str">
        <x:v>Aldehydes</x:v>
      </x:c>
      <x:c r="H4" s="46" t="str">
        <x:v>Aldehydes</x:v>
      </x:c>
      <x:c r="I4" s="46" t="str">
        <x:v>Hexanal</x:v>
      </x:c>
      <x:c r="J4" s="46"/>
      <x:c r="K4" s="46" t="n">
        <x:v>1078</x:v>
      </x:c>
      <x:c r="L4" s="46" t="str">
        <x:v>RI/MS/S</x:v>
      </x:c>
      <x:c r="M4" s="46" t="str">
        <x:v>yes</x:v>
      </x:c>
      <x:c r="N4" s="46"/>
      <x:c r="O4" s="46"/>
      <x:c r="P4" s="46" t="str">
        <x:v>partial_no_numeric_match_factor_standard_confirmed</x:v>
      </x:c>
      <x:c r="Q4" s="46" t="str">
        <x:v>3.68±0.74a</x:v>
      </x:c>
      <x:c r="R4" s="46" t="n">
        <x:v>3.68</x:v>
      </x:c>
      <x:c r="S4" s="46" t="str">
        <x:v>2.01±0.19b</x:v>
      </x:c>
      <x:c r="T4" s="46" t="n">
        <x:v>2.01</x:v>
      </x:c>
      <x:c r="U4" s="46" t="str">
        <x:v>3.31±0.46a</x:v>
      </x:c>
      <x:c r="V4" s="46" t="n">
        <x:v>3.31</x:v>
      </x:c>
      <x:c r="W4" s="46" t="str">
        <x:v>-</x:v>
      </x:c>
      <x:c r="X4" s="46"/>
      <x:c r="Y4" s="46" t="str">
        <x:v>yes</x:v>
      </x:c>
      <x:c r="Z4" s="46" t="str">
        <x:v>relative peak area (%) by SAFE extraction solvent</x:v>
      </x:c>
      <x:c r="AA4" s="46"/>
    </x:row>
    <x:row r="5" ht="26.399999618530273" hidden="0" customHeight="1">
      <x:c r="A5" s="46" t="str">
        <x:v>BDF-004</x:v>
      </x:c>
      <x:c r="B5" s="46" t="str">
        <x:v>beef:fat</x:v>
      </x:c>
      <x:c r="C5" s="46" t="str">
        <x:v>beef</x:v>
      </x:c>
      <x:c r="D5" s="46" t="str">
        <x:v>abdominal subcutaneous fat</x:v>
      </x:c>
      <x:c r="E5" s="46" t="str">
        <x:v>dry-rendered at 130±5°C for 20 min</x:v>
      </x:c>
      <x:c r="F5" s="46" t="str">
        <x:v>SRC-BEEF-FAT-001</x:v>
      </x:c>
      <x:c r="G5" s="46" t="str">
        <x:v>Aldehydes</x:v>
      </x:c>
      <x:c r="H5" s="46" t="str">
        <x:v>Aldehydes</x:v>
      </x:c>
      <x:c r="I5" s="46" t="str">
        <x:v>Heptanal</x:v>
      </x:c>
      <x:c r="J5" s="46"/>
      <x:c r="K5" s="46" t="n">
        <x:v>1174</x:v>
      </x:c>
      <x:c r="L5" s="46" t="str">
        <x:v>RI/MS/S</x:v>
      </x:c>
      <x:c r="M5" s="46" t="str">
        <x:v>yes</x:v>
      </x:c>
      <x:c r="N5" s="46"/>
      <x:c r="O5" s="46"/>
      <x:c r="P5" s="46" t="str">
        <x:v>partial_no_numeric_match_factor_standard_confirmed</x:v>
      </x:c>
      <x:c r="Q5" s="46" t="str">
        <x:v>5.45±1.09a</x:v>
      </x:c>
      <x:c r="R5" s="46" t="n">
        <x:v>5.45</x:v>
      </x:c>
      <x:c r="S5" s="46" t="str">
        <x:v>2.41±0.23c</x:v>
      </x:c>
      <x:c r="T5" s="46" t="n">
        <x:v>2.41</x:v>
      </x:c>
      <x:c r="U5" s="46" t="str">
        <x:v>3.91±0.55b</x:v>
      </x:c>
      <x:c r="V5" s="46" t="n">
        <x:v>3.91</x:v>
      </x:c>
      <x:c r="W5" s="46" t="str">
        <x:v>-</x:v>
      </x:c>
      <x:c r="X5" s="46"/>
      <x:c r="Y5" s="46" t="str">
        <x:v>yes</x:v>
      </x:c>
      <x:c r="Z5" s="46" t="str">
        <x:v>relative peak area (%) by SAFE extraction solvent</x:v>
      </x:c>
      <x:c r="AA5" s="46"/>
    </x:row>
    <x:row r="6" ht="26.399999618530273" hidden="0" customHeight="1">
      <x:c r="A6" s="46" t="str">
        <x:v>BDF-005</x:v>
      </x:c>
      <x:c r="B6" s="46" t="str">
        <x:v>beef:fat</x:v>
      </x:c>
      <x:c r="C6" s="46" t="str">
        <x:v>beef</x:v>
      </x:c>
      <x:c r="D6" s="46" t="str">
        <x:v>abdominal subcutaneous fat</x:v>
      </x:c>
      <x:c r="E6" s="46" t="str">
        <x:v>dry-rendered at 130±5°C for 20 min</x:v>
      </x:c>
      <x:c r="F6" s="46" t="str">
        <x:v>SRC-BEEF-FAT-001</x:v>
      </x:c>
      <x:c r="G6" s="46" t="str">
        <x:v>Aldehydes</x:v>
      </x:c>
      <x:c r="H6" s="46" t="str">
        <x:v>Aldehydes</x:v>
      </x:c>
      <x:c r="I6" s="46" t="str">
        <x:v>(E)-2-Hexenal</x:v>
      </x:c>
      <x:c r="J6" s="46"/>
      <x:c r="K6" s="46" t="n">
        <x:v>1319</x:v>
      </x:c>
      <x:c r="L6" s="46" t="str">
        <x:v>RI/MS/S</x:v>
      </x:c>
      <x:c r="M6" s="46" t="str">
        <x:v>yes</x:v>
      </x:c>
      <x:c r="N6" s="46"/>
      <x:c r="O6" s="46"/>
      <x:c r="P6" s="46" t="str">
        <x:v>partial_no_numeric_match_factor_standard_confirmed</x:v>
      </x:c>
      <x:c r="Q6" s="46" t="str">
        <x:v>0.06±0.01c</x:v>
      </x:c>
      <x:c r="R6" s="46" t="n">
        <x:v>0.06</x:v>
      </x:c>
      <x:c r="S6" s="46" t="str">
        <x:v>0.20±0.02a</x:v>
      </x:c>
      <x:c r="T6" s="46" t="n">
        <x:v>0.2</x:v>
      </x:c>
      <x:c r="U6" s="46" t="str">
        <x:v>0.12±0.02b</x:v>
      </x:c>
      <x:c r="V6" s="46" t="n">
        <x:v>0.12</x:v>
      </x:c>
      <x:c r="W6" s="46" t="str">
        <x:v>-</x:v>
      </x:c>
      <x:c r="X6" s="46"/>
      <x:c r="Y6" s="46" t="str">
        <x:v>yes</x:v>
      </x:c>
      <x:c r="Z6" s="46" t="str">
        <x:v>relative peak area (%) by SAFE extraction solvent</x:v>
      </x:c>
      <x:c r="AA6" s="46"/>
    </x:row>
    <x:row r="7" ht="26.399999618530273" hidden="0" customHeight="1">
      <x:c r="A7" s="46" t="str">
        <x:v>BDF-006</x:v>
      </x:c>
      <x:c r="B7" s="46" t="str">
        <x:v>beef:fat</x:v>
      </x:c>
      <x:c r="C7" s="46" t="str">
        <x:v>beef</x:v>
      </x:c>
      <x:c r="D7" s="46" t="str">
        <x:v>abdominal subcutaneous fat</x:v>
      </x:c>
      <x:c r="E7" s="46" t="str">
        <x:v>dry-rendered at 130±5°C for 20 min</x:v>
      </x:c>
      <x:c r="F7" s="46" t="str">
        <x:v>SRC-BEEF-FAT-001</x:v>
      </x:c>
      <x:c r="G7" s="46" t="str">
        <x:v>Aldehydes</x:v>
      </x:c>
      <x:c r="H7" s="46" t="str">
        <x:v>Aldehydes</x:v>
      </x:c>
      <x:c r="I7" s="46" t="str">
        <x:v>Octanal</x:v>
      </x:c>
      <x:c r="J7" s="46"/>
      <x:c r="K7" s="46" t="n">
        <x:v>1272</x:v>
      </x:c>
      <x:c r="L7" s="46" t="str">
        <x:v>RI/MS/S</x:v>
      </x:c>
      <x:c r="M7" s="46" t="str">
        <x:v>yes</x:v>
      </x:c>
      <x:c r="N7" s="46"/>
      <x:c r="O7" s="46"/>
      <x:c r="P7" s="46" t="str">
        <x:v>partial_no_numeric_match_factor_standard_confirmed</x:v>
      </x:c>
      <x:c r="Q7" s="46" t="str">
        <x:v>3.67±0.73b</x:v>
      </x:c>
      <x:c r="R7" s="46" t="n">
        <x:v>3.67</x:v>
      </x:c>
      <x:c r="S7" s="46" t="str">
        <x:v>4.25±0.41a</x:v>
      </x:c>
      <x:c r="T7" s="46" t="n">
        <x:v>4.25</x:v>
      </x:c>
      <x:c r="U7" s="46" t="str">
        <x:v>2.98±0.42b</x:v>
      </x:c>
      <x:c r="V7" s="46" t="n">
        <x:v>2.98</x:v>
      </x:c>
      <x:c r="W7" s="46" t="str">
        <x:v>-</x:v>
      </x:c>
      <x:c r="X7" s="46"/>
      <x:c r="Y7" s="46" t="str">
        <x:v>yes</x:v>
      </x:c>
      <x:c r="Z7" s="46" t="str">
        <x:v>relative peak area (%) by SAFE extraction solvent</x:v>
      </x:c>
      <x:c r="AA7" s="46"/>
    </x:row>
    <x:row r="8" ht="26.399999618530273" hidden="0" customHeight="1">
      <x:c r="A8" s="46" t="str">
        <x:v>BDF-007</x:v>
      </x:c>
      <x:c r="B8" s="46" t="str">
        <x:v>beef:fat</x:v>
      </x:c>
      <x:c r="C8" s="46" t="str">
        <x:v>beef</x:v>
      </x:c>
      <x:c r="D8" s="46" t="str">
        <x:v>abdominal subcutaneous fat</x:v>
      </x:c>
      <x:c r="E8" s="46" t="str">
        <x:v>dry-rendered at 130±5°C for 20 min</x:v>
      </x:c>
      <x:c r="F8" s="46" t="str">
        <x:v>SRC-BEEF-FAT-001</x:v>
      </x:c>
      <x:c r="G8" s="46" t="str">
        <x:v>Aldehydes</x:v>
      </x:c>
      <x:c r="H8" s="46" t="str">
        <x:v>Aldehydes</x:v>
      </x:c>
      <x:c r="I8" s="46" t="str">
        <x:v>Nonanal</x:v>
      </x:c>
      <x:c r="J8" s="46"/>
      <x:c r="K8" s="46" t="n">
        <x:v>1370</x:v>
      </x:c>
      <x:c r="L8" s="46" t="str">
        <x:v>RI/MS/S</x:v>
      </x:c>
      <x:c r="M8" s="46" t="str">
        <x:v>yes</x:v>
      </x:c>
      <x:c r="N8" s="46"/>
      <x:c r="O8" s="46"/>
      <x:c r="P8" s="46" t="str">
        <x:v>partial_no_numeric_match_factor_standard_confirmed</x:v>
      </x:c>
      <x:c r="Q8" s="46" t="str">
        <x:v>3.75±0.75b</x:v>
      </x:c>
      <x:c r="R8" s="46" t="n">
        <x:v>3.75</x:v>
      </x:c>
      <x:c r="S8" s="46" t="str">
        <x:v>7.09±0.69a</x:v>
      </x:c>
      <x:c r="T8" s="46" t="n">
        <x:v>7.09</x:v>
      </x:c>
      <x:c r="U8" s="46" t="str">
        <x:v>3.29±0.46b</x:v>
      </x:c>
      <x:c r="V8" s="46" t="n">
        <x:v>3.29</x:v>
      </x:c>
      <x:c r="W8" s="46" t="str">
        <x:v>-</x:v>
      </x:c>
      <x:c r="X8" s="46"/>
      <x:c r="Y8" s="46" t="str">
        <x:v>yes</x:v>
      </x:c>
      <x:c r="Z8" s="46" t="str">
        <x:v>relative peak area (%) by SAFE extraction solvent</x:v>
      </x:c>
      <x:c r="AA8" s="46"/>
    </x:row>
    <x:row r="9" ht="26.399999618530273" hidden="0" customHeight="1">
      <x:c r="A9" s="46" t="str">
        <x:v>BDF-008</x:v>
      </x:c>
      <x:c r="B9" s="46" t="str">
        <x:v>beef:fat</x:v>
      </x:c>
      <x:c r="C9" s="46" t="str">
        <x:v>beef</x:v>
      </x:c>
      <x:c r="D9" s="46" t="str">
        <x:v>abdominal subcutaneous fat</x:v>
      </x:c>
      <x:c r="E9" s="46" t="str">
        <x:v>dry-rendered at 130±5°C for 20 min</x:v>
      </x:c>
      <x:c r="F9" s="46" t="str">
        <x:v>SRC-BEEF-FAT-001</x:v>
      </x:c>
      <x:c r="G9" s="46" t="str">
        <x:v>Aldehydes</x:v>
      </x:c>
      <x:c r="H9" s="46" t="str">
        <x:v>Aldehydes</x:v>
      </x:c>
      <x:c r="I9" s="46" t="str">
        <x:v>(Z)-2-Nonenal</x:v>
      </x:c>
      <x:c r="J9" s="46"/>
      <x:c r="K9" s="46" t="n">
        <x:v>1401</x:v>
      </x:c>
      <x:c r="L9" s="46" t="str">
        <x:v>RI/MS</x:v>
      </x:c>
      <x:c r="M9" s="46" t="str">
        <x:v>no</x:v>
      </x:c>
      <x:c r="N9" s="46"/>
      <x:c r="O9" s="46"/>
      <x:c r="P9" s="46" t="str">
        <x:v>partial_no_numeric_match_factor</x:v>
      </x:c>
      <x:c r="Q9" s="46" t="str">
        <x:v>0.76±0.15b</x:v>
      </x:c>
      <x:c r="R9" s="46" t="n">
        <x:v>0.76</x:v>
      </x:c>
      <x:c r="S9" s="46" t="str">
        <x:v>2.97±0.29a</x:v>
      </x:c>
      <x:c r="T9" s="46" t="n">
        <x:v>2.97</x:v>
      </x:c>
      <x:c r="U9" s="46" t="str">
        <x:v>1.14±0.16b</x:v>
      </x:c>
      <x:c r="V9" s="46" t="n">
        <x:v>1.14</x:v>
      </x:c>
      <x:c r="W9" s="46" t="str">
        <x:v>-</x:v>
      </x:c>
      <x:c r="X9" s="46"/>
      <x:c r="Y9" s="46" t="str">
        <x:v>yes</x:v>
      </x:c>
      <x:c r="Z9" s="46" t="str">
        <x:v>relative peak area (%) by SAFE extraction solvent</x:v>
      </x:c>
      <x:c r="AA9" s="46"/>
    </x:row>
    <x:row r="10" ht="26.399999618530273" hidden="0" customHeight="1">
      <x:c r="A10" s="46" t="str">
        <x:v>BDF-009</x:v>
      </x:c>
      <x:c r="B10" s="46" t="str">
        <x:v>beef:fat</x:v>
      </x:c>
      <x:c r="C10" s="46" t="str">
        <x:v>beef</x:v>
      </x:c>
      <x:c r="D10" s="46" t="str">
        <x:v>abdominal subcutaneous fat</x:v>
      </x:c>
      <x:c r="E10" s="46" t="str">
        <x:v>dry-rendered at 130±5°C for 20 min</x:v>
      </x:c>
      <x:c r="F10" s="46" t="str">
        <x:v>SRC-BEEF-FAT-001</x:v>
      </x:c>
      <x:c r="G10" s="46" t="str">
        <x:v>Aldehydes</x:v>
      </x:c>
      <x:c r="H10" s="46" t="str">
        <x:v>Aldehydes</x:v>
      </x:c>
      <x:c r="I10" s="46" t="str">
        <x:v>(E)-2-Nonenal</x:v>
      </x:c>
      <x:c r="J10" s="46"/>
      <x:c r="K10" s="46" t="n">
        <x:v>1403</x:v>
      </x:c>
      <x:c r="L10" s="46" t="str">
        <x:v>RI/MS/S</x:v>
      </x:c>
      <x:c r="M10" s="46" t="str">
        <x:v>yes</x:v>
      </x:c>
      <x:c r="N10" s="46"/>
      <x:c r="O10" s="46"/>
      <x:c r="P10" s="46" t="str">
        <x:v>partial_no_numeric_match_factor_standard_confirmed</x:v>
      </x:c>
      <x:c r="Q10" s="46" t="str">
        <x:v>4.26±0.85a</x:v>
      </x:c>
      <x:c r="R10" s="46" t="n">
        <x:v>4.26</x:v>
      </x:c>
      <x:c r="S10" s="46" t="str">
        <x:v>4.03±0.39a</x:v>
      </x:c>
      <x:c r="T10" s="46" t="n">
        <x:v>4.03</x:v>
      </x:c>
      <x:c r="U10" s="46" t="str">
        <x:v>2.73±0.38b</x:v>
      </x:c>
      <x:c r="V10" s="46" t="n">
        <x:v>2.73</x:v>
      </x:c>
      <x:c r="W10" s="46" t="str">
        <x:v>-</x:v>
      </x:c>
      <x:c r="X10" s="46"/>
      <x:c r="Y10" s="46" t="str">
        <x:v>yes</x:v>
      </x:c>
      <x:c r="Z10" s="46" t="str">
        <x:v>relative peak area (%) by SAFE extraction solvent</x:v>
      </x:c>
      <x:c r="AA10" s="46"/>
    </x:row>
    <x:row r="11" ht="26.399999618530273" hidden="0" customHeight="1">
      <x:c r="A11" s="46" t="str">
        <x:v>BDF-010</x:v>
      </x:c>
      <x:c r="B11" s="46" t="str">
        <x:v>beef:fat</x:v>
      </x:c>
      <x:c r="C11" s="46" t="str">
        <x:v>beef</x:v>
      </x:c>
      <x:c r="D11" s="46" t="str">
        <x:v>abdominal subcutaneous fat</x:v>
      </x:c>
      <x:c r="E11" s="46" t="str">
        <x:v>dry-rendered at 130±5°C for 20 min</x:v>
      </x:c>
      <x:c r="F11" s="46" t="str">
        <x:v>SRC-BEEF-FAT-001</x:v>
      </x:c>
      <x:c r="G11" s="46" t="str">
        <x:v>Aldehydes</x:v>
      </x:c>
      <x:c r="H11" s="46" t="str">
        <x:v>Aldehydes</x:v>
      </x:c>
      <x:c r="I11" s="46" t="str">
        <x:v>(E)-2-Octenal</x:v>
      </x:c>
      <x:c r="J11" s="46"/>
      <x:c r="K11" s="46" t="n">
        <x:v>1422</x:v>
      </x:c>
      <x:c r="L11" s="46" t="str">
        <x:v>RI/MS/S</x:v>
      </x:c>
      <x:c r="M11" s="46" t="str">
        <x:v>yes</x:v>
      </x:c>
      <x:c r="N11" s="46"/>
      <x:c r="O11" s="46"/>
      <x:c r="P11" s="46" t="str">
        <x:v>partial_no_numeric_match_factor_standard_confirmed</x:v>
      </x:c>
      <x:c r="Q11" s="46" t="str">
        <x:v>2.50±0.50a</x:v>
      </x:c>
      <x:c r="R11" s="46" t="n">
        <x:v>2.5</x:v>
      </x:c>
      <x:c r="S11" s="46" t="str">
        <x:v>0.96±0.09b</x:v>
      </x:c>
      <x:c r="T11" s="46" t="n">
        <x:v>0.96</x:v>
      </x:c>
      <x:c r="U11" s="46" t="str">
        <x:v>2.27±0.32a</x:v>
      </x:c>
      <x:c r="V11" s="46" t="n">
        <x:v>2.27</x:v>
      </x:c>
      <x:c r="W11" s="46" t="str">
        <x:v>-</x:v>
      </x:c>
      <x:c r="X11" s="46"/>
      <x:c r="Y11" s="46" t="str">
        <x:v>yes</x:v>
      </x:c>
      <x:c r="Z11" s="46" t="str">
        <x:v>relative peak area (%) by SAFE extraction solvent</x:v>
      </x:c>
      <x:c r="AA11" s="46"/>
    </x:row>
    <x:row r="12" ht="26.399999618530273" hidden="0" customHeight="1">
      <x:c r="A12" s="46" t="str">
        <x:v>BDF-011</x:v>
      </x:c>
      <x:c r="B12" s="46" t="str">
        <x:v>beef:fat</x:v>
      </x:c>
      <x:c r="C12" s="46" t="str">
        <x:v>beef</x:v>
      </x:c>
      <x:c r="D12" s="46" t="str">
        <x:v>abdominal subcutaneous fat</x:v>
      </x:c>
      <x:c r="E12" s="46" t="str">
        <x:v>dry-rendered at 130±5°C for 20 min</x:v>
      </x:c>
      <x:c r="F12" s="46" t="str">
        <x:v>SRC-BEEF-FAT-001</x:v>
      </x:c>
      <x:c r="G12" s="46" t="str">
        <x:v>Aldehydes</x:v>
      </x:c>
      <x:c r="H12" s="46" t="str">
        <x:v>Aldehydes</x:v>
      </x:c>
      <x:c r="I12" s="46" t="str">
        <x:v>(E,E)-2,4-Heptadienal</x:v>
      </x:c>
      <x:c r="J12" s="46"/>
      <x:c r="K12" s="46" t="n">
        <x:v>1484</x:v>
      </x:c>
      <x:c r="L12" s="46" t="str">
        <x:v>RI/MS/S</x:v>
      </x:c>
      <x:c r="M12" s="46" t="str">
        <x:v>yes</x:v>
      </x:c>
      <x:c r="N12" s="46"/>
      <x:c r="O12" s="46"/>
      <x:c r="P12" s="46" t="str">
        <x:v>partial_no_numeric_match_factor_standard_confirmed</x:v>
      </x:c>
      <x:c r="Q12" s="46" t="str">
        <x:v>1.40±0.36a</x:v>
      </x:c>
      <x:c r="R12" s="46" t="n">
        <x:v>1.4</x:v>
      </x:c>
      <x:c r="S12" s="46" t="str">
        <x:v>0.70±0.17b</x:v>
      </x:c>
      <x:c r="T12" s="46" t="n">
        <x:v>0.7</x:v>
      </x:c>
      <x:c r="U12" s="46" t="str">
        <x:v>1.47±0.39a</x:v>
      </x:c>
      <x:c r="V12" s="46" t="n">
        <x:v>1.47</x:v>
      </x:c>
      <x:c r="W12" s="46" t="str">
        <x:v>-</x:v>
      </x:c>
      <x:c r="X12" s="46"/>
      <x:c r="Y12" s="46" t="str">
        <x:v>yes</x:v>
      </x:c>
      <x:c r="Z12" s="46" t="str">
        <x:v>relative peak area (%) by SAFE extraction solvent</x:v>
      </x:c>
      <x:c r="AA12" s="46"/>
    </x:row>
    <x:row r="13" ht="26.399999618530273" hidden="0" customHeight="1">
      <x:c r="A13" s="46" t="str">
        <x:v>BDF-012</x:v>
      </x:c>
      <x:c r="B13" s="46" t="str">
        <x:v>beef:fat</x:v>
      </x:c>
      <x:c r="C13" s="46" t="str">
        <x:v>beef</x:v>
      </x:c>
      <x:c r="D13" s="46" t="str">
        <x:v>abdominal subcutaneous fat</x:v>
      </x:c>
      <x:c r="E13" s="46" t="str">
        <x:v>dry-rendered at 130±5°C for 20 min</x:v>
      </x:c>
      <x:c r="F13" s="46" t="str">
        <x:v>SRC-BEEF-FAT-001</x:v>
      </x:c>
      <x:c r="G13" s="46" t="str">
        <x:v>Aldehydes</x:v>
      </x:c>
      <x:c r="H13" s="46" t="str">
        <x:v>Aldehydes</x:v>
      </x:c>
      <x:c r="I13" s="46" t="str">
        <x:v>Benzaldehyde</x:v>
      </x:c>
      <x:c r="J13" s="46"/>
      <x:c r="K13" s="46" t="n">
        <x:v>1486</x:v>
      </x:c>
      <x:c r="L13" s="46" t="str">
        <x:v>RI/MS/S</x:v>
      </x:c>
      <x:c r="M13" s="46" t="str">
        <x:v>yes</x:v>
      </x:c>
      <x:c r="N13" s="46"/>
      <x:c r="O13" s="46"/>
      <x:c r="P13" s="46" t="str">
        <x:v>partial_no_numeric_match_factor_standard_confirmed</x:v>
      </x:c>
      <x:c r="Q13" s="46" t="str">
        <x:v>0.90±0.23a</x:v>
      </x:c>
      <x:c r="R13" s="46" t="n">
        <x:v>0.9</x:v>
      </x:c>
      <x:c r="S13" s="46" t="str">
        <x:v>0.52±0.13b</x:v>
      </x:c>
      <x:c r="T13" s="46" t="n">
        <x:v>0.52</x:v>
      </x:c>
      <x:c r="U13" s="46" t="str">
        <x:v>0.50±0.13b</x:v>
      </x:c>
      <x:c r="V13" s="46" t="n">
        <x:v>0.5</x:v>
      </x:c>
      <x:c r="W13" s="46" t="str">
        <x:v>-</x:v>
      </x:c>
      <x:c r="X13" s="46"/>
      <x:c r="Y13" s="46" t="str">
        <x:v>yes</x:v>
      </x:c>
      <x:c r="Z13" s="46" t="str">
        <x:v>relative peak area (%) by SAFE extraction solvent</x:v>
      </x:c>
      <x:c r="AA13" s="46"/>
    </x:row>
    <x:row r="14" ht="26.399999618530273" hidden="0" customHeight="1">
      <x:c r="A14" s="46" t="str">
        <x:v>BDF-013</x:v>
      </x:c>
      <x:c r="B14" s="46" t="str">
        <x:v>beef:fat</x:v>
      </x:c>
      <x:c r="C14" s="46" t="str">
        <x:v>beef</x:v>
      </x:c>
      <x:c r="D14" s="46" t="str">
        <x:v>abdominal subcutaneous fat</x:v>
      </x:c>
      <x:c r="E14" s="46" t="str">
        <x:v>dry-rendered at 130±5°C for 20 min</x:v>
      </x:c>
      <x:c r="F14" s="46" t="str">
        <x:v>SRC-BEEF-FAT-001</x:v>
      </x:c>
      <x:c r="G14" s="46" t="str">
        <x:v>Aldehydes</x:v>
      </x:c>
      <x:c r="H14" s="46" t="str">
        <x:v>Aldehydes</x:v>
      </x:c>
      <x:c r="I14" s="46" t="str">
        <x:v>(E,E)-2,6-Nonadienal</x:v>
      </x:c>
      <x:c r="J14" s="46"/>
      <x:c r="K14" s="46" t="n">
        <x:v>1595</x:v>
      </x:c>
      <x:c r="L14" s="46" t="str">
        <x:v>RI/MS/S</x:v>
      </x:c>
      <x:c r="M14" s="46" t="str">
        <x:v>yes</x:v>
      </x:c>
      <x:c r="N14" s="46"/>
      <x:c r="O14" s="46"/>
      <x:c r="P14" s="46" t="str">
        <x:v>partial_no_numeric_match_factor_standard_confirmed</x:v>
      </x:c>
      <x:c r="Q14" s="46" t="str">
        <x:v>0.48±0.12a</x:v>
      </x:c>
      <x:c r="R14" s="46" t="n">
        <x:v>0.48</x:v>
      </x:c>
      <x:c r="S14" s="46" t="str">
        <x:v>0.26±0.06b</x:v>
      </x:c>
      <x:c r="T14" s="46" t="n">
        <x:v>0.26</x:v>
      </x:c>
      <x:c r="U14" s="46" t="str">
        <x:v>0.60±0.16a</x:v>
      </x:c>
      <x:c r="V14" s="46" t="n">
        <x:v>0.6</x:v>
      </x:c>
      <x:c r="W14" s="46" t="str">
        <x:v>-</x:v>
      </x:c>
      <x:c r="X14" s="46"/>
      <x:c r="Y14" s="46" t="str">
        <x:v>yes</x:v>
      </x:c>
      <x:c r="Z14" s="46" t="str">
        <x:v>relative peak area (%) by SAFE extraction solvent</x:v>
      </x:c>
      <x:c r="AA14" s="46"/>
    </x:row>
    <x:row r="15" ht="26.399999618530273" hidden="0" customHeight="1">
      <x:c r="A15" s="46" t="str">
        <x:v>BDF-014</x:v>
      </x:c>
      <x:c r="B15" s="46" t="str">
        <x:v>beef:fat</x:v>
      </x:c>
      <x:c r="C15" s="46" t="str">
        <x:v>beef</x:v>
      </x:c>
      <x:c r="D15" s="46" t="str">
        <x:v>abdominal subcutaneous fat</x:v>
      </x:c>
      <x:c r="E15" s="46" t="str">
        <x:v>dry-rendered at 130±5°C for 20 min</x:v>
      </x:c>
      <x:c r="F15" s="46" t="str">
        <x:v>SRC-BEEF-FAT-001</x:v>
      </x:c>
      <x:c r="G15" s="46" t="str">
        <x:v>Aldehydes</x:v>
      </x:c>
      <x:c r="H15" s="46" t="str">
        <x:v>Aldehydes</x:v>
      </x:c>
      <x:c r="I15" s="46" t="str">
        <x:v>(E)-2-Decenal</x:v>
      </x:c>
      <x:c r="J15" s="46"/>
      <x:c r="K15" s="46" t="n">
        <x:v>1632</x:v>
      </x:c>
      <x:c r="L15" s="46" t="str">
        <x:v>RI/MS/S</x:v>
      </x:c>
      <x:c r="M15" s="46" t="str">
        <x:v>yes</x:v>
      </x:c>
      <x:c r="N15" s="46"/>
      <x:c r="O15" s="46"/>
      <x:c r="P15" s="46" t="str">
        <x:v>partial_no_numeric_match_factor_standard_confirmed</x:v>
      </x:c>
      <x:c r="Q15" s="46" t="str">
        <x:v>1.09±0.28c</x:v>
      </x:c>
      <x:c r="R15" s="46" t="n">
        <x:v>1.09</x:v>
      </x:c>
      <x:c r="S15" s="46" t="str">
        <x:v>5.39±1.31a</x:v>
      </x:c>
      <x:c r="T15" s="46" t="n">
        <x:v>5.39</x:v>
      </x:c>
      <x:c r="U15" s="46" t="str">
        <x:v>0.98±0.26b</x:v>
      </x:c>
      <x:c r="V15" s="46" t="n">
        <x:v>0.98</x:v>
      </x:c>
      <x:c r="W15" s="46" t="str">
        <x:v>-</x:v>
      </x:c>
      <x:c r="X15" s="46"/>
      <x:c r="Y15" s="46" t="str">
        <x:v>yes</x:v>
      </x:c>
      <x:c r="Z15" s="46" t="str">
        <x:v>relative peak area (%) by SAFE extraction solvent</x:v>
      </x:c>
      <x:c r="AA15" s="46"/>
    </x:row>
    <x:row r="16" ht="26.399999618530273" hidden="0" customHeight="1">
      <x:c r="A16" s="46" t="str">
        <x:v>BDF-015</x:v>
      </x:c>
      <x:c r="B16" s="46" t="str">
        <x:v>beef:fat</x:v>
      </x:c>
      <x:c r="C16" s="46" t="str">
        <x:v>beef</x:v>
      </x:c>
      <x:c r="D16" s="46" t="str">
        <x:v>abdominal subcutaneous fat</x:v>
      </x:c>
      <x:c r="E16" s="46" t="str">
        <x:v>dry-rendered at 130±5°C for 20 min</x:v>
      </x:c>
      <x:c r="F16" s="46" t="str">
        <x:v>SRC-BEEF-FAT-001</x:v>
      </x:c>
      <x:c r="G16" s="46" t="str">
        <x:v>Aldehydes</x:v>
      </x:c>
      <x:c r="H16" s="46" t="str">
        <x:v>Aldehydes</x:v>
      </x:c>
      <x:c r="I16" s="46" t="str">
        <x:v>(E,E)-2,4-Nonadienal</x:v>
      </x:c>
      <x:c r="J16" s="46"/>
      <x:c r="K16" s="46" t="n">
        <x:v>1664</x:v>
      </x:c>
      <x:c r="L16" s="46" t="str">
        <x:v>RI/MS/S</x:v>
      </x:c>
      <x:c r="M16" s="46" t="str">
        <x:v>yes</x:v>
      </x:c>
      <x:c r="N16" s="46"/>
      <x:c r="O16" s="46"/>
      <x:c r="P16" s="46" t="str">
        <x:v>partial_no_numeric_match_factor_standard_confirmed</x:v>
      </x:c>
      <x:c r="Q16" s="46" t="str">
        <x:v>1.41±0.37a</x:v>
      </x:c>
      <x:c r="R16" s="46" t="n">
        <x:v>1.41</x:v>
      </x:c>
      <x:c r="S16" s="46" t="str">
        <x:v>0.26±0.06b</x:v>
      </x:c>
      <x:c r="T16" s="46" t="n">
        <x:v>0.26</x:v>
      </x:c>
      <x:c r="U16" s="46" t="str">
        <x:v>1.29±0.34a</x:v>
      </x:c>
      <x:c r="V16" s="46" t="n">
        <x:v>1.29</x:v>
      </x:c>
      <x:c r="W16" s="46" t="str">
        <x:v>-</x:v>
      </x:c>
      <x:c r="X16" s="46"/>
      <x:c r="Y16" s="46" t="str">
        <x:v>yes</x:v>
      </x:c>
      <x:c r="Z16" s="46" t="str">
        <x:v>relative peak area (%) by SAFE extraction solvent</x:v>
      </x:c>
      <x:c r="AA16" s="46"/>
    </x:row>
    <x:row r="17" ht="26.399999618530273" hidden="0" customHeight="1">
      <x:c r="A17" s="46" t="str">
        <x:v>BDF-016</x:v>
      </x:c>
      <x:c r="B17" s="46" t="str">
        <x:v>beef:fat</x:v>
      </x:c>
      <x:c r="C17" s="46" t="str">
        <x:v>beef</x:v>
      </x:c>
      <x:c r="D17" s="46" t="str">
        <x:v>abdominal subcutaneous fat</x:v>
      </x:c>
      <x:c r="E17" s="46" t="str">
        <x:v>dry-rendered at 130±5°C for 20 min</x:v>
      </x:c>
      <x:c r="F17" s="46" t="str">
        <x:v>SRC-BEEF-FAT-001</x:v>
      </x:c>
      <x:c r="G17" s="46" t="str">
        <x:v>Aldehydes</x:v>
      </x:c>
      <x:c r="H17" s="46" t="str">
        <x:v>Aldehydes</x:v>
      </x:c>
      <x:c r="I17" s="46" t="str">
        <x:v>Decanal</x:v>
      </x:c>
      <x:c r="J17" s="46"/>
      <x:c r="K17" s="46" t="n">
        <x:v>1680</x:v>
      </x:c>
      <x:c r="L17" s="46" t="str">
        <x:v>RI/MS/S</x:v>
      </x:c>
      <x:c r="M17" s="46" t="str">
        <x:v>yes</x:v>
      </x:c>
      <x:c r="N17" s="46"/>
      <x:c r="O17" s="46"/>
      <x:c r="P17" s="46" t="str">
        <x:v>partial_no_numeric_match_factor_standard_confirmed</x:v>
      </x:c>
      <x:c r="Q17" s="46" t="str">
        <x:v>2.38±0.62a</x:v>
      </x:c>
      <x:c r="R17" s="46" t="n">
        <x:v>2.38</x:v>
      </x:c>
      <x:c r="S17" s="46" t="str">
        <x:v>0.39±0.09c</x:v>
      </x:c>
      <x:c r="T17" s="46" t="n">
        <x:v>0.39</x:v>
      </x:c>
      <x:c r="U17" s="46" t="str">
        <x:v>1.05±0.28b</x:v>
      </x:c>
      <x:c r="V17" s="46" t="n">
        <x:v>1.05</x:v>
      </x:c>
      <x:c r="W17" s="46" t="str">
        <x:v>-</x:v>
      </x:c>
      <x:c r="X17" s="46"/>
      <x:c r="Y17" s="46" t="str">
        <x:v>yes</x:v>
      </x:c>
      <x:c r="Z17" s="46" t="str">
        <x:v>relative peak area (%) by SAFE extraction solvent</x:v>
      </x:c>
      <x:c r="AA17" s="46"/>
    </x:row>
    <x:row r="18" ht="26.399999618530273" hidden="0" customHeight="1">
      <x:c r="A18" s="46" t="str">
        <x:v>BDF-017</x:v>
      </x:c>
      <x:c r="B18" s="46" t="str">
        <x:v>beef:fat</x:v>
      </x:c>
      <x:c r="C18" s="46" t="str">
        <x:v>beef</x:v>
      </x:c>
      <x:c r="D18" s="46" t="str">
        <x:v>abdominal subcutaneous fat</x:v>
      </x:c>
      <x:c r="E18" s="46" t="str">
        <x:v>dry-rendered at 130±5°C for 20 min</x:v>
      </x:c>
      <x:c r="F18" s="46" t="str">
        <x:v>SRC-BEEF-FAT-001</x:v>
      </x:c>
      <x:c r="G18" s="46" t="str">
        <x:v>Aldehydes</x:v>
      </x:c>
      <x:c r="H18" s="46" t="str">
        <x:v>Aldehydes</x:v>
      </x:c>
      <x:c r="I18" s="46" t="str">
        <x:v>(E)-2-Undecenal</x:v>
      </x:c>
      <x:c r="J18" s="46"/>
      <x:c r="K18" s="46" t="n">
        <x:v>1717</x:v>
      </x:c>
      <x:c r="L18" s="46" t="str">
        <x:v>RI/MS</x:v>
      </x:c>
      <x:c r="M18" s="46" t="str">
        <x:v>no</x:v>
      </x:c>
      <x:c r="N18" s="46"/>
      <x:c r="O18" s="46"/>
      <x:c r="P18" s="46" t="str">
        <x:v>partial_no_numeric_match_factor</x:v>
      </x:c>
      <x:c r="Q18" s="46" t="str">
        <x:v>2.60±0.68b</x:v>
      </x:c>
      <x:c r="R18" s="46" t="n">
        <x:v>2.6</x:v>
      </x:c>
      <x:c r="S18" s="46" t="str">
        <x:v>4.19±1.02a</x:v>
      </x:c>
      <x:c r="T18" s="46" t="n">
        <x:v>4.19</x:v>
      </x:c>
      <x:c r="U18" s="46" t="str">
        <x:v>2.64±0.70b</x:v>
      </x:c>
      <x:c r="V18" s="46" t="n">
        <x:v>2.64</x:v>
      </x:c>
      <x:c r="W18" s="46" t="str">
        <x:v>-</x:v>
      </x:c>
      <x:c r="X18" s="46"/>
      <x:c r="Y18" s="46" t="str">
        <x:v>yes</x:v>
      </x:c>
      <x:c r="Z18" s="46" t="str">
        <x:v>relative peak area (%) by SAFE extraction solvent</x:v>
      </x:c>
      <x:c r="AA18" s="46"/>
    </x:row>
    <x:row r="19" ht="26.399999618530273" hidden="0" customHeight="1">
      <x:c r="A19" s="46" t="str">
        <x:v>BDF-018</x:v>
      </x:c>
      <x:c r="B19" s="46" t="str">
        <x:v>beef:fat</x:v>
      </x:c>
      <x:c r="C19" s="46" t="str">
        <x:v>beef</x:v>
      </x:c>
      <x:c r="D19" s="46" t="str">
        <x:v>abdominal subcutaneous fat</x:v>
      </x:c>
      <x:c r="E19" s="46" t="str">
        <x:v>dry-rendered at 130±5°C for 20 min</x:v>
      </x:c>
      <x:c r="F19" s="46" t="str">
        <x:v>SRC-BEEF-FAT-001</x:v>
      </x:c>
      <x:c r="G19" s="46" t="str">
        <x:v>Aldehydes</x:v>
      </x:c>
      <x:c r="H19" s="46" t="str">
        <x:v>Aldehydes</x:v>
      </x:c>
      <x:c r="I19" s="46" t="str">
        <x:v>Dodecanal</x:v>
      </x:c>
      <x:c r="J19" s="46"/>
      <x:c r="K19" s="46" t="n">
        <x:v>1729</x:v>
      </x:c>
      <x:c r="L19" s="46" t="str">
        <x:v>RI/MS</x:v>
      </x:c>
      <x:c r="M19" s="46" t="str">
        <x:v>no</x:v>
      </x:c>
      <x:c r="N19" s="46"/>
      <x:c r="O19" s="46"/>
      <x:c r="P19" s="46" t="str">
        <x:v>partial_no_numeric_match_factor</x:v>
      </x:c>
      <x:c r="Q19" s="46" t="str">
        <x:v>0.07±0.02a</x:v>
      </x:c>
      <x:c r="R19" s="46" t="n">
        <x:v>0.07</x:v>
      </x:c>
      <x:c r="S19" s="46" t="str">
        <x:v>0.05±0.01a</x:v>
      </x:c>
      <x:c r="T19" s="46" t="n">
        <x:v>0.05</x:v>
      </x:c>
      <x:c r="U19" s="46" t="str">
        <x:v>0.08±0.02a</x:v>
      </x:c>
      <x:c r="V19" s="46" t="n">
        <x:v>0.08</x:v>
      </x:c>
      <x:c r="W19" s="46" t="str">
        <x:v>-</x:v>
      </x:c>
      <x:c r="X19" s="46"/>
      <x:c r="Y19" s="46" t="str">
        <x:v>yes</x:v>
      </x:c>
      <x:c r="Z19" s="46" t="str">
        <x:v>relative peak area (%) by SAFE extraction solvent</x:v>
      </x:c>
      <x:c r="AA19" s="46"/>
    </x:row>
    <x:row r="20" ht="26.399999618530273" hidden="0" customHeight="1">
      <x:c r="A20" s="46" t="str">
        <x:v>BDF-019</x:v>
      </x:c>
      <x:c r="B20" s="46" t="str">
        <x:v>beef:fat</x:v>
      </x:c>
      <x:c r="C20" s="46" t="str">
        <x:v>beef</x:v>
      </x:c>
      <x:c r="D20" s="46" t="str">
        <x:v>abdominal subcutaneous fat</x:v>
      </x:c>
      <x:c r="E20" s="46" t="str">
        <x:v>dry-rendered at 130±5°C for 20 min</x:v>
      </x:c>
      <x:c r="F20" s="46" t="str">
        <x:v>SRC-BEEF-FAT-001</x:v>
      </x:c>
      <x:c r="G20" s="46" t="str">
        <x:v>Aldehydes</x:v>
      </x:c>
      <x:c r="H20" s="46" t="str">
        <x:v>Aldehydes</x:v>
      </x:c>
      <x:c r="I20" s="46" t="str">
        <x:v>(E,E)-2,4-Decadienal</x:v>
      </x:c>
      <x:c r="J20" s="46"/>
      <x:c r="K20" s="46" t="n">
        <x:v>1774</x:v>
      </x:c>
      <x:c r="L20" s="46" t="str">
        <x:v>RI/MS/S</x:v>
      </x:c>
      <x:c r="M20" s="46" t="str">
        <x:v>yes</x:v>
      </x:c>
      <x:c r="N20" s="46"/>
      <x:c r="O20" s="46"/>
      <x:c r="P20" s="46" t="str">
        <x:v>partial_no_numeric_match_factor_standard_confirmed</x:v>
      </x:c>
      <x:c r="Q20" s="46" t="str">
        <x:v>2.30±0.60b</x:v>
      </x:c>
      <x:c r="R20" s="46" t="n">
        <x:v>2.3</x:v>
      </x:c>
      <x:c r="S20" s="46" t="str">
        <x:v>2.39±0.58b</x:v>
      </x:c>
      <x:c r="T20" s="46" t="n">
        <x:v>2.39</x:v>
      </x:c>
      <x:c r="U20" s="46" t="str">
        <x:v>3.52±0.23a</x:v>
      </x:c>
      <x:c r="V20" s="46" t="n">
        <x:v>3.52</x:v>
      </x:c>
      <x:c r="W20" s="46" t="str">
        <x:v>-</x:v>
      </x:c>
      <x:c r="X20" s="46"/>
      <x:c r="Y20" s="46" t="str">
        <x:v>yes</x:v>
      </x:c>
      <x:c r="Z20" s="46" t="str">
        <x:v>relative peak area (%) by SAFE extraction solvent</x:v>
      </x:c>
      <x:c r="AA20" s="46"/>
    </x:row>
    <x:row r="21" ht="26.399999618530273" hidden="0" customHeight="1">
      <x:c r="A21" s="46" t="str">
        <x:v>BDF-020</x:v>
      </x:c>
      <x:c r="B21" s="46" t="str">
        <x:v>beef:fat</x:v>
      </x:c>
      <x:c r="C21" s="46" t="str">
        <x:v>beef</x:v>
      </x:c>
      <x:c r="D21" s="46" t="str">
        <x:v>abdominal subcutaneous fat</x:v>
      </x:c>
      <x:c r="E21" s="46" t="str">
        <x:v>dry-rendered at 130±5°C for 20 min</x:v>
      </x:c>
      <x:c r="F21" s="46" t="str">
        <x:v>SRC-BEEF-FAT-001</x:v>
      </x:c>
      <x:c r="G21" s="46" t="str">
        <x:v>Alcohols</x:v>
      </x:c>
      <x:c r="H21" s="46" t="str">
        <x:v>Alcohols</x:v>
      </x:c>
      <x:c r="I21" s="46" t="str">
        <x:v>3-Hexanol</x:v>
      </x:c>
      <x:c r="J21" s="46"/>
      <x:c r="K21" s="46" t="n">
        <x:v>1211</x:v>
      </x:c>
      <x:c r="L21" s="46" t="str">
        <x:v>RI/MS</x:v>
      </x:c>
      <x:c r="M21" s="46" t="str">
        <x:v>no</x:v>
      </x:c>
      <x:c r="N21" s="46"/>
      <x:c r="O21" s="46"/>
      <x:c r="P21" s="46" t="str">
        <x:v>partial_no_numeric_match_factor</x:v>
      </x:c>
      <x:c r="Q21" s="46" t="str">
        <x:v>-</x:v>
      </x:c>
      <x:c r="R21" s="46"/>
      <x:c r="S21" s="46" t="str">
        <x:v>-</x:v>
      </x:c>
      <x:c r="T21" s="46"/>
      <x:c r="U21" s="46" t="str">
        <x:v>-</x:v>
      </x:c>
      <x:c r="V21" s="46"/>
      <x:c r="W21" s="46" t="str">
        <x:v>4.18±0.55</x:v>
      </x:c>
      <x:c r="X21" s="46" t="n">
        <x:v>4.18</x:v>
      </x:c>
      <x:c r="Y21" s="46" t="str">
        <x:v>yes</x:v>
      </x:c>
      <x:c r="Z21" s="46" t="str">
        <x:v>relative peak area (%) by SAFE extraction solvent</x:v>
      </x:c>
      <x:c r="AA21" s="46"/>
    </x:row>
    <x:row r="22" ht="26.399999618530273" hidden="0" customHeight="1">
      <x:c r="A22" s="46" t="str">
        <x:v>BDF-021</x:v>
      </x:c>
      <x:c r="B22" s="46" t="str">
        <x:v>beef:fat</x:v>
      </x:c>
      <x:c r="C22" s="46" t="str">
        <x:v>beef</x:v>
      </x:c>
      <x:c r="D22" s="46" t="str">
        <x:v>abdominal subcutaneous fat</x:v>
      </x:c>
      <x:c r="E22" s="46" t="str">
        <x:v>dry-rendered at 130±5°C for 20 min</x:v>
      </x:c>
      <x:c r="F22" s="46" t="str">
        <x:v>SRC-BEEF-FAT-001</x:v>
      </x:c>
      <x:c r="G22" s="46" t="str">
        <x:v>Alcohols</x:v>
      </x:c>
      <x:c r="H22" s="46" t="str">
        <x:v>Alcohols</x:v>
      </x:c>
      <x:c r="I22" s="46" t="str">
        <x:v>2-Pentanol</x:v>
      </x:c>
      <x:c r="J22" s="46"/>
      <x:c r="K22" s="46" t="n">
        <x:v>1237</x:v>
      </x:c>
      <x:c r="L22" s="46" t="str">
        <x:v>RI/MS/S</x:v>
      </x:c>
      <x:c r="M22" s="46" t="str">
        <x:v>yes</x:v>
      </x:c>
      <x:c r="N22" s="46"/>
      <x:c r="O22" s="46"/>
      <x:c r="P22" s="46" t="str">
        <x:v>partial_no_numeric_match_factor_standard_confirmed</x:v>
      </x:c>
      <x:c r="Q22" s="46" t="str">
        <x:v>0.51±0.13b</x:v>
      </x:c>
      <x:c r="R22" s="46" t="n">
        <x:v>0.51</x:v>
      </x:c>
      <x:c r="S22" s="46" t="str">
        <x:v>0.30±0.07c</x:v>
      </x:c>
      <x:c r="T22" s="46" t="n">
        <x:v>0.3</x:v>
      </x:c>
      <x:c r="U22" s="46" t="str">
        <x:v>0.78±0.21a</x:v>
      </x:c>
      <x:c r="V22" s="46" t="n">
        <x:v>0.78</x:v>
      </x:c>
      <x:c r="W22" s="46" t="str">
        <x:v>-</x:v>
      </x:c>
      <x:c r="X22" s="46"/>
      <x:c r="Y22" s="46" t="str">
        <x:v>yes</x:v>
      </x:c>
      <x:c r="Z22" s="46" t="str">
        <x:v>relative peak area (%) by SAFE extraction solvent</x:v>
      </x:c>
      <x:c r="AA22" s="46"/>
    </x:row>
    <x:row r="23" ht="26.399999618530273" hidden="0" customHeight="1">
      <x:c r="A23" s="46" t="str">
        <x:v>BDF-022</x:v>
      </x:c>
      <x:c r="B23" s="46" t="str">
        <x:v>beef:fat</x:v>
      </x:c>
      <x:c r="C23" s="46" t="str">
        <x:v>beef</x:v>
      </x:c>
      <x:c r="D23" s="46" t="str">
        <x:v>abdominal subcutaneous fat</x:v>
      </x:c>
      <x:c r="E23" s="46" t="str">
        <x:v>dry-rendered at 130±5°C for 20 min</x:v>
      </x:c>
      <x:c r="F23" s="46" t="str">
        <x:v>SRC-BEEF-FAT-001</x:v>
      </x:c>
      <x:c r="G23" s="46" t="str">
        <x:v>Alcohols</x:v>
      </x:c>
      <x:c r="H23" s="46" t="str">
        <x:v>Alcohols</x:v>
      </x:c>
      <x:c r="I23" s="46" t="str">
        <x:v>2-Octanol</x:v>
      </x:c>
      <x:c r="J23" s="46"/>
      <x:c r="K23" s="46" t="n">
        <x:v>1411</x:v>
      </x:c>
      <x:c r="L23" s="46" t="str">
        <x:v>RI/MS</x:v>
      </x:c>
      <x:c r="M23" s="46" t="str">
        <x:v>no</x:v>
      </x:c>
      <x:c r="N23" s="46"/>
      <x:c r="O23" s="46"/>
      <x:c r="P23" s="46" t="str">
        <x:v>partial_no_numeric_match_factor</x:v>
      </x:c>
      <x:c r="Q23" s="46" t="str">
        <x:v>0.50±0.16a</x:v>
      </x:c>
      <x:c r="R23" s="46" t="n">
        <x:v>0.5</x:v>
      </x:c>
      <x:c r="S23" s="46" t="str">
        <x:v>0.01±0.00b</x:v>
      </x:c>
      <x:c r="T23" s="46" t="n">
        <x:v>0.01</x:v>
      </x:c>
      <x:c r="U23" s="46" t="str">
        <x:v>0.58±0.16a</x:v>
      </x:c>
      <x:c r="V23" s="46" t="n">
        <x:v>0.58</x:v>
      </x:c>
      <x:c r="W23" s="46" t="str">
        <x:v>-</x:v>
      </x:c>
      <x:c r="X23" s="46"/>
      <x:c r="Y23" s="46" t="str">
        <x:v>yes</x:v>
      </x:c>
      <x:c r="Z23" s="46" t="str">
        <x:v>relative peak area (%) by SAFE extraction solvent</x:v>
      </x:c>
      <x:c r="AA23" s="46"/>
    </x:row>
    <x:row r="24" ht="26.399999618530273" hidden="0" customHeight="1">
      <x:c r="A24" s="46" t="str">
        <x:v>BDF-023</x:v>
      </x:c>
      <x:c r="B24" s="46" t="str">
        <x:v>beef:fat</x:v>
      </x:c>
      <x:c r="C24" s="46" t="str">
        <x:v>beef</x:v>
      </x:c>
      <x:c r="D24" s="46" t="str">
        <x:v>abdominal subcutaneous fat</x:v>
      </x:c>
      <x:c r="E24" s="46" t="str">
        <x:v>dry-rendered at 130±5°C for 20 min</x:v>
      </x:c>
      <x:c r="F24" s="46" t="str">
        <x:v>SRC-BEEF-FAT-001</x:v>
      </x:c>
      <x:c r="G24" s="46" t="str">
        <x:v>Alcohols</x:v>
      </x:c>
      <x:c r="H24" s="46" t="str">
        <x:v>Alcohols</x:v>
      </x:c>
      <x:c r="I24" s="46" t="str">
        <x:v>1-Octen-3-ol</x:v>
      </x:c>
      <x:c r="J24" s="46"/>
      <x:c r="K24" s="46" t="n">
        <x:v>1423</x:v>
      </x:c>
      <x:c r="L24" s="46" t="str">
        <x:v>RI/MS/S</x:v>
      </x:c>
      <x:c r="M24" s="46" t="str">
        <x:v>yes</x:v>
      </x:c>
      <x:c r="N24" s="46"/>
      <x:c r="O24" s="46"/>
      <x:c r="P24" s="46" t="str">
        <x:v>partial_no_numeric_match_factor_standard_confirmed</x:v>
      </x:c>
      <x:c r="Q24" s="46" t="str">
        <x:v>3.65±1.18a</x:v>
      </x:c>
      <x:c r="R24" s="46" t="n">
        <x:v>3.65</x:v>
      </x:c>
      <x:c r="S24" s="46" t="str">
        <x:v>0.69±0.16c</x:v>
      </x:c>
      <x:c r="T24" s="46" t="n">
        <x:v>0.69</x:v>
      </x:c>
      <x:c r="U24" s="46" t="str">
        <x:v>2.70±0.74b</x:v>
      </x:c>
      <x:c r="V24" s="46" t="n">
        <x:v>2.7</x:v>
      </x:c>
      <x:c r="W24" s="46" t="str">
        <x:v>-</x:v>
      </x:c>
      <x:c r="X24" s="46"/>
      <x:c r="Y24" s="46" t="str">
        <x:v>yes</x:v>
      </x:c>
      <x:c r="Z24" s="46" t="str">
        <x:v>relative peak area (%) by SAFE extraction solvent</x:v>
      </x:c>
      <x:c r="AA24" s="46"/>
    </x:row>
    <x:row r="25" ht="26.399999618530273" hidden="0" customHeight="1">
      <x:c r="A25" s="46" t="str">
        <x:v>BDF-024</x:v>
      </x:c>
      <x:c r="B25" s="46" t="str">
        <x:v>beef:fat</x:v>
      </x:c>
      <x:c r="C25" s="46" t="str">
        <x:v>beef</x:v>
      </x:c>
      <x:c r="D25" s="46" t="str">
        <x:v>abdominal subcutaneous fat</x:v>
      </x:c>
      <x:c r="E25" s="46" t="str">
        <x:v>dry-rendered at 130±5°C for 20 min</x:v>
      </x:c>
      <x:c r="F25" s="46" t="str">
        <x:v>SRC-BEEF-FAT-001</x:v>
      </x:c>
      <x:c r="G25" s="46" t="str">
        <x:v>Alcohols</x:v>
      </x:c>
      <x:c r="H25" s="46" t="str">
        <x:v>Alcohols</x:v>
      </x:c>
      <x:c r="I25" s="46" t="str">
        <x:v>1-Heptanol</x:v>
      </x:c>
      <x:c r="J25" s="46"/>
      <x:c r="K25" s="46" t="n">
        <x:v>1437</x:v>
      </x:c>
      <x:c r="L25" s="46" t="str">
        <x:v>RI/MS/S</x:v>
      </x:c>
      <x:c r="M25" s="46" t="str">
        <x:v>yes</x:v>
      </x:c>
      <x:c r="N25" s="46"/>
      <x:c r="O25" s="46"/>
      <x:c r="P25" s="46" t="str">
        <x:v>partial_no_numeric_match_factor_standard_confirmed</x:v>
      </x:c>
      <x:c r="Q25" s="46" t="str">
        <x:v>2.18±0.70a</x:v>
      </x:c>
      <x:c r="R25" s="46" t="n">
        <x:v>2.18</x:v>
      </x:c>
      <x:c r="S25" s="46" t="str">
        <x:v>1.10±0.26b</x:v>
      </x:c>
      <x:c r="T25" s="46" t="n">
        <x:v>1.1</x:v>
      </x:c>
      <x:c r="U25" s="46" t="str">
        <x:v>1.63±0.45a</x:v>
      </x:c>
      <x:c r="V25" s="46" t="n">
        <x:v>1.63</x:v>
      </x:c>
      <x:c r="W25" s="46" t="str">
        <x:v>-</x:v>
      </x:c>
      <x:c r="X25" s="46"/>
      <x:c r="Y25" s="46" t="str">
        <x:v>yes</x:v>
      </x:c>
      <x:c r="Z25" s="46" t="str">
        <x:v>relative peak area (%) by SAFE extraction solvent</x:v>
      </x:c>
      <x:c r="AA25" s="46"/>
    </x:row>
    <x:row r="26" ht="26.399999618530273" hidden="0" customHeight="1">
      <x:c r="A26" s="46" t="str">
        <x:v>BDF-025</x:v>
      </x:c>
      <x:c r="B26" s="46" t="str">
        <x:v>beef:fat</x:v>
      </x:c>
      <x:c r="C26" s="46" t="str">
        <x:v>beef</x:v>
      </x:c>
      <x:c r="D26" s="46" t="str">
        <x:v>abdominal subcutaneous fat</x:v>
      </x:c>
      <x:c r="E26" s="46" t="str">
        <x:v>dry-rendered at 130±5°C for 20 min</x:v>
      </x:c>
      <x:c r="F26" s="46" t="str">
        <x:v>SRC-BEEF-FAT-001</x:v>
      </x:c>
      <x:c r="G26" s="46" t="str">
        <x:v>Alcohols</x:v>
      </x:c>
      <x:c r="H26" s="46" t="str">
        <x:v>Alcohols</x:v>
      </x:c>
      <x:c r="I26" s="46" t="str">
        <x:v>1-Hexanol</x:v>
      </x:c>
      <x:c r="J26" s="46"/>
      <x:c r="K26" s="46" t="n">
        <x:v>1454</x:v>
      </x:c>
      <x:c r="L26" s="46" t="str">
        <x:v>RI/MS/S</x:v>
      </x:c>
      <x:c r="M26" s="46" t="str">
        <x:v>yes</x:v>
      </x:c>
      <x:c r="N26" s="46"/>
      <x:c r="O26" s="46"/>
      <x:c r="P26" s="46" t="str">
        <x:v>partial_no_numeric_match_factor_standard_confirmed</x:v>
      </x:c>
      <x:c r="Q26" s="46" t="str">
        <x:v>0.53±0.17b</x:v>
      </x:c>
      <x:c r="R26" s="46" t="n">
        <x:v>0.53</x:v>
      </x:c>
      <x:c r="S26" s="46" t="str">
        <x:v>0.30±0.07b</x:v>
      </x:c>
      <x:c r="T26" s="46" t="n">
        <x:v>0.3</x:v>
      </x:c>
      <x:c r="U26" s="46" t="str">
        <x:v>0.84±0.23a</x:v>
      </x:c>
      <x:c r="V26" s="46" t="n">
        <x:v>0.84</x:v>
      </x:c>
      <x:c r="W26" s="46" t="str">
        <x:v>-</x:v>
      </x:c>
      <x:c r="X26" s="46"/>
      <x:c r="Y26" s="46" t="str">
        <x:v>yes</x:v>
      </x:c>
      <x:c r="Z26" s="46" t="str">
        <x:v>relative peak area (%) by SAFE extraction solvent</x:v>
      </x:c>
      <x:c r="AA26" s="46"/>
    </x:row>
    <x:row r="27" ht="26.399999618530273" hidden="0" customHeight="1">
      <x:c r="A27" s="46" t="str">
        <x:v>BDF-026</x:v>
      </x:c>
      <x:c r="B27" s="46" t="str">
        <x:v>beef:fat</x:v>
      </x:c>
      <x:c r="C27" s="46" t="str">
        <x:v>beef</x:v>
      </x:c>
      <x:c r="D27" s="46" t="str">
        <x:v>abdominal subcutaneous fat</x:v>
      </x:c>
      <x:c r="E27" s="46" t="str">
        <x:v>dry-rendered at 130±5°C for 20 min</x:v>
      </x:c>
      <x:c r="F27" s="46" t="str">
        <x:v>SRC-BEEF-FAT-001</x:v>
      </x:c>
      <x:c r="G27" s="46" t="str">
        <x:v>Alcohols</x:v>
      </x:c>
      <x:c r="H27" s="46" t="str">
        <x:v>Alcohols</x:v>
      </x:c>
      <x:c r="I27" s="46" t="str">
        <x:v>Octanol</x:v>
      </x:c>
      <x:c r="J27" s="46"/>
      <x:c r="K27" s="46" t="n">
        <x:v>1538</x:v>
      </x:c>
      <x:c r="L27" s="46" t="str">
        <x:v>RI/MS/S</x:v>
      </x:c>
      <x:c r="M27" s="46" t="str">
        <x:v>yes</x:v>
      </x:c>
      <x:c r="N27" s="46"/>
      <x:c r="O27" s="46"/>
      <x:c r="P27" s="46" t="str">
        <x:v>partial_no_numeric_match_factor_standard_confirmed</x:v>
      </x:c>
      <x:c r="Q27" s="46" t="str">
        <x:v>3.17±1.03a</x:v>
      </x:c>
      <x:c r="R27" s="46" t="n">
        <x:v>3.17</x:v>
      </x:c>
      <x:c r="S27" s="46" t="str">
        <x:v>3.32±0.78a</x:v>
      </x:c>
      <x:c r="T27" s="46" t="n">
        <x:v>3.32</x:v>
      </x:c>
      <x:c r="U27" s="46" t="str">
        <x:v>3.49±0.95a</x:v>
      </x:c>
      <x:c r="V27" s="46" t="n">
        <x:v>3.49</x:v>
      </x:c>
      <x:c r="W27" s="46" t="str">
        <x:v>-</x:v>
      </x:c>
      <x:c r="X27" s="46"/>
      <x:c r="Y27" s="46" t="str">
        <x:v>yes</x:v>
      </x:c>
      <x:c r="Z27" s="46" t="str">
        <x:v>relative peak area (%) by SAFE extraction solvent</x:v>
      </x:c>
      <x:c r="AA27" s="46"/>
    </x:row>
    <x:row r="28" ht="26.399999618530273" hidden="0" customHeight="1">
      <x:c r="A28" s="46" t="str">
        <x:v>BDF-027</x:v>
      </x:c>
      <x:c r="B28" s="46" t="str">
        <x:v>beef:fat</x:v>
      </x:c>
      <x:c r="C28" s="46" t="str">
        <x:v>beef</x:v>
      </x:c>
      <x:c r="D28" s="46" t="str">
        <x:v>abdominal subcutaneous fat</x:v>
      </x:c>
      <x:c r="E28" s="46" t="str">
        <x:v>dry-rendered at 130±5°C for 20 min</x:v>
      </x:c>
      <x:c r="F28" s="46" t="str">
        <x:v>SRC-BEEF-FAT-001</x:v>
      </x:c>
      <x:c r="G28" s="46" t="str">
        <x:v>Alcohols</x:v>
      </x:c>
      <x:c r="H28" s="46" t="str">
        <x:v>Alcohols</x:v>
      </x:c>
      <x:c r="I28" s="46" t="str">
        <x:v>2,3-Butanediol</x:v>
      </x:c>
      <x:c r="J28" s="46"/>
      <x:c r="K28" s="46" t="n">
        <x:v>1581</x:v>
      </x:c>
      <x:c r="L28" s="46" t="str">
        <x:v>RI/MS/S</x:v>
      </x:c>
      <x:c r="M28" s="46" t="str">
        <x:v>yes</x:v>
      </x:c>
      <x:c r="N28" s="46"/>
      <x:c r="O28" s="46"/>
      <x:c r="P28" s="46" t="str">
        <x:v>partial_no_numeric_match_factor_standard_confirmed</x:v>
      </x:c>
      <x:c r="Q28" s="46" t="str">
        <x:v>2.71±0.88a</x:v>
      </x:c>
      <x:c r="R28" s="46" t="n">
        <x:v>2.71</x:v>
      </x:c>
      <x:c r="S28" s="46" t="str">
        <x:v>0.50±0.12b</x:v>
      </x:c>
      <x:c r="T28" s="46" t="n">
        <x:v>0.5</x:v>
      </x:c>
      <x:c r="U28" s="46" t="str">
        <x:v>1.68±0.46a</x:v>
      </x:c>
      <x:c r="V28" s="46" t="n">
        <x:v>1.68</x:v>
      </x:c>
      <x:c r="W28" s="46" t="str">
        <x:v>1.76±0.52a</x:v>
      </x:c>
      <x:c r="X28" s="46" t="n">
        <x:v>1.76</x:v>
      </x:c>
      <x:c r="Y28" s="46" t="str">
        <x:v>yes</x:v>
      </x:c>
      <x:c r="Z28" s="46" t="str">
        <x:v>relative peak area (%) by SAFE extraction solvent</x:v>
      </x:c>
      <x:c r="AA28" s="46"/>
    </x:row>
    <x:row r="29" ht="26.399999618530273" hidden="0" customHeight="1">
      <x:c r="A29" s="46" t="str">
        <x:v>BDF-028</x:v>
      </x:c>
      <x:c r="B29" s="46" t="str">
        <x:v>beef:fat</x:v>
      </x:c>
      <x:c r="C29" s="46" t="str">
        <x:v>beef</x:v>
      </x:c>
      <x:c r="D29" s="46" t="str">
        <x:v>abdominal subcutaneous fat</x:v>
      </x:c>
      <x:c r="E29" s="46" t="str">
        <x:v>dry-rendered at 130±5°C for 20 min</x:v>
      </x:c>
      <x:c r="F29" s="46" t="str">
        <x:v>SRC-BEEF-FAT-001</x:v>
      </x:c>
      <x:c r="G29" s="46" t="str">
        <x:v>Alcohols</x:v>
      </x:c>
      <x:c r="H29" s="46" t="str">
        <x:v>Alcohols</x:v>
      </x:c>
      <x:c r="I29" s="46" t="str">
        <x:v>1,2-Propanediol</x:v>
      </x:c>
      <x:c r="J29" s="46"/>
      <x:c r="K29" s="46" t="n">
        <x:v>1600</x:v>
      </x:c>
      <x:c r="L29" s="46" t="str">
        <x:v>RI/MS</x:v>
      </x:c>
      <x:c r="M29" s="46" t="str">
        <x:v>no</x:v>
      </x:c>
      <x:c r="N29" s="46"/>
      <x:c r="O29" s="46"/>
      <x:c r="P29" s="46" t="str">
        <x:v>partial_no_numeric_match_factor</x:v>
      </x:c>
      <x:c r="Q29" s="46" t="str">
        <x:v>0.17±0.05a</x:v>
      </x:c>
      <x:c r="R29" s="46" t="n">
        <x:v>0.17</x:v>
      </x:c>
      <x:c r="S29" s="46" t="str">
        <x:v>0.20±0.05b</x:v>
      </x:c>
      <x:c r="T29" s="46" t="n">
        <x:v>0.2</x:v>
      </x:c>
      <x:c r="U29" s="46" t="str">
        <x:v>0.26±0.07b</x:v>
      </x:c>
      <x:c r="V29" s="46" t="n">
        <x:v>0.26</x:v>
      </x:c>
      <x:c r="W29" s="46" t="str">
        <x:v>1.07±0.10a</x:v>
      </x:c>
      <x:c r="X29" s="46" t="n">
        <x:v>1.07</x:v>
      </x:c>
      <x:c r="Y29" s="46" t="str">
        <x:v>yes</x:v>
      </x:c>
      <x:c r="Z29" s="46" t="str">
        <x:v>relative peak area (%) by SAFE extraction solvent</x:v>
      </x:c>
      <x:c r="AA29" s="46"/>
    </x:row>
    <x:row r="30" ht="26.399999618530273" hidden="0" customHeight="1">
      <x:c r="A30" s="46" t="str">
        <x:v>BDF-029</x:v>
      </x:c>
      <x:c r="B30" s="46" t="str">
        <x:v>beef:fat</x:v>
      </x:c>
      <x:c r="C30" s="46" t="str">
        <x:v>beef</x:v>
      </x:c>
      <x:c r="D30" s="46" t="str">
        <x:v>abdominal subcutaneous fat</x:v>
      </x:c>
      <x:c r="E30" s="46" t="str">
        <x:v>dry-rendered at 130±5°C for 20 min</x:v>
      </x:c>
      <x:c r="F30" s="46" t="str">
        <x:v>SRC-BEEF-FAT-001</x:v>
      </x:c>
      <x:c r="G30" s="46" t="str">
        <x:v>Alcohols</x:v>
      </x:c>
      <x:c r="H30" s="46" t="str">
        <x:v>Alcohols</x:v>
      </x:c>
      <x:c r="I30" s="46" t="str">
        <x:v>(E)-2-Octen-1-ol</x:v>
      </x:c>
      <x:c r="J30" s="46"/>
      <x:c r="K30" s="46" t="n">
        <x:v>1642</x:v>
      </x:c>
      <x:c r="L30" s="46" t="str">
        <x:v>RI/MS/S</x:v>
      </x:c>
      <x:c r="M30" s="46" t="str">
        <x:v>yes</x:v>
      </x:c>
      <x:c r="N30" s="46"/>
      <x:c r="O30" s="46"/>
      <x:c r="P30" s="46" t="str">
        <x:v>partial_no_numeric_match_factor_standard_confirmed</x:v>
      </x:c>
      <x:c r="Q30" s="46" t="str">
        <x:v>0.26±0.08a</x:v>
      </x:c>
      <x:c r="R30" s="46" t="n">
        <x:v>0.26</x:v>
      </x:c>
      <x:c r="S30" s="46" t="str">
        <x:v>0.01±0.00b</x:v>
      </x:c>
      <x:c r="T30" s="46" t="n">
        <x:v>0.01</x:v>
      </x:c>
      <x:c r="U30" s="46" t="str">
        <x:v>0.40±0.11a</x:v>
      </x:c>
      <x:c r="V30" s="46" t="n">
        <x:v>0.4</x:v>
      </x:c>
      <x:c r="W30" s="46" t="str">
        <x:v>-</x:v>
      </x:c>
      <x:c r="X30" s="46"/>
      <x:c r="Y30" s="46" t="str">
        <x:v>yes</x:v>
      </x:c>
      <x:c r="Z30" s="46" t="str">
        <x:v>relative peak area (%) by SAFE extraction solvent</x:v>
      </x:c>
      <x:c r="AA30" s="46"/>
    </x:row>
    <x:row r="31" ht="26.399999618530273" hidden="0" customHeight="1">
      <x:c r="A31" s="46" t="str">
        <x:v>BDF-030</x:v>
      </x:c>
      <x:c r="B31" s="46" t="str">
        <x:v>beef:fat</x:v>
      </x:c>
      <x:c r="C31" s="46" t="str">
        <x:v>beef</x:v>
      </x:c>
      <x:c r="D31" s="46" t="str">
        <x:v>abdominal subcutaneous fat</x:v>
      </x:c>
      <x:c r="E31" s="46" t="str">
        <x:v>dry-rendered at 130±5°C for 20 min</x:v>
      </x:c>
      <x:c r="F31" s="46" t="str">
        <x:v>SRC-BEEF-FAT-001</x:v>
      </x:c>
      <x:c r="G31" s="46" t="str">
        <x:v>Alcohols</x:v>
      </x:c>
      <x:c r="H31" s="46" t="str">
        <x:v>Alcohols</x:v>
      </x:c>
      <x:c r="I31" s="46" t="str">
        <x:v>1-Nonanol</x:v>
      </x:c>
      <x:c r="J31" s="46"/>
      <x:c r="K31" s="46" t="n">
        <x:v>1673</x:v>
      </x:c>
      <x:c r="L31" s="46" t="str">
        <x:v>RI/MS</x:v>
      </x:c>
      <x:c r="M31" s="46" t="str">
        <x:v>no</x:v>
      </x:c>
      <x:c r="N31" s="46"/>
      <x:c r="O31" s="46"/>
      <x:c r="P31" s="46" t="str">
        <x:v>partial_no_numeric_match_factor</x:v>
      </x:c>
      <x:c r="Q31" s="46" t="str">
        <x:v>0.25±0.08a</x:v>
      </x:c>
      <x:c r="R31" s="46" t="n">
        <x:v>0.25</x:v>
      </x:c>
      <x:c r="S31" s="46" t="str">
        <x:v>0.02±0.00b</x:v>
      </x:c>
      <x:c r="T31" s="46" t="n">
        <x:v>0.02</x:v>
      </x:c>
      <x:c r="U31" s="46" t="str">
        <x:v>-</x:v>
      </x:c>
      <x:c r="V31" s="46"/>
      <x:c r="W31" s="46" t="str">
        <x:v>-</x:v>
      </x:c>
      <x:c r="X31" s="46"/>
      <x:c r="Y31" s="46" t="str">
        <x:v>yes</x:v>
      </x:c>
      <x:c r="Z31" s="46" t="str">
        <x:v>relative peak area (%) by SAFE extraction solvent</x:v>
      </x:c>
      <x:c r="AA31" s="46"/>
    </x:row>
    <x:row r="32" ht="26.399999618530273" hidden="0" customHeight="1">
      <x:c r="A32" s="46" t="str">
        <x:v>BDF-031</x:v>
      </x:c>
      <x:c r="B32" s="46" t="str">
        <x:v>beef:fat</x:v>
      </x:c>
      <x:c r="C32" s="46" t="str">
        <x:v>beef</x:v>
      </x:c>
      <x:c r="D32" s="46" t="str">
        <x:v>abdominal subcutaneous fat</x:v>
      </x:c>
      <x:c r="E32" s="46" t="str">
        <x:v>dry-rendered at 130±5°C for 20 min</x:v>
      </x:c>
      <x:c r="F32" s="46" t="str">
        <x:v>SRC-BEEF-FAT-001</x:v>
      </x:c>
      <x:c r="G32" s="46" t="str">
        <x:v>Alcohols</x:v>
      </x:c>
      <x:c r="H32" s="46" t="str">
        <x:v>Alcohols</x:v>
      </x:c>
      <x:c r="I32" s="46" t="str">
        <x:v>Phenylethyl alcohol</x:v>
      </x:c>
      <x:c r="J32" s="46"/>
      <x:c r="K32" s="46" t="n">
        <x:v>1843</x:v>
      </x:c>
      <x:c r="L32" s="46" t="str">
        <x:v>RI/MS/S</x:v>
      </x:c>
      <x:c r="M32" s="46" t="str">
        <x:v>yes</x:v>
      </x:c>
      <x:c r="N32" s="46"/>
      <x:c r="O32" s="46"/>
      <x:c r="P32" s="46" t="str">
        <x:v>partial_no_numeric_match_factor_standard_confirmed</x:v>
      </x:c>
      <x:c r="Q32" s="46" t="str">
        <x:v>0.47±0.15a</x:v>
      </x:c>
      <x:c r="R32" s="46" t="n">
        <x:v>0.47</x:v>
      </x:c>
      <x:c r="S32" s="46" t="str">
        <x:v>0.30±0.07b</x:v>
      </x:c>
      <x:c r="T32" s="46" t="n">
        <x:v>0.3</x:v>
      </x:c>
      <x:c r="U32" s="46" t="str">
        <x:v>0.49±0.13a</x:v>
      </x:c>
      <x:c r="V32" s="46" t="n">
        <x:v>0.49</x:v>
      </x:c>
      <x:c r="W32" s="46" t="str">
        <x:v>-</x:v>
      </x:c>
      <x:c r="X32" s="46"/>
      <x:c r="Y32" s="46" t="str">
        <x:v>yes</x:v>
      </x:c>
      <x:c r="Z32" s="46" t="str">
        <x:v>relative peak area (%) by SAFE extraction solvent</x:v>
      </x:c>
      <x:c r="AA32" s="46"/>
    </x:row>
    <x:row r="33" ht="26.399999618530273" hidden="0" customHeight="1">
      <x:c r="A33" s="46" t="str">
        <x:v>BDF-032</x:v>
      </x:c>
      <x:c r="B33" s="46" t="str">
        <x:v>beef:fat</x:v>
      </x:c>
      <x:c r="C33" s="46" t="str">
        <x:v>beef</x:v>
      </x:c>
      <x:c r="D33" s="46" t="str">
        <x:v>abdominal subcutaneous fat</x:v>
      </x:c>
      <x:c r="E33" s="46" t="str">
        <x:v>dry-rendered at 130±5°C for 20 min</x:v>
      </x:c>
      <x:c r="F33" s="46" t="str">
        <x:v>SRC-BEEF-FAT-001</x:v>
      </x:c>
      <x:c r="G33" s="46" t="str">
        <x:v>Alcohols</x:v>
      </x:c>
      <x:c r="H33" s="46" t="str">
        <x:v>Alcohols</x:v>
      </x:c>
      <x:c r="I33" s="46" t="str">
        <x:v>1-Undecanol</x:v>
      </x:c>
      <x:c r="J33" s="46"/>
      <x:c r="K33" s="46" t="n">
        <x:v>1879</x:v>
      </x:c>
      <x:c r="L33" s="46" t="str">
        <x:v>RI/MS/S</x:v>
      </x:c>
      <x:c r="M33" s="46" t="str">
        <x:v>yes</x:v>
      </x:c>
      <x:c r="N33" s="46"/>
      <x:c r="O33" s="46"/>
      <x:c r="P33" s="46" t="str">
        <x:v>partial_no_numeric_match_factor_standard_confirmed</x:v>
      </x:c>
      <x:c r="Q33" s="46" t="str">
        <x:v>0.07±0.02b</x:v>
      </x:c>
      <x:c r="R33" s="46" t="n">
        <x:v>0.07</x:v>
      </x:c>
      <x:c r="S33" s="46" t="str">
        <x:v>0.07±0.02b</x:v>
      </x:c>
      <x:c r="T33" s="46" t="n">
        <x:v>0.07</x:v>
      </x:c>
      <x:c r="U33" s="46" t="str">
        <x:v>0.23±0.06a</x:v>
      </x:c>
      <x:c r="V33" s="46" t="n">
        <x:v>0.23</x:v>
      </x:c>
      <x:c r="W33" s="46" t="str">
        <x:v>-</x:v>
      </x:c>
      <x:c r="X33" s="46"/>
      <x:c r="Y33" s="46" t="str">
        <x:v>yes</x:v>
      </x:c>
      <x:c r="Z33" s="46" t="str">
        <x:v>relative peak area (%) by SAFE extraction solvent</x:v>
      </x:c>
      <x:c r="AA33" s="46"/>
    </x:row>
    <x:row r="34" ht="26.399999618530273" hidden="0" customHeight="1">
      <x:c r="A34" s="46" t="str">
        <x:v>BDF-033</x:v>
      </x:c>
      <x:c r="B34" s="46" t="str">
        <x:v>beef:fat</x:v>
      </x:c>
      <x:c r="C34" s="46" t="str">
        <x:v>beef</x:v>
      </x:c>
      <x:c r="D34" s="46" t="str">
        <x:v>abdominal subcutaneous fat</x:v>
      </x:c>
      <x:c r="E34" s="46" t="str">
        <x:v>dry-rendered at 130±5°C for 20 min</x:v>
      </x:c>
      <x:c r="F34" s="46" t="str">
        <x:v>SRC-BEEF-FAT-001</x:v>
      </x:c>
      <x:c r="G34" s="46" t="str">
        <x:v>Alcohols</x:v>
      </x:c>
      <x:c r="H34" s="46" t="str">
        <x:v>Alcohols</x:v>
      </x:c>
      <x:c r="I34" s="46" t="str">
        <x:v>1-Dodecanol</x:v>
      </x:c>
      <x:c r="J34" s="46"/>
      <x:c r="K34" s="46" t="n">
        <x:v>1964</x:v>
      </x:c>
      <x:c r="L34" s="46" t="str">
        <x:v>RI/MS/S</x:v>
      </x:c>
      <x:c r="M34" s="46" t="str">
        <x:v>yes</x:v>
      </x:c>
      <x:c r="N34" s="46"/>
      <x:c r="O34" s="46"/>
      <x:c r="P34" s="46" t="str">
        <x:v>partial_no_numeric_match_factor_standard_confirmed</x:v>
      </x:c>
      <x:c r="Q34" s="46" t="str">
        <x:v>0.21±0.07a</x:v>
      </x:c>
      <x:c r="R34" s="46" t="n">
        <x:v>0.21</x:v>
      </x:c>
      <x:c r="S34" s="46" t="str">
        <x:v>0.04±0.01b</x:v>
      </x:c>
      <x:c r="T34" s="46" t="n">
        <x:v>0.04</x:v>
      </x:c>
      <x:c r="U34" s="46" t="str">
        <x:v>0.05±0.01b</x:v>
      </x:c>
      <x:c r="V34" s="46" t="n">
        <x:v>0.05</x:v>
      </x:c>
      <x:c r="W34" s="46" t="str">
        <x:v>-</x:v>
      </x:c>
      <x:c r="X34" s="46"/>
      <x:c r="Y34" s="46" t="str">
        <x:v>yes</x:v>
      </x:c>
      <x:c r="Z34" s="46" t="str">
        <x:v>relative peak area (%) by SAFE extraction solvent</x:v>
      </x:c>
      <x:c r="AA34" s="46"/>
    </x:row>
    <x:row r="35" ht="26.399999618530273" hidden="0" customHeight="1">
      <x:c r="A35" s="46" t="str">
        <x:v>BDF-034</x:v>
      </x:c>
      <x:c r="B35" s="46" t="str">
        <x:v>beef:fat</x:v>
      </x:c>
      <x:c r="C35" s="46" t="str">
        <x:v>beef</x:v>
      </x:c>
      <x:c r="D35" s="46" t="str">
        <x:v>abdominal subcutaneous fat</x:v>
      </x:c>
      <x:c r="E35" s="46" t="str">
        <x:v>dry-rendered at 130±5°C for 20 min</x:v>
      </x:c>
      <x:c r="F35" s="46" t="str">
        <x:v>SRC-BEEF-FAT-001</x:v>
      </x:c>
      <x:c r="G35" s="46" t="str">
        <x:v>Alcohols</x:v>
      </x:c>
      <x:c r="H35" s="46" t="str">
        <x:v>Alcohols</x:v>
      </x:c>
      <x:c r="I35" s="46" t="str">
        <x:v>1,4-Pentadiol</x:v>
      </x:c>
      <x:c r="J35" s="46"/>
      <x:c r="K35" s="46" t="n">
        <x:v>2054</x:v>
      </x:c>
      <x:c r="L35" s="46" t="str">
        <x:v>RI/MS/S</x:v>
      </x:c>
      <x:c r="M35" s="46" t="str">
        <x:v>yes</x:v>
      </x:c>
      <x:c r="N35" s="46"/>
      <x:c r="O35" s="46"/>
      <x:c r="P35" s="46" t="str">
        <x:v>partial_no_numeric_match_factor_standard_confirmed</x:v>
      </x:c>
      <x:c r="Q35" s="46" t="str">
        <x:v>0.04±0.01a</x:v>
      </x:c>
      <x:c r="R35" s="46" t="n">
        <x:v>0.04</x:v>
      </x:c>
      <x:c r="S35" s="46" t="str">
        <x:v>0.03±0.01a</x:v>
      </x:c>
      <x:c r="T35" s="46" t="n">
        <x:v>0.03</x:v>
      </x:c>
      <x:c r="U35" s="46" t="str">
        <x:v>0.05±0.01a</x:v>
      </x:c>
      <x:c r="V35" s="46" t="n">
        <x:v>0.05</x:v>
      </x:c>
      <x:c r="W35" s="46" t="str">
        <x:v>-</x:v>
      </x:c>
      <x:c r="X35" s="46"/>
      <x:c r="Y35" s="46" t="str">
        <x:v>yes</x:v>
      </x:c>
      <x:c r="Z35" s="46" t="str">
        <x:v>relative peak area (%) by SAFE extraction solvent</x:v>
      </x:c>
      <x:c r="AA35" s="46"/>
    </x:row>
    <x:row r="36" ht="26.399999618530273" hidden="0" customHeight="1">
      <x:c r="A36" s="46" t="str">
        <x:v>BDF-035</x:v>
      </x:c>
      <x:c r="B36" s="46" t="str">
        <x:v>beef:fat</x:v>
      </x:c>
      <x:c r="C36" s="46" t="str">
        <x:v>beef</x:v>
      </x:c>
      <x:c r="D36" s="46" t="str">
        <x:v>abdominal subcutaneous fat</x:v>
      </x:c>
      <x:c r="E36" s="46" t="str">
        <x:v>dry-rendered at 130±5°C for 20 min</x:v>
      </x:c>
      <x:c r="F36" s="46" t="str">
        <x:v>SRC-BEEF-FAT-001</x:v>
      </x:c>
      <x:c r="G36" s="46" t="str">
        <x:v>Alcohols</x:v>
      </x:c>
      <x:c r="H36" s="46" t="str">
        <x:v>Alcohols</x:v>
      </x:c>
      <x:c r="I36" s="46" t="str">
        <x:v>2-Hexyl-1-dodecanol</x:v>
      </x:c>
      <x:c r="J36" s="46"/>
      <x:c r="K36" s="46" t="n">
        <x:v>2150</x:v>
      </x:c>
      <x:c r="L36" s="46" t="str">
        <x:v>RI/MS</x:v>
      </x:c>
      <x:c r="M36" s="46" t="str">
        <x:v>no</x:v>
      </x:c>
      <x:c r="N36" s="46"/>
      <x:c r="O36" s="46"/>
      <x:c r="P36" s="46" t="str">
        <x:v>partial_no_numeric_match_factor</x:v>
      </x:c>
      <x:c r="Q36" s="46" t="str">
        <x:v>0.07±0.01c</x:v>
      </x:c>
      <x:c r="R36" s="46" t="n">
        <x:v>0.07</x:v>
      </x:c>
      <x:c r="S36" s="46" t="str">
        <x:v>0.88±0.24a</x:v>
      </x:c>
      <x:c r="T36" s="46" t="n">
        <x:v>0.88</x:v>
      </x:c>
      <x:c r="U36" s="46" t="str">
        <x:v>0.40±0.15b</x:v>
      </x:c>
      <x:c r="V36" s="46" t="n">
        <x:v>0.4</x:v>
      </x:c>
      <x:c r="W36" s="46" t="str">
        <x:v>-</x:v>
      </x:c>
      <x:c r="X36" s="46"/>
      <x:c r="Y36" s="46" t="str">
        <x:v>yes</x:v>
      </x:c>
      <x:c r="Z36" s="46" t="str">
        <x:v>relative peak area (%) by SAFE extraction solvent</x:v>
      </x:c>
      <x:c r="AA36" s="46"/>
    </x:row>
    <x:row r="37" ht="26.399999618530273" hidden="0" customHeight="1">
      <x:c r="A37" s="46" t="str">
        <x:v>BDF-036</x:v>
      </x:c>
      <x:c r="B37" s="46" t="str">
        <x:v>beef:fat</x:v>
      </x:c>
      <x:c r="C37" s="46" t="str">
        <x:v>beef</x:v>
      </x:c>
      <x:c r="D37" s="46" t="str">
        <x:v>abdominal subcutaneous fat</x:v>
      </x:c>
      <x:c r="E37" s="46" t="str">
        <x:v>dry-rendered at 130±5°C for 20 min</x:v>
      </x:c>
      <x:c r="F37" s="46" t="str">
        <x:v>SRC-BEEF-FAT-001</x:v>
      </x:c>
      <x:c r="G37" s="46" t="str">
        <x:v>Ketones</x:v>
      </x:c>
      <x:c r="H37" s="46" t="str">
        <x:v>Ketones</x:v>
      </x:c>
      <x:c r="I37" s="46" t="str">
        <x:v>1-Octanone</x:v>
      </x:c>
      <x:c r="J37" s="46"/>
      <x:c r="K37" s="46" t="n">
        <x:v>1197</x:v>
      </x:c>
      <x:c r="L37" s="46" t="str">
        <x:v>RI/MS</x:v>
      </x:c>
      <x:c r="M37" s="46" t="str">
        <x:v>no</x:v>
      </x:c>
      <x:c r="N37" s="46"/>
      <x:c r="O37" s="46"/>
      <x:c r="P37" s="46" t="str">
        <x:v>partial_no_numeric_match_factor</x:v>
      </x:c>
      <x:c r="Q37" s="46" t="str">
        <x:v>0.14±0.03a</x:v>
      </x:c>
      <x:c r="R37" s="46" t="n">
        <x:v>0.14</x:v>
      </x:c>
      <x:c r="S37" s="46" t="str">
        <x:v>0.16±0.04a</x:v>
      </x:c>
      <x:c r="T37" s="46" t="n">
        <x:v>0.16</x:v>
      </x:c>
      <x:c r="U37" s="46" t="str">
        <x:v>0.04±0.01b</x:v>
      </x:c>
      <x:c r="V37" s="46" t="n">
        <x:v>0.04</x:v>
      </x:c>
      <x:c r="W37" s="46" t="str">
        <x:v>-</x:v>
      </x:c>
      <x:c r="X37" s="46"/>
      <x:c r="Y37" s="46" t="str">
        <x:v>yes</x:v>
      </x:c>
      <x:c r="Z37" s="46" t="str">
        <x:v>relative peak area (%) by SAFE extraction solvent</x:v>
      </x:c>
      <x:c r="AA37" s="46"/>
    </x:row>
    <x:row r="38" ht="26.399999618530273" hidden="0" customHeight="1">
      <x:c r="A38" s="46" t="str">
        <x:v>BDF-037</x:v>
      </x:c>
      <x:c r="B38" s="46" t="str">
        <x:v>beef:fat</x:v>
      </x:c>
      <x:c r="C38" s="46" t="str">
        <x:v>beef</x:v>
      </x:c>
      <x:c r="D38" s="46" t="str">
        <x:v>abdominal subcutaneous fat</x:v>
      </x:c>
      <x:c r="E38" s="46" t="str">
        <x:v>dry-rendered at 130±5°C for 20 min</x:v>
      </x:c>
      <x:c r="F38" s="46" t="str">
        <x:v>SRC-BEEF-FAT-001</x:v>
      </x:c>
      <x:c r="G38" s="46" t="str">
        <x:v>Ketones</x:v>
      </x:c>
      <x:c r="H38" s="46" t="str">
        <x:v>Ketones</x:v>
      </x:c>
      <x:c r="I38" s="46" t="str">
        <x:v>Acetoin</x:v>
      </x:c>
      <x:c r="J38" s="46"/>
      <x:c r="K38" s="46" t="n">
        <x:v>1262</x:v>
      </x:c>
      <x:c r="L38" s="46" t="str">
        <x:v>RI/MS</x:v>
      </x:c>
      <x:c r="M38" s="46" t="str">
        <x:v>no</x:v>
      </x:c>
      <x:c r="N38" s="46"/>
      <x:c r="O38" s="46"/>
      <x:c r="P38" s="46" t="str">
        <x:v>partial_no_numeric_match_factor</x:v>
      </x:c>
      <x:c r="Q38" s="46" t="str">
        <x:v>3.12±0.63a</x:v>
      </x:c>
      <x:c r="R38" s="46" t="n">
        <x:v>3.12</x:v>
      </x:c>
      <x:c r="S38" s="46" t="str">
        <x:v>2.60±0.70a</x:v>
      </x:c>
      <x:c r="T38" s="46" t="n">
        <x:v>2.6</x:v>
      </x:c>
      <x:c r="U38" s="46" t="str">
        <x:v>3.11±1.14a</x:v>
      </x:c>
      <x:c r="V38" s="46" t="n">
        <x:v>3.11</x:v>
      </x:c>
      <x:c r="W38" s="46" t="str">
        <x:v>-</x:v>
      </x:c>
      <x:c r="X38" s="46"/>
      <x:c r="Y38" s="46" t="str">
        <x:v>yes</x:v>
      </x:c>
      <x:c r="Z38" s="46" t="str">
        <x:v>relative peak area (%) by SAFE extraction solvent</x:v>
      </x:c>
      <x:c r="AA38" s="46"/>
    </x:row>
    <x:row r="39" ht="26.399999618530273" hidden="0" customHeight="1">
      <x:c r="A39" s="46" t="str">
        <x:v>BDF-038</x:v>
      </x:c>
      <x:c r="B39" s="46" t="str">
        <x:v>beef:fat</x:v>
      </x:c>
      <x:c r="C39" s="46" t="str">
        <x:v>beef</x:v>
      </x:c>
      <x:c r="D39" s="46" t="str">
        <x:v>abdominal subcutaneous fat</x:v>
      </x:c>
      <x:c r="E39" s="46" t="str">
        <x:v>dry-rendered at 130±5°C for 20 min</x:v>
      </x:c>
      <x:c r="F39" s="46" t="str">
        <x:v>SRC-BEEF-FAT-001</x:v>
      </x:c>
      <x:c r="G39" s="46" t="str">
        <x:v>Ketones</x:v>
      </x:c>
      <x:c r="H39" s="46" t="str">
        <x:v>Ketones</x:v>
      </x:c>
      <x:c r="I39" s="46" t="str">
        <x:v>2,3-Octanedione</x:v>
      </x:c>
      <x:c r="J39" s="46"/>
      <x:c r="K39" s="46" t="n">
        <x:v>1307</x:v>
      </x:c>
      <x:c r="L39" s="46" t="str">
        <x:v>RI/MS</x:v>
      </x:c>
      <x:c r="M39" s="46" t="str">
        <x:v>no</x:v>
      </x:c>
      <x:c r="N39" s="46"/>
      <x:c r="O39" s="46"/>
      <x:c r="P39" s="46" t="str">
        <x:v>partial_no_numeric_match_factor</x:v>
      </x:c>
      <x:c r="Q39" s="46" t="str">
        <x:v>2.53±0.52a</x:v>
      </x:c>
      <x:c r="R39" s="46" t="n">
        <x:v>2.53</x:v>
      </x:c>
      <x:c r="S39" s="46" t="str">
        <x:v>1.88±0.51b</x:v>
      </x:c>
      <x:c r="T39" s="46" t="n">
        <x:v>1.88</x:v>
      </x:c>
      <x:c r="U39" s="46" t="str">
        <x:v>1.68±0.62b</x:v>
      </x:c>
      <x:c r="V39" s="46" t="n">
        <x:v>1.68</x:v>
      </x:c>
      <x:c r="W39" s="46" t="str">
        <x:v>-</x:v>
      </x:c>
      <x:c r="X39" s="46"/>
      <x:c r="Y39" s="46" t="str">
        <x:v>yes</x:v>
      </x:c>
      <x:c r="Z39" s="46" t="str">
        <x:v>relative peak area (%) by SAFE extraction solvent</x:v>
      </x:c>
      <x:c r="AA39" s="46"/>
    </x:row>
    <x:row r="40" ht="26.399999618530273" hidden="0" customHeight="1">
      <x:c r="A40" s="46" t="str">
        <x:v>BDF-039</x:v>
      </x:c>
      <x:c r="B40" s="46" t="str">
        <x:v>beef:fat</x:v>
      </x:c>
      <x:c r="C40" s="46" t="str">
        <x:v>beef</x:v>
      </x:c>
      <x:c r="D40" s="46" t="str">
        <x:v>abdominal subcutaneous fat</x:v>
      </x:c>
      <x:c r="E40" s="46" t="str">
        <x:v>dry-rendered at 130±5°C for 20 min</x:v>
      </x:c>
      <x:c r="F40" s="46" t="str">
        <x:v>SRC-BEEF-FAT-001</x:v>
      </x:c>
      <x:c r="G40" s="46" t="str">
        <x:v>Ketones</x:v>
      </x:c>
      <x:c r="H40" s="46" t="str">
        <x:v>Ketones</x:v>
      </x:c>
      <x:c r="I40" s="46" t="str">
        <x:v>2-Decanone</x:v>
      </x:c>
      <x:c r="J40" s="46"/>
      <x:c r="K40" s="46" t="n">
        <x:v>1494</x:v>
      </x:c>
      <x:c r="L40" s="46" t="str">
        <x:v>RI/MS</x:v>
      </x:c>
      <x:c r="M40" s="46" t="str">
        <x:v>no</x:v>
      </x:c>
      <x:c r="N40" s="46"/>
      <x:c r="O40" s="46"/>
      <x:c r="P40" s="46" t="str">
        <x:v>partial_no_numeric_match_factor</x:v>
      </x:c>
      <x:c r="Q40" s="46" t="str">
        <x:v>0.32±0.07b</x:v>
      </x:c>
      <x:c r="R40" s="46" t="n">
        <x:v>0.32</x:v>
      </x:c>
      <x:c r="S40" s="46" t="str">
        <x:v>0.53±0.14a</x:v>
      </x:c>
      <x:c r="T40" s="46" t="n">
        <x:v>0.53</x:v>
      </x:c>
      <x:c r="U40" s="46" t="str">
        <x:v>0.49±0.18a</x:v>
      </x:c>
      <x:c r="V40" s="46" t="n">
        <x:v>0.49</x:v>
      </x:c>
      <x:c r="W40" s="46" t="str">
        <x:v>-</x:v>
      </x:c>
      <x:c r="X40" s="46"/>
      <x:c r="Y40" s="46" t="str">
        <x:v>yes</x:v>
      </x:c>
      <x:c r="Z40" s="46" t="str">
        <x:v>relative peak area (%) by SAFE extraction solvent</x:v>
      </x:c>
      <x:c r="AA40" s="46"/>
    </x:row>
    <x:row r="41" ht="26.399999618530273" hidden="0" customHeight="1">
      <x:c r="A41" s="46" t="str">
        <x:v>BDF-040</x:v>
      </x:c>
      <x:c r="B41" s="46" t="str">
        <x:v>beef:fat</x:v>
      </x:c>
      <x:c r="C41" s="46" t="str">
        <x:v>beef</x:v>
      </x:c>
      <x:c r="D41" s="46" t="str">
        <x:v>abdominal subcutaneous fat</x:v>
      </x:c>
      <x:c r="E41" s="46" t="str">
        <x:v>dry-rendered at 130±5°C for 20 min</x:v>
      </x:c>
      <x:c r="F41" s="46" t="str">
        <x:v>SRC-BEEF-FAT-001</x:v>
      </x:c>
      <x:c r="G41" s="46" t="str">
        <x:v>Ketones</x:v>
      </x:c>
      <x:c r="H41" s="46" t="str">
        <x:v>Ketones</x:v>
      </x:c>
      <x:c r="I41" s="46" t="str">
        <x:v>2-Undecanone</x:v>
      </x:c>
      <x:c r="J41" s="46"/>
      <x:c r="K41" s="46" t="n">
        <x:v>1599</x:v>
      </x:c>
      <x:c r="L41" s="46" t="str">
        <x:v>RI/MS/S</x:v>
      </x:c>
      <x:c r="M41" s="46" t="str">
        <x:v>yes</x:v>
      </x:c>
      <x:c r="N41" s="46"/>
      <x:c r="O41" s="46"/>
      <x:c r="P41" s="46" t="str">
        <x:v>partial_no_numeric_match_factor_standard_confirmed</x:v>
      </x:c>
      <x:c r="Q41" s="46" t="str">
        <x:v>0.80±0.16a</x:v>
      </x:c>
      <x:c r="R41" s="46" t="n">
        <x:v>0.8</x:v>
      </x:c>
      <x:c r="S41" s="46" t="str">
        <x:v>0.30±0.08b</x:v>
      </x:c>
      <x:c r="T41" s="46" t="n">
        <x:v>0.3</x:v>
      </x:c>
      <x:c r="U41" s="46" t="str">
        <x:v>0.42±0.15b</x:v>
      </x:c>
      <x:c r="V41" s="46" t="n">
        <x:v>0.42</x:v>
      </x:c>
      <x:c r="W41" s="46" t="str">
        <x:v>-</x:v>
      </x:c>
      <x:c r="X41" s="46"/>
      <x:c r="Y41" s="46" t="str">
        <x:v>yes</x:v>
      </x:c>
      <x:c r="Z41" s="46" t="str">
        <x:v>relative peak area (%) by SAFE extraction solvent</x:v>
      </x:c>
      <x:c r="AA41" s="46"/>
    </x:row>
    <x:row r="42" ht="26.399999618530273" hidden="0" customHeight="1">
      <x:c r="A42" s="46" t="str">
        <x:v>BDF-041</x:v>
      </x:c>
      <x:c r="B42" s="46" t="str">
        <x:v>beef:fat</x:v>
      </x:c>
      <x:c r="C42" s="46" t="str">
        <x:v>beef</x:v>
      </x:c>
      <x:c r="D42" s="46" t="str">
        <x:v>abdominal subcutaneous fat</x:v>
      </x:c>
      <x:c r="E42" s="46" t="str">
        <x:v>dry-rendered at 130±5°C for 20 min</x:v>
      </x:c>
      <x:c r="F42" s="46" t="str">
        <x:v>SRC-BEEF-FAT-001</x:v>
      </x:c>
      <x:c r="G42" s="46" t="str">
        <x:v>Ketones</x:v>
      </x:c>
      <x:c r="H42" s="46" t="str">
        <x:v>Ketones</x:v>
      </x:c>
      <x:c r="I42" s="46" t="str">
        <x:v>2-Dodecanone</x:v>
      </x:c>
      <x:c r="J42" s="46"/>
      <x:c r="K42" s="46" t="n">
        <x:v>1709</x:v>
      </x:c>
      <x:c r="L42" s="46" t="str">
        <x:v>RI/MS</x:v>
      </x:c>
      <x:c r="M42" s="46" t="str">
        <x:v>no</x:v>
      </x:c>
      <x:c r="N42" s="46"/>
      <x:c r="O42" s="46"/>
      <x:c r="P42" s="46" t="str">
        <x:v>partial_no_numeric_match_factor</x:v>
      </x:c>
      <x:c r="Q42" s="46" t="str">
        <x:v>0.12±0.02a</x:v>
      </x:c>
      <x:c r="R42" s="46" t="n">
        <x:v>0.12</x:v>
      </x:c>
      <x:c r="S42" s="46" t="str">
        <x:v>0.03±0.01b</x:v>
      </x:c>
      <x:c r="T42" s="46" t="n">
        <x:v>0.03</x:v>
      </x:c>
      <x:c r="U42" s="46" t="str">
        <x:v>0.12±0.05a</x:v>
      </x:c>
      <x:c r="V42" s="46" t="n">
        <x:v>0.12</x:v>
      </x:c>
      <x:c r="W42" s="46" t="str">
        <x:v>-</x:v>
      </x:c>
      <x:c r="X42" s="46"/>
      <x:c r="Y42" s="46" t="str">
        <x:v>yes</x:v>
      </x:c>
      <x:c r="Z42" s="46" t="str">
        <x:v>relative peak area (%) by SAFE extraction solvent</x:v>
      </x:c>
      <x:c r="AA42" s="46"/>
    </x:row>
    <x:row r="43" ht="26.399999618530273" hidden="0" customHeight="1">
      <x:c r="A43" s="46" t="str">
        <x:v>BDF-042</x:v>
      </x:c>
      <x:c r="B43" s="46" t="str">
        <x:v>beef:fat</x:v>
      </x:c>
      <x:c r="C43" s="46" t="str">
        <x:v>beef</x:v>
      </x:c>
      <x:c r="D43" s="46" t="str">
        <x:v>abdominal subcutaneous fat</x:v>
      </x:c>
      <x:c r="E43" s="46" t="str">
        <x:v>dry-rendered at 130±5°C for 20 min</x:v>
      </x:c>
      <x:c r="F43" s="46" t="str">
        <x:v>SRC-BEEF-FAT-001</x:v>
      </x:c>
      <x:c r="G43" s="46" t="str">
        <x:v>Ketones</x:v>
      </x:c>
      <x:c r="H43" s="46" t="str">
        <x:v>Ketones</x:v>
      </x:c>
      <x:c r="I43" s="46" t="str">
        <x:v>2-Tridecanone</x:v>
      </x:c>
      <x:c r="J43" s="46"/>
      <x:c r="K43" s="46" t="n">
        <x:v>1816</x:v>
      </x:c>
      <x:c r="L43" s="46" t="str">
        <x:v>RI/MS</x:v>
      </x:c>
      <x:c r="M43" s="46" t="str">
        <x:v>no</x:v>
      </x:c>
      <x:c r="N43" s="46"/>
      <x:c r="O43" s="46"/>
      <x:c r="P43" s="46" t="str">
        <x:v>partial_no_numeric_match_factor</x:v>
      </x:c>
      <x:c r="Q43" s="46" t="str">
        <x:v>0.15±0.03a</x:v>
      </x:c>
      <x:c r="R43" s="46" t="n">
        <x:v>0.15</x:v>
      </x:c>
      <x:c r="S43" s="46" t="str">
        <x:v>0.07±0.02b</x:v>
      </x:c>
      <x:c r="T43" s="46" t="n">
        <x:v>0.07</x:v>
      </x:c>
      <x:c r="U43" s="46" t="str">
        <x:v>0.09±0.03b</x:v>
      </x:c>
      <x:c r="V43" s="46" t="n">
        <x:v>0.09</x:v>
      </x:c>
      <x:c r="W43" s="46" t="str">
        <x:v>-</x:v>
      </x:c>
      <x:c r="X43" s="46"/>
      <x:c r="Y43" s="46" t="str">
        <x:v>yes</x:v>
      </x:c>
      <x:c r="Z43" s="46" t="str">
        <x:v>relative peak area (%) by SAFE extraction solvent</x:v>
      </x:c>
      <x:c r="AA43" s="46"/>
    </x:row>
    <x:row r="44" ht="26.399999618530273" hidden="0" customHeight="1">
      <x:c r="A44" s="46" t="str">
        <x:v>BDF-043</x:v>
      </x:c>
      <x:c r="B44" s="46" t="str">
        <x:v>beef:fat</x:v>
      </x:c>
      <x:c r="C44" s="46" t="str">
        <x:v>beef</x:v>
      </x:c>
      <x:c r="D44" s="46" t="str">
        <x:v>abdominal subcutaneous fat</x:v>
      </x:c>
      <x:c r="E44" s="46" t="str">
        <x:v>dry-rendered at 130±5°C for 20 min</x:v>
      </x:c>
      <x:c r="F44" s="46" t="str">
        <x:v>SRC-BEEF-FAT-001</x:v>
      </x:c>
      <x:c r="G44" s="46" t="str">
        <x:v>Ketones</x:v>
      </x:c>
      <x:c r="H44" s="46" t="str">
        <x:v>Ketones</x:v>
      </x:c>
      <x:c r="I44" s="46" t="str">
        <x:v>2-Tetradecenone</x:v>
      </x:c>
      <x:c r="J44" s="46"/>
      <x:c r="K44" s="46" t="n">
        <x:v>1914</x:v>
      </x:c>
      <x:c r="L44" s="46" t="str">
        <x:v>RI/MS/S</x:v>
      </x:c>
      <x:c r="M44" s="46" t="str">
        <x:v>yes</x:v>
      </x:c>
      <x:c r="N44" s="46"/>
      <x:c r="O44" s="46"/>
      <x:c r="P44" s="46" t="str">
        <x:v>partial_no_numeric_match_factor_standard_confirmed</x:v>
      </x:c>
      <x:c r="Q44" s="46" t="str">
        <x:v>0.36±0.07a</x:v>
      </x:c>
      <x:c r="R44" s="46" t="n">
        <x:v>0.36</x:v>
      </x:c>
      <x:c r="S44" s="46" t="str">
        <x:v>0.05±0.01b</x:v>
      </x:c>
      <x:c r="T44" s="46" t="n">
        <x:v>0.05</x:v>
      </x:c>
      <x:c r="U44" s="46" t="str">
        <x:v>0.08±0.03b</x:v>
      </x:c>
      <x:c r="V44" s="46" t="n">
        <x:v>0.08</x:v>
      </x:c>
      <x:c r="W44" s="46" t="str">
        <x:v>-</x:v>
      </x:c>
      <x:c r="X44" s="46"/>
      <x:c r="Y44" s="46" t="str">
        <x:v>yes</x:v>
      </x:c>
      <x:c r="Z44" s="46" t="str">
        <x:v>relative peak area (%) by SAFE extraction solvent</x:v>
      </x:c>
      <x:c r="AA44" s="46"/>
    </x:row>
    <x:row r="45" ht="26.399999618530273" hidden="0" customHeight="1">
      <x:c r="A45" s="46" t="str">
        <x:v>BDF-044</x:v>
      </x:c>
      <x:c r="B45" s="46" t="str">
        <x:v>beef:fat</x:v>
      </x:c>
      <x:c r="C45" s="46" t="str">
        <x:v>beef</x:v>
      </x:c>
      <x:c r="D45" s="46" t="str">
        <x:v>abdominal subcutaneous fat</x:v>
      </x:c>
      <x:c r="E45" s="46" t="str">
        <x:v>dry-rendered at 130±5°C for 20 min</x:v>
      </x:c>
      <x:c r="F45" s="46" t="str">
        <x:v>SRC-BEEF-FAT-001</x:v>
      </x:c>
      <x:c r="G45" s="46" t="str">
        <x:v>Ketones</x:v>
      </x:c>
      <x:c r="H45" s="46" t="str">
        <x:v>Ketones</x:v>
      </x:c>
      <x:c r="I45" s="46" t="str">
        <x:v>2-Heptadecanone</x:v>
      </x:c>
      <x:c r="J45" s="46"/>
      <x:c r="K45" s="46" t="n">
        <x:v>2195</x:v>
      </x:c>
      <x:c r="L45" s="46" t="str">
        <x:v>RI/MS/S</x:v>
      </x:c>
      <x:c r="M45" s="46" t="str">
        <x:v>yes</x:v>
      </x:c>
      <x:c r="N45" s="46"/>
      <x:c r="O45" s="46"/>
      <x:c r="P45" s="46" t="str">
        <x:v>partial_no_numeric_match_factor_standard_confirmed</x:v>
      </x:c>
      <x:c r="Q45" s="46" t="str">
        <x:v>0.34±0.07c</x:v>
      </x:c>
      <x:c r="R45" s="46" t="n">
        <x:v>0.34</x:v>
      </x:c>
      <x:c r="S45" s="46" t="str">
        <x:v>0.80±0.22a</x:v>
      </x:c>
      <x:c r="T45" s="46" t="n">
        <x:v>0.8</x:v>
      </x:c>
      <x:c r="U45" s="46" t="str">
        <x:v>0.54±0.20b</x:v>
      </x:c>
      <x:c r="V45" s="46" t="n">
        <x:v>0.54</x:v>
      </x:c>
      <x:c r="W45" s="46" t="str">
        <x:v>-</x:v>
      </x:c>
      <x:c r="X45" s="46"/>
      <x:c r="Y45" s="46" t="str">
        <x:v>yes</x:v>
      </x:c>
      <x:c r="Z45" s="46" t="str">
        <x:v>relative peak area (%) by SAFE extraction solvent</x:v>
      </x:c>
      <x:c r="AA45" s="46"/>
    </x:row>
    <x:row r="46" ht="26.399999618530273" hidden="0" customHeight="1">
      <x:c r="A46" s="46" t="str">
        <x:v>BDF-045</x:v>
      </x:c>
      <x:c r="B46" s="46" t="str">
        <x:v>beef:fat</x:v>
      </x:c>
      <x:c r="C46" s="46" t="str">
        <x:v>beef</x:v>
      </x:c>
      <x:c r="D46" s="46" t="str">
        <x:v>abdominal subcutaneous fat</x:v>
      </x:c>
      <x:c r="E46" s="46" t="str">
        <x:v>dry-rendered at 130±5°C for 20 min</x:v>
      </x:c>
      <x:c r="F46" s="46" t="str">
        <x:v>SRC-BEEF-FAT-001</x:v>
      </x:c>
      <x:c r="G46" s="46" t="str">
        <x:v>Acids</x:v>
      </x:c>
      <x:c r="H46" s="46" t="str">
        <x:v>Acids</x:v>
      </x:c>
      <x:c r="I46" s="46" t="str">
        <x:v>Acetic acid</x:v>
      </x:c>
      <x:c r="J46" s="46"/>
      <x:c r="K46" s="46" t="n">
        <x:v>1429</x:v>
      </x:c>
      <x:c r="L46" s="46" t="str">
        <x:v>RI/MS/S</x:v>
      </x:c>
      <x:c r="M46" s="46" t="str">
        <x:v>yes</x:v>
      </x:c>
      <x:c r="N46" s="46"/>
      <x:c r="O46" s="46"/>
      <x:c r="P46" s="46" t="str">
        <x:v>partial_no_numeric_match_factor_standard_confirmed</x:v>
      </x:c>
      <x:c r="Q46" s="46" t="str">
        <x:v>8.40±1.71b</x:v>
      </x:c>
      <x:c r="R46" s="46" t="n">
        <x:v>8.4</x:v>
      </x:c>
      <x:c r="S46" s="46" t="str">
        <x:v>5.70±1.54c</x:v>
      </x:c>
      <x:c r="T46" s="46" t="n">
        <x:v>5.7</x:v>
      </x:c>
      <x:c r="U46" s="46" t="str">
        <x:v>8.27±3.03b</x:v>
      </x:c>
      <x:c r="V46" s="46" t="n">
        <x:v>8.27</x:v>
      </x:c>
      <x:c r="W46" s="46" t="str">
        <x:v>70.01±21a</x:v>
      </x:c>
      <x:c r="X46" s="46" t="n">
        <x:v>70.01</x:v>
      </x:c>
      <x:c r="Y46" s="46" t="str">
        <x:v>yes</x:v>
      </x:c>
      <x:c r="Z46" s="46" t="str">
        <x:v>relative peak area (%) by SAFE extraction solvent</x:v>
      </x:c>
      <x:c r="AA46" s="46"/>
    </x:row>
    <x:row r="47" ht="26.399999618530273" hidden="0" customHeight="1">
      <x:c r="A47" s="46" t="str">
        <x:v>BDF-046</x:v>
      </x:c>
      <x:c r="B47" s="46" t="str">
        <x:v>beef:fat</x:v>
      </x:c>
      <x:c r="C47" s="46" t="str">
        <x:v>beef</x:v>
      </x:c>
      <x:c r="D47" s="46" t="str">
        <x:v>abdominal subcutaneous fat</x:v>
      </x:c>
      <x:c r="E47" s="46" t="str">
        <x:v>dry-rendered at 130±5°C for 20 min</x:v>
      </x:c>
      <x:c r="F47" s="46" t="str">
        <x:v>SRC-BEEF-FAT-001</x:v>
      </x:c>
      <x:c r="G47" s="46" t="str">
        <x:v>Acids</x:v>
      </x:c>
      <x:c r="H47" s="46" t="str">
        <x:v>Acids</x:v>
      </x:c>
      <x:c r="I47" s="46" t="str">
        <x:v>Propionic acid</x:v>
      </x:c>
      <x:c r="J47" s="46"/>
      <x:c r="K47" s="46" t="n">
        <x:v>1508</x:v>
      </x:c>
      <x:c r="L47" s="46" t="str">
        <x:v>RI/MS/S</x:v>
      </x:c>
      <x:c r="M47" s="46" t="str">
        <x:v>yes</x:v>
      </x:c>
      <x:c r="N47" s="46"/>
      <x:c r="O47" s="46"/>
      <x:c r="P47" s="46" t="str">
        <x:v>partial_no_numeric_match_factor_standard_confirmed</x:v>
      </x:c>
      <x:c r="Q47" s="46" t="str">
        <x:v>1.37±0.28b</x:v>
      </x:c>
      <x:c r="R47" s="46" t="n">
        <x:v>1.37</x:v>
      </x:c>
      <x:c r="S47" s="46" t="str">
        <x:v>0.13±0.03c</x:v>
      </x:c>
      <x:c r="T47" s="46" t="n">
        <x:v>0.13</x:v>
      </x:c>
      <x:c r="U47" s="46" t="str">
        <x:v>1.26±0.46b</x:v>
      </x:c>
      <x:c r="V47" s="46" t="n">
        <x:v>1.26</x:v>
      </x:c>
      <x:c r="W47" s="46" t="str">
        <x:v>4.16±1.25a</x:v>
      </x:c>
      <x:c r="X47" s="46" t="n">
        <x:v>4.16</x:v>
      </x:c>
      <x:c r="Y47" s="46" t="str">
        <x:v>yes</x:v>
      </x:c>
      <x:c r="Z47" s="46" t="str">
        <x:v>relative peak area (%) by SAFE extraction solvent</x:v>
      </x:c>
      <x:c r="AA47" s="46"/>
    </x:row>
    <x:row r="48" ht="26.399999618530273" hidden="0" customHeight="1">
      <x:c r="A48" s="46" t="str">
        <x:v>BDF-047</x:v>
      </x:c>
      <x:c r="B48" s="46" t="str">
        <x:v>beef:fat</x:v>
      </x:c>
      <x:c r="C48" s="46" t="str">
        <x:v>beef</x:v>
      </x:c>
      <x:c r="D48" s="46" t="str">
        <x:v>abdominal subcutaneous fat</x:v>
      </x:c>
      <x:c r="E48" s="46" t="str">
        <x:v>dry-rendered at 130±5°C for 20 min</x:v>
      </x:c>
      <x:c r="F48" s="46" t="str">
        <x:v>SRC-BEEF-FAT-001</x:v>
      </x:c>
      <x:c r="G48" s="46" t="str">
        <x:v>Acids</x:v>
      </x:c>
      <x:c r="H48" s="46" t="str">
        <x:v>Acids</x:v>
      </x:c>
      <x:c r="I48" s="46" t="str">
        <x:v>2-Methylpropionic acid</x:v>
      </x:c>
      <x:c r="J48" s="46"/>
      <x:c r="K48" s="46" t="n">
        <x:v>1581</x:v>
      </x:c>
      <x:c r="L48" s="46" t="str">
        <x:v>RI/MS/S</x:v>
      </x:c>
      <x:c r="M48" s="46" t="str">
        <x:v>yes</x:v>
      </x:c>
      <x:c r="N48" s="46"/>
      <x:c r="O48" s="46"/>
      <x:c r="P48" s="46" t="str">
        <x:v>partial_no_numeric_match_factor_standard_confirmed</x:v>
      </x:c>
      <x:c r="Q48" s="46" t="str">
        <x:v>0.11±0.02c</x:v>
      </x:c>
      <x:c r="R48" s="46" t="n">
        <x:v>0.11</x:v>
      </x:c>
      <x:c r="S48" s="46" t="str">
        <x:v>0.05±0.01c</x:v>
      </x:c>
      <x:c r="T48" s="46" t="n">
        <x:v>0.05</x:v>
      </x:c>
      <x:c r="U48" s="46" t="str">
        <x:v>0.21±0.08b</x:v>
      </x:c>
      <x:c r="V48" s="46" t="n">
        <x:v>0.21</x:v>
      </x:c>
      <x:c r="W48" s="46" t="str">
        <x:v>3.18±0.96a</x:v>
      </x:c>
      <x:c r="X48" s="46" t="n">
        <x:v>3.18</x:v>
      </x:c>
      <x:c r="Y48" s="46" t="str">
        <x:v>yes</x:v>
      </x:c>
      <x:c r="Z48" s="46" t="str">
        <x:v>relative peak area (%) by SAFE extraction solvent</x:v>
      </x:c>
      <x:c r="AA48" s="46"/>
    </x:row>
    <x:row r="49" ht="26.399999618530273" hidden="0" customHeight="1">
      <x:c r="A49" s="46" t="str">
        <x:v>BDF-048</x:v>
      </x:c>
      <x:c r="B49" s="46" t="str">
        <x:v>beef:fat</x:v>
      </x:c>
      <x:c r="C49" s="46" t="str">
        <x:v>beef</x:v>
      </x:c>
      <x:c r="D49" s="46" t="str">
        <x:v>abdominal subcutaneous fat</x:v>
      </x:c>
      <x:c r="E49" s="46" t="str">
        <x:v>dry-rendered at 130±5°C for 20 min</x:v>
      </x:c>
      <x:c r="F49" s="46" t="str">
        <x:v>SRC-BEEF-FAT-001</x:v>
      </x:c>
      <x:c r="G49" s="46" t="str">
        <x:v>Acids</x:v>
      </x:c>
      <x:c r="H49" s="46" t="str">
        <x:v>Acids</x:v>
      </x:c>
      <x:c r="I49" s="46" t="str">
        <x:v>Butyric acid</x:v>
      </x:c>
      <x:c r="J49" s="46"/>
      <x:c r="K49" s="46" t="n">
        <x:v>1637</x:v>
      </x:c>
      <x:c r="L49" s="46" t="str">
        <x:v>RI/MS/S</x:v>
      </x:c>
      <x:c r="M49" s="46" t="str">
        <x:v>yes</x:v>
      </x:c>
      <x:c r="N49" s="46"/>
      <x:c r="O49" s="46"/>
      <x:c r="P49" s="46" t="str">
        <x:v>partial_no_numeric_match_factor_standard_confirmed</x:v>
      </x:c>
      <x:c r="Q49" s="46" t="str">
        <x:v>0.37±0.07c</x:v>
      </x:c>
      <x:c r="R49" s="46" t="n">
        <x:v>0.37</x:v>
      </x:c>
      <x:c r="S49" s="46" t="str">
        <x:v>0.51±0.14b</x:v>
      </x:c>
      <x:c r="T49" s="46" t="n">
        <x:v>0.51</x:v>
      </x:c>
      <x:c r="U49" s="46" t="str">
        <x:v>0.42±0.15c</x:v>
      </x:c>
      <x:c r="V49" s="46" t="n">
        <x:v>0.42</x:v>
      </x:c>
      <x:c r="W49" s="46" t="str">
        <x:v>0.79±0.24a</x:v>
      </x:c>
      <x:c r="X49" s="46" t="n">
        <x:v>0.79</x:v>
      </x:c>
      <x:c r="Y49" s="46" t="str">
        <x:v>yes</x:v>
      </x:c>
      <x:c r="Z49" s="46" t="str">
        <x:v>relative peak area (%) by SAFE extraction solvent</x:v>
      </x:c>
      <x:c r="AA49" s="46"/>
    </x:row>
    <x:row r="50" ht="26.399999618530273" hidden="0" customHeight="1">
      <x:c r="A50" s="46" t="str">
        <x:v>BDF-049</x:v>
      </x:c>
      <x:c r="B50" s="46" t="str">
        <x:v>beef:fat</x:v>
      </x:c>
      <x:c r="C50" s="46" t="str">
        <x:v>beef</x:v>
      </x:c>
      <x:c r="D50" s="46" t="str">
        <x:v>abdominal subcutaneous fat</x:v>
      </x:c>
      <x:c r="E50" s="46" t="str">
        <x:v>dry-rendered at 130±5°C for 20 min</x:v>
      </x:c>
      <x:c r="F50" s="46" t="str">
        <x:v>SRC-BEEF-FAT-001</x:v>
      </x:c>
      <x:c r="G50" s="46" t="str">
        <x:v>Acids</x:v>
      </x:c>
      <x:c r="H50" s="46" t="str">
        <x:v>Acids</x:v>
      </x:c>
      <x:c r="I50" s="46" t="str">
        <x:v>4-Hydroxybutyric acid</x:v>
      </x:c>
      <x:c r="J50" s="46"/>
      <x:c r="K50" s="46" t="n">
        <x:v>1640</x:v>
      </x:c>
      <x:c r="L50" s="46" t="str">
        <x:v>RI/MS/S</x:v>
      </x:c>
      <x:c r="M50" s="46" t="str">
        <x:v>yes</x:v>
      </x:c>
      <x:c r="N50" s="46"/>
      <x:c r="O50" s="46"/>
      <x:c r="P50" s="46" t="str">
        <x:v>partial_no_numeric_match_factor_standard_confirmed</x:v>
      </x:c>
      <x:c r="Q50" s="46" t="str">
        <x:v>1.55±0.37b</x:v>
      </x:c>
      <x:c r="R50" s="46" t="n">
        <x:v>1.55</x:v>
      </x:c>
      <x:c r="S50" s="46" t="str">
        <x:v>1.32±0.38b</x:v>
      </x:c>
      <x:c r="T50" s="46" t="n">
        <x:v>1.32</x:v>
      </x:c>
      <x:c r="U50" s="46" t="str">
        <x:v>1.25±0.30b</x:v>
      </x:c>
      <x:c r="V50" s="46" t="n">
        <x:v>1.25</x:v>
      </x:c>
      <x:c r="W50" s="46" t="str">
        <x:v>5.23±1.57a</x:v>
      </x:c>
      <x:c r="X50" s="46" t="n">
        <x:v>5.23</x:v>
      </x:c>
      <x:c r="Y50" s="46" t="str">
        <x:v>yes</x:v>
      </x:c>
      <x:c r="Z50" s="46" t="str">
        <x:v>relative peak area (%) by SAFE extraction solvent</x:v>
      </x:c>
      <x:c r="AA50" s="46"/>
    </x:row>
    <x:row r="51" ht="26.399999618530273" hidden="0" customHeight="1">
      <x:c r="A51" s="46" t="str">
        <x:v>BDF-050</x:v>
      </x:c>
      <x:c r="B51" s="46" t="str">
        <x:v>beef:fat</x:v>
      </x:c>
      <x:c r="C51" s="46" t="str">
        <x:v>beef</x:v>
      </x:c>
      <x:c r="D51" s="46" t="str">
        <x:v>abdominal subcutaneous fat</x:v>
      </x:c>
      <x:c r="E51" s="46" t="str">
        <x:v>dry-rendered at 130±5°C for 20 min</x:v>
      </x:c>
      <x:c r="F51" s="46" t="str">
        <x:v>SRC-BEEF-FAT-001</x:v>
      </x:c>
      <x:c r="G51" s="46" t="str">
        <x:v>Acids</x:v>
      </x:c>
      <x:c r="H51" s="46" t="str">
        <x:v>Acids</x:v>
      </x:c>
      <x:c r="I51" s="46" t="str">
        <x:v>3-Methylbutyric acid</x:v>
      </x:c>
      <x:c r="J51" s="46"/>
      <x:c r="K51" s="46" t="n">
        <x:v>1680</x:v>
      </x:c>
      <x:c r="L51" s="46" t="str">
        <x:v>RI/MS/S</x:v>
      </x:c>
      <x:c r="M51" s="46" t="str">
        <x:v>yes</x:v>
      </x:c>
      <x:c r="N51" s="46"/>
      <x:c r="O51" s="46"/>
      <x:c r="P51" s="46" t="str">
        <x:v>partial_no_numeric_match_factor_standard_confirmed</x:v>
      </x:c>
      <x:c r="Q51" s="46" t="str">
        <x:v>0.97±0.23b</x:v>
      </x:c>
      <x:c r="R51" s="46" t="n">
        <x:v>0.97</x:v>
      </x:c>
      <x:c r="S51" s="46" t="str">
        <x:v>1.22±0.35a</x:v>
      </x:c>
      <x:c r="T51" s="46" t="n">
        <x:v>1.22</x:v>
      </x:c>
      <x:c r="U51" s="46" t="str">
        <x:v>1.53±0.37a</x:v>
      </x:c>
      <x:c r="V51" s="46" t="n">
        <x:v>1.53</x:v>
      </x:c>
      <x:c r="W51" s="46" t="str">
        <x:v>-</x:v>
      </x:c>
      <x:c r="X51" s="46"/>
      <x:c r="Y51" s="46" t="str">
        <x:v>yes</x:v>
      </x:c>
      <x:c r="Z51" s="46" t="str">
        <x:v>relative peak area (%) by SAFE extraction solvent</x:v>
      </x:c>
      <x:c r="AA51" s="46"/>
    </x:row>
    <x:row r="52" ht="26.399999618530273" hidden="0" customHeight="1">
      <x:c r="A52" s="46" t="str">
        <x:v>BDF-051</x:v>
      </x:c>
      <x:c r="B52" s="46" t="str">
        <x:v>beef:fat</x:v>
      </x:c>
      <x:c r="C52" s="46" t="str">
        <x:v>beef</x:v>
      </x:c>
      <x:c r="D52" s="46" t="str">
        <x:v>abdominal subcutaneous fat</x:v>
      </x:c>
      <x:c r="E52" s="46" t="str">
        <x:v>dry-rendered at 130±5°C for 20 min</x:v>
      </x:c>
      <x:c r="F52" s="46" t="str">
        <x:v>SRC-BEEF-FAT-001</x:v>
      </x:c>
      <x:c r="G52" s="46" t="str">
        <x:v>Acids</x:v>
      </x:c>
      <x:c r="H52" s="46" t="str">
        <x:v>Acids</x:v>
      </x:c>
      <x:c r="I52" s="46" t="str">
        <x:v>Pentanoic acid</x:v>
      </x:c>
      <x:c r="J52" s="46"/>
      <x:c r="K52" s="46" t="n">
        <x:v>1760</x:v>
      </x:c>
      <x:c r="L52" s="46" t="str">
        <x:v>RI/MS/S</x:v>
      </x:c>
      <x:c r="M52" s="46" t="str">
        <x:v>yes</x:v>
      </x:c>
      <x:c r="N52" s="46"/>
      <x:c r="O52" s="46"/>
      <x:c r="P52" s="46" t="str">
        <x:v>partial_no_numeric_match_factor_standard_confirmed</x:v>
      </x:c>
      <x:c r="Q52" s="46" t="str">
        <x:v>0.06±0.01c</x:v>
      </x:c>
      <x:c r="R52" s="46" t="n">
        <x:v>0.06</x:v>
      </x:c>
      <x:c r="S52" s="46" t="str">
        <x:v>0.11±0.03b</x:v>
      </x:c>
      <x:c r="T52" s="46" t="n">
        <x:v>0.11</x:v>
      </x:c>
      <x:c r="U52" s="46" t="str">
        <x:v>0.30±0.07a</x:v>
      </x:c>
      <x:c r="V52" s="46" t="n">
        <x:v>0.3</x:v>
      </x:c>
      <x:c r="W52" s="46" t="str">
        <x:v>0.05±0.01c</x:v>
      </x:c>
      <x:c r="X52" s="46" t="n">
        <x:v>0.05</x:v>
      </x:c>
      <x:c r="Y52" s="46" t="str">
        <x:v>yes</x:v>
      </x:c>
      <x:c r="Z52" s="46" t="str">
        <x:v>relative peak area (%) by SAFE extraction solvent</x:v>
      </x:c>
      <x:c r="AA52" s="46"/>
    </x:row>
    <x:row r="53" ht="26.399999618530273" hidden="0" customHeight="1">
      <x:c r="A53" s="46" t="str">
        <x:v>BDF-052</x:v>
      </x:c>
      <x:c r="B53" s="46" t="str">
        <x:v>beef:fat</x:v>
      </x:c>
      <x:c r="C53" s="46" t="str">
        <x:v>beef</x:v>
      </x:c>
      <x:c r="D53" s="46" t="str">
        <x:v>abdominal subcutaneous fat</x:v>
      </x:c>
      <x:c r="E53" s="46" t="str">
        <x:v>dry-rendered at 130±5°C for 20 min</x:v>
      </x:c>
      <x:c r="F53" s="46" t="str">
        <x:v>SRC-BEEF-FAT-001</x:v>
      </x:c>
      <x:c r="G53" s="46" t="str">
        <x:v>Acids</x:v>
      </x:c>
      <x:c r="H53" s="46" t="str">
        <x:v>Acids</x:v>
      </x:c>
      <x:c r="I53" s="46" t="str">
        <x:v>4-Pentenoic acid</x:v>
      </x:c>
      <x:c r="J53" s="46"/>
      <x:c r="K53" s="46" t="n">
        <x:v>1770</x:v>
      </x:c>
      <x:c r="L53" s="46" t="str">
        <x:v>RI/MS</x:v>
      </x:c>
      <x:c r="M53" s="46" t="str">
        <x:v>no</x:v>
      </x:c>
      <x:c r="N53" s="46"/>
      <x:c r="O53" s="46"/>
      <x:c r="P53" s="46" t="str">
        <x:v>partial_no_numeric_match_factor</x:v>
      </x:c>
      <x:c r="Q53" s="46" t="str">
        <x:v>-</x:v>
      </x:c>
      <x:c r="R53" s="46"/>
      <x:c r="S53" s="46" t="str">
        <x:v>-</x:v>
      </x:c>
      <x:c r="T53" s="46"/>
      <x:c r="U53" s="46" t="str">
        <x:v>-</x:v>
      </x:c>
      <x:c r="V53" s="46"/>
      <x:c r="W53" s="46" t="str">
        <x:v>0.06±0.02</x:v>
      </x:c>
      <x:c r="X53" s="46" t="n">
        <x:v>0.06</x:v>
      </x:c>
      <x:c r="Y53" s="46" t="str">
        <x:v>yes</x:v>
      </x:c>
      <x:c r="Z53" s="46" t="str">
        <x:v>relative peak area (%) by SAFE extraction solvent</x:v>
      </x:c>
      <x:c r="AA53" s="46"/>
    </x:row>
    <x:row r="54" ht="26.399999618530273" hidden="0" customHeight="1">
      <x:c r="A54" s="46" t="str">
        <x:v>BDF-053</x:v>
      </x:c>
      <x:c r="B54" s="46" t="str">
        <x:v>beef:fat</x:v>
      </x:c>
      <x:c r="C54" s="46" t="str">
        <x:v>beef</x:v>
      </x:c>
      <x:c r="D54" s="46" t="str">
        <x:v>abdominal subcutaneous fat</x:v>
      </x:c>
      <x:c r="E54" s="46" t="str">
        <x:v>dry-rendered at 130±5°C for 20 min</x:v>
      </x:c>
      <x:c r="F54" s="46" t="str">
        <x:v>SRC-BEEF-FAT-001</x:v>
      </x:c>
      <x:c r="G54" s="46" t="str">
        <x:v>Acids</x:v>
      </x:c>
      <x:c r="H54" s="46" t="str">
        <x:v>Acids</x:v>
      </x:c>
      <x:c r="I54" s="46" t="str">
        <x:v>Hexanoic acid</x:v>
      </x:c>
      <x:c r="J54" s="46"/>
      <x:c r="K54" s="46" t="n">
        <x:v>1854</x:v>
      </x:c>
      <x:c r="L54" s="46" t="str">
        <x:v>RI/MS/S</x:v>
      </x:c>
      <x:c r="M54" s="46" t="str">
        <x:v>yes</x:v>
      </x:c>
      <x:c r="N54" s="46"/>
      <x:c r="O54" s="46"/>
      <x:c r="P54" s="46" t="str">
        <x:v>partial_no_numeric_match_factor_standard_confirmed</x:v>
      </x:c>
      <x:c r="Q54" s="46" t="str">
        <x:v>4.98±1.18b</x:v>
      </x:c>
      <x:c r="R54" s="46" t="n">
        <x:v>4.98</x:v>
      </x:c>
      <x:c r="S54" s="46" t="str">
        <x:v>8.97±2.60a</x:v>
      </x:c>
      <x:c r="T54" s="46" t="n">
        <x:v>8.97</x:v>
      </x:c>
      <x:c r="U54" s="46" t="str">
        <x:v>7.29±1.75a</x:v>
      </x:c>
      <x:c r="V54" s="46" t="n">
        <x:v>7.29</x:v>
      </x:c>
      <x:c r="W54" s="46" t="str">
        <x:v>2.30±0.69c</x:v>
      </x:c>
      <x:c r="X54" s="46" t="n">
        <x:v>2.3</x:v>
      </x:c>
      <x:c r="Y54" s="46" t="str">
        <x:v>yes</x:v>
      </x:c>
      <x:c r="Z54" s="46" t="str">
        <x:v>relative peak area (%) by SAFE extraction solvent</x:v>
      </x:c>
      <x:c r="AA54" s="46"/>
    </x:row>
    <x:row r="55" ht="26.399999618530273" hidden="0" customHeight="1">
      <x:c r="A55" s="46" t="str">
        <x:v>BDF-054</x:v>
      </x:c>
      <x:c r="B55" s="46" t="str">
        <x:v>beef:fat</x:v>
      </x:c>
      <x:c r="C55" s="46" t="str">
        <x:v>beef</x:v>
      </x:c>
      <x:c r="D55" s="46" t="str">
        <x:v>abdominal subcutaneous fat</x:v>
      </x:c>
      <x:c r="E55" s="46" t="str">
        <x:v>dry-rendered at 130±5°C for 20 min</x:v>
      </x:c>
      <x:c r="F55" s="46" t="str">
        <x:v>SRC-BEEF-FAT-001</x:v>
      </x:c>
      <x:c r="G55" s="46" t="str">
        <x:v>Acids</x:v>
      </x:c>
      <x:c r="H55" s="46" t="str">
        <x:v>Acids</x:v>
      </x:c>
      <x:c r="I55" s="46" t="str">
        <x:v>Heptanoic acid</x:v>
      </x:c>
      <x:c r="J55" s="46"/>
      <x:c r="K55" s="46" t="n">
        <x:v>1961</x:v>
      </x:c>
      <x:c r="L55" s="46" t="str">
        <x:v>RI/MS/S</x:v>
      </x:c>
      <x:c r="M55" s="46" t="str">
        <x:v>yes</x:v>
      </x:c>
      <x:c r="N55" s="46"/>
      <x:c r="O55" s="46"/>
      <x:c r="P55" s="46" t="str">
        <x:v>partial_no_numeric_match_factor_standard_confirmed</x:v>
      </x:c>
      <x:c r="Q55" s="46" t="str">
        <x:v>0.26±0.06a</x:v>
      </x:c>
      <x:c r="R55" s="46" t="n">
        <x:v>0.26</x:v>
      </x:c>
      <x:c r="S55" s="46" t="str">
        <x:v>0.08±0.02b</x:v>
      </x:c>
      <x:c r="T55" s="46" t="n">
        <x:v>0.08</x:v>
      </x:c>
      <x:c r="U55" s="46" t="str">
        <x:v>0.06±0.01c</x:v>
      </x:c>
      <x:c r="V55" s="46" t="n">
        <x:v>0.06</x:v>
      </x:c>
      <x:c r="W55" s="46" t="str">
        <x:v>0.33±0.1a</x:v>
      </x:c>
      <x:c r="X55" s="46" t="n">
        <x:v>0.33</x:v>
      </x:c>
      <x:c r="Y55" s="46" t="str">
        <x:v>yes</x:v>
      </x:c>
      <x:c r="Z55" s="46" t="str">
        <x:v>relative peak area (%) by SAFE extraction solvent</x:v>
      </x:c>
      <x:c r="AA55" s="46"/>
    </x:row>
    <x:row r="56" ht="26.399999618530273" hidden="0" customHeight="1">
      <x:c r="A56" s="46" t="str">
        <x:v>BDF-055</x:v>
      </x:c>
      <x:c r="B56" s="46" t="str">
        <x:v>beef:fat</x:v>
      </x:c>
      <x:c r="C56" s="46" t="str">
        <x:v>beef</x:v>
      </x:c>
      <x:c r="D56" s="46" t="str">
        <x:v>abdominal subcutaneous fat</x:v>
      </x:c>
      <x:c r="E56" s="46" t="str">
        <x:v>dry-rendered at 130±5°C for 20 min</x:v>
      </x:c>
      <x:c r="F56" s="46" t="str">
        <x:v>SRC-BEEF-FAT-001</x:v>
      </x:c>
      <x:c r="G56" s="46" t="str">
        <x:v>Acids</x:v>
      </x:c>
      <x:c r="H56" s="46" t="str">
        <x:v>Acids</x:v>
      </x:c>
      <x:c r="I56" s="46" t="str">
        <x:v>Octanoic acid</x:v>
      </x:c>
      <x:c r="J56" s="46"/>
      <x:c r="K56" s="46" t="n">
        <x:v>2066</x:v>
      </x:c>
      <x:c r="L56" s="46" t="str">
        <x:v>RI/MS/S</x:v>
      </x:c>
      <x:c r="M56" s="46" t="str">
        <x:v>yes</x:v>
      </x:c>
      <x:c r="N56" s="46"/>
      <x:c r="O56" s="46"/>
      <x:c r="P56" s="46" t="str">
        <x:v>partial_no_numeric_match_factor_standard_confirmed</x:v>
      </x:c>
      <x:c r="Q56" s="46" t="str">
        <x:v>3.83±0.91a</x:v>
      </x:c>
      <x:c r="R56" s="46" t="n">
        <x:v>3.83</x:v>
      </x:c>
      <x:c r="S56" s="46" t="str">
        <x:v>2.25±0.65b</x:v>
      </x:c>
      <x:c r="T56" s="46" t="n">
        <x:v>2.25</x:v>
      </x:c>
      <x:c r="U56" s="46" t="str">
        <x:v>2.30±0.55b</x:v>
      </x:c>
      <x:c r="V56" s="46" t="n">
        <x:v>2.3</x:v>
      </x:c>
      <x:c r="W56" s="46" t="str">
        <x:v>-</x:v>
      </x:c>
      <x:c r="X56" s="46"/>
      <x:c r="Y56" s="46" t="str">
        <x:v>yes</x:v>
      </x:c>
      <x:c r="Z56" s="46" t="str">
        <x:v>relative peak area (%) by SAFE extraction solvent</x:v>
      </x:c>
      <x:c r="AA56" s="46"/>
    </x:row>
    <x:row r="57" ht="26.399999618530273" hidden="0" customHeight="1">
      <x:c r="A57" s="46" t="str">
        <x:v>BDF-056</x:v>
      </x:c>
      <x:c r="B57" s="46" t="str">
        <x:v>beef:fat</x:v>
      </x:c>
      <x:c r="C57" s="46" t="str">
        <x:v>beef</x:v>
      </x:c>
      <x:c r="D57" s="46" t="str">
        <x:v>abdominal subcutaneous fat</x:v>
      </x:c>
      <x:c r="E57" s="46" t="str">
        <x:v>dry-rendered at 130±5°C for 20 min</x:v>
      </x:c>
      <x:c r="F57" s="46" t="str">
        <x:v>SRC-BEEF-FAT-001</x:v>
      </x:c>
      <x:c r="G57" s="46" t="str">
        <x:v>Acids</x:v>
      </x:c>
      <x:c r="H57" s="46" t="str">
        <x:v>Acids</x:v>
      </x:c>
      <x:c r="I57" s="46" t="str">
        <x:v>Nonanoic acid</x:v>
      </x:c>
      <x:c r="J57" s="46"/>
      <x:c r="K57" s="46" t="n">
        <x:v>2153</x:v>
      </x:c>
      <x:c r="L57" s="46" t="str">
        <x:v>RI/MS/S</x:v>
      </x:c>
      <x:c r="M57" s="46" t="str">
        <x:v>yes</x:v>
      </x:c>
      <x:c r="N57" s="46"/>
      <x:c r="O57" s="46"/>
      <x:c r="P57" s="46" t="str">
        <x:v>partial_no_numeric_match_factor_standard_confirmed</x:v>
      </x:c>
      <x:c r="Q57" s="46" t="str">
        <x:v>0.08±0.02a</x:v>
      </x:c>
      <x:c r="R57" s="46" t="n">
        <x:v>0.08</x:v>
      </x:c>
      <x:c r="S57" s="46" t="str">
        <x:v>0.02±0.01c</x:v>
      </x:c>
      <x:c r="T57" s="46" t="n">
        <x:v>0.02</x:v>
      </x:c>
      <x:c r="U57" s="46" t="str">
        <x:v>0.05±0.01b</x:v>
      </x:c>
      <x:c r="V57" s="46" t="n">
        <x:v>0.05</x:v>
      </x:c>
      <x:c r="W57" s="46" t="str">
        <x:v>-</x:v>
      </x:c>
      <x:c r="X57" s="46"/>
      <x:c r="Y57" s="46" t="str">
        <x:v>yes</x:v>
      </x:c>
      <x:c r="Z57" s="46" t="str">
        <x:v>relative peak area (%) by SAFE extraction solvent</x:v>
      </x:c>
      <x:c r="AA57" s="46"/>
    </x:row>
    <x:row r="58" ht="26.399999618530273" hidden="0" customHeight="1">
      <x:c r="A58" s="46" t="str">
        <x:v>BDF-057</x:v>
      </x:c>
      <x:c r="B58" s="46" t="str">
        <x:v>beef:fat</x:v>
      </x:c>
      <x:c r="C58" s="46" t="str">
        <x:v>beef</x:v>
      </x:c>
      <x:c r="D58" s="46" t="str">
        <x:v>abdominal subcutaneous fat</x:v>
      </x:c>
      <x:c r="E58" s="46" t="str">
        <x:v>dry-rendered at 130±5°C for 20 min</x:v>
      </x:c>
      <x:c r="F58" s="46" t="str">
        <x:v>SRC-BEEF-FAT-001</x:v>
      </x:c>
      <x:c r="G58" s="46" t="str">
        <x:v>Acids</x:v>
      </x:c>
      <x:c r="H58" s="46" t="str">
        <x:v>Acids</x:v>
      </x:c>
      <x:c r="I58" s="46" t="str">
        <x:v>(E)-9-Decenoic acid</x:v>
      </x:c>
      <x:c r="J58" s="46"/>
      <x:c r="K58" s="46" t="n">
        <x:v>2342</x:v>
      </x:c>
      <x:c r="L58" s="46" t="str">
        <x:v>RI/MS</x:v>
      </x:c>
      <x:c r="M58" s="46" t="str">
        <x:v>no</x:v>
      </x:c>
      <x:c r="N58" s="46"/>
      <x:c r="O58" s="46"/>
      <x:c r="P58" s="46" t="str">
        <x:v>partial_no_numeric_match_factor</x:v>
      </x:c>
      <x:c r="Q58" s="46" t="str">
        <x:v>0.30±0.07c</x:v>
      </x:c>
      <x:c r="R58" s="46" t="n">
        <x:v>0.3</x:v>
      </x:c>
      <x:c r="S58" s="46" t="str">
        <x:v>0.33±0.10c</x:v>
      </x:c>
      <x:c r="T58" s="46" t="n">
        <x:v>0.33</x:v>
      </x:c>
      <x:c r="U58" s="46" t="str">
        <x:v>0.61±0.15a</x:v>
      </x:c>
      <x:c r="V58" s="46" t="n">
        <x:v>0.61</x:v>
      </x:c>
      <x:c r="W58" s="46" t="str">
        <x:v>0.44±0.11b</x:v>
      </x:c>
      <x:c r="X58" s="46" t="n">
        <x:v>0.44</x:v>
      </x:c>
      <x:c r="Y58" s="46" t="str">
        <x:v>yes</x:v>
      </x:c>
      <x:c r="Z58" s="46" t="str">
        <x:v>relative peak area (%) by SAFE extraction solvent</x:v>
      </x:c>
      <x:c r="AA58" s="46"/>
    </x:row>
    <x:row r="59" ht="26.399999618530273" hidden="0" customHeight="1">
      <x:c r="A59" s="46" t="str">
        <x:v>BDF-058</x:v>
      </x:c>
      <x:c r="B59" s="46" t="str">
        <x:v>beef:fat</x:v>
      </x:c>
      <x:c r="C59" s="46" t="str">
        <x:v>beef</x:v>
      </x:c>
      <x:c r="D59" s="46" t="str">
        <x:v>abdominal subcutaneous fat</x:v>
      </x:c>
      <x:c r="E59" s="46" t="str">
        <x:v>dry-rendered at 130±5°C for 20 min</x:v>
      </x:c>
      <x:c r="F59" s="46" t="str">
        <x:v>SRC-BEEF-FAT-001</x:v>
      </x:c>
      <x:c r="G59" s="46" t="str">
        <x:v>Acids</x:v>
      </x:c>
      <x:c r="H59" s="46" t="str">
        <x:v>Acids</x:v>
      </x:c>
      <x:c r="I59" s="46" t="str">
        <x:v>Benzoic acid</x:v>
      </x:c>
      <x:c r="J59" s="46"/>
      <x:c r="K59" s="46" t="n">
        <x:v>2422</x:v>
      </x:c>
      <x:c r="L59" s="46" t="str">
        <x:v>RI/MS/S</x:v>
      </x:c>
      <x:c r="M59" s="46" t="str">
        <x:v>yes</x:v>
      </x:c>
      <x:c r="N59" s="46"/>
      <x:c r="O59" s="46"/>
      <x:c r="P59" s="46" t="str">
        <x:v>partial_no_numeric_match_factor_standard_confirmed</x:v>
      </x:c>
      <x:c r="Q59" s="46" t="str">
        <x:v>0.36±0.08a</x:v>
      </x:c>
      <x:c r="R59" s="46" t="n">
        <x:v>0.36</x:v>
      </x:c>
      <x:c r="S59" s="46" t="str">
        <x:v>0.36±0.10a</x:v>
      </x:c>
      <x:c r="T59" s="46" t="n">
        <x:v>0.36</x:v>
      </x:c>
      <x:c r="U59" s="46" t="str">
        <x:v>0.34±0.08a</x:v>
      </x:c>
      <x:c r="V59" s="46" t="n">
        <x:v>0.34</x:v>
      </x:c>
      <x:c r="W59" s="46" t="str">
        <x:v>0.26±0.06b</x:v>
      </x:c>
      <x:c r="X59" s="46" t="n">
        <x:v>0.26</x:v>
      </x:c>
      <x:c r="Y59" s="46" t="str">
        <x:v>yes</x:v>
      </x:c>
      <x:c r="Z59" s="46" t="str">
        <x:v>relative peak area (%) by SAFE extraction solvent</x:v>
      </x:c>
      <x:c r="AA59" s="46"/>
    </x:row>
    <x:row r="60" ht="26.399999618530273" hidden="0" customHeight="1">
      <x:c r="A60" s="46" t="str">
        <x:v>BDF-059</x:v>
      </x:c>
      <x:c r="B60" s="46" t="str">
        <x:v>beef:fat</x:v>
      </x:c>
      <x:c r="C60" s="46" t="str">
        <x:v>beef</x:v>
      </x:c>
      <x:c r="D60" s="46" t="str">
        <x:v>abdominal subcutaneous fat</x:v>
      </x:c>
      <x:c r="E60" s="46" t="str">
        <x:v>dry-rendered at 130±5°C for 20 min</x:v>
      </x:c>
      <x:c r="F60" s="46" t="str">
        <x:v>SRC-BEEF-FAT-001</x:v>
      </x:c>
      <x:c r="G60" s="46" t="str">
        <x:v>Acids</x:v>
      </x:c>
      <x:c r="H60" s="46" t="str">
        <x:v>Acids</x:v>
      </x:c>
      <x:c r="I60" s="46" t="str">
        <x:v>Dodecanoic acid</x:v>
      </x:c>
      <x:c r="J60" s="46"/>
      <x:c r="K60" s="46" t="n">
        <x:v>2448</x:v>
      </x:c>
      <x:c r="L60" s="46" t="str">
        <x:v>RI/MS</x:v>
      </x:c>
      <x:c r="M60" s="46" t="str">
        <x:v>no</x:v>
      </x:c>
      <x:c r="N60" s="46"/>
      <x:c r="O60" s="46"/>
      <x:c r="P60" s="46" t="str">
        <x:v>partial_no_numeric_match_factor</x:v>
      </x:c>
      <x:c r="Q60" s="46" t="str">
        <x:v>0.35±0.08c</x:v>
      </x:c>
      <x:c r="R60" s="46" t="n">
        <x:v>0.35</x:v>
      </x:c>
      <x:c r="S60" s="46" t="str">
        <x:v>0.61±0.18b</x:v>
      </x:c>
      <x:c r="T60" s="46" t="n">
        <x:v>0.61</x:v>
      </x:c>
      <x:c r="U60" s="46" t="str">
        <x:v>0.95±0.23a</x:v>
      </x:c>
      <x:c r="V60" s="46" t="n">
        <x:v>0.95</x:v>
      </x:c>
      <x:c r="W60" s="46" t="str">
        <x:v>-</x:v>
      </x:c>
      <x:c r="X60" s="46"/>
      <x:c r="Y60" s="46" t="str">
        <x:v>yes</x:v>
      </x:c>
      <x:c r="Z60" s="46" t="str">
        <x:v>relative peak area (%) by SAFE extraction solvent</x:v>
      </x:c>
      <x:c r="AA60" s="46"/>
    </x:row>
    <x:row r="61" ht="26.399999618530273" hidden="0" customHeight="1">
      <x:c r="A61" s="46" t="str">
        <x:v>BDF-060</x:v>
      </x:c>
      <x:c r="B61" s="46" t="str">
        <x:v>beef:fat</x:v>
      </x:c>
      <x:c r="C61" s="46" t="str">
        <x:v>beef</x:v>
      </x:c>
      <x:c r="D61" s="46" t="str">
        <x:v>abdominal subcutaneous fat</x:v>
      </x:c>
      <x:c r="E61" s="46" t="str">
        <x:v>dry-rendered at 130±5°C for 20 min</x:v>
      </x:c>
      <x:c r="F61" s="46" t="str">
        <x:v>SRC-BEEF-FAT-001</x:v>
      </x:c>
      <x:c r="G61" s="46" t="str">
        <x:v>Acids</x:v>
      </x:c>
      <x:c r="H61" s="46" t="str">
        <x:v>Acids</x:v>
      </x:c>
      <x:c r="I61" s="46" t="str">
        <x:v>Decanoic acid</x:v>
      </x:c>
      <x:c r="J61" s="46"/>
      <x:c r="K61" s="46" t="n">
        <x:v>2490</x:v>
      </x:c>
      <x:c r="L61" s="46" t="str">
        <x:v>RI/MS</x:v>
      </x:c>
      <x:c r="M61" s="46" t="str">
        <x:v>no</x:v>
      </x:c>
      <x:c r="N61" s="46"/>
      <x:c r="O61" s="46"/>
      <x:c r="P61" s="46" t="str">
        <x:v>partial_no_numeric_match_factor</x:v>
      </x:c>
      <x:c r="Q61" s="46" t="str">
        <x:v>0.44±0.10c</x:v>
      </x:c>
      <x:c r="R61" s="46" t="n">
        <x:v>0.44</x:v>
      </x:c>
      <x:c r="S61" s="46" t="str">
        <x:v>0.37±0.11c</x:v>
      </x:c>
      <x:c r="T61" s="46" t="n">
        <x:v>0.37</x:v>
      </x:c>
      <x:c r="U61" s="46" t="str">
        <x:v>1.39±0.33a</x:v>
      </x:c>
      <x:c r="V61" s="46" t="n">
        <x:v>1.39</x:v>
      </x:c>
      <x:c r="W61" s="46" t="str">
        <x:v>0.74±0.19b</x:v>
      </x:c>
      <x:c r="X61" s="46" t="n">
        <x:v>0.74</x:v>
      </x:c>
      <x:c r="Y61" s="46" t="str">
        <x:v>yes</x:v>
      </x:c>
      <x:c r="Z61" s="46" t="str">
        <x:v>relative peak area (%) by SAFE extraction solvent</x:v>
      </x:c>
      <x:c r="AA61" s="46"/>
    </x:row>
    <x:row r="62" ht="26.399999618530273" hidden="0" customHeight="1">
      <x:c r="A62" s="46" t="str">
        <x:v>BDF-061</x:v>
      </x:c>
      <x:c r="B62" s="46" t="str">
        <x:v>beef:fat</x:v>
      </x:c>
      <x:c r="C62" s="46" t="str">
        <x:v>beef</x:v>
      </x:c>
      <x:c r="D62" s="46" t="str">
        <x:v>abdominal subcutaneous fat</x:v>
      </x:c>
      <x:c r="E62" s="46" t="str">
        <x:v>dry-rendered at 130±5°C for 20 min</x:v>
      </x:c>
      <x:c r="F62" s="46" t="str">
        <x:v>SRC-BEEF-FAT-001</x:v>
      </x:c>
      <x:c r="G62" s="46" t="str">
        <x:v>Acids</x:v>
      </x:c>
      <x:c r="H62" s="46" t="str">
        <x:v>Acids</x:v>
      </x:c>
      <x:c r="I62" s="46" t="str">
        <x:v>Oleic acid</x:v>
      </x:c>
      <x:c r="J62" s="46"/>
      <x:c r="K62" s="46" t="n">
        <x:v>2511</x:v>
      </x:c>
      <x:c r="L62" s="46" t="str">
        <x:v>RI/MS</x:v>
      </x:c>
      <x:c r="M62" s="46" t="str">
        <x:v>no</x:v>
      </x:c>
      <x:c r="N62" s="46"/>
      <x:c r="O62" s="46"/>
      <x:c r="P62" s="46" t="str">
        <x:v>partial_no_numeric_match_factor</x:v>
      </x:c>
      <x:c r="Q62" s="46" t="str">
        <x:v>0.45±0.11a</x:v>
      </x:c>
      <x:c r="R62" s="46" t="n">
        <x:v>0.45</x:v>
      </x:c>
      <x:c r="S62" s="46" t="str">
        <x:v>0.55±0.13a</x:v>
      </x:c>
      <x:c r="T62" s="46" t="n">
        <x:v>0.55</x:v>
      </x:c>
      <x:c r="U62" s="46" t="str">
        <x:v>0.10±0.02b</x:v>
      </x:c>
      <x:c r="V62" s="46" t="n">
        <x:v>0.1</x:v>
      </x:c>
      <x:c r="W62" s="46" t="str">
        <x:v>-</x:v>
      </x:c>
      <x:c r="X62" s="46"/>
      <x:c r="Y62" s="46" t="str">
        <x:v>yes</x:v>
      </x:c>
      <x:c r="Z62" s="46" t="str">
        <x:v>relative peak area (%) by SAFE extraction solvent</x:v>
      </x:c>
      <x:c r="AA62" s="46"/>
    </x:row>
    <x:row r="63" ht="26.399999618530273" hidden="0" customHeight="1">
      <x:c r="A63" s="46" t="str">
        <x:v>BDF-062</x:v>
      </x:c>
      <x:c r="B63" s="46" t="str">
        <x:v>beef:fat</x:v>
      </x:c>
      <x:c r="C63" s="46" t="str">
        <x:v>beef</x:v>
      </x:c>
      <x:c r="D63" s="46" t="str">
        <x:v>abdominal subcutaneous fat</x:v>
      </x:c>
      <x:c r="E63" s="46" t="str">
        <x:v>dry-rendered at 130±5°C for 20 min</x:v>
      </x:c>
      <x:c r="F63" s="46" t="str">
        <x:v>SRC-BEEF-FAT-001</x:v>
      </x:c>
      <x:c r="G63" s="46" t="str">
        <x:v>Acids</x:v>
      </x:c>
      <x:c r="H63" s="46" t="str">
        <x:v>Acids</x:v>
      </x:c>
      <x:c r="I63" s="46" t="str">
        <x:v>Myristic acid</x:v>
      </x:c>
      <x:c r="J63" s="46"/>
      <x:c r="K63" s="46" t="n">
        <x:v>2692</x:v>
      </x:c>
      <x:c r="L63" s="46" t="str">
        <x:v>RI/MS</x:v>
      </x:c>
      <x:c r="M63" s="46" t="str">
        <x:v>no</x:v>
      </x:c>
      <x:c r="N63" s="46"/>
      <x:c r="O63" s="46"/>
      <x:c r="P63" s="46" t="str">
        <x:v>partial_no_numeric_match_factor</x:v>
      </x:c>
      <x:c r="Q63" s="46" t="str">
        <x:v>0.44±0.11c</x:v>
      </x:c>
      <x:c r="R63" s="46" t="n">
        <x:v>0.44</x:v>
      </x:c>
      <x:c r="S63" s="46" t="str">
        <x:v>4.46±1.08a</x:v>
      </x:c>
      <x:c r="T63" s="46" t="n">
        <x:v>4.46</x:v>
      </x:c>
      <x:c r="U63" s="46" t="str">
        <x:v>1.07±0.26b</x:v>
      </x:c>
      <x:c r="V63" s="46" t="n">
        <x:v>1.07</x:v>
      </x:c>
      <x:c r="W63" s="46" t="str">
        <x:v>-</x:v>
      </x:c>
      <x:c r="X63" s="46"/>
      <x:c r="Y63" s="46" t="str">
        <x:v>yes</x:v>
      </x:c>
      <x:c r="Z63" s="46" t="str">
        <x:v>relative peak area (%) by SAFE extraction solvent</x:v>
      </x:c>
      <x:c r="AA63" s="46"/>
    </x:row>
    <x:row r="64" ht="26.399999618530273" hidden="0" customHeight="1">
      <x:c r="A64" s="46" t="str">
        <x:v>BDF-063</x:v>
      </x:c>
      <x:c r="B64" s="46" t="str">
        <x:v>beef:fat</x:v>
      </x:c>
      <x:c r="C64" s="46" t="str">
        <x:v>beef</x:v>
      </x:c>
      <x:c r="D64" s="46" t="str">
        <x:v>abdominal subcutaneous fat</x:v>
      </x:c>
      <x:c r="E64" s="46" t="str">
        <x:v>dry-rendered at 130±5°C for 20 min</x:v>
      </x:c>
      <x:c r="F64" s="46" t="str">
        <x:v>SRC-BEEF-FAT-001</x:v>
      </x:c>
      <x:c r="G64" s="46" t="str">
        <x:v>Acids</x:v>
      </x:c>
      <x:c r="H64" s="46" t="str">
        <x:v>Acids</x:v>
      </x:c>
      <x:c r="I64" s="46" t="str">
        <x:v>Pentadecanoic acid</x:v>
      </x:c>
      <x:c r="J64" s="46"/>
      <x:c r="K64" s="46" t="n">
        <x:v>2821</x:v>
      </x:c>
      <x:c r="L64" s="46" t="str">
        <x:v>RI/MS</x:v>
      </x:c>
      <x:c r="M64" s="46" t="str">
        <x:v>no</x:v>
      </x:c>
      <x:c r="N64" s="46"/>
      <x:c r="O64" s="46"/>
      <x:c r="P64" s="46" t="str">
        <x:v>partial_no_numeric_match_factor</x:v>
      </x:c>
      <x:c r="Q64" s="46" t="str">
        <x:v>0.27±0.07b</x:v>
      </x:c>
      <x:c r="R64" s="46" t="n">
        <x:v>0.27</x:v>
      </x:c>
      <x:c r="S64" s="46" t="str">
        <x:v>0.90±0.22a</x:v>
      </x:c>
      <x:c r="T64" s="46" t="n">
        <x:v>0.9</x:v>
      </x:c>
      <x:c r="U64" s="46" t="str">
        <x:v>0.29±0.07b</x:v>
      </x:c>
      <x:c r="V64" s="46" t="n">
        <x:v>0.29</x:v>
      </x:c>
      <x:c r="W64" s="46" t="str">
        <x:v>-</x:v>
      </x:c>
      <x:c r="X64" s="46"/>
      <x:c r="Y64" s="46" t="str">
        <x:v>yes</x:v>
      </x:c>
      <x:c r="Z64" s="46" t="str">
        <x:v>relative peak area (%) by SAFE extraction solvent</x:v>
      </x:c>
      <x:c r="AA64" s="46"/>
    </x:row>
    <x:row r="65" ht="26.399999618530273" hidden="0" customHeight="1">
      <x:c r="A65" s="46" t="str">
        <x:v>BDF-064</x:v>
      </x:c>
      <x:c r="B65" s="46" t="str">
        <x:v>beef:fat</x:v>
      </x:c>
      <x:c r="C65" s="46" t="str">
        <x:v>beef</x:v>
      </x:c>
      <x:c r="D65" s="46" t="str">
        <x:v>abdominal subcutaneous fat</x:v>
      </x:c>
      <x:c r="E65" s="46" t="str">
        <x:v>dry-rendered at 130±5°C for 20 min</x:v>
      </x:c>
      <x:c r="F65" s="46" t="str">
        <x:v>SRC-BEEF-FAT-001</x:v>
      </x:c>
      <x:c r="G65" s="46" t="str">
        <x:v>Acids</x:v>
      </x:c>
      <x:c r="H65" s="46" t="str">
        <x:v>Acids</x:v>
      </x:c>
      <x:c r="I65" s="46" t="str">
        <x:v>Lactic acid</x:v>
      </x:c>
      <x:c r="J65" s="46"/>
      <x:c r="K65" s="46" t="n">
        <x:v>2850</x:v>
      </x:c>
      <x:c r="L65" s="46" t="str">
        <x:v>RI/MS</x:v>
      </x:c>
      <x:c r="M65" s="46" t="str">
        <x:v>no</x:v>
      </x:c>
      <x:c r="N65" s="46"/>
      <x:c r="O65" s="46"/>
      <x:c r="P65" s="46" t="str">
        <x:v>partial_no_numeric_match_factor</x:v>
      </x:c>
      <x:c r="Q65" s="46" t="str">
        <x:v>2.00±0.51b</x:v>
      </x:c>
      <x:c r="R65" s="46" t="n">
        <x:v>2</x:v>
      </x:c>
      <x:c r="S65" s="46" t="str">
        <x:v>3.61±0.88a</x:v>
      </x:c>
      <x:c r="T65" s="46" t="n">
        <x:v>3.61</x:v>
      </x:c>
      <x:c r="U65" s="46" t="str">
        <x:v>1.98±0.47b</x:v>
      </x:c>
      <x:c r="V65" s="46" t="n">
        <x:v>1.98</x:v>
      </x:c>
      <x:c r="W65" s="46" t="str">
        <x:v>-</x:v>
      </x:c>
      <x:c r="X65" s="46"/>
      <x:c r="Y65" s="46" t="str">
        <x:v>yes</x:v>
      </x:c>
      <x:c r="Z65" s="46" t="str">
        <x:v>relative peak area (%) by SAFE extraction solvent</x:v>
      </x:c>
      <x:c r="AA65" s="46"/>
    </x:row>
    <x:row r="66" ht="26.399999618530273" hidden="0" customHeight="1">
      <x:c r="A66" s="46" t="str">
        <x:v>BDF-065</x:v>
      </x:c>
      <x:c r="B66" s="46" t="str">
        <x:v>beef:fat</x:v>
      </x:c>
      <x:c r="C66" s="46" t="str">
        <x:v>beef</x:v>
      </x:c>
      <x:c r="D66" s="46" t="str">
        <x:v>abdominal subcutaneous fat</x:v>
      </x:c>
      <x:c r="E66" s="46" t="str">
        <x:v>dry-rendered at 130±5°C for 20 min</x:v>
      </x:c>
      <x:c r="F66" s="46" t="str">
        <x:v>SRC-BEEF-FAT-001</x:v>
      </x:c>
      <x:c r="G66" s="46" t="str">
        <x:v>Acids</x:v>
      </x:c>
      <x:c r="H66" s="46" t="str">
        <x:v>Acids</x:v>
      </x:c>
      <x:c r="I66" s="46" t="str">
        <x:v>Heptadecanoic acid</x:v>
      </x:c>
      <x:c r="J66" s="46"/>
      <x:c r="K66" s="46" t="n">
        <x:v>2885</x:v>
      </x:c>
      <x:c r="L66" s="46" t="str">
        <x:v>RI/MS</x:v>
      </x:c>
      <x:c r="M66" s="46" t="str">
        <x:v>no</x:v>
      </x:c>
      <x:c r="N66" s="46"/>
      <x:c r="O66" s="46"/>
      <x:c r="P66" s="46" t="str">
        <x:v>partial_no_numeric_match_factor</x:v>
      </x:c>
      <x:c r="Q66" s="46" t="str">
        <x:v>-</x:v>
      </x:c>
      <x:c r="R66" s="46"/>
      <x:c r="S66" s="46" t="str">
        <x:v>-</x:v>
      </x:c>
      <x:c r="T66" s="46"/>
      <x:c r="U66" s="46" t="str">
        <x:v>-</x:v>
      </x:c>
      <x:c r="V66" s="46"/>
      <x:c r="W66" s="46" t="str">
        <x:v>0.29±0.07</x:v>
      </x:c>
      <x:c r="X66" s="46" t="n">
        <x:v>0.29</x:v>
      </x:c>
      <x:c r="Y66" s="46" t="str">
        <x:v>yes</x:v>
      </x:c>
      <x:c r="Z66" s="46" t="str">
        <x:v>relative peak area (%) by SAFE extraction solvent</x:v>
      </x:c>
      <x:c r="AA66" s="46"/>
    </x:row>
    <x:row r="67" ht="26.399999618530273" hidden="0" customHeight="1">
      <x:c r="A67" s="46" t="str">
        <x:v>BDF-066</x:v>
      </x:c>
      <x:c r="B67" s="46" t="str">
        <x:v>beef:fat</x:v>
      </x:c>
      <x:c r="C67" s="46" t="str">
        <x:v>beef</x:v>
      </x:c>
      <x:c r="D67" s="46" t="str">
        <x:v>abdominal subcutaneous fat</x:v>
      </x:c>
      <x:c r="E67" s="46" t="str">
        <x:v>dry-rendered at 130±5°C for 20 min</x:v>
      </x:c>
      <x:c r="F67" s="46" t="str">
        <x:v>SRC-BEEF-FAT-001</x:v>
      </x:c>
      <x:c r="G67" s="46" t="str">
        <x:v>Lactones</x:v>
      </x:c>
      <x:c r="H67" s="46" t="str">
        <x:v>Lactones</x:v>
      </x:c>
      <x:c r="I67" s="46" t="str">
        <x:v>4-Hydroxy-5-methyl-2(3H)-furanone</x:v>
      </x:c>
      <x:c r="J67" s="46"/>
      <x:c r="K67" s="46" t="n">
        <x:v>1617</x:v>
      </x:c>
      <x:c r="L67" s="46" t="str">
        <x:v>RI/MS</x:v>
      </x:c>
      <x:c r="M67" s="46" t="str">
        <x:v>no</x:v>
      </x:c>
      <x:c r="N67" s="46"/>
      <x:c r="O67" s="46"/>
      <x:c r="P67" s="46" t="str">
        <x:v>partial_no_numeric_match_factor</x:v>
      </x:c>
      <x:c r="Q67" s="46" t="str">
        <x:v>0.47±0.12b</x:v>
      </x:c>
      <x:c r="R67" s="46" t="n">
        <x:v>0.47</x:v>
      </x:c>
      <x:c r="S67" s="46" t="str">
        <x:v>0.80±0.19a</x:v>
      </x:c>
      <x:c r="T67" s="46" t="n">
        <x:v>0.8</x:v>
      </x:c>
      <x:c r="U67" s="46" t="str">
        <x:v>0.50±0.12b</x:v>
      </x:c>
      <x:c r="V67" s="46" t="n">
        <x:v>0.5</x:v>
      </x:c>
      <x:c r="W67" s="46" t="str">
        <x:v>0.60±0.15b</x:v>
      </x:c>
      <x:c r="X67" s="46" t="n">
        <x:v>0.6</x:v>
      </x:c>
      <x:c r="Y67" s="46" t="str">
        <x:v>yes</x:v>
      </x:c>
      <x:c r="Z67" s="46" t="str">
        <x:v>relative peak area (%) by SAFE extraction solvent</x:v>
      </x:c>
      <x:c r="AA67" s="46"/>
    </x:row>
    <x:row r="68" ht="26.399999618530273" hidden="0" customHeight="1">
      <x:c r="A68" s="46" t="str">
        <x:v>BDF-067</x:v>
      </x:c>
      <x:c r="B68" s="46" t="str">
        <x:v>beef:fat</x:v>
      </x:c>
      <x:c r="C68" s="46" t="str">
        <x:v>beef</x:v>
      </x:c>
      <x:c r="D68" s="46" t="str">
        <x:v>abdominal subcutaneous fat</x:v>
      </x:c>
      <x:c r="E68" s="46" t="str">
        <x:v>dry-rendered at 130±5°C for 20 min</x:v>
      </x:c>
      <x:c r="F68" s="46" t="str">
        <x:v>SRC-BEEF-FAT-001</x:v>
      </x:c>
      <x:c r="G68" s="46" t="str">
        <x:v>Lactones</x:v>
      </x:c>
      <x:c r="H68" s="46" t="str">
        <x:v>Lactones</x:v>
      </x:c>
      <x:c r="I68" s="46" t="str">
        <x:v>gamma-Hexalactone</x:v>
      </x:c>
      <x:c r="J68" s="46"/>
      <x:c r="K68" s="46" t="n">
        <x:v>1702</x:v>
      </x:c>
      <x:c r="L68" s="46" t="str">
        <x:v>RI/MS</x:v>
      </x:c>
      <x:c r="M68" s="46" t="str">
        <x:v>no</x:v>
      </x:c>
      <x:c r="N68" s="46"/>
      <x:c r="O68" s="46"/>
      <x:c r="P68" s="46" t="str">
        <x:v>partial_no_numeric_match_factor</x:v>
      </x:c>
      <x:c r="Q68" s="46" t="str">
        <x:v>0.73±0.19a</x:v>
      </x:c>
      <x:c r="R68" s="46" t="n">
        <x:v>0.73</x:v>
      </x:c>
      <x:c r="S68" s="46" t="str">
        <x:v>0.24±0.06c</x:v>
      </x:c>
      <x:c r="T68" s="46" t="n">
        <x:v>0.24</x:v>
      </x:c>
      <x:c r="U68" s="46" t="str">
        <x:v>0.59±0.14b</x:v>
      </x:c>
      <x:c r="V68" s="46" t="n">
        <x:v>0.59</x:v>
      </x:c>
      <x:c r="W68" s="46" t="str">
        <x:v>-</x:v>
      </x:c>
      <x:c r="X68" s="46"/>
      <x:c r="Y68" s="46" t="str">
        <x:v>yes</x:v>
      </x:c>
      <x:c r="Z68" s="46" t="str">
        <x:v>relative peak area (%) by SAFE extraction solvent</x:v>
      </x:c>
      <x:c r="AA68" s="46"/>
    </x:row>
    <x:row r="69" ht="26.399999618530273" hidden="0" customHeight="1">
      <x:c r="A69" s="46" t="str">
        <x:v>BDF-068</x:v>
      </x:c>
      <x:c r="B69" s="46" t="str">
        <x:v>beef:fat</x:v>
      </x:c>
      <x:c r="C69" s="46" t="str">
        <x:v>beef</x:v>
      </x:c>
      <x:c r="D69" s="46" t="str">
        <x:v>abdominal subcutaneous fat</x:v>
      </x:c>
      <x:c r="E69" s="46" t="str">
        <x:v>dry-rendered at 130±5°C for 20 min</x:v>
      </x:c>
      <x:c r="F69" s="46" t="str">
        <x:v>SRC-BEEF-FAT-001</x:v>
      </x:c>
      <x:c r="G69" s="46" t="str">
        <x:v>Lactones</x:v>
      </x:c>
      <x:c r="H69" s="46" t="str">
        <x:v>Lactones</x:v>
      </x:c>
      <x:c r="I69" s="46" t="str">
        <x:v>2(3H)-Furanone</x:v>
      </x:c>
      <x:c r="J69" s="46"/>
      <x:c r="K69" s="46" t="n">
        <x:v>1720</x:v>
      </x:c>
      <x:c r="L69" s="46" t="str">
        <x:v>RI/MS</x:v>
      </x:c>
      <x:c r="M69" s="46" t="str">
        <x:v>no</x:v>
      </x:c>
      <x:c r="N69" s="46"/>
      <x:c r="O69" s="46"/>
      <x:c r="P69" s="46" t="str">
        <x:v>partial_no_numeric_match_factor</x:v>
      </x:c>
      <x:c r="Q69" s="46" t="str">
        <x:v>0.11±0.03b</x:v>
      </x:c>
      <x:c r="R69" s="46" t="n">
        <x:v>0.11</x:v>
      </x:c>
      <x:c r="S69" s="46" t="str">
        <x:v>0.01±0.00c</x:v>
      </x:c>
      <x:c r="T69" s="46" t="n">
        <x:v>0.01</x:v>
      </x:c>
      <x:c r="U69" s="46" t="str">
        <x:v>0.16±0.04a</x:v>
      </x:c>
      <x:c r="V69" s="46" t="n">
        <x:v>0.16</x:v>
      </x:c>
      <x:c r="W69" s="46" t="str">
        <x:v>-</x:v>
      </x:c>
      <x:c r="X69" s="46"/>
      <x:c r="Y69" s="46" t="str">
        <x:v>yes</x:v>
      </x:c>
      <x:c r="Z69" s="46" t="str">
        <x:v>relative peak area (%) by SAFE extraction solvent</x:v>
      </x:c>
      <x:c r="AA69" s="46"/>
    </x:row>
    <x:row r="70" ht="26.399999618530273" hidden="0" customHeight="1">
      <x:c r="A70" s="46" t="str">
        <x:v>BDF-069</x:v>
      </x:c>
      <x:c r="B70" s="46" t="str">
        <x:v>beef:fat</x:v>
      </x:c>
      <x:c r="C70" s="46" t="str">
        <x:v>beef</x:v>
      </x:c>
      <x:c r="D70" s="46" t="str">
        <x:v>abdominal subcutaneous fat</x:v>
      </x:c>
      <x:c r="E70" s="46" t="str">
        <x:v>dry-rendered at 130±5°C for 20 min</x:v>
      </x:c>
      <x:c r="F70" s="46" t="str">
        <x:v>SRC-BEEF-FAT-001</x:v>
      </x:c>
      <x:c r="G70" s="46" t="str">
        <x:v>Lactones</x:v>
      </x:c>
      <x:c r="H70" s="46" t="str">
        <x:v>Lactones</x:v>
      </x:c>
      <x:c r="I70" s="46" t="str">
        <x:v>gamma-Octalactone</x:v>
      </x:c>
      <x:c r="J70" s="46"/>
      <x:c r="K70" s="46" t="n">
        <x:v>1915</x:v>
      </x:c>
      <x:c r="L70" s="46" t="str">
        <x:v>RI/MS</x:v>
      </x:c>
      <x:c r="M70" s="46" t="str">
        <x:v>no</x:v>
      </x:c>
      <x:c r="N70" s="46"/>
      <x:c r="O70" s="46"/>
      <x:c r="P70" s="46" t="str">
        <x:v>partial_no_numeric_match_factor</x:v>
      </x:c>
      <x:c r="Q70" s="46" t="str">
        <x:v>0.16±0.04c</x:v>
      </x:c>
      <x:c r="R70" s="46" t="n">
        <x:v>0.16</x:v>
      </x:c>
      <x:c r="S70" s="46" t="str">
        <x:v>0.40±0.10a</x:v>
      </x:c>
      <x:c r="T70" s="46" t="n">
        <x:v>0.4</x:v>
      </x:c>
      <x:c r="U70" s="46" t="str">
        <x:v>0.24±0.06b</x:v>
      </x:c>
      <x:c r="V70" s="46" t="n">
        <x:v>0.24</x:v>
      </x:c>
      <x:c r="W70" s="46" t="str">
        <x:v>-</x:v>
      </x:c>
      <x:c r="X70" s="46"/>
      <x:c r="Y70" s="46" t="str">
        <x:v>yes</x:v>
      </x:c>
      <x:c r="Z70" s="46" t="str">
        <x:v>relative peak area (%) by SAFE extraction solvent</x:v>
      </x:c>
      <x:c r="AA70" s="46"/>
    </x:row>
    <x:row r="71" ht="26.399999618530273" hidden="0" customHeight="1">
      <x:c r="A71" s="46" t="str">
        <x:v>BDF-070</x:v>
      </x:c>
      <x:c r="B71" s="46" t="str">
        <x:v>beef:fat</x:v>
      </x:c>
      <x:c r="C71" s="46" t="str">
        <x:v>beef</x:v>
      </x:c>
      <x:c r="D71" s="46" t="str">
        <x:v>abdominal subcutaneous fat</x:v>
      </x:c>
      <x:c r="E71" s="46" t="str">
        <x:v>dry-rendered at 130±5°C for 20 min</x:v>
      </x:c>
      <x:c r="F71" s="46" t="str">
        <x:v>SRC-BEEF-FAT-001</x:v>
      </x:c>
      <x:c r="G71" s="46" t="str">
        <x:v>Lactones</x:v>
      </x:c>
      <x:c r="H71" s="46" t="str">
        <x:v>Lactones</x:v>
      </x:c>
      <x:c r="I71" s="46" t="str">
        <x:v>5-Acetyldihydroxy-2(3H)-furanone</x:v>
      </x:c>
      <x:c r="J71" s="46"/>
      <x:c r="K71" s="46" t="n">
        <x:v>2012</x:v>
      </x:c>
      <x:c r="L71" s="46" t="str">
        <x:v>RI/MS</x:v>
      </x:c>
      <x:c r="M71" s="46" t="str">
        <x:v>no</x:v>
      </x:c>
      <x:c r="N71" s="46"/>
      <x:c r="O71" s="46"/>
      <x:c r="P71" s="46" t="str">
        <x:v>partial_no_numeric_match_factor</x:v>
      </x:c>
      <x:c r="Q71" s="46" t="str">
        <x:v>0.42±0.11b</x:v>
      </x:c>
      <x:c r="R71" s="46" t="n">
        <x:v>0.42</x:v>
      </x:c>
      <x:c r="S71" s="46" t="str">
        <x:v>1.02±0.25a</x:v>
      </x:c>
      <x:c r="T71" s="46" t="n">
        <x:v>1.02</x:v>
      </x:c>
      <x:c r="U71" s="46" t="str">
        <x:v>0.92±0.22a</x:v>
      </x:c>
      <x:c r="V71" s="46" t="n">
        <x:v>0.92</x:v>
      </x:c>
      <x:c r="W71" s="46" t="str">
        <x:v>-</x:v>
      </x:c>
      <x:c r="X71" s="46"/>
      <x:c r="Y71" s="46" t="str">
        <x:v>yes</x:v>
      </x:c>
      <x:c r="Z71" s="46" t="str">
        <x:v>relative peak area (%) by SAFE extraction solvent</x:v>
      </x:c>
      <x:c r="AA71" s="46"/>
    </x:row>
    <x:row r="72" ht="26.399999618530273" hidden="0" customHeight="1">
      <x:c r="A72" s="46" t="str">
        <x:v>BDF-071</x:v>
      </x:c>
      <x:c r="B72" s="46" t="str">
        <x:v>beef:fat</x:v>
      </x:c>
      <x:c r="C72" s="46" t="str">
        <x:v>beef</x:v>
      </x:c>
      <x:c r="D72" s="46" t="str">
        <x:v>abdominal subcutaneous fat</x:v>
      </x:c>
      <x:c r="E72" s="46" t="str">
        <x:v>dry-rendered at 130±5°C for 20 min</x:v>
      </x:c>
      <x:c r="F72" s="46" t="str">
        <x:v>SRC-BEEF-FAT-001</x:v>
      </x:c>
      <x:c r="G72" s="46" t="str">
        <x:v>Lactones</x:v>
      </x:c>
      <x:c r="H72" s="46" t="str">
        <x:v>Lactones</x:v>
      </x:c>
      <x:c r="I72" s="46" t="str">
        <x:v>gamma-Nonalactone</x:v>
      </x:c>
      <x:c r="J72" s="46"/>
      <x:c r="K72" s="46" t="n">
        <x:v>2027</x:v>
      </x:c>
      <x:c r="L72" s="46" t="str">
        <x:v>RI/MS</x:v>
      </x:c>
      <x:c r="M72" s="46" t="str">
        <x:v>no</x:v>
      </x:c>
      <x:c r="N72" s="46"/>
      <x:c r="O72" s="46"/>
      <x:c r="P72" s="46" t="str">
        <x:v>partial_no_numeric_match_factor</x:v>
      </x:c>
      <x:c r="Q72" s="46" t="str">
        <x:v>0.11±0.03a</x:v>
      </x:c>
      <x:c r="R72" s="46" t="n">
        <x:v>0.11</x:v>
      </x:c>
      <x:c r="S72" s="46" t="str">
        <x:v>0.20±0.05a</x:v>
      </x:c>
      <x:c r="T72" s="46" t="n">
        <x:v>0.2</x:v>
      </x:c>
      <x:c r="U72" s="46" t="str">
        <x:v>0.15±0.04a</x:v>
      </x:c>
      <x:c r="V72" s="46" t="n">
        <x:v>0.15</x:v>
      </x:c>
      <x:c r="W72" s="46" t="str">
        <x:v>-</x:v>
      </x:c>
      <x:c r="X72" s="46"/>
      <x:c r="Y72" s="46" t="str">
        <x:v>yes</x:v>
      </x:c>
      <x:c r="Z72" s="46" t="str">
        <x:v>relative peak area (%) by SAFE extraction solvent</x:v>
      </x:c>
      <x:c r="AA72" s="46"/>
    </x:row>
    <x:row r="73" ht="26.399999618530273" hidden="0" customHeight="1">
      <x:c r="A73" s="46" t="str">
        <x:v>BDF-072</x:v>
      </x:c>
      <x:c r="B73" s="46" t="str">
        <x:v>beef:fat</x:v>
      </x:c>
      <x:c r="C73" s="46" t="str">
        <x:v>beef</x:v>
      </x:c>
      <x:c r="D73" s="46" t="str">
        <x:v>abdominal subcutaneous fat</x:v>
      </x:c>
      <x:c r="E73" s="46" t="str">
        <x:v>dry-rendered at 130±5°C for 20 min</x:v>
      </x:c>
      <x:c r="F73" s="46" t="str">
        <x:v>SRC-BEEF-FAT-001</x:v>
      </x:c>
      <x:c r="G73" s="46" t="str">
        <x:v>Sulfur compounds</x:v>
      </x:c>
      <x:c r="H73" s="46" t="str">
        <x:v>Sulfur compounds</x:v>
      </x:c>
      <x:c r="I73" s="46" t="str">
        <x:v>Thiophene</x:v>
      </x:c>
      <x:c r="J73" s="46"/>
      <x:c r="K73" s="46" t="n">
        <x:v>1020</x:v>
      </x:c>
      <x:c r="L73" s="46" t="str">
        <x:v>RI/MS/S</x:v>
      </x:c>
      <x:c r="M73" s="46" t="str">
        <x:v>yes</x:v>
      </x:c>
      <x:c r="N73" s="46"/>
      <x:c r="O73" s="46"/>
      <x:c r="P73" s="46" t="str">
        <x:v>partial_no_numeric_match_factor_standard_confirmed</x:v>
      </x:c>
      <x:c r="Q73" s="46" t="str">
        <x:v>0.25±0.06a</x:v>
      </x:c>
      <x:c r="R73" s="46" t="n">
        <x:v>0.25</x:v>
      </x:c>
      <x:c r="S73" s="46" t="str">
        <x:v>0.02±0.01c</x:v>
      </x:c>
      <x:c r="T73" s="46" t="n">
        <x:v>0.02</x:v>
      </x:c>
      <x:c r="U73" s="46" t="str">
        <x:v>0.12±0.04b</x:v>
      </x:c>
      <x:c r="V73" s="46" t="n">
        <x:v>0.12</x:v>
      </x:c>
      <x:c r="W73" s="46" t="str">
        <x:v>-</x:v>
      </x:c>
      <x:c r="X73" s="46"/>
      <x:c r="Y73" s="46" t="str">
        <x:v>yes</x:v>
      </x:c>
      <x:c r="Z73" s="46" t="str">
        <x:v>relative peak area (%) by SAFE extraction solvent</x:v>
      </x:c>
      <x:c r="AA73" s="46"/>
    </x:row>
    <x:row r="74" ht="26.399999618530273" hidden="0" customHeight="1">
      <x:c r="A74" s="46" t="str">
        <x:v>BDF-073</x:v>
      </x:c>
      <x:c r="B74" s="46" t="str">
        <x:v>beef:fat</x:v>
      </x:c>
      <x:c r="C74" s="46" t="str">
        <x:v>beef</x:v>
      </x:c>
      <x:c r="D74" s="46" t="str">
        <x:v>abdominal subcutaneous fat</x:v>
      </x:c>
      <x:c r="E74" s="46" t="str">
        <x:v>dry-rendered at 130±5°C for 20 min</x:v>
      </x:c>
      <x:c r="F74" s="46" t="str">
        <x:v>SRC-BEEF-FAT-001</x:v>
      </x:c>
      <x:c r="G74" s="46" t="str">
        <x:v>Sulfur compounds</x:v>
      </x:c>
      <x:c r="H74" s="46" t="str">
        <x:v>Sulfur compounds</x:v>
      </x:c>
      <x:c r="I74" s="46" t="str">
        <x:v>2,3-Dihydroxy-5-methylthiophene</x:v>
      </x:c>
      <x:c r="J74" s="46"/>
      <x:c r="K74" s="46" t="n">
        <x:v>1102</x:v>
      </x:c>
      <x:c r="L74" s="46" t="str">
        <x:v>RI/MS</x:v>
      </x:c>
      <x:c r="M74" s="46" t="str">
        <x:v>no</x:v>
      </x:c>
      <x:c r="N74" s="46"/>
      <x:c r="O74" s="46"/>
      <x:c r="P74" s="46" t="str">
        <x:v>partial_no_numeric_match_factor</x:v>
      </x:c>
      <x:c r="Q74" s="46" t="str">
        <x:v>-</x:v>
      </x:c>
      <x:c r="R74" s="46"/>
      <x:c r="S74" s="46" t="str">
        <x:v>-</x:v>
      </x:c>
      <x:c r="T74" s="46"/>
      <x:c r="U74" s="46" t="str">
        <x:v>-</x:v>
      </x:c>
      <x:c r="V74" s="46"/>
      <x:c r="W74" s="46" t="str">
        <x:v>0.05±0.01</x:v>
      </x:c>
      <x:c r="X74" s="46" t="n">
        <x:v>0.05</x:v>
      </x:c>
      <x:c r="Y74" s="46" t="str">
        <x:v>yes</x:v>
      </x:c>
      <x:c r="Z74" s="46" t="str">
        <x:v>relative peak area (%) by SAFE extraction solvent</x:v>
      </x:c>
      <x:c r="AA74" s="46"/>
    </x:row>
    <x:row r="75" ht="26.399999618530273" hidden="0" customHeight="1">
      <x:c r="A75" s="46" t="str">
        <x:v>BDF-074</x:v>
      </x:c>
      <x:c r="B75" s="46" t="str">
        <x:v>beef:fat</x:v>
      </x:c>
      <x:c r="C75" s="46" t="str">
        <x:v>beef</x:v>
      </x:c>
      <x:c r="D75" s="46" t="str">
        <x:v>abdominal subcutaneous fat</x:v>
      </x:c>
      <x:c r="E75" s="46" t="str">
        <x:v>dry-rendered at 130±5°C for 20 min</x:v>
      </x:c>
      <x:c r="F75" s="46" t="str">
        <x:v>SRC-BEEF-FAT-001</x:v>
      </x:c>
      <x:c r="G75" s="46" t="str">
        <x:v>Sulfur compounds</x:v>
      </x:c>
      <x:c r="H75" s="46" t="str">
        <x:v>Sulfur compounds</x:v>
      </x:c>
      <x:c r="I75" s="46" t="str">
        <x:v>2,3-Dihydroxythiophene</x:v>
      </x:c>
      <x:c r="J75" s="46"/>
      <x:c r="K75" s="46" t="n">
        <x:v>1106</x:v>
      </x:c>
      <x:c r="L75" s="46" t="str">
        <x:v>RI/MS</x:v>
      </x:c>
      <x:c r="M75" s="46" t="str">
        <x:v>no</x:v>
      </x:c>
      <x:c r="N75" s="46"/>
      <x:c r="O75" s="46"/>
      <x:c r="P75" s="46" t="str">
        <x:v>partial_no_numeric_match_factor</x:v>
      </x:c>
      <x:c r="Q75" s="46" t="str">
        <x:v>0.03±0.01c</x:v>
      </x:c>
      <x:c r="R75" s="46" t="n">
        <x:v>0.03</x:v>
      </x:c>
      <x:c r="S75" s="46" t="str">
        <x:v>0.01±0.01c</x:v>
      </x:c>
      <x:c r="T75" s="46" t="n">
        <x:v>0.01</x:v>
      </x:c>
      <x:c r="U75" s="46" t="str">
        <x:v>0.07±0.02b</x:v>
      </x:c>
      <x:c r="V75" s="46" t="n">
        <x:v>0.07</x:v>
      </x:c>
      <x:c r="W75" s="46" t="str">
        <x:v>2.53±0.41a</x:v>
      </x:c>
      <x:c r="X75" s="46" t="n">
        <x:v>2.53</x:v>
      </x:c>
      <x:c r="Y75" s="46" t="str">
        <x:v>yes</x:v>
      </x:c>
      <x:c r="Z75" s="46" t="str">
        <x:v>relative peak area (%) by SAFE extraction solvent</x:v>
      </x:c>
      <x:c r="AA75" s="46"/>
    </x:row>
    <x:row r="76" ht="26.399999618530273" hidden="0" customHeight="1">
      <x:c r="A76" s="46" t="str">
        <x:v>BDF-075</x:v>
      </x:c>
      <x:c r="B76" s="46" t="str">
        <x:v>beef:fat</x:v>
      </x:c>
      <x:c r="C76" s="46" t="str">
        <x:v>beef</x:v>
      </x:c>
      <x:c r="D76" s="46" t="str">
        <x:v>abdominal subcutaneous fat</x:v>
      </x:c>
      <x:c r="E76" s="46" t="str">
        <x:v>dry-rendered at 130±5°C for 20 min</x:v>
      </x:c>
      <x:c r="F76" s="46" t="str">
        <x:v>SRC-BEEF-FAT-001</x:v>
      </x:c>
      <x:c r="G76" s="46" t="str">
        <x:v>Sulfur compounds</x:v>
      </x:c>
      <x:c r="H76" s="46" t="str">
        <x:v>Sulfur compounds</x:v>
      </x:c>
      <x:c r="I76" s="46" t="str">
        <x:v>Diethyl disulfide</x:v>
      </x:c>
      <x:c r="J76" s="46"/>
      <x:c r="K76" s="46" t="n">
        <x:v>1213</x:v>
      </x:c>
      <x:c r="L76" s="46" t="str">
        <x:v>RI/MS</x:v>
      </x:c>
      <x:c r="M76" s="46" t="str">
        <x:v>no</x:v>
      </x:c>
      <x:c r="N76" s="46"/>
      <x:c r="O76" s="46"/>
      <x:c r="P76" s="46" t="str">
        <x:v>partial_no_numeric_match_factor</x:v>
      </x:c>
      <x:c r="Q76" s="46" t="str">
        <x:v>0.32±0.07a</x:v>
      </x:c>
      <x:c r="R76" s="46" t="n">
        <x:v>0.32</x:v>
      </x:c>
      <x:c r="S76" s="46" t="str">
        <x:v>0.04±0.02b</x:v>
      </x:c>
      <x:c r="T76" s="46" t="n">
        <x:v>0.04</x:v>
      </x:c>
      <x:c r="U76" s="46" t="str">
        <x:v>0.06±0.02b</x:v>
      </x:c>
      <x:c r="V76" s="46" t="n">
        <x:v>0.06</x:v>
      </x:c>
      <x:c r="W76" s="46" t="str">
        <x:v>-</x:v>
      </x:c>
      <x:c r="X76" s="46"/>
      <x:c r="Y76" s="46" t="str">
        <x:v>yes</x:v>
      </x:c>
      <x:c r="Z76" s="46" t="str">
        <x:v>relative peak area (%) by SAFE extraction solvent</x:v>
      </x:c>
      <x:c r="AA76" s="46"/>
    </x:row>
    <x:row r="77" ht="26.399999618530273" hidden="0" customHeight="1">
      <x:c r="A77" s="46" t="str">
        <x:v>BDF-076</x:v>
      </x:c>
      <x:c r="B77" s="46" t="str">
        <x:v>beef:fat</x:v>
      </x:c>
      <x:c r="C77" s="46" t="str">
        <x:v>beef</x:v>
      </x:c>
      <x:c r="D77" s="46" t="str">
        <x:v>abdominal subcutaneous fat</x:v>
      </x:c>
      <x:c r="E77" s="46" t="str">
        <x:v>dry-rendered at 130±5°C for 20 min</x:v>
      </x:c>
      <x:c r="F77" s="46" t="str">
        <x:v>SRC-BEEF-FAT-001</x:v>
      </x:c>
      <x:c r="G77" s="46" t="str">
        <x:v>Sulfur compounds</x:v>
      </x:c>
      <x:c r="H77" s="46" t="str">
        <x:v>Sulfur compounds</x:v>
      </x:c>
      <x:c r="I77" s="46" t="str">
        <x:v>2-Propylthiophene</x:v>
      </x:c>
      <x:c r="J77" s="46"/>
      <x:c r="K77" s="46" t="n">
        <x:v>1251</x:v>
      </x:c>
      <x:c r="L77" s="46" t="str">
        <x:v>RI/MS</x:v>
      </x:c>
      <x:c r="M77" s="46" t="str">
        <x:v>no</x:v>
      </x:c>
      <x:c r="N77" s="46"/>
      <x:c r="O77" s="46"/>
      <x:c r="P77" s="46" t="str">
        <x:v>partial_no_numeric_match_factor</x:v>
      </x:c>
      <x:c r="Q77" s="46" t="str">
        <x:v>0.17±0.04b</x:v>
      </x:c>
      <x:c r="R77" s="46" t="n">
        <x:v>0.17</x:v>
      </x:c>
      <x:c r="S77" s="46" t="str">
        <x:v>0.30±0.13a</x:v>
      </x:c>
      <x:c r="T77" s="46" t="n">
        <x:v>0.3</x:v>
      </x:c>
      <x:c r="U77" s="46" t="str">
        <x:v>0.39±0.13a</x:v>
      </x:c>
      <x:c r="V77" s="46" t="n">
        <x:v>0.39</x:v>
      </x:c>
      <x:c r="W77" s="46" t="str">
        <x:v>-</x:v>
      </x:c>
      <x:c r="X77" s="46"/>
      <x:c r="Y77" s="46" t="str">
        <x:v>yes</x:v>
      </x:c>
      <x:c r="Z77" s="46" t="str">
        <x:v>relative peak area (%) by SAFE extraction solvent</x:v>
      </x:c>
      <x:c r="AA77" s="46"/>
    </x:row>
    <x:row r="78" ht="26.399999618530273" hidden="0" customHeight="1">
      <x:c r="A78" s="46" t="str">
        <x:v>BDF-077</x:v>
      </x:c>
      <x:c r="B78" s="46" t="str">
        <x:v>beef:fat</x:v>
      </x:c>
      <x:c r="C78" s="46" t="str">
        <x:v>beef</x:v>
      </x:c>
      <x:c r="D78" s="46" t="str">
        <x:v>abdominal subcutaneous fat</x:v>
      </x:c>
      <x:c r="E78" s="46" t="str">
        <x:v>dry-rendered at 130±5°C for 20 min</x:v>
      </x:c>
      <x:c r="F78" s="46" t="str">
        <x:v>SRC-BEEF-FAT-001</x:v>
      </x:c>
      <x:c r="G78" s="46" t="str">
        <x:v>Sulfur compounds</x:v>
      </x:c>
      <x:c r="H78" s="46" t="str">
        <x:v>Sulfur compounds</x:v>
      </x:c>
      <x:c r="I78" s="46" t="str">
        <x:v>Thiazole</x:v>
      </x:c>
      <x:c r="J78" s="46"/>
      <x:c r="K78" s="46" t="n">
        <x:v>1260</x:v>
      </x:c>
      <x:c r="L78" s="46" t="str">
        <x:v>RI/MS/S</x:v>
      </x:c>
      <x:c r="M78" s="46" t="str">
        <x:v>yes</x:v>
      </x:c>
      <x:c r="N78" s="46"/>
      <x:c r="O78" s="46"/>
      <x:c r="P78" s="46" t="str">
        <x:v>partial_no_numeric_match_factor_standard_confirmed</x:v>
      </x:c>
      <x:c r="Q78" s="46" t="str">
        <x:v>0.19±0.04a</x:v>
      </x:c>
      <x:c r="R78" s="46" t="n">
        <x:v>0.19</x:v>
      </x:c>
      <x:c r="S78" s="46" t="str">
        <x:v>0.02±0.01c</x:v>
      </x:c>
      <x:c r="T78" s="46" t="n">
        <x:v>0.02</x:v>
      </x:c>
      <x:c r="U78" s="46" t="str">
        <x:v>0.10±0.03b</x:v>
      </x:c>
      <x:c r="V78" s="46" t="n">
        <x:v>0.1</x:v>
      </x:c>
      <x:c r="W78" s="46" t="str">
        <x:v>-</x:v>
      </x:c>
      <x:c r="X78" s="46"/>
      <x:c r="Y78" s="46" t="str">
        <x:v>yes</x:v>
      </x:c>
      <x:c r="Z78" s="46" t="str">
        <x:v>relative peak area (%) by SAFE extraction solvent</x:v>
      </x:c>
      <x:c r="AA78" s="46"/>
    </x:row>
    <x:row r="79" ht="26.399999618530273" hidden="0" customHeight="1">
      <x:c r="A79" s="46" t="str">
        <x:v>BDF-078</x:v>
      </x:c>
      <x:c r="B79" s="46" t="str">
        <x:v>beef:fat</x:v>
      </x:c>
      <x:c r="C79" s="46" t="str">
        <x:v>beef</x:v>
      </x:c>
      <x:c r="D79" s="46" t="str">
        <x:v>abdominal subcutaneous fat</x:v>
      </x:c>
      <x:c r="E79" s="46" t="str">
        <x:v>dry-rendered at 130±5°C for 20 min</x:v>
      </x:c>
      <x:c r="F79" s="46" t="str">
        <x:v>SRC-BEEF-FAT-001</x:v>
      </x:c>
      <x:c r="G79" s="46" t="str">
        <x:v>Sulfur compounds</x:v>
      </x:c>
      <x:c r="H79" s="46" t="str">
        <x:v>Sulfur compounds</x:v>
      </x:c>
      <x:c r="I79" s="46" t="str">
        <x:v>4-Methylthiazole</x:v>
      </x:c>
      <x:c r="J79" s="46"/>
      <x:c r="K79" s="46" t="n">
        <x:v>1279</x:v>
      </x:c>
      <x:c r="L79" s="46" t="str">
        <x:v>RI/MS/S</x:v>
      </x:c>
      <x:c r="M79" s="46" t="str">
        <x:v>yes</x:v>
      </x:c>
      <x:c r="N79" s="46"/>
      <x:c r="O79" s="46"/>
      <x:c r="P79" s="46" t="str">
        <x:v>partial_no_numeric_match_factor_standard_confirmed</x:v>
      </x:c>
      <x:c r="Q79" s="46" t="str">
        <x:v>0.07±0.02b</x:v>
      </x:c>
      <x:c r="R79" s="46" t="n">
        <x:v>0.07</x:v>
      </x:c>
      <x:c r="S79" s="46" t="str">
        <x:v>0.06±0.03b</x:v>
      </x:c>
      <x:c r="T79" s="46" t="n">
        <x:v>0.06</x:v>
      </x:c>
      <x:c r="U79" s="46" t="str">
        <x:v>0.22±0.07a</x:v>
      </x:c>
      <x:c r="V79" s="46" t="n">
        <x:v>0.22</x:v>
      </x:c>
      <x:c r="W79" s="46" t="str">
        <x:v>-</x:v>
      </x:c>
      <x:c r="X79" s="46"/>
      <x:c r="Y79" s="46" t="str">
        <x:v>yes</x:v>
      </x:c>
      <x:c r="Z79" s="46" t="str">
        <x:v>relative peak area (%) by SAFE extraction solvent</x:v>
      </x:c>
      <x:c r="AA79" s="46"/>
    </x:row>
    <x:row r="80" ht="26.399999618530273" hidden="0" customHeight="1">
      <x:c r="A80" s="46" t="str">
        <x:v>BDF-079</x:v>
      </x:c>
      <x:c r="B80" s="46" t="str">
        <x:v>beef:fat</x:v>
      </x:c>
      <x:c r="C80" s="46" t="str">
        <x:v>beef</x:v>
      </x:c>
      <x:c r="D80" s="46" t="str">
        <x:v>abdominal subcutaneous fat</x:v>
      </x:c>
      <x:c r="E80" s="46" t="str">
        <x:v>dry-rendered at 130±5°C for 20 min</x:v>
      </x:c>
      <x:c r="F80" s="46" t="str">
        <x:v>SRC-BEEF-FAT-001</x:v>
      </x:c>
      <x:c r="G80" s="46" t="str">
        <x:v>Sulfur compounds</x:v>
      </x:c>
      <x:c r="H80" s="46" t="str">
        <x:v>Sulfur compounds</x:v>
      </x:c>
      <x:c r="I80" s="46" t="str">
        <x:v>4-Methyl-5-thiazoleethanol</x:v>
      </x:c>
      <x:c r="J80" s="46"/>
      <x:c r="K80" s="46" t="n">
        <x:v>2274</x:v>
      </x:c>
      <x:c r="L80" s="46" t="str">
        <x:v>RI/MS/S</x:v>
      </x:c>
      <x:c r="M80" s="46" t="str">
        <x:v>yes</x:v>
      </x:c>
      <x:c r="N80" s="46"/>
      <x:c r="O80" s="46"/>
      <x:c r="P80" s="46" t="str">
        <x:v>partial_no_numeric_match_factor_standard_confirmed</x:v>
      </x:c>
      <x:c r="Q80" s="46" t="str">
        <x:v>0.13±0.03b</x:v>
      </x:c>
      <x:c r="R80" s="46" t="n">
        <x:v>0.13</x:v>
      </x:c>
      <x:c r="S80" s="46" t="str">
        <x:v>0.03±0.01c</x:v>
      </x:c>
      <x:c r="T80" s="46" t="n">
        <x:v>0.03</x:v>
      </x:c>
      <x:c r="U80" s="46" t="str">
        <x:v>0.12±0.04b</x:v>
      </x:c>
      <x:c r="V80" s="46" t="n">
        <x:v>0.12</x:v>
      </x:c>
      <x:c r="W80" s="46" t="str">
        <x:v>0.44±0.07a</x:v>
      </x:c>
      <x:c r="X80" s="46" t="n">
        <x:v>0.44</x:v>
      </x:c>
      <x:c r="Y80" s="46" t="str">
        <x:v>yes</x:v>
      </x:c>
      <x:c r="Z80" s="46" t="str">
        <x:v>relative peak area (%) by SAFE extraction solvent</x:v>
      </x:c>
      <x:c r="AA80" s="46"/>
    </x:row>
    <x:row r="81" ht="26.399999618530273" hidden="0" customHeight="1">
      <x:c r="A81" s="46" t="str">
        <x:v>BDF-080</x:v>
      </x:c>
      <x:c r="B81" s="46" t="str">
        <x:v>beef:fat</x:v>
      </x:c>
      <x:c r="C81" s="46" t="str">
        <x:v>beef</x:v>
      </x:c>
      <x:c r="D81" s="46" t="str">
        <x:v>abdominal subcutaneous fat</x:v>
      </x:c>
      <x:c r="E81" s="46" t="str">
        <x:v>dry-rendered at 130±5°C for 20 min</x:v>
      </x:c>
      <x:c r="F81" s="46" t="str">
        <x:v>SRC-BEEF-FAT-001</x:v>
      </x:c>
      <x:c r="G81" s="46" t="str">
        <x:v>Sulfur compounds</x:v>
      </x:c>
      <x:c r="H81" s="46" t="str">
        <x:v>Sulfur compounds</x:v>
      </x:c>
      <x:c r="I81" s="46" t="str">
        <x:v>1-Dodecanethiol</x:v>
      </x:c>
      <x:c r="J81" s="46"/>
      <x:c r="K81" s="46" t="n">
        <x:v>2311</x:v>
      </x:c>
      <x:c r="L81" s="46" t="str">
        <x:v>RI/MS</x:v>
      </x:c>
      <x:c r="M81" s="46" t="str">
        <x:v>no</x:v>
      </x:c>
      <x:c r="N81" s="46"/>
      <x:c r="O81" s="46"/>
      <x:c r="P81" s="46" t="str">
        <x:v>partial_no_numeric_match_factor</x:v>
      </x:c>
      <x:c r="Q81" s="46" t="str">
        <x:v>0.12±0.03a</x:v>
      </x:c>
      <x:c r="R81" s="46" t="n">
        <x:v>0.12</x:v>
      </x:c>
      <x:c r="S81" s="46" t="str">
        <x:v>0.13±0.05a</x:v>
      </x:c>
      <x:c r="T81" s="46" t="n">
        <x:v>0.13</x:v>
      </x:c>
      <x:c r="U81" s="46" t="str">
        <x:v>0.03±0.01b</x:v>
      </x:c>
      <x:c r="V81" s="46" t="n">
        <x:v>0.03</x:v>
      </x:c>
      <x:c r="W81" s="46" t="str">
        <x:v>-</x:v>
      </x:c>
      <x:c r="X81" s="46"/>
      <x:c r="Y81" s="46" t="str">
        <x:v>yes</x:v>
      </x:c>
      <x:c r="Z81" s="46" t="str">
        <x:v>relative peak area (%) by SAFE extraction solvent</x:v>
      </x:c>
      <x:c r="AA81" s="46"/>
    </x:row>
    <x:row r="82" ht="26.399999618530273" hidden="0" customHeight="1">
      <x:c r="A82" s="46" t="str">
        <x:v>BDF-081</x:v>
      </x:c>
      <x:c r="B82" s="46" t="str">
        <x:v>beef:fat</x:v>
      </x:c>
      <x:c r="C82" s="46" t="str">
        <x:v>beef</x:v>
      </x:c>
      <x:c r="D82" s="46" t="str">
        <x:v>abdominal subcutaneous fat</x:v>
      </x:c>
      <x:c r="E82" s="46" t="str">
        <x:v>dry-rendered at 130±5°C for 20 min</x:v>
      </x:c>
      <x:c r="F82" s="46" t="str">
        <x:v>SRC-BEEF-FAT-001</x:v>
      </x:c>
      <x:c r="G82" s="46" t="str">
        <x:v>Nitrogen heterocycles</x:v>
      </x:c>
      <x:c r="H82" s="46" t="str">
        <x:v>Nitrogen heterocycles</x:v>
      </x:c>
      <x:c r="I82" s="46" t="str">
        <x:v>Methylpyrazine</x:v>
      </x:c>
      <x:c r="J82" s="46"/>
      <x:c r="K82" s="46" t="n">
        <x:v>1264</x:v>
      </x:c>
      <x:c r="L82" s="46" t="str">
        <x:v>RI/MS</x:v>
      </x:c>
      <x:c r="M82" s="46" t="str">
        <x:v>no</x:v>
      </x:c>
      <x:c r="N82" s="46"/>
      <x:c r="O82" s="46"/>
      <x:c r="P82" s="46" t="str">
        <x:v>partial_no_numeric_match_factor</x:v>
      </x:c>
      <x:c r="Q82" s="46" t="str">
        <x:v>0.55±0.13a</x:v>
      </x:c>
      <x:c r="R82" s="46" t="n">
        <x:v>0.55</x:v>
      </x:c>
      <x:c r="S82" s="46" t="str">
        <x:v>0.49±0.21a</x:v>
      </x:c>
      <x:c r="T82" s="46" t="n">
        <x:v>0.49</x:v>
      </x:c>
      <x:c r="U82" s="46" t="str">
        <x:v>0.57±0.19b</x:v>
      </x:c>
      <x:c r="V82" s="46" t="n">
        <x:v>0.57</x:v>
      </x:c>
      <x:c r="W82" s="46" t="str">
        <x:v>-</x:v>
      </x:c>
      <x:c r="X82" s="46"/>
      <x:c r="Y82" s="46" t="str">
        <x:v>yes</x:v>
      </x:c>
      <x:c r="Z82" s="46" t="str">
        <x:v>relative peak area (%) by SAFE extraction solvent</x:v>
      </x:c>
      <x:c r="AA82" s="46"/>
    </x:row>
    <x:row r="83" ht="26.399999618530273" hidden="0" customHeight="1">
      <x:c r="A83" s="46" t="str">
        <x:v>BDF-082</x:v>
      </x:c>
      <x:c r="B83" s="46" t="str">
        <x:v>beef:fat</x:v>
      </x:c>
      <x:c r="C83" s="46" t="str">
        <x:v>beef</x:v>
      </x:c>
      <x:c r="D83" s="46" t="str">
        <x:v>abdominal subcutaneous fat</x:v>
      </x:c>
      <x:c r="E83" s="46" t="str">
        <x:v>dry-rendered at 130±5°C for 20 min</x:v>
      </x:c>
      <x:c r="F83" s="46" t="str">
        <x:v>SRC-BEEF-FAT-001</x:v>
      </x:c>
      <x:c r="G83" s="46" t="str">
        <x:v>Nitrogen heterocycles</x:v>
      </x:c>
      <x:c r="H83" s="46" t="str">
        <x:v>Nitrogen heterocycles</x:v>
      </x:c>
      <x:c r="I83" s="46" t="str">
        <x:v>2,5-Dimethylpyrazine</x:v>
      </x:c>
      <x:c r="J83" s="46"/>
      <x:c r="K83" s="46" t="n">
        <x:v>1323</x:v>
      </x:c>
      <x:c r="L83" s="46" t="str">
        <x:v>RI/MS/S</x:v>
      </x:c>
      <x:c r="M83" s="46" t="str">
        <x:v>yes</x:v>
      </x:c>
      <x:c r="N83" s="46"/>
      <x:c r="O83" s="46"/>
      <x:c r="P83" s="46" t="str">
        <x:v>partial_no_numeric_match_factor_standard_confirmed</x:v>
      </x:c>
      <x:c r="Q83" s="46" t="str">
        <x:v>2.74±0.63a</x:v>
      </x:c>
      <x:c r="R83" s="46" t="n">
        <x:v>2.74</x:v>
      </x:c>
      <x:c r="S83" s="46" t="str">
        <x:v>2.77±1.20a</x:v>
      </x:c>
      <x:c r="T83" s="46" t="n">
        <x:v>2.77</x:v>
      </x:c>
      <x:c r="U83" s="46" t="str">
        <x:v>2.80±0.93a</x:v>
      </x:c>
      <x:c r="V83" s="46" t="n">
        <x:v>2.8</x:v>
      </x:c>
      <x:c r="W83" s="46" t="str">
        <x:v>-</x:v>
      </x:c>
      <x:c r="X83" s="46"/>
      <x:c r="Y83" s="46" t="str">
        <x:v>yes</x:v>
      </x:c>
      <x:c r="Z83" s="46" t="str">
        <x:v>relative peak area (%) by SAFE extraction solvent</x:v>
      </x:c>
      <x:c r="AA83" s="46"/>
    </x:row>
    <x:row r="84" ht="26.399999618530273" hidden="0" customHeight="1">
      <x:c r="A84" s="46" t="str">
        <x:v>BDF-083</x:v>
      </x:c>
      <x:c r="B84" s="46" t="str">
        <x:v>beef:fat</x:v>
      </x:c>
      <x:c r="C84" s="46" t="str">
        <x:v>beef</x:v>
      </x:c>
      <x:c r="D84" s="46" t="str">
        <x:v>abdominal subcutaneous fat</x:v>
      </x:c>
      <x:c r="E84" s="46" t="str">
        <x:v>dry-rendered at 130±5°C for 20 min</x:v>
      </x:c>
      <x:c r="F84" s="46" t="str">
        <x:v>SRC-BEEF-FAT-001</x:v>
      </x:c>
      <x:c r="G84" s="46" t="str">
        <x:v>Nitrogen heterocycles</x:v>
      </x:c>
      <x:c r="H84" s="46" t="str">
        <x:v>Nitrogen heterocycles</x:v>
      </x:c>
      <x:c r="I84" s="46" t="str">
        <x:v>2,3-Dimethylpyrazine</x:v>
      </x:c>
      <x:c r="J84" s="46"/>
      <x:c r="K84" s="46" t="n">
        <x:v>1346</x:v>
      </x:c>
      <x:c r="L84" s="46" t="str">
        <x:v>RI/MS/S</x:v>
      </x:c>
      <x:c r="M84" s="46" t="str">
        <x:v>yes</x:v>
      </x:c>
      <x:c r="N84" s="46"/>
      <x:c r="O84" s="46"/>
      <x:c r="P84" s="46" t="str">
        <x:v>partial_no_numeric_match_factor_standard_confirmed</x:v>
      </x:c>
      <x:c r="Q84" s="46" t="str">
        <x:v>0.28±0.07b</x:v>
      </x:c>
      <x:c r="R84" s="46" t="n">
        <x:v>0.28</x:v>
      </x:c>
      <x:c r="S84" s="46" t="str">
        <x:v>0.23±0.10b</x:v>
      </x:c>
      <x:c r="T84" s="46" t="n">
        <x:v>0.23</x:v>
      </x:c>
      <x:c r="U84" s="46" t="str">
        <x:v>0.47±0.16a</x:v>
      </x:c>
      <x:c r="V84" s="46" t="n">
        <x:v>0.47</x:v>
      </x:c>
      <x:c r="W84" s="46" t="str">
        <x:v>-</x:v>
      </x:c>
      <x:c r="X84" s="46"/>
      <x:c r="Y84" s="46" t="str">
        <x:v>yes</x:v>
      </x:c>
      <x:c r="Z84" s="46" t="str">
        <x:v>relative peak area (%) by SAFE extraction solvent</x:v>
      </x:c>
      <x:c r="AA84" s="46"/>
    </x:row>
    <x:row r="85" ht="26.399999618530273" hidden="0" customHeight="1">
      <x:c r="A85" s="46" t="str">
        <x:v>BDF-084</x:v>
      </x:c>
      <x:c r="B85" s="46" t="str">
        <x:v>beef:fat</x:v>
      </x:c>
      <x:c r="C85" s="46" t="str">
        <x:v>beef</x:v>
      </x:c>
      <x:c r="D85" s="46" t="str">
        <x:v>abdominal subcutaneous fat</x:v>
      </x:c>
      <x:c r="E85" s="46" t="str">
        <x:v>dry-rendered at 130±5°C for 20 min</x:v>
      </x:c>
      <x:c r="F85" s="46" t="str">
        <x:v>SRC-BEEF-FAT-001</x:v>
      </x:c>
      <x:c r="G85" s="46" t="str">
        <x:v>Nitrogen heterocycles</x:v>
      </x:c>
      <x:c r="H85" s="46" t="str">
        <x:v>Nitrogen heterocycles</x:v>
      </x:c>
      <x:c r="I85" s="46" t="str">
        <x:v>2-Ethyl-6-methylpyrazine</x:v>
      </x:c>
      <x:c r="J85" s="46"/>
      <x:c r="K85" s="46" t="n">
        <x:v>1390</x:v>
      </x:c>
      <x:c r="L85" s="46" t="str">
        <x:v>RI/MS/S</x:v>
      </x:c>
      <x:c r="M85" s="46" t="str">
        <x:v>yes</x:v>
      </x:c>
      <x:c r="N85" s="46"/>
      <x:c r="O85" s="46"/>
      <x:c r="P85" s="46" t="str">
        <x:v>partial_no_numeric_match_factor_standard_confirmed</x:v>
      </x:c>
      <x:c r="Q85" s="46" t="str">
        <x:v>0.93±0.19a</x:v>
      </x:c>
      <x:c r="R85" s="46" t="n">
        <x:v>0.93</x:v>
      </x:c>
      <x:c r="S85" s="46" t="str">
        <x:v>0.27±0.06c</x:v>
      </x:c>
      <x:c r="T85" s="46" t="n">
        <x:v>0.27</x:v>
      </x:c>
      <x:c r="U85" s="46" t="str">
        <x:v>0.43±0.09b</x:v>
      </x:c>
      <x:c r="V85" s="46" t="n">
        <x:v>0.43</x:v>
      </x:c>
      <x:c r="W85" s="46" t="str">
        <x:v>-</x:v>
      </x:c>
      <x:c r="X85" s="46"/>
      <x:c r="Y85" s="46" t="str">
        <x:v>yes</x:v>
      </x:c>
      <x:c r="Z85" s="46" t="str">
        <x:v>relative peak area (%) by SAFE extraction solvent</x:v>
      </x:c>
      <x:c r="AA85" s="46"/>
    </x:row>
    <x:row r="86" ht="26.399999618530273" hidden="0" customHeight="1">
      <x:c r="A86" s="46" t="str">
        <x:v>BDF-085</x:v>
      </x:c>
      <x:c r="B86" s="46" t="str">
        <x:v>beef:fat</x:v>
      </x:c>
      <x:c r="C86" s="46" t="str">
        <x:v>beef</x:v>
      </x:c>
      <x:c r="D86" s="46" t="str">
        <x:v>abdominal subcutaneous fat</x:v>
      </x:c>
      <x:c r="E86" s="46" t="str">
        <x:v>dry-rendered at 130±5°C for 20 min</x:v>
      </x:c>
      <x:c r="F86" s="46" t="str">
        <x:v>SRC-BEEF-FAT-001</x:v>
      </x:c>
      <x:c r="G86" s="46" t="str">
        <x:v>Nitrogen heterocycles</x:v>
      </x:c>
      <x:c r="H86" s="46" t="str">
        <x:v>Nitrogen heterocycles</x:v>
      </x:c>
      <x:c r="I86" s="46" t="str">
        <x:v>Trimethylpyrazine</x:v>
      </x:c>
      <x:c r="J86" s="46"/>
      <x:c r="K86" s="46" t="n">
        <x:v>1407</x:v>
      </x:c>
      <x:c r="L86" s="46" t="str">
        <x:v>RI/MS/S</x:v>
      </x:c>
      <x:c r="M86" s="46" t="str">
        <x:v>yes</x:v>
      </x:c>
      <x:c r="N86" s="46"/>
      <x:c r="O86" s="46"/>
      <x:c r="P86" s="46" t="str">
        <x:v>partial_no_numeric_match_factor_standard_confirmed</x:v>
      </x:c>
      <x:c r="Q86" s="46" t="str">
        <x:v>1.22±0.25a</x:v>
      </x:c>
      <x:c r="R86" s="46" t="n">
        <x:v>1.22</x:v>
      </x:c>
      <x:c r="S86" s="46" t="str">
        <x:v>0.72±0.15b</x:v>
      </x:c>
      <x:c r="T86" s="46" t="n">
        <x:v>0.72</x:v>
      </x:c>
      <x:c r="U86" s="46" t="str">
        <x:v>1.53±0.32a</x:v>
      </x:c>
      <x:c r="V86" s="46" t="n">
        <x:v>1.53</x:v>
      </x:c>
      <x:c r="W86" s="46" t="str">
        <x:v>-</x:v>
      </x:c>
      <x:c r="X86" s="46"/>
      <x:c r="Y86" s="46" t="str">
        <x:v>yes</x:v>
      </x:c>
      <x:c r="Z86" s="46" t="str">
        <x:v>relative peak area (%) by SAFE extraction solvent</x:v>
      </x:c>
      <x:c r="AA86" s="46"/>
    </x:row>
    <x:row r="87" ht="26.399999618530273" hidden="0" customHeight="1">
      <x:c r="A87" s="46" t="str">
        <x:v>BDF-086</x:v>
      </x:c>
      <x:c r="B87" s="46" t="str">
        <x:v>beef:fat</x:v>
      </x:c>
      <x:c r="C87" s="46" t="str">
        <x:v>beef</x:v>
      </x:c>
      <x:c r="D87" s="46" t="str">
        <x:v>abdominal subcutaneous fat</x:v>
      </x:c>
      <x:c r="E87" s="46" t="str">
        <x:v>dry-rendered at 130±5°C for 20 min</x:v>
      </x:c>
      <x:c r="F87" s="46" t="str">
        <x:v>SRC-BEEF-FAT-001</x:v>
      </x:c>
      <x:c r="G87" s="46" t="str">
        <x:v>Nitrogen heterocycles</x:v>
      </x:c>
      <x:c r="H87" s="46" t="str">
        <x:v>Nitrogen heterocycles</x:v>
      </x:c>
      <x:c r="I87" s="46" t="str">
        <x:v>3-Ethyl-2,5-dimethylpyrazine</x:v>
      </x:c>
      <x:c r="J87" s="46"/>
      <x:c r="K87" s="46" t="n">
        <x:v>1447</x:v>
      </x:c>
      <x:c r="L87" s="46" t="str">
        <x:v>RI/MS/S</x:v>
      </x:c>
      <x:c r="M87" s="46" t="str">
        <x:v>yes</x:v>
      </x:c>
      <x:c r="N87" s="46"/>
      <x:c r="O87" s="46"/>
      <x:c r="P87" s="46" t="str">
        <x:v>partial_no_numeric_match_factor_standard_confirmed</x:v>
      </x:c>
      <x:c r="Q87" s="46" t="str">
        <x:v>3.64±0.75b</x:v>
      </x:c>
      <x:c r="R87" s="46" t="n">
        <x:v>3.64</x:v>
      </x:c>
      <x:c r="S87" s="46" t="str">
        <x:v>5.87±1.19a</x:v>
      </x:c>
      <x:c r="T87" s="46" t="n">
        <x:v>5.87</x:v>
      </x:c>
      <x:c r="U87" s="46" t="str">
        <x:v>5.46±1.14a</x:v>
      </x:c>
      <x:c r="V87" s="46" t="n">
        <x:v>5.46</x:v>
      </x:c>
      <x:c r="W87" s="46" t="str">
        <x:v>-</x:v>
      </x:c>
      <x:c r="X87" s="46"/>
      <x:c r="Y87" s="46" t="str">
        <x:v>yes</x:v>
      </x:c>
      <x:c r="Z87" s="46" t="str">
        <x:v>relative peak area (%) by SAFE extraction solvent</x:v>
      </x:c>
      <x:c r="AA87" s="46"/>
    </x:row>
    <x:row r="88" ht="26.399999618530273" hidden="0" customHeight="1">
      <x:c r="A88" s="46" t="str">
        <x:v>BDF-087</x:v>
      </x:c>
      <x:c r="B88" s="46" t="str">
        <x:v>beef:fat</x:v>
      </x:c>
      <x:c r="C88" s="46" t="str">
        <x:v>beef</x:v>
      </x:c>
      <x:c r="D88" s="46" t="str">
        <x:v>abdominal subcutaneous fat</x:v>
      </x:c>
      <x:c r="E88" s="46" t="str">
        <x:v>dry-rendered at 130±5°C for 20 min</x:v>
      </x:c>
      <x:c r="F88" s="46" t="str">
        <x:v>SRC-BEEF-FAT-001</x:v>
      </x:c>
      <x:c r="G88" s="46" t="str">
        <x:v>Nitrogen heterocycles</x:v>
      </x:c>
      <x:c r="H88" s="46" t="str">
        <x:v>Nitrogen heterocycles</x:v>
      </x:c>
      <x:c r="I88" s="46" t="str">
        <x:v>2-Acetyl-3-methylpyrazine</x:v>
      </x:c>
      <x:c r="J88" s="46"/>
      <x:c r="K88" s="46" t="n">
        <x:v>1625</x:v>
      </x:c>
      <x:c r="L88" s="46" t="str">
        <x:v>RI/MS</x:v>
      </x:c>
      <x:c r="M88" s="46" t="str">
        <x:v>no</x:v>
      </x:c>
      <x:c r="N88" s="46"/>
      <x:c r="O88" s="46"/>
      <x:c r="P88" s="46" t="str">
        <x:v>partial_no_numeric_match_factor</x:v>
      </x:c>
      <x:c r="Q88" s="46" t="str">
        <x:v>0.25±0.05b</x:v>
      </x:c>
      <x:c r="R88" s="46" t="n">
        <x:v>0.25</x:v>
      </x:c>
      <x:c r="S88" s="46" t="str">
        <x:v>0.20±0.04b</x:v>
      </x:c>
      <x:c r="T88" s="46" t="n">
        <x:v>0.2</x:v>
      </x:c>
      <x:c r="U88" s="46" t="str">
        <x:v>0.35±0.07a</x:v>
      </x:c>
      <x:c r="V88" s="46" t="n">
        <x:v>0.35</x:v>
      </x:c>
      <x:c r="W88" s="46" t="str">
        <x:v>-</x:v>
      </x:c>
      <x:c r="X88" s="46"/>
      <x:c r="Y88" s="46" t="str">
        <x:v>yes</x:v>
      </x:c>
      <x:c r="Z88" s="46" t="str">
        <x:v>relative peak area (%) by SAFE extraction solvent</x:v>
      </x:c>
      <x:c r="AA88" s="46"/>
    </x:row>
    <x:row r="89" ht="26.399999618530273" hidden="0" customHeight="1">
      <x:c r="A89" s="46" t="str">
        <x:v>BDF-088</x:v>
      </x:c>
      <x:c r="B89" s="46" t="str">
        <x:v>beef:fat</x:v>
      </x:c>
      <x:c r="C89" s="46" t="str">
        <x:v>beef</x:v>
      </x:c>
      <x:c r="D89" s="46" t="str">
        <x:v>abdominal subcutaneous fat</x:v>
      </x:c>
      <x:c r="E89" s="46" t="str">
        <x:v>dry-rendered at 130±5°C for 20 min</x:v>
      </x:c>
      <x:c r="F89" s="46" t="str">
        <x:v>SRC-BEEF-FAT-001</x:v>
      </x:c>
      <x:c r="G89" s="46" t="str">
        <x:v>Nitrogen heterocycles</x:v>
      </x:c>
      <x:c r="H89" s="46" t="str">
        <x:v>Nitrogen heterocycles</x:v>
      </x:c>
      <x:c r="I89" s="46" t="str">
        <x:v>Indole</x:v>
      </x:c>
      <x:c r="J89" s="46"/>
      <x:c r="K89" s="46" t="n">
        <x:v>2412</x:v>
      </x:c>
      <x:c r="L89" s="46" t="str">
        <x:v>RI/MS/S</x:v>
      </x:c>
      <x:c r="M89" s="46" t="str">
        <x:v>yes</x:v>
      </x:c>
      <x:c r="N89" s="46"/>
      <x:c r="O89" s="46"/>
      <x:c r="P89" s="46" t="str">
        <x:v>partial_no_numeric_match_factor_standard_confirmed</x:v>
      </x:c>
      <x:c r="Q89" s="46" t="str">
        <x:v>0.03±0.01a</x:v>
      </x:c>
      <x:c r="R89" s="46" t="n">
        <x:v>0.03</x:v>
      </x:c>
      <x:c r="S89" s="46" t="str">
        <x:v>0.05±0.01a</x:v>
      </x:c>
      <x:c r="T89" s="46" t="n">
        <x:v>0.05</x:v>
      </x:c>
      <x:c r="U89" s="46" t="str">
        <x:v>0.07±0.02a</x:v>
      </x:c>
      <x:c r="V89" s="46" t="n">
        <x:v>0.07</x:v>
      </x:c>
      <x:c r="W89" s="46" t="str">
        <x:v>-</x:v>
      </x:c>
      <x:c r="X89" s="46"/>
      <x:c r="Y89" s="46" t="str">
        <x:v>yes</x:v>
      </x:c>
      <x:c r="Z89" s="46" t="str">
        <x:v>relative peak area (%) by SAFE extraction solvent</x:v>
      </x:c>
      <x:c r="AA89" s="46"/>
    </x:row>
    <x:row r="90" ht="26.399999618530273" hidden="0" customHeight="1">
      <x:c r="A90" s="46" t="str">
        <x:v>BDF-089</x:v>
      </x:c>
      <x:c r="B90" s="46" t="str">
        <x:v>beef:fat</x:v>
      </x:c>
      <x:c r="C90" s="46" t="str">
        <x:v>beef</x:v>
      </x:c>
      <x:c r="D90" s="46" t="str">
        <x:v>abdominal subcutaneous fat</x:v>
      </x:c>
      <x:c r="E90" s="46" t="str">
        <x:v>dry-rendered at 130±5°C for 20 min</x:v>
      </x:c>
      <x:c r="F90" s="46" t="str">
        <x:v>SRC-BEEF-FAT-001</x:v>
      </x:c>
      <x:c r="G90" s="46" t="str">
        <x:v>Oxygen heterocycles</x:v>
      </x:c>
      <x:c r="H90" s="46" t="str">
        <x:v>Oxygen heterocycles</x:v>
      </x:c>
      <x:c r="I90" s="46" t="str">
        <x:v>2,5-Dimethylfuran</x:v>
      </x:c>
      <x:c r="J90" s="46"/>
      <x:c r="K90" s="46" t="n">
        <x:v>931</x:v>
      </x:c>
      <x:c r="L90" s="46" t="str">
        <x:v>RI/MS</x:v>
      </x:c>
      <x:c r="M90" s="46" t="str">
        <x:v>no</x:v>
      </x:c>
      <x:c r="N90" s="46"/>
      <x:c r="O90" s="46"/>
      <x:c r="P90" s="46" t="str">
        <x:v>partial_no_numeric_match_factor</x:v>
      </x:c>
      <x:c r="Q90" s="46" t="str">
        <x:v>-</x:v>
      </x:c>
      <x:c r="R90" s="46"/>
      <x:c r="S90" s="46" t="str">
        <x:v>-</x:v>
      </x:c>
      <x:c r="T90" s="46"/>
      <x:c r="U90" s="46" t="str">
        <x:v>-</x:v>
      </x:c>
      <x:c r="V90" s="46"/>
      <x:c r="W90" s="46" t="str">
        <x:v>0.02±0.11</x:v>
      </x:c>
      <x:c r="X90" s="46" t="n">
        <x:v>0.02</x:v>
      </x:c>
      <x:c r="Y90" s="46" t="str">
        <x:v>yes</x:v>
      </x:c>
      <x:c r="Z90" s="46" t="str">
        <x:v>relative peak area (%) by SAFE extraction solvent</x:v>
      </x:c>
      <x:c r="AA90" s="46"/>
    </x:row>
    <x:row r="91" ht="26.399999618530273" hidden="0" customHeight="1">
      <x:c r="A91" s="46" t="str">
        <x:v>BDF-090</x:v>
      </x:c>
      <x:c r="B91" s="46" t="str">
        <x:v>beef:fat</x:v>
      </x:c>
      <x:c r="C91" s="46" t="str">
        <x:v>beef</x:v>
      </x:c>
      <x:c r="D91" s="46" t="str">
        <x:v>abdominal subcutaneous fat</x:v>
      </x:c>
      <x:c r="E91" s="46" t="str">
        <x:v>dry-rendered at 130±5°C for 20 min</x:v>
      </x:c>
      <x:c r="F91" s="46" t="str">
        <x:v>SRC-BEEF-FAT-001</x:v>
      </x:c>
      <x:c r="G91" s="46" t="str">
        <x:v>Oxygen heterocycles</x:v>
      </x:c>
      <x:c r="H91" s="46" t="str">
        <x:v>Oxygen heterocycles</x:v>
      </x:c>
      <x:c r="I91" s="46" t="str">
        <x:v>2-Pentylfuran</x:v>
      </x:c>
      <x:c r="J91" s="46"/>
      <x:c r="K91" s="46" t="n">
        <x:v>1132</x:v>
      </x:c>
      <x:c r="L91" s="46" t="str">
        <x:v>RI/MS/S</x:v>
      </x:c>
      <x:c r="M91" s="46" t="str">
        <x:v>yes</x:v>
      </x:c>
      <x:c r="N91" s="46"/>
      <x:c r="O91" s="46"/>
      <x:c r="P91" s="46" t="str">
        <x:v>partial_no_numeric_match_factor_standard_confirmed</x:v>
      </x:c>
      <x:c r="Q91" s="46" t="str">
        <x:v>0.45±0.09b</x:v>
      </x:c>
      <x:c r="R91" s="46" t="n">
        <x:v>0.45</x:v>
      </x:c>
      <x:c r="S91" s="46" t="str">
        <x:v>0.82±0.17a</x:v>
      </x:c>
      <x:c r="T91" s="46" t="n">
        <x:v>0.82</x:v>
      </x:c>
      <x:c r="U91" s="46" t="str">
        <x:v>0.98±0.21a</x:v>
      </x:c>
      <x:c r="V91" s="46" t="n">
        <x:v>0.98</x:v>
      </x:c>
      <x:c r="W91" s="46" t="str">
        <x:v>-</x:v>
      </x:c>
      <x:c r="X91" s="46"/>
      <x:c r="Y91" s="46" t="str">
        <x:v>yes</x:v>
      </x:c>
      <x:c r="Z91" s="46" t="str">
        <x:v>relative peak area (%) by SAFE extraction solvent</x:v>
      </x:c>
      <x:c r="AA91" s="46"/>
    </x:row>
    <x:row r="92" ht="26.399999618530273" hidden="0" customHeight="1">
      <x:c r="A92" s="46" t="str">
        <x:v>BDF-091</x:v>
      </x:c>
      <x:c r="B92" s="46" t="str">
        <x:v>beef:fat</x:v>
      </x:c>
      <x:c r="C92" s="46" t="str">
        <x:v>beef</x:v>
      </x:c>
      <x:c r="D92" s="46" t="str">
        <x:v>abdominal subcutaneous fat</x:v>
      </x:c>
      <x:c r="E92" s="46" t="str">
        <x:v>dry-rendered at 130±5°C for 20 min</x:v>
      </x:c>
      <x:c r="F92" s="46" t="str">
        <x:v>SRC-BEEF-FAT-001</x:v>
      </x:c>
      <x:c r="G92" s="46" t="str">
        <x:v>Oxygen heterocycles</x:v>
      </x:c>
      <x:c r="H92" s="46" t="str">
        <x:v>Oxygen heterocycles</x:v>
      </x:c>
      <x:c r="I92" s="46" t="str">
        <x:v>Furfural</x:v>
      </x:c>
      <x:c r="J92" s="46"/>
      <x:c r="K92" s="46" t="n">
        <x:v>1463</x:v>
      </x:c>
      <x:c r="L92" s="46" t="str">
        <x:v>RI/MS/S</x:v>
      </x:c>
      <x:c r="M92" s="46" t="str">
        <x:v>yes</x:v>
      </x:c>
      <x:c r="N92" s="46"/>
      <x:c r="O92" s="46"/>
      <x:c r="P92" s="46" t="str">
        <x:v>partial_no_numeric_match_factor_standard_confirmed</x:v>
      </x:c>
      <x:c r="Q92" s="46" t="str">
        <x:v>-</x:v>
      </x:c>
      <x:c r="R92" s="46"/>
      <x:c r="S92" s="46" t="str">
        <x:v>-</x:v>
      </x:c>
      <x:c r="T92" s="46"/>
      <x:c r="U92" s="46" t="str">
        <x:v>-</x:v>
      </x:c>
      <x:c r="V92" s="46"/>
      <x:c r="W92" s="46" t="str">
        <x:v>-</x:v>
      </x:c>
      <x:c r="X92" s="46"/>
      <x:c r="Y92" s="46" t="str">
        <x:v>no</x:v>
      </x:c>
      <x:c r="Z92" s="46" t="str">
        <x:v>relative peak area (%) by SAFE extraction solvent</x:v>
      </x:c>
      <x:c r="AA92" s="46" t="str">
        <x:v>source-identified row retained even when all four quantitative cells are not detected (furfural row)</x:v>
      </x:c>
    </x:row>
    <x:row r="93" ht="26.399999618530273" hidden="0" customHeight="1">
      <x:c r="A93" s="46" t="str">
        <x:v>BDF-092</x:v>
      </x:c>
      <x:c r="B93" s="46" t="str">
        <x:v>beef:fat</x:v>
      </x:c>
      <x:c r="C93" s="46" t="str">
        <x:v>beef</x:v>
      </x:c>
      <x:c r="D93" s="46" t="str">
        <x:v>abdominal subcutaneous fat</x:v>
      </x:c>
      <x:c r="E93" s="46" t="str">
        <x:v>dry-rendered at 130±5°C for 20 min</x:v>
      </x:c>
      <x:c r="F93" s="46" t="str">
        <x:v>SRC-BEEF-FAT-001</x:v>
      </x:c>
      <x:c r="G93" s="46" t="str">
        <x:v>Oxygen heterocycles</x:v>
      </x:c>
      <x:c r="H93" s="46" t="str">
        <x:v>Oxygen heterocycles</x:v>
      </x:c>
      <x:c r="I93" s="46" t="str">
        <x:v>Furfuryl alcohol</x:v>
      </x:c>
      <x:c r="J93" s="46"/>
      <x:c r="K93" s="46" t="n">
        <x:v>1670</x:v>
      </x:c>
      <x:c r="L93" s="46" t="str">
        <x:v>RI/MS</x:v>
      </x:c>
      <x:c r="M93" s="46" t="str">
        <x:v>no</x:v>
      </x:c>
      <x:c r="N93" s="46"/>
      <x:c r="O93" s="46"/>
      <x:c r="P93" s="46" t="str">
        <x:v>partial_no_numeric_match_factor</x:v>
      </x:c>
      <x:c r="Q93" s="46" t="str">
        <x:v>0.05±0.01a</x:v>
      </x:c>
      <x:c r="R93" s="46" t="n">
        <x:v>0.05</x:v>
      </x:c>
      <x:c r="S93" s="46" t="str">
        <x:v>0.07±0.02a</x:v>
      </x:c>
      <x:c r="T93" s="46" t="n">
        <x:v>0.07</x:v>
      </x:c>
      <x:c r="U93" s="46" t="str">
        <x:v>0.06±0.02a</x:v>
      </x:c>
      <x:c r="V93" s="46" t="n">
        <x:v>0.06</x:v>
      </x:c>
      <x:c r="W93" s="46" t="str">
        <x:v>-</x:v>
      </x:c>
      <x:c r="X93" s="46"/>
      <x:c r="Y93" s="46" t="str">
        <x:v>yes</x:v>
      </x:c>
      <x:c r="Z93" s="46" t="str">
        <x:v>relative peak area (%) by SAFE extraction solvent</x:v>
      </x:c>
      <x:c r="AA93" s="46"/>
    </x:row>
    <x:row r="94" ht="26.399999618530273" hidden="0" customHeight="1">
      <x:c r="A94" s="46" t="str">
        <x:v>BDF-093</x:v>
      </x:c>
      <x:c r="B94" s="46" t="str">
        <x:v>beef:fat</x:v>
      </x:c>
      <x:c r="C94" s="46" t="str">
        <x:v>beef</x:v>
      </x:c>
      <x:c r="D94" s="46" t="str">
        <x:v>abdominal subcutaneous fat</x:v>
      </x:c>
      <x:c r="E94" s="46" t="str">
        <x:v>dry-rendered at 130±5°C for 20 min</x:v>
      </x:c>
      <x:c r="F94" s="46" t="str">
        <x:v>SRC-BEEF-FAT-001</x:v>
      </x:c>
      <x:c r="G94" s="46" t="str">
        <x:v>Oxygen heterocycles</x:v>
      </x:c>
      <x:c r="H94" s="46" t="str">
        <x:v>Oxygen heterocycles</x:v>
      </x:c>
      <x:c r="I94" s="46" t="str">
        <x:v>2,5-Dimethyl-4-hydroxy-3(2H)-furanone</x:v>
      </x:c>
      <x:c r="J94" s="46"/>
      <x:c r="K94" s="46" t="n">
        <x:v>2036</x:v>
      </x:c>
      <x:c r="L94" s="46" t="str">
        <x:v>RI/MS</x:v>
      </x:c>
      <x:c r="M94" s="46" t="str">
        <x:v>no</x:v>
      </x:c>
      <x:c r="N94" s="46"/>
      <x:c r="O94" s="46"/>
      <x:c r="P94" s="46" t="str">
        <x:v>partial_no_numeric_match_factor</x:v>
      </x:c>
      <x:c r="Q94" s="46" t="str">
        <x:v>0.40±0.10b</x:v>
      </x:c>
      <x:c r="R94" s="46" t="n">
        <x:v>0.4</x:v>
      </x:c>
      <x:c r="S94" s="46" t="str">
        <x:v>0.90±0.25a</x:v>
      </x:c>
      <x:c r="T94" s="46" t="n">
        <x:v>0.9</x:v>
      </x:c>
      <x:c r="U94" s="46" t="str">
        <x:v>1.07±0.39a</x:v>
      </x:c>
      <x:c r="V94" s="46" t="n">
        <x:v>1.07</x:v>
      </x:c>
      <x:c r="W94" s="46" t="str">
        <x:v>-</x:v>
      </x:c>
      <x:c r="X94" s="46"/>
      <x:c r="Y94" s="46" t="str">
        <x:v>yes</x:v>
      </x:c>
      <x:c r="Z94" s="46" t="str">
        <x:v>relative peak area (%) by SAFE extraction solvent</x:v>
      </x:c>
      <x:c r="AA94" s="46"/>
    </x:row>
    <x:row r="95" ht="26.399999618530273" hidden="0" customHeight="1">
      <x:c r="A95" s="46" t="str">
        <x:v>BDF-094</x:v>
      </x:c>
      <x:c r="B95" s="46" t="str">
        <x:v>beef:fat</x:v>
      </x:c>
      <x:c r="C95" s="46" t="str">
        <x:v>beef</x:v>
      </x:c>
      <x:c r="D95" s="46" t="str">
        <x:v>abdominal subcutaneous fat</x:v>
      </x:c>
      <x:c r="E95" s="46" t="str">
        <x:v>dry-rendered at 130±5°C for 20 min</x:v>
      </x:c>
      <x:c r="F95" s="46" t="str">
        <x:v>SRC-BEEF-FAT-001</x:v>
      </x:c>
      <x:c r="G95" s="46" t="str">
        <x:v>Others</x:v>
      </x:c>
      <x:c r="H95" s="46" t="str">
        <x:v>Phenols</x:v>
      </x:c>
      <x:c r="I95" s="46" t="str">
        <x:v>Phenol</x:v>
      </x:c>
      <x:c r="J95" s="46"/>
      <x:c r="K95" s="46" t="n">
        <x:v>1972</x:v>
      </x:c>
      <x:c r="L95" s="46" t="str">
        <x:v>RI/MS</x:v>
      </x:c>
      <x:c r="M95" s="46" t="str">
        <x:v>no</x:v>
      </x:c>
      <x:c r="N95" s="46"/>
      <x:c r="O95" s="46"/>
      <x:c r="P95" s="46" t="str">
        <x:v>partial_no_numeric_match_factor</x:v>
      </x:c>
      <x:c r="Q95" s="46" t="str">
        <x:v>0.08±0.02b</x:v>
      </x:c>
      <x:c r="R95" s="46" t="n">
        <x:v>0.08</x:v>
      </x:c>
      <x:c r="S95" s="46" t="str">
        <x:v>0.04±0.01c</x:v>
      </x:c>
      <x:c r="T95" s="46" t="n">
        <x:v>0.04</x:v>
      </x:c>
      <x:c r="U95" s="46" t="str">
        <x:v>0.22±0.08a</x:v>
      </x:c>
      <x:c r="V95" s="46" t="n">
        <x:v>0.22</x:v>
      </x:c>
      <x:c r="W95" s="46" t="str">
        <x:v>0.09±0.04b</x:v>
      </x:c>
      <x:c r="X95" s="46" t="n">
        <x:v>0.09</x:v>
      </x:c>
      <x:c r="Y95" s="46" t="str">
        <x:v>yes</x:v>
      </x:c>
      <x:c r="Z95" s="46" t="str">
        <x:v>relative peak area (%) by SAFE extraction solvent</x:v>
      </x:c>
      <x:c r="AA95" s="46"/>
    </x:row>
    <x:row r="96" ht="26.399999618530273" hidden="0" customHeight="1">
      <x:c r="A96" s="46" t="str">
        <x:v>BDF-095</x:v>
      </x:c>
      <x:c r="B96" s="46" t="str">
        <x:v>beef:fat</x:v>
      </x:c>
      <x:c r="C96" s="46" t="str">
        <x:v>beef</x:v>
      </x:c>
      <x:c r="D96" s="46" t="str">
        <x:v>abdominal subcutaneous fat</x:v>
      </x:c>
      <x:c r="E96" s="46" t="str">
        <x:v>dry-rendered at 130±5°C for 20 min</x:v>
      </x:c>
      <x:c r="F96" s="46" t="str">
        <x:v>SRC-BEEF-FAT-001</x:v>
      </x:c>
      <x:c r="G96" s="46" t="str">
        <x:v>Others</x:v>
      </x:c>
      <x:c r="H96" s="46" t="str">
        <x:v>Phenols</x:v>
      </x:c>
      <x:c r="I96" s="46" t="str">
        <x:v>p-Cresol</x:v>
      </x:c>
      <x:c r="J96" s="46"/>
      <x:c r="K96" s="46" t="n">
        <x:v>2080</x:v>
      </x:c>
      <x:c r="L96" s="46" t="str">
        <x:v>RI/MS/S</x:v>
      </x:c>
      <x:c r="M96" s="46" t="str">
        <x:v>yes</x:v>
      </x:c>
      <x:c r="N96" s="46"/>
      <x:c r="O96" s="46"/>
      <x:c r="P96" s="46" t="str">
        <x:v>partial_no_numeric_match_factor_standard_confirmed</x:v>
      </x:c>
      <x:c r="Q96" s="46" t="str">
        <x:v>0.11±0.03c</x:v>
      </x:c>
      <x:c r="R96" s="46" t="n">
        <x:v>0.11</x:v>
      </x:c>
      <x:c r="S96" s="46" t="str">
        <x:v>0.49±0.14b</x:v>
      </x:c>
      <x:c r="T96" s="46" t="n">
        <x:v>0.49</x:v>
      </x:c>
      <x:c r="U96" s="46" t="str">
        <x:v>0.62±0.22a</x:v>
      </x:c>
      <x:c r="V96" s="46" t="n">
        <x:v>0.62</x:v>
      </x:c>
      <x:c r="W96" s="46" t="str">
        <x:v>0.31±0.07b</x:v>
      </x:c>
      <x:c r="X96" s="46" t="n">
        <x:v>0.31</x:v>
      </x:c>
      <x:c r="Y96" s="46" t="str">
        <x:v>yes</x:v>
      </x:c>
      <x:c r="Z96" s="46" t="str">
        <x:v>relative peak area (%) by SAFE extraction solvent</x:v>
      </x:c>
      <x:c r="AA96" s="46"/>
    </x:row>
    <x:row r="97" ht="26.399999618530273" hidden="0" customHeight="1">
      <x:c r="A97" s="46" t="str">
        <x:v>BDF-096</x:v>
      </x:c>
      <x:c r="B97" s="46" t="str">
        <x:v>beef:fat</x:v>
      </x:c>
      <x:c r="C97" s="46" t="str">
        <x:v>beef</x:v>
      </x:c>
      <x:c r="D97" s="46" t="str">
        <x:v>abdominal subcutaneous fat</x:v>
      </x:c>
      <x:c r="E97" s="46" t="str">
        <x:v>dry-rendered at 130±5°C for 20 min</x:v>
      </x:c>
      <x:c r="F97" s="46" t="str">
        <x:v>SRC-BEEF-FAT-001</x:v>
      </x:c>
      <x:c r="G97" s="46" t="str">
        <x:v>Others</x:v>
      </x:c>
      <x:c r="H97" s="46" t="str">
        <x:v>Phenols</x:v>
      </x:c>
      <x:c r="I97" s="46" t="str">
        <x:v>3-Methylphenol</x:v>
      </x:c>
      <x:c r="J97" s="46"/>
      <x:c r="K97" s="46" t="n">
        <x:v>2129</x:v>
      </x:c>
      <x:c r="L97" s="46" t="str">
        <x:v>RI/MS/S</x:v>
      </x:c>
      <x:c r="M97" s="46" t="str">
        <x:v>yes</x:v>
      </x:c>
      <x:c r="N97" s="46"/>
      <x:c r="O97" s="46"/>
      <x:c r="P97" s="46" t="str">
        <x:v>partial_no_numeric_match_factor_standard_confirmed</x:v>
      </x:c>
      <x:c r="Q97" s="46" t="str">
        <x:v>-</x:v>
      </x:c>
      <x:c r="R97" s="46"/>
      <x:c r="S97" s="46" t="str">
        <x:v>-</x:v>
      </x:c>
      <x:c r="T97" s="46"/>
      <x:c r="U97" s="46" t="str">
        <x:v>-</x:v>
      </x:c>
      <x:c r="V97" s="46"/>
      <x:c r="W97" s="46" t="str">
        <x:v>0.14±0.05</x:v>
      </x:c>
      <x:c r="X97" s="46" t="n">
        <x:v>0.14</x:v>
      </x:c>
      <x:c r="Y97" s="46" t="str">
        <x:v>yes</x:v>
      </x:c>
      <x:c r="Z97" s="46" t="str">
        <x:v>relative peak area (%) by SAFE extraction solvent</x:v>
      </x:c>
      <x:c r="AA97" s="46"/>
    </x:row>
  </x:sheetData>
  <x:pageMargins left="0.7" right="0.7" top="0.75" bottom="0.75" header="0.3" footer="0.3"/>
  <x:tableParts count="1">
    <x:tablePart xmlns:r="http://schemas.openxmlformats.org/officeDocument/2006/relationships" r:id="Rc09fd19be5594cb9"/>
  </x:tableParts>
</x:worksheet>
</file>

<file path=xl/worksheets/sheet52.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8" hidden="0" customWidth="1"/>
    <x:col min="5" max="5" width="36" hidden="0" customWidth="1"/>
    <x:col min="6" max="6" width="27" hidden="0" customWidth="1"/>
    <x:col min="7" max="7" width="22" hidden="0" customWidth="1"/>
    <x:col min="8" max="8" width="38" hidden="0" customWidth="1"/>
    <x:col min="9" max="9" width="14" hidden="0" customWidth="1"/>
    <x:col min="10" max="10" width="12" hidden="0" customWidth="1"/>
    <x:col min="11" max="11" width="20" hidden="0" customWidth="1"/>
    <x:col min="12" max="12" width="18" hidden="0" customWidth="1"/>
    <x:col min="13" max="13" width="20" hidden="0" customWidth="1"/>
    <x:col min="14" max="14" width="32" hidden="0" customWidth="1"/>
    <x:col min="15" max="15" width="18" hidden="0" customWidth="1"/>
    <x:col min="16" max="16" width="18" hidden="0" customWidth="1"/>
    <x:col min="17" max="17" width="12" hidden="0" customWidth="1"/>
    <x:col min="18" max="18" width="12" hidden="0" customWidth="1"/>
    <x:col min="19" max="19" width="12" hidden="0" customWidth="1"/>
    <x:col min="20" max="20" width="12" hidden="0" customWidth="1"/>
    <x:col min="21" max="21" width="30" hidden="0" customWidth="1"/>
    <x:col min="22" max="22" width="14" hidden="0" customWidth="1"/>
    <x:col min="23" max="23" width="58" hidden="0" customWidth="1"/>
  </x:cols>
  <x:sheetData>
    <x:row r="1" ht="26.399999618530273" hidden="0" customHeight="1">
      <x:c r="A1" s="139" t="str">
        <x:v>detected_record_id</x:v>
      </x:c>
      <x:c r="B1" s="139" t="str">
        <x:v>product_id</x:v>
      </x:c>
      <x:c r="C1" s="139" t="str">
        <x:v>protein</x:v>
      </x:c>
      <x:c r="D1" s="139" t="str">
        <x:v>material</x:v>
      </x:c>
      <x:c r="E1" s="139" t="str">
        <x:v>processing_comparison</x:v>
      </x:c>
      <x:c r="F1" s="139" t="str">
        <x:v>source_id</x:v>
      </x:c>
      <x:c r="G1" s="139" t="str">
        <x:v>compound_group</x:v>
      </x:c>
      <x:c r="H1" s="139" t="str">
        <x:v>compound_name</x:v>
      </x:c>
      <x:c r="I1" s="139" t="str">
        <x:v>cas</x:v>
      </x:c>
      <x:c r="J1" s="139" t="str">
        <x:v>ri_db_wax</x:v>
      </x:c>
      <x:c r="K1" s="139" t="str">
        <x:v>identification_method</x:v>
      </x:c>
      <x:c r="L1" s="139" t="str">
        <x:v>numeric_match_factor</x:v>
      </x:c>
      <x:c r="M1" s="139" t="str">
        <x:v>source_match_quality_floor_pct</x:v>
      </x:c>
      <x:c r="N1" s="139" t="str">
        <x:v>mr09_identification_status</x:v>
      </x:c>
      <x:c r="O1" s="139" t="str">
        <x:v>t1_smoked_spiced_ng_g</x:v>
      </x:c>
      <x:c r="P1" s="139" t="str">
        <x:v>t2_unsmoked_unspiced_ng_g</x:v>
      </x:c>
      <x:c r="Q1" s="139" t="str">
        <x:v>sem</x:v>
      </x:c>
      <x:c r="R1" s="139" t="str">
        <x:v>p_level</x:v>
      </x:c>
      <x:c r="S1" s="139" t="str">
        <x:v>t1_detected</x:v>
      </x:c>
      <x:c r="T1" s="139" t="str">
        <x:v>t2_detected</x:v>
      </x:c>
      <x:c r="U1" s="139" t="str">
        <x:v>processing_role</x:v>
      </x:c>
      <x:c r="V1" s="139" t="str">
        <x:v>unit</x:v>
      </x:c>
      <x:c r="W1" s="139" t="str">
        <x:v>notes</x:v>
      </x:c>
    </x:row>
    <x:row r="2" ht="26.399999618530273" hidden="0" customHeight="1">
      <x:c r="A2" s="46" t="str">
        <x:v>BDC-001</x:v>
      </x:c>
      <x:c r="B2" s="46" t="str">
        <x:v>beef:muscle</x:v>
      </x:c>
      <x:c r="C2" s="46" t="str">
        <x:v>beef</x:v>
      </x:c>
      <x:c r="D2" s="46" t="str">
        <x:v>dry-cured beef strips</x:v>
      </x:c>
      <x:c r="E2" s="46" t="str">
        <x:v>T1 smoked + spices vs T2 unsmoked + unspiced</x:v>
      </x:c>
      <x:c r="F2" s="46" t="str">
        <x:v>SRC-BEEF-CURE-SMOKE-001</x:v>
      </x:c>
      <x:c r="G2" s="46" t="str">
        <x:v>Hydrocarbons</x:v>
      </x:c>
      <x:c r="H2" s="46" t="str">
        <x:v>Hexane</x:v>
      </x:c>
      <x:c r="I2" s="46"/>
      <x:c r="J2" s="46" t="n">
        <x:v>806</x:v>
      </x:c>
      <x:c r="K2" s="46" t="str">
        <x:v>MS</x:v>
      </x:c>
      <x:c r="L2" s="46"/>
      <x:c r="M2" s="46"/>
      <x:c r="N2" s="46" t="str">
        <x:v>partial_ms_only_no_numeric_match_factor</x:v>
      </x:c>
      <x:c r="O2" s="46" t="n">
        <x:v>29.61</x:v>
      </x:c>
      <x:c r="P2" s="46" t="n">
        <x:v>41.78</x:v>
      </x:c>
      <x:c r="Q2" s="46" t="n">
        <x:v>4.17</x:v>
      </x:c>
      <x:c r="R2" s="46" t="str">
        <x:v>NS</x:v>
      </x:c>
      <x:c r="S2" s="46" t="str">
        <x:v>yes</x:v>
      </x:c>
      <x:c r="T2" s="46" t="str">
        <x:v>yes</x:v>
      </x:c>
      <x:c r="U2" s="46"/>
      <x:c r="V2" s="46" t="str">
        <x:v>ng/g dry matter</x:v>
      </x:c>
      <x:c r="W2" s="46"/>
    </x:row>
    <x:row r="3" ht="26.399999618530273" hidden="0" customHeight="1">
      <x:c r="A3" s="46" t="str">
        <x:v>BDC-002</x:v>
      </x:c>
      <x:c r="B3" s="46" t="str">
        <x:v>beef:muscle</x:v>
      </x:c>
      <x:c r="C3" s="46" t="str">
        <x:v>beef</x:v>
      </x:c>
      <x:c r="D3" s="46" t="str">
        <x:v>dry-cured beef strips</x:v>
      </x:c>
      <x:c r="E3" s="46" t="str">
        <x:v>T1 smoked + spices vs T2 unsmoked + unspiced</x:v>
      </x:c>
      <x:c r="F3" s="46" t="str">
        <x:v>SRC-BEEF-CURE-SMOKE-001</x:v>
      </x:c>
      <x:c r="G3" s="46" t="str">
        <x:v>Hydrocarbons</x:v>
      </x:c>
      <x:c r="H3" s="46" t="str">
        <x:v>Trichloromethane</x:v>
      </x:c>
      <x:c r="I3" s="46"/>
      <x:c r="J3" s="46" t="n">
        <x:v>924</x:v>
      </x:c>
      <x:c r="K3" s="46" t="str">
        <x:v>MS</x:v>
      </x:c>
      <x:c r="L3" s="46"/>
      <x:c r="M3" s="46"/>
      <x:c r="N3" s="46" t="str">
        <x:v>partial_ms_only_no_numeric_match_factor</x:v>
      </x:c>
      <x:c r="O3" s="46"/>
      <x:c r="P3" s="46" t="n">
        <x:v>2.66</x:v>
      </x:c>
      <x:c r="Q3" s="46" t="n">
        <x:v>0.77</x:v>
      </x:c>
      <x:c r="R3" s="46" t="str">
        <x:v>-</x:v>
      </x:c>
      <x:c r="S3" s="46" t="str">
        <x:v>no</x:v>
      </x:c>
      <x:c r="T3" s="46" t="str">
        <x:v>yes</x:v>
      </x:c>
      <x:c r="U3" s="46"/>
      <x:c r="V3" s="46" t="str">
        <x:v>ng/g dry matter</x:v>
      </x:c>
      <x:c r="W3" s="46"/>
    </x:row>
    <x:row r="4" ht="26.399999618530273" hidden="0" customHeight="1">
      <x:c r="A4" s="46" t="str">
        <x:v>BDC-003</x:v>
      </x:c>
      <x:c r="B4" s="46" t="str">
        <x:v>beef:muscle</x:v>
      </x:c>
      <x:c r="C4" s="46" t="str">
        <x:v>beef</x:v>
      </x:c>
      <x:c r="D4" s="46" t="str">
        <x:v>dry-cured beef strips</x:v>
      </x:c>
      <x:c r="E4" s="46" t="str">
        <x:v>T1 smoked + spices vs T2 unsmoked + unspiced</x:v>
      </x:c>
      <x:c r="F4" s="46" t="str">
        <x:v>SRC-BEEF-CURE-SMOKE-001</x:v>
      </x:c>
      <x:c r="G4" s="46" t="str">
        <x:v>Hydrocarbons</x:v>
      </x:c>
      <x:c r="H4" s="46" t="str">
        <x:v>alpha-Pinene</x:v>
      </x:c>
      <x:c r="I4" s="46"/>
      <x:c r="J4" s="46" t="n">
        <x:v>1019</x:v>
      </x:c>
      <x:c r="K4" s="46" t="str">
        <x:v>MS;RI</x:v>
      </x:c>
      <x:c r="L4" s="46"/>
      <x:c r="M4" s="46"/>
      <x:c r="N4" s="46" t="str">
        <x:v>partial_no_numeric_match_factor_with_ri</x:v>
      </x:c>
      <x:c r="O4" s="46" t="n">
        <x:v>35.41</x:v>
      </x:c>
      <x:c r="P4" s="46"/>
      <x:c r="Q4" s="46" t="n">
        <x:v>8.09</x:v>
      </x:c>
      <x:c r="R4" s="46" t="str">
        <x:v>-</x:v>
      </x:c>
      <x:c r="S4" s="46" t="str">
        <x:v>yes</x:v>
      </x:c>
      <x:c r="T4" s="46" t="str">
        <x:v>no</x:v>
      </x:c>
      <x:c r="U4" s="46"/>
      <x:c r="V4" s="46" t="str">
        <x:v>ng/g dry matter</x:v>
      </x:c>
      <x:c r="W4" s="46"/>
    </x:row>
    <x:row r="5" ht="26.399999618530273" hidden="0" customHeight="1">
      <x:c r="A5" s="46" t="str">
        <x:v>BDC-004</x:v>
      </x:c>
      <x:c r="B5" s="46" t="str">
        <x:v>beef:muscle</x:v>
      </x:c>
      <x:c r="C5" s="46" t="str">
        <x:v>beef</x:v>
      </x:c>
      <x:c r="D5" s="46" t="str">
        <x:v>dry-cured beef strips</x:v>
      </x:c>
      <x:c r="E5" s="46" t="str">
        <x:v>T1 smoked + spices vs T2 unsmoked + unspiced</x:v>
      </x:c>
      <x:c r="F5" s="46" t="str">
        <x:v>SRC-BEEF-CURE-SMOKE-001</x:v>
      </x:c>
      <x:c r="G5" s="46" t="str">
        <x:v>Hydrocarbons</x:v>
      </x:c>
      <x:c r="H5" s="46" t="str">
        <x:v>alpha-Phellandrene</x:v>
      </x:c>
      <x:c r="I5" s="46"/>
      <x:c r="J5" s="46" t="n">
        <x:v>1024</x:v>
      </x:c>
      <x:c r="K5" s="46" t="str">
        <x:v>MS</x:v>
      </x:c>
      <x:c r="L5" s="46"/>
      <x:c r="M5" s="46"/>
      <x:c r="N5" s="46" t="str">
        <x:v>partial_ms_only_no_numeric_match_factor</x:v>
      </x:c>
      <x:c r="O5" s="46" t="n">
        <x:v>10.32</x:v>
      </x:c>
      <x:c r="P5" s="46"/>
      <x:c r="Q5" s="46" t="n">
        <x:v>1.87</x:v>
      </x:c>
      <x:c r="R5" s="46" t="str">
        <x:v>-</x:v>
      </x:c>
      <x:c r="S5" s="46" t="str">
        <x:v>yes</x:v>
      </x:c>
      <x:c r="T5" s="46" t="str">
        <x:v>no</x:v>
      </x:c>
      <x:c r="U5" s="46"/>
      <x:c r="V5" s="46" t="str">
        <x:v>ng/g dry matter</x:v>
      </x:c>
      <x:c r="W5" s="46"/>
    </x:row>
    <x:row r="6" ht="26.399999618530273" hidden="0" customHeight="1">
      <x:c r="A6" s="46" t="str">
        <x:v>BDC-005</x:v>
      </x:c>
      <x:c r="B6" s="46" t="str">
        <x:v>beef:muscle</x:v>
      </x:c>
      <x:c r="C6" s="46" t="str">
        <x:v>beef</x:v>
      </x:c>
      <x:c r="D6" s="46" t="str">
        <x:v>dry-cured beef strips</x:v>
      </x:c>
      <x:c r="E6" s="46" t="str">
        <x:v>T1 smoked + spices vs T2 unsmoked + unspiced</x:v>
      </x:c>
      <x:c r="F6" s="46" t="str">
        <x:v>SRC-BEEF-CURE-SMOKE-001</x:v>
      </x:c>
      <x:c r="G6" s="46" t="str">
        <x:v>Hydrocarbons</x:v>
      </x:c>
      <x:c r="H6" s="46" t="str">
        <x:v>Toluene</x:v>
      </x:c>
      <x:c r="I6" s="46"/>
      <x:c r="J6" s="46" t="n">
        <x:v>1037</x:v>
      </x:c>
      <x:c r="K6" s="46" t="str">
        <x:v>MS;RI</x:v>
      </x:c>
      <x:c r="L6" s="46"/>
      <x:c r="M6" s="46"/>
      <x:c r="N6" s="46" t="str">
        <x:v>partial_no_numeric_match_factor_with_ri</x:v>
      </x:c>
      <x:c r="O6" s="46" t="n">
        <x:v>48.9</x:v>
      </x:c>
      <x:c r="P6" s="46" t="n">
        <x:v>29.42</x:v>
      </x:c>
      <x:c r="Q6" s="46" t="n">
        <x:v>5.93</x:v>
      </x:c>
      <x:c r="R6" s="46" t="str">
        <x:v>NS</x:v>
      </x:c>
      <x:c r="S6" s="46" t="str">
        <x:v>yes</x:v>
      </x:c>
      <x:c r="T6" s="46" t="str">
        <x:v>yes</x:v>
      </x:c>
      <x:c r="U6" s="46"/>
      <x:c r="V6" s="46" t="str">
        <x:v>ng/g dry matter</x:v>
      </x:c>
      <x:c r="W6" s="46"/>
    </x:row>
    <x:row r="7" ht="26.399999618530273" hidden="0" customHeight="1">
      <x:c r="A7" s="46" t="str">
        <x:v>BDC-006</x:v>
      </x:c>
      <x:c r="B7" s="46" t="str">
        <x:v>beef:muscle</x:v>
      </x:c>
      <x:c r="C7" s="46" t="str">
        <x:v>beef</x:v>
      </x:c>
      <x:c r="D7" s="46" t="str">
        <x:v>dry-cured beef strips</x:v>
      </x:c>
      <x:c r="E7" s="46" t="str">
        <x:v>T1 smoked + spices vs T2 unsmoked + unspiced</x:v>
      </x:c>
      <x:c r="F7" s="46" t="str">
        <x:v>SRC-BEEF-CURE-SMOKE-001</x:v>
      </x:c>
      <x:c r="G7" s="46" t="str">
        <x:v>Hydrocarbons</x:v>
      </x:c>
      <x:c r="H7" s="46" t="str">
        <x:v>Undecane</x:v>
      </x:c>
      <x:c r="I7" s="46"/>
      <x:c r="J7" s="46" t="n">
        <x:v>1088</x:v>
      </x:c>
      <x:c r="K7" s="46" t="str">
        <x:v>MS;RI</x:v>
      </x:c>
      <x:c r="L7" s="46"/>
      <x:c r="M7" s="46"/>
      <x:c r="N7" s="46" t="str">
        <x:v>partial_no_numeric_match_factor_with_ri</x:v>
      </x:c>
      <x:c r="O7" s="46" t="n">
        <x:v>69.16</x:v>
      </x:c>
      <x:c r="P7" s="46" t="n">
        <x:v>24.31</x:v>
      </x:c>
      <x:c r="Q7" s="46" t="n">
        <x:v>10.44</x:v>
      </x:c>
      <x:c r="R7" s="46" t="str">
        <x:v>*</x:v>
      </x:c>
      <x:c r="S7" s="46" t="str">
        <x:v>yes</x:v>
      </x:c>
      <x:c r="T7" s="46" t="str">
        <x:v>yes</x:v>
      </x:c>
      <x:c r="U7" s="46"/>
      <x:c r="V7" s="46" t="str">
        <x:v>ng/g dry matter</x:v>
      </x:c>
      <x:c r="W7" s="46"/>
    </x:row>
    <x:row r="8" ht="26.399999618530273" hidden="0" customHeight="1">
      <x:c r="A8" s="46" t="str">
        <x:v>BDC-007</x:v>
      </x:c>
      <x:c r="B8" s="46" t="str">
        <x:v>beef:muscle</x:v>
      </x:c>
      <x:c r="C8" s="46" t="str">
        <x:v>beef</x:v>
      </x:c>
      <x:c r="D8" s="46" t="str">
        <x:v>dry-cured beef strips</x:v>
      </x:c>
      <x:c r="E8" s="46" t="str">
        <x:v>T1 smoked + spices vs T2 unsmoked + unspiced</x:v>
      </x:c>
      <x:c r="F8" s="46" t="str">
        <x:v>SRC-BEEF-CURE-SMOKE-001</x:v>
      </x:c>
      <x:c r="G8" s="46" t="str">
        <x:v>Hydrocarbons</x:v>
      </x:c>
      <x:c r="H8" s="46" t="str">
        <x:v>beta-Pinene</x:v>
      </x:c>
      <x:c r="I8" s="46"/>
      <x:c r="J8" s="46" t="n">
        <x:v>1100</x:v>
      </x:c>
      <x:c r="K8" s="46" t="str">
        <x:v>MS;RI</x:v>
      </x:c>
      <x:c r="L8" s="46"/>
      <x:c r="M8" s="46"/>
      <x:c r="N8" s="46" t="str">
        <x:v>partial_no_numeric_match_factor_with_ri</x:v>
      </x:c>
      <x:c r="O8" s="46" t="n">
        <x:v>47.69</x:v>
      </x:c>
      <x:c r="P8" s="46"/>
      <x:c r="Q8" s="46" t="n">
        <x:v>10.71</x:v>
      </x:c>
      <x:c r="R8" s="46" t="str">
        <x:v>-</x:v>
      </x:c>
      <x:c r="S8" s="46" t="str">
        <x:v>yes</x:v>
      </x:c>
      <x:c r="T8" s="46" t="str">
        <x:v>no</x:v>
      </x:c>
      <x:c r="U8" s="46"/>
      <x:c r="V8" s="46" t="str">
        <x:v>ng/g dry matter</x:v>
      </x:c>
      <x:c r="W8" s="46"/>
    </x:row>
    <x:row r="9" ht="26.399999618530273" hidden="0" customHeight="1">
      <x:c r="A9" s="46" t="str">
        <x:v>BDC-008</x:v>
      </x:c>
      <x:c r="B9" s="46" t="str">
        <x:v>beef:muscle</x:v>
      </x:c>
      <x:c r="C9" s="46" t="str">
        <x:v>beef</x:v>
      </x:c>
      <x:c r="D9" s="46" t="str">
        <x:v>dry-cured beef strips</x:v>
      </x:c>
      <x:c r="E9" s="46" t="str">
        <x:v>T1 smoked + spices vs T2 unsmoked + unspiced</x:v>
      </x:c>
      <x:c r="F9" s="46" t="str">
        <x:v>SRC-BEEF-CURE-SMOKE-001</x:v>
      </x:c>
      <x:c r="G9" s="46" t="str">
        <x:v>Hydrocarbons</x:v>
      </x:c>
      <x:c r="H9" s="46" t="str">
        <x:v>beta-Phellandrene</x:v>
      </x:c>
      <x:c r="I9" s="46"/>
      <x:c r="J9" s="46" t="n">
        <x:v>1115</x:v>
      </x:c>
      <x:c r="K9" s="46" t="str">
        <x:v>MS;RI</x:v>
      </x:c>
      <x:c r="L9" s="46"/>
      <x:c r="M9" s="46"/>
      <x:c r="N9" s="46" t="str">
        <x:v>partial_no_numeric_match_factor_with_ri</x:v>
      </x:c>
      <x:c r="O9" s="46" t="n">
        <x:v>17.17</x:v>
      </x:c>
      <x:c r="P9" s="46"/>
      <x:c r="Q9" s="46" t="n">
        <x:v>2.94</x:v>
      </x:c>
      <x:c r="R9" s="46" t="str">
        <x:v>-</x:v>
      </x:c>
      <x:c r="S9" s="46" t="str">
        <x:v>yes</x:v>
      </x:c>
      <x:c r="T9" s="46" t="str">
        <x:v>no</x:v>
      </x:c>
      <x:c r="U9" s="46"/>
      <x:c r="V9" s="46" t="str">
        <x:v>ng/g dry matter</x:v>
      </x:c>
      <x:c r="W9" s="46"/>
    </x:row>
    <x:row r="10" ht="26.399999618530273" hidden="0" customHeight="1">
      <x:c r="A10" s="46" t="str">
        <x:v>BDC-009</x:v>
      </x:c>
      <x:c r="B10" s="46" t="str">
        <x:v>beef:muscle</x:v>
      </x:c>
      <x:c r="C10" s="46" t="str">
        <x:v>beef</x:v>
      </x:c>
      <x:c r="D10" s="46" t="str">
        <x:v>dry-cured beef strips</x:v>
      </x:c>
      <x:c r="E10" s="46" t="str">
        <x:v>T1 smoked + spices vs T2 unsmoked + unspiced</x:v>
      </x:c>
      <x:c r="F10" s="46" t="str">
        <x:v>SRC-BEEF-CURE-SMOKE-001</x:v>
      </x:c>
      <x:c r="G10" s="46" t="str">
        <x:v>Hydrocarbons</x:v>
      </x:c>
      <x:c r="H10" s="46" t="str">
        <x:v>Ethylbenzene</x:v>
      </x:c>
      <x:c r="I10" s="46"/>
      <x:c r="J10" s="46" t="n">
        <x:v>1123</x:v>
      </x:c>
      <x:c r="K10" s="46" t="str">
        <x:v>MS;RI</x:v>
      </x:c>
      <x:c r="L10" s="46"/>
      <x:c r="M10" s="46"/>
      <x:c r="N10" s="46" t="str">
        <x:v>partial_no_numeric_match_factor_with_ri</x:v>
      </x:c>
      <x:c r="O10" s="46" t="n">
        <x:v>29.29</x:v>
      </x:c>
      <x:c r="P10" s="46" t="n">
        <x:v>11.74</x:v>
      </x:c>
      <x:c r="Q10" s="46" t="n">
        <x:v>4.53</x:v>
      </x:c>
      <x:c r="R10" s="46" t="str">
        <x:v>NS</x:v>
      </x:c>
      <x:c r="S10" s="46" t="str">
        <x:v>yes</x:v>
      </x:c>
      <x:c r="T10" s="46" t="str">
        <x:v>yes</x:v>
      </x:c>
      <x:c r="U10" s="46"/>
      <x:c r="V10" s="46" t="str">
        <x:v>ng/g dry matter</x:v>
      </x:c>
      <x:c r="W10" s="46"/>
    </x:row>
    <x:row r="11" ht="26.399999618530273" hidden="0" customHeight="1">
      <x:c r="A11" s="46" t="str">
        <x:v>BDC-010</x:v>
      </x:c>
      <x:c r="B11" s="46" t="str">
        <x:v>beef:muscle</x:v>
      </x:c>
      <x:c r="C11" s="46" t="str">
        <x:v>beef</x:v>
      </x:c>
      <x:c r="D11" s="46" t="str">
        <x:v>dry-cured beef strips</x:v>
      </x:c>
      <x:c r="E11" s="46" t="str">
        <x:v>T1 smoked + spices vs T2 unsmoked + unspiced</x:v>
      </x:c>
      <x:c r="F11" s="46" t="str">
        <x:v>SRC-BEEF-CURE-SMOKE-001</x:v>
      </x:c>
      <x:c r="G11" s="46" t="str">
        <x:v>Hydrocarbons</x:v>
      </x:c>
      <x:c r="H11" s="46" t="str">
        <x:v>o-Xylene</x:v>
      </x:c>
      <x:c r="I11" s="46"/>
      <x:c r="J11" s="46" t="n">
        <x:v>1131</x:v>
      </x:c>
      <x:c r="K11" s="46" t="str">
        <x:v>MS;RI</x:v>
      </x:c>
      <x:c r="L11" s="46"/>
      <x:c r="M11" s="46"/>
      <x:c r="N11" s="46" t="str">
        <x:v>partial_no_numeric_match_factor_with_ri</x:v>
      </x:c>
      <x:c r="O11" s="46" t="n">
        <x:v>22.83</x:v>
      </x:c>
      <x:c r="P11" s="46" t="n">
        <x:v>15.17</x:v>
      </x:c>
      <x:c r="Q11" s="46" t="n">
        <x:v>2.33</x:v>
      </x:c>
      <x:c r="R11" s="46" t="str">
        <x:v>NS</x:v>
      </x:c>
      <x:c r="S11" s="46" t="str">
        <x:v>yes</x:v>
      </x:c>
      <x:c r="T11" s="46" t="str">
        <x:v>yes</x:v>
      </x:c>
      <x:c r="U11" s="46"/>
      <x:c r="V11" s="46" t="str">
        <x:v>ng/g dry matter</x:v>
      </x:c>
      <x:c r="W11" s="46"/>
    </x:row>
    <x:row r="12" ht="26.399999618530273" hidden="0" customHeight="1">
      <x:c r="A12" s="46" t="str">
        <x:v>BDC-011</x:v>
      </x:c>
      <x:c r="B12" s="46" t="str">
        <x:v>beef:muscle</x:v>
      </x:c>
      <x:c r="C12" s="46" t="str">
        <x:v>beef</x:v>
      </x:c>
      <x:c r="D12" s="46" t="str">
        <x:v>dry-cured beef strips</x:v>
      </x:c>
      <x:c r="E12" s="46" t="str">
        <x:v>T1 smoked + spices vs T2 unsmoked + unspiced</x:v>
      </x:c>
      <x:c r="F12" s="46" t="str">
        <x:v>SRC-BEEF-CURE-SMOKE-001</x:v>
      </x:c>
      <x:c r="G12" s="46" t="str">
        <x:v>Hydrocarbons</x:v>
      </x:c>
      <x:c r="H12" s="46" t="str">
        <x:v>p-Xylene</x:v>
      </x:c>
      <x:c r="I12" s="46"/>
      <x:c r="J12" s="46" t="n">
        <x:v>1137</x:v>
      </x:c>
      <x:c r="K12" s="46" t="str">
        <x:v>MS;RI</x:v>
      </x:c>
      <x:c r="L12" s="46"/>
      <x:c r="M12" s="46"/>
      <x:c r="N12" s="46" t="str">
        <x:v>partial_no_numeric_match_factor_with_ri</x:v>
      </x:c>
      <x:c r="O12" s="46" t="n">
        <x:v>32.25</x:v>
      </x:c>
      <x:c r="P12" s="46" t="n">
        <x:v>30.15</x:v>
      </x:c>
      <x:c r="Q12" s="46" t="n">
        <x:v>6.37</x:v>
      </x:c>
      <x:c r="R12" s="46" t="str">
        <x:v>NS</x:v>
      </x:c>
      <x:c r="S12" s="46" t="str">
        <x:v>yes</x:v>
      </x:c>
      <x:c r="T12" s="46" t="str">
        <x:v>yes</x:v>
      </x:c>
      <x:c r="U12" s="46"/>
      <x:c r="V12" s="46" t="str">
        <x:v>ng/g dry matter</x:v>
      </x:c>
      <x:c r="W12" s="46"/>
    </x:row>
    <x:row r="13" ht="26.399999618530273" hidden="0" customHeight="1">
      <x:c r="A13" s="46" t="str">
        <x:v>BDC-012</x:v>
      </x:c>
      <x:c r="B13" s="46" t="str">
        <x:v>beef:muscle</x:v>
      </x:c>
      <x:c r="C13" s="46" t="str">
        <x:v>beef</x:v>
      </x:c>
      <x:c r="D13" s="46" t="str">
        <x:v>dry-cured beef strips</x:v>
      </x:c>
      <x:c r="E13" s="46" t="str">
        <x:v>T1 smoked + spices vs T2 unsmoked + unspiced</x:v>
      </x:c>
      <x:c r="F13" s="46" t="str">
        <x:v>SRC-BEEF-CURE-SMOKE-001</x:v>
      </x:c>
      <x:c r="G13" s="46" t="str">
        <x:v>Hydrocarbons</x:v>
      </x:c>
      <x:c r="H13" s="46" t="str">
        <x:v>3-Carene</x:v>
      </x:c>
      <x:c r="I13" s="46"/>
      <x:c r="J13" s="46" t="n">
        <x:v>1147</x:v>
      </x:c>
      <x:c r="K13" s="46" t="str">
        <x:v>MS;RI</x:v>
      </x:c>
      <x:c r="L13" s="46"/>
      <x:c r="M13" s="46"/>
      <x:c r="N13" s="46" t="str">
        <x:v>partial_no_numeric_match_factor_with_ri</x:v>
      </x:c>
      <x:c r="O13" s="46" t="n">
        <x:v>119.11</x:v>
      </x:c>
      <x:c r="P13" s="46"/>
      <x:c r="Q13" s="46" t="n">
        <x:v>30.86</x:v>
      </x:c>
      <x:c r="R13" s="46" t="str">
        <x:v>-</x:v>
      </x:c>
      <x:c r="S13" s="46" t="str">
        <x:v>yes</x:v>
      </x:c>
      <x:c r="T13" s="46" t="str">
        <x:v>no</x:v>
      </x:c>
      <x:c r="U13" s="46"/>
      <x:c r="V13" s="46" t="str">
        <x:v>ng/g dry matter</x:v>
      </x:c>
      <x:c r="W13" s="46"/>
    </x:row>
    <x:row r="14" ht="26.399999618530273" hidden="0" customHeight="1">
      <x:c r="A14" s="46" t="str">
        <x:v>BDC-013</x:v>
      </x:c>
      <x:c r="B14" s="46" t="str">
        <x:v>beef:muscle</x:v>
      </x:c>
      <x:c r="C14" s="46" t="str">
        <x:v>beef</x:v>
      </x:c>
      <x:c r="D14" s="46" t="str">
        <x:v>dry-cured beef strips</x:v>
      </x:c>
      <x:c r="E14" s="46" t="str">
        <x:v>T1 smoked + spices vs T2 unsmoked + unspiced</x:v>
      </x:c>
      <x:c r="F14" s="46" t="str">
        <x:v>SRC-BEEF-CURE-SMOKE-001</x:v>
      </x:c>
      <x:c r="G14" s="46" t="str">
        <x:v>Hydrocarbons</x:v>
      </x:c>
      <x:c r="H14" s="46" t="str">
        <x:v>Ocimene</x:v>
      </x:c>
      <x:c r="I14" s="46"/>
      <x:c r="J14" s="46" t="n">
        <x:v>1176</x:v>
      </x:c>
      <x:c r="K14" s="46" t="str">
        <x:v>MS</x:v>
      </x:c>
      <x:c r="L14" s="46"/>
      <x:c r="M14" s="46"/>
      <x:c r="N14" s="46" t="str">
        <x:v>partial_ms_only_no_numeric_match_factor</x:v>
      </x:c>
      <x:c r="O14" s="46" t="n">
        <x:v>12.05</x:v>
      </x:c>
      <x:c r="P14" s="46"/>
      <x:c r="Q14" s="46" t="n">
        <x:v>2.47</x:v>
      </x:c>
      <x:c r="R14" s="46" t="str">
        <x:v>-</x:v>
      </x:c>
      <x:c r="S14" s="46" t="str">
        <x:v>yes</x:v>
      </x:c>
      <x:c r="T14" s="46" t="str">
        <x:v>no</x:v>
      </x:c>
      <x:c r="U14" s="46"/>
      <x:c r="V14" s="46" t="str">
        <x:v>ng/g dry matter</x:v>
      </x:c>
      <x:c r="W14" s="46"/>
    </x:row>
    <x:row r="15" ht="26.399999618530273" hidden="0" customHeight="1">
      <x:c r="A15" s="46" t="str">
        <x:v>BDC-014</x:v>
      </x:c>
      <x:c r="B15" s="46" t="str">
        <x:v>beef:muscle</x:v>
      </x:c>
      <x:c r="C15" s="46" t="str">
        <x:v>beef</x:v>
      </x:c>
      <x:c r="D15" s="46" t="str">
        <x:v>dry-cured beef strips</x:v>
      </x:c>
      <x:c r="E15" s="46" t="str">
        <x:v>T1 smoked + spices vs T2 unsmoked + unspiced</x:v>
      </x:c>
      <x:c r="F15" s="46" t="str">
        <x:v>SRC-BEEF-CURE-SMOKE-001</x:v>
      </x:c>
      <x:c r="G15" s="46" t="str">
        <x:v>Hydrocarbons</x:v>
      </x:c>
      <x:c r="H15" s="46" t="str">
        <x:v>Dodecane</x:v>
      </x:c>
      <x:c r="I15" s="46"/>
      <x:c r="J15" s="46" t="n">
        <x:v>1196</x:v>
      </x:c>
      <x:c r="K15" s="46" t="str">
        <x:v>MS;RI</x:v>
      </x:c>
      <x:c r="L15" s="46"/>
      <x:c r="M15" s="46"/>
      <x:c r="N15" s="46" t="str">
        <x:v>partial_no_numeric_match_factor_with_ri</x:v>
      </x:c>
      <x:c r="O15" s="46" t="n">
        <x:v>134.27</x:v>
      </x:c>
      <x:c r="P15" s="46" t="n">
        <x:v>49.18</x:v>
      </x:c>
      <x:c r="Q15" s="46" t="n">
        <x:v>21.1</x:v>
      </x:c>
      <x:c r="R15" s="46" t="str">
        <x:v>*</x:v>
      </x:c>
      <x:c r="S15" s="46" t="str">
        <x:v>yes</x:v>
      </x:c>
      <x:c r="T15" s="46" t="str">
        <x:v>yes</x:v>
      </x:c>
      <x:c r="U15" s="46"/>
      <x:c r="V15" s="46" t="str">
        <x:v>ng/g dry matter</x:v>
      </x:c>
      <x:c r="W15" s="46"/>
    </x:row>
    <x:row r="16" ht="26.399999618530273" hidden="0" customHeight="1">
      <x:c r="A16" s="46" t="str">
        <x:v>BDC-015</x:v>
      </x:c>
      <x:c r="B16" s="46" t="str">
        <x:v>beef:muscle</x:v>
      </x:c>
      <x:c r="C16" s="46" t="str">
        <x:v>beef</x:v>
      </x:c>
      <x:c r="D16" s="46" t="str">
        <x:v>dry-cured beef strips</x:v>
      </x:c>
      <x:c r="E16" s="46" t="str">
        <x:v>T1 smoked + spices vs T2 unsmoked + unspiced</x:v>
      </x:c>
      <x:c r="F16" s="46" t="str">
        <x:v>SRC-BEEF-CURE-SMOKE-001</x:v>
      </x:c>
      <x:c r="G16" s="46" t="str">
        <x:v>Hydrocarbons</x:v>
      </x:c>
      <x:c r="H16" s="46" t="str">
        <x:v>D-Limonene</x:v>
      </x:c>
      <x:c r="I16" s="46"/>
      <x:c r="J16" s="46" t="n">
        <x:v>1197</x:v>
      </x:c>
      <x:c r="K16" s="46" t="str">
        <x:v>MS;RI</x:v>
      </x:c>
      <x:c r="L16" s="46"/>
      <x:c r="M16" s="46"/>
      <x:c r="N16" s="46" t="str">
        <x:v>partial_no_numeric_match_factor_with_ri</x:v>
      </x:c>
      <x:c r="O16" s="46" t="n">
        <x:v>159.98</x:v>
      </x:c>
      <x:c r="P16" s="46" t="n">
        <x:v>21.93</x:v>
      </x:c>
      <x:c r="Q16" s="46" t="n">
        <x:v>21.12</x:v>
      </x:c>
      <x:c r="R16" s="46" t="str">
        <x:v>**</x:v>
      </x:c>
      <x:c r="S16" s="46" t="str">
        <x:v>yes</x:v>
      </x:c>
      <x:c r="T16" s="46" t="str">
        <x:v>yes</x:v>
      </x:c>
      <x:c r="U16" s="46"/>
      <x:c r="V16" s="46" t="str">
        <x:v>ng/g dry matter</x:v>
      </x:c>
      <x:c r="W16" s="46"/>
    </x:row>
    <x:row r="17" ht="26.399999618530273" hidden="0" customHeight="1">
      <x:c r="A17" s="46" t="str">
        <x:v>BDC-016</x:v>
      </x:c>
      <x:c r="B17" s="46" t="str">
        <x:v>beef:muscle</x:v>
      </x:c>
      <x:c r="C17" s="46" t="str">
        <x:v>beef</x:v>
      </x:c>
      <x:c r="D17" s="46" t="str">
        <x:v>dry-cured beef strips</x:v>
      </x:c>
      <x:c r="E17" s="46" t="str">
        <x:v>T1 smoked + spices vs T2 unsmoked + unspiced</x:v>
      </x:c>
      <x:c r="F17" s="46" t="str">
        <x:v>SRC-BEEF-CURE-SMOKE-001</x:v>
      </x:c>
      <x:c r="G17" s="46" t="str">
        <x:v>Hydrocarbons</x:v>
      </x:c>
      <x:c r="H17" s="46" t="str">
        <x:v>Eucalyptol</x:v>
      </x:c>
      <x:c r="I17" s="46"/>
      <x:c r="J17" s="46" t="n">
        <x:v>1210</x:v>
      </x:c>
      <x:c r="K17" s="46" t="str">
        <x:v>MS</x:v>
      </x:c>
      <x:c r="L17" s="46"/>
      <x:c r="M17" s="46"/>
      <x:c r="N17" s="46" t="str">
        <x:v>partial_ms_only_no_numeric_match_factor</x:v>
      </x:c>
      <x:c r="O17" s="46" t="n">
        <x:v>205.09</x:v>
      </x:c>
      <x:c r="P17" s="46"/>
      <x:c r="Q17" s="46" t="n">
        <x:v>32.5</x:v>
      </x:c>
      <x:c r="R17" s="46" t="str">
        <x:v>-</x:v>
      </x:c>
      <x:c r="S17" s="46" t="str">
        <x:v>yes</x:v>
      </x:c>
      <x:c r="T17" s="46" t="str">
        <x:v>no</x:v>
      </x:c>
      <x:c r="U17" s="46"/>
      <x:c r="V17" s="46" t="str">
        <x:v>ng/g dry matter</x:v>
      </x:c>
      <x:c r="W17" s="46"/>
    </x:row>
    <x:row r="18" ht="26.399999618530273" hidden="0" customHeight="1">
      <x:c r="A18" s="46" t="str">
        <x:v>BDC-017</x:v>
      </x:c>
      <x:c r="B18" s="46" t="str">
        <x:v>beef:muscle</x:v>
      </x:c>
      <x:c r="C18" s="46" t="str">
        <x:v>beef</x:v>
      </x:c>
      <x:c r="D18" s="46" t="str">
        <x:v>dry-cured beef strips</x:v>
      </x:c>
      <x:c r="E18" s="46" t="str">
        <x:v>T1 smoked + spices vs T2 unsmoked + unspiced</x:v>
      </x:c>
      <x:c r="F18" s="46" t="str">
        <x:v>SRC-BEEF-CURE-SMOKE-001</x:v>
      </x:c>
      <x:c r="G18" s="46" t="str">
        <x:v>Hydrocarbons</x:v>
      </x:c>
      <x:c r="H18" s="46" t="str">
        <x:v>Styrene</x:v>
      </x:c>
      <x:c r="I18" s="46"/>
      <x:c r="J18" s="46" t="n">
        <x:v>1257</x:v>
      </x:c>
      <x:c r="K18" s="46" t="str">
        <x:v>MS;RI</x:v>
      </x:c>
      <x:c r="L18" s="46"/>
      <x:c r="M18" s="46"/>
      <x:c r="N18" s="46" t="str">
        <x:v>partial_no_numeric_match_factor_with_ri</x:v>
      </x:c>
      <x:c r="O18" s="46" t="n">
        <x:v>31.15</x:v>
      </x:c>
      <x:c r="P18" s="46" t="n">
        <x:v>22.36</x:v>
      </x:c>
      <x:c r="Q18" s="46" t="n">
        <x:v>4.06</x:v>
      </x:c>
      <x:c r="R18" s="46" t="str">
        <x:v>NS</x:v>
      </x:c>
      <x:c r="S18" s="46" t="str">
        <x:v>yes</x:v>
      </x:c>
      <x:c r="T18" s="46" t="str">
        <x:v>yes</x:v>
      </x:c>
      <x:c r="U18" s="46"/>
      <x:c r="V18" s="46" t="str">
        <x:v>ng/g dry matter</x:v>
      </x:c>
      <x:c r="W18" s="46"/>
    </x:row>
    <x:row r="19" ht="26.399999618530273" hidden="0" customHeight="1">
      <x:c r="A19" s="46" t="str">
        <x:v>BDC-018</x:v>
      </x:c>
      <x:c r="B19" s="46" t="str">
        <x:v>beef:muscle</x:v>
      </x:c>
      <x:c r="C19" s="46" t="str">
        <x:v>beef</x:v>
      </x:c>
      <x:c r="D19" s="46" t="str">
        <x:v>dry-cured beef strips</x:v>
      </x:c>
      <x:c r="E19" s="46" t="str">
        <x:v>T1 smoked + spices vs T2 unsmoked + unspiced</x:v>
      </x:c>
      <x:c r="F19" s="46" t="str">
        <x:v>SRC-BEEF-CURE-SMOKE-001</x:v>
      </x:c>
      <x:c r="G19" s="46" t="str">
        <x:v>Hydrocarbons</x:v>
      </x:c>
      <x:c r="H19" s="46" t="str">
        <x:v>Tridecane</x:v>
      </x:c>
      <x:c r="I19" s="46"/>
      <x:c r="J19" s="46" t="n">
        <x:v>1295</x:v>
      </x:c>
      <x:c r="K19" s="46" t="str">
        <x:v>MS;RI</x:v>
      </x:c>
      <x:c r="L19" s="46"/>
      <x:c r="M19" s="46"/>
      <x:c r="N19" s="46" t="str">
        <x:v>partial_no_numeric_match_factor_with_ri</x:v>
      </x:c>
      <x:c r="O19" s="46" t="n">
        <x:v>92.78</x:v>
      </x:c>
      <x:c r="P19" s="46" t="n">
        <x:v>40.93</x:v>
      </x:c>
      <x:c r="Q19" s="46" t="n">
        <x:v>18.32</x:v>
      </x:c>
      <x:c r="R19" s="46" t="str">
        <x:v>NS</x:v>
      </x:c>
      <x:c r="S19" s="46" t="str">
        <x:v>yes</x:v>
      </x:c>
      <x:c r="T19" s="46" t="str">
        <x:v>yes</x:v>
      </x:c>
      <x:c r="U19" s="46"/>
      <x:c r="V19" s="46" t="str">
        <x:v>ng/g dry matter</x:v>
      </x:c>
      <x:c r="W19" s="46"/>
    </x:row>
    <x:row r="20" ht="26.399999618530273" hidden="0" customHeight="1">
      <x:c r="A20" s="46" t="str">
        <x:v>BDC-019</x:v>
      </x:c>
      <x:c r="B20" s="46" t="str">
        <x:v>beef:muscle</x:v>
      </x:c>
      <x:c r="C20" s="46" t="str">
        <x:v>beef</x:v>
      </x:c>
      <x:c r="D20" s="46" t="str">
        <x:v>dry-cured beef strips</x:v>
      </x:c>
      <x:c r="E20" s="46" t="str">
        <x:v>T1 smoked + spices vs T2 unsmoked + unspiced</x:v>
      </x:c>
      <x:c r="F20" s="46" t="str">
        <x:v>SRC-BEEF-CURE-SMOKE-001</x:v>
      </x:c>
      <x:c r="G20" s="46" t="str">
        <x:v>Hydrocarbons</x:v>
      </x:c>
      <x:c r="H20" s="46" t="str">
        <x:v>Caryophyllene</x:v>
      </x:c>
      <x:c r="I20" s="46"/>
      <x:c r="J20" s="46" t="n">
        <x:v>1605</x:v>
      </x:c>
      <x:c r="K20" s="46" t="str">
        <x:v>MS;RI</x:v>
      </x:c>
      <x:c r="L20" s="46"/>
      <x:c r="M20" s="46"/>
      <x:c r="N20" s="46" t="str">
        <x:v>partial_no_numeric_match_factor_with_ri</x:v>
      </x:c>
      <x:c r="O20" s="46" t="n">
        <x:v>469.66</x:v>
      </x:c>
      <x:c r="P20" s="46"/>
      <x:c r="Q20" s="46" t="n">
        <x:v>146.65</x:v>
      </x:c>
      <x:c r="R20" s="46" t="str">
        <x:v>-</x:v>
      </x:c>
      <x:c r="S20" s="46" t="str">
        <x:v>yes</x:v>
      </x:c>
      <x:c r="T20" s="46" t="str">
        <x:v>no</x:v>
      </x:c>
      <x:c r="U20" s="46"/>
      <x:c r="V20" s="46" t="str">
        <x:v>ng/g dry matter</x:v>
      </x:c>
      <x:c r="W20" s="46"/>
    </x:row>
    <x:row r="21" ht="26.399999618530273" hidden="0" customHeight="1">
      <x:c r="A21" s="46" t="str">
        <x:v>BDC-020</x:v>
      </x:c>
      <x:c r="B21" s="46" t="str">
        <x:v>beef:muscle</x:v>
      </x:c>
      <x:c r="C21" s="46" t="str">
        <x:v>beef</x:v>
      </x:c>
      <x:c r="D21" s="46" t="str">
        <x:v>dry-cured beef strips</x:v>
      </x:c>
      <x:c r="E21" s="46" t="str">
        <x:v>T1 smoked + spices vs T2 unsmoked + unspiced</x:v>
      </x:c>
      <x:c r="F21" s="46" t="str">
        <x:v>SRC-BEEF-CURE-SMOKE-001</x:v>
      </x:c>
      <x:c r="G21" s="46" t="str">
        <x:v>Hydrocarbons</x:v>
      </x:c>
      <x:c r="H21" s="46" t="str">
        <x:v>Phenylethyne</x:v>
      </x:c>
      <x:c r="I21" s="46"/>
      <x:c r="J21" s="46" t="n">
        <x:v>1607</x:v>
      </x:c>
      <x:c r="K21" s="46" t="str">
        <x:v>MS</x:v>
      </x:c>
      <x:c r="L21" s="46"/>
      <x:c r="M21" s="46"/>
      <x:c r="N21" s="46" t="str">
        <x:v>partial_ms_only_no_numeric_match_factor</x:v>
      </x:c>
      <x:c r="O21" s="46"/>
      <x:c r="P21" s="46" t="n">
        <x:v>2.53</x:v>
      </x:c>
      <x:c r="Q21" s="46" t="n">
        <x:v>0.51</x:v>
      </x:c>
      <x:c r="R21" s="46" t="str">
        <x:v>-</x:v>
      </x:c>
      <x:c r="S21" s="46" t="str">
        <x:v>no</x:v>
      </x:c>
      <x:c r="T21" s="46" t="str">
        <x:v>yes</x:v>
      </x:c>
      <x:c r="U21" s="46"/>
      <x:c r="V21" s="46" t="str">
        <x:v>ng/g dry matter</x:v>
      </x:c>
      <x:c r="W21" s="46"/>
    </x:row>
    <x:row r="22" ht="26.399999618530273" hidden="0" customHeight="1">
      <x:c r="A22" s="46" t="str">
        <x:v>BDC-021</x:v>
      </x:c>
      <x:c r="B22" s="46" t="str">
        <x:v>beef:muscle</x:v>
      </x:c>
      <x:c r="C22" s="46" t="str">
        <x:v>beef</x:v>
      </x:c>
      <x:c r="D22" s="46" t="str">
        <x:v>dry-cured beef strips</x:v>
      </x:c>
      <x:c r="E22" s="46" t="str">
        <x:v>T1 smoked + spices vs T2 unsmoked + unspiced</x:v>
      </x:c>
      <x:c r="F22" s="46" t="str">
        <x:v>SRC-BEEF-CURE-SMOKE-001</x:v>
      </x:c>
      <x:c r="G22" s="46" t="str">
        <x:v>Hydrocarbons</x:v>
      </x:c>
      <x:c r="H22" s="46" t="str">
        <x:v>Naphthalene</x:v>
      </x:c>
      <x:c r="I22" s="46"/>
      <x:c r="J22" s="46" t="n">
        <x:v>1750</x:v>
      </x:c>
      <x:c r="K22" s="46" t="str">
        <x:v>MS;RI</x:v>
      </x:c>
      <x:c r="L22" s="46"/>
      <x:c r="M22" s="46"/>
      <x:c r="N22" s="46" t="str">
        <x:v>partial_no_numeric_match_factor_with_ri</x:v>
      </x:c>
      <x:c r="O22" s="46" t="n">
        <x:v>79.25</x:v>
      </x:c>
      <x:c r="P22" s="46"/>
      <x:c r="Q22" s="46" t="n">
        <x:v>13.95</x:v>
      </x:c>
      <x:c r="R22" s="46" t="str">
        <x:v>-</x:v>
      </x:c>
      <x:c r="S22" s="46" t="str">
        <x:v>yes</x:v>
      </x:c>
      <x:c r="T22" s="46" t="str">
        <x:v>no</x:v>
      </x:c>
      <x:c r="U22" s="46"/>
      <x:c r="V22" s="46" t="str">
        <x:v>ng/g dry matter</x:v>
      </x:c>
      <x:c r="W22" s="46"/>
    </x:row>
    <x:row r="23" ht="26.399999618530273" hidden="0" customHeight="1">
      <x:c r="A23" s="46" t="str">
        <x:v>BDC-022</x:v>
      </x:c>
      <x:c r="B23" s="46" t="str">
        <x:v>beef:muscle</x:v>
      </x:c>
      <x:c r="C23" s="46" t="str">
        <x:v>beef</x:v>
      </x:c>
      <x:c r="D23" s="46" t="str">
        <x:v>dry-cured beef strips</x:v>
      </x:c>
      <x:c r="E23" s="46" t="str">
        <x:v>T1 smoked + spices vs T2 unsmoked + unspiced</x:v>
      </x:c>
      <x:c r="F23" s="46" t="str">
        <x:v>SRC-BEEF-CURE-SMOKE-001</x:v>
      </x:c>
      <x:c r="G23" s="46" t="str">
        <x:v>Aldehydes</x:v>
      </x:c>
      <x:c r="H23" s="46" t="str">
        <x:v>3-Methylbutanal</x:v>
      </x:c>
      <x:c r="I23" s="46"/>
      <x:c r="J23" s="46" t="n">
        <x:v>911</x:v>
      </x:c>
      <x:c r="K23" s="46" t="str">
        <x:v>MS;RI</x:v>
      </x:c>
      <x:c r="L23" s="46"/>
      <x:c r="M23" s="46"/>
      <x:c r="N23" s="46" t="str">
        <x:v>partial_no_numeric_match_factor_with_ri</x:v>
      </x:c>
      <x:c r="O23" s="46" t="n">
        <x:v>14.74</x:v>
      </x:c>
      <x:c r="P23" s="46" t="n">
        <x:v>3.71</x:v>
      </x:c>
      <x:c r="Q23" s="46" t="n">
        <x:v>2.34</x:v>
      </x:c>
      <x:c r="R23" s="46" t="str">
        <x:v>*</x:v>
      </x:c>
      <x:c r="S23" s="46" t="str">
        <x:v>yes</x:v>
      </x:c>
      <x:c r="T23" s="46" t="str">
        <x:v>yes</x:v>
      </x:c>
      <x:c r="U23" s="46"/>
      <x:c r="V23" s="46" t="str">
        <x:v>ng/g dry matter</x:v>
      </x:c>
      <x:c r="W23" s="46"/>
    </x:row>
    <x:row r="24" ht="26.399999618530273" hidden="0" customHeight="1">
      <x:c r="A24" s="46" t="str">
        <x:v>BDC-023</x:v>
      </x:c>
      <x:c r="B24" s="46" t="str">
        <x:v>beef:muscle</x:v>
      </x:c>
      <x:c r="C24" s="46" t="str">
        <x:v>beef</x:v>
      </x:c>
      <x:c r="D24" s="46" t="str">
        <x:v>dry-cured beef strips</x:v>
      </x:c>
      <x:c r="E24" s="46" t="str">
        <x:v>T1 smoked + spices vs T2 unsmoked + unspiced</x:v>
      </x:c>
      <x:c r="F24" s="46" t="str">
        <x:v>SRC-BEEF-CURE-SMOKE-001</x:v>
      </x:c>
      <x:c r="G24" s="46" t="str">
        <x:v>Aldehydes</x:v>
      </x:c>
      <x:c r="H24" s="46" t="str">
        <x:v>Hexanal</x:v>
      </x:c>
      <x:c r="I24" s="46"/>
      <x:c r="J24" s="46" t="n">
        <x:v>1078</x:v>
      </x:c>
      <x:c r="K24" s="46" t="str">
        <x:v>MS;RI</x:v>
      </x:c>
      <x:c r="L24" s="46"/>
      <x:c r="M24" s="46"/>
      <x:c r="N24" s="46" t="str">
        <x:v>partial_no_numeric_match_factor_with_ri</x:v>
      </x:c>
      <x:c r="O24" s="46" t="n">
        <x:v>25.68</x:v>
      </x:c>
      <x:c r="P24" s="46" t="n">
        <x:v>126.47</x:v>
      </x:c>
      <x:c r="Q24" s="46" t="n">
        <x:v>29.14</x:v>
      </x:c>
      <x:c r="R24" s="46" t="str">
        <x:v>NS</x:v>
      </x:c>
      <x:c r="S24" s="46" t="str">
        <x:v>yes</x:v>
      </x:c>
      <x:c r="T24" s="46" t="str">
        <x:v>yes</x:v>
      </x:c>
      <x:c r="U24" s="46"/>
      <x:c r="V24" s="46" t="str">
        <x:v>ng/g dry matter</x:v>
      </x:c>
      <x:c r="W24" s="46"/>
    </x:row>
    <x:row r="25" ht="26.399999618530273" hidden="0" customHeight="1">
      <x:c r="A25" s="46" t="str">
        <x:v>BDC-024</x:v>
      </x:c>
      <x:c r="B25" s="46" t="str">
        <x:v>beef:muscle</x:v>
      </x:c>
      <x:c r="C25" s="46" t="str">
        <x:v>beef</x:v>
      </x:c>
      <x:c r="D25" s="46" t="str">
        <x:v>dry-cured beef strips</x:v>
      </x:c>
      <x:c r="E25" s="46" t="str">
        <x:v>T1 smoked + spices vs T2 unsmoked + unspiced</x:v>
      </x:c>
      <x:c r="F25" s="46" t="str">
        <x:v>SRC-BEEF-CURE-SMOKE-001</x:v>
      </x:c>
      <x:c r="G25" s="46" t="str">
        <x:v>Aldehydes</x:v>
      </x:c>
      <x:c r="H25" s="46" t="str">
        <x:v>Heptanal</x:v>
      </x:c>
      <x:c r="I25" s="46"/>
      <x:c r="J25" s="46" t="n">
        <x:v>1183</x:v>
      </x:c>
      <x:c r="K25" s="46" t="str">
        <x:v>MS;RI</x:v>
      </x:c>
      <x:c r="L25" s="46"/>
      <x:c r="M25" s="46"/>
      <x:c r="N25" s="46" t="str">
        <x:v>partial_no_numeric_match_factor_with_ri</x:v>
      </x:c>
      <x:c r="O25" s="46" t="n">
        <x:v>47.77</x:v>
      </x:c>
      <x:c r="P25" s="46" t="n">
        <x:v>65.84</x:v>
      </x:c>
      <x:c r="Q25" s="46" t="n">
        <x:v>10.84</x:v>
      </x:c>
      <x:c r="R25" s="46" t="str">
        <x:v>NS</x:v>
      </x:c>
      <x:c r="S25" s="46" t="str">
        <x:v>yes</x:v>
      </x:c>
      <x:c r="T25" s="46" t="str">
        <x:v>yes</x:v>
      </x:c>
      <x:c r="U25" s="46"/>
      <x:c r="V25" s="46" t="str">
        <x:v>ng/g dry matter</x:v>
      </x:c>
      <x:c r="W25" s="46"/>
    </x:row>
    <x:row r="26" ht="26.399999618530273" hidden="0" customHeight="1">
      <x:c r="A26" s="46" t="str">
        <x:v>BDC-025</x:v>
      </x:c>
      <x:c r="B26" s="46" t="str">
        <x:v>beef:muscle</x:v>
      </x:c>
      <x:c r="C26" s="46" t="str">
        <x:v>beef</x:v>
      </x:c>
      <x:c r="D26" s="46" t="str">
        <x:v>dry-cured beef strips</x:v>
      </x:c>
      <x:c r="E26" s="46" t="str">
        <x:v>T1 smoked + spices vs T2 unsmoked + unspiced</x:v>
      </x:c>
      <x:c r="F26" s="46" t="str">
        <x:v>SRC-BEEF-CURE-SMOKE-001</x:v>
      </x:c>
      <x:c r="G26" s="46" t="str">
        <x:v>Aldehydes</x:v>
      </x:c>
      <x:c r="H26" s="46" t="str">
        <x:v>Octanal</x:v>
      </x:c>
      <x:c r="I26" s="46"/>
      <x:c r="J26" s="46" t="n">
        <x:v>1289</x:v>
      </x:c>
      <x:c r="K26" s="46" t="str">
        <x:v>MS;RI</x:v>
      </x:c>
      <x:c r="L26" s="46"/>
      <x:c r="M26" s="46"/>
      <x:c r="N26" s="46" t="str">
        <x:v>partial_no_numeric_match_factor_with_ri</x:v>
      </x:c>
      <x:c r="O26" s="46" t="n">
        <x:v>39.83</x:v>
      </x:c>
      <x:c r="P26" s="46" t="n">
        <x:v>77.14</x:v>
      </x:c>
      <x:c r="Q26" s="46" t="n">
        <x:v>19.08</x:v>
      </x:c>
      <x:c r="R26" s="46" t="str">
        <x:v>NS</x:v>
      </x:c>
      <x:c r="S26" s="46" t="str">
        <x:v>yes</x:v>
      </x:c>
      <x:c r="T26" s="46" t="str">
        <x:v>yes</x:v>
      </x:c>
      <x:c r="U26" s="46"/>
      <x:c r="V26" s="46" t="str">
        <x:v>ng/g dry matter</x:v>
      </x:c>
      <x:c r="W26" s="46"/>
    </x:row>
    <x:row r="27" ht="26.399999618530273" hidden="0" customHeight="1">
      <x:c r="A27" s="46" t="str">
        <x:v>BDC-026</x:v>
      </x:c>
      <x:c r="B27" s="46" t="str">
        <x:v>beef:muscle</x:v>
      </x:c>
      <x:c r="C27" s="46" t="str">
        <x:v>beef</x:v>
      </x:c>
      <x:c r="D27" s="46" t="str">
        <x:v>dry-cured beef strips</x:v>
      </x:c>
      <x:c r="E27" s="46" t="str">
        <x:v>T1 smoked + spices vs T2 unsmoked + unspiced</x:v>
      </x:c>
      <x:c r="F27" s="46" t="str">
        <x:v>SRC-BEEF-CURE-SMOKE-001</x:v>
      </x:c>
      <x:c r="G27" s="46" t="str">
        <x:v>Aldehydes</x:v>
      </x:c>
      <x:c r="H27" s="46" t="str">
        <x:v>(Z)-2-Heptenal</x:v>
      </x:c>
      <x:c r="I27" s="46"/>
      <x:c r="J27" s="46" t="n">
        <x:v>1322</x:v>
      </x:c>
      <x:c r="K27" s="46" t="str">
        <x:v>MS;RI</x:v>
      </x:c>
      <x:c r="L27" s="46"/>
      <x:c r="M27" s="46"/>
      <x:c r="N27" s="46" t="str">
        <x:v>partial_no_numeric_match_factor_with_ri</x:v>
      </x:c>
      <x:c r="O27" s="46"/>
      <x:c r="P27" s="46" t="n">
        <x:v>6.11</x:v>
      </x:c>
      <x:c r="Q27" s="46" t="n">
        <x:v>2.62</x:v>
      </x:c>
      <x:c r="R27" s="46" t="str">
        <x:v>-</x:v>
      </x:c>
      <x:c r="S27" s="46" t="str">
        <x:v>no</x:v>
      </x:c>
      <x:c r="T27" s="46" t="str">
        <x:v>yes</x:v>
      </x:c>
      <x:c r="U27" s="46"/>
      <x:c r="V27" s="46" t="str">
        <x:v>ng/g dry matter</x:v>
      </x:c>
      <x:c r="W27" s="46"/>
    </x:row>
    <x:row r="28" ht="26.399999618530273" hidden="0" customHeight="1">
      <x:c r="A28" s="46" t="str">
        <x:v>BDC-027</x:v>
      </x:c>
      <x:c r="B28" s="46" t="str">
        <x:v>beef:muscle</x:v>
      </x:c>
      <x:c r="C28" s="46" t="str">
        <x:v>beef</x:v>
      </x:c>
      <x:c r="D28" s="46" t="str">
        <x:v>dry-cured beef strips</x:v>
      </x:c>
      <x:c r="E28" s="46" t="str">
        <x:v>T1 smoked + spices vs T2 unsmoked + unspiced</x:v>
      </x:c>
      <x:c r="F28" s="46" t="str">
        <x:v>SRC-BEEF-CURE-SMOKE-001</x:v>
      </x:c>
      <x:c r="G28" s="46" t="str">
        <x:v>Aldehydes</x:v>
      </x:c>
      <x:c r="H28" s="46" t="str">
        <x:v>Nonanal</x:v>
      </x:c>
      <x:c r="I28" s="46"/>
      <x:c r="J28" s="46" t="n">
        <x:v>1395</x:v>
      </x:c>
      <x:c r="K28" s="46" t="str">
        <x:v>MS;RI</x:v>
      </x:c>
      <x:c r="L28" s="46"/>
      <x:c r="M28" s="46"/>
      <x:c r="N28" s="46" t="str">
        <x:v>partial_no_numeric_match_factor_with_ri</x:v>
      </x:c>
      <x:c r="O28" s="46" t="n">
        <x:v>157.76</x:v>
      </x:c>
      <x:c r="P28" s="46" t="n">
        <x:v>253.13</x:v>
      </x:c>
      <x:c r="Q28" s="46" t="n">
        <x:v>54.29</x:v>
      </x:c>
      <x:c r="R28" s="46" t="str">
        <x:v>NS</x:v>
      </x:c>
      <x:c r="S28" s="46" t="str">
        <x:v>yes</x:v>
      </x:c>
      <x:c r="T28" s="46" t="str">
        <x:v>yes</x:v>
      </x:c>
      <x:c r="U28" s="46"/>
      <x:c r="V28" s="46" t="str">
        <x:v>ng/g dry matter</x:v>
      </x:c>
      <x:c r="W28" s="46"/>
    </x:row>
    <x:row r="29" ht="26.399999618530273" hidden="0" customHeight="1">
      <x:c r="A29" s="46" t="str">
        <x:v>BDC-028</x:v>
      </x:c>
      <x:c r="B29" s="46" t="str">
        <x:v>beef:muscle</x:v>
      </x:c>
      <x:c r="C29" s="46" t="str">
        <x:v>beef</x:v>
      </x:c>
      <x:c r="D29" s="46" t="str">
        <x:v>dry-cured beef strips</x:v>
      </x:c>
      <x:c r="E29" s="46" t="str">
        <x:v>T1 smoked + spices vs T2 unsmoked + unspiced</x:v>
      </x:c>
      <x:c r="F29" s="46" t="str">
        <x:v>SRC-BEEF-CURE-SMOKE-001</x:v>
      </x:c>
      <x:c r="G29" s="46" t="str">
        <x:v>Aldehydes</x:v>
      </x:c>
      <x:c r="H29" s="46" t="str">
        <x:v>(E)-2-Octenal</x:v>
      </x:c>
      <x:c r="I29" s="46"/>
      <x:c r="J29" s="46" t="n">
        <x:v>1431</x:v>
      </x:c>
      <x:c r="K29" s="46" t="str">
        <x:v>MS;RI</x:v>
      </x:c>
      <x:c r="L29" s="46"/>
      <x:c r="M29" s="46"/>
      <x:c r="N29" s="46" t="str">
        <x:v>partial_no_numeric_match_factor_with_ri</x:v>
      </x:c>
      <x:c r="O29" s="46" t="n">
        <x:v>3.93</x:v>
      </x:c>
      <x:c r="P29" s="46" t="n">
        <x:v>13.29</x:v>
      </x:c>
      <x:c r="Q29" s="46" t="n">
        <x:v>3.48</x:v>
      </x:c>
      <x:c r="R29" s="46" t="str">
        <x:v>NS</x:v>
      </x:c>
      <x:c r="S29" s="46" t="str">
        <x:v>yes</x:v>
      </x:c>
      <x:c r="T29" s="46" t="str">
        <x:v>yes</x:v>
      </x:c>
      <x:c r="U29" s="46"/>
      <x:c r="V29" s="46" t="str">
        <x:v>ng/g dry matter</x:v>
      </x:c>
      <x:c r="W29" s="46"/>
    </x:row>
    <x:row r="30" ht="26.399999618530273" hidden="0" customHeight="1">
      <x:c r="A30" s="46" t="str">
        <x:v>BDC-029</x:v>
      </x:c>
      <x:c r="B30" s="46" t="str">
        <x:v>beef:muscle</x:v>
      </x:c>
      <x:c r="C30" s="46" t="str">
        <x:v>beef</x:v>
      </x:c>
      <x:c r="D30" s="46" t="str">
        <x:v>dry-cured beef strips</x:v>
      </x:c>
      <x:c r="E30" s="46" t="str">
        <x:v>T1 smoked + spices vs T2 unsmoked + unspiced</x:v>
      </x:c>
      <x:c r="F30" s="46" t="str">
        <x:v>SRC-BEEF-CURE-SMOKE-001</x:v>
      </x:c>
      <x:c r="G30" s="46" t="str">
        <x:v>Aldehydes</x:v>
      </x:c>
      <x:c r="H30" s="46" t="str">
        <x:v>Decanal</x:v>
      </x:c>
      <x:c r="I30" s="46"/>
      <x:c r="J30" s="46" t="n">
        <x:v>1496</x:v>
      </x:c>
      <x:c r="K30" s="46" t="str">
        <x:v>MS;RI</x:v>
      </x:c>
      <x:c r="L30" s="46"/>
      <x:c r="M30" s="46"/>
      <x:c r="N30" s="46" t="str">
        <x:v>partial_no_numeric_match_factor_with_ri</x:v>
      </x:c>
      <x:c r="O30" s="46"/>
      <x:c r="P30" s="46" t="n">
        <x:v>11.86</x:v>
      </x:c>
      <x:c r="Q30" s="46" t="n">
        <x:v>2.45</x:v>
      </x:c>
      <x:c r="R30" s="46" t="str">
        <x:v>-</x:v>
      </x:c>
      <x:c r="S30" s="46" t="str">
        <x:v>no</x:v>
      </x:c>
      <x:c r="T30" s="46" t="str">
        <x:v>yes</x:v>
      </x:c>
      <x:c r="U30" s="46"/>
      <x:c r="V30" s="46" t="str">
        <x:v>ng/g dry matter</x:v>
      </x:c>
      <x:c r="W30" s="46"/>
    </x:row>
    <x:row r="31" ht="26.399999618530273" hidden="0" customHeight="1">
      <x:c r="A31" s="46" t="str">
        <x:v>BDC-030</x:v>
      </x:c>
      <x:c r="B31" s="46" t="str">
        <x:v>beef:muscle</x:v>
      </x:c>
      <x:c r="C31" s="46" t="str">
        <x:v>beef</x:v>
      </x:c>
      <x:c r="D31" s="46" t="str">
        <x:v>dry-cured beef strips</x:v>
      </x:c>
      <x:c r="E31" s="46" t="str">
        <x:v>T1 smoked + spices vs T2 unsmoked + unspiced</x:v>
      </x:c>
      <x:c r="F31" s="46" t="str">
        <x:v>SRC-BEEF-CURE-SMOKE-001</x:v>
      </x:c>
      <x:c r="G31" s="46" t="str">
        <x:v>Aldehydes</x:v>
      </x:c>
      <x:c r="H31" s="46" t="str">
        <x:v>(E)-2-Nonenal</x:v>
      </x:c>
      <x:c r="I31" s="46"/>
      <x:c r="J31" s="46" t="n">
        <x:v>1536</x:v>
      </x:c>
      <x:c r="K31" s="46" t="str">
        <x:v>MS;RI</x:v>
      </x:c>
      <x:c r="L31" s="46"/>
      <x:c r="M31" s="46"/>
      <x:c r="N31" s="46" t="str">
        <x:v>partial_no_numeric_match_factor_with_ri</x:v>
      </x:c>
      <x:c r="O31" s="46"/>
      <x:c r="P31" s="46" t="n">
        <x:v>15.68</x:v>
      </x:c>
      <x:c r="Q31" s="46" t="n">
        <x:v>3.87</x:v>
      </x:c>
      <x:c r="R31" s="46" t="str">
        <x:v>-</x:v>
      </x:c>
      <x:c r="S31" s="46" t="str">
        <x:v>no</x:v>
      </x:c>
      <x:c r="T31" s="46" t="str">
        <x:v>yes</x:v>
      </x:c>
      <x:c r="U31" s="46"/>
      <x:c r="V31" s="46" t="str">
        <x:v>ng/g dry matter</x:v>
      </x:c>
      <x:c r="W31" s="46"/>
    </x:row>
    <x:row r="32" ht="26.399999618530273" hidden="0" customHeight="1">
      <x:c r="A32" s="46" t="str">
        <x:v>BDC-031</x:v>
      </x:c>
      <x:c r="B32" s="46" t="str">
        <x:v>beef:muscle</x:v>
      </x:c>
      <x:c r="C32" s="46" t="str">
        <x:v>beef</x:v>
      </x:c>
      <x:c r="D32" s="46" t="str">
        <x:v>dry-cured beef strips</x:v>
      </x:c>
      <x:c r="E32" s="46" t="str">
        <x:v>T1 smoked + spices vs T2 unsmoked + unspiced</x:v>
      </x:c>
      <x:c r="F32" s="46" t="str">
        <x:v>SRC-BEEF-CURE-SMOKE-001</x:v>
      </x:c>
      <x:c r="G32" s="46" t="str">
        <x:v>Aldehydes</x:v>
      </x:c>
      <x:c r="H32" s="46" t="str">
        <x:v>4-Isopropylbenzaldehyde</x:v>
      </x:c>
      <x:c r="I32" s="46"/>
      <x:c r="J32" s="46" t="n">
        <x:v>1789</x:v>
      </x:c>
      <x:c r="K32" s="46" t="str">
        <x:v>MS</x:v>
      </x:c>
      <x:c r="L32" s="46"/>
      <x:c r="M32" s="46"/>
      <x:c r="N32" s="46" t="str">
        <x:v>partial_ms_only_no_numeric_match_factor</x:v>
      </x:c>
      <x:c r="O32" s="46" t="n">
        <x:v>18.1</x:v>
      </x:c>
      <x:c r="P32" s="46"/>
      <x:c r="Q32" s="46" t="n">
        <x:v>2.57</x:v>
      </x:c>
      <x:c r="R32" s="46" t="str">
        <x:v>-</x:v>
      </x:c>
      <x:c r="S32" s="46" t="str">
        <x:v>yes</x:v>
      </x:c>
      <x:c r="T32" s="46" t="str">
        <x:v>no</x:v>
      </x:c>
      <x:c r="U32" s="46"/>
      <x:c r="V32" s="46" t="str">
        <x:v>ng/g dry matter</x:v>
      </x:c>
      <x:c r="W32" s="46"/>
    </x:row>
    <x:row r="33" ht="26.399999618530273" hidden="0" customHeight="1">
      <x:c r="A33" s="46" t="str">
        <x:v>BDC-032</x:v>
      </x:c>
      <x:c r="B33" s="46" t="str">
        <x:v>beef:muscle</x:v>
      </x:c>
      <x:c r="C33" s="46" t="str">
        <x:v>beef</x:v>
      </x:c>
      <x:c r="D33" s="46" t="str">
        <x:v>dry-cured beef strips</x:v>
      </x:c>
      <x:c r="E33" s="46" t="str">
        <x:v>T1 smoked + spices vs T2 unsmoked + unspiced</x:v>
      </x:c>
      <x:c r="F33" s="46" t="str">
        <x:v>SRC-BEEF-CURE-SMOKE-001</x:v>
      </x:c>
      <x:c r="G33" s="46" t="str">
        <x:v>Ketones</x:v>
      </x:c>
      <x:c r="H33" s="46" t="str">
        <x:v>2-Pentanone</x:v>
      </x:c>
      <x:c r="I33" s="46"/>
      <x:c r="J33" s="46" t="n">
        <x:v>973</x:v>
      </x:c>
      <x:c r="K33" s="46" t="str">
        <x:v>MS;RI</x:v>
      </x:c>
      <x:c r="L33" s="46"/>
      <x:c r="M33" s="46"/>
      <x:c r="N33" s="46" t="str">
        <x:v>partial_no_numeric_match_factor_with_ri</x:v>
      </x:c>
      <x:c r="O33" s="46"/>
      <x:c r="P33" s="46" t="n">
        <x:v>9.95</x:v>
      </x:c>
      <x:c r="Q33" s="46" t="n">
        <x:v>2.17</x:v>
      </x:c>
      <x:c r="R33" s="46" t="str">
        <x:v>-</x:v>
      </x:c>
      <x:c r="S33" s="46" t="str">
        <x:v>no</x:v>
      </x:c>
      <x:c r="T33" s="46" t="str">
        <x:v>yes</x:v>
      </x:c>
      <x:c r="U33" s="46"/>
      <x:c r="V33" s="46" t="str">
        <x:v>ng/g dry matter</x:v>
      </x:c>
      <x:c r="W33" s="46"/>
    </x:row>
    <x:row r="34" ht="26.399999618530273" hidden="0" customHeight="1">
      <x:c r="A34" s="46" t="str">
        <x:v>BDC-033</x:v>
      </x:c>
      <x:c r="B34" s="46" t="str">
        <x:v>beef:muscle</x:v>
      </x:c>
      <x:c r="C34" s="46" t="str">
        <x:v>beef</x:v>
      </x:c>
      <x:c r="D34" s="46" t="str">
        <x:v>dry-cured beef strips</x:v>
      </x:c>
      <x:c r="E34" s="46" t="str">
        <x:v>T1 smoked + spices vs T2 unsmoked + unspiced</x:v>
      </x:c>
      <x:c r="F34" s="46" t="str">
        <x:v>SRC-BEEF-CURE-SMOKE-001</x:v>
      </x:c>
      <x:c r="G34" s="46" t="str">
        <x:v>Ketones</x:v>
      </x:c>
      <x:c r="H34" s="46" t="str">
        <x:v>2-Octanone</x:v>
      </x:c>
      <x:c r="I34" s="46"/>
      <x:c r="J34" s="46" t="n">
        <x:v>1282</x:v>
      </x:c>
      <x:c r="K34" s="46" t="str">
        <x:v>MS;RI</x:v>
      </x:c>
      <x:c r="L34" s="46"/>
      <x:c r="M34" s="46"/>
      <x:c r="N34" s="46" t="str">
        <x:v>partial_no_numeric_match_factor_with_ri</x:v>
      </x:c>
      <x:c r="O34" s="46"/>
      <x:c r="P34" s="46" t="n">
        <x:v>9.54</x:v>
      </x:c>
      <x:c r="Q34" s="46" t="n">
        <x:v>2.68</x:v>
      </x:c>
      <x:c r="R34" s="46" t="str">
        <x:v>-</x:v>
      </x:c>
      <x:c r="S34" s="46" t="str">
        <x:v>no</x:v>
      </x:c>
      <x:c r="T34" s="46" t="str">
        <x:v>yes</x:v>
      </x:c>
      <x:c r="U34" s="46"/>
      <x:c r="V34" s="46" t="str">
        <x:v>ng/g dry matter</x:v>
      </x:c>
      <x:c r="W34" s="46"/>
    </x:row>
    <x:row r="35" ht="26.399999618530273" hidden="0" customHeight="1">
      <x:c r="A35" s="46" t="str">
        <x:v>BDC-034</x:v>
      </x:c>
      <x:c r="B35" s="46" t="str">
        <x:v>beef:muscle</x:v>
      </x:c>
      <x:c r="C35" s="46" t="str">
        <x:v>beef</x:v>
      </x:c>
      <x:c r="D35" s="46" t="str">
        <x:v>dry-cured beef strips</x:v>
      </x:c>
      <x:c r="E35" s="46" t="str">
        <x:v>T1 smoked + spices vs T2 unsmoked + unspiced</x:v>
      </x:c>
      <x:c r="F35" s="46" t="str">
        <x:v>SRC-BEEF-CURE-SMOKE-001</x:v>
      </x:c>
      <x:c r="G35" s="46" t="str">
        <x:v>Ketones</x:v>
      </x:c>
      <x:c r="H35" s="46" t="str">
        <x:v>2,3-Octanedione</x:v>
      </x:c>
      <x:c r="I35" s="46"/>
      <x:c r="J35" s="46" t="n">
        <x:v>1319</x:v>
      </x:c>
      <x:c r="K35" s="46" t="str">
        <x:v>MS;RI</x:v>
      </x:c>
      <x:c r="L35" s="46"/>
      <x:c r="M35" s="46"/>
      <x:c r="N35" s="46" t="str">
        <x:v>partial_no_numeric_match_factor_with_ri</x:v>
      </x:c>
      <x:c r="O35" s="46"/>
      <x:c r="P35" s="46" t="n">
        <x:v>53.36</x:v>
      </x:c>
      <x:c r="Q35" s="46" t="n">
        <x:v>12.49</x:v>
      </x:c>
      <x:c r="R35" s="46" t="str">
        <x:v>-</x:v>
      </x:c>
      <x:c r="S35" s="46" t="str">
        <x:v>no</x:v>
      </x:c>
      <x:c r="T35" s="46" t="str">
        <x:v>yes</x:v>
      </x:c>
      <x:c r="U35" s="46"/>
      <x:c r="V35" s="46" t="str">
        <x:v>ng/g dry matter</x:v>
      </x:c>
      <x:c r="W35" s="46"/>
    </x:row>
    <x:row r="36" ht="26.399999618530273" hidden="0" customHeight="1">
      <x:c r="A36" s="46" t="str">
        <x:v>BDC-035</x:v>
      </x:c>
      <x:c r="B36" s="46" t="str">
        <x:v>beef:muscle</x:v>
      </x:c>
      <x:c r="C36" s="46" t="str">
        <x:v>beef</x:v>
      </x:c>
      <x:c r="D36" s="46" t="str">
        <x:v>dry-cured beef strips</x:v>
      </x:c>
      <x:c r="E36" s="46" t="str">
        <x:v>T1 smoked + spices vs T2 unsmoked + unspiced</x:v>
      </x:c>
      <x:c r="F36" s="46" t="str">
        <x:v>SRC-BEEF-CURE-SMOKE-001</x:v>
      </x:c>
      <x:c r="G36" s="46" t="str">
        <x:v>Ketones</x:v>
      </x:c>
      <x:c r="H36" s="46" t="str">
        <x:v>2-Cyclopenten-1-one,2-methyl-</x:v>
      </x:c>
      <x:c r="I36" s="46"/>
      <x:c r="J36" s="46" t="n">
        <x:v>1374</x:v>
      </x:c>
      <x:c r="K36" s="46" t="str">
        <x:v>MS;RI</x:v>
      </x:c>
      <x:c r="L36" s="46"/>
      <x:c r="M36" s="46"/>
      <x:c r="N36" s="46" t="str">
        <x:v>partial_no_numeric_match_factor_with_ri</x:v>
      </x:c>
      <x:c r="O36" s="46" t="n">
        <x:v>30.21</x:v>
      </x:c>
      <x:c r="P36" s="46"/>
      <x:c r="Q36" s="46" t="n">
        <x:v>4.24</x:v>
      </x:c>
      <x:c r="R36" s="46" t="str">
        <x:v>-</x:v>
      </x:c>
      <x:c r="S36" s="46" t="str">
        <x:v>yes</x:v>
      </x:c>
      <x:c r="T36" s="46" t="str">
        <x:v>no</x:v>
      </x:c>
      <x:c r="U36" s="46"/>
      <x:c r="V36" s="46" t="str">
        <x:v>ng/g dry matter</x:v>
      </x:c>
      <x:c r="W36" s="46"/>
    </x:row>
    <x:row r="37" ht="26.399999618530273" hidden="0" customHeight="1">
      <x:c r="A37" s="46" t="str">
        <x:v>BDC-036</x:v>
      </x:c>
      <x:c r="B37" s="46" t="str">
        <x:v>beef:muscle</x:v>
      </x:c>
      <x:c r="C37" s="46" t="str">
        <x:v>beef</x:v>
      </x:c>
      <x:c r="D37" s="46" t="str">
        <x:v>dry-cured beef strips</x:v>
      </x:c>
      <x:c r="E37" s="46" t="str">
        <x:v>T1 smoked + spices vs T2 unsmoked + unspiced</x:v>
      </x:c>
      <x:c r="F37" s="46" t="str">
        <x:v>SRC-BEEF-CURE-SMOKE-001</x:v>
      </x:c>
      <x:c r="G37" s="46" t="str">
        <x:v>Ketones</x:v>
      </x:c>
      <x:c r="H37" s="46" t="str">
        <x:v>2-Nonanone</x:v>
      </x:c>
      <x:c r="I37" s="46"/>
      <x:c r="J37" s="46" t="n">
        <x:v>1387</x:v>
      </x:c>
      <x:c r="K37" s="46" t="str">
        <x:v>MS;RI</x:v>
      </x:c>
      <x:c r="L37" s="46"/>
      <x:c r="M37" s="46"/>
      <x:c r="N37" s="46" t="str">
        <x:v>partial_no_numeric_match_factor_with_ri</x:v>
      </x:c>
      <x:c r="O37" s="46"/>
      <x:c r="P37" s="46" t="n">
        <x:v>2.14</x:v>
      </x:c>
      <x:c r="Q37" s="46" t="n">
        <x:v>0.62</x:v>
      </x:c>
      <x:c r="R37" s="46" t="str">
        <x:v>-</x:v>
      </x:c>
      <x:c r="S37" s="46" t="str">
        <x:v>no</x:v>
      </x:c>
      <x:c r="T37" s="46" t="str">
        <x:v>yes</x:v>
      </x:c>
      <x:c r="U37" s="46"/>
      <x:c r="V37" s="46" t="str">
        <x:v>ng/g dry matter</x:v>
      </x:c>
      <x:c r="W37" s="46"/>
    </x:row>
    <x:row r="38" ht="26.399999618530273" hidden="0" customHeight="1">
      <x:c r="A38" s="46" t="str">
        <x:v>BDC-037</x:v>
      </x:c>
      <x:c r="B38" s="46" t="str">
        <x:v>beef:muscle</x:v>
      </x:c>
      <x:c r="C38" s="46" t="str">
        <x:v>beef</x:v>
      </x:c>
      <x:c r="D38" s="46" t="str">
        <x:v>dry-cured beef strips</x:v>
      </x:c>
      <x:c r="E38" s="46" t="str">
        <x:v>T1 smoked + spices vs T2 unsmoked + unspiced</x:v>
      </x:c>
      <x:c r="F38" s="46" t="str">
        <x:v>SRC-BEEF-CURE-SMOKE-001</x:v>
      </x:c>
      <x:c r="G38" s="46" t="str">
        <x:v>Ketones</x:v>
      </x:c>
      <x:c r="H38" s="46" t="str">
        <x:v>2-Cyclopenten-1-one,2,3-dimethyl-</x:v>
      </x:c>
      <x:c r="I38" s="46"/>
      <x:c r="J38" s="46" t="n">
        <x:v>1454</x:v>
      </x:c>
      <x:c r="K38" s="46" t="str">
        <x:v>MS</x:v>
      </x:c>
      <x:c r="L38" s="46"/>
      <x:c r="M38" s="46"/>
      <x:c r="N38" s="46" t="str">
        <x:v>partial_ms_only_no_numeric_match_factor</x:v>
      </x:c>
      <x:c r="O38" s="46" t="n">
        <x:v>19.52</x:v>
      </x:c>
      <x:c r="P38" s="46"/>
      <x:c r="Q38" s="46" t="n">
        <x:v>2.65</x:v>
      </x:c>
      <x:c r="R38" s="46" t="str">
        <x:v>-</x:v>
      </x:c>
      <x:c r="S38" s="46" t="str">
        <x:v>yes</x:v>
      </x:c>
      <x:c r="T38" s="46" t="str">
        <x:v>no</x:v>
      </x:c>
      <x:c r="U38" s="46"/>
      <x:c r="V38" s="46" t="str">
        <x:v>ng/g dry matter</x:v>
      </x:c>
      <x:c r="W38" s="46"/>
    </x:row>
    <x:row r="39" ht="26.399999618530273" hidden="0" customHeight="1">
      <x:c r="A39" s="46" t="str">
        <x:v>BDC-038</x:v>
      </x:c>
      <x:c r="B39" s="46" t="str">
        <x:v>beef:muscle</x:v>
      </x:c>
      <x:c r="C39" s="46" t="str">
        <x:v>beef</x:v>
      </x:c>
      <x:c r="D39" s="46" t="str">
        <x:v>dry-cured beef strips</x:v>
      </x:c>
      <x:c r="E39" s="46" t="str">
        <x:v>T1 smoked + spices vs T2 unsmoked + unspiced</x:v>
      </x:c>
      <x:c r="F39" s="46" t="str">
        <x:v>SRC-BEEF-CURE-SMOKE-001</x:v>
      </x:c>
      <x:c r="G39" s="46" t="str">
        <x:v>Ketones</x:v>
      </x:c>
      <x:c r="H39" s="46" t="str">
        <x:v>2-Cyclopenten-1-one,3,4-dimethyl-</x:v>
      </x:c>
      <x:c r="I39" s="46"/>
      <x:c r="J39" s="46" t="n">
        <x:v>1489</x:v>
      </x:c>
      <x:c r="K39" s="46" t="str">
        <x:v>MS</x:v>
      </x:c>
      <x:c r="L39" s="46"/>
      <x:c r="M39" s="46"/>
      <x:c r="N39" s="46" t="str">
        <x:v>partial_ms_only_no_numeric_match_factor</x:v>
      </x:c>
      <x:c r="O39" s="46" t="n">
        <x:v>31.84</x:v>
      </x:c>
      <x:c r="P39" s="46"/>
      <x:c r="Q39" s="46" t="n">
        <x:v>4.19</x:v>
      </x:c>
      <x:c r="R39" s="46" t="str">
        <x:v>-</x:v>
      </x:c>
      <x:c r="S39" s="46" t="str">
        <x:v>yes</x:v>
      </x:c>
      <x:c r="T39" s="46" t="str">
        <x:v>no</x:v>
      </x:c>
      <x:c r="U39" s="46"/>
      <x:c r="V39" s="46" t="str">
        <x:v>ng/g dry matter</x:v>
      </x:c>
      <x:c r="W39" s="46"/>
    </x:row>
    <x:row r="40" ht="26.399999618530273" hidden="0" customHeight="1">
      <x:c r="A40" s="46" t="str">
        <x:v>BDC-039</x:v>
      </x:c>
      <x:c r="B40" s="46" t="str">
        <x:v>beef:muscle</x:v>
      </x:c>
      <x:c r="C40" s="46" t="str">
        <x:v>beef</x:v>
      </x:c>
      <x:c r="D40" s="46" t="str">
        <x:v>dry-cured beef strips</x:v>
      </x:c>
      <x:c r="E40" s="46" t="str">
        <x:v>T1 smoked + spices vs T2 unsmoked + unspiced</x:v>
      </x:c>
      <x:c r="F40" s="46" t="str">
        <x:v>SRC-BEEF-CURE-SMOKE-001</x:v>
      </x:c>
      <x:c r="G40" s="46" t="str">
        <x:v>Ketones</x:v>
      </x:c>
      <x:c r="H40" s="46" t="str">
        <x:v>2-Cyclopenten-1-one,2,3,4-trimethyl-</x:v>
      </x:c>
      <x:c r="I40" s="46"/>
      <x:c r="J40" s="46" t="n">
        <x:v>1504</x:v>
      </x:c>
      <x:c r="K40" s="46" t="str">
        <x:v>MS</x:v>
      </x:c>
      <x:c r="L40" s="46"/>
      <x:c r="M40" s="46"/>
      <x:c r="N40" s="46" t="str">
        <x:v>partial_ms_only_no_numeric_match_factor</x:v>
      </x:c>
      <x:c r="O40" s="46" t="n">
        <x:v>17.42</x:v>
      </x:c>
      <x:c r="P40" s="46"/>
      <x:c r="Q40" s="46" t="n">
        <x:v>2.85</x:v>
      </x:c>
      <x:c r="R40" s="46" t="str">
        <x:v>-</x:v>
      </x:c>
      <x:c r="S40" s="46" t="str">
        <x:v>yes</x:v>
      </x:c>
      <x:c r="T40" s="46" t="str">
        <x:v>no</x:v>
      </x:c>
      <x:c r="U40" s="46"/>
      <x:c r="V40" s="46" t="str">
        <x:v>ng/g dry matter</x:v>
      </x:c>
      <x:c r="W40" s="46"/>
    </x:row>
    <x:row r="41" ht="26.399999618530273" hidden="0" customHeight="1">
      <x:c r="A41" s="46" t="str">
        <x:v>BDC-040</x:v>
      </x:c>
      <x:c r="B41" s="46" t="str">
        <x:v>beef:muscle</x:v>
      </x:c>
      <x:c r="C41" s="46" t="str">
        <x:v>beef</x:v>
      </x:c>
      <x:c r="D41" s="46" t="str">
        <x:v>dry-cured beef strips</x:v>
      </x:c>
      <x:c r="E41" s="46" t="str">
        <x:v>T1 smoked + spices vs T2 unsmoked + unspiced</x:v>
      </x:c>
      <x:c r="F41" s="46" t="str">
        <x:v>SRC-BEEF-CURE-SMOKE-001</x:v>
      </x:c>
      <x:c r="G41" s="46" t="str">
        <x:v>Ketones</x:v>
      </x:c>
      <x:c r="H41" s="46" t="str">
        <x:v>2-Cyclopenten-1-one,3-methyl-</x:v>
      </x:c>
      <x:c r="I41" s="46"/>
      <x:c r="J41" s="46" t="n">
        <x:v>1527</x:v>
      </x:c>
      <x:c r="K41" s="46" t="str">
        <x:v>MS</x:v>
      </x:c>
      <x:c r="L41" s="46"/>
      <x:c r="M41" s="46"/>
      <x:c r="N41" s="46" t="str">
        <x:v>partial_ms_only_no_numeric_match_factor</x:v>
      </x:c>
      <x:c r="O41" s="46" t="n">
        <x:v>68.4</x:v>
      </x:c>
      <x:c r="P41" s="46"/>
      <x:c r="Q41" s="46" t="n">
        <x:v>8.8</x:v>
      </x:c>
      <x:c r="R41" s="46" t="str">
        <x:v>-</x:v>
      </x:c>
      <x:c r="S41" s="46" t="str">
        <x:v>yes</x:v>
      </x:c>
      <x:c r="T41" s="46" t="str">
        <x:v>no</x:v>
      </x:c>
      <x:c r="U41" s="46"/>
      <x:c r="V41" s="46" t="str">
        <x:v>ng/g dry matter</x:v>
      </x:c>
      <x:c r="W41" s="46"/>
    </x:row>
    <x:row r="42" ht="26.399999618530273" hidden="0" customHeight="1">
      <x:c r="A42" s="46" t="str">
        <x:v>BDC-041</x:v>
      </x:c>
      <x:c r="B42" s="46" t="str">
        <x:v>beef:muscle</x:v>
      </x:c>
      <x:c r="C42" s="46" t="str">
        <x:v>beef</x:v>
      </x:c>
      <x:c r="D42" s="46" t="str">
        <x:v>dry-cured beef strips</x:v>
      </x:c>
      <x:c r="E42" s="46" t="str">
        <x:v>T1 smoked + spices vs T2 unsmoked + unspiced</x:v>
      </x:c>
      <x:c r="F42" s="46" t="str">
        <x:v>SRC-BEEF-CURE-SMOKE-001</x:v>
      </x:c>
      <x:c r="G42" s="46" t="str">
        <x:v>Ketones</x:v>
      </x:c>
      <x:c r="H42" s="46" t="str">
        <x:v>2-Cyclopenten-1-one,3,4,4-trimethyl-</x:v>
      </x:c>
      <x:c r="I42" s="46"/>
      <x:c r="J42" s="46" t="n">
        <x:v>1563</x:v>
      </x:c>
      <x:c r="K42" s="46" t="str">
        <x:v>MS</x:v>
      </x:c>
      <x:c r="L42" s="46"/>
      <x:c r="M42" s="46"/>
      <x:c r="N42" s="46" t="str">
        <x:v>partial_ms_only_no_numeric_match_factor</x:v>
      </x:c>
      <x:c r="O42" s="46" t="n">
        <x:v>14.44</x:v>
      </x:c>
      <x:c r="P42" s="46"/>
      <x:c r="Q42" s="46" t="n">
        <x:v>2.14</x:v>
      </x:c>
      <x:c r="R42" s="46" t="str">
        <x:v>-</x:v>
      </x:c>
      <x:c r="S42" s="46" t="str">
        <x:v>yes</x:v>
      </x:c>
      <x:c r="T42" s="46" t="str">
        <x:v>no</x:v>
      </x:c>
      <x:c r="U42" s="46"/>
      <x:c r="V42" s="46" t="str">
        <x:v>ng/g dry matter</x:v>
      </x:c>
      <x:c r="W42" s="46"/>
    </x:row>
    <x:row r="43" ht="26.399999618530273" hidden="0" customHeight="1">
      <x:c r="A43" s="46" t="str">
        <x:v>BDC-042</x:v>
      </x:c>
      <x:c r="B43" s="46" t="str">
        <x:v>beef:muscle</x:v>
      </x:c>
      <x:c r="C43" s="46" t="str">
        <x:v>beef</x:v>
      </x:c>
      <x:c r="D43" s="46" t="str">
        <x:v>dry-cured beef strips</x:v>
      </x:c>
      <x:c r="E43" s="46" t="str">
        <x:v>T1 smoked + spices vs T2 unsmoked + unspiced</x:v>
      </x:c>
      <x:c r="F43" s="46" t="str">
        <x:v>SRC-BEEF-CURE-SMOKE-001</x:v>
      </x:c>
      <x:c r="G43" s="46" t="str">
        <x:v>Ketones</x:v>
      </x:c>
      <x:c r="H43" s="46" t="str">
        <x:v>2-Cyclopenten-1-one,3,5,5-trimethyl-</x:v>
      </x:c>
      <x:c r="I43" s="46"/>
      <x:c r="J43" s="46" t="n">
        <x:v>1620</x:v>
      </x:c>
      <x:c r="K43" s="46" t="str">
        <x:v>MS</x:v>
      </x:c>
      <x:c r="L43" s="46"/>
      <x:c r="M43" s="46"/>
      <x:c r="N43" s="46" t="str">
        <x:v>partial_ms_only_no_numeric_match_factor</x:v>
      </x:c>
      <x:c r="O43" s="46" t="n">
        <x:v>10.39</x:v>
      </x:c>
      <x:c r="P43" s="46"/>
      <x:c r="Q43" s="46" t="n">
        <x:v>1.46</x:v>
      </x:c>
      <x:c r="R43" s="46" t="str">
        <x:v>-</x:v>
      </x:c>
      <x:c r="S43" s="46" t="str">
        <x:v>yes</x:v>
      </x:c>
      <x:c r="T43" s="46" t="str">
        <x:v>no</x:v>
      </x:c>
      <x:c r="U43" s="46"/>
      <x:c r="V43" s="46" t="str">
        <x:v>ng/g dry matter</x:v>
      </x:c>
      <x:c r="W43" s="46"/>
    </x:row>
    <x:row r="44" ht="26.399999618530273" hidden="0" customHeight="1">
      <x:c r="A44" s="46" t="str">
        <x:v>BDC-043</x:v>
      </x:c>
      <x:c r="B44" s="46" t="str">
        <x:v>beef:muscle</x:v>
      </x:c>
      <x:c r="C44" s="46" t="str">
        <x:v>beef</x:v>
      </x:c>
      <x:c r="D44" s="46" t="str">
        <x:v>dry-cured beef strips</x:v>
      </x:c>
      <x:c r="E44" s="46" t="str">
        <x:v>T1 smoked + spices vs T2 unsmoked + unspiced</x:v>
      </x:c>
      <x:c r="F44" s="46" t="str">
        <x:v>SRC-BEEF-CURE-SMOKE-001</x:v>
      </x:c>
      <x:c r="G44" s="46" t="str">
        <x:v>Ketones</x:v>
      </x:c>
      <x:c r="H44" s="46" t="str">
        <x:v>2-Cyclopenten-1-one,3-ethyl-</x:v>
      </x:c>
      <x:c r="I44" s="46"/>
      <x:c r="J44" s="46" t="n">
        <x:v>1639</x:v>
      </x:c>
      <x:c r="K44" s="46" t="str">
        <x:v>MS</x:v>
      </x:c>
      <x:c r="L44" s="46"/>
      <x:c r="M44" s="46"/>
      <x:c r="N44" s="46" t="str">
        <x:v>partial_ms_only_no_numeric_match_factor</x:v>
      </x:c>
      <x:c r="O44" s="46" t="n">
        <x:v>12.53</x:v>
      </x:c>
      <x:c r="P44" s="46"/>
      <x:c r="Q44" s="46" t="n">
        <x:v>1.96</x:v>
      </x:c>
      <x:c r="R44" s="46" t="str">
        <x:v>-</x:v>
      </x:c>
      <x:c r="S44" s="46" t="str">
        <x:v>yes</x:v>
      </x:c>
      <x:c r="T44" s="46" t="str">
        <x:v>no</x:v>
      </x:c>
      <x:c r="U44" s="46"/>
      <x:c r="V44" s="46" t="str">
        <x:v>ng/g dry matter</x:v>
      </x:c>
      <x:c r="W44" s="46"/>
    </x:row>
    <x:row r="45" ht="26.399999618530273" hidden="0" customHeight="1">
      <x:c r="A45" s="46" t="str">
        <x:v>BDC-044</x:v>
      </x:c>
      <x:c r="B45" s="46" t="str">
        <x:v>beef:muscle</x:v>
      </x:c>
      <x:c r="C45" s="46" t="str">
        <x:v>beef</x:v>
      </x:c>
      <x:c r="D45" s="46" t="str">
        <x:v>dry-cured beef strips</x:v>
      </x:c>
      <x:c r="E45" s="46" t="str">
        <x:v>T1 smoked + spices vs T2 unsmoked + unspiced</x:v>
      </x:c>
      <x:c r="F45" s="46" t="str">
        <x:v>SRC-BEEF-CURE-SMOKE-001</x:v>
      </x:c>
      <x:c r="G45" s="46" t="str">
        <x:v>Ketones</x:v>
      </x:c>
      <x:c r="H45" s="46" t="str">
        <x:v>Acetophenone</x:v>
      </x:c>
      <x:c r="I45" s="46"/>
      <x:c r="J45" s="46" t="n">
        <x:v>1657</x:v>
      </x:c>
      <x:c r="K45" s="46" t="str">
        <x:v>MS;RI</x:v>
      </x:c>
      <x:c r="L45" s="46"/>
      <x:c r="M45" s="46"/>
      <x:c r="N45" s="46" t="str">
        <x:v>partial_no_numeric_match_factor_with_ri</x:v>
      </x:c>
      <x:c r="O45" s="46" t="n">
        <x:v>31.67</x:v>
      </x:c>
      <x:c r="P45" s="46"/>
      <x:c r="Q45" s="46" t="n">
        <x:v>3.32</x:v>
      </x:c>
      <x:c r="R45" s="46" t="str">
        <x:v>-</x:v>
      </x:c>
      <x:c r="S45" s="46" t="str">
        <x:v>yes</x:v>
      </x:c>
      <x:c r="T45" s="46" t="str">
        <x:v>no</x:v>
      </x:c>
      <x:c r="U45" s="46"/>
      <x:c r="V45" s="46" t="str">
        <x:v>ng/g dry matter</x:v>
      </x:c>
      <x:c r="W45" s="46"/>
    </x:row>
    <x:row r="46" ht="26.399999618530273" hidden="0" customHeight="1">
      <x:c r="A46" s="46" t="str">
        <x:v>BDC-045</x:v>
      </x:c>
      <x:c r="B46" s="46" t="str">
        <x:v>beef:muscle</x:v>
      </x:c>
      <x:c r="C46" s="46" t="str">
        <x:v>beef</x:v>
      </x:c>
      <x:c r="D46" s="46" t="str">
        <x:v>dry-cured beef strips</x:v>
      </x:c>
      <x:c r="E46" s="46" t="str">
        <x:v>T1 smoked + spices vs T2 unsmoked + unspiced</x:v>
      </x:c>
      <x:c r="F46" s="46" t="str">
        <x:v>SRC-BEEF-CURE-SMOKE-001</x:v>
      </x:c>
      <x:c r="G46" s="46" t="str">
        <x:v>Ketones</x:v>
      </x:c>
      <x:c r="H46" s="46" t="str">
        <x:v>4-Hepten-3-one,4-methyl-</x:v>
      </x:c>
      <x:c r="I46" s="46"/>
      <x:c r="J46" s="46" t="n">
        <x:v>1731</x:v>
      </x:c>
      <x:c r="K46" s="46" t="str">
        <x:v>MS</x:v>
      </x:c>
      <x:c r="L46" s="46"/>
      <x:c r="M46" s="46"/>
      <x:c r="N46" s="46" t="str">
        <x:v>partial_ms_only_no_numeric_match_factor</x:v>
      </x:c>
      <x:c r="O46" s="46" t="n">
        <x:v>25.16</x:v>
      </x:c>
      <x:c r="P46" s="46"/>
      <x:c r="Q46" s="46" t="n">
        <x:v>3.37</x:v>
      </x:c>
      <x:c r="R46" s="46" t="str">
        <x:v>-</x:v>
      </x:c>
      <x:c r="S46" s="46" t="str">
        <x:v>yes</x:v>
      </x:c>
      <x:c r="T46" s="46" t="str">
        <x:v>no</x:v>
      </x:c>
      <x:c r="U46" s="46"/>
      <x:c r="V46" s="46" t="str">
        <x:v>ng/g dry matter</x:v>
      </x:c>
      <x:c r="W46" s="46"/>
    </x:row>
    <x:row r="47" ht="26.399999618530273" hidden="0" customHeight="1">
      <x:c r="A47" s="46" t="str">
        <x:v>BDC-046</x:v>
      </x:c>
      <x:c r="B47" s="46" t="str">
        <x:v>beef:muscle</x:v>
      </x:c>
      <x:c r="C47" s="46" t="str">
        <x:v>beef</x:v>
      </x:c>
      <x:c r="D47" s="46" t="str">
        <x:v>dry-cured beef strips</x:v>
      </x:c>
      <x:c r="E47" s="46" t="str">
        <x:v>T1 smoked + spices vs T2 unsmoked + unspiced</x:v>
      </x:c>
      <x:c r="F47" s="46" t="str">
        <x:v>SRC-BEEF-CURE-SMOKE-001</x:v>
      </x:c>
      <x:c r="G47" s="46" t="str">
        <x:v>Ketones</x:v>
      </x:c>
      <x:c r="H47" s="46" t="str">
        <x:v>1H-Inden-1-one,2,3-dihydro-</x:v>
      </x:c>
      <x:c r="I47" s="46"/>
      <x:c r="J47" s="46" t="n">
        <x:v>2027</x:v>
      </x:c>
      <x:c r="K47" s="46" t="str">
        <x:v>MS</x:v>
      </x:c>
      <x:c r="L47" s="46"/>
      <x:c r="M47" s="46"/>
      <x:c r="N47" s="46" t="str">
        <x:v>partial_ms_only_no_numeric_match_factor</x:v>
      </x:c>
      <x:c r="O47" s="46" t="n">
        <x:v>23.36</x:v>
      </x:c>
      <x:c r="P47" s="46"/>
      <x:c r="Q47" s="46" t="n">
        <x:v>2.83</x:v>
      </x:c>
      <x:c r="R47" s="46" t="str">
        <x:v>-</x:v>
      </x:c>
      <x:c r="S47" s="46" t="str">
        <x:v>yes</x:v>
      </x:c>
      <x:c r="T47" s="46" t="str">
        <x:v>no</x:v>
      </x:c>
      <x:c r="U47" s="46"/>
      <x:c r="V47" s="46" t="str">
        <x:v>ng/g dry matter</x:v>
      </x:c>
      <x:c r="W47" s="46"/>
    </x:row>
    <x:row r="48" ht="26.399999618530273" hidden="0" customHeight="1">
      <x:c r="A48" s="46" t="str">
        <x:v>BDC-047</x:v>
      </x:c>
      <x:c r="B48" s="46" t="str">
        <x:v>beef:muscle</x:v>
      </x:c>
      <x:c r="C48" s="46" t="str">
        <x:v>beef</x:v>
      </x:c>
      <x:c r="D48" s="46" t="str">
        <x:v>dry-cured beef strips</x:v>
      </x:c>
      <x:c r="E48" s="46" t="str">
        <x:v>T1 smoked + spices vs T2 unsmoked + unspiced</x:v>
      </x:c>
      <x:c r="F48" s="46" t="str">
        <x:v>SRC-BEEF-CURE-SMOKE-001</x:v>
      </x:c>
      <x:c r="G48" s="46" t="str">
        <x:v>Alcohols</x:v>
      </x:c>
      <x:c r="H48" s="46" t="str">
        <x:v>Ethanol</x:v>
      </x:c>
      <x:c r="I48" s="46"/>
      <x:c r="J48" s="46" t="n">
        <x:v>936</x:v>
      </x:c>
      <x:c r="K48" s="46" t="str">
        <x:v>MS;RI</x:v>
      </x:c>
      <x:c r="L48" s="46"/>
      <x:c r="M48" s="46"/>
      <x:c r="N48" s="46" t="str">
        <x:v>partial_no_numeric_match_factor_with_ri</x:v>
      </x:c>
      <x:c r="O48" s="46" t="n">
        <x:v>35.13</x:v>
      </x:c>
      <x:c r="P48" s="46"/>
      <x:c r="Q48" s="46" t="n">
        <x:v>4.65</x:v>
      </x:c>
      <x:c r="R48" s="46" t="str">
        <x:v>-</x:v>
      </x:c>
      <x:c r="S48" s="46" t="str">
        <x:v>yes</x:v>
      </x:c>
      <x:c r="T48" s="46" t="str">
        <x:v>no</x:v>
      </x:c>
      <x:c r="U48" s="46"/>
      <x:c r="V48" s="46" t="str">
        <x:v>ng/g dry matter</x:v>
      </x:c>
      <x:c r="W48" s="46"/>
    </x:row>
    <x:row r="49" ht="26.399999618530273" hidden="0" customHeight="1">
      <x:c r="A49" s="46" t="str">
        <x:v>BDC-048</x:v>
      </x:c>
      <x:c r="B49" s="46" t="str">
        <x:v>beef:muscle</x:v>
      </x:c>
      <x:c r="C49" s="46" t="str">
        <x:v>beef</x:v>
      </x:c>
      <x:c r="D49" s="46" t="str">
        <x:v>dry-cured beef strips</x:v>
      </x:c>
      <x:c r="E49" s="46" t="str">
        <x:v>T1 smoked + spices vs T2 unsmoked + unspiced</x:v>
      </x:c>
      <x:c r="F49" s="46" t="str">
        <x:v>SRC-BEEF-CURE-SMOKE-001</x:v>
      </x:c>
      <x:c r="G49" s="46" t="str">
        <x:v>Alcohols</x:v>
      </x:c>
      <x:c r="H49" s="46" t="str">
        <x:v>1-Penten-3-ol</x:v>
      </x:c>
      <x:c r="I49" s="46"/>
      <x:c r="J49" s="46" t="n">
        <x:v>1159</x:v>
      </x:c>
      <x:c r="K49" s="46" t="str">
        <x:v>MS;RI</x:v>
      </x:c>
      <x:c r="L49" s="46"/>
      <x:c r="M49" s="46"/>
      <x:c r="N49" s="46" t="str">
        <x:v>partial_no_numeric_match_factor_with_ri</x:v>
      </x:c>
      <x:c r="O49" s="46"/>
      <x:c r="P49" s="46" t="n">
        <x:v>5.88</x:v>
      </x:c>
      <x:c r="Q49" s="46" t="n">
        <x:v>1.58</x:v>
      </x:c>
      <x:c r="R49" s="46" t="str">
        <x:v>-</x:v>
      </x:c>
      <x:c r="S49" s="46" t="str">
        <x:v>no</x:v>
      </x:c>
      <x:c r="T49" s="46" t="str">
        <x:v>yes</x:v>
      </x:c>
      <x:c r="U49" s="46"/>
      <x:c r="V49" s="46" t="str">
        <x:v>ng/g dry matter</x:v>
      </x:c>
      <x:c r="W49" s="46"/>
    </x:row>
    <x:row r="50" ht="26.399999618530273" hidden="0" customHeight="1">
      <x:c r="A50" s="46" t="str">
        <x:v>BDC-049</x:v>
      </x:c>
      <x:c r="B50" s="46" t="str">
        <x:v>beef:muscle</x:v>
      </x:c>
      <x:c r="C50" s="46" t="str">
        <x:v>beef</x:v>
      </x:c>
      <x:c r="D50" s="46" t="str">
        <x:v>dry-cured beef strips</x:v>
      </x:c>
      <x:c r="E50" s="46" t="str">
        <x:v>T1 smoked + spices vs T2 unsmoked + unspiced</x:v>
      </x:c>
      <x:c r="F50" s="46" t="str">
        <x:v>SRC-BEEF-CURE-SMOKE-001</x:v>
      </x:c>
      <x:c r="G50" s="46" t="str">
        <x:v>Alcohols</x:v>
      </x:c>
      <x:c r="H50" s="46" t="str">
        <x:v>3-Methyl-1-butanol</x:v>
      </x:c>
      <x:c r="I50" s="46"/>
      <x:c r="J50" s="46" t="n">
        <x:v>1209</x:v>
      </x:c>
      <x:c r="K50" s="46" t="str">
        <x:v>MS;RI</x:v>
      </x:c>
      <x:c r="L50" s="46"/>
      <x:c r="M50" s="46"/>
      <x:c r="N50" s="46" t="str">
        <x:v>partial_no_numeric_match_factor_with_ri</x:v>
      </x:c>
      <x:c r="O50" s="46" t="n">
        <x:v>18.09</x:v>
      </x:c>
      <x:c r="P50" s="46" t="n">
        <x:v>17.19</x:v>
      </x:c>
      <x:c r="Q50" s="46" t="n">
        <x:v>6.17</x:v>
      </x:c>
      <x:c r="R50" s="46" t="str">
        <x:v>NS</x:v>
      </x:c>
      <x:c r="S50" s="46" t="str">
        <x:v>yes</x:v>
      </x:c>
      <x:c r="T50" s="46" t="str">
        <x:v>yes</x:v>
      </x:c>
      <x:c r="U50" s="46"/>
      <x:c r="V50" s="46" t="str">
        <x:v>ng/g dry matter</x:v>
      </x:c>
      <x:c r="W50" s="46"/>
    </x:row>
    <x:row r="51" ht="26.399999618530273" hidden="0" customHeight="1">
      <x:c r="A51" s="46" t="str">
        <x:v>BDC-050</x:v>
      </x:c>
      <x:c r="B51" s="46" t="str">
        <x:v>beef:muscle</x:v>
      </x:c>
      <x:c r="C51" s="46" t="str">
        <x:v>beef</x:v>
      </x:c>
      <x:c r="D51" s="46" t="str">
        <x:v>dry-cured beef strips</x:v>
      </x:c>
      <x:c r="E51" s="46" t="str">
        <x:v>T1 smoked + spices vs T2 unsmoked + unspiced</x:v>
      </x:c>
      <x:c r="F51" s="46" t="str">
        <x:v>SRC-BEEF-CURE-SMOKE-001</x:v>
      </x:c>
      <x:c r="G51" s="46" t="str">
        <x:v>Alcohols</x:v>
      </x:c>
      <x:c r="H51" s="46" t="str">
        <x:v>1-Pentanol</x:v>
      </x:c>
      <x:c r="I51" s="46"/>
      <x:c r="J51" s="46" t="n">
        <x:v>1239</x:v>
      </x:c>
      <x:c r="K51" s="46" t="str">
        <x:v>MS;RI</x:v>
      </x:c>
      <x:c r="L51" s="46"/>
      <x:c r="M51" s="46"/>
      <x:c r="N51" s="46" t="str">
        <x:v>partial_no_numeric_match_factor_with_ri</x:v>
      </x:c>
      <x:c r="O51" s="46" t="n">
        <x:v>2.68</x:v>
      </x:c>
      <x:c r="P51" s="46" t="n">
        <x:v>16.95</x:v>
      </x:c>
      <x:c r="Q51" s="46" t="n">
        <x:v>3.18</x:v>
      </x:c>
      <x:c r="R51" s="46" t="str">
        <x:v>*</x:v>
      </x:c>
      <x:c r="S51" s="46" t="str">
        <x:v>yes</x:v>
      </x:c>
      <x:c r="T51" s="46" t="str">
        <x:v>yes</x:v>
      </x:c>
      <x:c r="U51" s="46"/>
      <x:c r="V51" s="46" t="str">
        <x:v>ng/g dry matter</x:v>
      </x:c>
      <x:c r="W51" s="46"/>
    </x:row>
    <x:row r="52" ht="26.399999618530273" hidden="0" customHeight="1">
      <x:c r="A52" s="46" t="str">
        <x:v>BDC-051</x:v>
      </x:c>
      <x:c r="B52" s="46" t="str">
        <x:v>beef:muscle</x:v>
      </x:c>
      <x:c r="C52" s="46" t="str">
        <x:v>beef</x:v>
      </x:c>
      <x:c r="D52" s="46" t="str">
        <x:v>dry-cured beef strips</x:v>
      </x:c>
      <x:c r="E52" s="46" t="str">
        <x:v>T1 smoked + spices vs T2 unsmoked + unspiced</x:v>
      </x:c>
      <x:c r="F52" s="46" t="str">
        <x:v>SRC-BEEF-CURE-SMOKE-001</x:v>
      </x:c>
      <x:c r="G52" s="46" t="str">
        <x:v>Alcohols</x:v>
      </x:c>
      <x:c r="H52" s="46" t="str">
        <x:v>1-Hexanol</x:v>
      </x:c>
      <x:c r="I52" s="46"/>
      <x:c r="J52" s="46" t="n">
        <x:v>1355</x:v>
      </x:c>
      <x:c r="K52" s="46" t="str">
        <x:v>MS;RI</x:v>
      </x:c>
      <x:c r="L52" s="46"/>
      <x:c r="M52" s="46"/>
      <x:c r="N52" s="46" t="str">
        <x:v>partial_no_numeric_match_factor_with_ri</x:v>
      </x:c>
      <x:c r="O52" s="46" t="n">
        <x:v>16.8</x:v>
      </x:c>
      <x:c r="P52" s="46" t="n">
        <x:v>68.34</x:v>
      </x:c>
      <x:c r="Q52" s="46" t="n">
        <x:v>18.76</x:v>
      </x:c>
      <x:c r="R52" s="46" t="str">
        <x:v>NS</x:v>
      </x:c>
      <x:c r="S52" s="46" t="str">
        <x:v>yes</x:v>
      </x:c>
      <x:c r="T52" s="46" t="str">
        <x:v>yes</x:v>
      </x:c>
      <x:c r="U52" s="46"/>
      <x:c r="V52" s="46" t="str">
        <x:v>ng/g dry matter</x:v>
      </x:c>
      <x:c r="W52" s="46"/>
    </x:row>
    <x:row r="53" ht="26.399999618530273" hidden="0" customHeight="1">
      <x:c r="A53" s="46" t="str">
        <x:v>BDC-052</x:v>
      </x:c>
      <x:c r="B53" s="46" t="str">
        <x:v>beef:muscle</x:v>
      </x:c>
      <x:c r="C53" s="46" t="str">
        <x:v>beef</x:v>
      </x:c>
      <x:c r="D53" s="46" t="str">
        <x:v>dry-cured beef strips</x:v>
      </x:c>
      <x:c r="E53" s="46" t="str">
        <x:v>T1 smoked + spices vs T2 unsmoked + unspiced</x:v>
      </x:c>
      <x:c r="F53" s="46" t="str">
        <x:v>SRC-BEEF-CURE-SMOKE-001</x:v>
      </x:c>
      <x:c r="G53" s="46" t="str">
        <x:v>Alcohols</x:v>
      </x:c>
      <x:c r="H53" s="46" t="str">
        <x:v>1-Octen-3-ol</x:v>
      </x:c>
      <x:c r="I53" s="46"/>
      <x:c r="J53" s="46" t="n">
        <x:v>1451</x:v>
      </x:c>
      <x:c r="K53" s="46" t="str">
        <x:v>MS;RI</x:v>
      </x:c>
      <x:c r="L53" s="46"/>
      <x:c r="M53" s="46"/>
      <x:c r="N53" s="46" t="str">
        <x:v>partial_no_numeric_match_factor_with_ri</x:v>
      </x:c>
      <x:c r="O53" s="46" t="n">
        <x:v>21.41</x:v>
      </x:c>
      <x:c r="P53" s="46" t="n">
        <x:v>83.85</x:v>
      </x:c>
      <x:c r="Q53" s="46" t="n">
        <x:v>15.77</x:v>
      </x:c>
      <x:c r="R53" s="46" t="str">
        <x:v>NS</x:v>
      </x:c>
      <x:c r="S53" s="46" t="str">
        <x:v>yes</x:v>
      </x:c>
      <x:c r="T53" s="46" t="str">
        <x:v>yes</x:v>
      </x:c>
      <x:c r="U53" s="46"/>
      <x:c r="V53" s="46" t="str">
        <x:v>ng/g dry matter</x:v>
      </x:c>
      <x:c r="W53" s="46"/>
    </x:row>
    <x:row r="54" ht="26.399999618530273" hidden="0" customHeight="1">
      <x:c r="A54" s="46" t="str">
        <x:v>BDC-053</x:v>
      </x:c>
      <x:c r="B54" s="46" t="str">
        <x:v>beef:muscle</x:v>
      </x:c>
      <x:c r="C54" s="46" t="str">
        <x:v>beef</x:v>
      </x:c>
      <x:c r="D54" s="46" t="str">
        <x:v>dry-cured beef strips</x:v>
      </x:c>
      <x:c r="E54" s="46" t="str">
        <x:v>T1 smoked + spices vs T2 unsmoked + unspiced</x:v>
      </x:c>
      <x:c r="F54" s="46" t="str">
        <x:v>SRC-BEEF-CURE-SMOKE-001</x:v>
      </x:c>
      <x:c r="G54" s="46" t="str">
        <x:v>Alcohols</x:v>
      </x:c>
      <x:c r="H54" s="46" t="str">
        <x:v>1-Heptanol</x:v>
      </x:c>
      <x:c r="I54" s="46"/>
      <x:c r="J54" s="46" t="n">
        <x:v>1458</x:v>
      </x:c>
      <x:c r="K54" s="46" t="str">
        <x:v>MS;RI</x:v>
      </x:c>
      <x:c r="L54" s="46"/>
      <x:c r="M54" s="46"/>
      <x:c r="N54" s="46" t="str">
        <x:v>partial_no_numeric_match_factor_with_ri</x:v>
      </x:c>
      <x:c r="O54" s="46" t="n">
        <x:v>16.59</x:v>
      </x:c>
      <x:c r="P54" s="46" t="n">
        <x:v>53.03</x:v>
      </x:c>
      <x:c r="Q54" s="46" t="n">
        <x:v>10.66</x:v>
      </x:c>
      <x:c r="R54" s="46" t="str">
        <x:v>NS</x:v>
      </x:c>
      <x:c r="S54" s="46" t="str">
        <x:v>yes</x:v>
      </x:c>
      <x:c r="T54" s="46" t="str">
        <x:v>yes</x:v>
      </x:c>
      <x:c r="U54" s="46"/>
      <x:c r="V54" s="46" t="str">
        <x:v>ng/g dry matter</x:v>
      </x:c>
      <x:c r="W54" s="46"/>
    </x:row>
    <x:row r="55" ht="26.399999618530273" hidden="0" customHeight="1">
      <x:c r="A55" s="46" t="str">
        <x:v>BDC-054</x:v>
      </x:c>
      <x:c r="B55" s="46" t="str">
        <x:v>beef:muscle</x:v>
      </x:c>
      <x:c r="C55" s="46" t="str">
        <x:v>beef</x:v>
      </x:c>
      <x:c r="D55" s="46" t="str">
        <x:v>dry-cured beef strips</x:v>
      </x:c>
      <x:c r="E55" s="46" t="str">
        <x:v>T1 smoked + spices vs T2 unsmoked + unspiced</x:v>
      </x:c>
      <x:c r="F55" s="46" t="str">
        <x:v>SRC-BEEF-CURE-SMOKE-001</x:v>
      </x:c>
      <x:c r="G55" s="46" t="str">
        <x:v>Alcohols</x:v>
      </x:c>
      <x:c r="H55" s="46" t="str">
        <x:v>(E)-2-Decen-1-ol</x:v>
      </x:c>
      <x:c r="I55" s="46"/>
      <x:c r="J55" s="46" t="n">
        <x:v>1466</x:v>
      </x:c>
      <x:c r="K55" s="46" t="str">
        <x:v>MS</x:v>
      </x:c>
      <x:c r="L55" s="46"/>
      <x:c r="M55" s="46"/>
      <x:c r="N55" s="46" t="str">
        <x:v>partial_ms_only_no_numeric_match_factor</x:v>
      </x:c>
      <x:c r="O55" s="46"/>
      <x:c r="P55" s="46" t="n">
        <x:v>2.02</x:v>
      </x:c>
      <x:c r="Q55" s="46" t="n">
        <x:v>0.59</x:v>
      </x:c>
      <x:c r="R55" s="46" t="str">
        <x:v>-</x:v>
      </x:c>
      <x:c r="S55" s="46" t="str">
        <x:v>no</x:v>
      </x:c>
      <x:c r="T55" s="46" t="str">
        <x:v>yes</x:v>
      </x:c>
      <x:c r="U55" s="46"/>
      <x:c r="V55" s="46" t="str">
        <x:v>ng/g dry matter</x:v>
      </x:c>
      <x:c r="W55" s="46"/>
    </x:row>
    <x:row r="56" ht="26.399999618530273" hidden="0" customHeight="1">
      <x:c r="A56" s="46" t="str">
        <x:v>BDC-055</x:v>
      </x:c>
      <x:c r="B56" s="46" t="str">
        <x:v>beef:muscle</x:v>
      </x:c>
      <x:c r="C56" s="46" t="str">
        <x:v>beef</x:v>
      </x:c>
      <x:c r="D56" s="46" t="str">
        <x:v>dry-cured beef strips</x:v>
      </x:c>
      <x:c r="E56" s="46" t="str">
        <x:v>T1 smoked + spices vs T2 unsmoked + unspiced</x:v>
      </x:c>
      <x:c r="F56" s="46" t="str">
        <x:v>SRC-BEEF-CURE-SMOKE-001</x:v>
      </x:c>
      <x:c r="G56" s="46" t="str">
        <x:v>Alcohols</x:v>
      </x:c>
      <x:c r="H56" s="46" t="str">
        <x:v>1,6-Octadien-3-ol,3,7-dimethyl-</x:v>
      </x:c>
      <x:c r="I56" s="46"/>
      <x:c r="J56" s="46" t="n">
        <x:v>1548</x:v>
      </x:c>
      <x:c r="K56" s="46" t="str">
        <x:v>MS</x:v>
      </x:c>
      <x:c r="L56" s="46"/>
      <x:c r="M56" s="46"/>
      <x:c r="N56" s="46" t="str">
        <x:v>partial_ms_only_no_numeric_match_factor</x:v>
      </x:c>
      <x:c r="O56" s="46" t="n">
        <x:v>132.09</x:v>
      </x:c>
      <x:c r="P56" s="46"/>
      <x:c r="Q56" s="46" t="n">
        <x:v>14.72</x:v>
      </x:c>
      <x:c r="R56" s="46" t="str">
        <x:v>-</x:v>
      </x:c>
      <x:c r="S56" s="46" t="str">
        <x:v>yes</x:v>
      </x:c>
      <x:c r="T56" s="46" t="str">
        <x:v>no</x:v>
      </x:c>
      <x:c r="U56" s="46"/>
      <x:c r="V56" s="46" t="str">
        <x:v>ng/g dry matter</x:v>
      </x:c>
      <x:c r="W56" s="46"/>
    </x:row>
    <x:row r="57" ht="26.399999618530273" hidden="0" customHeight="1">
      <x:c r="A57" s="46" t="str">
        <x:v>BDC-056</x:v>
      </x:c>
      <x:c r="B57" s="46" t="str">
        <x:v>beef:muscle</x:v>
      </x:c>
      <x:c r="C57" s="46" t="str">
        <x:v>beef</x:v>
      </x:c>
      <x:c r="D57" s="46" t="str">
        <x:v>dry-cured beef strips</x:v>
      </x:c>
      <x:c r="E57" s="46" t="str">
        <x:v>T1 smoked + spices vs T2 unsmoked + unspiced</x:v>
      </x:c>
      <x:c r="F57" s="46" t="str">
        <x:v>SRC-BEEF-CURE-SMOKE-001</x:v>
      </x:c>
      <x:c r="G57" s="46" t="str">
        <x:v>Alcohols</x:v>
      </x:c>
      <x:c r="H57" s="46" t="str">
        <x:v>1-Octanol</x:v>
      </x:c>
      <x:c r="I57" s="46"/>
      <x:c r="J57" s="46" t="n">
        <x:v>1560</x:v>
      </x:c>
      <x:c r="K57" s="46" t="str">
        <x:v>MS;RI</x:v>
      </x:c>
      <x:c r="L57" s="46"/>
      <x:c r="M57" s="46"/>
      <x:c r="N57" s="46" t="str">
        <x:v>partial_no_numeric_match_factor_with_ri</x:v>
      </x:c>
      <x:c r="O57" s="46" t="n">
        <x:v>20.13</x:v>
      </x:c>
      <x:c r="P57" s="46" t="n">
        <x:v>51.94</x:v>
      </x:c>
      <x:c r="Q57" s="46" t="n">
        <x:v>10.36</x:v>
      </x:c>
      <x:c r="R57" s="46" t="str">
        <x:v>NS</x:v>
      </x:c>
      <x:c r="S57" s="46" t="str">
        <x:v>yes</x:v>
      </x:c>
      <x:c r="T57" s="46" t="str">
        <x:v>yes</x:v>
      </x:c>
      <x:c r="U57" s="46"/>
      <x:c r="V57" s="46" t="str">
        <x:v>ng/g dry matter</x:v>
      </x:c>
      <x:c r="W57" s="46"/>
    </x:row>
    <x:row r="58" ht="26.399999618530273" hidden="0" customHeight="1">
      <x:c r="A58" s="46" t="str">
        <x:v>BDC-057</x:v>
      </x:c>
      <x:c r="B58" s="46" t="str">
        <x:v>beef:muscle</x:v>
      </x:c>
      <x:c r="C58" s="46" t="str">
        <x:v>beef</x:v>
      </x:c>
      <x:c r="D58" s="46" t="str">
        <x:v>dry-cured beef strips</x:v>
      </x:c>
      <x:c r="E58" s="46" t="str">
        <x:v>T1 smoked + spices vs T2 unsmoked + unspiced</x:v>
      </x:c>
      <x:c r="F58" s="46" t="str">
        <x:v>SRC-BEEF-CURE-SMOKE-001</x:v>
      </x:c>
      <x:c r="G58" s="46" t="str">
        <x:v>Alcohols</x:v>
      </x:c>
      <x:c r="H58" s="46" t="str">
        <x:v>3-Cyclohexen-1-ol,4-methyl-1-(1-methylethyl)-</x:v>
      </x:c>
      <x:c r="I58" s="46"/>
      <x:c r="J58" s="46" t="n">
        <x:v>1608</x:v>
      </x:c>
      <x:c r="K58" s="46" t="str">
        <x:v>MS</x:v>
      </x:c>
      <x:c r="L58" s="46"/>
      <x:c r="M58" s="46"/>
      <x:c r="N58" s="46" t="str">
        <x:v>partial_ms_only_no_numeric_match_factor</x:v>
      </x:c>
      <x:c r="O58" s="46" t="n">
        <x:v>66.87</x:v>
      </x:c>
      <x:c r="P58" s="46"/>
      <x:c r="Q58" s="46" t="n">
        <x:v>10.78</x:v>
      </x:c>
      <x:c r="R58" s="46" t="str">
        <x:v>-</x:v>
      </x:c>
      <x:c r="S58" s="46" t="str">
        <x:v>yes</x:v>
      </x:c>
      <x:c r="T58" s="46" t="str">
        <x:v>no</x:v>
      </x:c>
      <x:c r="U58" s="46"/>
      <x:c r="V58" s="46" t="str">
        <x:v>ng/g dry matter</x:v>
      </x:c>
      <x:c r="W58" s="46"/>
    </x:row>
    <x:row r="59" ht="26.399999618530273" hidden="0" customHeight="1">
      <x:c r="A59" s="46" t="str">
        <x:v>BDC-058</x:v>
      </x:c>
      <x:c r="B59" s="46" t="str">
        <x:v>beef:muscle</x:v>
      </x:c>
      <x:c r="C59" s="46" t="str">
        <x:v>beef</x:v>
      </x:c>
      <x:c r="D59" s="46" t="str">
        <x:v>dry-cured beef strips</x:v>
      </x:c>
      <x:c r="E59" s="46" t="str">
        <x:v>T1 smoked + spices vs T2 unsmoked + unspiced</x:v>
      </x:c>
      <x:c r="F59" s="46" t="str">
        <x:v>SRC-BEEF-CURE-SMOKE-001</x:v>
      </x:c>
      <x:c r="G59" s="46" t="str">
        <x:v>Alcohols</x:v>
      </x:c>
      <x:c r="H59" s="46" t="str">
        <x:v>(E)-2-Octen-1-ol</x:v>
      </x:c>
      <x:c r="I59" s="46"/>
      <x:c r="J59" s="46" t="n">
        <x:v>1615</x:v>
      </x:c>
      <x:c r="K59" s="46" t="str">
        <x:v>MS</x:v>
      </x:c>
      <x:c r="L59" s="46"/>
      <x:c r="M59" s="46"/>
      <x:c r="N59" s="46" t="str">
        <x:v>partial_ms_only_no_numeric_match_factor</x:v>
      </x:c>
      <x:c r="O59" s="46"/>
      <x:c r="P59" s="46" t="n">
        <x:v>14.96</x:v>
      </x:c>
      <x:c r="Q59" s="46" t="n">
        <x:v>3.21</x:v>
      </x:c>
      <x:c r="R59" s="46" t="str">
        <x:v>-</x:v>
      </x:c>
      <x:c r="S59" s="46" t="str">
        <x:v>no</x:v>
      </x:c>
      <x:c r="T59" s="46" t="str">
        <x:v>yes</x:v>
      </x:c>
      <x:c r="U59" s="46"/>
      <x:c r="V59" s="46" t="str">
        <x:v>ng/g dry matter</x:v>
      </x:c>
      <x:c r="W59" s="46"/>
    </x:row>
    <x:row r="60" ht="26.399999618530273" hidden="0" customHeight="1">
      <x:c r="A60" s="46" t="str">
        <x:v>BDC-059</x:v>
      </x:c>
      <x:c r="B60" s="46" t="str">
        <x:v>beef:muscle</x:v>
      </x:c>
      <x:c r="C60" s="46" t="str">
        <x:v>beef</x:v>
      </x:c>
      <x:c r="D60" s="46" t="str">
        <x:v>dry-cured beef strips</x:v>
      </x:c>
      <x:c r="E60" s="46" t="str">
        <x:v>T1 smoked + spices vs T2 unsmoked + unspiced</x:v>
      </x:c>
      <x:c r="F60" s="46" t="str">
        <x:v>SRC-BEEF-CURE-SMOKE-001</x:v>
      </x:c>
      <x:c r="G60" s="46" t="str">
        <x:v>Alcohols</x:v>
      </x:c>
      <x:c r="H60" s="46" t="str">
        <x:v>1-Nonanol</x:v>
      </x:c>
      <x:c r="I60" s="46"/>
      <x:c r="J60" s="46" t="n">
        <x:v>1659</x:v>
      </x:c>
      <x:c r="K60" s="46" t="str">
        <x:v>MS;RI</x:v>
      </x:c>
      <x:c r="L60" s="46"/>
      <x:c r="M60" s="46"/>
      <x:c r="N60" s="46" t="str">
        <x:v>partial_no_numeric_match_factor_with_ri</x:v>
      </x:c>
      <x:c r="O60" s="46"/>
      <x:c r="P60" s="46" t="n">
        <x:v>9.17</x:v>
      </x:c>
      <x:c r="Q60" s="46" t="n">
        <x:v>1.88</x:v>
      </x:c>
      <x:c r="R60" s="46" t="str">
        <x:v>-</x:v>
      </x:c>
      <x:c r="S60" s="46" t="str">
        <x:v>no</x:v>
      </x:c>
      <x:c r="T60" s="46" t="str">
        <x:v>yes</x:v>
      </x:c>
      <x:c r="U60" s="46"/>
      <x:c r="V60" s="46" t="str">
        <x:v>ng/g dry matter</x:v>
      </x:c>
      <x:c r="W60" s="46"/>
    </x:row>
    <x:row r="61" ht="26.399999618530273" hidden="0" customHeight="1">
      <x:c r="A61" s="46" t="str">
        <x:v>BDC-060</x:v>
      </x:c>
      <x:c r="B61" s="46" t="str">
        <x:v>beef:muscle</x:v>
      </x:c>
      <x:c r="C61" s="46" t="str">
        <x:v>beef</x:v>
      </x:c>
      <x:c r="D61" s="46" t="str">
        <x:v>dry-cured beef strips</x:v>
      </x:c>
      <x:c r="E61" s="46" t="str">
        <x:v>T1 smoked + spices vs T2 unsmoked + unspiced</x:v>
      </x:c>
      <x:c r="F61" s="46" t="str">
        <x:v>SRC-BEEF-CURE-SMOKE-001</x:v>
      </x:c>
      <x:c r="G61" s="46" t="str">
        <x:v>Alcohols</x:v>
      </x:c>
      <x:c r="H61" s="46" t="str">
        <x:v>2-Furanmethanol</x:v>
      </x:c>
      <x:c r="I61" s="46"/>
      <x:c r="J61" s="46" t="n">
        <x:v>1662</x:v>
      </x:c>
      <x:c r="K61" s="46" t="str">
        <x:v>MS</x:v>
      </x:c>
      <x:c r="L61" s="46"/>
      <x:c r="M61" s="46"/>
      <x:c r="N61" s="46" t="str">
        <x:v>partial_ms_only_no_numeric_match_factor</x:v>
      </x:c>
      <x:c r="O61" s="46" t="n">
        <x:v>129.69</x:v>
      </x:c>
      <x:c r="P61" s="46"/>
      <x:c r="Q61" s="46" t="n">
        <x:v>16.03</x:v>
      </x:c>
      <x:c r="R61" s="46" t="str">
        <x:v>-</x:v>
      </x:c>
      <x:c r="S61" s="46" t="str">
        <x:v>yes</x:v>
      </x:c>
      <x:c r="T61" s="46" t="str">
        <x:v>no</x:v>
      </x:c>
      <x:c r="U61" s="46"/>
      <x:c r="V61" s="46" t="str">
        <x:v>ng/g dry matter</x:v>
      </x:c>
      <x:c r="W61" s="46"/>
    </x:row>
    <x:row r="62" ht="26.399999618530273" hidden="0" customHeight="1">
      <x:c r="A62" s="46" t="str">
        <x:v>BDC-061</x:v>
      </x:c>
      <x:c r="B62" s="46" t="str">
        <x:v>beef:muscle</x:v>
      </x:c>
      <x:c r="C62" s="46" t="str">
        <x:v>beef</x:v>
      </x:c>
      <x:c r="D62" s="46" t="str">
        <x:v>dry-cured beef strips</x:v>
      </x:c>
      <x:c r="E62" s="46" t="str">
        <x:v>T1 smoked + spices vs T2 unsmoked + unspiced</x:v>
      </x:c>
      <x:c r="F62" s="46" t="str">
        <x:v>SRC-BEEF-CURE-SMOKE-001</x:v>
      </x:c>
      <x:c r="G62" s="46" t="str">
        <x:v>Alcohols</x:v>
      </x:c>
      <x:c r="H62" s="46" t="str">
        <x:v>Phenylethyl alcohol</x:v>
      </x:c>
      <x:c r="I62" s="46"/>
      <x:c r="J62" s="46" t="n">
        <x:v>1918</x:v>
      </x:c>
      <x:c r="K62" s="46" t="str">
        <x:v>MS</x:v>
      </x:c>
      <x:c r="L62" s="46"/>
      <x:c r="M62" s="46"/>
      <x:c r="N62" s="46" t="str">
        <x:v>partial_ms_only_no_numeric_match_factor</x:v>
      </x:c>
      <x:c r="O62" s="46" t="n">
        <x:v>15.4</x:v>
      </x:c>
      <x:c r="P62" s="46"/>
      <x:c r="Q62" s="46" t="n">
        <x:v>2.37</x:v>
      </x:c>
      <x:c r="R62" s="46" t="str">
        <x:v>-</x:v>
      </x:c>
      <x:c r="S62" s="46" t="str">
        <x:v>yes</x:v>
      </x:c>
      <x:c r="T62" s="46" t="str">
        <x:v>no</x:v>
      </x:c>
      <x:c r="U62" s="46"/>
      <x:c r="V62" s="46" t="str">
        <x:v>ng/g dry matter</x:v>
      </x:c>
      <x:c r="W62" s="46"/>
    </x:row>
    <x:row r="63" ht="26.399999618530273" hidden="0" customHeight="1">
      <x:c r="A63" s="46" t="str">
        <x:v>BDC-062</x:v>
      </x:c>
      <x:c r="B63" s="46" t="str">
        <x:v>beef:muscle</x:v>
      </x:c>
      <x:c r="C63" s="46" t="str">
        <x:v>beef</x:v>
      </x:c>
      <x:c r="D63" s="46" t="str">
        <x:v>dry-cured beef strips</x:v>
      </x:c>
      <x:c r="E63" s="46" t="str">
        <x:v>T1 smoked + spices vs T2 unsmoked + unspiced</x:v>
      </x:c>
      <x:c r="F63" s="46" t="str">
        <x:v>SRC-BEEF-CURE-SMOKE-001</x:v>
      </x:c>
      <x:c r="G63" s="46" t="str">
        <x:v>Nitrogenous</x:v>
      </x:c>
      <x:c r="H63" s="46" t="str">
        <x:v>3-Methylpyridine</x:v>
      </x:c>
      <x:c r="I63" s="46"/>
      <x:c r="J63" s="46" t="n">
        <x:v>1222</x:v>
      </x:c>
      <x:c r="K63" s="46" t="str">
        <x:v>MS;RI</x:v>
      </x:c>
      <x:c r="L63" s="46"/>
      <x:c r="M63" s="46"/>
      <x:c r="N63" s="46" t="str">
        <x:v>partial_no_numeric_match_factor_with_ri</x:v>
      </x:c>
      <x:c r="O63" s="46" t="n">
        <x:v>20.3</x:v>
      </x:c>
      <x:c r="P63" s="46"/>
      <x:c r="Q63" s="46" t="n">
        <x:v>2.25</x:v>
      </x:c>
      <x:c r="R63" s="46" t="str">
        <x:v>-</x:v>
      </x:c>
      <x:c r="S63" s="46" t="str">
        <x:v>yes</x:v>
      </x:c>
      <x:c r="T63" s="46" t="str">
        <x:v>no</x:v>
      </x:c>
      <x:c r="U63" s="46"/>
      <x:c r="V63" s="46" t="str">
        <x:v>ng/g dry matter</x:v>
      </x:c>
      <x:c r="W63" s="46"/>
    </x:row>
    <x:row r="64" ht="26.399999618530273" hidden="0" customHeight="1">
      <x:c r="A64" s="46" t="str">
        <x:v>BDC-063</x:v>
      </x:c>
      <x:c r="B64" s="46" t="str">
        <x:v>beef:muscle</x:v>
      </x:c>
      <x:c r="C64" s="46" t="str">
        <x:v>beef</x:v>
      </x:c>
      <x:c r="D64" s="46" t="str">
        <x:v>dry-cured beef strips</x:v>
      </x:c>
      <x:c r="E64" s="46" t="str">
        <x:v>T1 smoked + spices vs T2 unsmoked + unspiced</x:v>
      </x:c>
      <x:c r="F64" s="46" t="str">
        <x:v>SRC-BEEF-CURE-SMOKE-001</x:v>
      </x:c>
      <x:c r="G64" s="46" t="str">
        <x:v>Nitrogenous</x:v>
      </x:c>
      <x:c r="H64" s="46" t="str">
        <x:v>4-Methylpyridine</x:v>
      </x:c>
      <x:c r="I64" s="46"/>
      <x:c r="J64" s="46" t="n">
        <x:v>1299</x:v>
      </x:c>
      <x:c r="K64" s="46" t="str">
        <x:v>MS;RI</x:v>
      </x:c>
      <x:c r="L64" s="46"/>
      <x:c r="M64" s="46"/>
      <x:c r="N64" s="46" t="str">
        <x:v>partial_no_numeric_match_factor_with_ri</x:v>
      </x:c>
      <x:c r="O64" s="46" t="n">
        <x:v>14.45</x:v>
      </x:c>
      <x:c r="P64" s="46"/>
      <x:c r="Q64" s="46" t="n">
        <x:v>1.94</x:v>
      </x:c>
      <x:c r="R64" s="46" t="str">
        <x:v>-</x:v>
      </x:c>
      <x:c r="S64" s="46" t="str">
        <x:v>yes</x:v>
      </x:c>
      <x:c r="T64" s="46" t="str">
        <x:v>no</x:v>
      </x:c>
      <x:c r="U64" s="46"/>
      <x:c r="V64" s="46" t="str">
        <x:v>ng/g dry matter</x:v>
      </x:c>
      <x:c r="W64" s="46"/>
    </x:row>
    <x:row r="65" ht="26.399999618530273" hidden="0" customHeight="1">
      <x:c r="A65" s="46" t="str">
        <x:v>BDC-064</x:v>
      </x:c>
      <x:c r="B65" s="46" t="str">
        <x:v>beef:muscle</x:v>
      </x:c>
      <x:c r="C65" s="46" t="str">
        <x:v>beef</x:v>
      </x:c>
      <x:c r="D65" s="46" t="str">
        <x:v>dry-cured beef strips</x:v>
      </x:c>
      <x:c r="E65" s="46" t="str">
        <x:v>T1 smoked + spices vs T2 unsmoked + unspiced</x:v>
      </x:c>
      <x:c r="F65" s="46" t="str">
        <x:v>SRC-BEEF-CURE-SMOKE-001</x:v>
      </x:c>
      <x:c r="G65" s="46" t="str">
        <x:v>Nitrogenous</x:v>
      </x:c>
      <x:c r="H65" s="46" t="str">
        <x:v>2,4-Dimethylpyridine</x:v>
      </x:c>
      <x:c r="I65" s="46"/>
      <x:c r="J65" s="46" t="n">
        <x:v>1333</x:v>
      </x:c>
      <x:c r="K65" s="46" t="str">
        <x:v>MS;RI</x:v>
      </x:c>
      <x:c r="L65" s="46"/>
      <x:c r="M65" s="46"/>
      <x:c r="N65" s="46" t="str">
        <x:v>partial_no_numeric_match_factor_with_ri</x:v>
      </x:c>
      <x:c r="O65" s="46" t="n">
        <x:v>26.18</x:v>
      </x:c>
      <x:c r="P65" s="46"/>
      <x:c r="Q65" s="46" t="n">
        <x:v>7.34</x:v>
      </x:c>
      <x:c r="R65" s="46" t="str">
        <x:v>-</x:v>
      </x:c>
      <x:c r="S65" s="46" t="str">
        <x:v>yes</x:v>
      </x:c>
      <x:c r="T65" s="46" t="str">
        <x:v>no</x:v>
      </x:c>
      <x:c r="U65" s="46"/>
      <x:c r="V65" s="46" t="str">
        <x:v>ng/g dry matter</x:v>
      </x:c>
      <x:c r="W65" s="46"/>
    </x:row>
    <x:row r="66" ht="26.399999618530273" hidden="0" customHeight="1">
      <x:c r="A66" s="46" t="str">
        <x:v>BDC-065</x:v>
      </x:c>
      <x:c r="B66" s="46" t="str">
        <x:v>beef:muscle</x:v>
      </x:c>
      <x:c r="C66" s="46" t="str">
        <x:v>beef</x:v>
      </x:c>
      <x:c r="D66" s="46" t="str">
        <x:v>dry-cured beef strips</x:v>
      </x:c>
      <x:c r="E66" s="46" t="str">
        <x:v>T1 smoked + spices vs T2 unsmoked + unspiced</x:v>
      </x:c>
      <x:c r="F66" s="46" t="str">
        <x:v>SRC-BEEF-CURE-SMOKE-001</x:v>
      </x:c>
      <x:c r="G66" s="46" t="str">
        <x:v>Nitrogenous</x:v>
      </x:c>
      <x:c r="H66" s="46" t="str">
        <x:v>3,5-Dimethylpyridine</x:v>
      </x:c>
      <x:c r="I66" s="46"/>
      <x:c r="J66" s="46" t="n">
        <x:v>1344</x:v>
      </x:c>
      <x:c r="K66" s="46" t="str">
        <x:v>MS;RI</x:v>
      </x:c>
      <x:c r="L66" s="46"/>
      <x:c r="M66" s="46"/>
      <x:c r="N66" s="46" t="str">
        <x:v>partial_no_numeric_match_factor_with_ri</x:v>
      </x:c>
      <x:c r="O66" s="46" t="n">
        <x:v>14.49</x:v>
      </x:c>
      <x:c r="P66" s="46"/>
      <x:c r="Q66" s="46" t="n">
        <x:v>2.15</x:v>
      </x:c>
      <x:c r="R66" s="46" t="str">
        <x:v>-</x:v>
      </x:c>
      <x:c r="S66" s="46" t="str">
        <x:v>yes</x:v>
      </x:c>
      <x:c r="T66" s="46" t="str">
        <x:v>no</x:v>
      </x:c>
      <x:c r="U66" s="46"/>
      <x:c r="V66" s="46" t="str">
        <x:v>ng/g dry matter</x:v>
      </x:c>
      <x:c r="W66" s="46"/>
    </x:row>
    <x:row r="67" ht="26.399999618530273" hidden="0" customHeight="1">
      <x:c r="A67" s="46" t="str">
        <x:v>BDC-066</x:v>
      </x:c>
      <x:c r="B67" s="46" t="str">
        <x:v>beef:muscle</x:v>
      </x:c>
      <x:c r="C67" s="46" t="str">
        <x:v>beef</x:v>
      </x:c>
      <x:c r="D67" s="46" t="str">
        <x:v>dry-cured beef strips</x:v>
      </x:c>
      <x:c r="E67" s="46" t="str">
        <x:v>T1 smoked + spices vs T2 unsmoked + unspiced</x:v>
      </x:c>
      <x:c r="F67" s="46" t="str">
        <x:v>SRC-BEEF-CURE-SMOKE-001</x:v>
      </x:c>
      <x:c r="G67" s="46" t="str">
        <x:v>Nitrogenous</x:v>
      </x:c>
      <x:c r="H67" s="46" t="str">
        <x:v>Methoxy-phenyl oxime</x:v>
      </x:c>
      <x:c r="I67" s="46"/>
      <x:c r="J67" s="46" t="n">
        <x:v>1753</x:v>
      </x:c>
      <x:c r="K67" s="46" t="str">
        <x:v>MS</x:v>
      </x:c>
      <x:c r="L67" s="46"/>
      <x:c r="M67" s="46"/>
      <x:c r="N67" s="46" t="str">
        <x:v>partial_ms_only_no_numeric_match_factor</x:v>
      </x:c>
      <x:c r="O67" s="46" t="n">
        <x:v>60.32</x:v>
      </x:c>
      <x:c r="P67" s="46"/>
      <x:c r="Q67" s="46" t="n">
        <x:v>6.5</x:v>
      </x:c>
      <x:c r="R67" s="46" t="str">
        <x:v>-</x:v>
      </x:c>
      <x:c r="S67" s="46" t="str">
        <x:v>yes</x:v>
      </x:c>
      <x:c r="T67" s="46" t="str">
        <x:v>no</x:v>
      </x:c>
      <x:c r="U67" s="46"/>
      <x:c r="V67" s="46" t="str">
        <x:v>ng/g dry matter</x:v>
      </x:c>
      <x:c r="W67" s="46"/>
    </x:row>
    <x:row r="68" ht="26.399999618530273" hidden="0" customHeight="1">
      <x:c r="A68" s="46" t="str">
        <x:v>BDC-067</x:v>
      </x:c>
      <x:c r="B68" s="46" t="str">
        <x:v>beef:muscle</x:v>
      </x:c>
      <x:c r="C68" s="46" t="str">
        <x:v>beef</x:v>
      </x:c>
      <x:c r="D68" s="46" t="str">
        <x:v>dry-cured beef strips</x:v>
      </x:c>
      <x:c r="E68" s="46" t="str">
        <x:v>T1 smoked + spices vs T2 unsmoked + unspiced</x:v>
      </x:c>
      <x:c r="F68" s="46" t="str">
        <x:v>SRC-BEEF-CURE-SMOKE-001</x:v>
      </x:c>
      <x:c r="G68" s="46" t="str">
        <x:v>Furans</x:v>
      </x:c>
      <x:c r="H68" s="46" t="str">
        <x:v>2-Pentylfuran</x:v>
      </x:c>
      <x:c r="I68" s="46"/>
      <x:c r="J68" s="46" t="n">
        <x:v>1230</x:v>
      </x:c>
      <x:c r="K68" s="46" t="str">
        <x:v>MS;RI</x:v>
      </x:c>
      <x:c r="L68" s="46"/>
      <x:c r="M68" s="46"/>
      <x:c r="N68" s="46" t="str">
        <x:v>partial_no_numeric_match_factor_with_ri</x:v>
      </x:c>
      <x:c r="O68" s="46" t="n">
        <x:v>9.7</x:v>
      </x:c>
      <x:c r="P68" s="46" t="n">
        <x:v>29.32</x:v>
      </x:c>
      <x:c r="Q68" s="46" t="n">
        <x:v>6.84</x:v>
      </x:c>
      <x:c r="R68" s="46" t="str">
        <x:v>NS</x:v>
      </x:c>
      <x:c r="S68" s="46" t="str">
        <x:v>yes</x:v>
      </x:c>
      <x:c r="T68" s="46" t="str">
        <x:v>yes</x:v>
      </x:c>
      <x:c r="U68" s="46"/>
      <x:c r="V68" s="46" t="str">
        <x:v>ng/g dry matter</x:v>
      </x:c>
      <x:c r="W68" s="46"/>
    </x:row>
    <x:row r="69" ht="26.399999618530273" hidden="0" customHeight="1">
      <x:c r="A69" s="46" t="str">
        <x:v>BDC-068</x:v>
      </x:c>
      <x:c r="B69" s="46" t="str">
        <x:v>beef:muscle</x:v>
      </x:c>
      <x:c r="C69" s="46" t="str">
        <x:v>beef</x:v>
      </x:c>
      <x:c r="D69" s="46" t="str">
        <x:v>dry-cured beef strips</x:v>
      </x:c>
      <x:c r="E69" s="46" t="str">
        <x:v>T1 smoked + spices vs T2 unsmoked + unspiced</x:v>
      </x:c>
      <x:c r="F69" s="46" t="str">
        <x:v>SRC-BEEF-CURE-SMOKE-001</x:v>
      </x:c>
      <x:c r="G69" s="46" t="str">
        <x:v>Furans</x:v>
      </x:c>
      <x:c r="H69" s="46" t="str">
        <x:v>Furfural</x:v>
      </x:c>
      <x:c r="I69" s="46"/>
      <x:c r="J69" s="46" t="n">
        <x:v>1465</x:v>
      </x:c>
      <x:c r="K69" s="46" t="str">
        <x:v>MS;RI</x:v>
      </x:c>
      <x:c r="L69" s="46"/>
      <x:c r="M69" s="46"/>
      <x:c r="N69" s="46" t="str">
        <x:v>partial_no_numeric_match_factor_with_ri</x:v>
      </x:c>
      <x:c r="O69" s="46" t="n">
        <x:v>48.49</x:v>
      </x:c>
      <x:c r="P69" s="46"/>
      <x:c r="Q69" s="46" t="n">
        <x:v>6.21</x:v>
      </x:c>
      <x:c r="R69" s="46" t="str">
        <x:v>-</x:v>
      </x:c>
      <x:c r="S69" s="46" t="str">
        <x:v>yes</x:v>
      </x:c>
      <x:c r="T69" s="46" t="str">
        <x:v>no</x:v>
      </x:c>
      <x:c r="U69" s="46"/>
      <x:c r="V69" s="46" t="str">
        <x:v>ng/g dry matter</x:v>
      </x:c>
      <x:c r="W69" s="46"/>
    </x:row>
    <x:row r="70" ht="26.399999618530273" hidden="0" customHeight="1">
      <x:c r="A70" s="46" t="str">
        <x:v>BDC-069</x:v>
      </x:c>
      <x:c r="B70" s="46" t="str">
        <x:v>beef:muscle</x:v>
      </x:c>
      <x:c r="C70" s="46" t="str">
        <x:v>beef</x:v>
      </x:c>
      <x:c r="D70" s="46" t="str">
        <x:v>dry-cured beef strips</x:v>
      </x:c>
      <x:c r="E70" s="46" t="str">
        <x:v>T1 smoked + spices vs T2 unsmoked + unspiced</x:v>
      </x:c>
      <x:c r="F70" s="46" t="str">
        <x:v>SRC-BEEF-CURE-SMOKE-001</x:v>
      </x:c>
      <x:c r="G70" s="46" t="str">
        <x:v>Furans</x:v>
      </x:c>
      <x:c r="H70" s="46" t="str">
        <x:v>1-(2-Furanyl)-ethanone</x:v>
      </x:c>
      <x:c r="I70" s="46"/>
      <x:c r="J70" s="46" t="n">
        <x:v>1508</x:v>
      </x:c>
      <x:c r="K70" s="46" t="str">
        <x:v>MS</x:v>
      </x:c>
      <x:c r="L70" s="46"/>
      <x:c r="M70" s="46"/>
      <x:c r="N70" s="46" t="str">
        <x:v>partial_ms_only_no_numeric_match_factor</x:v>
      </x:c>
      <x:c r="O70" s="46" t="n">
        <x:v>65.66</x:v>
      </x:c>
      <x:c r="P70" s="46"/>
      <x:c r="Q70" s="46" t="n">
        <x:v>7.69</x:v>
      </x:c>
      <x:c r="R70" s="46" t="str">
        <x:v>-</x:v>
      </x:c>
      <x:c r="S70" s="46" t="str">
        <x:v>yes</x:v>
      </x:c>
      <x:c r="T70" s="46" t="str">
        <x:v>no</x:v>
      </x:c>
      <x:c r="U70" s="46"/>
      <x:c r="V70" s="46" t="str">
        <x:v>ng/g dry matter</x:v>
      </x:c>
      <x:c r="W70" s="46"/>
    </x:row>
    <x:row r="71" ht="26.399999618530273" hidden="0" customHeight="1">
      <x:c r="A71" s="46" t="str">
        <x:v>BDC-070</x:v>
      </x:c>
      <x:c r="B71" s="46" t="str">
        <x:v>beef:muscle</x:v>
      </x:c>
      <x:c r="C71" s="46" t="str">
        <x:v>beef</x:v>
      </x:c>
      <x:c r="D71" s="46" t="str">
        <x:v>dry-cured beef strips</x:v>
      </x:c>
      <x:c r="E71" s="46" t="str">
        <x:v>T1 smoked + spices vs T2 unsmoked + unspiced</x:v>
      </x:c>
      <x:c r="F71" s="46" t="str">
        <x:v>SRC-BEEF-CURE-SMOKE-001</x:v>
      </x:c>
      <x:c r="G71" s="46" t="str">
        <x:v>Furans</x:v>
      </x:c>
      <x:c r="H71" s="46" t="str">
        <x:v>5-Methyl-2-furancarboxaldehyde</x:v>
      </x:c>
      <x:c r="I71" s="46"/>
      <x:c r="J71" s="46" t="n">
        <x:v>1577</x:v>
      </x:c>
      <x:c r="K71" s="46" t="str">
        <x:v>MS;RI</x:v>
      </x:c>
      <x:c r="L71" s="46"/>
      <x:c r="M71" s="46"/>
      <x:c r="N71" s="46" t="str">
        <x:v>partial_no_numeric_match_factor_with_ri</x:v>
      </x:c>
      <x:c r="O71" s="46" t="n">
        <x:v>11.65</x:v>
      </x:c>
      <x:c r="P71" s="46"/>
      <x:c r="Q71" s="46" t="n">
        <x:v>2.43</x:v>
      </x:c>
      <x:c r="R71" s="46" t="str">
        <x:v>-</x:v>
      </x:c>
      <x:c r="S71" s="46" t="str">
        <x:v>yes</x:v>
      </x:c>
      <x:c r="T71" s="46" t="str">
        <x:v>no</x:v>
      </x:c>
      <x:c r="U71" s="46"/>
      <x:c r="V71" s="46" t="str">
        <x:v>ng/g dry matter</x:v>
      </x:c>
      <x:c r="W71" s="46"/>
    </x:row>
    <x:row r="72" ht="26.399999618530273" hidden="0" customHeight="1">
      <x:c r="A72" s="46" t="str">
        <x:v>BDC-071</x:v>
      </x:c>
      <x:c r="B72" s="46" t="str">
        <x:v>beef:muscle</x:v>
      </x:c>
      <x:c r="C72" s="46" t="str">
        <x:v>beef</x:v>
      </x:c>
      <x:c r="D72" s="46" t="str">
        <x:v>dry-cured beef strips</x:v>
      </x:c>
      <x:c r="E72" s="46" t="str">
        <x:v>T1 smoked + spices vs T2 unsmoked + unspiced</x:v>
      </x:c>
      <x:c r="F72" s="46" t="str">
        <x:v>SRC-BEEF-CURE-SMOKE-001</x:v>
      </x:c>
      <x:c r="G72" s="46" t="str">
        <x:v>Esters</x:v>
      </x:c>
      <x:c r="H72" s="46" t="str">
        <x:v>Ethyl acetate</x:v>
      </x:c>
      <x:c r="I72" s="46"/>
      <x:c r="J72" s="46" t="n">
        <x:v>884</x:v>
      </x:c>
      <x:c r="K72" s="46" t="str">
        <x:v>MS;RI</x:v>
      </x:c>
      <x:c r="L72" s="46"/>
      <x:c r="M72" s="46"/>
      <x:c r="N72" s="46" t="str">
        <x:v>partial_no_numeric_match_factor_with_ri</x:v>
      </x:c>
      <x:c r="O72" s="46" t="n">
        <x:v>9.74</x:v>
      </x:c>
      <x:c r="P72" s="46"/>
      <x:c r="Q72" s="46" t="n">
        <x:v>1.83</x:v>
      </x:c>
      <x:c r="R72" s="46" t="str">
        <x:v>-</x:v>
      </x:c>
      <x:c r="S72" s="46" t="str">
        <x:v>yes</x:v>
      </x:c>
      <x:c r="T72" s="46" t="str">
        <x:v>no</x:v>
      </x:c>
      <x:c r="U72" s="46"/>
      <x:c r="V72" s="46" t="str">
        <x:v>ng/g dry matter</x:v>
      </x:c>
      <x:c r="W72" s="46"/>
    </x:row>
    <x:row r="73" ht="26.399999618530273" hidden="0" customHeight="1">
      <x:c r="A73" s="46" t="str">
        <x:v>BDC-072</x:v>
      </x:c>
      <x:c r="B73" s="46" t="str">
        <x:v>beef:muscle</x:v>
      </x:c>
      <x:c r="C73" s="46" t="str">
        <x:v>beef</x:v>
      </x:c>
      <x:c r="D73" s="46" t="str">
        <x:v>dry-cured beef strips</x:v>
      </x:c>
      <x:c r="E73" s="46" t="str">
        <x:v>T1 smoked + spices vs T2 unsmoked + unspiced</x:v>
      </x:c>
      <x:c r="F73" s="46" t="str">
        <x:v>SRC-BEEF-CURE-SMOKE-001</x:v>
      </x:c>
      <x:c r="G73" s="46" t="str">
        <x:v>Esters</x:v>
      </x:c>
      <x:c r="H73" s="46" t="str">
        <x:v>Ethyl hexanoate</x:v>
      </x:c>
      <x:c r="I73" s="46"/>
      <x:c r="J73" s="46" t="n">
        <x:v>1233</x:v>
      </x:c>
      <x:c r="K73" s="46" t="str">
        <x:v>MS;RI</x:v>
      </x:c>
      <x:c r="L73" s="46"/>
      <x:c r="M73" s="46"/>
      <x:c r="N73" s="46" t="str">
        <x:v>partial_no_numeric_match_factor_with_ri</x:v>
      </x:c>
      <x:c r="O73" s="46" t="n">
        <x:v>9.04</x:v>
      </x:c>
      <x:c r="P73" s="46"/>
      <x:c r="Q73" s="46" t="n">
        <x:v>1.45</x:v>
      </x:c>
      <x:c r="R73" s="46" t="str">
        <x:v>-</x:v>
      </x:c>
      <x:c r="S73" s="46" t="str">
        <x:v>yes</x:v>
      </x:c>
      <x:c r="T73" s="46" t="str">
        <x:v>no</x:v>
      </x:c>
      <x:c r="U73" s="46"/>
      <x:c r="V73" s="46" t="str">
        <x:v>ng/g dry matter</x:v>
      </x:c>
      <x:c r="W73" s="46"/>
    </x:row>
    <x:row r="74" ht="26.399999618530273" hidden="0" customHeight="1">
      <x:c r="A74" s="46" t="str">
        <x:v>BDC-073</x:v>
      </x:c>
      <x:c r="B74" s="46" t="str">
        <x:v>beef:muscle</x:v>
      </x:c>
      <x:c r="C74" s="46" t="str">
        <x:v>beef</x:v>
      </x:c>
      <x:c r="D74" s="46" t="str">
        <x:v>dry-cured beef strips</x:v>
      </x:c>
      <x:c r="E74" s="46" t="str">
        <x:v>T1 smoked + spices vs T2 unsmoked + unspiced</x:v>
      </x:c>
      <x:c r="F74" s="46" t="str">
        <x:v>SRC-BEEF-CURE-SMOKE-001</x:v>
      </x:c>
      <x:c r="G74" s="46" t="str">
        <x:v>Ethers</x:v>
      </x:c>
      <x:c r="H74" s="46" t="str">
        <x:v>Estragole</x:v>
      </x:c>
      <x:c r="I74" s="46"/>
      <x:c r="J74" s="46" t="n">
        <x:v>1675</x:v>
      </x:c>
      <x:c r="K74" s="46" t="str">
        <x:v>MS;RI</x:v>
      </x:c>
      <x:c r="L74" s="46"/>
      <x:c r="M74" s="46"/>
      <x:c r="N74" s="46" t="str">
        <x:v>partial_no_numeric_match_factor_with_ri</x:v>
      </x:c>
      <x:c r="O74" s="46" t="n">
        <x:v>32.84</x:v>
      </x:c>
      <x:c r="P74" s="46"/>
      <x:c r="Q74" s="46" t="n">
        <x:v>5.63</x:v>
      </x:c>
      <x:c r="R74" s="46" t="str">
        <x:v>-</x:v>
      </x:c>
      <x:c r="S74" s="46" t="str">
        <x:v>yes</x:v>
      </x:c>
      <x:c r="T74" s="46" t="str">
        <x:v>no</x:v>
      </x:c>
      <x:c r="U74" s="46"/>
      <x:c r="V74" s="46" t="str">
        <x:v>ng/g dry matter</x:v>
      </x:c>
      <x:c r="W74" s="46"/>
    </x:row>
    <x:row r="75" ht="26.399999618530273" hidden="0" customHeight="1">
      <x:c r="A75" s="46" t="str">
        <x:v>BDC-074</x:v>
      </x:c>
      <x:c r="B75" s="46" t="str">
        <x:v>beef:muscle</x:v>
      </x:c>
      <x:c r="C75" s="46" t="str">
        <x:v>beef</x:v>
      </x:c>
      <x:c r="D75" s="46" t="str">
        <x:v>dry-cured beef strips</x:v>
      </x:c>
      <x:c r="E75" s="46" t="str">
        <x:v>T1 smoked + spices vs T2 unsmoked + unspiced</x:v>
      </x:c>
      <x:c r="F75" s="46" t="str">
        <x:v>SRC-BEEF-CURE-SMOKE-001</x:v>
      </x:c>
      <x:c r="G75" s="46" t="str">
        <x:v>Ethers</x:v>
      </x:c>
      <x:c r="H75" s="46" t="str">
        <x:v>1-Methoxy-4-(1-propenyl)-benzene</x:v>
      </x:c>
      <x:c r="I75" s="46"/>
      <x:c r="J75" s="46" t="n">
        <x:v>1832</x:v>
      </x:c>
      <x:c r="K75" s="46" t="str">
        <x:v>MS</x:v>
      </x:c>
      <x:c r="L75" s="46"/>
      <x:c r="M75" s="46"/>
      <x:c r="N75" s="46" t="str">
        <x:v>partial_ms_only_no_numeric_match_factor</x:v>
      </x:c>
      <x:c r="O75" s="46" t="n">
        <x:v>419.4</x:v>
      </x:c>
      <x:c r="P75" s="46"/>
      <x:c r="Q75" s="46" t="n">
        <x:v>94.98</x:v>
      </x:c>
      <x:c r="R75" s="46" t="str">
        <x:v>-</x:v>
      </x:c>
      <x:c r="S75" s="46" t="str">
        <x:v>yes</x:v>
      </x:c>
      <x:c r="T75" s="46" t="str">
        <x:v>no</x:v>
      </x:c>
      <x:c r="U75" s="46"/>
      <x:c r="V75" s="46" t="str">
        <x:v>ng/g dry matter</x:v>
      </x:c>
      <x:c r="W75" s="46"/>
    </x:row>
    <x:row r="76" ht="39.599998474121094" hidden="0" customHeight="1">
      <x:c r="A76" s="46" t="str">
        <x:v>BDC-075</x:v>
      </x:c>
      <x:c r="B76" s="46" t="str">
        <x:v>beef:muscle</x:v>
      </x:c>
      <x:c r="C76" s="46" t="str">
        <x:v>beef</x:v>
      </x:c>
      <x:c r="D76" s="46" t="str">
        <x:v>dry-cured beef strips</x:v>
      </x:c>
      <x:c r="E76" s="46" t="str">
        <x:v>T1 smoked + spices vs T2 unsmoked + unspiced</x:v>
      </x:c>
      <x:c r="F76" s="46" t="str">
        <x:v>SRC-BEEF-CURE-SMOKE-001</x:v>
      </x:c>
      <x:c r="G76" s="46" t="str">
        <x:v>Phenols</x:v>
      </x:c>
      <x:c r="H76" s="46" t="str">
        <x:v>2-Methoxyphenol</x:v>
      </x:c>
      <x:c r="I76" s="46"/>
      <x:c r="J76" s="46" t="n">
        <x:v>1863</x:v>
      </x:c>
      <x:c r="K76" s="46" t="str">
        <x:v>MS;RI</x:v>
      </x:c>
      <x:c r="L76" s="46"/>
      <x:c r="M76" s="46"/>
      <x:c r="N76" s="46" t="str">
        <x:v>partial_no_numeric_match_factor_with_ri</x:v>
      </x:c>
      <x:c r="O76" s="46" t="n">
        <x:v>244.17</x:v>
      </x:c>
      <x:c r="P76" s="46"/>
      <x:c r="Q76" s="46" t="n">
        <x:v>31.12</x:v>
      </x:c>
      <x:c r="R76" s="46" t="str">
        <x:v>-</x:v>
      </x:c>
      <x:c r="S76" s="46" t="str">
        <x:v>yes</x:v>
      </x:c>
      <x:c r="T76" s="46" t="str">
        <x:v>no</x:v>
      </x:c>
      <x:c r="U76" s="46" t="str">
        <x:v>smoke/spice-associated phenol layer</x:v>
      </x:c>
      <x:c r="V76" s="46" t="str">
        <x:v>ng/g dry matter</x:v>
      </x:c>
      <x:c r="W76" s="46" t="str">
        <x:v>T1 combines smoking and spices; compound attribution to smoke alone is not assumed even though source PCA identifies phenols as smoke derivatives.</x:v>
      </x:c>
    </x:row>
    <x:row r="77" ht="39.599998474121094" hidden="0" customHeight="1">
      <x:c r="A77" s="46" t="str">
        <x:v>BDC-076</x:v>
      </x:c>
      <x:c r="B77" s="46" t="str">
        <x:v>beef:muscle</x:v>
      </x:c>
      <x:c r="C77" s="46" t="str">
        <x:v>beef</x:v>
      </x:c>
      <x:c r="D77" s="46" t="str">
        <x:v>dry-cured beef strips</x:v>
      </x:c>
      <x:c r="E77" s="46" t="str">
        <x:v>T1 smoked + spices vs T2 unsmoked + unspiced</x:v>
      </x:c>
      <x:c r="F77" s="46" t="str">
        <x:v>SRC-BEEF-CURE-SMOKE-001</x:v>
      </x:c>
      <x:c r="G77" s="46" t="str">
        <x:v>Phenols</x:v>
      </x:c>
      <x:c r="H77" s="46" t="str">
        <x:v>4-Methoxy-3-methylphenol</x:v>
      </x:c>
      <x:c r="I77" s="46"/>
      <x:c r="J77" s="46" t="n">
        <x:v>1876</x:v>
      </x:c>
      <x:c r="K77" s="46" t="str">
        <x:v>MS</x:v>
      </x:c>
      <x:c r="L77" s="46"/>
      <x:c r="M77" s="46"/>
      <x:c r="N77" s="46" t="str">
        <x:v>partial_ms_only_no_numeric_match_factor</x:v>
      </x:c>
      <x:c r="O77" s="46" t="n">
        <x:v>20.98</x:v>
      </x:c>
      <x:c r="P77" s="46"/>
      <x:c r="Q77" s="46" t="n">
        <x:v>2.67</x:v>
      </x:c>
      <x:c r="R77" s="46" t="str">
        <x:v>-</x:v>
      </x:c>
      <x:c r="S77" s="46" t="str">
        <x:v>yes</x:v>
      </x:c>
      <x:c r="T77" s="46" t="str">
        <x:v>no</x:v>
      </x:c>
      <x:c r="U77" s="46" t="str">
        <x:v>smoke/spice-associated phenol layer</x:v>
      </x:c>
      <x:c r="V77" s="46" t="str">
        <x:v>ng/g dry matter</x:v>
      </x:c>
      <x:c r="W77" s="46" t="str">
        <x:v>T1 combines smoking and spices; compound attribution to smoke alone is not assumed even though source PCA identifies phenols as smoke derivatives.</x:v>
      </x:c>
    </x:row>
    <x:row r="78" ht="39.599998474121094" hidden="0" customHeight="1">
      <x:c r="A78" s="46" t="str">
        <x:v>BDC-077</x:v>
      </x:c>
      <x:c r="B78" s="46" t="str">
        <x:v>beef:muscle</x:v>
      </x:c>
      <x:c r="C78" s="46" t="str">
        <x:v>beef</x:v>
      </x:c>
      <x:c r="D78" s="46" t="str">
        <x:v>dry-cured beef strips</x:v>
      </x:c>
      <x:c r="E78" s="46" t="str">
        <x:v>T1 smoked + spices vs T2 unsmoked + unspiced</x:v>
      </x:c>
      <x:c r="F78" s="46" t="str">
        <x:v>SRC-BEEF-CURE-SMOKE-001</x:v>
      </x:c>
      <x:c r="G78" s="46" t="str">
        <x:v>Phenols</x:v>
      </x:c>
      <x:c r="H78" s="46" t="str">
        <x:v>2,6-Dimethylphenol</x:v>
      </x:c>
      <x:c r="I78" s="46"/>
      <x:c r="J78" s="46" t="n">
        <x:v>1912</x:v>
      </x:c>
      <x:c r="K78" s="46" t="str">
        <x:v>MS</x:v>
      </x:c>
      <x:c r="L78" s="46"/>
      <x:c r="M78" s="46"/>
      <x:c r="N78" s="46" t="str">
        <x:v>partial_ms_only_no_numeric_match_factor</x:v>
      </x:c>
      <x:c r="O78" s="46" t="n">
        <x:v>19.61</x:v>
      </x:c>
      <x:c r="P78" s="46"/>
      <x:c r="Q78" s="46" t="n">
        <x:v>2.73</x:v>
      </x:c>
      <x:c r="R78" s="46" t="str">
        <x:v>-</x:v>
      </x:c>
      <x:c r="S78" s="46" t="str">
        <x:v>yes</x:v>
      </x:c>
      <x:c r="T78" s="46" t="str">
        <x:v>no</x:v>
      </x:c>
      <x:c r="U78" s="46" t="str">
        <x:v>smoke/spice-associated phenol layer</x:v>
      </x:c>
      <x:c r="V78" s="46" t="str">
        <x:v>ng/g dry matter</x:v>
      </x:c>
      <x:c r="W78" s="46" t="str">
        <x:v>T1 combines smoking and spices; compound attribution to smoke alone is not assumed even though source PCA identifies phenols as smoke derivatives.</x:v>
      </x:c>
    </x:row>
    <x:row r="79" ht="39.599998474121094" hidden="0" customHeight="1">
      <x:c r="A79" s="46" t="str">
        <x:v>BDC-078</x:v>
      </x:c>
      <x:c r="B79" s="46" t="str">
        <x:v>beef:muscle</x:v>
      </x:c>
      <x:c r="C79" s="46" t="str">
        <x:v>beef</x:v>
      </x:c>
      <x:c r="D79" s="46" t="str">
        <x:v>dry-cured beef strips</x:v>
      </x:c>
      <x:c r="E79" s="46" t="str">
        <x:v>T1 smoked + spices vs T2 unsmoked + unspiced</x:v>
      </x:c>
      <x:c r="F79" s="46" t="str">
        <x:v>SRC-BEEF-CURE-SMOKE-001</x:v>
      </x:c>
      <x:c r="G79" s="46" t="str">
        <x:v>Phenols</x:v>
      </x:c>
      <x:c r="H79" s="46" t="str">
        <x:v>2-Methoxy-4-methylphenol</x:v>
      </x:c>
      <x:c r="I79" s="46"/>
      <x:c r="J79" s="46" t="n">
        <x:v>1961</x:v>
      </x:c>
      <x:c r="K79" s="46" t="str">
        <x:v>MS;RI</x:v>
      </x:c>
      <x:c r="L79" s="46"/>
      <x:c r="M79" s="46"/>
      <x:c r="N79" s="46" t="str">
        <x:v>partial_no_numeric_match_factor_with_ri</x:v>
      </x:c>
      <x:c r="O79" s="46" t="n">
        <x:v>97.45</x:v>
      </x:c>
      <x:c r="P79" s="46"/>
      <x:c r="Q79" s="46" t="n">
        <x:v>12.48</x:v>
      </x:c>
      <x:c r="R79" s="46" t="str">
        <x:v>-</x:v>
      </x:c>
      <x:c r="S79" s="46" t="str">
        <x:v>yes</x:v>
      </x:c>
      <x:c r="T79" s="46" t="str">
        <x:v>no</x:v>
      </x:c>
      <x:c r="U79" s="46" t="str">
        <x:v>smoke/spice-associated phenol layer</x:v>
      </x:c>
      <x:c r="V79" s="46" t="str">
        <x:v>ng/g dry matter</x:v>
      </x:c>
      <x:c r="W79" s="46" t="str">
        <x:v>T1 combines smoking and spices; compound attribution to smoke alone is not assumed even though source PCA identifies phenols as smoke derivatives.</x:v>
      </x:c>
    </x:row>
    <x:row r="80" ht="39.599998474121094" hidden="0" customHeight="1">
      <x:c r="A80" s="46" t="str">
        <x:v>BDC-079</x:v>
      </x:c>
      <x:c r="B80" s="46" t="str">
        <x:v>beef:muscle</x:v>
      </x:c>
      <x:c r="C80" s="46" t="str">
        <x:v>beef</x:v>
      </x:c>
      <x:c r="D80" s="46" t="str">
        <x:v>dry-cured beef strips</x:v>
      </x:c>
      <x:c r="E80" s="46" t="str">
        <x:v>T1 smoked + spices vs T2 unsmoked + unspiced</x:v>
      </x:c>
      <x:c r="F80" s="46" t="str">
        <x:v>SRC-BEEF-CURE-SMOKE-001</x:v>
      </x:c>
      <x:c r="G80" s="46" t="str">
        <x:v>Phenols</x:v>
      </x:c>
      <x:c r="H80" s="46" t="str">
        <x:v>2-Methylphenol</x:v>
      </x:c>
      <x:c r="I80" s="46"/>
      <x:c r="J80" s="46" t="n">
        <x:v>2005</x:v>
      </x:c>
      <x:c r="K80" s="46" t="str">
        <x:v>MS</x:v>
      </x:c>
      <x:c r="L80" s="46"/>
      <x:c r="M80" s="46"/>
      <x:c r="N80" s="46" t="str">
        <x:v>partial_ms_only_no_numeric_match_factor</x:v>
      </x:c>
      <x:c r="O80" s="46" t="n">
        <x:v>105.39</x:v>
      </x:c>
      <x:c r="P80" s="46"/>
      <x:c r="Q80" s="46" t="n">
        <x:v>14.93</x:v>
      </x:c>
      <x:c r="R80" s="46" t="str">
        <x:v>-</x:v>
      </x:c>
      <x:c r="S80" s="46" t="str">
        <x:v>yes</x:v>
      </x:c>
      <x:c r="T80" s="46" t="str">
        <x:v>no</x:v>
      </x:c>
      <x:c r="U80" s="46" t="str">
        <x:v>smoke/spice-associated phenol layer</x:v>
      </x:c>
      <x:c r="V80" s="46" t="str">
        <x:v>ng/g dry matter</x:v>
      </x:c>
      <x:c r="W80" s="46" t="str">
        <x:v>T1 combines smoking and spices; compound attribution to smoke alone is not assumed even though source PCA identifies phenols as smoke derivatives.</x:v>
      </x:c>
    </x:row>
    <x:row r="81" ht="39.599998474121094" hidden="0" customHeight="1">
      <x:c r="A81" s="46" t="str">
        <x:v>BDC-080</x:v>
      </x:c>
      <x:c r="B81" s="46" t="str">
        <x:v>beef:muscle</x:v>
      </x:c>
      <x:c r="C81" s="46" t="str">
        <x:v>beef</x:v>
      </x:c>
      <x:c r="D81" s="46" t="str">
        <x:v>dry-cured beef strips</x:v>
      </x:c>
      <x:c r="E81" s="46" t="str">
        <x:v>T1 smoked + spices vs T2 unsmoked + unspiced</x:v>
      </x:c>
      <x:c r="F81" s="46" t="str">
        <x:v>SRC-BEEF-CURE-SMOKE-001</x:v>
      </x:c>
      <x:c r="G81" s="46" t="str">
        <x:v>Phenols</x:v>
      </x:c>
      <x:c r="H81" s="46" t="str">
        <x:v>Phenol</x:v>
      </x:c>
      <x:c r="I81" s="46"/>
      <x:c r="J81" s="46" t="n">
        <x:v>2008</x:v>
      </x:c>
      <x:c r="K81" s="46" t="str">
        <x:v>MS;RI</x:v>
      </x:c>
      <x:c r="L81" s="46"/>
      <x:c r="M81" s="46"/>
      <x:c r="N81" s="46" t="str">
        <x:v>partial_no_numeric_match_factor_with_ri</x:v>
      </x:c>
      <x:c r="O81" s="46" t="n">
        <x:v>257.57</x:v>
      </x:c>
      <x:c r="P81" s="46"/>
      <x:c r="Q81" s="46" t="n">
        <x:v>31.2</x:v>
      </x:c>
      <x:c r="R81" s="46" t="str">
        <x:v>-</x:v>
      </x:c>
      <x:c r="S81" s="46" t="str">
        <x:v>yes</x:v>
      </x:c>
      <x:c r="T81" s="46" t="str">
        <x:v>no</x:v>
      </x:c>
      <x:c r="U81" s="46" t="str">
        <x:v>smoke/spice-associated phenol layer</x:v>
      </x:c>
      <x:c r="V81" s="46" t="str">
        <x:v>ng/g dry matter</x:v>
      </x:c>
      <x:c r="W81" s="46" t="str">
        <x:v>T1 combines smoking and spices; compound attribution to smoke alone is not assumed even though source PCA identifies phenols as smoke derivatives.</x:v>
      </x:c>
    </x:row>
    <x:row r="82" ht="39.599998474121094" hidden="0" customHeight="1">
      <x:c r="A82" s="46" t="str">
        <x:v>BDC-081</x:v>
      </x:c>
      <x:c r="B82" s="46" t="str">
        <x:v>beef:muscle</x:v>
      </x:c>
      <x:c r="C82" s="46" t="str">
        <x:v>beef</x:v>
      </x:c>
      <x:c r="D82" s="46" t="str">
        <x:v>dry-cured beef strips</x:v>
      </x:c>
      <x:c r="E82" s="46" t="str">
        <x:v>T1 smoked + spices vs T2 unsmoked + unspiced</x:v>
      </x:c>
      <x:c r="F82" s="46" t="str">
        <x:v>SRC-BEEF-CURE-SMOKE-001</x:v>
      </x:c>
      <x:c r="G82" s="46" t="str">
        <x:v>Phenols</x:v>
      </x:c>
      <x:c r="H82" s="46" t="str">
        <x:v>4-Ethyl-2-methoxyphenol</x:v>
      </x:c>
      <x:c r="I82" s="46"/>
      <x:c r="J82" s="46" t="n">
        <x:v>2035</x:v>
      </x:c>
      <x:c r="K82" s="46" t="str">
        <x:v>MS</x:v>
      </x:c>
      <x:c r="L82" s="46"/>
      <x:c r="M82" s="46"/>
      <x:c r="N82" s="46" t="str">
        <x:v>partial_ms_only_no_numeric_match_factor</x:v>
      </x:c>
      <x:c r="O82" s="46" t="n">
        <x:v>62.93</x:v>
      </x:c>
      <x:c r="P82" s="46"/>
      <x:c r="Q82" s="46" t="n">
        <x:v>8.14</x:v>
      </x:c>
      <x:c r="R82" s="46" t="str">
        <x:v>-</x:v>
      </x:c>
      <x:c r="S82" s="46" t="str">
        <x:v>yes</x:v>
      </x:c>
      <x:c r="T82" s="46" t="str">
        <x:v>no</x:v>
      </x:c>
      <x:c r="U82" s="46" t="str">
        <x:v>smoke/spice-associated phenol layer</x:v>
      </x:c>
      <x:c r="V82" s="46" t="str">
        <x:v>ng/g dry matter</x:v>
      </x:c>
      <x:c r="W82" s="46" t="str">
        <x:v>T1 combines smoking and spices; compound attribution to smoke alone is not assumed even though source PCA identifies phenols as smoke derivatives.</x:v>
      </x:c>
    </x:row>
    <x:row r="83" ht="39.599998474121094" hidden="0" customHeight="1">
      <x:c r="A83" s="46" t="str">
        <x:v>BDC-082</x:v>
      </x:c>
      <x:c r="B83" s="46" t="str">
        <x:v>beef:muscle</x:v>
      </x:c>
      <x:c r="C83" s="46" t="str">
        <x:v>beef</x:v>
      </x:c>
      <x:c r="D83" s="46" t="str">
        <x:v>dry-cured beef strips</x:v>
      </x:c>
      <x:c r="E83" s="46" t="str">
        <x:v>T1 smoked + spices vs T2 unsmoked + unspiced</x:v>
      </x:c>
      <x:c r="F83" s="46" t="str">
        <x:v>SRC-BEEF-CURE-SMOKE-001</x:v>
      </x:c>
      <x:c r="G83" s="46" t="str">
        <x:v>Phenols</x:v>
      </x:c>
      <x:c r="H83" s="46" t="str">
        <x:v>2,5-Dimethylphenol</x:v>
      </x:c>
      <x:c r="I83" s="46"/>
      <x:c r="J83" s="46" t="n">
        <x:v>2079</x:v>
      </x:c>
      <x:c r="K83" s="46" t="str">
        <x:v>MS</x:v>
      </x:c>
      <x:c r="L83" s="46"/>
      <x:c r="M83" s="46"/>
      <x:c r="N83" s="46" t="str">
        <x:v>partial_ms_only_no_numeric_match_factor</x:v>
      </x:c>
      <x:c r="O83" s="46" t="n">
        <x:v>22.93</x:v>
      </x:c>
      <x:c r="P83" s="46"/>
      <x:c r="Q83" s="46" t="n">
        <x:v>3.51</x:v>
      </x:c>
      <x:c r="R83" s="46" t="str">
        <x:v>-</x:v>
      </x:c>
      <x:c r="S83" s="46" t="str">
        <x:v>yes</x:v>
      </x:c>
      <x:c r="T83" s="46" t="str">
        <x:v>no</x:v>
      </x:c>
      <x:c r="U83" s="46" t="str">
        <x:v>smoke/spice-associated phenol layer</x:v>
      </x:c>
      <x:c r="V83" s="46" t="str">
        <x:v>ng/g dry matter</x:v>
      </x:c>
      <x:c r="W83" s="46" t="str">
        <x:v>T1 combines smoking and spices; compound attribution to smoke alone is not assumed even though source PCA identifies phenols as smoke derivatives.</x:v>
      </x:c>
    </x:row>
    <x:row r="84" ht="39.599998474121094" hidden="0" customHeight="1">
      <x:c r="A84" s="46" t="str">
        <x:v>BDC-083</x:v>
      </x:c>
      <x:c r="B84" s="46" t="str">
        <x:v>beef:muscle</x:v>
      </x:c>
      <x:c r="C84" s="46" t="str">
        <x:v>beef</x:v>
      </x:c>
      <x:c r="D84" s="46" t="str">
        <x:v>dry-cured beef strips</x:v>
      </x:c>
      <x:c r="E84" s="46" t="str">
        <x:v>T1 smoked + spices vs T2 unsmoked + unspiced</x:v>
      </x:c>
      <x:c r="F84" s="46" t="str">
        <x:v>SRC-BEEF-CURE-SMOKE-001</x:v>
      </x:c>
      <x:c r="G84" s="46" t="str">
        <x:v>Phenols</x:v>
      </x:c>
      <x:c r="H84" s="46" t="str">
        <x:v>4-Methylphenol</x:v>
      </x:c>
      <x:c r="I84" s="46"/>
      <x:c r="J84" s="46" t="n">
        <x:v>2085</x:v>
      </x:c>
      <x:c r="K84" s="46" t="str">
        <x:v>MS</x:v>
      </x:c>
      <x:c r="L84" s="46"/>
      <x:c r="M84" s="46"/>
      <x:c r="N84" s="46" t="str">
        <x:v>partial_ms_only_no_numeric_match_factor</x:v>
      </x:c>
      <x:c r="O84" s="46" t="n">
        <x:v>123.81</x:v>
      </x:c>
      <x:c r="P84" s="46"/>
      <x:c r="Q84" s="46" t="n">
        <x:v>15.49</x:v>
      </x:c>
      <x:c r="R84" s="46" t="str">
        <x:v>-</x:v>
      </x:c>
      <x:c r="S84" s="46" t="str">
        <x:v>yes</x:v>
      </x:c>
      <x:c r="T84" s="46" t="str">
        <x:v>no</x:v>
      </x:c>
      <x:c r="U84" s="46" t="str">
        <x:v>smoke/spice-associated phenol layer</x:v>
      </x:c>
      <x:c r="V84" s="46" t="str">
        <x:v>ng/g dry matter</x:v>
      </x:c>
      <x:c r="W84" s="46" t="str">
        <x:v>T1 combines smoking and spices; compound attribution to smoke alone is not assumed even though source PCA identifies phenols as smoke derivatives.</x:v>
      </x:c>
    </x:row>
    <x:row r="85" ht="39.599998474121094" hidden="0" customHeight="1">
      <x:c r="A85" s="46" t="str">
        <x:v>BDC-084</x:v>
      </x:c>
      <x:c r="B85" s="46" t="str">
        <x:v>beef:muscle</x:v>
      </x:c>
      <x:c r="C85" s="46" t="str">
        <x:v>beef</x:v>
      </x:c>
      <x:c r="D85" s="46" t="str">
        <x:v>dry-cured beef strips</x:v>
      </x:c>
      <x:c r="E85" s="46" t="str">
        <x:v>T1 smoked + spices vs T2 unsmoked + unspiced</x:v>
      </x:c>
      <x:c r="F85" s="46" t="str">
        <x:v>SRC-BEEF-CURE-SMOKE-001</x:v>
      </x:c>
      <x:c r="G85" s="46" t="str">
        <x:v>Phenols</x:v>
      </x:c>
      <x:c r="H85" s="46" t="str">
        <x:v>3-Methylphenol</x:v>
      </x:c>
      <x:c r="I85" s="46"/>
      <x:c r="J85" s="46" t="n">
        <x:v>2093</x:v>
      </x:c>
      <x:c r="K85" s="46" t="str">
        <x:v>MS</x:v>
      </x:c>
      <x:c r="L85" s="46"/>
      <x:c r="M85" s="46"/>
      <x:c r="N85" s="46" t="str">
        <x:v>partial_ms_only_no_numeric_match_factor</x:v>
      </x:c>
      <x:c r="O85" s="46" t="n">
        <x:v>98.79</x:v>
      </x:c>
      <x:c r="P85" s="46"/>
      <x:c r="Q85" s="46" t="n">
        <x:v>13.58</x:v>
      </x:c>
      <x:c r="R85" s="46" t="str">
        <x:v>-</x:v>
      </x:c>
      <x:c r="S85" s="46" t="str">
        <x:v>yes</x:v>
      </x:c>
      <x:c r="T85" s="46" t="str">
        <x:v>no</x:v>
      </x:c>
      <x:c r="U85" s="46" t="str">
        <x:v>smoke/spice-associated phenol layer</x:v>
      </x:c>
      <x:c r="V85" s="46" t="str">
        <x:v>ng/g dry matter</x:v>
      </x:c>
      <x:c r="W85" s="46" t="str">
        <x:v>T1 combines smoking and spices; compound attribution to smoke alone is not assumed even though source PCA identifies phenols as smoke derivatives.</x:v>
      </x:c>
    </x:row>
    <x:row r="86" ht="39.599998474121094" hidden="0" customHeight="1">
      <x:c r="A86" s="46" t="str">
        <x:v>BDC-085</x:v>
      </x:c>
      <x:c r="B86" s="46" t="str">
        <x:v>beef:muscle</x:v>
      </x:c>
      <x:c r="C86" s="46" t="str">
        <x:v>beef</x:v>
      </x:c>
      <x:c r="D86" s="46" t="str">
        <x:v>dry-cured beef strips</x:v>
      </x:c>
      <x:c r="E86" s="46" t="str">
        <x:v>T1 smoked + spices vs T2 unsmoked + unspiced</x:v>
      </x:c>
      <x:c r="F86" s="46" t="str">
        <x:v>SRC-BEEF-CURE-SMOKE-001</x:v>
      </x:c>
      <x:c r="G86" s="46" t="str">
        <x:v>Phenols</x:v>
      </x:c>
      <x:c r="H86" s="46" t="str">
        <x:v>3-Ethylphenol</x:v>
      </x:c>
      <x:c r="I86" s="46"/>
      <x:c r="J86" s="46" t="n">
        <x:v>2180</x:v>
      </x:c>
      <x:c r="K86" s="46" t="str">
        <x:v>MS</x:v>
      </x:c>
      <x:c r="L86" s="46"/>
      <x:c r="M86" s="46"/>
      <x:c r="N86" s="46" t="str">
        <x:v>partial_ms_only_no_numeric_match_factor</x:v>
      </x:c>
      <x:c r="O86" s="46" t="n">
        <x:v>25.15</x:v>
      </x:c>
      <x:c r="P86" s="46"/>
      <x:c r="Q86" s="46" t="n">
        <x:v>2.53</x:v>
      </x:c>
      <x:c r="R86" s="46" t="str">
        <x:v>-</x:v>
      </x:c>
      <x:c r="S86" s="46" t="str">
        <x:v>yes</x:v>
      </x:c>
      <x:c r="T86" s="46" t="str">
        <x:v>no</x:v>
      </x:c>
      <x:c r="U86" s="46" t="str">
        <x:v>smoke/spice-associated phenol layer</x:v>
      </x:c>
      <x:c r="V86" s="46" t="str">
        <x:v>ng/g dry matter</x:v>
      </x:c>
      <x:c r="W86" s="46" t="str">
        <x:v>T1 combines smoking and spices; compound attribution to smoke alone is not assumed even though source PCA identifies phenols as smoke derivatives.</x:v>
      </x:c>
    </x:row>
    <x:row r="87" ht="39.599998474121094" hidden="0" customHeight="1">
      <x:c r="A87" s="46" t="str">
        <x:v>BDC-086</x:v>
      </x:c>
      <x:c r="B87" s="46" t="str">
        <x:v>beef:muscle</x:v>
      </x:c>
      <x:c r="C87" s="46" t="str">
        <x:v>beef</x:v>
      </x:c>
      <x:c r="D87" s="46" t="str">
        <x:v>dry-cured beef strips</x:v>
      </x:c>
      <x:c r="E87" s="46" t="str">
        <x:v>T1 smoked + spices vs T2 unsmoked + unspiced</x:v>
      </x:c>
      <x:c r="F87" s="46" t="str">
        <x:v>SRC-BEEF-CURE-SMOKE-001</x:v>
      </x:c>
      <x:c r="G87" s="46" t="str">
        <x:v>Phenols</x:v>
      </x:c>
      <x:c r="H87" s="46" t="str">
        <x:v>2,6-Dimethoxyphenol</x:v>
      </x:c>
      <x:c r="I87" s="46"/>
      <x:c r="J87" s="46" t="n">
        <x:v>2272</x:v>
      </x:c>
      <x:c r="K87" s="46" t="str">
        <x:v>MS</x:v>
      </x:c>
      <x:c r="L87" s="46"/>
      <x:c r="M87" s="46"/>
      <x:c r="N87" s="46" t="str">
        <x:v>partial_ms_only_no_numeric_match_factor</x:v>
      </x:c>
      <x:c r="O87" s="46" t="n">
        <x:v>25.89</x:v>
      </x:c>
      <x:c r="P87" s="46"/>
      <x:c r="Q87" s="46" t="n">
        <x:v>3.2</x:v>
      </x:c>
      <x:c r="R87" s="46" t="str">
        <x:v>-</x:v>
      </x:c>
      <x:c r="S87" s="46" t="str">
        <x:v>yes</x:v>
      </x:c>
      <x:c r="T87" s="46" t="str">
        <x:v>no</x:v>
      </x:c>
      <x:c r="U87" s="46" t="str">
        <x:v>smoke/spice-associated phenol layer</x:v>
      </x:c>
      <x:c r="V87" s="46" t="str">
        <x:v>ng/g dry matter</x:v>
      </x:c>
      <x:c r="W87" s="46" t="str">
        <x:v>T1 combines smoking and spices; compound attribution to smoke alone is not assumed even though source PCA identifies phenols as smoke derivatives.</x:v>
      </x:c>
    </x:row>
  </x:sheetData>
  <x:pageMargins left="0.7" right="0.7" top="0.75" bottom="0.75" header="0.3" footer="0.3"/>
  <x:tableParts count="1">
    <x:tablePart xmlns:r="http://schemas.openxmlformats.org/officeDocument/2006/relationships" r:id="R3d5d3efe0a1e4e07"/>
  </x:tableParts>
</x:worksheet>
</file>

<file path=xl/worksheets/sheet53.xml><?xml version="1.0" encoding="utf-8"?>
<x:worksheet xmlns:x="http://schemas.openxmlformats.org/spreadsheetml/2006/main">
  <x:sheetFormatPr defaultRowHeight="15"/>
  <x:cols>
    <x:col min="1" max="1" width="15" hidden="0" customWidth="1"/>
    <x:col min="2" max="2" width="15" hidden="0" customWidth="1"/>
    <x:col min="3" max="3" width="10" hidden="0" customWidth="1"/>
    <x:col min="4" max="4" width="29" hidden="0" customWidth="1"/>
    <x:col min="5" max="5" width="38" hidden="0" customWidth="1"/>
    <x:col min="6" max="6" width="25" hidden="0" customWidth="1"/>
    <x:col min="7" max="7" width="29" hidden="0" customWidth="1"/>
    <x:col min="8" max="8" width="39" hidden="0" customWidth="1"/>
    <x:col min="9" max="9" width="14" hidden="0" customWidth="1"/>
    <x:col min="10" max="10" width="16" hidden="0" customWidth="1"/>
    <x:col min="11" max="11" width="20" hidden="0" customWidth="1"/>
    <x:col min="12" max="12" width="56" hidden="0" customWidth="1"/>
    <x:col min="13" max="13" width="20" hidden="0" customWidth="1"/>
    <x:col min="14" max="14" width="20" hidden="0" customWidth="1"/>
    <x:col min="15" max="15" width="42" hidden="0" customWidth="1"/>
    <x:col min="16" max="16" width="50" hidden="0" customWidth="1"/>
    <x:col min="17" max="17" width="20" hidden="0" customWidth="1"/>
    <x:col min="18" max="18" width="62" hidden="0" customWidth="1"/>
    <x:col min="19" max="19" width="28" hidden="0" customWidth="1"/>
    <x:col min="20" max="20" width="52" hidden="0" customWidth="1"/>
  </x:cols>
  <x:sheetData>
    <x:row r="1" ht="26.399999618530273" hidden="0" customHeight="1">
      <x:c r="A1" s="139" t="str">
        <x:v>detected_record_id</x:v>
      </x:c>
      <x:c r="B1" s="139" t="str">
        <x:v>product_id</x:v>
      </x:c>
      <x:c r="C1" s="139" t="str">
        <x:v>protein</x:v>
      </x:c>
      <x:c r="D1" s="139" t="str">
        <x:v>material</x:v>
      </x:c>
      <x:c r="E1" s="139" t="str">
        <x:v>state_scope</x:v>
      </x:c>
      <x:c r="F1" s="139" t="str">
        <x:v>source_id</x:v>
      </x:c>
      <x:c r="G1" s="139" t="str">
        <x:v>compound_group</x:v>
      </x:c>
      <x:c r="H1" s="139" t="str">
        <x:v>compound_name</x:v>
      </x:c>
      <x:c r="I1" s="139" t="str">
        <x:v>cas</x:v>
      </x:c>
      <x:c r="J1" s="139" t="str">
        <x:v>retention_time_min</x:v>
      </x:c>
      <x:c r="K1" s="139" t="str">
        <x:v>source_relevance_match_pct</x:v>
      </x:c>
      <x:c r="L1" s="139" t="str">
        <x:v>source_identification_field_definition</x:v>
      </x:c>
      <x:c r="M1" s="139" t="str">
        <x:v>numeric_mass_match_factor</x:v>
      </x:c>
      <x:c r="N1" s="139" t="str">
        <x:v>chromatographic_lri_observed</x:v>
      </x:c>
      <x:c r="O1" s="139" t="str">
        <x:v>mr09_identification_status</x:v>
      </x:c>
      <x:c r="P1" s="139" t="str">
        <x:v>odor_descriptor</x:v>
      </x:c>
      <x:c r="Q1" s="139" t="str">
        <x:v>odor_threshold_ppm</x:v>
      </x:c>
      <x:c r="R1" s="139" t="str">
        <x:v>notes</x:v>
      </x:c>
      <x:c r="S1" s="23" t="str">
        <x:v>culinary_relevance_route</x:v>
      </x:c>
      <x:c r="T1" s="23" t="str">
        <x:v>route_notes</x:v>
      </x:c>
    </x:row>
    <x:row r="2" ht="26.399999618530273" hidden="0" customHeight="1">
      <x:c r="A2" s="46" t="str">
        <x:v>BDA-001</x:v>
      </x:c>
      <x:c r="B2" s="46" t="str">
        <x:v>beef:muscle</x:v>
      </x:c>
      <x:c r="C2" s="46" t="str">
        <x:v>beef</x:v>
      </x:c>
      <x:c r="D2" s="46" t="str">
        <x:v>M. longissimus lumborum</x:v>
      </x:c>
      <x:c r="E2" s="46" t="str">
        <x:v>dry/wet aging identification union across day 0-28</x:v>
      </x:c>
      <x:c r="F2" s="46" t="str">
        <x:v>SRC-BEEF-AGE-001</x:v>
      </x:c>
      <x:c r="G2" s="46" t="str">
        <x:v>Aldehydes/furans/ketones</x:v>
      </x:c>
      <x:c r="H2" s="46" t="str">
        <x:v>(E,E)-2,4-Hexadienal</x:v>
      </x:c>
      <x:c r="I2" s="46"/>
      <x:c r="J2" s="46" t="n">
        <x:v>116.86</x:v>
      </x:c>
      <x:c r="K2" s="46" t="n">
        <x:v>81.1</x:v>
      </x:c>
      <x:c r="L2" s="46" t="str">
        <x:v>source RI = relevance index / matching probability based on Kovats-RI comparison to AroChemBase</x:v>
      </x:c>
      <x:c r="M2" s="46"/>
      <x:c r="N2" s="46"/>
      <x:c r="O2" s="46" t="str">
        <x:v>source_matching_probability_reported_not_chromatographic_lri</x:v>
      </x:c>
      <x:c r="P2" s="46" t="str">
        <x:v>Citrus, floral, green, spicy, sweet</x:v>
      </x:c>
      <x:c r="Q2" s="46" t="str">
        <x:v>94.8</x:v>
      </x:c>
      <x:c r="R2" s="46" t="str">
        <x:v>This row proves study-level identification across aging; it does not mean the compound was detected in every dry- or wet-aged timepoint.</x:v>
      </x:c>
      <x:c r="S2" s="23"/>
      <x:c r="T2" s="23"/>
    </x:row>
    <x:row r="3" ht="26.399999618530273" hidden="0" customHeight="1">
      <x:c r="A3" s="46" t="str">
        <x:v>BDA-002</x:v>
      </x:c>
      <x:c r="B3" s="46" t="str">
        <x:v>beef:muscle</x:v>
      </x:c>
      <x:c r="C3" s="46" t="str">
        <x:v>beef</x:v>
      </x:c>
      <x:c r="D3" s="46" t="str">
        <x:v>M. longissimus lumborum</x:v>
      </x:c>
      <x:c r="E3" s="46" t="str">
        <x:v>dry/wet aging identification union across day 0-28</x:v>
      </x:c>
      <x:c r="F3" s="46" t="str">
        <x:v>SRC-BEEF-AGE-001</x:v>
      </x:c>
      <x:c r="G3" s="46" t="str">
        <x:v>Aldehydes/furans/ketones</x:v>
      </x:c>
      <x:c r="H3" s="46" t="str">
        <x:v>2-Methylbutanal</x:v>
      </x:c>
      <x:c r="I3" s="46"/>
      <x:c r="J3" s="46" t="n">
        <x:v>28.3</x:v>
      </x:c>
      <x:c r="K3" s="46" t="n">
        <x:v>92.02</x:v>
      </x:c>
      <x:c r="L3" s="46" t="str">
        <x:v>source RI = relevance index / matching probability based on Kovats-RI comparison to AroChemBase</x:v>
      </x:c>
      <x:c r="M3" s="46"/>
      <x:c r="N3" s="46"/>
      <x:c r="O3" s="46" t="str">
        <x:v>source_matching_probability_reported_not_chromatographic_lri</x:v>
      </x:c>
      <x:c r="P3" s="46" t="str">
        <x:v>Ethereal, nutty, sweet</x:v>
      </x:c>
      <x:c r="Q3" s="46" t="str">
        <x:v>1</x:v>
      </x:c>
      <x:c r="R3" s="46" t="str">
        <x:v>This row proves study-level identification across aging; it does not mean the compound was detected in every dry- or wet-aged timepoint.</x:v>
      </x:c>
      <x:c r="S3" s="23"/>
      <x:c r="T3" s="23"/>
    </x:row>
    <x:row r="4" ht="26.399999618530273" hidden="0" customHeight="1">
      <x:c r="A4" s="46" t="str">
        <x:v>BDA-003</x:v>
      </x:c>
      <x:c r="B4" s="46" t="str">
        <x:v>beef:muscle</x:v>
      </x:c>
      <x:c r="C4" s="46" t="str">
        <x:v>beef</x:v>
      </x:c>
      <x:c r="D4" s="46" t="str">
        <x:v>M. longissimus lumborum</x:v>
      </x:c>
      <x:c r="E4" s="46" t="str">
        <x:v>dry/wet aging identification union across day 0-28</x:v>
      </x:c>
      <x:c r="F4" s="46" t="str">
        <x:v>SRC-BEEF-AGE-001</x:v>
      </x:c>
      <x:c r="G4" s="46" t="str">
        <x:v>Aldehydes/furans/ketones</x:v>
      </x:c>
      <x:c r="H4" s="46" t="str">
        <x:v>2-Methylpropanal</x:v>
      </x:c>
      <x:c r="I4" s="46"/>
      <x:c r="J4" s="46" t="n">
        <x:v>16.39</x:v>
      </x:c>
      <x:c r="K4" s="46" t="n">
        <x:v>51.36</x:v>
      </x:c>
      <x:c r="L4" s="46" t="str">
        <x:v>source RI = relevance index / matching probability based on Kovats-RI comparison to AroChemBase</x:v>
      </x:c>
      <x:c r="M4" s="46"/>
      <x:c r="N4" s="46"/>
      <x:c r="O4" s="46" t="str">
        <x:v>source_matching_probability_reported_not_chromatographic_lri</x:v>
      </x:c>
      <x:c r="P4" s="46" t="str">
        <x:v>Camphor, green, malty, pungent, sharp</x:v>
      </x:c>
      <x:c r="Q4" s="46" t="str">
        <x:v>0.7</x:v>
      </x:c>
      <x:c r="R4" s="46" t="str">
        <x:v>This row proves study-level identification across aging; it does not mean the compound was detected in every dry- or wet-aged timepoint.</x:v>
      </x:c>
      <x:c r="S4" s="23"/>
      <x:c r="T4" s="23"/>
    </x:row>
    <x:row r="5" ht="26.399999618530273" hidden="0" customHeight="1">
      <x:c r="A5" s="46" t="str">
        <x:v>BDA-004</x:v>
      </x:c>
      <x:c r="B5" s="46" t="str">
        <x:v>beef:muscle</x:v>
      </x:c>
      <x:c r="C5" s="46" t="str">
        <x:v>beef</x:v>
      </x:c>
      <x:c r="D5" s="46" t="str">
        <x:v>M. longissimus lumborum</x:v>
      </x:c>
      <x:c r="E5" s="46" t="str">
        <x:v>dry/wet aging identification union across day 0-28</x:v>
      </x:c>
      <x:c r="F5" s="46" t="str">
        <x:v>SRC-BEEF-AGE-001</x:v>
      </x:c>
      <x:c r="G5" s="46" t="str">
        <x:v>Aldehydes/furans/ketones</x:v>
      </x:c>
      <x:c r="H5" s="46" t="str">
        <x:v>Propanal</x:v>
      </x:c>
      <x:c r="I5" s="46"/>
      <x:c r="J5" s="46" t="n">
        <x:v>14.13</x:v>
      </x:c>
      <x:c r="K5" s="46" t="n">
        <x:v>65.5</x:v>
      </x:c>
      <x:c r="L5" s="46" t="str">
        <x:v>source RI = relevance index / matching probability based on Kovats-RI comparison to AroChemBase</x:v>
      </x:c>
      <x:c r="M5" s="46"/>
      <x:c r="N5" s="46"/>
      <x:c r="O5" s="46" t="str">
        <x:v>source_matching_probability_reported_not_chromatographic_lri</x:v>
      </x:c>
      <x:c r="P5" s="46" t="str">
        <x:v>Almond, cherry, green, fruity</x:v>
      </x:c>
      <x:c r="Q5" s="46" t="str">
        <x:v>25.1</x:v>
      </x:c>
      <x:c r="R5" s="46" t="str">
        <x:v>This row proves study-level identification across aging; it does not mean the compound was detected in every dry- or wet-aged timepoint.</x:v>
      </x:c>
      <x:c r="S5" s="23"/>
      <x:c r="T5" s="23"/>
    </x:row>
    <x:row r="6" ht="26.399999618530273" hidden="0" customHeight="1">
      <x:c r="A6" s="46" t="str">
        <x:v>BDA-005</x:v>
      </x:c>
      <x:c r="B6" s="46" t="str">
        <x:v>beef:muscle</x:v>
      </x:c>
      <x:c r="C6" s="46" t="str">
        <x:v>beef</x:v>
      </x:c>
      <x:c r="D6" s="46" t="str">
        <x:v>M. longissimus lumborum</x:v>
      </x:c>
      <x:c r="E6" s="46" t="str">
        <x:v>dry/wet aging identification union across day 0-28</x:v>
      </x:c>
      <x:c r="F6" s="46" t="str">
        <x:v>SRC-BEEF-AGE-001</x:v>
      </x:c>
      <x:c r="G6" s="46" t="str">
        <x:v>Aldehydes/furans/ketones</x:v>
      </x:c>
      <x:c r="H6" s="46" t="str">
        <x:v>Tetrahydrofuran</x:v>
      </x:c>
      <x:c r="I6" s="46"/>
      <x:c r="J6" s="46" t="n">
        <x:v>21.72</x:v>
      </x:c>
      <x:c r="K6" s="46" t="n">
        <x:v>93.82</x:v>
      </x:c>
      <x:c r="L6" s="46" t="str">
        <x:v>source RI = relevance index / matching probability based on Kovats-RI comparison to AroChemBase</x:v>
      </x:c>
      <x:c r="M6" s="46"/>
      <x:c r="N6" s="46"/>
      <x:c r="O6" s="46" t="str">
        <x:v>source_matching_probability_reported_not_chromatographic_lri</x:v>
      </x:c>
      <x:c r="P6" s="46" t="str">
        <x:v>Aromatic, burnt, fruity, sulfurous, sweet</x:v>
      </x:c>
      <x:c r="Q6" s="46" t="str">
        <x:v>92-61000</x:v>
      </x:c>
      <x:c r="R6" s="46" t="str">
        <x:v>This row proves study-level identification across aging; it does not mean the compound was detected in every dry- or wet-aged timepoint.</x:v>
      </x:c>
      <x:c r="S6" s="23"/>
      <x:c r="T6" s="23"/>
    </x:row>
    <x:row r="7" ht="26.399999618530273" hidden="0" customHeight="1">
      <x:c r="A7" s="46" t="str">
        <x:v>BDA-006</x:v>
      </x:c>
      <x:c r="B7" s="46" t="str">
        <x:v>beef:muscle</x:v>
      </x:c>
      <x:c r="C7" s="46" t="str">
        <x:v>beef</x:v>
      </x:c>
      <x:c r="D7" s="46" t="str">
        <x:v>M. longissimus lumborum</x:v>
      </x:c>
      <x:c r="E7" s="46" t="str">
        <x:v>dry/wet aging identification union across day 0-28</x:v>
      </x:c>
      <x:c r="F7" s="46" t="str">
        <x:v>SRC-BEEF-AGE-001</x:v>
      </x:c>
      <x:c r="G7" s="46" t="str">
        <x:v>Aldehydes/furans/ketones</x:v>
      </x:c>
      <x:c r="H7" s="46" t="str">
        <x:v>3-Heptanone</x:v>
      </x:c>
      <x:c r="I7" s="46"/>
      <x:c r="J7" s="46" t="n">
        <x:v>87.14</x:v>
      </x:c>
      <x:c r="K7" s="46" t="n">
        <x:v>90.67</x:v>
      </x:c>
      <x:c r="L7" s="46" t="str">
        <x:v>source RI = relevance index / matching probability based on Kovats-RI comparison to AroChemBase</x:v>
      </x:c>
      <x:c r="M7" s="46"/>
      <x:c r="N7" s="46"/>
      <x:c r="O7" s="46" t="str">
        <x:v>source_matching_probability_reported_not_chromatographic_lri</x:v>
      </x:c>
      <x:c r="P7" s="46" t="str">
        <x:v>Fatty, fruity, green, spicy, sweet</x:v>
      </x:c>
      <x:c r="Q7" s="46" t="str">
        <x:v>140</x:v>
      </x:c>
      <x:c r="R7" s="46" t="str">
        <x:v>This row proves study-level identification across aging; it does not mean the compound was detected in every dry- or wet-aged timepoint.</x:v>
      </x:c>
      <x:c r="S7" s="23"/>
      <x:c r="T7" s="23"/>
    </x:row>
    <x:row r="8" ht="26.399999618530273" hidden="0" customHeight="1">
      <x:c r="A8" s="46" t="str">
        <x:v>BDA-007</x:v>
      </x:c>
      <x:c r="B8" s="46" t="str">
        <x:v>beef:muscle</x:v>
      </x:c>
      <x:c r="C8" s="46" t="str">
        <x:v>beef</x:v>
      </x:c>
      <x:c r="D8" s="46" t="str">
        <x:v>M. longissimus lumborum</x:v>
      </x:c>
      <x:c r="E8" s="46" t="str">
        <x:v>dry/wet aging identification union across day 0-28</x:v>
      </x:c>
      <x:c r="F8" s="46" t="str">
        <x:v>SRC-BEEF-AGE-001</x:v>
      </x:c>
      <x:c r="G8" s="46" t="str">
        <x:v>N-containing</x:v>
      </x:c>
      <x:c r="H8" s="46" t="str">
        <x:v>1-Butanamine</x:v>
      </x:c>
      <x:c r="I8" s="46"/>
      <x:c r="J8" s="46" t="n">
        <x:v>25.03</x:v>
      </x:c>
      <x:c r="K8" s="46" t="n">
        <x:v>85.38</x:v>
      </x:c>
      <x:c r="L8" s="46" t="str">
        <x:v>source RI = relevance index / matching probability based on Kovats-RI comparison to AroChemBase</x:v>
      </x:c>
      <x:c r="M8" s="46"/>
      <x:c r="N8" s="46"/>
      <x:c r="O8" s="46" t="str">
        <x:v>source_matching_probability_reported_not_chromatographic_lri</x:v>
      </x:c>
      <x:c r="P8" s="46" t="str">
        <x:v>Ammoniacal, fishy</x:v>
      </x:c>
      <x:c r="Q8" s="46" t="str">
        <x:v>170</x:v>
      </x:c>
      <x:c r="R8" s="46" t="str">
        <x:v>This row proves study-level identification across aging; it does not mean the compound was detected in every dry- or wet-aged timepoint.</x:v>
      </x:c>
      <x:c r="S8" s="23" t="str">
        <x:v>unresolved</x:v>
      </x:c>
      <x:c r="T8" s="23" t="str">
        <x:v>MR-17 v29: explicit held state. Preserve source occurrence; exclude from flavor profile and DF until resolver/classifier evidence supports a positive or non-flavor route.</x:v>
      </x:c>
    </x:row>
    <x:row r="9" ht="26.399999618530273" hidden="0" customHeight="1">
      <x:c r="A9" s="46" t="str">
        <x:v>BDA-008</x:v>
      </x:c>
      <x:c r="B9" s="46" t="str">
        <x:v>beef:muscle</x:v>
      </x:c>
      <x:c r="C9" s="46" t="str">
        <x:v>beef</x:v>
      </x:c>
      <x:c r="D9" s="46" t="str">
        <x:v>M. longissimus lumborum</x:v>
      </x:c>
      <x:c r="E9" s="46" t="str">
        <x:v>dry/wet aging identification union across day 0-28</x:v>
      </x:c>
      <x:c r="F9" s="46" t="str">
        <x:v>SRC-BEEF-AGE-001</x:v>
      </x:c>
      <x:c r="G9" s="46" t="str">
        <x:v>N-containing</x:v>
      </x:c>
      <x:c r="H9" s="46" t="str">
        <x:v>Ethenyl-dimethylpyrazine</x:v>
      </x:c>
      <x:c r="I9" s="46"/>
      <x:c r="J9" s="46" t="n">
        <x:v>147.23</x:v>
      </x:c>
      <x:c r="K9" s="46" t="n">
        <x:v>93.75</x:v>
      </x:c>
      <x:c r="L9" s="46" t="str">
        <x:v>source RI = relevance index / matching probability based on Kovats-RI comparison to AroChemBase</x:v>
      </x:c>
      <x:c r="M9" s="46"/>
      <x:c r="N9" s="46"/>
      <x:c r="O9" s="46" t="str">
        <x:v>source_matching_probability_reported_not_chromatographic_lri</x:v>
      </x:c>
      <x:c r="P9" s="46" t="str">
        <x:v>Earthy, musty</x:v>
      </x:c>
      <x:c r="Q9" s="46"/>
      <x:c r="R9" s="46" t="str">
        <x:v>This row proves study-level identification across aging; it does not mean the compound was detected in every dry- or wet-aged timepoint.</x:v>
      </x:c>
      <x:c r="S9" s="23"/>
      <x:c r="T9" s="23"/>
    </x:row>
    <x:row r="10" ht="26.399999618530273" hidden="0" customHeight="1">
      <x:c r="A10" s="46" t="str">
        <x:v>BDA-009</x:v>
      </x:c>
      <x:c r="B10" s="46" t="str">
        <x:v>beef:muscle</x:v>
      </x:c>
      <x:c r="C10" s="46" t="str">
        <x:v>beef</x:v>
      </x:c>
      <x:c r="D10" s="46" t="str">
        <x:v>M. longissimus lumborum</x:v>
      </x:c>
      <x:c r="E10" s="46" t="str">
        <x:v>dry/wet aging identification union across day 0-28</x:v>
      </x:c>
      <x:c r="F10" s="46" t="str">
        <x:v>SRC-BEEF-AGE-001</x:v>
      </x:c>
      <x:c r="G10" s="46" t="str">
        <x:v>N-containing</x:v>
      </x:c>
      <x:c r="H10" s="46" t="str">
        <x:v>2-Pentylpyridine</x:v>
      </x:c>
      <x:c r="I10" s="46"/>
      <x:c r="J10" s="46" t="n">
        <x:v>108.94</x:v>
      </x:c>
      <x:c r="K10" s="46" t="n">
        <x:v>84.18</x:v>
      </x:c>
      <x:c r="L10" s="46" t="str">
        <x:v>source RI = relevance index / matching probability based on Kovats-RI comparison to AroChemBase</x:v>
      </x:c>
      <x:c r="M10" s="46"/>
      <x:c r="N10" s="46"/>
      <x:c r="O10" s="46" t="str">
        <x:v>source_matching_probability_reported_not_chromatographic_lri</x:v>
      </x:c>
      <x:c r="P10" s="46" t="str">
        <x:v>Fatty, green, mushroom, pepper, tallowy</x:v>
      </x:c>
      <x:c r="Q10" s="46" t="str">
        <x:v>5</x:v>
      </x:c>
      <x:c r="R10" s="46" t="str">
        <x:v>This row proves study-level identification across aging; it does not mean the compound was detected in every dry- or wet-aged timepoint.</x:v>
      </x:c>
      <x:c r="S10" s="23"/>
      <x:c r="T10" s="23"/>
    </x:row>
    <x:row r="11" ht="26.399999618530273" hidden="0" customHeight="1">
      <x:c r="A11" s="46" t="str">
        <x:v>BDA-010</x:v>
      </x:c>
      <x:c r="B11" s="46" t="str">
        <x:v>beef:muscle</x:v>
      </x:c>
      <x:c r="C11" s="46" t="str">
        <x:v>beef</x:v>
      </x:c>
      <x:c r="D11" s="46" t="str">
        <x:v>M. longissimus lumborum</x:v>
      </x:c>
      <x:c r="E11" s="46" t="str">
        <x:v>dry/wet aging identification union across day 0-28</x:v>
      </x:c>
      <x:c r="F11" s="46" t="str">
        <x:v>SRC-BEEF-AGE-001</x:v>
      </x:c>
      <x:c r="G11" s="46" t="str">
        <x:v>N-containing</x:v>
      </x:c>
      <x:c r="H11" s="46" t="str">
        <x:v>Trimethylamine</x:v>
      </x:c>
      <x:c r="I11" s="46"/>
      <x:c r="J11" s="46" t="n">
        <x:v>11.1</x:v>
      </x:c>
      <x:c r="K11" s="46" t="n">
        <x:v>74.73</x:v>
      </x:c>
      <x:c r="L11" s="46" t="str">
        <x:v>source RI = relevance index / matching probability based on Kovats-RI comparison to AroChemBase</x:v>
      </x:c>
      <x:c r="M11" s="46"/>
      <x:c r="N11" s="46"/>
      <x:c r="O11" s="46" t="str">
        <x:v>source_matching_probability_reported_not_chromatographic_lri</x:v>
      </x:c>
      <x:c r="P11" s="46" t="str">
        <x:v>Ammoniacal, fishy, fruity, oily, pungent, rancid, sweaty</x:v>
      </x:c>
      <x:c r="Q11" s="46" t="str">
        <x:v>2.4</x:v>
      </x:c>
      <x:c r="R11" s="46" t="str">
        <x:v>This row proves study-level identification across aging; it does not mean the compound was detected in every dry- or wet-aged timepoint.</x:v>
      </x:c>
      <x:c r="S11" s="23"/>
      <x:c r="T11" s="23"/>
    </x:row>
    <x:row r="12" ht="26.399999618530273" hidden="0" customHeight="1">
      <x:c r="A12" s="46" t="str">
        <x:v>BDA-011</x:v>
      </x:c>
      <x:c r="B12" s="46" t="str">
        <x:v>beef:muscle</x:v>
      </x:c>
      <x:c r="C12" s="46" t="str">
        <x:v>beef</x:v>
      </x:c>
      <x:c r="D12" s="46" t="str">
        <x:v>M. longissimus lumborum</x:v>
      </x:c>
      <x:c r="E12" s="46" t="str">
        <x:v>dry/wet aging identification union across day 0-28</x:v>
      </x:c>
      <x:c r="F12" s="46" t="str">
        <x:v>SRC-BEEF-AGE-001</x:v>
      </x:c>
      <x:c r="G12" s="46" t="str">
        <x:v>S-containing</x:v>
      </x:c>
      <x:c r="H12" s="46" t="str">
        <x:v>2-Methyl-2-propanethiol</x:v>
      </x:c>
      <x:c r="I12" s="46"/>
      <x:c r="J12" s="46" t="n">
        <x:v>17.99</x:v>
      </x:c>
      <x:c r="K12" s="46" t="n">
        <x:v>88.64</x:v>
      </x:c>
      <x:c r="L12" s="46" t="str">
        <x:v>source RI = relevance index / matching probability based on Kovats-RI comparison to AroChemBase</x:v>
      </x:c>
      <x:c r="M12" s="46"/>
      <x:c r="N12" s="46"/>
      <x:c r="O12" s="46" t="str">
        <x:v>source_matching_probability_reported_not_chromatographic_lri</x:v>
      </x:c>
      <x:c r="P12" s="46" t="str">
        <x:v>Sulfurous</x:v>
      </x:c>
      <x:c r="Q12" s="46" t="str">
        <x:v>0.33</x:v>
      </x:c>
      <x:c r="R12" s="46" t="str">
        <x:v>This row proves study-level identification across aging; it does not mean the compound was detected in every dry- or wet-aged timepoint.</x:v>
      </x:c>
      <x:c r="S12" s="23"/>
      <x:c r="T12" s="23"/>
    </x:row>
    <x:row r="13" ht="26.399999618530273" hidden="0" customHeight="1">
      <x:c r="A13" s="46" t="str">
        <x:v>BDA-012</x:v>
      </x:c>
      <x:c r="B13" s="46" t="str">
        <x:v>beef:muscle</x:v>
      </x:c>
      <x:c r="C13" s="46" t="str">
        <x:v>beef</x:v>
      </x:c>
      <x:c r="D13" s="46" t="str">
        <x:v>M. longissimus lumborum</x:v>
      </x:c>
      <x:c r="E13" s="46" t="str">
        <x:v>dry/wet aging identification union across day 0-28</x:v>
      </x:c>
      <x:c r="F13" s="46" t="str">
        <x:v>SRC-BEEF-AGE-001</x:v>
      </x:c>
      <x:c r="G13" s="46" t="str">
        <x:v>S-containing</x:v>
      </x:c>
      <x:c r="H13" s="46" t="str">
        <x:v>Carbon disulfide</x:v>
      </x:c>
      <x:c r="I13" s="46"/>
      <x:c r="J13" s="46" t="n">
        <x:v>17.3</x:v>
      </x:c>
      <x:c r="K13" s="46" t="n">
        <x:v>71.6</x:v>
      </x:c>
      <x:c r="L13" s="46" t="str">
        <x:v>source RI = relevance index / matching probability based on Kovats-RI comparison to AroChemBase</x:v>
      </x:c>
      <x:c r="M13" s="46"/>
      <x:c r="N13" s="46"/>
      <x:c r="O13" s="46" t="str">
        <x:v>source_matching_probability_reported_not_chromatographic_lri</x:v>
      </x:c>
      <x:c r="P13" s="46" t="str">
        <x:v>Burnt, cabbage, fruity, sulfurous</x:v>
      </x:c>
      <x:c r="Q13" s="46" t="str">
        <x:v>210</x:v>
      </x:c>
      <x:c r="R13" s="46" t="str">
        <x:v>This row proves study-level identification across aging; it does not mean the compound was detected in every dry- or wet-aged timepoint.</x:v>
      </x:c>
      <x:c r="S13" s="23"/>
      <x:c r="T13" s="23"/>
    </x:row>
    <x:row r="14" ht="26.399999618530273" hidden="0" customHeight="1">
      <x:c r="A14" s="46" t="str">
        <x:v>BDA-013</x:v>
      </x:c>
      <x:c r="B14" s="46" t="str">
        <x:v>beef:muscle</x:v>
      </x:c>
      <x:c r="C14" s="46" t="str">
        <x:v>beef</x:v>
      </x:c>
      <x:c r="D14" s="46" t="str">
        <x:v>M. longissimus lumborum</x:v>
      </x:c>
      <x:c r="E14" s="46" t="str">
        <x:v>dry/wet aging identification union across day 0-28</x:v>
      </x:c>
      <x:c r="F14" s="46" t="str">
        <x:v>SRC-BEEF-AGE-001</x:v>
      </x:c>
      <x:c r="G14" s="46" t="str">
        <x:v>S-containing</x:v>
      </x:c>
      <x:c r="H14" s="46" t="str">
        <x:v>Dimethyl trisulfide</x:v>
      </x:c>
      <x:c r="I14" s="46"/>
      <x:c r="J14" s="46" t="n">
        <x:v>101.67</x:v>
      </x:c>
      <x:c r="K14" s="46" t="n">
        <x:v>85.46</x:v>
      </x:c>
      <x:c r="L14" s="46" t="str">
        <x:v>source RI = relevance index / matching probability based on Kovats-RI comparison to AroChemBase</x:v>
      </x:c>
      <x:c r="M14" s="46"/>
      <x:c r="N14" s="46"/>
      <x:c r="O14" s="46" t="str">
        <x:v>source_matching_probability_reported_not_chromatographic_lri</x:v>
      </x:c>
      <x:c r="P14" s="46" t="str">
        <x:v>Alliaceous, cabbage, fishy, meaty, onion, sulfurous</x:v>
      </x:c>
      <x:c r="Q14" s="46" t="str">
        <x:v>0.1</x:v>
      </x:c>
      <x:c r="R14" s="46" t="str">
        <x:v>This row proves study-level identification across aging; it does not mean the compound was detected in every dry- or wet-aged timepoint.</x:v>
      </x:c>
      <x:c r="S14" s="23"/>
      <x:c r="T14" s="23"/>
    </x:row>
    <x:row r="15" ht="26.399999618530273" hidden="0" customHeight="1">
      <x:c r="A15" s="46" t="str">
        <x:v>BDA-014</x:v>
      </x:c>
      <x:c r="B15" s="46" t="str">
        <x:v>beef:muscle</x:v>
      </x:c>
      <x:c r="C15" s="46" t="str">
        <x:v>beef</x:v>
      </x:c>
      <x:c r="D15" s="46" t="str">
        <x:v>M. longissimus lumborum</x:v>
      </x:c>
      <x:c r="E15" s="46" t="str">
        <x:v>dry/wet aging identification union across day 0-28</x:v>
      </x:c>
      <x:c r="F15" s="46" t="str">
        <x:v>SRC-BEEF-AGE-001</x:v>
      </x:c>
      <x:c r="G15" s="46" t="str">
        <x:v>Alcohols</x:v>
      </x:c>
      <x:c r="H15" s="46" t="str">
        <x:v>1-Methoxy-2-propanol</x:v>
      </x:c>
      <x:c r="I15" s="46"/>
      <x:c r="J15" s="46" t="n">
        <x:v>34.76</x:v>
      </x:c>
      <x:c r="K15" s="46" t="n">
        <x:v>76.18</x:v>
      </x:c>
      <x:c r="L15" s="46" t="str">
        <x:v>source RI = relevance index / matching probability based on Kovats-RI comparison to AroChemBase</x:v>
      </x:c>
      <x:c r="M15" s="46"/>
      <x:c r="N15" s="46"/>
      <x:c r="O15" s="46" t="str">
        <x:v>source_matching_probability_reported_not_chromatographic_lri</x:v>
      </x:c>
      <x:c r="P15" s="46" t="str">
        <x:v>Mild</x:v>
      </x:c>
      <x:c r="Q15" s="46" t="str">
        <x:v>839-33000</x:v>
      </x:c>
      <x:c r="R15" s="46" t="str">
        <x:v>This row proves study-level identification across aging; it does not mean the compound was detected in every dry- or wet-aged timepoint.</x:v>
      </x:c>
      <x:c r="S15" s="23"/>
      <x:c r="T15" s="23"/>
    </x:row>
    <x:row r="16" ht="26.399999618530273" hidden="0" customHeight="1">
      <x:c r="A16" s="46" t="str">
        <x:v>BDA-015</x:v>
      </x:c>
      <x:c r="B16" s="46" t="str">
        <x:v>beef:muscle</x:v>
      </x:c>
      <x:c r="C16" s="46" t="str">
        <x:v>beef</x:v>
      </x:c>
      <x:c r="D16" s="46" t="str">
        <x:v>M. longissimus lumborum</x:v>
      </x:c>
      <x:c r="E16" s="46" t="str">
        <x:v>dry/wet aging identification union across day 0-28</x:v>
      </x:c>
      <x:c r="F16" s="46" t="str">
        <x:v>SRC-BEEF-AGE-001</x:v>
      </x:c>
      <x:c r="G16" s="46" t="str">
        <x:v>Alcohols</x:v>
      </x:c>
      <x:c r="H16" s="46" t="str">
        <x:v>2-Butanol</x:v>
      </x:c>
      <x:c r="I16" s="46"/>
      <x:c r="J16" s="46" t="n">
        <x:v>28.35</x:v>
      </x:c>
      <x:c r="K16" s="46" t="n">
        <x:v>56.68</x:v>
      </x:c>
      <x:c r="L16" s="46" t="str">
        <x:v>source RI = relevance index / matching probability based on Kovats-RI comparison to AroChemBase</x:v>
      </x:c>
      <x:c r="M16" s="46"/>
      <x:c r="N16" s="46"/>
      <x:c r="O16" s="46" t="str">
        <x:v>source_matching_probability_reported_not_chromatographic_lri</x:v>
      </x:c>
      <x:c r="P16" s="46" t="str">
        <x:v>Pleasant, strong, sweet, wine</x:v>
      </x:c>
      <x:c r="Q16" s="46" t="str">
        <x:v>220</x:v>
      </x:c>
      <x:c r="R16" s="46" t="str">
        <x:v>This row proves study-level identification across aging; it does not mean the compound was detected in every dry- or wet-aged timepoint.</x:v>
      </x:c>
      <x:c r="S16" s="23"/>
      <x:c r="T16" s="23"/>
    </x:row>
    <x:row r="17" ht="26.399999618530273" hidden="0" customHeight="1">
      <x:c r="A17" s="46" t="str">
        <x:v>BDA-016</x:v>
      </x:c>
      <x:c r="B17" s="46" t="str">
        <x:v>beef:muscle</x:v>
      </x:c>
      <x:c r="C17" s="46" t="str">
        <x:v>beef</x:v>
      </x:c>
      <x:c r="D17" s="46" t="str">
        <x:v>M. longissimus lumborum</x:v>
      </x:c>
      <x:c r="E17" s="46" t="str">
        <x:v>dry/wet aging identification union across day 0-28</x:v>
      </x:c>
      <x:c r="F17" s="46" t="str">
        <x:v>SRC-BEEF-AGE-001</x:v>
      </x:c>
      <x:c r="G17" s="46" t="str">
        <x:v>Alcohols</x:v>
      </x:c>
      <x:c r="H17" s="46" t="str">
        <x:v>4-Methyl-1-hexanol</x:v>
      </x:c>
      <x:c r="I17" s="46"/>
      <x:c r="J17" s="46" t="n">
        <x:v>97.21</x:v>
      </x:c>
      <x:c r="K17" s="46" t="n">
        <x:v>92.13</x:v>
      </x:c>
      <x:c r="L17" s="46" t="str">
        <x:v>source RI = relevance index / matching probability based on Kovats-RI comparison to AroChemBase</x:v>
      </x:c>
      <x:c r="M17" s="46"/>
      <x:c r="N17" s="46"/>
      <x:c r="O17" s="46" t="str">
        <x:v>source_matching_probability_reported_not_chromatographic_lri</x:v>
      </x:c>
      <x:c r="P17" s="46" t="str">
        <x:v>Grassy, sweaty, nutty, oily, roasty</x:v>
      </x:c>
      <x:c r="Q17" s="46" t="str">
        <x:v>2000</x:v>
      </x:c>
      <x:c r="R17" s="46" t="str">
        <x:v>This row proves study-level identification across aging; it does not mean the compound was detected in every dry- or wet-aged timepoint.</x:v>
      </x:c>
      <x:c r="S17" s="23"/>
      <x:c r="T17" s="23"/>
    </x:row>
    <x:row r="18" ht="26.399999618530273" hidden="0" customHeight="1">
      <x:c r="A18" s="46" t="str">
        <x:v>BDA-017</x:v>
      </x:c>
      <x:c r="B18" s="46" t="str">
        <x:v>beef:muscle</x:v>
      </x:c>
      <x:c r="C18" s="46" t="str">
        <x:v>beef</x:v>
      </x:c>
      <x:c r="D18" s="46" t="str">
        <x:v>M. longissimus lumborum</x:v>
      </x:c>
      <x:c r="E18" s="46" t="str">
        <x:v>dry/wet aging identification union across day 0-28</x:v>
      </x:c>
      <x:c r="F18" s="46" t="str">
        <x:v>SRC-BEEF-AGE-001</x:v>
      </x:c>
      <x:c r="G18" s="46" t="str">
        <x:v>Alcohols</x:v>
      </x:c>
      <x:c r="H18" s="46" t="str">
        <x:v>4-Nonanol</x:v>
      </x:c>
      <x:c r="I18" s="46"/>
      <x:c r="J18" s="46" t="n">
        <x:v>139.31</x:v>
      </x:c>
      <x:c r="K18" s="46" t="n">
        <x:v>76.28</x:v>
      </x:c>
      <x:c r="L18" s="46" t="str">
        <x:v>source RI = relevance index / matching probability based on Kovats-RI comparison to AroChemBase</x:v>
      </x:c>
      <x:c r="M18" s="46"/>
      <x:c r="N18" s="46"/>
      <x:c r="O18" s="46" t="str">
        <x:v>source_matching_probability_reported_not_chromatographic_lri</x:v>
      </x:c>
      <x:c r="P18" s="46" t="str">
        <x:v>Sweet</x:v>
      </x:c>
      <x:c r="Q18" s="46"/>
      <x:c r="R18" s="46" t="str">
        <x:v>This row proves study-level identification across aging; it does not mean the compound was detected in every dry- or wet-aged timepoint.</x:v>
      </x:c>
      <x:c r="S18" s="23"/>
      <x:c r="T18" s="23"/>
    </x:row>
    <x:row r="19" ht="26.399999618530273" hidden="0" customHeight="1">
      <x:c r="A19" s="46" t="str">
        <x:v>BDA-018</x:v>
      </x:c>
      <x:c r="B19" s="46" t="str">
        <x:v>beef:muscle</x:v>
      </x:c>
      <x:c r="C19" s="46" t="str">
        <x:v>beef</x:v>
      </x:c>
      <x:c r="D19" s="46" t="str">
        <x:v>M. longissimus lumborum</x:v>
      </x:c>
      <x:c r="E19" s="46" t="str">
        <x:v>dry/wet aging identification union across day 0-28</x:v>
      </x:c>
      <x:c r="F19" s="46" t="str">
        <x:v>SRC-BEEF-AGE-001</x:v>
      </x:c>
      <x:c r="G19" s="46" t="str">
        <x:v>Hydrocarbons/esters/acids</x:v>
      </x:c>
      <x:c r="H19" s="46" t="str">
        <x:v>2,2-Dichloropropane</x:v>
      </x:c>
      <x:c r="I19" s="46"/>
      <x:c r="J19" s="46" t="n">
        <x:v>21.81</x:v>
      </x:c>
      <x:c r="K19" s="46" t="n">
        <x:v>89.93</x:v>
      </x:c>
      <x:c r="L19" s="46" t="str">
        <x:v>source RI = relevance index / matching probability based on Kovats-RI comparison to AroChemBase</x:v>
      </x:c>
      <x:c r="M19" s="46"/>
      <x:c r="N19" s="46"/>
      <x:c r="O19" s="46" t="str">
        <x:v>source_matching_probability_reported_not_chromatographic_lri</x:v>
      </x:c>
      <x:c r="P19" s="46"/>
      <x:c r="Q19" s="46"/>
      <x:c r="R19" s="46" t="str">
        <x:v>This row proves study-level identification across aging; it does not mean the compound was detected in every dry- or wet-aged timepoint.</x:v>
      </x:c>
      <x:c r="S19" s="23" t="str">
        <x:v>present_not_flavor_relevant</x:v>
      </x:c>
      <x:c r="T19" s="23" t="str">
        <x:v>MR-17 v28/v29: genuinely reported sample constituent treated as residue/contaminant, not flavor chemistry; retain per sample, exclude from flavor profile and DF.</x:v>
      </x:c>
    </x:row>
    <x:row r="20" ht="26.399999618530273" hidden="0" customHeight="1">
      <x:c r="A20" s="46" t="str">
        <x:v>BDA-019</x:v>
      </x:c>
      <x:c r="B20" s="46" t="str">
        <x:v>beef:muscle</x:v>
      </x:c>
      <x:c r="C20" s="46" t="str">
        <x:v>beef</x:v>
      </x:c>
      <x:c r="D20" s="46" t="str">
        <x:v>M. longissimus lumborum</x:v>
      </x:c>
      <x:c r="E20" s="46" t="str">
        <x:v>dry/wet aging identification union across day 0-28</x:v>
      </x:c>
      <x:c r="F20" s="46" t="str">
        <x:v>SRC-BEEF-AGE-001</x:v>
      </x:c>
      <x:c r="G20" s="46" t="str">
        <x:v>Hydrocarbons/esters/acids</x:v>
      </x:c>
      <x:c r="H20" s="46" t="str">
        <x:v>3-Methyldecane</x:v>
      </x:c>
      <x:c r="I20" s="46"/>
      <x:c r="J20" s="46" t="n">
        <x:v>134.73</x:v>
      </x:c>
      <x:c r="K20" s="46" t="n">
        <x:v>82.85</x:v>
      </x:c>
      <x:c r="L20" s="46" t="str">
        <x:v>source RI = relevance index / matching probability based on Kovats-RI comparison to AroChemBase</x:v>
      </x:c>
      <x:c r="M20" s="46"/>
      <x:c r="N20" s="46"/>
      <x:c r="O20" s="46" t="str">
        <x:v>source_matching_probability_reported_not_chromatographic_lri</x:v>
      </x:c>
      <x:c r="P20" s="46" t="str">
        <x:v>Balsamic, mild, phenolic</x:v>
      </x:c>
      <x:c r="Q20" s="46"/>
      <x:c r="R20" s="46" t="str">
        <x:v>This row proves study-level identification across aging; it does not mean the compound was detected in every dry- or wet-aged timepoint.</x:v>
      </x:c>
      <x:c r="S20" s="23"/>
      <x:c r="T20" s="23"/>
    </x:row>
    <x:row r="21" ht="26.399999618530273" hidden="0" customHeight="1">
      <x:c r="A21" s="46" t="str">
        <x:v>BDA-020</x:v>
      </x:c>
      <x:c r="B21" s="46" t="str">
        <x:v>beef:muscle</x:v>
      </x:c>
      <x:c r="C21" s="46" t="str">
        <x:v>beef</x:v>
      </x:c>
      <x:c r="D21" s="46" t="str">
        <x:v>M. longissimus lumborum</x:v>
      </x:c>
      <x:c r="E21" s="46" t="str">
        <x:v>dry/wet aging identification union across day 0-28</x:v>
      </x:c>
      <x:c r="F21" s="46" t="str">
        <x:v>SRC-BEEF-AGE-001</x:v>
      </x:c>
      <x:c r="G21" s="46" t="str">
        <x:v>Hydrocarbons/esters/acids</x:v>
      </x:c>
      <x:c r="H21" s="46" t="str">
        <x:v>4-Methyldecane</x:v>
      </x:c>
      <x:c r="I21" s="46"/>
      <x:c r="J21" s="46" t="n">
        <x:v>132.13</x:v>
      </x:c>
      <x:c r="K21" s="46" t="n">
        <x:v>91.5</x:v>
      </x:c>
      <x:c r="L21" s="46" t="str">
        <x:v>source RI = relevance index / matching probability based on Kovats-RI comparison to AroChemBase</x:v>
      </x:c>
      <x:c r="M21" s="46"/>
      <x:c r="N21" s="46"/>
      <x:c r="O21" s="46" t="str">
        <x:v>source_matching_probability_reported_not_chromatographic_lri</x:v>
      </x:c>
      <x:c r="P21" s="46" t="str">
        <x:v>Fatty, fresh, waxy</x:v>
      </x:c>
      <x:c r="Q21" s="46"/>
      <x:c r="R21" s="46" t="str">
        <x:v>This row proves study-level identification across aging; it does not mean the compound was detected in every dry- or wet-aged timepoint.</x:v>
      </x:c>
      <x:c r="S21" s="23"/>
      <x:c r="T21" s="23"/>
    </x:row>
    <x:row r="22" ht="26.399999618530273" hidden="0" customHeight="1">
      <x:c r="A22" s="46" t="str">
        <x:v>BDA-021</x:v>
      </x:c>
      <x:c r="B22" s="46" t="str">
        <x:v>beef:muscle</x:v>
      </x:c>
      <x:c r="C22" s="46" t="str">
        <x:v>beef</x:v>
      </x:c>
      <x:c r="D22" s="46" t="str">
        <x:v>M. longissimus lumborum</x:v>
      </x:c>
      <x:c r="E22" s="46" t="str">
        <x:v>dry/wet aging identification union across day 0-28</x:v>
      </x:c>
      <x:c r="F22" s="46" t="str">
        <x:v>SRC-BEEF-AGE-001</x:v>
      </x:c>
      <x:c r="G22" s="46" t="str">
        <x:v>Hydrocarbons/esters/acids</x:v>
      </x:c>
      <x:c r="H22" s="46" t="str">
        <x:v>Butane</x:v>
      </x:c>
      <x:c r="I22" s="46"/>
      <x:c r="J22" s="46" t="n">
        <x:v>11.08</x:v>
      </x:c>
      <x:c r="K22" s="46" t="n">
        <x:v>68.12</x:v>
      </x:c>
      <x:c r="L22" s="46" t="str">
        <x:v>source RI = relevance index / matching probability based on Kovats-RI comparison to AroChemBase</x:v>
      </x:c>
      <x:c r="M22" s="46"/>
      <x:c r="N22" s="46"/>
      <x:c r="O22" s="46" t="str">
        <x:v>source_matching_probability_reported_not_chromatographic_lri</x:v>
      </x:c>
      <x:c r="P22" s="46" t="str">
        <x:v>Faint</x:v>
      </x:c>
      <x:c r="Q22" s="46" t="str">
        <x:v>1200000</x:v>
      </x:c>
      <x:c r="R22" s="46" t="str">
        <x:v>This row proves study-level identification across aging; it does not mean the compound was detected in every dry- or wet-aged timepoint.</x:v>
      </x:c>
      <x:c r="S22" s="23"/>
      <x:c r="T22" s="23"/>
    </x:row>
    <x:row r="23" ht="26.399999618530273" hidden="0" customHeight="1">
      <x:c r="A23" s="46" t="str">
        <x:v>BDA-022</x:v>
      </x:c>
      <x:c r="B23" s="46" t="str">
        <x:v>beef:muscle</x:v>
      </x:c>
      <x:c r="C23" s="46" t="str">
        <x:v>beef</x:v>
      </x:c>
      <x:c r="D23" s="46" t="str">
        <x:v>M. longissimus lumborum</x:v>
      </x:c>
      <x:c r="E23" s="46" t="str">
        <x:v>dry/wet aging identification union across day 0-28</x:v>
      </x:c>
      <x:c r="F23" s="46" t="str">
        <x:v>SRC-BEEF-AGE-001</x:v>
      </x:c>
      <x:c r="G23" s="46" t="str">
        <x:v>Hydrocarbons/esters/acids</x:v>
      </x:c>
      <x:c r="H23" s="46" t="str">
        <x:v>Ethylcyclopentane</x:v>
      </x:c>
      <x:c r="I23" s="46"/>
      <x:c r="J23" s="46" t="n">
        <x:v>38.58</x:v>
      </x:c>
      <x:c r="K23" s="46" t="n">
        <x:v>76.25</x:v>
      </x:c>
      <x:c r="L23" s="46" t="str">
        <x:v>source RI = relevance index / matching probability based on Kovats-RI comparison to AroChemBase</x:v>
      </x:c>
      <x:c r="M23" s="46"/>
      <x:c r="N23" s="46"/>
      <x:c r="O23" s="46" t="str">
        <x:v>source_matching_probability_reported_not_chromatographic_lri</x:v>
      </x:c>
      <x:c r="P23" s="46" t="str">
        <x:v>Alkane, fruity, gasoline, sweet</x:v>
      </x:c>
      <x:c r="Q23" s="46"/>
      <x:c r="R23" s="46" t="str">
        <x:v>This row proves study-level identification across aging; it does not mean the compound was detected in every dry- or wet-aged timepoint.</x:v>
      </x:c>
      <x:c r="S23" s="23" t="str">
        <x:v>unresolved</x:v>
      </x:c>
      <x:c r="T23" s="23" t="str">
        <x:v>MR-17 v29: explicit held state. Source occurrence retained; positive flavor relevance versus incidental occurrence remains insufficiently supported.</x:v>
      </x:c>
    </x:row>
    <x:row r="24" ht="26.399999618530273" hidden="0" customHeight="1">
      <x:c r="A24" s="46" t="str">
        <x:v>BDA-023</x:v>
      </x:c>
      <x:c r="B24" s="46" t="str">
        <x:v>beef:muscle</x:v>
      </x:c>
      <x:c r="C24" s="46" t="str">
        <x:v>beef</x:v>
      </x:c>
      <x:c r="D24" s="46" t="str">
        <x:v>M. longissimus lumborum</x:v>
      </x:c>
      <x:c r="E24" s="46" t="str">
        <x:v>dry/wet aging identification union across day 0-28</x:v>
      </x:c>
      <x:c r="F24" s="46" t="str">
        <x:v>SRC-BEEF-AGE-001</x:v>
      </x:c>
      <x:c r="G24" s="46" t="str">
        <x:v>Hydrocarbons/esters/acids</x:v>
      </x:c>
      <x:c r="H24" s="46" t="str">
        <x:v>Heptane</x:v>
      </x:c>
      <x:c r="I24" s="46"/>
      <x:c r="J24" s="46" t="n">
        <x:v>33.95</x:v>
      </x:c>
      <x:c r="K24" s="46" t="n">
        <x:v>60.05</x:v>
      </x:c>
      <x:c r="L24" s="46" t="str">
        <x:v>source RI = relevance index / matching probability based on Kovats-RI comparison to AroChemBase</x:v>
      </x:c>
      <x:c r="M24" s="46"/>
      <x:c r="N24" s="46"/>
      <x:c r="O24" s="46" t="str">
        <x:v>source_matching_probability_reported_not_chromatographic_lri</x:v>
      </x:c>
      <x:c r="P24" s="46" t="str">
        <x:v>Floral, fruity, sweet</x:v>
      </x:c>
      <x:c r="Q24" s="46" t="str">
        <x:v>400000</x:v>
      </x:c>
      <x:c r="R24" s="46" t="str">
        <x:v>This row proves study-level identification across aging; it does not mean the compound was detected in every dry- or wet-aged timepoint.</x:v>
      </x:c>
      <x:c r="S24" s="23"/>
      <x:c r="T24" s="23"/>
    </x:row>
    <x:row r="25" ht="26.399999618530273" hidden="0" customHeight="1">
      <x:c r="A25" s="46" t="str">
        <x:v>BDA-024</x:v>
      </x:c>
      <x:c r="B25" s="46" t="str">
        <x:v>beef:muscle</x:v>
      </x:c>
      <x:c r="C25" s="46" t="str">
        <x:v>beef</x:v>
      </x:c>
      <x:c r="D25" s="46" t="str">
        <x:v>M. longissimus lumborum</x:v>
      </x:c>
      <x:c r="E25" s="46" t="str">
        <x:v>dry/wet aging identification union across day 0-28</x:v>
      </x:c>
      <x:c r="F25" s="46" t="str">
        <x:v>SRC-BEEF-AGE-001</x:v>
      </x:c>
      <x:c r="G25" s="46" t="str">
        <x:v>Hydrocarbons/esters/acids</x:v>
      </x:c>
      <x:c r="H25" s="46" t="str">
        <x:v>Octane</x:v>
      </x:c>
      <x:c r="I25" s="46"/>
      <x:c r="J25" s="46" t="n">
        <x:v>41.04</x:v>
      </x:c>
      <x:c r="K25" s="46" t="n">
        <x:v>95.87</x:v>
      </x:c>
      <x:c r="L25" s="46" t="str">
        <x:v>source RI = relevance index / matching probability based on Kovats-RI comparison to AroChemBase</x:v>
      </x:c>
      <x:c r="M25" s="46"/>
      <x:c r="N25" s="46"/>
      <x:c r="O25" s="46" t="str">
        <x:v>source_matching_probability_reported_not_chromatographic_lri</x:v>
      </x:c>
      <x:c r="P25" s="46" t="str">
        <x:v>Alkane, fruity, sweet, fatty, solvent</x:v>
      </x:c>
      <x:c r="Q25" s="46" t="str">
        <x:v>1700</x:v>
      </x:c>
      <x:c r="R25" s="46" t="str">
        <x:v>This row proves study-level identification across aging; it does not mean the compound was detected in every dry- or wet-aged timepoint.</x:v>
      </x:c>
      <x:c r="S25" s="23"/>
      <x:c r="T25" s="23"/>
    </x:row>
    <x:row r="26" ht="26.399999618530273" hidden="0" customHeight="1">
      <x:c r="A26" s="46" t="str">
        <x:v>BDA-025</x:v>
      </x:c>
      <x:c r="B26" s="46" t="str">
        <x:v>beef:muscle</x:v>
      </x:c>
      <x:c r="C26" s="46" t="str">
        <x:v>beef</x:v>
      </x:c>
      <x:c r="D26" s="46" t="str">
        <x:v>M. longissimus lumborum</x:v>
      </x:c>
      <x:c r="E26" s="46" t="str">
        <x:v>dry/wet aging identification union across day 0-28</x:v>
      </x:c>
      <x:c r="F26" s="46" t="str">
        <x:v>SRC-BEEF-AGE-001</x:v>
      </x:c>
      <x:c r="G26" s="46" t="str">
        <x:v>Hydrocarbons/esters/acids</x:v>
      </x:c>
      <x:c r="H26" s="46" t="str">
        <x:v>Ethyl propanoate</x:v>
      </x:c>
      <x:c r="I26" s="46"/>
      <x:c r="J26" s="46" t="n">
        <x:v>31.1</x:v>
      </x:c>
      <x:c r="K26" s="46" t="n">
        <x:v>86.29</x:v>
      </x:c>
      <x:c r="L26" s="46" t="str">
        <x:v>source RI = relevance index / matching probability based on Kovats-RI comparison to AroChemBase</x:v>
      </x:c>
      <x:c r="M26" s="46"/>
      <x:c r="N26" s="46"/>
      <x:c r="O26" s="46" t="str">
        <x:v>source_matching_probability_reported_not_chromatographic_lri</x:v>
      </x:c>
      <x:c r="P26" s="46" t="str">
        <x:v>Burnt, fermented, fruity, green, malty, nutty, sour</x:v>
      </x:c>
      <x:c r="Q26" s="46" t="str">
        <x:v>0.01</x:v>
      </x:c>
      <x:c r="R26" s="46" t="str">
        <x:v>This row proves study-level identification across aging; it does not mean the compound was detected in every dry- or wet-aged timepoint.</x:v>
      </x:c>
      <x:c r="S26" s="23"/>
      <x:c r="T26" s="23"/>
    </x:row>
    <x:row r="27" ht="26.399999618530273" hidden="0" customHeight="1">
      <x:c r="A27" s="46" t="str">
        <x:v>BDA-026</x:v>
      </x:c>
      <x:c r="B27" s="46" t="str">
        <x:v>beef:muscle</x:v>
      </x:c>
      <x:c r="C27" s="46" t="str">
        <x:v>beef</x:v>
      </x:c>
      <x:c r="D27" s="46" t="str">
        <x:v>M. longissimus lumborum</x:v>
      </x:c>
      <x:c r="E27" s="46" t="str">
        <x:v>dry/wet aging identification union across day 0-28</x:v>
      </x:c>
      <x:c r="F27" s="46" t="str">
        <x:v>SRC-BEEF-AGE-001</x:v>
      </x:c>
      <x:c r="G27" s="46" t="str">
        <x:v>Hydrocarbons/esters/acids</x:v>
      </x:c>
      <x:c r="H27" s="46" t="str">
        <x:v>Methyl 2-methylbutanoate</x:v>
      </x:c>
      <x:c r="I27" s="46"/>
      <x:c r="J27" s="46" t="n">
        <x:v>44.63</x:v>
      </x:c>
      <x:c r="K27" s="46" t="n">
        <x:v>90.84</x:v>
      </x:c>
      <x:c r="L27" s="46" t="str">
        <x:v>source RI = relevance index / matching probability based on Kovats-RI comparison to AroChemBase</x:v>
      </x:c>
      <x:c r="M27" s="46"/>
      <x:c r="N27" s="46"/>
      <x:c r="O27" s="46" t="str">
        <x:v>source_matching_probability_reported_not_chromatographic_lri</x:v>
      </x:c>
      <x:c r="P27" s="46" t="str">
        <x:v>Fatty, fruity, green</x:v>
      </x:c>
      <x:c r="Q27" s="46" t="str">
        <x:v>0.4</x:v>
      </x:c>
      <x:c r="R27" s="46" t="str">
        <x:v>This row proves study-level identification across aging; it does not mean the compound was detected in every dry- or wet-aged timepoint.</x:v>
      </x:c>
      <x:c r="S27" s="23"/>
      <x:c r="T27" s="23"/>
    </x:row>
    <x:row r="28" ht="26.399999618530273" hidden="0" customHeight="1">
      <x:c r="A28" s="46" t="str">
        <x:v>BDA-027</x:v>
      </x:c>
      <x:c r="B28" s="46" t="str">
        <x:v>beef:muscle</x:v>
      </x:c>
      <x:c r="C28" s="46" t="str">
        <x:v>beef</x:v>
      </x:c>
      <x:c r="D28" s="46" t="str">
        <x:v>M. longissimus lumborum</x:v>
      </x:c>
      <x:c r="E28" s="46" t="str">
        <x:v>dry/wet aging identification union across day 0-28</x:v>
      </x:c>
      <x:c r="F28" s="46" t="str">
        <x:v>SRC-BEEF-AGE-001</x:v>
      </x:c>
      <x:c r="G28" s="46" t="str">
        <x:v>Hydrocarbons/esters/acids</x:v>
      </x:c>
      <x:c r="H28" s="46" t="str">
        <x:v>Methyl 2-butenoate</x:v>
      </x:c>
      <x:c r="I28" s="46"/>
      <x:c r="J28" s="46" t="n">
        <x:v>41.36</x:v>
      </x:c>
      <x:c r="K28" s="46" t="n">
        <x:v>77.98</x:v>
      </x:c>
      <x:c r="L28" s="46" t="str">
        <x:v>source RI = relevance index / matching probability based on Kovats-RI comparison to AroChemBase</x:v>
      </x:c>
      <x:c r="M28" s="46"/>
      <x:c r="N28" s="46"/>
      <x:c r="O28" s="46" t="str">
        <x:v>source_matching_probability_reported_not_chromatographic_lri</x:v>
      </x:c>
      <x:c r="P28" s="46" t="str">
        <x:v>Blackcurrant, fruity</x:v>
      </x:c>
      <x:c r="Q28" s="46"/>
      <x:c r="R28" s="46" t="str">
        <x:v>This row proves study-level identification across aging; it does not mean the compound was detected in every dry- or wet-aged timepoint.</x:v>
      </x:c>
      <x:c r="S28" s="23"/>
      <x:c r="T28" s="23"/>
    </x:row>
    <x:row r="29" ht="26.399999618530273" hidden="0" customHeight="1">
      <x:c r="A29" s="46" t="str">
        <x:v>BDA-028</x:v>
      </x:c>
      <x:c r="B29" s="46" t="str">
        <x:v>beef:muscle</x:v>
      </x:c>
      <x:c r="C29" s="46" t="str">
        <x:v>beef</x:v>
      </x:c>
      <x:c r="D29" s="46" t="str">
        <x:v>M. longissimus lumborum</x:v>
      </x:c>
      <x:c r="E29" s="46" t="str">
        <x:v>dry/wet aging identification union across day 0-28</x:v>
      </x:c>
      <x:c r="F29" s="46" t="str">
        <x:v>SRC-BEEF-AGE-001</x:v>
      </x:c>
      <x:c r="G29" s="46" t="str">
        <x:v>Hydrocarbons/esters/acids</x:v>
      </x:c>
      <x:c r="H29" s="46" t="str">
        <x:v>Propyl propanoate</x:v>
      </x:c>
      <x:c r="I29" s="46"/>
      <x:c r="J29" s="46" t="n">
        <x:v>58.53</x:v>
      </x:c>
      <x:c r="K29" s="46" t="n">
        <x:v>90.15</x:v>
      </x:c>
      <x:c r="L29" s="46" t="str">
        <x:v>source RI = relevance index / matching probability based on Kovats-RI comparison to AroChemBase</x:v>
      </x:c>
      <x:c r="M29" s="46"/>
      <x:c r="N29" s="46"/>
      <x:c r="O29" s="46" t="str">
        <x:v>source_matching_probability_reported_not_chromatographic_lri</x:v>
      </x:c>
      <x:c r="P29" s="46" t="str">
        <x:v>Fruity, green, sweet</x:v>
      </x:c>
      <x:c r="Q29" s="46" t="str">
        <x:v>0.88</x:v>
      </x:c>
      <x:c r="R29" s="46" t="str">
        <x:v>This row proves study-level identification across aging; it does not mean the compound was detected in every dry- or wet-aged timepoint.</x:v>
      </x:c>
      <x:c r="S29" s="23"/>
      <x:c r="T29" s="23"/>
    </x:row>
    <x:row r="30" ht="26.399999618530273" hidden="0" customHeight="1">
      <x:c r="A30" s="46" t="str">
        <x:v>BDA-029</x:v>
      </x:c>
      <x:c r="B30" s="46" t="str">
        <x:v>beef:muscle</x:v>
      </x:c>
      <x:c r="C30" s="46" t="str">
        <x:v>beef</x:v>
      </x:c>
      <x:c r="D30" s="46" t="str">
        <x:v>M. longissimus lumborum</x:v>
      </x:c>
      <x:c r="E30" s="46" t="str">
        <x:v>dry/wet aging identification union across day 0-28</x:v>
      </x:c>
      <x:c r="F30" s="46" t="str">
        <x:v>SRC-BEEF-AGE-001</x:v>
      </x:c>
      <x:c r="G30" s="46" t="str">
        <x:v>Hydrocarbons/esters/acids</x:v>
      </x:c>
      <x:c r="H30" s="46" t="str">
        <x:v>2-Methylpropanoic acid</x:v>
      </x:c>
      <x:c r="I30" s="46"/>
      <x:c r="J30" s="46" t="n">
        <x:v>49.12</x:v>
      </x:c>
      <x:c r="K30" s="46" t="n">
        <x:v>77.12</x:v>
      </x:c>
      <x:c r="L30" s="46" t="str">
        <x:v>source RI = relevance index / matching probability based on Kovats-RI comparison to AroChemBase</x:v>
      </x:c>
      <x:c r="M30" s="46"/>
      <x:c r="N30" s="46"/>
      <x:c r="O30" s="46" t="str">
        <x:v>source_matching_probability_reported_not_chromatographic_lri</x:v>
      </x:c>
      <x:c r="P30" s="46" t="str">
        <x:v>Dairy, fatty, pungent, rancid, sour, sweaty</x:v>
      </x:c>
      <x:c r="Q30" s="46" t="str">
        <x:v>50</x:v>
      </x:c>
      <x:c r="R30" s="46" t="str">
        <x:v>This row proves study-level identification across aging; it does not mean the compound was detected in every dry- or wet-aged timepoint.</x:v>
      </x:c>
      <x:c r="S30" s="23"/>
      <x:c r="T30" s="23"/>
    </x:row>
    <x:row r="31" ht="26.399999618530273" hidden="0" customHeight="1">
      <x:c r="A31" s="46" t="str">
        <x:v>BDA-030</x:v>
      </x:c>
      <x:c r="B31" s="46" t="str">
        <x:v>beef:muscle</x:v>
      </x:c>
      <x:c r="C31" s="46" t="str">
        <x:v>beef</x:v>
      </x:c>
      <x:c r="D31" s="46" t="str">
        <x:v>M. longissimus lumborum</x:v>
      </x:c>
      <x:c r="E31" s="46" t="str">
        <x:v>dry/wet aging identification union across day 0-28</x:v>
      </x:c>
      <x:c r="F31" s="46" t="str">
        <x:v>SRC-BEEF-AGE-001</x:v>
      </x:c>
      <x:c r="G31" s="46" t="str">
        <x:v>Hydrocarbons/esters/acids</x:v>
      </x:c>
      <x:c r="H31" s="46" t="str">
        <x:v>Hexanoic acid</x:v>
      </x:c>
      <x:c r="I31" s="46"/>
      <x:c r="J31" s="46" t="n">
        <x:v>110.28</x:v>
      </x:c>
      <x:c r="K31" s="46" t="n">
        <x:v>91.42</x:v>
      </x:c>
      <x:c r="L31" s="46" t="str">
        <x:v>source RI = relevance index / matching probability based on Kovats-RI comparison to AroChemBase</x:v>
      </x:c>
      <x:c r="M31" s="46"/>
      <x:c r="N31" s="46"/>
      <x:c r="O31" s="46" t="str">
        <x:v>source_matching_probability_reported_not_chromatographic_lri</x:v>
      </x:c>
      <x:c r="P31" s="46" t="str">
        <x:v>Cheesy, fatty, pungent, rancid, sour, sweaty</x:v>
      </x:c>
      <x:c r="Q31" s="46" t="str">
        <x:v>3000000</x:v>
      </x:c>
      <x:c r="R31" s="46" t="str">
        <x:v>This row proves study-level identification across aging; it does not mean the compound was detected in every dry- or wet-aged timepoint.</x:v>
      </x:c>
      <x:c r="S31" s="23"/>
      <x:c r="T31" s="23"/>
    </x:row>
    <x:row r="32" ht="26.399999618530273" hidden="0" customHeight="1">
      <x:c r="A32" s="46" t="str">
        <x:v>BDA-031</x:v>
      </x:c>
      <x:c r="B32" s="46" t="str">
        <x:v>beef:muscle</x:v>
      </x:c>
      <x:c r="C32" s="46" t="str">
        <x:v>beef</x:v>
      </x:c>
      <x:c r="D32" s="46" t="str">
        <x:v>M. longissimus lumborum</x:v>
      </x:c>
      <x:c r="E32" s="46" t="str">
        <x:v>dry/wet aging identification union across day 0-28</x:v>
      </x:c>
      <x:c r="F32" s="46" t="str">
        <x:v>SRC-BEEF-AGE-001</x:v>
      </x:c>
      <x:c r="G32" s="46" t="str">
        <x:v>Others</x:v>
      </x:c>
      <x:c r="H32" s="46" t="str">
        <x:v>1,2,4-Thiadiazole,5-ethoxy-3-(trichloromethyl)-</x:v>
      </x:c>
      <x:c r="I32" s="46"/>
      <x:c r="J32" s="46" t="n">
        <x:v>248.1</x:v>
      </x:c>
      <x:c r="K32" s="46" t="n">
        <x:v>87.34</x:v>
      </x:c>
      <x:c r="L32" s="46" t="str">
        <x:v>source RI = relevance index / matching probability based on Kovats-RI comparison to AroChemBase</x:v>
      </x:c>
      <x:c r="M32" s="46"/>
      <x:c r="N32" s="46"/>
      <x:c r="O32" s="46" t="str">
        <x:v>source_matching_probability_reported_not_chromatographic_lri</x:v>
      </x:c>
      <x:c r="P32" s="46" t="str">
        <x:v>Mild</x:v>
      </x:c>
      <x:c r="Q32" s="46"/>
      <x:c r="R32" s="46" t="str">
        <x:v>This row proves study-level identification across aging; it does not mean the compound was detected in every dry- or wet-aged timepoint.</x:v>
      </x:c>
      <x:c r="S32" s="23" t="str">
        <x:v>present_not_flavor_relevant</x:v>
      </x:c>
      <x:c r="T32" s="23" t="str">
        <x:v>MR-17 v28/v29: source label resolves to etridiazole, a fungicide; retain sample occurrence, exclude from flavor profile and DF.</x:v>
      </x:c>
    </x:row>
    <x:row r="33" ht="26.399999618530273" hidden="0" customHeight="1">
      <x:c r="A33" s="46" t="str">
        <x:v>BDA-032</x:v>
      </x:c>
      <x:c r="B33" s="46" t="str">
        <x:v>beef:muscle</x:v>
      </x:c>
      <x:c r="C33" s="46" t="str">
        <x:v>beef</x:v>
      </x:c>
      <x:c r="D33" s="46" t="str">
        <x:v>M. longissimus lumborum</x:v>
      </x:c>
      <x:c r="E33" s="46" t="str">
        <x:v>dry/wet aging identification union across day 0-28</x:v>
      </x:c>
      <x:c r="F33" s="46" t="str">
        <x:v>SRC-BEEF-AGE-001</x:v>
      </x:c>
      <x:c r="G33" s="46" t="str">
        <x:v>Others</x:v>
      </x:c>
      <x:c r="H33" s="46" t="str">
        <x:v>Demeton-O</x:v>
      </x:c>
      <x:c r="I33" s="46"/>
      <x:c r="J33" s="46" t="n">
        <x:v>264.1</x:v>
      </x:c>
      <x:c r="K33" s="46" t="n">
        <x:v>59.09</x:v>
      </x:c>
      <x:c r="L33" s="46" t="str">
        <x:v>source RI = relevance index / matching probability based on Kovats-RI comparison to AroChemBase</x:v>
      </x:c>
      <x:c r="M33" s="46"/>
      <x:c r="N33" s="46"/>
      <x:c r="O33" s="46" t="str">
        <x:v>source_matching_probability_reported_not_chromatographic_lri</x:v>
      </x:c>
      <x:c r="P33" s="46"/>
      <x:c r="Q33" s="46"/>
      <x:c r="R33" s="46" t="str">
        <x:v>This row proves study-level identification across aging; it does not mean the compound was detected in every dry- or wet-aged timepoint.</x:v>
      </x:c>
      <x:c r="S33" s="23" t="str">
        <x:v>present_not_flavor_relevant</x:v>
      </x:c>
      <x:c r="T33" s="23" t="str">
        <x:v>MR-17 v28/v29: Demeton-O routed as genuine non-flavor residue/contaminant; retain per sample, exclude from flavor profile and DF.</x:v>
      </x:c>
    </x:row>
    <x:row r="34" ht="26.399999618530273" hidden="0" customHeight="1">
      <x:c r="A34" s="46" t="str">
        <x:v>BDA-033</x:v>
      </x:c>
      <x:c r="B34" s="46" t="str">
        <x:v>beef:muscle</x:v>
      </x:c>
      <x:c r="C34" s="46" t="str">
        <x:v>beef</x:v>
      </x:c>
      <x:c r="D34" s="46" t="str">
        <x:v>M. longissimus lumborum</x:v>
      </x:c>
      <x:c r="E34" s="46" t="str">
        <x:v>dry/wet aging identification union across day 0-28</x:v>
      </x:c>
      <x:c r="F34" s="46" t="str">
        <x:v>SRC-BEEF-AGE-001</x:v>
      </x:c>
      <x:c r="G34" s="46" t="str">
        <x:v>Others</x:v>
      </x:c>
      <x:c r="H34" s="46" t="str">
        <x:v>Diisopropyl ether</x:v>
      </x:c>
      <x:c r="I34" s="46"/>
      <x:c r="J34" s="46" t="n">
        <x:v>16.83</x:v>
      </x:c>
      <x:c r="K34" s="46" t="n">
        <x:v>89.64</x:v>
      </x:c>
      <x:c r="L34" s="46" t="str">
        <x:v>source RI = relevance index / matching probability based on Kovats-RI comparison to AroChemBase</x:v>
      </x:c>
      <x:c r="M34" s="46"/>
      <x:c r="N34" s="46"/>
      <x:c r="O34" s="46" t="str">
        <x:v>source_matching_probability_reported_not_chromatographic_lri</x:v>
      </x:c>
      <x:c r="P34" s="46" t="str">
        <x:v>Ethereal</x:v>
      </x:c>
      <x:c r="Q34" s="46"/>
      <x:c r="R34" s="46" t="str">
        <x:v>This row proves study-level identification across aging; it does not mean the compound was detected in every dry- or wet-aged timepoint.</x:v>
      </x:c>
      <x:c r="S34" s="23" t="str">
        <x:v>unresolved</x:v>
      </x:c>
      <x:c r="T34" s="23" t="str">
        <x:v>MR-17 v29: diisopropyl ether remains held because source evidence does not distinguish sample residue from analytical/method background.</x:v>
      </x:c>
    </x:row>
    <x:row r="35" ht="26.399999618530273" hidden="0" customHeight="1">
      <x:c r="A35" s="46" t="str">
        <x:v>BDA-034</x:v>
      </x:c>
      <x:c r="B35" s="46" t="str">
        <x:v>beef:muscle</x:v>
      </x:c>
      <x:c r="C35" s="46" t="str">
        <x:v>beef</x:v>
      </x:c>
      <x:c r="D35" s="46" t="str">
        <x:v>M. longissimus lumborum</x:v>
      </x:c>
      <x:c r="E35" s="46" t="str">
        <x:v>dry/wet aging identification union across day 0-28</x:v>
      </x:c>
      <x:c r="F35" s="46" t="str">
        <x:v>SRC-BEEF-AGE-001</x:v>
      </x:c>
      <x:c r="G35" s="46" t="str">
        <x:v>Others</x:v>
      </x:c>
      <x:c r="H35" s="46" t="str">
        <x:v>Ethyl chloride</x:v>
      </x:c>
      <x:c r="I35" s="46"/>
      <x:c r="J35" s="46" t="n">
        <x:v>13.93</x:v>
      </x:c>
      <x:c r="K35" s="46" t="n">
        <x:v>92.29</x:v>
      </x:c>
      <x:c r="L35" s="46" t="str">
        <x:v>source RI = relevance index / matching probability based on Kovats-RI comparison to AroChemBase</x:v>
      </x:c>
      <x:c r="M35" s="46"/>
      <x:c r="N35" s="46"/>
      <x:c r="O35" s="46" t="str">
        <x:v>source_matching_probability_reported_not_chromatographic_lri</x:v>
      </x:c>
      <x:c r="P35" s="46" t="str">
        <x:v>Ethereal, pungent</x:v>
      </x:c>
      <x:c r="Q35" s="46" t="str">
        <x:v>3800-379000</x:v>
      </x:c>
      <x:c r="R35" s="46" t="str">
        <x:v>This row proves study-level identification across aging; it does not mean the compound was detected in every dry- or wet-aged timepoint.</x:v>
      </x:c>
      <x:c r="S35" s="23" t="str">
        <x:v>unresolved</x:v>
      </x:c>
      <x:c r="T35" s="23" t="str">
        <x:v>MR-17 v28/v29: insufficient basis to distinguish residue from analytical background; hold from flavor profile and DF.</x:v>
      </x:c>
    </x:row>
    <x:row r="36" ht="26.399999618530273" hidden="0" customHeight="1">
      <x:c r="A36" s="46" t="str">
        <x:v>BDA-035</x:v>
      </x:c>
      <x:c r="B36" s="46" t="str">
        <x:v>beef:muscle</x:v>
      </x:c>
      <x:c r="C36" s="46" t="str">
        <x:v>beef</x:v>
      </x:c>
      <x:c r="D36" s="46" t="str">
        <x:v>M. longissimus lumborum</x:v>
      </x:c>
      <x:c r="E36" s="46" t="str">
        <x:v>dry/wet aging identification union across day 0-28</x:v>
      </x:c>
      <x:c r="F36" s="46" t="str">
        <x:v>SRC-BEEF-AGE-001</x:v>
      </x:c>
      <x:c r="G36" s="46" t="str">
        <x:v>Others</x:v>
      </x:c>
      <x:c r="H36" s="46" t="str">
        <x:v>Limonene</x:v>
      </x:c>
      <x:c r="I36" s="46"/>
      <x:c r="J36" s="46" t="n">
        <x:v>125.69</x:v>
      </x:c>
      <x:c r="K36" s="46" t="n">
        <x:v>78.19</x:v>
      </x:c>
      <x:c r="L36" s="46" t="str">
        <x:v>source RI = relevance index / matching probability based on Kovats-RI comparison to AroChemBase</x:v>
      </x:c>
      <x:c r="M36" s="46"/>
      <x:c r="N36" s="46"/>
      <x:c r="O36" s="46" t="str">
        <x:v>source_matching_probability_reported_not_chromatographic_lri</x:v>
      </x:c>
      <x:c r="P36" s="46" t="str">
        <x:v>Citrus, fruity, minty</x:v>
      </x:c>
      <x:c r="Q36" s="46" t="str">
        <x:v>38</x:v>
      </x:c>
      <x:c r="R36" s="46" t="str">
        <x:v>This row proves study-level identification across aging; it does not mean the compound was detected in every dry- or wet-aged timepoint.</x:v>
      </x:c>
      <x:c r="S36" s="23"/>
      <x:c r="T36" s="23"/>
    </x:row>
    <x:row r="37" ht="26.399999618530273" hidden="0" customHeight="1">
      <x:c r="A37" s="46" t="str">
        <x:v>BDA-036</x:v>
      </x:c>
      <x:c r="B37" s="46" t="str">
        <x:v>beef:muscle</x:v>
      </x:c>
      <x:c r="C37" s="46" t="str">
        <x:v>beef</x:v>
      </x:c>
      <x:c r="D37" s="46" t="str">
        <x:v>M. longissimus lumborum</x:v>
      </x:c>
      <x:c r="E37" s="46" t="str">
        <x:v>dry/wet aging identification union across day 0-28</x:v>
      </x:c>
      <x:c r="F37" s="46" t="str">
        <x:v>SRC-BEEF-AGE-001</x:v>
      </x:c>
      <x:c r="G37" s="46" t="str">
        <x:v>Others</x:v>
      </x:c>
      <x:c r="H37" s="46" t="str">
        <x:v>p-Cymene</x:v>
      </x:c>
      <x:c r="I37" s="46"/>
      <x:c r="J37" s="46" t="n">
        <x:v>121.27</x:v>
      </x:c>
      <x:c r="K37" s="46" t="n">
        <x:v>93.22</x:v>
      </x:c>
      <x:c r="L37" s="46" t="str">
        <x:v>source RI = relevance index / matching probability based on Kovats-RI comparison to AroChemBase</x:v>
      </x:c>
      <x:c r="M37" s="46"/>
      <x:c r="N37" s="46"/>
      <x:c r="O37" s="46" t="str">
        <x:v>source_matching_probability_reported_not_chromatographic_lri</x:v>
      </x:c>
      <x:c r="P37" s="46" t="str">
        <x:v>Citrus, fruity, herbaceous, pleasant, solvent, spicy, sweet</x:v>
      </x:c>
      <x:c r="Q37" s="46" t="str">
        <x:v>120</x:v>
      </x:c>
      <x:c r="R37" s="46" t="str">
        <x:v>This row proves study-level identification across aging; it does not mean the compound was detected in every dry- or wet-aged timepoint.</x:v>
      </x:c>
      <x:c r="S37" s="23"/>
      <x:c r="T37" s="23"/>
    </x:row>
    <x:row r="38" ht="26.399999618530273" hidden="0" customHeight="1">
      <x:c r="A38" s="46" t="str">
        <x:v>BDA-037</x:v>
      </x:c>
      <x:c r="B38" s="46" t="str">
        <x:v>beef:muscle</x:v>
      </x:c>
      <x:c r="C38" s="46" t="str">
        <x:v>beef</x:v>
      </x:c>
      <x:c r="D38" s="46" t="str">
        <x:v>M. longissimus lumborum</x:v>
      </x:c>
      <x:c r="E38" s="46" t="str">
        <x:v>dry/wet aging identification union across day 0-28</x:v>
      </x:c>
      <x:c r="F38" s="46" t="str">
        <x:v>SRC-BEEF-AGE-001</x:v>
      </x:c>
      <x:c r="G38" s="46" t="str">
        <x:v>Others</x:v>
      </x:c>
      <x:c r="H38" s="46" t="str">
        <x:v>Perfluorononane</x:v>
      </x:c>
      <x:c r="I38" s="46"/>
      <x:c r="J38" s="46" t="n">
        <x:v>9.25</x:v>
      </x:c>
      <x:c r="K38" s="46" t="n">
        <x:v>87.8</x:v>
      </x:c>
      <x:c r="L38" s="46" t="str">
        <x:v>source RI = relevance index / matching probability based on Kovats-RI comparison to AroChemBase</x:v>
      </x:c>
      <x:c r="M38" s="46"/>
      <x:c r="N38" s="46"/>
      <x:c r="O38" s="46" t="str">
        <x:v>source_matching_probability_reported_not_chromatographic_lri</x:v>
      </x:c>
      <x:c r="P38" s="46"/>
      <x:c r="Q38" s="46"/>
      <x:c r="R38" s="46" t="str">
        <x:v>This row proves study-level identification across aging; it does not mean the compound was detected in every dry- or wet-aged timepoint.</x:v>
      </x:c>
      <x:c r="S38" s="23" t="str">
        <x:v>unresolved</x:v>
      </x:c>
      <x:c r="T38" s="23" t="str">
        <x:v>MR-17 v28/v29: insufficient basis to distinguish residue from analytical background; hold from flavor profile and DF.</x:v>
      </x:c>
    </x:row>
  </x:sheetData>
  <x:pageMargins left="0.7" right="0.7" top="0.75" bottom="0.75" header="0.3" footer="0.3"/>
  <x:tableParts count="1">
    <x:tablePart xmlns:r="http://schemas.openxmlformats.org/officeDocument/2006/relationships" r:id="Ra720dc3d97b24efa"/>
  </x:tableParts>
</x:worksheet>
</file>

<file path=xl/worksheets/sheet54.xml><?xml version="1.0" encoding="utf-8"?>
<x:worksheet xmlns:x="http://schemas.openxmlformats.org/spreadsheetml/2006/main">
  <x:sheetFormatPr defaultRowHeight="15"/>
  <x:cols>
    <x:col min="1" max="1" width="15" hidden="0" customWidth="1"/>
    <x:col min="2" max="2" width="14" hidden="0" customWidth="1"/>
    <x:col min="3" max="3" width="10" hidden="0" customWidth="1"/>
    <x:col min="4" max="4" width="18" hidden="0" customWidth="1"/>
    <x:col min="5" max="5" width="30" hidden="0" customWidth="1"/>
    <x:col min="6" max="6" width="26" hidden="0" customWidth="1"/>
    <x:col min="7" max="7" width="14" hidden="0" customWidth="1"/>
    <x:col min="8" max="8" width="23" hidden="0" customWidth="1"/>
    <x:col min="9" max="9" width="18" hidden="0" customWidth="1"/>
    <x:col min="10" max="10" width="22" hidden="0" customWidth="1"/>
    <x:col min="11" max="11" width="24" hidden="0" customWidth="1"/>
    <x:col min="12" max="12" width="55" hidden="0" customWidth="1"/>
    <x:col min="13" max="13" width="24" hidden="0" customWidth="1"/>
    <x:col min="14" max="14" width="46" hidden="0" customWidth="1"/>
    <x:col min="15" max="15" width="28" hidden="0" customWidth="1"/>
    <x:col min="16" max="16" width="62" hidden="0" customWidth="1"/>
  </x:cols>
  <x:sheetData>
    <x:row r="1" ht="15" hidden="0" customHeight="1">
      <x:c r="A1" s="139" t="str">
        <x:v>profile_record_id</x:v>
      </x:c>
      <x:c r="B1" s="139" t="str">
        <x:v>product_id</x:v>
      </x:c>
      <x:c r="C1" s="139" t="str">
        <x:v>protein</x:v>
      </x:c>
      <x:c r="D1" s="139" t="str">
        <x:v>preparation_state</x:v>
      </x:c>
      <x:c r="E1" s="139" t="str">
        <x:v>anatomical_material</x:v>
      </x:c>
      <x:c r="F1" s="139" t="str">
        <x:v>compound_name</x:v>
      </x:c>
      <x:c r="G1" s="139" t="str">
        <x:v>cas</x:v>
      </x:c>
      <x:c r="H1" s="139" t="str">
        <x:v>compound_group</x:v>
      </x:c>
      <x:c r="I1" s="139" t="str">
        <x:v>evidence_mode</x:v>
      </x:c>
      <x:c r="J1" s="139" t="str">
        <x:v>sensory_validation_mode</x:v>
      </x:c>
      <x:c r="K1" s="139" t="str">
        <x:v>importance_class</x:v>
      </x:c>
      <x:c r="L1" s="139" t="str">
        <x:v>importance_detail</x:v>
      </x:c>
      <x:c r="M1" s="139" t="str">
        <x:v>source_id</x:v>
      </x:c>
      <x:c r="N1" s="139" t="str">
        <x:v>source_url</x:v>
      </x:c>
      <x:c r="O1" s="139" t="str">
        <x:v>promotion_status</x:v>
      </x:c>
      <x:c r="P1" s="139" t="str">
        <x:v>notes</x:v>
      </x:c>
    </x:row>
    <x:row r="2" ht="39.599998474121094" hidden="0" customHeight="1">
      <x:c r="A2" s="46" t="str">
        <x:v>BFP-001</x:v>
      </x:c>
      <x:c r="B2" s="46" t="str">
        <x:v>beef:fat</x:v>
      </x:c>
      <x:c r="C2" s="46" t="str">
        <x:v>beef</x:v>
      </x:c>
      <x:c r="D2" s="46" t="str">
        <x:v>dry-rendered</x:v>
      </x:c>
      <x:c r="E2" s="46" t="str">
        <x:v>abdominal subcutaneous fat</x:v>
      </x:c>
      <x:c r="F2" s="46" t="str">
        <x:v>2-tridecanone</x:v>
      </x:c>
      <x:c r="G2" s="46" t="str">
        <x:v>593-08-8</x:v>
      </x:c>
      <x:c r="H2" s="46" t="str">
        <x:v>Carbonyls, ketones</x:v>
      </x:c>
      <x:c r="I2" s="46" t="str">
        <x:v>measured</x:v>
      </x:c>
      <x:c r="J2" s="46" t="str">
        <x:v>none</x:v>
      </x:c>
      <x:c r="K2" s="46" t="str">
        <x:v>fat_specific_detection</x:v>
      </x:c>
      <x:c r="L2" s="46" t="str">
        <x:v>Legacy promoted observation migrated from BP-052 under MR-13.</x:v>
      </x:c>
      <x:c r="M2" s="46" t="str">
        <x:v>SRC-BEEF-FAT-001</x:v>
      </x:c>
      <x:c r="N2" s="46" t="str">
        <x:v>https://pmc.ncbi.nlm.nih.gov/articles/PMC10486796/</x:v>
      </x:c>
      <x:c r="O2" s="46" t="str">
        <x:v>active_beef_fat_product</x:v>
      </x:c>
      <x:c r="P2" s="46" t="str">
        <x:v>The complete 96-compound product table is in Detected Beef Fat; this row preserves the previously governed observation without treating fat as a muscle preparation state.</x:v>
      </x:c>
    </x:row>
  </x:sheetData>
  <x:pageMargins left="0.7" right="0.7" top="0.75" bottom="0.75" header="0.3" footer="0.3"/>
  <x:tableParts count="1">
    <x:tablePart xmlns:r="http://schemas.openxmlformats.org/officeDocument/2006/relationships" r:id="Re9af4240e58d449a"/>
  </x:tableParts>
</x:worksheet>
</file>

<file path=xl/worksheets/sheet55.xml><?xml version="1.0" encoding="utf-8"?>
<x:worksheet xmlns:x="http://schemas.openxmlformats.org/spreadsheetml/2006/main">
  <x:sheetFormatPr defaultRowHeight="15"/>
  <x:cols>
    <x:col min="1" max="1" width="27" hidden="0" customWidth="1"/>
    <x:col min="2" max="2" width="15" hidden="0" customWidth="1"/>
    <x:col min="3" max="3" width="22" hidden="0" customWidth="1"/>
    <x:col min="4" max="4" width="20" hidden="0" customWidth="1"/>
    <x:col min="5" max="5" width="22" hidden="0" customWidth="1"/>
    <x:col min="6" max="6" width="22" hidden="0" customWidth="1"/>
    <x:col min="7" max="7" width="28" hidden="0" customWidth="1"/>
    <x:col min="8" max="8" width="24" hidden="0" customWidth="1"/>
    <x:col min="9" max="9" width="28" hidden="0" customWidth="1"/>
    <x:col min="10" max="10" width="24" hidden="0" customWidth="1"/>
    <x:col min="11" max="11" width="38" hidden="0" customWidth="1"/>
    <x:col min="12" max="12" width="40" hidden="0" customWidth="1"/>
    <x:col min="13" max="13" width="72" hidden="0" customWidth="1"/>
  </x:cols>
  <x:sheetData>
    <x:row r="1" ht="26.399999618530273" hidden="0" customHeight="1">
      <x:c r="A1" s="139" t="str">
        <x:v>source_id</x:v>
      </x:c>
      <x:c r="B1" s="139" t="str">
        <x:v>product_id</x:v>
      </x:c>
      <x:c r="C1" s="139" t="str">
        <x:v>source_reported_compounds</x:v>
      </x:c>
      <x:c r="D1" s="139" t="str">
        <x:v>rows_extracted_v16</x:v>
      </x:c>
      <x:c r="E1" s="139" t="str">
        <x:v>count_reconciliation</x:v>
      </x:c>
      <x:c r="F1" s="139" t="str">
        <x:v>cas_coverage</x:v>
      </x:c>
      <x:c r="G1" s="139" t="str">
        <x:v>observed_lri_or_ri_coverage</x:v>
      </x:c>
      <x:c r="H1" s="139" t="str">
        <x:v>reference_lri_coverage</x:v>
      </x:c>
      <x:c r="I1" s="139" t="str">
        <x:v>exact_numeric_match_factor_coverage</x:v>
      </x:c>
      <x:c r="J1" s="139" t="str">
        <x:v>source_match_quality_floor_pct</x:v>
      </x:c>
      <x:c r="K1" s="139" t="str">
        <x:v>authentic_standard_support</x:v>
      </x:c>
      <x:c r="L1" s="139" t="str">
        <x:v>mr09_status</x:v>
      </x:c>
      <x:c r="M1" s="139" t="str">
        <x:v>notes</x:v>
      </x:c>
    </x:row>
    <x:row r="2" ht="26.399999618530273" hidden="0" customHeight="1">
      <x:c r="A2" s="46" t="str">
        <x:v>SRC-BEEF-GRILL-TEMP-001</x:v>
      </x:c>
      <x:c r="B2" s="46" t="str">
        <x:v>beef:muscle</x:v>
      </x:c>
      <x:c r="C2" s="46" t="n">
        <x:v>91</x:v>
      </x:c>
      <x:c r="D2" s="46" t="n">
        <x:f>COUNTA('Detected Beef Muscle'!H2:H92)</x:f>
        <x:v>91</x:v>
      </x:c>
      <x:c r="E2" s="46" t="str">
        <x:f>IF(C2=D2,"pass_"&amp;D2&amp;"_of_"&amp;C2,"FAIL_"&amp;D2&amp;"_of_"&amp;C2)</x:f>
        <x:v>pass_91_of_91</x:v>
      </x:c>
      <x:c r="F2" s="46" t="str">
        <x:v>91/91</x:v>
      </x:c>
      <x:c r="G2" s="46" t="str">
        <x:v>91/91</x:v>
      </x:c>
      <x:c r="H2" s="46" t="str">
        <x:v>91/91</x:v>
      </x:c>
      <x:c r="I2" s="46" t="str">
        <x:v>0/91</x:v>
      </x:c>
      <x:c r="J2" s="46"/>
      <x:c r="K2" s="46" t="str">
        <x:v>method-level in-house authentic-compound library</x:v>
      </x:c>
      <x:c r="L2" s="141" t="str">
        <x:v>partial_numeric_match_factor_unreported</x:v>
      </x:c>
      <x:c r="M2" s="46" t="str">
        <x:v>Unlike the prior key-aroma layer, the full source table is extracted. The paper publishes LRI and reference LRI but not per-row numeric spectral match factors.</x:v>
      </x:c>
    </x:row>
    <x:row r="3" ht="39.599998474121094" hidden="0" customHeight="1">
      <x:c r="A3" s="46" t="str">
        <x:v>SRC-BEEF-IDQA-001</x:v>
      </x:c>
      <x:c r="B3" s="46" t="str">
        <x:v>beef:muscle</x:v>
      </x:c>
      <x:c r="C3" s="46" t="n">
        <x:v>45</x:v>
      </x:c>
      <x:c r="D3" s="46" t="n">
        <x:f>COUNTA('Detected Beef Muscle'!H93:H137)</x:f>
        <x:v>45</x:v>
      </x:c>
      <x:c r="E3" s="46" t="str">
        <x:f>IF(C3=D3,"pass_"&amp;D3&amp;"_of_"&amp;C3,"FAIL_"&amp;D3&amp;"_of_"&amp;C3)</x:f>
        <x:v>pass_45_of_45</x:v>
      </x:c>
      <x:c r="F3" s="46" t="str">
        <x:v>0/45_source_table</x:v>
      </x:c>
      <x:c r="G3" s="46" t="str">
        <x:v>45/45 calculated LRI</x:v>
      </x:c>
      <x:c r="H3" s="46" t="str">
        <x:v>43/45 referenced LRI</x:v>
      </x:c>
      <x:c r="I3" s="46" t="str">
        <x:v>0/45 exact values</x:v>
      </x:c>
      <x:c r="J3" s="46" t="n">
        <x:v>80</x:v>
      </x:c>
      <x:c r="K3" s="46" t="str">
        <x:v>selected rows use authentic standards; all retained compounds subject to ≥80% NIST mass-match floor</x:v>
      </x:c>
      <x:c r="L3" s="143" t="str">
        <x:v>source_threshold_verifiable_exact_row_factor_unreported</x:v>
      </x:c>
      <x:c r="M3" s="46" t="str">
        <x:v>This is the Beef MR-09 control: the source explicitly states a minimum mass-match quality of 80% for every retained compound and verifies LRI against PubChem/NIST.</x:v>
      </x:c>
    </x:row>
    <x:row r="4" ht="26.399999618530273" hidden="0" customHeight="1">
      <x:c r="A4" s="46" t="str">
        <x:v>SRC-BEEF-FAT-001</x:v>
      </x:c>
      <x:c r="B4" s="46" t="str">
        <x:v>beef:fat</x:v>
      </x:c>
      <x:c r="C4" s="46" t="n">
        <x:v>96</x:v>
      </x:c>
      <x:c r="D4" s="46" t="n">
        <x:f>COUNTA('Detected Beef Fat'!I2:I97)</x:f>
        <x:v>96</x:v>
      </x:c>
      <x:c r="E4" s="46" t="str">
        <x:f>IF(C4=D4,"pass_"&amp;D4&amp;"_of_"&amp;C4,"FAIL_"&amp;D4&amp;"_of_"&amp;C4)</x:f>
        <x:v>pass_96_of_96</x:v>
      </x:c>
      <x:c r="F4" s="46" t="str">
        <x:v>0/96_source_table</x:v>
      </x:c>
      <x:c r="G4" s="46" t="str">
        <x:v>96/96 DB-WAX RI</x:v>
      </x:c>
      <x:c r="H4" s="46" t="str">
        <x:v>not separately tabulated</x:v>
      </x:c>
      <x:c r="I4" s="46" t="str">
        <x:v>0/96</x:v>
      </x:c>
      <x:c r="J4" s="46"/>
      <x:c r="K4" s="46" t="str">
        <x:v>54/96 rows marked S = authentic-standard agreement</x:v>
      </x:c>
      <x:c r="L4" s="141" t="str">
        <x:v>partial_numeric_match_factor_unreported</x:v>
      </x:c>
      <x:c r="M4" s="46" t="str">
        <x:v>Row-level identification methods are retained. 'S' means MS and RI agree with available authentic standard.</x:v>
      </x:c>
    </x:row>
    <x:row r="5" ht="15" hidden="0" customHeight="1">
      <x:c r="A5" s="46" t="str">
        <x:v>SRC-BEEF-CURE-SMOKE-001</x:v>
      </x:c>
      <x:c r="B5" s="46" t="str">
        <x:v>beef:muscle</x:v>
      </x:c>
      <x:c r="C5" s="46" t="n">
        <x:v>86</x:v>
      </x:c>
      <x:c r="D5" s="46" t="n">
        <x:f>COUNTA('Detected Beef Cure-Smoke'!H2:H87)</x:f>
        <x:v>86</x:v>
      </x:c>
      <x:c r="E5" s="46" t="str">
        <x:f>IF(C5=D5,"pass_"&amp;D5&amp;"_of_"&amp;C5,"FAIL_"&amp;D5&amp;"_of_"&amp;C5)</x:f>
        <x:v>pass_86_of_86</x:v>
      </x:c>
      <x:c r="F5" s="46" t="str">
        <x:v>0/86_source_table</x:v>
      </x:c>
      <x:c r="G5" s="46" t="str">
        <x:v>86/86 DB-WAX RI</x:v>
      </x:c>
      <x:c r="H5" s="46" t="str">
        <x:v>not separately tabulated</x:v>
      </x:c>
      <x:c r="I5" s="46" t="str">
        <x:v>0/86</x:v>
      </x:c>
      <x:c r="J5" s="46"/>
      <x:c r="K5" s="46" t="str">
        <x:v>none stated</x:v>
      </x:c>
      <x:c r="L5" s="141" t="str">
        <x:v>partial_numeric_match_factor_unreported</x:v>
      </x:c>
      <x:c r="M5" s="46" t="str">
        <x:v>52/86 rows use MS+RI; remaining rows are MS-only despite RI being listed in the table.</x:v>
      </x:c>
    </x:row>
    <x:row r="6" ht="39.599998474121094" hidden="0" customHeight="1">
      <x:c r="A6" s="46" t="str">
        <x:v>SRC-BEEF-AGE-001</x:v>
      </x:c>
      <x:c r="B6" s="46" t="str">
        <x:v>beef:muscle</x:v>
      </x:c>
      <x:c r="C6" s="46" t="n">
        <x:v>37</x:v>
      </x:c>
      <x:c r="D6" s="46" t="n">
        <x:f>COUNTA('Detected Beef Aging'!H2:H38)</x:f>
        <x:v>37</x:v>
      </x:c>
      <x:c r="E6" s="46" t="str">
        <x:f>IF(C6=D6,"pass_"&amp;D6&amp;"_of_"&amp;C6,"FAIL_"&amp;D6&amp;"_of_"&amp;C6)</x:f>
        <x:v>pass_37_of_37</x:v>
      </x:c>
      <x:c r="F6" s="46" t="str">
        <x:v>0/37_source_table</x:v>
      </x:c>
      <x:c r="G6" s="46" t="str">
        <x:v>0/37 chromatographic LRI</x:v>
      </x:c>
      <x:c r="H6" s="46" t="str">
        <x:v>not applicable</x:v>
      </x:c>
      <x:c r="I6" s="46" t="str">
        <x:v>0/37</x:v>
      </x:c>
      <x:c r="J6" s="46"/>
      <x:c r="K6" s="46" t="str">
        <x:v>none stated</x:v>
      </x:c>
      <x:c r="L6" s="141" t="str">
        <x:v>source_match_probability_available_but_not_mass_match</x:v>
      </x:c>
      <x:c r="M6" s="46" t="str">
        <x:v>All 37 rows carry the source's 'RI' percentage, but the paper defines RI here as a relevance/matching probability based on Kovats-RI comparison to AroChemBase—not an observed chromatographic retention index.</x:v>
      </x:c>
    </x:row>
  </x:sheetData>
  <x:pageMargins left="0.7" right="0.7" top="0.75" bottom="0.75" header="0.3" footer="0.3"/>
  <x:tableParts count="1">
    <x:tablePart xmlns:r="http://schemas.openxmlformats.org/officeDocument/2006/relationships" r:id="R588cb0045c5b4f90"/>
  </x:tableParts>
</x:worksheet>
</file>

<file path=xl/worksheets/sheet56.xml><?xml version="1.0" encoding="utf-8"?>
<x:worksheet xmlns:x="http://schemas.openxmlformats.org/spreadsheetml/2006/main">
  <x:sheetFormatPr defaultRowHeight="15"/>
  <x:cols>
    <x:col min="1" max="1" width="32" hidden="0" customWidth="1"/>
    <x:col min="2" max="2" width="48" hidden="0" customWidth="1"/>
    <x:col min="3" max="3" width="64" hidden="0" customWidth="1"/>
    <x:col min="4" max="4" width="32" hidden="0" customWidth="1"/>
    <x:col min="5" max="5" width="46" hidden="0" customWidth="1"/>
    <x:col min="6" max="6" width="76" hidden="0" customWidth="1"/>
    <x:col min="7" max="7" width="24" hidden="0" customWidth="1"/>
  </x:cols>
  <x:sheetData>
    <x:row r="1" ht="15" hidden="0" customHeight="1">
      <x:c r="A1" s="139" t="str">
        <x:v>requirement</x:v>
      </x:c>
      <x:c r="B1" s="139" t="str">
        <x:v>benchmark_or_rule</x:v>
      </x:c>
      <x:c r="C1" s="139" t="str">
        <x:v>observed_result</x:v>
      </x:c>
      <x:c r="D1" s="139" t="str">
        <x:v>status</x:v>
      </x:c>
      <x:c r="E1" s="139" t="str">
        <x:v>evidence_refs</x:v>
      </x:c>
      <x:c r="F1" s="139" t="str">
        <x:v>interpretation</x:v>
      </x:c>
      <x:c r="G1" s="139" t="str">
        <x:v>blocks_beef_completion</x:v>
      </x:c>
    </x:row>
    <x:row r="2" ht="26.399999618530273" hidden="0" customHeight="1">
      <x:c r="A2" s="46" t="str">
        <x:v>MR-10 full detected-table coverage</x:v>
      </x:c>
      <x:c r="B2" s="46" t="str">
        <x:v>VCF median ≈75 compounds/product (user benchmark); extract full source tables, not only key odorants</x:v>
      </x:c>
      <x:c r="C2" s="46" t="str">
        <x:f>"beef:muscle Morsli table = "&amp;COUNTA('Detected Beef Muscle'!H2:H92)&amp;"; raw detected "&amp;COUNTIF('Detected Beef Muscle'!P2:P92,"&gt;0")&amp;"; G55 "&amp;COUNTIF('Detected Beef Muscle'!Q2:Q92,"&gt;0")&amp;"; G60 "&amp;COUNTIF('Detected Beef Muscle'!R2:R92,"&gt;0")&amp;"; G71 "&amp;COUNTIF('Detected Beef Muscle'!S2:S92,"&gt;0")&amp;"; G77 "&amp;COUNTIF('Detected Beef Muscle'!T2:T92,"&gt;0")&amp;"; G85 "&amp;COUNTIF('Detected Beef Muscle'!U2:U92,"&gt;0")</x:f>
        <x:v>beef:muscle Morsli table = 91; raw detected 82; G55 86; G60 86; G71 86; G77 87; G85 88</x:v>
      </x:c>
      <x:c r="D2" s="143" t="str">
        <x:v>pass</x:v>
      </x:c>
      <x:c r="E2" s="46" t="str">
        <x:v>Detected Beef Muscle; SRC-BEEF-GRILL-TEMP-001</x:v>
      </x:c>
      <x:c r="F2" s="46" t="str">
        <x:v>The prior 12 raw / ~23 cooked counts were a key-aroma/sensory layer. They are retained, but they no longer stand in for detected-table completeness.</x:v>
      </x:c>
      <x:c r="G2" s="46" t="str">
        <x:v>no</x:v>
      </x:c>
    </x:row>
    <x:row r="3" ht="26.399999618530273" hidden="0" customHeight="1">
      <x:c r="A3" s="46" t="str">
        <x:v>MR-10 cooked ID-QA cross-check</x:v>
      </x:c>
      <x:c r="B3" s="46" t="str">
        <x:v>independent full table with explicit identification gate</x:v>
      </x:c>
      <x:c r="C3" s="46" t="str">
        <x:f>"Ahamed cooked-beef ID-QA table = "&amp;COUNTA('Detected Beef Muscle'!H93:H137)&amp;"/45; source minimum NIST match floor = "&amp;'Beef Identification QA'!J3&amp;"%"</x:f>
        <x:v>Ahamed cooked-beef ID-QA table = 45/45; source minimum NIST match floor = 80%</x:v>
      </x:c>
      <x:c r="D3" s="143" t="str">
        <x:v>pass_with_source_ceiling</x:v>
      </x:c>
      <x:c r="E3" s="46" t="str">
        <x:v>Detected Beef Muscle; SRC-BEEF-IDQA-001</x:v>
      </x:c>
      <x:c r="F3" s="46" t="str">
        <x:v>This is the Beef equivalent of a count/quality reconciliation check: reported source count and extracted row count must match.</x:v>
      </x:c>
      <x:c r="G3" s="46" t="str">
        <x:v>no</x:v>
      </x:c>
    </x:row>
    <x:row r="4" ht="26.399999618530273" hidden="0" customHeight="1">
      <x:c r="A4" s="46" t="str">
        <x:v>MR-10 aging completeness</x:v>
      </x:c>
      <x:c r="B4" s="46" t="str">
        <x:v>do not confuse key aging deltas with the source's full identified union</x:v>
      </x:c>
      <x:c r="C4" s="46" t="str">
        <x:f>"Aging identification union = "&amp;COUNTA('Detected Beef Aging'!H2:H38)&amp;"/37 rows; complete primary-source table"</x:f>
        <x:v>Aging identification union = 37/37 rows; complete primary-source table</x:v>
      </x:c>
      <x:c r="D4" s="143" t="str">
        <x:v>pass_at_source_ceiling</x:v>
      </x:c>
      <x:c r="E4" s="46" t="str">
        <x:v>Detected Beef Aging; SRC-BEEF-AGE-001</x:v>
      </x:c>
      <x:c r="F4" s="46" t="str">
        <x:v>VCF median is a diagnostic benchmark, not a quota. The correct response to a 37-compound primary source is to preserve all 37, not manufacture 75.</x:v>
      </x:c>
      <x:c r="G4" s="46" t="str">
        <x:v>no</x:v>
      </x:c>
    </x:row>
    <x:row r="5" ht="26.399999618530273" hidden="0" customHeight="1">
      <x:c r="A5" s="46" t="str">
        <x:v>MR-13 anatomical product boundary</x:v>
      </x:c>
      <x:c r="B5" s="46" t="str">
        <x:v>fat is a product/material, not a beef muscle preparation</x:v>
      </x:c>
      <x:c r="C5" s="46" t="str">
        <x:v>BP-052 superseded in muscle profile and migrated to active product_id beef:fat; full fat table isolated</x:v>
      </x:c>
      <x:c r="D5" s="143" t="str">
        <x:v>pass</x:v>
      </x:c>
      <x:c r="E5" s="46" t="str">
        <x:v>Verified Beef Fat Profile; Detected Beef Fat; BP-052 historical pointer</x:v>
      </x:c>
      <x:c r="F5" s="46" t="str">
        <x:v>Dry-rendered is the preparation applied to beef:fat. 'Beef fat' is no longer stored as cut_or_part inside a muscle-state model.</x:v>
      </x:c>
      <x:c r="G5" s="46" t="str">
        <x:v>no</x:v>
      </x:c>
    </x:row>
    <x:row r="6" ht="26.399999618530273" hidden="0" customHeight="1">
      <x:c r="A6" s="46" t="str">
        <x:v>Carrier-layer coverage</x:v>
      </x:c>
      <x:c r="B6" s="46" t="str">
        <x:v>extract the full BQ-002 / Yang 2023 beef-fat table</x:v>
      </x:c>
      <x:c r="C6" s="46" t="str">
        <x:f>"beef:fat source rows = "&amp;COUNTA('Detected Beef Fat'!I2:I97)&amp;"; quantified in &gt;=1 solvent = "&amp;COUNTIF('Detected Beef Fat'!Y2:Y97,"yes")&amp;"; lactones = "&amp;COUNTIF('Detected Beef Fat'!H2:H97,"Lactones")&amp;"; phenols = "&amp;COUNTIF('Detected Beef Fat'!H2:H97,"Phenols")&amp;"; standard-confirmed = "&amp;COUNTIF('Detected Beef Fat'!M2:M97,"yes")</x:f>
        <x:v>beef:fat source rows = 96; quantified in &gt;=1 solvent = 95; lactones = 6; phenols = 3; standard-confirmed = 54</x:v>
      </x:c>
      <x:c r="D6" s="143" t="str">
        <x:v>pass</x:v>
      </x:c>
      <x:c r="E6" s="46" t="str">
        <x:v>Detected Beef Fat; SRC-BEEF-FAT-001</x:v>
      </x:c>
      <x:c r="F6" s="46" t="str">
        <x:v>The lactone/phenol carrier chemistry is now represented instead of collapsing beef fat to one ketone row.</x:v>
      </x:c>
      <x:c r="G6" s="46" t="str">
        <x:v>no</x:v>
      </x:c>
    </x:row>
    <x:row r="7" ht="26.399999618530273" hidden="0" customHeight="1">
      <x:c r="A7" s="46" t="str">
        <x:v>Phenol / cured-smoked coverage</x:v>
      </x:c>
      <x:c r="B7" s="46" t="str">
        <x:v>processing chemistry must be a separate state/overlay</x:v>
      </x:c>
      <x:c r="C7" s="46" t="str">
        <x:f>"cure/smoke source rows = "&amp;COUNTA('Detected Beef Cure-Smoke'!H2:H87)&amp;"; T1 detected = "&amp;COUNT('Detected Beef Cure-Smoke'!O2:O87)&amp;"; T2 detected = "&amp;COUNT('Detected Beef Cure-Smoke'!P2:P87)&amp;"; phenols = "&amp;COUNTIF('Detected Beef Cure-Smoke'!G2:G87,"Phenols")</x:f>
        <x:v>cure/smoke source rows = 86; T1 detected = 73; T2 detected = 36; phenols = 12</x:v>
      </x:c>
      <x:c r="D7" s="143" t="str">
        <x:v>pass_with_confound_flag</x:v>
      </x:c>
      <x:c r="E7" s="46" t="str">
        <x:v>Detected Beef Cure-Smoke; SRC-BEEF-CURE-SMOKE-001</x:v>
      </x:c>
      <x:c r="F7" s="46" t="str">
        <x:v>The phenol gap is closed. T1 combines smoke and spices, so the dataset labels this as a smoke/spice processing layer rather than pretending every T1-only compound is smoke-derived.</x:v>
      </x:c>
      <x:c r="G7" s="46" t="str">
        <x:v>no</x:v>
      </x:c>
    </x:row>
    <x:row r="8" ht="26.399999618530273" hidden="0" customHeight="1">
      <x:c r="A8" s="46" t="str">
        <x:v>MR-09 identification-quality fields</x:v>
      </x:c>
      <x:c r="B8" s="46" t="str">
        <x:v>match quality and retention evidence must be inspectable rather than implicit</x:v>
      </x:c>
      <x:c r="C8" s="46" t="str">
        <x:v>source-specific RI/LRI, reference LRI, identification method, standards, match-floor and missing numeric match factors are now explicit</x:v>
      </x:c>
      <x:c r="D8" s="143" t="str">
        <x:v>pass_schema_partial_source_reporting</x:v>
      </x:c>
      <x:c r="E8" s="46" t="str">
        <x:v>Beef Identification QA; all Detected Beef* sheets</x:v>
      </x:c>
      <x:c r="F8" s="46" t="str">
        <x:v>Where a paper does not publish exact numeric match factors, the field remains blank and the row is explicitly partial. No match score was invented.</x:v>
      </x:c>
      <x:c r="G8" s="46" t="str">
        <x:v>no</x:v>
      </x:c>
    </x:row>
    <x:row r="9" ht="26.399999618530273" hidden="0" customHeight="1">
      <x:c r="A9" s="46" t="str">
        <x:v>Sequencing</x:v>
      </x:c>
      <x:c r="B9" s="46" t="str">
        <x:v>MR addendum must precede ruminant inheritance work</x:v>
      </x:c>
      <x:c r="C9" s="46" t="str">
        <x:v>v16 branches from v14. v15 ruminant workbook is preserved as superseded exploratory work and is not part of the corrected governed chain.</x:v>
      </x:c>
      <x:c r="D9" s="143" t="str">
        <x:v>pass</x:v>
      </x:c>
      <x:c r="E9" s="46" t="str">
        <x:v>Read Me v16 note</x:v>
      </x:c>
      <x:c r="F9" s="46" t="str">
        <x:v>Ruminant work can be rebuilt/replayed after this Beef layer is accepted, using MR-09/MR-10/MR-13 from the start.</x:v>
      </x:c>
      <x:c r="G9" s="46" t="str">
        <x:v>no</x:v>
      </x:c>
    </x:row>
  </x:sheetData>
  <x:pageMargins left="0.7" right="0.7" top="0.75" bottom="0.75" header="0.3" footer="0.3"/>
  <x:tableParts count="1">
    <x:tablePart xmlns:r="http://schemas.openxmlformats.org/officeDocument/2006/relationships" r:id="R844443b392214624"/>
  </x:tableParts>
</x:worksheet>
</file>

<file path=xl/worksheets/sheet57.xml><?xml version="1.0" encoding="utf-8"?>
<x:worksheet xmlns:x="http://schemas.openxmlformats.org/spreadsheetml/2006/main">
  <x:sheetFormatPr defaultRowHeight="15"/>
  <x:cols>
    <x:col min="1" max="1" width="16" hidden="0" customWidth="1"/>
    <x:col min="2" max="2" width="20" hidden="0" customWidth="1"/>
    <x:col min="3" max="3" width="16" hidden="0" customWidth="1"/>
    <x:col min="4" max="4" width="20" hidden="0" customWidth="1"/>
    <x:col min="5" max="5" width="24" hidden="0" customWidth="1"/>
    <x:col min="6" max="6" width="28" hidden="0" customWidth="1"/>
    <x:col min="7" max="7" width="22" hidden="0" customWidth="1"/>
    <x:col min="8" max="8" width="36" hidden="0" customWidth="1"/>
    <x:col min="9" max="9" width="14" hidden="0" customWidth="1"/>
    <x:col min="10" max="10" width="17" hidden="0" customWidth="1"/>
    <x:col min="11" max="11" width="46" hidden="0" customWidth="1"/>
    <x:col min="12" max="12" width="18" hidden="0" customWidth="1"/>
    <x:col min="13" max="13" width="20" hidden="0" customWidth="1"/>
    <x:col min="14" max="14" width="34" hidden="0" customWidth="1"/>
    <x:col min="15" max="15" width="38" hidden="0" customWidth="1"/>
    <x:col min="16" max="16" width="13" hidden="0" customWidth="1"/>
    <x:col min="17" max="17" width="13" hidden="0" customWidth="1"/>
    <x:col min="18" max="18" width="13" hidden="0" customWidth="1"/>
    <x:col min="19" max="19" width="13" hidden="0" customWidth="1"/>
    <x:col min="20" max="20" width="28" hidden="0" customWidth="1"/>
    <x:col min="21" max="21" width="32" hidden="0" customWidth="1"/>
    <x:col min="22" max="22" width="60"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compound_group</x:v>
      </x:c>
      <x:c r="H1" s="166" t="str">
        <x:v>compound_name</x:v>
      </x:c>
      <x:c r="I1" s="166" t="str">
        <x:v>cas</x:v>
      </x:c>
      <x:c r="J1" s="166" t="str">
        <x:v>retention_time_min</x:v>
      </x:c>
      <x:c r="K1" s="166" t="str">
        <x:v>identification_method</x:v>
      </x:c>
      <x:c r="L1" s="166" t="str">
        <x:v>retention_index</x:v>
      </x:c>
      <x:c r="M1" s="166" t="str">
        <x:v>numeric_match_factor</x:v>
      </x:c>
      <x:c r="N1" s="166" t="str">
        <x:v>mr09_identification_status</x:v>
      </x:c>
      <x:c r="O1" s="166" t="str">
        <x:v>odor_descriptor</x:v>
      </x:c>
      <x:c r="P1" s="166" t="str">
        <x:v>raw_ng_g</x:v>
      </x:c>
      <x:c r="Q1" s="166" t="str">
        <x:v>boiled_ng_g</x:v>
      </x:c>
      <x:c r="R1" s="166" t="str">
        <x:v>steamed_ng_g</x:v>
      </x:c>
      <x:c r="S1" s="166" t="str">
        <x:v>oven_ng_g</x:v>
      </x:c>
      <x:c r="T1" s="166" t="str">
        <x:v>culinary_relevance_route</x:v>
      </x:c>
      <x:c r="U1" s="166" t="str">
        <x:v>metric</x:v>
      </x:c>
      <x:c r="V1" s="166" t="str">
        <x:v>notes</x:v>
      </x:c>
    </x:row>
    <x:row r="2" ht="26.399999618530273" hidden="0" customHeight="1">
      <x:c r="A2" s="46" t="str">
        <x:v>DFS-SAL-001</x:v>
      </x:c>
      <x:c r="B2" s="46" t="str">
        <x:v>fish:atlantic_salmon</x:v>
      </x:c>
      <x:c r="C2" s="46" t="str">
        <x:v>family:finfish</x:v>
      </x:c>
      <x:c r="D2" s="46" t="str">
        <x:v>fatty_fish_anchor</x:v>
      </x:c>
      <x:c r="E2" s="46" t="str">
        <x:v>Atlantic salmon fillet</x:v>
      </x:c>
      <x:c r="F2" s="46" t="str">
        <x:v>SRC-FISH-SALMON-COOK-001</x:v>
      </x:c>
      <x:c r="G2" s="46" t="str">
        <x:v>Acid</x:v>
      </x:c>
      <x:c r="H2" s="46" t="str">
        <x:v>Acetic acid</x:v>
      </x:c>
      <x:c r="I2" s="46"/>
      <x:c r="J2" s="46" t="n">
        <x:v>19.88</x:v>
      </x:c>
      <x:c r="K2" s="46" t="str">
        <x:v>GC retention time + NIST 2005 mass-spectrum comparison</x:v>
      </x:c>
      <x:c r="L2" s="46"/>
      <x:c r="M2" s="46"/>
      <x:c r="N2" s="46" t="str">
        <x:v>partial_no_RI_no_numeric_match_factor</x:v>
      </x:c>
      <x:c r="O2" s="46" t="str">
        <x:v>Strong vinegar-like</x:v>
      </x:c>
      <x:c r="P2" s="46" t="n">
        <x:v>0.49</x:v>
      </x:c>
      <x:c r="Q2" s="46" t="n">
        <x:v>0.5</x:v>
      </x:c>
      <x:c r="R2" s="46" t="n">
        <x:v>1.13</x:v>
      </x:c>
      <x:c r="S2" s="46" t="n">
        <x:v>1.24</x:v>
      </x:c>
      <x:c r="T2" s="46" t="str">
        <x:v>normal_culinary_evidence</x:v>
      </x:c>
      <x:c r="U2" s="46" t="str">
        <x:v>ng/g estimated by internal standard; source values are means</x:v>
      </x:c>
      <x:c r="V2" s="46"/>
    </x:row>
    <x:row r="3" ht="26.399999618530273" hidden="0" customHeight="1">
      <x:c r="A3" s="46" t="str">
        <x:v>DFS-SAL-002</x:v>
      </x:c>
      <x:c r="B3" s="46" t="str">
        <x:v>fish:atlantic_salmon</x:v>
      </x:c>
      <x:c r="C3" s="46" t="str">
        <x:v>family:finfish</x:v>
      </x:c>
      <x:c r="D3" s="46" t="str">
        <x:v>fatty_fish_anchor</x:v>
      </x:c>
      <x:c r="E3" s="46" t="str">
        <x:v>Atlantic salmon fillet</x:v>
      </x:c>
      <x:c r="F3" s="46" t="str">
        <x:v>SRC-FISH-SALMON-COOK-001</x:v>
      </x:c>
      <x:c r="G3" s="46" t="str">
        <x:v>Alcohols</x:v>
      </x:c>
      <x:c r="H3" s="46" t="str">
        <x:v>Ethanol</x:v>
      </x:c>
      <x:c r="I3" s="46"/>
      <x:c r="J3" s="46" t="n">
        <x:v>9.96</x:v>
      </x:c>
      <x:c r="K3" s="46" t="str">
        <x:v>GC retention time + NIST 2005 mass-spectrum comparison</x:v>
      </x:c>
      <x:c r="L3" s="46"/>
      <x:c r="M3" s="46"/>
      <x:c r="N3" s="46" t="str">
        <x:v>partial_no_RI_no_numeric_match_factor</x:v>
      </x:c>
      <x:c r="O3" s="46" t="str">
        <x:v>Vinous</x:v>
      </x:c>
      <x:c r="P3" s="46" t="n">
        <x:v>0.26</x:v>
      </x:c>
      <x:c r="Q3" s="46" t="n">
        <x:v>0.39</x:v>
      </x:c>
      <x:c r="R3" s="46" t="n">
        <x:v>0.46</x:v>
      </x:c>
      <x:c r="S3" s="46" t="n">
        <x:v>0.29</x:v>
      </x:c>
      <x:c r="T3" s="46" t="str">
        <x:v>normal_culinary_evidence</x:v>
      </x:c>
      <x:c r="U3" s="46" t="str">
        <x:v>ng/g estimated by internal standard; source values are means</x:v>
      </x:c>
      <x:c r="V3" s="46"/>
    </x:row>
    <x:row r="4" ht="26.399999618530273" hidden="0" customHeight="1">
      <x:c r="A4" s="46" t="str">
        <x:v>DFS-SAL-003</x:v>
      </x:c>
      <x:c r="B4" s="46" t="str">
        <x:v>fish:atlantic_salmon</x:v>
      </x:c>
      <x:c r="C4" s="46" t="str">
        <x:v>family:finfish</x:v>
      </x:c>
      <x:c r="D4" s="46" t="str">
        <x:v>fatty_fish_anchor</x:v>
      </x:c>
      <x:c r="E4" s="46" t="str">
        <x:v>Atlantic salmon fillet</x:v>
      </x:c>
      <x:c r="F4" s="46" t="str">
        <x:v>SRC-FISH-SALMON-COOK-001</x:v>
      </x:c>
      <x:c r="G4" s="46" t="str">
        <x:v>Alcohols</x:v>
      </x:c>
      <x:c r="H4" s="46" t="str">
        <x:v>1-Heptadecanol</x:v>
      </x:c>
      <x:c r="I4" s="46"/>
      <x:c r="J4" s="46" t="n">
        <x:v>17.87</x:v>
      </x:c>
      <x:c r="K4" s="46" t="str">
        <x:v>GC retention time + NIST 2005 mass-spectrum comparison</x:v>
      </x:c>
      <x:c r="L4" s="46"/>
      <x:c r="M4" s="46"/>
      <x:c r="N4" s="46" t="str">
        <x:v>partial_no_RI_no_numeric_match_factor</x:v>
      </x:c>
      <x:c r="O4" s="46"/>
      <x:c r="P4" s="46"/>
      <x:c r="Q4" s="46"/>
      <x:c r="R4" s="46"/>
      <x:c r="S4" s="46" t="n">
        <x:v>0.12</x:v>
      </x:c>
      <x:c r="T4" s="46" t="str">
        <x:v>normal_culinary_evidence</x:v>
      </x:c>
      <x:c r="U4" s="46" t="str">
        <x:v>ng/g estimated by internal standard; source values are means</x:v>
      </x:c>
      <x:c r="V4" s="46"/>
    </x:row>
    <x:row r="5" ht="26.399999618530273" hidden="0" customHeight="1">
      <x:c r="A5" s="46" t="str">
        <x:v>DFS-SAL-004</x:v>
      </x:c>
      <x:c r="B5" s="46" t="str">
        <x:v>fish:atlantic_salmon</x:v>
      </x:c>
      <x:c r="C5" s="46" t="str">
        <x:v>family:finfish</x:v>
      </x:c>
      <x:c r="D5" s="46" t="str">
        <x:v>fatty_fish_anchor</x:v>
      </x:c>
      <x:c r="E5" s="46" t="str">
        <x:v>Atlantic salmon fillet</x:v>
      </x:c>
      <x:c r="F5" s="46" t="str">
        <x:v>SRC-FISH-SALMON-COOK-001</x:v>
      </x:c>
      <x:c r="G5" s="46" t="str">
        <x:v>Alcohols</x:v>
      </x:c>
      <x:c r="H5" s="46" t="str">
        <x:v>2-Nonen-1-ol</x:v>
      </x:c>
      <x:c r="I5" s="46"/>
      <x:c r="J5" s="46" t="n">
        <x:v>18.94</x:v>
      </x:c>
      <x:c r="K5" s="46" t="str">
        <x:v>GC retention time + NIST 2005 mass-spectrum comparison</x:v>
      </x:c>
      <x:c r="L5" s="46"/>
      <x:c r="M5" s="46"/>
      <x:c r="N5" s="46" t="str">
        <x:v>partial_no_RI_no_numeric_match_factor</x:v>
      </x:c>
      <x:c r="O5" s="46" t="str">
        <x:v>Green and waxy</x:v>
      </x:c>
      <x:c r="P5" s="46"/>
      <x:c r="Q5" s="46" t="n">
        <x:v>0.18</x:v>
      </x:c>
      <x:c r="R5" s="46"/>
      <x:c r="S5" s="46"/>
      <x:c r="T5" s="46" t="str">
        <x:v>normal_culinary_evidence</x:v>
      </x:c>
      <x:c r="U5" s="46" t="str">
        <x:v>ng/g estimated by internal standard; source values are means</x:v>
      </x:c>
      <x:c r="V5" s="46"/>
    </x:row>
    <x:row r="6" ht="26.399999618530273" hidden="0" customHeight="1">
      <x:c r="A6" s="46" t="str">
        <x:v>DFS-SAL-005</x:v>
      </x:c>
      <x:c r="B6" s="46" t="str">
        <x:v>fish:atlantic_salmon</x:v>
      </x:c>
      <x:c r="C6" s="46" t="str">
        <x:v>family:finfish</x:v>
      </x:c>
      <x:c r="D6" s="46" t="str">
        <x:v>fatty_fish_anchor</x:v>
      </x:c>
      <x:c r="E6" s="46" t="str">
        <x:v>Atlantic salmon fillet</x:v>
      </x:c>
      <x:c r="F6" s="46" t="str">
        <x:v>SRC-FISH-SALMON-COOK-001</x:v>
      </x:c>
      <x:c r="G6" s="46" t="str">
        <x:v>Alcohols</x:v>
      </x:c>
      <x:c r="H6" s="46" t="str">
        <x:v>Tetradecanol</x:v>
      </x:c>
      <x:c r="I6" s="46"/>
      <x:c r="J6" s="46" t="n">
        <x:v>19.75</x:v>
      </x:c>
      <x:c r="K6" s="46" t="str">
        <x:v>GC retention time + NIST 2005 mass-spectrum comparison</x:v>
      </x:c>
      <x:c r="L6" s="46"/>
      <x:c r="M6" s="46"/>
      <x:c r="N6" s="46" t="str">
        <x:v>partial_no_RI_no_numeric_match_factor</x:v>
      </x:c>
      <x:c r="O6" s="46" t="str">
        <x:v>Waxy, fruity, and coconut</x:v>
      </x:c>
      <x:c r="P6" s="46"/>
      <x:c r="Q6" s="46"/>
      <x:c r="R6" s="46"/>
      <x:c r="S6" s="46" t="n">
        <x:v>0.08</x:v>
      </x:c>
      <x:c r="T6" s="46" t="str">
        <x:v>normal_culinary_evidence</x:v>
      </x:c>
      <x:c r="U6" s="46" t="str">
        <x:v>ng/g estimated by internal standard; source values are means</x:v>
      </x:c>
      <x:c r="V6" s="46"/>
    </x:row>
    <x:row r="7" ht="26.399999618530273" hidden="0" customHeight="1">
      <x:c r="A7" s="46" t="str">
        <x:v>DFS-SAL-006</x:v>
      </x:c>
      <x:c r="B7" s="46" t="str">
        <x:v>fish:atlantic_salmon</x:v>
      </x:c>
      <x:c r="C7" s="46" t="str">
        <x:v>family:finfish</x:v>
      </x:c>
      <x:c r="D7" s="46" t="str">
        <x:v>fatty_fish_anchor</x:v>
      </x:c>
      <x:c r="E7" s="46" t="str">
        <x:v>Atlantic salmon fillet</x:v>
      </x:c>
      <x:c r="F7" s="46" t="str">
        <x:v>SRC-FISH-SALMON-COOK-001</x:v>
      </x:c>
      <x:c r="G7" s="46" t="str">
        <x:v>Alcohols</x:v>
      </x:c>
      <x:c r="H7" s="46" t="str">
        <x:v>2-(2-Ethoxyethoxy)ethanol</x:v>
      </x:c>
      <x:c r="I7" s="46"/>
      <x:c r="J7" s="46" t="n">
        <x:v>27.95</x:v>
      </x:c>
      <x:c r="K7" s="46" t="str">
        <x:v>GC retention time + NIST 2005 mass-spectrum comparison</x:v>
      </x:c>
      <x:c r="L7" s="46"/>
      <x:c r="M7" s="46"/>
      <x:c r="N7" s="46" t="str">
        <x:v>partial_no_RI_no_numeric_match_factor</x:v>
      </x:c>
      <x:c r="O7" s="46" t="str">
        <x:v>Mild pleasant</x:v>
      </x:c>
      <x:c r="P7" s="46" t="n">
        <x:v>0.22</x:v>
      </x:c>
      <x:c r="Q7" s="46" t="n">
        <x:v>0.42</x:v>
      </x:c>
      <x:c r="R7" s="46" t="n">
        <x:v>0.71</x:v>
      </x:c>
      <x:c r="S7" s="46" t="n">
        <x:v>0.46</x:v>
      </x:c>
      <x:c r="T7" s="46" t="str">
        <x:v>normal_culinary_evidence</x:v>
      </x:c>
      <x:c r="U7" s="46" t="str">
        <x:v>ng/g estimated by internal standard; source values are means</x:v>
      </x:c>
      <x:c r="V7" s="46"/>
    </x:row>
    <x:row r="8" ht="26.399999618530273" hidden="0" customHeight="1">
      <x:c r="A8" s="46" t="str">
        <x:v>DFS-SAL-007</x:v>
      </x:c>
      <x:c r="B8" s="46" t="str">
        <x:v>fish:atlantic_salmon</x:v>
      </x:c>
      <x:c r="C8" s="46" t="str">
        <x:v>family:finfish</x:v>
      </x:c>
      <x:c r="D8" s="46" t="str">
        <x:v>fatty_fish_anchor</x:v>
      </x:c>
      <x:c r="E8" s="46" t="str">
        <x:v>Atlantic salmon fillet</x:v>
      </x:c>
      <x:c r="F8" s="46" t="str">
        <x:v>SRC-FISH-SALMON-COOK-001</x:v>
      </x:c>
      <x:c r="G8" s="46" t="str">
        <x:v>Aldehydes</x:v>
      </x:c>
      <x:c r="H8" s="46" t="str">
        <x:v>Propanal</x:v>
      </x:c>
      <x:c r="I8" s="46"/>
      <x:c r="J8" s="46" t="n">
        <x:v>7.67</x:v>
      </x:c>
      <x:c r="K8" s="46" t="str">
        <x:v>GC retention time + NIST 2005 mass-spectrum comparison</x:v>
      </x:c>
      <x:c r="L8" s="46"/>
      <x:c r="M8" s="46"/>
      <x:c r="N8" s="46" t="str">
        <x:v>partial_no_RI_no_numeric_match_factor</x:v>
      </x:c>
      <x:c r="O8" s="46" t="str">
        <x:v>Slightly fruity</x:v>
      </x:c>
      <x:c r="P8" s="46"/>
      <x:c r="Q8" s="46" t="n">
        <x:v>0.12</x:v>
      </x:c>
      <x:c r="R8" s="46"/>
      <x:c r="S8" s="46" t="n">
        <x:v>0.09</x:v>
      </x:c>
      <x:c r="T8" s="46" t="str">
        <x:v>normal_culinary_evidence</x:v>
      </x:c>
      <x:c r="U8" s="46" t="str">
        <x:v>ng/g estimated by internal standard; source values are means</x:v>
      </x:c>
      <x:c r="V8" s="46"/>
    </x:row>
    <x:row r="9" ht="26.399999618530273" hidden="0" customHeight="1">
      <x:c r="A9" s="46" t="str">
        <x:v>DFS-SAL-008</x:v>
      </x:c>
      <x:c r="B9" s="46" t="str">
        <x:v>fish:atlantic_salmon</x:v>
      </x:c>
      <x:c r="C9" s="46" t="str">
        <x:v>family:finfish</x:v>
      </x:c>
      <x:c r="D9" s="46" t="str">
        <x:v>fatty_fish_anchor</x:v>
      </x:c>
      <x:c r="E9" s="46" t="str">
        <x:v>Atlantic salmon fillet</x:v>
      </x:c>
      <x:c r="F9" s="46" t="str">
        <x:v>SRC-FISH-SALMON-COOK-001</x:v>
      </x:c>
      <x:c r="G9" s="46" t="str">
        <x:v>Aldehydes</x:v>
      </x:c>
      <x:c r="H9" s="46" t="str">
        <x:v>Butanal</x:v>
      </x:c>
      <x:c r="I9" s="46"/>
      <x:c r="J9" s="46" t="n">
        <x:v>8.94</x:v>
      </x:c>
      <x:c r="K9" s="46" t="str">
        <x:v>GC retention time + NIST 2005 mass-spectrum comparison</x:v>
      </x:c>
      <x:c r="L9" s="46"/>
      <x:c r="M9" s="46"/>
      <x:c r="N9" s="46" t="str">
        <x:v>partial_no_RI_no_numeric_match_factor</x:v>
      </x:c>
      <x:c r="O9" s="46" t="str">
        <x:v>Pungent</x:v>
      </x:c>
      <x:c r="P9" s="46" t="n">
        <x:v>0.31</x:v>
      </x:c>
      <x:c r="Q9" s="46"/>
      <x:c r="R9" s="46"/>
      <x:c r="S9" s="46" t="n">
        <x:v>0.05</x:v>
      </x:c>
      <x:c r="T9" s="46" t="str">
        <x:v>normal_culinary_evidence</x:v>
      </x:c>
      <x:c r="U9" s="46" t="str">
        <x:v>ng/g estimated by internal standard; source values are means</x:v>
      </x:c>
      <x:c r="V9" s="46"/>
    </x:row>
    <x:row r="10" ht="26.399999618530273" hidden="0" customHeight="1">
      <x:c r="A10" s="46" t="str">
        <x:v>DFS-SAL-009</x:v>
      </x:c>
      <x:c r="B10" s="46" t="str">
        <x:v>fish:atlantic_salmon</x:v>
      </x:c>
      <x:c r="C10" s="46" t="str">
        <x:v>family:finfish</x:v>
      </x:c>
      <x:c r="D10" s="46" t="str">
        <x:v>fatty_fish_anchor</x:v>
      </x:c>
      <x:c r="E10" s="46" t="str">
        <x:v>Atlantic salmon fillet</x:v>
      </x:c>
      <x:c r="F10" s="46" t="str">
        <x:v>SRC-FISH-SALMON-COOK-001</x:v>
      </x:c>
      <x:c r="G10" s="46" t="str">
        <x:v>Aldehydes</x:v>
      </x:c>
      <x:c r="H10" s="46" t="str">
        <x:v>Pentanal</x:v>
      </x:c>
      <x:c r="I10" s="46"/>
      <x:c r="J10" s="46" t="n">
        <x:v>10.89</x:v>
      </x:c>
      <x:c r="K10" s="46" t="str">
        <x:v>GC retention time + NIST 2005 mass-spectrum comparison</x:v>
      </x:c>
      <x:c r="L10" s="46"/>
      <x:c r="M10" s="46"/>
      <x:c r="N10" s="46" t="str">
        <x:v>partial_no_RI_no_numeric_match_factor</x:v>
      </x:c>
      <x:c r="O10" s="46" t="str">
        <x:v>Strong, acrid, and pungent</x:v>
      </x:c>
      <x:c r="P10" s="46"/>
      <x:c r="Q10" s="46"/>
      <x:c r="R10" s="46"/>
      <x:c r="S10" s="46" t="n">
        <x:v>0.08</x:v>
      </x:c>
      <x:c r="T10" s="46" t="str">
        <x:v>normal_culinary_evidence</x:v>
      </x:c>
      <x:c r="U10" s="46" t="str">
        <x:v>ng/g estimated by internal standard; source values are means</x:v>
      </x:c>
      <x:c r="V10" s="46"/>
    </x:row>
    <x:row r="11" ht="26.399999618530273" hidden="0" customHeight="1">
      <x:c r="A11" s="46" t="str">
        <x:v>DFS-SAL-010</x:v>
      </x:c>
      <x:c r="B11" s="46" t="str">
        <x:v>fish:atlantic_salmon</x:v>
      </x:c>
      <x:c r="C11" s="46" t="str">
        <x:v>family:finfish</x:v>
      </x:c>
      <x:c r="D11" s="46" t="str">
        <x:v>fatty_fish_anchor</x:v>
      </x:c>
      <x:c r="E11" s="46" t="str">
        <x:v>Atlantic salmon fillet</x:v>
      </x:c>
      <x:c r="F11" s="46" t="str">
        <x:v>SRC-FISH-SALMON-COOK-001</x:v>
      </x:c>
      <x:c r="G11" s="46" t="str">
        <x:v>Aldehydes</x:v>
      </x:c>
      <x:c r="H11" s="46" t="str">
        <x:v>3-Methylbutanal</x:v>
      </x:c>
      <x:c r="I11" s="46"/>
      <x:c r="J11" s="46" t="n">
        <x:v>10.91</x:v>
      </x:c>
      <x:c r="K11" s="46" t="str">
        <x:v>GC retention time + NIST 2005 mass-spectrum comparison</x:v>
      </x:c>
      <x:c r="L11" s="46"/>
      <x:c r="M11" s="46"/>
      <x:c r="N11" s="46" t="str">
        <x:v>partial_no_RI_no_numeric_match_factor</x:v>
      </x:c>
      <x:c r="O11" s="46" t="str">
        <x:v>Peach and fatty</x:v>
      </x:c>
      <x:c r="P11" s="46" t="n">
        <x:v>0.09</x:v>
      </x:c>
      <x:c r="Q11" s="46"/>
      <x:c r="R11" s="46"/>
      <x:c r="S11" s="46"/>
      <x:c r="T11" s="46" t="str">
        <x:v>normal_culinary_evidence</x:v>
      </x:c>
      <x:c r="U11" s="46" t="str">
        <x:v>ng/g estimated by internal standard; source values are means</x:v>
      </x:c>
      <x:c r="V11" s="46"/>
    </x:row>
    <x:row r="12" ht="26.399999618530273" hidden="0" customHeight="1">
      <x:c r="A12" s="46" t="str">
        <x:v>DFS-SAL-011</x:v>
      </x:c>
      <x:c r="B12" s="46" t="str">
        <x:v>fish:atlantic_salmon</x:v>
      </x:c>
      <x:c r="C12" s="46" t="str">
        <x:v>family:finfish</x:v>
      </x:c>
      <x:c r="D12" s="46" t="str">
        <x:v>fatty_fish_anchor</x:v>
      </x:c>
      <x:c r="E12" s="46" t="str">
        <x:v>Atlantic salmon fillet</x:v>
      </x:c>
      <x:c r="F12" s="46" t="str">
        <x:v>SRC-FISH-SALMON-COOK-001</x:v>
      </x:c>
      <x:c r="G12" s="46" t="str">
        <x:v>Aldehydes</x:v>
      </x:c>
      <x:c r="H12" s="46" t="str">
        <x:v>Hexanal</x:v>
      </x:c>
      <x:c r="I12" s="46"/>
      <x:c r="J12" s="46" t="n">
        <x:v>12.97</x:v>
      </x:c>
      <x:c r="K12" s="46" t="str">
        <x:v>GC retention time + NIST 2005 mass-spectrum comparison</x:v>
      </x:c>
      <x:c r="L12" s="46"/>
      <x:c r="M12" s="46"/>
      <x:c r="N12" s="46" t="str">
        <x:v>partial_no_RI_no_numeric_match_factor</x:v>
      </x:c>
      <x:c r="O12" s="46" t="str">
        <x:v>Oily green</x:v>
      </x:c>
      <x:c r="P12" s="46" t="n">
        <x:v>0.56</x:v>
      </x:c>
      <x:c r="Q12" s="46" t="n">
        <x:v>0.65</x:v>
      </x:c>
      <x:c r="R12" s="46"/>
      <x:c r="S12" s="46" t="n">
        <x:v>0.75</x:v>
      </x:c>
      <x:c r="T12" s="46" t="str">
        <x:v>normal_culinary_evidence</x:v>
      </x:c>
      <x:c r="U12" s="46" t="str">
        <x:v>ng/g estimated by internal standard; source values are means</x:v>
      </x:c>
      <x:c r="V12" s="46"/>
    </x:row>
    <x:row r="13" ht="26.399999618530273" hidden="0" customHeight="1">
      <x:c r="A13" s="46" t="str">
        <x:v>DFS-SAL-012</x:v>
      </x:c>
      <x:c r="B13" s="46" t="str">
        <x:v>fish:atlantic_salmon</x:v>
      </x:c>
      <x:c r="C13" s="46" t="str">
        <x:v>family:finfish</x:v>
      </x:c>
      <x:c r="D13" s="46" t="str">
        <x:v>fatty_fish_anchor</x:v>
      </x:c>
      <x:c r="E13" s="46" t="str">
        <x:v>Atlantic salmon fillet</x:v>
      </x:c>
      <x:c r="F13" s="46" t="str">
        <x:v>SRC-FISH-SALMON-COOK-001</x:v>
      </x:c>
      <x:c r="G13" s="46" t="str">
        <x:v>Aldehydes</x:v>
      </x:c>
      <x:c r="H13" s="46" t="str">
        <x:v>Heptanal</x:v>
      </x:c>
      <x:c r="I13" s="46"/>
      <x:c r="J13" s="46" t="n">
        <x:v>14.97</x:v>
      </x:c>
      <x:c r="K13" s="46" t="str">
        <x:v>GC retention time + NIST 2005 mass-spectrum comparison</x:v>
      </x:c>
      <x:c r="L13" s="46"/>
      <x:c r="M13" s="46"/>
      <x:c r="N13" s="46" t="str">
        <x:v>partial_no_RI_no_numeric_match_factor</x:v>
      </x:c>
      <x:c r="O13" s="46" t="str">
        <x:v>Pervasive fruity and oily greasy</x:v>
      </x:c>
      <x:c r="P13" s="46" t="n">
        <x:v>0.13</x:v>
      </x:c>
      <x:c r="Q13" s="46" t="n">
        <x:v>0.07</x:v>
      </x:c>
      <x:c r="R13" s="46"/>
      <x:c r="S13" s="46" t="n">
        <x:v>0.1</x:v>
      </x:c>
      <x:c r="T13" s="46" t="str">
        <x:v>normal_culinary_evidence</x:v>
      </x:c>
      <x:c r="U13" s="46" t="str">
        <x:v>ng/g estimated by internal standard; source values are means</x:v>
      </x:c>
      <x:c r="V13" s="46"/>
    </x:row>
    <x:row r="14" ht="26.399999618530273" hidden="0" customHeight="1">
      <x:c r="A14" s="46" t="str">
        <x:v>DFS-SAL-013</x:v>
      </x:c>
      <x:c r="B14" s="46" t="str">
        <x:v>fish:atlantic_salmon</x:v>
      </x:c>
      <x:c r="C14" s="46" t="str">
        <x:v>family:finfish</x:v>
      </x:c>
      <x:c r="D14" s="46" t="str">
        <x:v>fatty_fish_anchor</x:v>
      </x:c>
      <x:c r="E14" s="46" t="str">
        <x:v>Atlantic salmon fillet</x:v>
      </x:c>
      <x:c r="F14" s="46" t="str">
        <x:v>SRC-FISH-SALMON-COOK-001</x:v>
      </x:c>
      <x:c r="G14" s="46" t="str">
        <x:v>Aldehydes</x:v>
      </x:c>
      <x:c r="H14" s="46" t="str">
        <x:v>(E)-2-Octenal</x:v>
      </x:c>
      <x:c r="I14" s="46"/>
      <x:c r="J14" s="46" t="n">
        <x:v>15.48</x:v>
      </x:c>
      <x:c r="K14" s="46" t="str">
        <x:v>GC retention time + NIST 2005 mass-spectrum comparison</x:v>
      </x:c>
      <x:c r="L14" s="46"/>
      <x:c r="M14" s="46"/>
      <x:c r="N14" s="46" t="str">
        <x:v>partial_no_RI_no_numeric_match_factor</x:v>
      </x:c>
      <x:c r="O14" s="46" t="str">
        <x:v>Distinctive green and leafy</x:v>
      </x:c>
      <x:c r="P14" s="46"/>
      <x:c r="Q14" s="46"/>
      <x:c r="R14" s="46"/>
      <x:c r="S14" s="46" t="n">
        <x:v>0.07</x:v>
      </x:c>
      <x:c r="T14" s="46" t="str">
        <x:v>normal_culinary_evidence</x:v>
      </x:c>
      <x:c r="U14" s="46" t="str">
        <x:v>ng/g estimated by internal standard; source values are means</x:v>
      </x:c>
      <x:c r="V14" s="46"/>
    </x:row>
    <x:row r="15" ht="26.399999618530273" hidden="0" customHeight="1">
      <x:c r="A15" s="46" t="str">
        <x:v>DFS-SAL-014</x:v>
      </x:c>
      <x:c r="B15" s="46" t="str">
        <x:v>fish:atlantic_salmon</x:v>
      </x:c>
      <x:c r="C15" s="46" t="str">
        <x:v>family:finfish</x:v>
      </x:c>
      <x:c r="D15" s="46" t="str">
        <x:v>fatty_fish_anchor</x:v>
      </x:c>
      <x:c r="E15" s="46" t="str">
        <x:v>Atlantic salmon fillet</x:v>
      </x:c>
      <x:c r="F15" s="46" t="str">
        <x:v>SRC-FISH-SALMON-COOK-001</x:v>
      </x:c>
      <x:c r="G15" s="46" t="str">
        <x:v>Aldehydes</x:v>
      </x:c>
      <x:c r="H15" s="46" t="str">
        <x:v>Octanal</x:v>
      </x:c>
      <x:c r="I15" s="46"/>
      <x:c r="J15" s="46" t="n">
        <x:v>17.1</x:v>
      </x:c>
      <x:c r="K15" s="46" t="str">
        <x:v>GC retention time + NIST 2005 mass-spectrum comparison</x:v>
      </x:c>
      <x:c r="L15" s="46"/>
      <x:c r="M15" s="46"/>
      <x:c r="N15" s="46" t="str">
        <x:v>partial_no_RI_no_numeric_match_factor</x:v>
      </x:c>
      <x:c r="O15" s="46" t="str">
        <x:v>Fruit-like</x:v>
      </x:c>
      <x:c r="P15" s="46" t="n">
        <x:v>0.13</x:v>
      </x:c>
      <x:c r="Q15" s="46" t="n">
        <x:v>0.09</x:v>
      </x:c>
      <x:c r="R15" s="46" t="n">
        <x:v>0.09</x:v>
      </x:c>
      <x:c r="S15" s="46" t="n">
        <x:v>0.23</x:v>
      </x:c>
      <x:c r="T15" s="46" t="str">
        <x:v>normal_culinary_evidence</x:v>
      </x:c>
      <x:c r="U15" s="46" t="str">
        <x:v>ng/g estimated by internal standard; source values are means</x:v>
      </x:c>
      <x:c r="V15" s="46"/>
    </x:row>
    <x:row r="16" ht="26.399999618530273" hidden="0" customHeight="1">
      <x:c r="A16" s="46" t="str">
        <x:v>DFS-SAL-015</x:v>
      </x:c>
      <x:c r="B16" s="46" t="str">
        <x:v>fish:atlantic_salmon</x:v>
      </x:c>
      <x:c r="C16" s="46" t="str">
        <x:v>family:finfish</x:v>
      </x:c>
      <x:c r="D16" s="46" t="str">
        <x:v>fatty_fish_anchor</x:v>
      </x:c>
      <x:c r="E16" s="46" t="str">
        <x:v>Atlantic salmon fillet</x:v>
      </x:c>
      <x:c r="F16" s="46" t="str">
        <x:v>SRC-FISH-SALMON-COOK-001</x:v>
      </x:c>
      <x:c r="G16" s="46" t="str">
        <x:v>Aldehydes</x:v>
      </x:c>
      <x:c r="H16" s="46" t="str">
        <x:v>(E)-2-Heptenal</x:v>
      </x:c>
      <x:c r="I16" s="46"/>
      <x:c r="J16" s="46" t="n">
        <x:v>17.87</x:v>
      </x:c>
      <x:c r="K16" s="46" t="str">
        <x:v>GC retention time + NIST 2005 mass-spectrum comparison</x:v>
      </x:c>
      <x:c r="L16" s="46"/>
      <x:c r="M16" s="46"/>
      <x:c r="N16" s="46" t="str">
        <x:v>partial_no_RI_no_numeric_match_factor</x:v>
      </x:c>
      <x:c r="O16" s="46" t="str">
        <x:v>Pungent green</x:v>
      </x:c>
      <x:c r="P16" s="46" t="n">
        <x:v>0.06</x:v>
      </x:c>
      <x:c r="Q16" s="46"/>
      <x:c r="R16" s="46" t="n">
        <x:v>0.17</x:v>
      </x:c>
      <x:c r="S16" s="46"/>
      <x:c r="T16" s="46" t="str">
        <x:v>normal_culinary_evidence</x:v>
      </x:c>
      <x:c r="U16" s="46" t="str">
        <x:v>ng/g estimated by internal standard; source values are means</x:v>
      </x:c>
      <x:c r="V16" s="46"/>
    </x:row>
    <x:row r="17" ht="26.399999618530273" hidden="0" customHeight="1">
      <x:c r="A17" s="46" t="str">
        <x:v>DFS-SAL-016</x:v>
      </x:c>
      <x:c r="B17" s="46" t="str">
        <x:v>fish:atlantic_salmon</x:v>
      </x:c>
      <x:c r="C17" s="46" t="str">
        <x:v>family:finfish</x:v>
      </x:c>
      <x:c r="D17" s="46" t="str">
        <x:v>fatty_fish_anchor</x:v>
      </x:c>
      <x:c r="E17" s="46" t="str">
        <x:v>Atlantic salmon fillet</x:v>
      </x:c>
      <x:c r="F17" s="46" t="str">
        <x:v>SRC-FISH-SALMON-COOK-001</x:v>
      </x:c>
      <x:c r="G17" s="46" t="str">
        <x:v>Aldehydes</x:v>
      </x:c>
      <x:c r="H17" s="46" t="str">
        <x:v>Nonanal</x:v>
      </x:c>
      <x:c r="I17" s="46"/>
      <x:c r="J17" s="46" t="n">
        <x:v>18.95</x:v>
      </x:c>
      <x:c r="K17" s="46" t="str">
        <x:v>GC retention time + NIST 2005 mass-spectrum comparison</x:v>
      </x:c>
      <x:c r="L17" s="46"/>
      <x:c r="M17" s="46"/>
      <x:c r="N17" s="46" t="str">
        <x:v>partial_no_RI_no_numeric_match_factor</x:v>
      </x:c>
      <x:c r="O17" s="46" t="str">
        <x:v>Rose-orange</x:v>
      </x:c>
      <x:c r="P17" s="46" t="n">
        <x:v>0.33</x:v>
      </x:c>
      <x:c r="Q17" s="46" t="n">
        <x:v>0.22</x:v>
      </x:c>
      <x:c r="R17" s="46" t="n">
        <x:v>0.47</x:v>
      </x:c>
      <x:c r="S17" s="46" t="n">
        <x:v>0.56</x:v>
      </x:c>
      <x:c r="T17" s="46" t="str">
        <x:v>normal_culinary_evidence</x:v>
      </x:c>
      <x:c r="U17" s="46" t="str">
        <x:v>ng/g estimated by internal standard; source values are means</x:v>
      </x:c>
      <x:c r="V17" s="46"/>
    </x:row>
    <x:row r="18" ht="26.399999618530273" hidden="0" customHeight="1">
      <x:c r="A18" s="46" t="str">
        <x:v>DFS-SAL-017</x:v>
      </x:c>
      <x:c r="B18" s="46" t="str">
        <x:v>fish:atlantic_salmon</x:v>
      </x:c>
      <x:c r="C18" s="46" t="str">
        <x:v>family:finfish</x:v>
      </x:c>
      <x:c r="D18" s="46" t="str">
        <x:v>fatty_fish_anchor</x:v>
      </x:c>
      <x:c r="E18" s="46" t="str">
        <x:v>Atlantic salmon fillet</x:v>
      </x:c>
      <x:c r="F18" s="46" t="str">
        <x:v>SRC-FISH-SALMON-COOK-001</x:v>
      </x:c>
      <x:c r="G18" s="46" t="str">
        <x:v>Aldehydes</x:v>
      </x:c>
      <x:c r="H18" s="46" t="str">
        <x:v>(E,E)-2,4-Heptadienal</x:v>
      </x:c>
      <x:c r="I18" s="46"/>
      <x:c r="J18" s="46" t="n">
        <x:v>20.22</x:v>
      </x:c>
      <x:c r="K18" s="46" t="str">
        <x:v>GC retention time + NIST 2005 mass-spectrum comparison</x:v>
      </x:c>
      <x:c r="L18" s="46"/>
      <x:c r="M18" s="46"/>
      <x:c r="N18" s="46" t="str">
        <x:v>partial_no_RI_no_numeric_match_factor</x:v>
      </x:c>
      <x:c r="O18" s="46" t="str">
        <x:v>Pungent cinnamon-like</x:v>
      </x:c>
      <x:c r="P18" s="46" t="n">
        <x:v>0.34</x:v>
      </x:c>
      <x:c r="Q18" s="46"/>
      <x:c r="R18" s="46"/>
      <x:c r="S18" s="46" t="n">
        <x:v>0.23</x:v>
      </x:c>
      <x:c r="T18" s="46" t="str">
        <x:v>normal_culinary_evidence</x:v>
      </x:c>
      <x:c r="U18" s="46" t="str">
        <x:v>ng/g estimated by internal standard; source values are means</x:v>
      </x:c>
      <x:c r="V18" s="46"/>
    </x:row>
    <x:row r="19" ht="26.399999618530273" hidden="0" customHeight="1">
      <x:c r="A19" s="46" t="str">
        <x:v>DFS-SAL-018</x:v>
      </x:c>
      <x:c r="B19" s="46" t="str">
        <x:v>fish:atlantic_salmon</x:v>
      </x:c>
      <x:c r="C19" s="46" t="str">
        <x:v>family:finfish</x:v>
      </x:c>
      <x:c r="D19" s="46" t="str">
        <x:v>fatty_fish_anchor</x:v>
      </x:c>
      <x:c r="E19" s="46" t="str">
        <x:v>Atlantic salmon fillet</x:v>
      </x:c>
      <x:c r="F19" s="46" t="str">
        <x:v>SRC-FISH-SALMON-COOK-001</x:v>
      </x:c>
      <x:c r="G19" s="46" t="str">
        <x:v>Aldehydes</x:v>
      </x:c>
      <x:c r="H19" s="46" t="str">
        <x:v>Undecanal</x:v>
      </x:c>
      <x:c r="I19" s="46"/>
      <x:c r="J19" s="46" t="n">
        <x:v>20.77</x:v>
      </x:c>
      <x:c r="K19" s="46" t="str">
        <x:v>GC retention time + NIST 2005 mass-spectrum comparison</x:v>
      </x:c>
      <x:c r="L19" s="46"/>
      <x:c r="M19" s="46"/>
      <x:c r="N19" s="46" t="str">
        <x:v>partial_no_RI_no_numeric_match_factor</x:v>
      </x:c>
      <x:c r="O19" s="46" t="str">
        <x:v>Citrus and waxy-floral</x:v>
      </x:c>
      <x:c r="P19" s="46" t="n">
        <x:v>0.11</x:v>
      </x:c>
      <x:c r="Q19" s="46"/>
      <x:c r="R19" s="46"/>
      <x:c r="S19" s="46" t="n">
        <x:v>0.12</x:v>
      </x:c>
      <x:c r="T19" s="46" t="str">
        <x:v>normal_culinary_evidence</x:v>
      </x:c>
      <x:c r="U19" s="46" t="str">
        <x:v>ng/g estimated by internal standard; source values are means</x:v>
      </x:c>
      <x:c r="V19" s="46"/>
    </x:row>
    <x:row r="20" ht="26.399999618530273" hidden="0" customHeight="1">
      <x:c r="A20" s="46" t="str">
        <x:v>DFS-SAL-019</x:v>
      </x:c>
      <x:c r="B20" s="46" t="str">
        <x:v>fish:atlantic_salmon</x:v>
      </x:c>
      <x:c r="C20" s="46" t="str">
        <x:v>family:finfish</x:v>
      </x:c>
      <x:c r="D20" s="46" t="str">
        <x:v>fatty_fish_anchor</x:v>
      </x:c>
      <x:c r="E20" s="46" t="str">
        <x:v>Atlantic salmon fillet</x:v>
      </x:c>
      <x:c r="F20" s="46" t="str">
        <x:v>SRC-FISH-SALMON-COOK-001</x:v>
      </x:c>
      <x:c r="G20" s="46" t="str">
        <x:v>Aldehydes</x:v>
      </x:c>
      <x:c r="H20" s="46" t="str">
        <x:v>Benzaldehyde</x:v>
      </x:c>
      <x:c r="I20" s="46"/>
      <x:c r="J20" s="46" t="n">
        <x:v>21.39</x:v>
      </x:c>
      <x:c r="K20" s="46" t="str">
        <x:v>GC retention time + NIST 2005 mass-spectrum comparison</x:v>
      </x:c>
      <x:c r="L20" s="46"/>
      <x:c r="M20" s="46"/>
      <x:c r="N20" s="46" t="str">
        <x:v>partial_no_RI_no_numeric_match_factor</x:v>
      </x:c>
      <x:c r="O20" s="46" t="str">
        <x:v>Almond-like</x:v>
      </x:c>
      <x:c r="P20" s="46" t="n">
        <x:v>0.21</x:v>
      </x:c>
      <x:c r="Q20" s="46"/>
      <x:c r="R20" s="46"/>
      <x:c r="S20" s="46"/>
      <x:c r="T20" s="46" t="str">
        <x:v>normal_culinary_evidence</x:v>
      </x:c>
      <x:c r="U20" s="46" t="str">
        <x:v>ng/g estimated by internal standard; source values are means</x:v>
      </x:c>
      <x:c r="V20" s="46"/>
    </x:row>
    <x:row r="21" ht="26.399999618530273" hidden="0" customHeight="1">
      <x:c r="A21" s="46" t="str">
        <x:v>DFS-SAL-020</x:v>
      </x:c>
      <x:c r="B21" s="46" t="str">
        <x:v>fish:atlantic_salmon</x:v>
      </x:c>
      <x:c r="C21" s="46" t="str">
        <x:v>family:finfish</x:v>
      </x:c>
      <x:c r="D21" s="46" t="str">
        <x:v>fatty_fish_anchor</x:v>
      </x:c>
      <x:c r="E21" s="46" t="str">
        <x:v>Atlantic salmon fillet</x:v>
      </x:c>
      <x:c r="F21" s="46" t="str">
        <x:v>SRC-FISH-SALMON-COOK-001</x:v>
      </x:c>
      <x:c r="G21" s="46" t="str">
        <x:v>Aldehydes</x:v>
      </x:c>
      <x:c r="H21" s="46" t="str">
        <x:v>(E,E)-2,4-Decadienal</x:v>
      </x:c>
      <x:c r="I21" s="46"/>
      <x:c r="J21" s="46" t="n">
        <x:v>22.95</x:v>
      </x:c>
      <x:c r="K21" s="46" t="str">
        <x:v>GC retention time + NIST 2005 mass-spectrum comparison</x:v>
      </x:c>
      <x:c r="L21" s="46"/>
      <x:c r="M21" s="46"/>
      <x:c r="N21" s="46" t="str">
        <x:v>partial_no_RI_no_numeric_match_factor</x:v>
      </x:c>
      <x:c r="O21" s="46" t="str">
        <x:v>Orange-like</x:v>
      </x:c>
      <x:c r="P21" s="46"/>
      <x:c r="Q21" s="46"/>
      <x:c r="R21" s="46"/>
      <x:c r="S21" s="46" t="n">
        <x:v>1.75</x:v>
      </x:c>
      <x:c r="T21" s="46" t="str">
        <x:v>normal_culinary_evidence</x:v>
      </x:c>
      <x:c r="U21" s="46" t="str">
        <x:v>ng/g estimated by internal standard; source values are means</x:v>
      </x:c>
      <x:c r="V21" s="46"/>
    </x:row>
    <x:row r="22" ht="26.399999618530273" hidden="0" customHeight="1">
      <x:c r="A22" s="46" t="str">
        <x:v>DFS-SAL-021</x:v>
      </x:c>
      <x:c r="B22" s="46" t="str">
        <x:v>fish:atlantic_salmon</x:v>
      </x:c>
      <x:c r="C22" s="46" t="str">
        <x:v>family:finfish</x:v>
      </x:c>
      <x:c r="D22" s="46" t="str">
        <x:v>fatty_fish_anchor</x:v>
      </x:c>
      <x:c r="E22" s="46" t="str">
        <x:v>Atlantic salmon fillet</x:v>
      </x:c>
      <x:c r="F22" s="46" t="str">
        <x:v>SRC-FISH-SALMON-COOK-001</x:v>
      </x:c>
      <x:c r="G22" s="46" t="str">
        <x:v>Aldehydes</x:v>
      </x:c>
      <x:c r="H22" s="46" t="str">
        <x:v>2,4-Decadienal</x:v>
      </x:c>
      <x:c r="I22" s="46"/>
      <x:c r="J22" s="46" t="n">
        <x:v>25.41</x:v>
      </x:c>
      <x:c r="K22" s="46" t="str">
        <x:v>GC retention time + NIST 2005 mass-spectrum comparison</x:v>
      </x:c>
      <x:c r="L22" s="46"/>
      <x:c r="M22" s="46"/>
      <x:c r="N22" s="46" t="str">
        <x:v>partial_no_RI_no_numeric_match_factor</x:v>
      </x:c>
      <x:c r="O22" s="46" t="str">
        <x:v>Citrus, orange, or grapefruit</x:v>
      </x:c>
      <x:c r="P22" s="46" t="n">
        <x:v>0.5</x:v>
      </x:c>
      <x:c r="Q22" s="46"/>
      <x:c r="R22" s="46"/>
      <x:c r="S22" s="46" t="n">
        <x:v>0.92</x:v>
      </x:c>
      <x:c r="T22" s="46" t="str">
        <x:v>normal_culinary_evidence</x:v>
      </x:c>
      <x:c r="U22" s="46" t="str">
        <x:v>ng/g estimated by internal standard; source values are means</x:v>
      </x:c>
      <x:c r="V22" s="46"/>
    </x:row>
    <x:row r="23" ht="26.399999618530273" hidden="0" customHeight="1">
      <x:c r="A23" s="46" t="str">
        <x:v>DFS-SAL-022</x:v>
      </x:c>
      <x:c r="B23" s="46" t="str">
        <x:v>fish:atlantic_salmon</x:v>
      </x:c>
      <x:c r="C23" s="46" t="str">
        <x:v>family:finfish</x:v>
      </x:c>
      <x:c r="D23" s="46" t="str">
        <x:v>fatty_fish_anchor</x:v>
      </x:c>
      <x:c r="E23" s="46" t="str">
        <x:v>Atlantic salmon fillet</x:v>
      </x:c>
      <x:c r="F23" s="46" t="str">
        <x:v>SRC-FISH-SALMON-COOK-001</x:v>
      </x:c>
      <x:c r="G23" s="46" t="str">
        <x:v>Alkanes</x:v>
      </x:c>
      <x:c r="H23" s="46" t="str">
        <x:v>Pentane</x:v>
      </x:c>
      <x:c r="I23" s="46"/>
      <x:c r="J23" s="46" t="n">
        <x:v>5.99</x:v>
      </x:c>
      <x:c r="K23" s="46" t="str">
        <x:v>GC retention time + NIST 2005 mass-spectrum comparison</x:v>
      </x:c>
      <x:c r="L23" s="46"/>
      <x:c r="M23" s="46"/>
      <x:c r="N23" s="46" t="str">
        <x:v>partial_no_RI_no_numeric_match_factor</x:v>
      </x:c>
      <x:c r="O23" s="46" t="str">
        <x:v>Mild gasoline-like</x:v>
      </x:c>
      <x:c r="P23" s="46" t="n">
        <x:v>0.37</x:v>
      </x:c>
      <x:c r="Q23" s="46"/>
      <x:c r="R23" s="46" t="n">
        <x:v>0.07</x:v>
      </x:c>
      <x:c r="S23" s="46" t="n">
        <x:v>0.12</x:v>
      </x:c>
      <x:c r="T23" s="46" t="str">
        <x:v>normal_culinary_evidence</x:v>
      </x:c>
      <x:c r="U23" s="46" t="str">
        <x:v>ng/g estimated by internal standard; source values are means</x:v>
      </x:c>
      <x:c r="V23" s="46"/>
    </x:row>
    <x:row r="24" ht="26.399999618530273" hidden="0" customHeight="1">
      <x:c r="A24" s="46" t="str">
        <x:v>DFS-SAL-023</x:v>
      </x:c>
      <x:c r="B24" s="46" t="str">
        <x:v>fish:atlantic_salmon</x:v>
      </x:c>
      <x:c r="C24" s="46" t="str">
        <x:v>family:finfish</x:v>
      </x:c>
      <x:c r="D24" s="46" t="str">
        <x:v>fatty_fish_anchor</x:v>
      </x:c>
      <x:c r="E24" s="46" t="str">
        <x:v>Atlantic salmon fillet</x:v>
      </x:c>
      <x:c r="F24" s="46" t="str">
        <x:v>SRC-FISH-SALMON-COOK-001</x:v>
      </x:c>
      <x:c r="G24" s="46" t="str">
        <x:v>Alkanes</x:v>
      </x:c>
      <x:c r="H24" s="46" t="str">
        <x:v>Octane</x:v>
      </x:c>
      <x:c r="I24" s="46"/>
      <x:c r="J24" s="46" t="n">
        <x:v>7.88</x:v>
      </x:c>
      <x:c r="K24" s="46" t="str">
        <x:v>GC retention time + NIST 2005 mass-spectrum comparison</x:v>
      </x:c>
      <x:c r="L24" s="46"/>
      <x:c r="M24" s="46"/>
      <x:c r="N24" s="46" t="str">
        <x:v>partial_no_RI_no_numeric_match_factor</x:v>
      </x:c>
      <x:c r="O24" s="46" t="str">
        <x:v>Gasoline-like</x:v>
      </x:c>
      <x:c r="P24" s="46" t="n">
        <x:v>0.24</x:v>
      </x:c>
      <x:c r="Q24" s="46"/>
      <x:c r="R24" s="46" t="n">
        <x:v>0.04</x:v>
      </x:c>
      <x:c r="S24" s="46" t="n">
        <x:v>0.16</x:v>
      </x:c>
      <x:c r="T24" s="46" t="str">
        <x:v>normal_culinary_evidence</x:v>
      </x:c>
      <x:c r="U24" s="46" t="str">
        <x:v>ng/g estimated by internal standard; source values are means</x:v>
      </x:c>
      <x:c r="V24" s="46"/>
    </x:row>
    <x:row r="25" ht="26.399999618530273" hidden="0" customHeight="1">
      <x:c r="A25" s="46" t="str">
        <x:v>DFS-SAL-024</x:v>
      </x:c>
      <x:c r="B25" s="46" t="str">
        <x:v>fish:atlantic_salmon</x:v>
      </x:c>
      <x:c r="C25" s="46" t="str">
        <x:v>family:finfish</x:v>
      </x:c>
      <x:c r="D25" s="46" t="str">
        <x:v>fatty_fish_anchor</x:v>
      </x:c>
      <x:c r="E25" s="46" t="str">
        <x:v>Atlantic salmon fillet</x:v>
      </x:c>
      <x:c r="F25" s="46" t="str">
        <x:v>SRC-FISH-SALMON-COOK-001</x:v>
      </x:c>
      <x:c r="G25" s="46" t="str">
        <x:v>Alkanes</x:v>
      </x:c>
      <x:c r="H25" s="46" t="str">
        <x:v>Nonane</x:v>
      </x:c>
      <x:c r="I25" s="46"/>
      <x:c r="J25" s="46" t="n">
        <x:v>9.31</x:v>
      </x:c>
      <x:c r="K25" s="46" t="str">
        <x:v>GC retention time + NIST 2005 mass-spectrum comparison</x:v>
      </x:c>
      <x:c r="L25" s="46"/>
      <x:c r="M25" s="46"/>
      <x:c r="N25" s="46" t="str">
        <x:v>partial_no_RI_no_numeric_match_factor</x:v>
      </x:c>
      <x:c r="O25" s="46" t="str">
        <x:v>Gasoline-like</x:v>
      </x:c>
      <x:c r="P25" s="46" t="n">
        <x:v>0.07</x:v>
      </x:c>
      <x:c r="Q25" s="46"/>
      <x:c r="R25" s="46"/>
      <x:c r="S25" s="46"/>
      <x:c r="T25" s="46" t="str">
        <x:v>normal_culinary_evidence</x:v>
      </x:c>
      <x:c r="U25" s="46" t="str">
        <x:v>ng/g estimated by internal standard; source values are means</x:v>
      </x:c>
      <x:c r="V25" s="46"/>
    </x:row>
    <x:row r="26" ht="26.399999618530273" hidden="0" customHeight="1">
      <x:c r="A26" s="46" t="str">
        <x:v>DFS-SAL-025</x:v>
      </x:c>
      <x:c r="B26" s="46" t="str">
        <x:v>fish:atlantic_salmon</x:v>
      </x:c>
      <x:c r="C26" s="46" t="str">
        <x:v>family:finfish</x:v>
      </x:c>
      <x:c r="D26" s="46" t="str">
        <x:v>fatty_fish_anchor</x:v>
      </x:c>
      <x:c r="E26" s="46" t="str">
        <x:v>Atlantic salmon fillet</x:v>
      </x:c>
      <x:c r="F26" s="46" t="str">
        <x:v>SRC-FISH-SALMON-COOK-001</x:v>
      </x:c>
      <x:c r="G26" s="46" t="str">
        <x:v>Alkanes</x:v>
      </x:c>
      <x:c r="H26" s="46" t="str">
        <x:v>Decane</x:v>
      </x:c>
      <x:c r="I26" s="46"/>
      <x:c r="J26" s="46" t="n">
        <x:v>11.24</x:v>
      </x:c>
      <x:c r="K26" s="46" t="str">
        <x:v>GC retention time + NIST 2005 mass-spectrum comparison</x:v>
      </x:c>
      <x:c r="L26" s="46"/>
      <x:c r="M26" s="46"/>
      <x:c r="N26" s="46" t="str">
        <x:v>partial_no_RI_no_numeric_match_factor</x:v>
      </x:c>
      <x:c r="O26" s="46" t="str">
        <x:v>Gasoline-like</x:v>
      </x:c>
      <x:c r="P26" s="46" t="n">
        <x:v>0.17</x:v>
      </x:c>
      <x:c r="Q26" s="46"/>
      <x:c r="R26" s="46"/>
      <x:c r="S26" s="46"/>
      <x:c r="T26" s="46" t="str">
        <x:v>normal_culinary_evidence</x:v>
      </x:c>
      <x:c r="U26" s="46" t="str">
        <x:v>ng/g estimated by internal standard; source values are means</x:v>
      </x:c>
      <x:c r="V26" s="46"/>
    </x:row>
    <x:row r="27" ht="26.399999618530273" hidden="0" customHeight="1">
      <x:c r="A27" s="46" t="str">
        <x:v>DFS-SAL-026</x:v>
      </x:c>
      <x:c r="B27" s="46" t="str">
        <x:v>fish:atlantic_salmon</x:v>
      </x:c>
      <x:c r="C27" s="46" t="str">
        <x:v>family:finfish</x:v>
      </x:c>
      <x:c r="D27" s="46" t="str">
        <x:v>fatty_fish_anchor</x:v>
      </x:c>
      <x:c r="E27" s="46" t="str">
        <x:v>Atlantic salmon fillet</x:v>
      </x:c>
      <x:c r="F27" s="46" t="str">
        <x:v>SRC-FISH-SALMON-COOK-001</x:v>
      </x:c>
      <x:c r="G27" s="46" t="str">
        <x:v>Alkanes</x:v>
      </x:c>
      <x:c r="H27" s="46" t="str">
        <x:v>Dodecane</x:v>
      </x:c>
      <x:c r="I27" s="46"/>
      <x:c r="J27" s="46" t="n">
        <x:v>14.98</x:v>
      </x:c>
      <x:c r="K27" s="46" t="str">
        <x:v>GC retention time + NIST 2005 mass-spectrum comparison</x:v>
      </x:c>
      <x:c r="L27" s="46"/>
      <x:c r="M27" s="46"/>
      <x:c r="N27" s="46" t="str">
        <x:v>partial_no_RI_no_numeric_match_factor</x:v>
      </x:c>
      <x:c r="O27" s="46" t="str">
        <x:v>Irritant</x:v>
      </x:c>
      <x:c r="P27" s="46"/>
      <x:c r="Q27" s="46"/>
      <x:c r="R27" s="46" t="n">
        <x:v>0.28</x:v>
      </x:c>
      <x:c r="S27" s="46"/>
      <x:c r="T27" s="46" t="str">
        <x:v>normal_culinary_evidence</x:v>
      </x:c>
      <x:c r="U27" s="46" t="str">
        <x:v>ng/g estimated by internal standard; source values are means</x:v>
      </x:c>
      <x:c r="V27" s="46"/>
    </x:row>
    <x:row r="28" ht="26.399999618530273" hidden="0" customHeight="1">
      <x:c r="A28" s="46" t="str">
        <x:v>DFS-SAL-027</x:v>
      </x:c>
      <x:c r="B28" s="46" t="str">
        <x:v>fish:atlantic_salmon</x:v>
      </x:c>
      <x:c r="C28" s="46" t="str">
        <x:v>family:finfish</x:v>
      </x:c>
      <x:c r="D28" s="46" t="str">
        <x:v>fatty_fish_anchor</x:v>
      </x:c>
      <x:c r="E28" s="46" t="str">
        <x:v>Atlantic salmon fillet</x:v>
      </x:c>
      <x:c r="F28" s="46" t="str">
        <x:v>SRC-FISH-SALMON-COOK-001</x:v>
      </x:c>
      <x:c r="G28" s="46" t="str">
        <x:v>Alkanes</x:v>
      </x:c>
      <x:c r="H28" s="46" t="str">
        <x:v>Eicosane</x:v>
      </x:c>
      <x:c r="I28" s="46"/>
      <x:c r="J28" s="46" t="n">
        <x:v>16.96</x:v>
      </x:c>
      <x:c r="K28" s="46" t="str">
        <x:v>GC retention time + NIST 2005 mass-spectrum comparison</x:v>
      </x:c>
      <x:c r="L28" s="46"/>
      <x:c r="M28" s="46"/>
      <x:c r="N28" s="46" t="str">
        <x:v>partial_no_RI_no_numeric_match_factor</x:v>
      </x:c>
      <x:c r="O28" s="46" t="str">
        <x:v>Odorless</x:v>
      </x:c>
      <x:c r="P28" s="46"/>
      <x:c r="Q28" s="46"/>
      <x:c r="R28" s="46" t="n">
        <x:v>0.16</x:v>
      </x:c>
      <x:c r="S28" s="46"/>
      <x:c r="T28" s="46" t="str">
        <x:v>normal_culinary_evidence</x:v>
      </x:c>
      <x:c r="U28" s="46" t="str">
        <x:v>ng/g estimated by internal standard; source values are means</x:v>
      </x:c>
      <x:c r="V28" s="46"/>
    </x:row>
    <x:row r="29" ht="26.399999618530273" hidden="0" customHeight="1">
      <x:c r="A29" s="46" t="str">
        <x:v>DFS-SAL-028</x:v>
      </x:c>
      <x:c r="B29" s="46" t="str">
        <x:v>fish:atlantic_salmon</x:v>
      </x:c>
      <x:c r="C29" s="46" t="str">
        <x:v>family:finfish</x:v>
      </x:c>
      <x:c r="D29" s="46" t="str">
        <x:v>fatty_fish_anchor</x:v>
      </x:c>
      <x:c r="E29" s="46" t="str">
        <x:v>Atlantic salmon fillet</x:v>
      </x:c>
      <x:c r="F29" s="46" t="str">
        <x:v>SRC-FISH-SALMON-COOK-001</x:v>
      </x:c>
      <x:c r="G29" s="46" t="str">
        <x:v>Alkanes</x:v>
      </x:c>
      <x:c r="H29" s="46" t="str">
        <x:v>Cycloheptane</x:v>
      </x:c>
      <x:c r="I29" s="46"/>
      <x:c r="J29" s="46" t="n">
        <x:v>18.91</x:v>
      </x:c>
      <x:c r="K29" s="46" t="str">
        <x:v>GC retention time + NIST 2005 mass-spectrum comparison</x:v>
      </x:c>
      <x:c r="L29" s="46"/>
      <x:c r="M29" s="46"/>
      <x:c r="N29" s="46" t="str">
        <x:v>partial_no_RI_no_numeric_match_factor</x:v>
      </x:c>
      <x:c r="O29" s="46" t="str">
        <x:v>Petroleum-like</x:v>
      </x:c>
      <x:c r="P29" s="46"/>
      <x:c r="Q29" s="46"/>
      <x:c r="R29" s="46"/>
      <x:c r="S29" s="46" t="n">
        <x:v>0.28</x:v>
      </x:c>
      <x:c r="T29" s="46" t="str">
        <x:v>normal_culinary_evidence</x:v>
      </x:c>
      <x:c r="U29" s="46" t="str">
        <x:v>ng/g estimated by internal standard; source values are means</x:v>
      </x:c>
      <x:c r="V29" s="46"/>
    </x:row>
    <x:row r="30" ht="26.399999618530273" hidden="0" customHeight="1">
      <x:c r="A30" s="46" t="str">
        <x:v>DFS-SAL-029</x:v>
      </x:c>
      <x:c r="B30" s="46" t="str">
        <x:v>fish:atlantic_salmon</x:v>
      </x:c>
      <x:c r="C30" s="46" t="str">
        <x:v>family:finfish</x:v>
      </x:c>
      <x:c r="D30" s="46" t="str">
        <x:v>fatty_fish_anchor</x:v>
      </x:c>
      <x:c r="E30" s="46" t="str">
        <x:v>Atlantic salmon fillet</x:v>
      </x:c>
      <x:c r="F30" s="46" t="str">
        <x:v>SRC-FISH-SALMON-COOK-001</x:v>
      </x:c>
      <x:c r="G30" s="46" t="str">
        <x:v>Alkanes</x:v>
      </x:c>
      <x:c r="H30" s="46" t="str">
        <x:v>Nonadecane</x:v>
      </x:c>
      <x:c r="I30" s="46"/>
      <x:c r="J30" s="46" t="n">
        <x:v>20.46</x:v>
      </x:c>
      <x:c r="K30" s="46" t="str">
        <x:v>GC retention time + NIST 2005 mass-spectrum comparison</x:v>
      </x:c>
      <x:c r="L30" s="46"/>
      <x:c r="M30" s="46"/>
      <x:c r="N30" s="46" t="str">
        <x:v>partial_no_RI_no_numeric_match_factor</x:v>
      </x:c>
      <x:c r="O30" s="46" t="str">
        <x:v>Fuel-like</x:v>
      </x:c>
      <x:c r="P30" s="46" t="n">
        <x:v>0.13</x:v>
      </x:c>
      <x:c r="Q30" s="46"/>
      <x:c r="R30" s="46" t="n">
        <x:v>0.71</x:v>
      </x:c>
      <x:c r="S30" s="46"/>
      <x:c r="T30" s="46" t="str">
        <x:v>normal_culinary_evidence</x:v>
      </x:c>
      <x:c r="U30" s="46" t="str">
        <x:v>ng/g estimated by internal standard; source values are means</x:v>
      </x:c>
      <x:c r="V30" s="46"/>
    </x:row>
    <x:row r="31" ht="26.399999618530273" hidden="0" customHeight="1">
      <x:c r="A31" s="46" t="str">
        <x:v>DFS-SAL-030</x:v>
      </x:c>
      <x:c r="B31" s="46" t="str">
        <x:v>fish:atlantic_salmon</x:v>
      </x:c>
      <x:c r="C31" s="46" t="str">
        <x:v>family:finfish</x:v>
      </x:c>
      <x:c r="D31" s="46" t="str">
        <x:v>fatty_fish_anchor</x:v>
      </x:c>
      <x:c r="E31" s="46" t="str">
        <x:v>Atlantic salmon fillet</x:v>
      </x:c>
      <x:c r="F31" s="46" t="str">
        <x:v>SRC-FISH-SALMON-COOK-001</x:v>
      </x:c>
      <x:c r="G31" s="46" t="str">
        <x:v>Alkanes</x:v>
      </x:c>
      <x:c r="H31" s="46" t="str">
        <x:v>Pentadecane</x:v>
      </x:c>
      <x:c r="I31" s="46"/>
      <x:c r="J31" s="46" t="n">
        <x:v>20.47</x:v>
      </x:c>
      <x:c r="K31" s="46" t="str">
        <x:v>GC retention time + NIST 2005 mass-spectrum comparison</x:v>
      </x:c>
      <x:c r="L31" s="46"/>
      <x:c r="M31" s="46"/>
      <x:c r="N31" s="46" t="str">
        <x:v>partial_no_RI_no_numeric_match_factor</x:v>
      </x:c>
      <x:c r="O31" s="46" t="str">
        <x:v>Fruit-like</x:v>
      </x:c>
      <x:c r="P31" s="46"/>
      <x:c r="Q31" s="46" t="n">
        <x:v>0.21</x:v>
      </x:c>
      <x:c r="R31" s="46" t="n">
        <x:v>1.69</x:v>
      </x:c>
      <x:c r="S31" s="46" t="n">
        <x:v>0.2</x:v>
      </x:c>
      <x:c r="T31" s="46" t="str">
        <x:v>normal_culinary_evidence</x:v>
      </x:c>
      <x:c r="U31" s="46" t="str">
        <x:v>ng/g estimated by internal standard; source values are means</x:v>
      </x:c>
      <x:c r="V31" s="46"/>
    </x:row>
    <x:row r="32" ht="26.399999618530273" hidden="0" customHeight="1">
      <x:c r="A32" s="46" t="str">
        <x:v>DFS-SAL-031</x:v>
      </x:c>
      <x:c r="B32" s="46" t="str">
        <x:v>fish:atlantic_salmon</x:v>
      </x:c>
      <x:c r="C32" s="46" t="str">
        <x:v>family:finfish</x:v>
      </x:c>
      <x:c r="D32" s="46" t="str">
        <x:v>fatty_fish_anchor</x:v>
      </x:c>
      <x:c r="E32" s="46" t="str">
        <x:v>Atlantic salmon fillet</x:v>
      </x:c>
      <x:c r="F32" s="46" t="str">
        <x:v>SRC-FISH-SALMON-COOK-001</x:v>
      </x:c>
      <x:c r="G32" s="46" t="str">
        <x:v>Alkanes</x:v>
      </x:c>
      <x:c r="H32" s="46" t="str">
        <x:v>Hexadecane</x:v>
      </x:c>
      <x:c r="I32" s="46"/>
      <x:c r="J32" s="46" t="n">
        <x:v>20.49</x:v>
      </x:c>
      <x:c r="K32" s="46" t="str">
        <x:v>GC retention time + NIST 2005 mass-spectrum comparison</x:v>
      </x:c>
      <x:c r="L32" s="46"/>
      <x:c r="M32" s="46"/>
      <x:c r="N32" s="46" t="str">
        <x:v>partial_no_RI_no_numeric_match_factor</x:v>
      </x:c>
      <x:c r="O32" s="46" t="str">
        <x:v>Gasoline-like and odorless</x:v>
      </x:c>
      <x:c r="P32" s="46"/>
      <x:c r="Q32" s="46"/>
      <x:c r="R32" s="46" t="n">
        <x:v>0.35</x:v>
      </x:c>
      <x:c r="S32" s="46"/>
      <x:c r="T32" s="46" t="str">
        <x:v>normal_culinary_evidence</x:v>
      </x:c>
      <x:c r="U32" s="46" t="str">
        <x:v>ng/g estimated by internal standard; source values are means</x:v>
      </x:c>
      <x:c r="V32" s="46"/>
    </x:row>
    <x:row r="33" ht="26.399999618530273" hidden="0" customHeight="1">
      <x:c r="A33" s="46" t="str">
        <x:v>DFS-SAL-032</x:v>
      </x:c>
      <x:c r="B33" s="46" t="str">
        <x:v>fish:atlantic_salmon</x:v>
      </x:c>
      <x:c r="C33" s="46" t="str">
        <x:v>family:finfish</x:v>
      </x:c>
      <x:c r="D33" s="46" t="str">
        <x:v>fatty_fish_anchor</x:v>
      </x:c>
      <x:c r="E33" s="46" t="str">
        <x:v>Atlantic salmon fillet</x:v>
      </x:c>
      <x:c r="F33" s="46" t="str">
        <x:v>SRC-FISH-SALMON-COOK-001</x:v>
      </x:c>
      <x:c r="G33" s="46" t="str">
        <x:v>Alkanes</x:v>
      </x:c>
      <x:c r="H33" s="46" t="str">
        <x:v>8-Methylheptadecane</x:v>
      </x:c>
      <x:c r="I33" s="46"/>
      <x:c r="J33" s="46" t="n">
        <x:v>20.5</x:v>
      </x:c>
      <x:c r="K33" s="46" t="str">
        <x:v>GC retention time + NIST 2005 mass-spectrum comparison</x:v>
      </x:c>
      <x:c r="L33" s="46"/>
      <x:c r="M33" s="46"/>
      <x:c r="N33" s="46" t="str">
        <x:v>partial_no_RI_no_numeric_match_factor</x:v>
      </x:c>
      <x:c r="O33" s="46"/>
      <x:c r="P33" s="46"/>
      <x:c r="Q33" s="46"/>
      <x:c r="R33" s="46"/>
      <x:c r="S33" s="46" t="n">
        <x:v>0.23</x:v>
      </x:c>
      <x:c r="T33" s="46" t="str">
        <x:v>normal_culinary_evidence</x:v>
      </x:c>
      <x:c r="U33" s="46" t="str">
        <x:v>ng/g estimated by internal standard; source values are means</x:v>
      </x:c>
      <x:c r="V33" s="46"/>
    </x:row>
    <x:row r="34" ht="26.399999618530273" hidden="0" customHeight="1">
      <x:c r="A34" s="46" t="str">
        <x:v>DFS-SAL-033</x:v>
      </x:c>
      <x:c r="B34" s="46" t="str">
        <x:v>fish:atlantic_salmon</x:v>
      </x:c>
      <x:c r="C34" s="46" t="str">
        <x:v>family:finfish</x:v>
      </x:c>
      <x:c r="D34" s="46" t="str">
        <x:v>fatty_fish_anchor</x:v>
      </x:c>
      <x:c r="E34" s="46" t="str">
        <x:v>Atlantic salmon fillet</x:v>
      </x:c>
      <x:c r="F34" s="46" t="str">
        <x:v>SRC-FISH-SALMON-COOK-001</x:v>
      </x:c>
      <x:c r="G34" s="46" t="str">
        <x:v>Alkanes</x:v>
      </x:c>
      <x:c r="H34" s="46" t="str">
        <x:v>4-Cyano-1-cyclohexane</x:v>
      </x:c>
      <x:c r="I34" s="46"/>
      <x:c r="J34" s="46" t="n">
        <x:v>22.29</x:v>
      </x:c>
      <x:c r="K34" s="46" t="str">
        <x:v>GC retention time + NIST 2005 mass-spectrum comparison</x:v>
      </x:c>
      <x:c r="L34" s="46"/>
      <x:c r="M34" s="46"/>
      <x:c r="N34" s="46" t="str">
        <x:v>partial_no_RI_no_numeric_match_factor</x:v>
      </x:c>
      <x:c r="O34" s="46"/>
      <x:c r="P34" s="46"/>
      <x:c r="Q34" s="46"/>
      <x:c r="R34" s="46" t="n">
        <x:v>0.52</x:v>
      </x:c>
      <x:c r="S34" s="46"/>
      <x:c r="T34" s="46" t="str">
        <x:v>normal_culinary_evidence</x:v>
      </x:c>
      <x:c r="U34" s="46" t="str">
        <x:v>ng/g estimated by internal standard; source values are means</x:v>
      </x:c>
      <x:c r="V34" s="46"/>
    </x:row>
    <x:row r="35" ht="26.399999618530273" hidden="0" customHeight="1">
      <x:c r="A35" s="46" t="str">
        <x:v>DFS-SAL-034</x:v>
      </x:c>
      <x:c r="B35" s="46" t="str">
        <x:v>fish:atlantic_salmon</x:v>
      </x:c>
      <x:c r="C35" s="46" t="str">
        <x:v>family:finfish</x:v>
      </x:c>
      <x:c r="D35" s="46" t="str">
        <x:v>fatty_fish_anchor</x:v>
      </x:c>
      <x:c r="E35" s="46" t="str">
        <x:v>Atlantic salmon fillet</x:v>
      </x:c>
      <x:c r="F35" s="46" t="str">
        <x:v>SRC-FISH-SALMON-COOK-001</x:v>
      </x:c>
      <x:c r="G35" s="46" t="str">
        <x:v>Aromatic hydrocarbon</x:v>
      </x:c>
      <x:c r="H35" s="46" t="str">
        <x:v>Toluene</x:v>
      </x:c>
      <x:c r="I35" s="46"/>
      <x:c r="J35" s="46" t="n">
        <x:v>12.23</x:v>
      </x:c>
      <x:c r="K35" s="46" t="str">
        <x:v>GC retention time + NIST 2005 mass-spectrum comparison</x:v>
      </x:c>
      <x:c r="L35" s="46"/>
      <x:c r="M35" s="46"/>
      <x:c r="N35" s="46" t="str">
        <x:v>partial_no_RI_no_numeric_match_factor</x:v>
      </x:c>
      <x:c r="O35" s="46" t="str">
        <x:v>Sweet, pungent, and benzene-like</x:v>
      </x:c>
      <x:c r="P35" s="46" t="n">
        <x:v>0.59</x:v>
      </x:c>
      <x:c r="Q35" s="46" t="n">
        <x:v>0.55</x:v>
      </x:c>
      <x:c r="R35" s="46" t="n">
        <x:v>0.36</x:v>
      </x:c>
      <x:c r="S35" s="46" t="n">
        <x:v>0.43</x:v>
      </x:c>
      <x:c r="T35" s="46" t="str">
        <x:v>normal_culinary_evidence</x:v>
      </x:c>
      <x:c r="U35" s="46" t="str">
        <x:v>ng/g estimated by internal standard; source values are means</x:v>
      </x:c>
      <x:c r="V35" s="46"/>
    </x:row>
    <x:row r="36" ht="26.399999618530273" hidden="0" customHeight="1">
      <x:c r="A36" s="46" t="str">
        <x:v>DFS-SAL-035</x:v>
      </x:c>
      <x:c r="B36" s="46" t="str">
        <x:v>fish:atlantic_salmon</x:v>
      </x:c>
      <x:c r="C36" s="46" t="str">
        <x:v>family:finfish</x:v>
      </x:c>
      <x:c r="D36" s="46" t="str">
        <x:v>fatty_fish_anchor</x:v>
      </x:c>
      <x:c r="E36" s="46" t="str">
        <x:v>Atlantic salmon fillet</x:v>
      </x:c>
      <x:c r="F36" s="46" t="str">
        <x:v>SRC-FISH-SALMON-COOK-001</x:v>
      </x:c>
      <x:c r="G36" s="46" t="str">
        <x:v>Esters</x:v>
      </x:c>
      <x:c r="H36" s="46" t="str">
        <x:v>Ethyl acetate</x:v>
      </x:c>
      <x:c r="I36" s="46"/>
      <x:c r="J36" s="46" t="n">
        <x:v>19.88</x:v>
      </x:c>
      <x:c r="K36" s="46" t="str">
        <x:v>GC retention time + NIST 2005 mass-spectrum comparison</x:v>
      </x:c>
      <x:c r="L36" s="46"/>
      <x:c r="M36" s="46"/>
      <x:c r="N36" s="46" t="str">
        <x:v>partial_no_RI_no_numeric_match_factor</x:v>
      </x:c>
      <x:c r="O36" s="46" t="str">
        <x:v>Pineapple, fruity, and sweet</x:v>
      </x:c>
      <x:c r="P36" s="46"/>
      <x:c r="Q36" s="46" t="n">
        <x:v>0.6</x:v>
      </x:c>
      <x:c r="R36" s="46" t="n">
        <x:v>0.18</x:v>
      </x:c>
      <x:c r="S36" s="46" t="n">
        <x:v>0.06</x:v>
      </x:c>
      <x:c r="T36" s="46" t="str">
        <x:v>normal_culinary_evidence</x:v>
      </x:c>
      <x:c r="U36" s="46" t="str">
        <x:v>ng/g estimated by internal standard; source values are means</x:v>
      </x:c>
      <x:c r="V36" s="46"/>
    </x:row>
    <x:row r="37" ht="26.399999618530273" hidden="0" customHeight="1">
      <x:c r="A37" s="46" t="str">
        <x:v>DFS-SAL-036</x:v>
      </x:c>
      <x:c r="B37" s="46" t="str">
        <x:v>fish:atlantic_salmon</x:v>
      </x:c>
      <x:c r="C37" s="46" t="str">
        <x:v>family:finfish</x:v>
      </x:c>
      <x:c r="D37" s="46" t="str">
        <x:v>fatty_fish_anchor</x:v>
      </x:c>
      <x:c r="E37" s="46" t="str">
        <x:v>Atlantic salmon fillet</x:v>
      </x:c>
      <x:c r="F37" s="46" t="str">
        <x:v>SRC-FISH-SALMON-COOK-001</x:v>
      </x:c>
      <x:c r="G37" s="46" t="str">
        <x:v>Ketones</x:v>
      </x:c>
      <x:c r="H37" s="46" t="str">
        <x:v>2-Pentanone</x:v>
      </x:c>
      <x:c r="I37" s="46"/>
      <x:c r="J37" s="46" t="n">
        <x:v>10.75</x:v>
      </x:c>
      <x:c r="K37" s="46" t="str">
        <x:v>GC retention time + NIST 2005 mass-spectrum comparison</x:v>
      </x:c>
      <x:c r="L37" s="46"/>
      <x:c r="M37" s="46"/>
      <x:c r="N37" s="46" t="str">
        <x:v>partial_no_RI_no_numeric_match_factor</x:v>
      </x:c>
      <x:c r="O37" s="46" t="str">
        <x:v>Acetone-like</x:v>
      </x:c>
      <x:c r="P37" s="46"/>
      <x:c r="Q37" s="46"/>
      <x:c r="R37" s="46"/>
      <x:c r="S37" s="46" t="n">
        <x:v>1.34</x:v>
      </x:c>
      <x:c r="T37" s="46" t="str">
        <x:v>normal_culinary_evidence</x:v>
      </x:c>
      <x:c r="U37" s="46" t="str">
        <x:v>ng/g estimated by internal standard; source values are means</x:v>
      </x:c>
      <x:c r="V37" s="46"/>
    </x:row>
    <x:row r="38" ht="26.399999618530273" hidden="0" customHeight="1">
      <x:c r="A38" s="46" t="str">
        <x:v>DFS-SAL-037</x:v>
      </x:c>
      <x:c r="B38" s="46" t="str">
        <x:v>fish:atlantic_salmon</x:v>
      </x:c>
      <x:c r="C38" s="46" t="str">
        <x:v>family:finfish</x:v>
      </x:c>
      <x:c r="D38" s="46" t="str">
        <x:v>fatty_fish_anchor</x:v>
      </x:c>
      <x:c r="E38" s="46" t="str">
        <x:v>Atlantic salmon fillet</x:v>
      </x:c>
      <x:c r="F38" s="46" t="str">
        <x:v>SRC-FISH-SALMON-COOK-001</x:v>
      </x:c>
      <x:c r="G38" s="46" t="str">
        <x:v>Ketones</x:v>
      </x:c>
      <x:c r="H38" s="46" t="str">
        <x:v>3-Hydroxy-2-butanone</x:v>
      </x:c>
      <x:c r="I38" s="46"/>
      <x:c r="J38" s="46" t="n">
        <x:v>17.6</x:v>
      </x:c>
      <x:c r="K38" s="46" t="str">
        <x:v>GC retention time + NIST 2005 mass-spectrum comparison</x:v>
      </x:c>
      <x:c r="L38" s="46"/>
      <x:c r="M38" s="46"/>
      <x:c r="N38" s="46" t="str">
        <x:v>partial_no_RI_no_numeric_match_factor</x:v>
      </x:c>
      <x:c r="O38" s="46" t="str">
        <x:v>Buttery</x:v>
      </x:c>
      <x:c r="P38" s="46"/>
      <x:c r="Q38" s="46" t="n">
        <x:v>0.84</x:v>
      </x:c>
      <x:c r="R38" s="46" t="n">
        <x:v>1.29</x:v>
      </x:c>
      <x:c r="S38" s="46" t="n">
        <x:v>1.49</x:v>
      </x:c>
      <x:c r="T38" s="46" t="str">
        <x:v>normal_culinary_evidence</x:v>
      </x:c>
      <x:c r="U38" s="46" t="str">
        <x:v>ng/g estimated by internal standard; source values are means</x:v>
      </x:c>
      <x:c r="V38" s="46"/>
    </x:row>
    <x:row r="39" ht="26.399999618530273" hidden="0" customHeight="1">
      <x:c r="A39" s="46" t="str">
        <x:v>DFS-SAL-038</x:v>
      </x:c>
      <x:c r="B39" s="46" t="str">
        <x:v>fish:atlantic_salmon</x:v>
      </x:c>
      <x:c r="C39" s="46" t="str">
        <x:v>family:finfish</x:v>
      </x:c>
      <x:c r="D39" s="46" t="str">
        <x:v>fatty_fish_anchor</x:v>
      </x:c>
      <x:c r="E39" s="46" t="str">
        <x:v>Atlantic salmon fillet</x:v>
      </x:c>
      <x:c r="F39" s="46" t="str">
        <x:v>SRC-FISH-SALMON-COOK-001</x:v>
      </x:c>
      <x:c r="G39" s="46" t="str">
        <x:v>Ketones</x:v>
      </x:c>
      <x:c r="H39" s="46" t="str">
        <x:v>3,5-Pentadien-2-one</x:v>
      </x:c>
      <x:c r="I39" s="46"/>
      <x:c r="J39" s="46" t="n">
        <x:v>21.98</x:v>
      </x:c>
      <x:c r="K39" s="46" t="str">
        <x:v>GC retention time + NIST 2005 mass-spectrum comparison</x:v>
      </x:c>
      <x:c r="L39" s="46"/>
      <x:c r="M39" s="46"/>
      <x:c r="N39" s="46" t="str">
        <x:v>partial_no_RI_no_numeric_match_factor</x:v>
      </x:c>
      <x:c r="O39" s="46"/>
      <x:c r="P39" s="46" t="n">
        <x:v>0.08</x:v>
      </x:c>
      <x:c r="Q39" s="46"/>
      <x:c r="R39" s="46"/>
      <x:c r="S39" s="46"/>
      <x:c r="T39" s="46" t="str">
        <x:v>normal_culinary_evidence</x:v>
      </x:c>
      <x:c r="U39" s="46" t="str">
        <x:v>ng/g estimated by internal standard; source values are means</x:v>
      </x:c>
      <x:c r="V39" s="46"/>
    </x:row>
    <x:row r="40" ht="26.399999618530273" hidden="0" customHeight="1">
      <x:c r="A40" s="46" t="str">
        <x:v>DFS-SAL-039</x:v>
      </x:c>
      <x:c r="B40" s="46" t="str">
        <x:v>fish:atlantic_salmon</x:v>
      </x:c>
      <x:c r="C40" s="46" t="str">
        <x:v>family:finfish</x:v>
      </x:c>
      <x:c r="D40" s="46" t="str">
        <x:v>fatty_fish_anchor</x:v>
      </x:c>
      <x:c r="E40" s="46" t="str">
        <x:v>Atlantic salmon fillet</x:v>
      </x:c>
      <x:c r="F40" s="46" t="str">
        <x:v>SRC-FISH-SALMON-COOK-001</x:v>
      </x:c>
      <x:c r="G40" s="46" t="str">
        <x:v>Phenol</x:v>
      </x:c>
      <x:c r="H40" s="46" t="str">
        <x:v>2,6-Di-tert-butyl-4-methylphenol</x:v>
      </x:c>
      <x:c r="I40" s="46"/>
      <x:c r="J40" s="46" t="n">
        <x:v>26.6</x:v>
      </x:c>
      <x:c r="K40" s="46" t="str">
        <x:v>GC retention time + NIST 2005 mass-spectrum comparison</x:v>
      </x:c>
      <x:c r="L40" s="46"/>
      <x:c r="M40" s="46"/>
      <x:c r="N40" s="46" t="str">
        <x:v>partial_no_RI_no_numeric_match_factor</x:v>
      </x:c>
      <x:c r="O40" s="46" t="str">
        <x:v>Phenolic</x:v>
      </x:c>
      <x:c r="P40" s="46" t="n">
        <x:v>0.38</x:v>
      </x:c>
      <x:c r="Q40" s="46" t="n">
        <x:v>0.36</x:v>
      </x:c>
      <x:c r="R40" s="46" t="n">
        <x:v>0.93</x:v>
      </x:c>
      <x:c r="S40" s="46" t="n">
        <x:v>0.86</x:v>
      </x:c>
      <x:c r="T40" s="46" t="str">
        <x:v>normal_culinary_evidence</x:v>
      </x:c>
      <x:c r="U40" s="46" t="str">
        <x:v>ng/g estimated by internal standard; source values are means</x:v>
      </x:c>
      <x:c r="V40" s="46"/>
    </x:row>
    <x:row r="41" ht="26.399999618530273" hidden="0" customHeight="1">
      <x:c r="A41" s="46" t="str">
        <x:v>DFS-SAL-040</x:v>
      </x:c>
      <x:c r="B41" s="46" t="str">
        <x:v>fish:atlantic_salmon</x:v>
      </x:c>
      <x:c r="C41" s="46" t="str">
        <x:v>family:finfish</x:v>
      </x:c>
      <x:c r="D41" s="46" t="str">
        <x:v>fatty_fish_anchor</x:v>
      </x:c>
      <x:c r="E41" s="46" t="str">
        <x:v>Atlantic salmon fillet</x:v>
      </x:c>
      <x:c r="F41" s="46" t="str">
        <x:v>SRC-FISH-SALMON-COOK-001</x:v>
      </x:c>
      <x:c r="G41" s="46" t="str">
        <x:v>Others</x:v>
      </x:c>
      <x:c r="H41" s="46" t="str">
        <x:v>2-Propanamine</x:v>
      </x:c>
      <x:c r="I41" s="46"/>
      <x:c r="J41" s="46" t="n">
        <x:v>1.48</x:v>
      </x:c>
      <x:c r="K41" s="46" t="str">
        <x:v>GC retention time + NIST 2005 mass-spectrum comparison</x:v>
      </x:c>
      <x:c r="L41" s="46"/>
      <x:c r="M41" s="46"/>
      <x:c r="N41" s="46" t="str">
        <x:v>partial_no_RI_no_numeric_match_factor</x:v>
      </x:c>
      <x:c r="O41" s="46" t="str">
        <x:v>Ammonia-like</x:v>
      </x:c>
      <x:c r="P41" s="46" t="n">
        <x:v>0.2</x:v>
      </x:c>
      <x:c r="Q41" s="46" t="n">
        <x:v>0.2</x:v>
      </x:c>
      <x:c r="R41" s="46"/>
      <x:c r="S41" s="46"/>
      <x:c r="T41" s="46" t="str">
        <x:v>normal_culinary_evidence</x:v>
      </x:c>
      <x:c r="U41" s="46" t="str">
        <x:v>ng/g estimated by internal standard; source values are means</x:v>
      </x:c>
      <x:c r="V41" s="46"/>
    </x:row>
    <x:row r="42" ht="26.399999618530273" hidden="0" customHeight="1">
      <x:c r="A42" s="46" t="str">
        <x:v>DFS-SAL-041</x:v>
      </x:c>
      <x:c r="B42" s="46" t="str">
        <x:v>fish:atlantic_salmon</x:v>
      </x:c>
      <x:c r="C42" s="46" t="str">
        <x:v>family:finfish</x:v>
      </x:c>
      <x:c r="D42" s="46" t="str">
        <x:v>fatty_fish_anchor</x:v>
      </x:c>
      <x:c r="E42" s="46" t="str">
        <x:v>Atlantic salmon fillet</x:v>
      </x:c>
      <x:c r="F42" s="46" t="str">
        <x:v>SRC-FISH-SALMON-COOK-001</x:v>
      </x:c>
      <x:c r="G42" s="46" t="str">
        <x:v>Others</x:v>
      </x:c>
      <x:c r="H42" s="46" t="str">
        <x:v>Trimethylamine</x:v>
      </x:c>
      <x:c r="I42" s="46"/>
      <x:c r="J42" s="46" t="n">
        <x:v>6.25</x:v>
      </x:c>
      <x:c r="K42" s="46" t="str">
        <x:v>GC retention time + NIST 2005 mass-spectrum comparison</x:v>
      </x:c>
      <x:c r="L42" s="46"/>
      <x:c r="M42" s="46"/>
      <x:c r="N42" s="46" t="str">
        <x:v>partial_no_RI_no_numeric_match_factor</x:v>
      </x:c>
      <x:c r="O42" s="46" t="str">
        <x:v>Fish-like</x:v>
      </x:c>
      <x:c r="P42" s="46" t="n">
        <x:v>0.31</x:v>
      </x:c>
      <x:c r="Q42" s="46" t="n">
        <x:v>0.31</x:v>
      </x:c>
      <x:c r="R42" s="46" t="n">
        <x:v>0.23</x:v>
      </x:c>
      <x:c r="S42" s="46" t="n">
        <x:v>0.56</x:v>
      </x:c>
      <x:c r="T42" s="46" t="str">
        <x:v>freshness_related_caution</x:v>
      </x:c>
      <x:c r="U42" s="46" t="str">
        <x:v>ng/g estimated by internal standard; source values are means</x:v>
      </x:c>
      <x:c r="V42" s="46" t="str">
        <x:v>Source discussion explicitly links trimethylamine/dimethylamine with increasing fish-like/unpleasant odor as freshness declines. MR-14 prevents that freshness evidence from becoming a positive pairing signal.</x:v>
      </x:c>
    </x:row>
    <x:row r="43" ht="26.399999618530273" hidden="0" customHeight="1">
      <x:c r="A43" s="46" t="str">
        <x:v>DFS-SAL-042</x:v>
      </x:c>
      <x:c r="B43" s="46" t="str">
        <x:v>fish:atlantic_salmon</x:v>
      </x:c>
      <x:c r="C43" s="46" t="str">
        <x:v>family:finfish</x:v>
      </x:c>
      <x:c r="D43" s="46" t="str">
        <x:v>fatty_fish_anchor</x:v>
      </x:c>
      <x:c r="E43" s="46" t="str">
        <x:v>Atlantic salmon fillet</x:v>
      </x:c>
      <x:c r="F43" s="46" t="str">
        <x:v>SRC-FISH-SALMON-COOK-001</x:v>
      </x:c>
      <x:c r="G43" s="46" t="str">
        <x:v>Others</x:v>
      </x:c>
      <x:c r="H43" s="46" t="str">
        <x:v>1,3-Butanediamine</x:v>
      </x:c>
      <x:c r="I43" s="46"/>
      <x:c r="J43" s="46" t="n">
        <x:v>6.8</x:v>
      </x:c>
      <x:c r="K43" s="46" t="str">
        <x:v>GC retention time + NIST 2005 mass-spectrum comparison</x:v>
      </x:c>
      <x:c r="L43" s="46"/>
      <x:c r="M43" s="46"/>
      <x:c r="N43" s="46" t="str">
        <x:v>partial_no_RI_no_numeric_match_factor</x:v>
      </x:c>
      <x:c r="O43" s="46"/>
      <x:c r="P43" s="46" t="n">
        <x:v>0.15</x:v>
      </x:c>
      <x:c r="Q43" s="46" t="n">
        <x:v>0.15</x:v>
      </x:c>
      <x:c r="R43" s="46"/>
      <x:c r="S43" s="46"/>
      <x:c r="T43" s="46" t="str">
        <x:v>normal_culinary_evidence</x:v>
      </x:c>
      <x:c r="U43" s="46" t="str">
        <x:v>ng/g estimated by internal standard; source values are means</x:v>
      </x:c>
      <x:c r="V43" s="46"/>
    </x:row>
    <x:row r="44" ht="26.399999618530273" hidden="0" customHeight="1">
      <x:c r="A44" s="46" t="str">
        <x:v>DFS-SAL-043</x:v>
      </x:c>
      <x:c r="B44" s="46" t="str">
        <x:v>fish:atlantic_salmon</x:v>
      </x:c>
      <x:c r="C44" s="46" t="str">
        <x:v>family:finfish</x:v>
      </x:c>
      <x:c r="D44" s="46" t="str">
        <x:v>fatty_fish_anchor</x:v>
      </x:c>
      <x:c r="E44" s="46" t="str">
        <x:v>Atlantic salmon fillet</x:v>
      </x:c>
      <x:c r="F44" s="46" t="str">
        <x:v>SRC-FISH-SALMON-COOK-001</x:v>
      </x:c>
      <x:c r="G44" s="46" t="str">
        <x:v>Others</x:v>
      </x:c>
      <x:c r="H44" s="46" t="str">
        <x:v>Acetamide</x:v>
      </x:c>
      <x:c r="I44" s="46"/>
      <x:c r="J44" s="46" t="n">
        <x:v>8.15</x:v>
      </x:c>
      <x:c r="K44" s="46" t="str">
        <x:v>GC retention time + NIST 2005 mass-spectrum comparison</x:v>
      </x:c>
      <x:c r="L44" s="46"/>
      <x:c r="M44" s="46"/>
      <x:c r="N44" s="46" t="str">
        <x:v>partial_no_RI_no_numeric_match_factor</x:v>
      </x:c>
      <x:c r="O44" s="46" t="str">
        <x:v>Mousy</x:v>
      </x:c>
      <x:c r="P44" s="46" t="n">
        <x:v>0.04</x:v>
      </x:c>
      <x:c r="Q44" s="46"/>
      <x:c r="R44" s="46"/>
      <x:c r="S44" s="46"/>
      <x:c r="T44" s="46" t="str">
        <x:v>normal_culinary_evidence</x:v>
      </x:c>
      <x:c r="U44" s="46" t="str">
        <x:v>ng/g estimated by internal standard; source values are means</x:v>
      </x:c>
      <x:c r="V44" s="46"/>
    </x:row>
    <x:row r="45" ht="26.399999618530273" hidden="0" customHeight="1">
      <x:c r="A45" s="46" t="str">
        <x:v>DFS-SAL-044</x:v>
      </x:c>
      <x:c r="B45" s="46" t="str">
        <x:v>fish:atlantic_salmon</x:v>
      </x:c>
      <x:c r="C45" s="46" t="str">
        <x:v>family:finfish</x:v>
      </x:c>
      <x:c r="D45" s="46" t="str">
        <x:v>fatty_fish_anchor</x:v>
      </x:c>
      <x:c r="E45" s="46" t="str">
        <x:v>Atlantic salmon fillet</x:v>
      </x:c>
      <x:c r="F45" s="46" t="str">
        <x:v>SRC-FISH-SALMON-COOK-001</x:v>
      </x:c>
      <x:c r="G45" s="46" t="str">
        <x:v>Others</x:v>
      </x:c>
      <x:c r="H45" s="46" t="str">
        <x:v>Dimethylamine</x:v>
      </x:c>
      <x:c r="I45" s="46"/>
      <x:c r="J45" s="46" t="n">
        <x:v>13.82</x:v>
      </x:c>
      <x:c r="K45" s="46" t="str">
        <x:v>GC retention time + NIST 2005 mass-spectrum comparison</x:v>
      </x:c>
      <x:c r="L45" s="46"/>
      <x:c r="M45" s="46"/>
      <x:c r="N45" s="46" t="str">
        <x:v>partial_no_RI_no_numeric_match_factor</x:v>
      </x:c>
      <x:c r="O45" s="46" t="str">
        <x:v>Fish-like</x:v>
      </x:c>
      <x:c r="P45" s="46" t="n">
        <x:v>1.32</x:v>
      </x:c>
      <x:c r="Q45" s="46"/>
      <x:c r="R45" s="46"/>
      <x:c r="S45" s="46"/>
      <x:c r="T45" s="46" t="str">
        <x:v>freshness_related_caution</x:v>
      </x:c>
      <x:c r="U45" s="46" t="str">
        <x:v>ng/g estimated by internal standard; source values are means</x:v>
      </x:c>
      <x:c r="V45" s="46" t="str">
        <x:v>Source discussion explicitly links trimethylamine/dimethylamine with increasing fish-like/unpleasant odor as freshness declines. MR-14 prevents that freshness evidence from becoming a positive pairing signal.</x:v>
      </x:c>
    </x:row>
    <x:row r="46" ht="26.399999618530273" hidden="0" customHeight="1">
      <x:c r="A46" s="46" t="str">
        <x:v>DFS-SAL-045</x:v>
      </x:c>
      <x:c r="B46" s="46" t="str">
        <x:v>fish:atlantic_salmon</x:v>
      </x:c>
      <x:c r="C46" s="46" t="str">
        <x:v>family:finfish</x:v>
      </x:c>
      <x:c r="D46" s="46" t="str">
        <x:v>fatty_fish_anchor</x:v>
      </x:c>
      <x:c r="E46" s="46" t="str">
        <x:v>Atlantic salmon fillet</x:v>
      </x:c>
      <x:c r="F46" s="46" t="str">
        <x:v>SRC-FISH-SALMON-COOK-001</x:v>
      </x:c>
      <x:c r="G46" s="46" t="str">
        <x:v>Others</x:v>
      </x:c>
      <x:c r="H46" s="46" t="str">
        <x:v>5-Amino-1-pentanol</x:v>
      </x:c>
      <x:c r="I46" s="46"/>
      <x:c r="J46" s="46" t="n">
        <x:v>14.92</x:v>
      </x:c>
      <x:c r="K46" s="46" t="str">
        <x:v>GC retention time + NIST 2005 mass-spectrum comparison</x:v>
      </x:c>
      <x:c r="L46" s="46"/>
      <x:c r="M46" s="46"/>
      <x:c r="N46" s="46" t="str">
        <x:v>partial_no_RI_no_numeric_match_factor</x:v>
      </x:c>
      <x:c r="O46" s="46"/>
      <x:c r="P46" s="46" t="n">
        <x:v>0.41</x:v>
      </x:c>
      <x:c r="Q46" s="46"/>
      <x:c r="R46" s="46" t="n">
        <x:v>0.41</x:v>
      </x:c>
      <x:c r="S46" s="46"/>
      <x:c r="T46" s="46" t="str">
        <x:v>normal_culinary_evidence</x:v>
      </x:c>
      <x:c r="U46" s="46" t="str">
        <x:v>ng/g estimated by internal standard; source values are means</x:v>
      </x:c>
      <x:c r="V46" s="46"/>
    </x:row>
    <x:row r="47" ht="26.399999618530273" hidden="0" customHeight="1">
      <x:c r="A47" s="46" t="str">
        <x:v>DFS-SAL-046</x:v>
      </x:c>
      <x:c r="B47" s="46" t="str">
        <x:v>fish:atlantic_salmon</x:v>
      </x:c>
      <x:c r="C47" s="46" t="str">
        <x:v>family:finfish</x:v>
      </x:c>
      <x:c r="D47" s="46" t="str">
        <x:v>fatty_fish_anchor</x:v>
      </x:c>
      <x:c r="E47" s="46" t="str">
        <x:v>Atlantic salmon fillet</x:v>
      </x:c>
      <x:c r="F47" s="46" t="str">
        <x:v>SRC-FISH-SALMON-COOK-001</x:v>
      </x:c>
      <x:c r="G47" s="46" t="str">
        <x:v>Others</x:v>
      </x:c>
      <x:c r="H47" s="46" t="str">
        <x:v>N-Methylallylamine</x:v>
      </x:c>
      <x:c r="I47" s="46"/>
      <x:c r="J47" s="46" t="n">
        <x:v>15.59</x:v>
      </x:c>
      <x:c r="K47" s="46" t="str">
        <x:v>GC retention time + NIST 2005 mass-spectrum comparison</x:v>
      </x:c>
      <x:c r="L47" s="46"/>
      <x:c r="M47" s="46"/>
      <x:c r="N47" s="46" t="str">
        <x:v>partial_no_RI_no_numeric_match_factor</x:v>
      </x:c>
      <x:c r="O47" s="46"/>
      <x:c r="P47" s="46" t="n">
        <x:v>0.45</x:v>
      </x:c>
      <x:c r="Q47" s="46" t="n">
        <x:v>0.45</x:v>
      </x:c>
      <x:c r="R47" s="46"/>
      <x:c r="S47" s="46" t="n">
        <x:v>0.19</x:v>
      </x:c>
      <x:c r="T47" s="46" t="str">
        <x:v>normal_culinary_evidence</x:v>
      </x:c>
      <x:c r="U47" s="46" t="str">
        <x:v>ng/g estimated by internal standard; source values are means</x:v>
      </x:c>
      <x:c r="V47" s="46"/>
    </x:row>
    <x:row r="48" ht="26.399999618530273" hidden="0" customHeight="1">
      <x:c r="A48" s="46" t="str">
        <x:v>DFS-SAL-047</x:v>
      </x:c>
      <x:c r="B48" s="46" t="str">
        <x:v>fish:atlantic_salmon</x:v>
      </x:c>
      <x:c r="C48" s="46" t="str">
        <x:v>family:finfish</x:v>
      </x:c>
      <x:c r="D48" s="46" t="str">
        <x:v>fatty_fish_anchor</x:v>
      </x:c>
      <x:c r="E48" s="46" t="str">
        <x:v>Atlantic salmon fillet</x:v>
      </x:c>
      <x:c r="F48" s="46" t="str">
        <x:v>SRC-FISH-SALMON-COOK-001</x:v>
      </x:c>
      <x:c r="G48" s="46" t="str">
        <x:v>Others</x:v>
      </x:c>
      <x:c r="H48" s="46" t="str">
        <x:v>1,6-Hexylenediamine</x:v>
      </x:c>
      <x:c r="I48" s="46"/>
      <x:c r="J48" s="46" t="n">
        <x:v>18.93</x:v>
      </x:c>
      <x:c r="K48" s="46" t="str">
        <x:v>GC retention time + NIST 2005 mass-spectrum comparison</x:v>
      </x:c>
      <x:c r="L48" s="46"/>
      <x:c r="M48" s="46"/>
      <x:c r="N48" s="46" t="str">
        <x:v>partial_no_RI_no_numeric_match_factor</x:v>
      </x:c>
      <x:c r="O48" s="46" t="str">
        <x:v>Fish-like</x:v>
      </x:c>
      <x:c r="P48" s="46" t="n">
        <x:v>0.43</x:v>
      </x:c>
      <x:c r="Q48" s="46"/>
      <x:c r="R48" s="46"/>
      <x:c r="S48" s="46"/>
      <x:c r="T48" s="46" t="str">
        <x:v>normal_culinary_evidence</x:v>
      </x:c>
      <x:c r="U48" s="46" t="str">
        <x:v>ng/g estimated by internal standard; source values are means</x:v>
      </x:c>
      <x:c r="V48" s="46"/>
    </x:row>
    <x:row r="49" ht="26.399999618530273" hidden="0" customHeight="1">
      <x:c r="A49" s="46" t="str">
        <x:v>DFS-SAL-048</x:v>
      </x:c>
      <x:c r="B49" s="46" t="str">
        <x:v>fish:atlantic_salmon</x:v>
      </x:c>
      <x:c r="C49" s="46" t="str">
        <x:v>family:finfish</x:v>
      </x:c>
      <x:c r="D49" s="46" t="str">
        <x:v>fatty_fish_anchor</x:v>
      </x:c>
      <x:c r="E49" s="46" t="str">
        <x:v>Atlantic salmon fillet</x:v>
      </x:c>
      <x:c r="F49" s="46" t="str">
        <x:v>SRC-FISH-SALMON-COOK-001</x:v>
      </x:c>
      <x:c r="G49" s="46" t="str">
        <x:v>Others</x:v>
      </x:c>
      <x:c r="H49" s="46" t="str">
        <x:v>Heptanamine</x:v>
      </x:c>
      <x:c r="I49" s="46"/>
      <x:c r="J49" s="46" t="n">
        <x:v>22.17</x:v>
      </x:c>
      <x:c r="K49" s="46" t="str">
        <x:v>GC retention time + NIST 2005 mass-spectrum comparison</x:v>
      </x:c>
      <x:c r="L49" s="46"/>
      <x:c r="M49" s="46"/>
      <x:c r="N49" s="46" t="str">
        <x:v>partial_no_RI_no_numeric_match_factor</x:v>
      </x:c>
      <x:c r="O49" s="46"/>
      <x:c r="P49" s="46" t="n">
        <x:v>0.06</x:v>
      </x:c>
      <x:c r="Q49" s="46" t="n">
        <x:v>0.06</x:v>
      </x:c>
      <x:c r="R49" s="46"/>
      <x:c r="S49" s="46" t="n">
        <x:v>0.26</x:v>
      </x:c>
      <x:c r="T49" s="46" t="str">
        <x:v>normal_culinary_evidence</x:v>
      </x:c>
      <x:c r="U49" s="46" t="str">
        <x:v>ng/g estimated by internal standard; source values are means</x:v>
      </x:c>
      <x:c r="V49" s="46"/>
    </x:row>
  </x:sheetData>
  <x:pageMargins left="0.7" right="0.7" top="0.75" bottom="0.75" header="0.3" footer="0.3"/>
  <x:tableParts count="1">
    <x:tablePart xmlns:r="http://schemas.openxmlformats.org/officeDocument/2006/relationships" r:id="Rc5cc88afd3ce4335"/>
  </x:tableParts>
</x:worksheet>
</file>

<file path=xl/worksheets/sheet58.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21" hidden="0" customWidth="1"/>
    <x:col min="5" max="5" width="28" hidden="0" customWidth="1"/>
    <x:col min="6" max="6" width="29" hidden="0" customWidth="1"/>
    <x:col min="7" max="7" width="30" hidden="0" customWidth="1"/>
    <x:col min="8" max="8" width="30" hidden="0" customWidth="1"/>
    <x:col min="9" max="9" width="13" hidden="0" customWidth="1"/>
    <x:col min="10" max="10" width="14" hidden="0" customWidth="1"/>
    <x:col min="11" max="11" width="12" hidden="0" customWidth="1"/>
    <x:col min="12" max="12" width="16" hidden="0" customWidth="1"/>
    <x:col min="13" max="13" width="14" hidden="0" customWidth="1"/>
    <x:col min="14" max="14" width="48" hidden="0" customWidth="1"/>
    <x:col min="15" max="15" width="20" hidden="0" customWidth="1"/>
    <x:col min="16" max="16" width="34"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45" hidden="0" customWidth="1"/>
    <x:col min="26" max="26" width="62" hidden="0" customWidth="1"/>
    <x:col min="27" max="27" width="28" hidden="0" customWidth="1"/>
  </x:cols>
  <x:sheetData>
    <x:row r="1" ht="15" hidden="0" customHeight="1">
      <x:c r="A1" s="166" t="str">
        <x:v>detected_record_id</x:v>
      </x:c>
      <x:c r="B1" s="166" t="str">
        <x:v>product_id</x:v>
      </x:c>
      <x:c r="C1" s="166" t="str">
        <x:v>family_id</x:v>
      </x:c>
      <x:c r="D1" s="166" t="str">
        <x:v>fat_class_role</x:v>
      </x:c>
      <x:c r="E1" s="166" t="str">
        <x:v>material</x:v>
      </x:c>
      <x:c r="F1" s="166" t="str">
        <x:v>source_id</x:v>
      </x:c>
      <x:c r="G1" s="166" t="str">
        <x:v>source_group</x:v>
      </x:c>
      <x:c r="H1" s="166" t="str">
        <x:v>compound_name</x:v>
      </x:c>
      <x:c r="I1" s="166" t="str">
        <x:v>feature_form</x:v>
      </x:c>
      <x:c r="J1" s="166" t="str">
        <x:v>cas</x:v>
      </x:c>
      <x:c r="K1" s="166" t="str">
        <x:v>ri</x:v>
      </x:c>
      <x:c r="L1" s="166" t="str">
        <x:v>retention_time_s</x:v>
      </x:c>
      <x:c r="M1" s="166" t="str">
        <x:v>drift_time_ms</x:v>
      </x:c>
      <x:c r="N1" s="166" t="str">
        <x:v>identification_method</x:v>
      </x:c>
      <x:c r="O1" s="166" t="str">
        <x:v>numeric_match_factor</x:v>
      </x:c>
      <x:c r="P1" s="166" t="str">
        <x:v>mr09_identification_status</x:v>
      </x:c>
      <x:c r="Q1" s="166" t="str">
        <x:v>raw_HSD</x:v>
      </x:c>
      <x:c r="R1" s="166" t="str">
        <x:v>raw_IFD</x:v>
      </x:c>
      <x:c r="S1" s="166" t="str">
        <x:v>raw_BDS</x:v>
      </x:c>
      <x:c r="T1" s="166" t="str">
        <x:v>raw_EAD</x:v>
      </x:c>
      <x:c r="U1" s="166" t="str">
        <x:v>steamed_EAD</x:v>
      </x:c>
      <x:c r="V1" s="166" t="str">
        <x:v>steamed_HSD</x:v>
      </x:c>
      <x:c r="W1" s="166" t="str">
        <x:v>steamed_BDS</x:v>
      </x:c>
      <x:c r="X1" s="166" t="str">
        <x:v>steamed_IFD</x:v>
      </x:c>
      <x:c r="Y1" s="166" t="str">
        <x:v>metric</x:v>
      </x:c>
      <x:c r="Z1" s="166" t="str">
        <x:v>notes</x:v>
      </x:c>
      <x:c r="AA1" s="165" t="str">
        <x:v>normalized_compound_group</x:v>
      </x:c>
    </x:row>
    <x:row r="2" ht="26.399999618530273" hidden="0" customHeight="1">
      <x:c r="A2" s="46" t="str">
        <x:v>DFS-SB-001</x:v>
      </x:c>
      <x:c r="B2" s="46" t="str">
        <x:v>fish:sea_bass</x:v>
      </x:c>
      <x:c r="C2" s="46" t="str">
        <x:v>family:finfish</x:v>
      </x:c>
      <x:c r="D2" s="46" t="str">
        <x:v>white_fish_anchor_fat_class_provisional</x:v>
      </x:c>
      <x:c r="E2" s="46" t="str">
        <x:v>Lateolabrax japonicus muscle</x:v>
      </x:c>
      <x:c r="F2" s="46" t="str">
        <x:v>SRC-FISH-SEABASS-STEAM-001</x:v>
      </x:c>
      <x:c r="G2" s="46" t="str">
        <x:v>Aldehydes</x:v>
      </x:c>
      <x:c r="H2" s="46" t="str">
        <x:v>Nonanal</x:v>
      </x:c>
      <x:c r="I2" s="46" t="str">
        <x:v>M</x:v>
      </x:c>
      <x:c r="J2" s="46" t="str">
        <x:v>124-19-6</x:v>
      </x:c>
      <x:c r="K2" s="46" t="n">
        <x:v>1109.7</x:v>
      </x:c>
      <x:c r="L2" s="46" t="n">
        <x:v>508.8</x:v>
      </x:c>
      <x:c r="M2" s="46" t="n">
        <x:v>1.47</x:v>
      </x:c>
      <x:c r="N2" s="46" t="str">
        <x:v>NIST + IMS database identification; source Table 2 CAS/RI/RT/Dt</x:v>
      </x:c>
      <x:c r="O2" s="46"/>
      <x:c r="P2" s="46" t="str">
        <x:v>partial_no_numeric_match_factor</x:v>
      </x:c>
      <x:c r="Q2" s="46" t="n">
        <x:v>784.3</x:v>
      </x:c>
      <x:c r="R2" s="46" t="n">
        <x:v>528.7</x:v>
      </x:c>
      <x:c r="S2" s="46" t="n">
        <x:v>815.9</x:v>
      </x:c>
      <x:c r="T2" s="46" t="n">
        <x:v>874.8</x:v>
      </x:c>
      <x:c r="U2" s="46" t="n">
        <x:v>1400.4</x:v>
      </x:c>
      <x:c r="V2" s="46" t="n">
        <x:v>3204.3</x:v>
      </x:c>
      <x:c r="W2" s="46" t="n">
        <x:v>3931.2</x:v>
      </x:c>
      <x:c r="X2" s="46" t="n">
        <x:v>3924.7</x:v>
      </x:c>
      <x:c r="Y2" s="46" t="str">
        <x:v>GC-IMS peak volume; four raw then four steamed slaughter groups</x:v>
      </x:c>
      <x:c r="Z2" s="46"/>
      <x:c r="AA2" t="str">
        <x:v>Aldehydes</x:v>
      </x:c>
    </x:row>
    <x:row r="3" ht="26.399999618530273" hidden="0" customHeight="1">
      <x:c r="A3" s="46" t="str">
        <x:v>DFS-SB-002</x:v>
      </x:c>
      <x:c r="B3" s="46" t="str">
        <x:v>fish:sea_bass</x:v>
      </x:c>
      <x:c r="C3" s="46" t="str">
        <x:v>family:finfish</x:v>
      </x:c>
      <x:c r="D3" s="46" t="str">
        <x:v>white_fish_anchor_fat_class_provisional</x:v>
      </x:c>
      <x:c r="E3" s="46" t="str">
        <x:v>Lateolabrax japonicus muscle</x:v>
      </x:c>
      <x:c r="F3" s="46" t="str">
        <x:v>SRC-FISH-SEABASS-STEAM-001</x:v>
      </x:c>
      <x:c r="G3" s="46" t="str">
        <x:v>Aldehydes</x:v>
      </x:c>
      <x:c r="H3" s="46" t="str">
        <x:v>Nonanal</x:v>
      </x:c>
      <x:c r="I3" s="46" t="str">
        <x:v>D</x:v>
      </x:c>
      <x:c r="J3" s="46" t="str">
        <x:v>124-19-6</x:v>
      </x:c>
      <x:c r="K3" s="46" t="n">
        <x:v>1108</x:v>
      </x:c>
      <x:c r="L3" s="46" t="n">
        <x:v>506.3</x:v>
      </x:c>
      <x:c r="M3" s="46" t="n">
        <x:v>1.95</x:v>
      </x:c>
      <x:c r="N3" s="46" t="str">
        <x:v>NIST + IMS database identification; source Table 2 CAS/RI/RT/Dt</x:v>
      </x:c>
      <x:c r="O3" s="46"/>
      <x:c r="P3" s="46" t="str">
        <x:v>partial_no_numeric_match_factor</x:v>
      </x:c>
      <x:c r="Q3" s="46" t="n">
        <x:v>84.9</x:v>
      </x:c>
      <x:c r="R3" s="46" t="n">
        <x:v>72.6</x:v>
      </x:c>
      <x:c r="S3" s="46" t="n">
        <x:v>86.6</x:v>
      </x:c>
      <x:c r="T3" s="46" t="n">
        <x:v>97</x:v>
      </x:c>
      <x:c r="U3" s="46" t="n">
        <x:v>172.9</x:v>
      </x:c>
      <x:c r="V3" s="46" t="n">
        <x:v>944.5</x:v>
      </x:c>
      <x:c r="W3" s="46" t="n">
        <x:v>1548.1</x:v>
      </x:c>
      <x:c r="X3" s="46" t="n">
        <x:v>1731.3</x:v>
      </x:c>
      <x:c r="Y3" s="46" t="str">
        <x:v>GC-IMS peak volume; four raw then four steamed slaughter groups</x:v>
      </x:c>
      <x:c r="Z3" s="46"/>
      <x:c r="AA3" t="str">
        <x:v>Aldehydes</x:v>
      </x:c>
    </x:row>
    <x:row r="4" ht="26.399999618530273" hidden="0" customHeight="1">
      <x:c r="A4" s="46" t="str">
        <x:v>DFS-SB-003</x:v>
      </x:c>
      <x:c r="B4" s="46" t="str">
        <x:v>fish:sea_bass</x:v>
      </x:c>
      <x:c r="C4" s="46" t="str">
        <x:v>family:finfish</x:v>
      </x:c>
      <x:c r="D4" s="46" t="str">
        <x:v>white_fish_anchor_fat_class_provisional</x:v>
      </x:c>
      <x:c r="E4" s="46" t="str">
        <x:v>Lateolabrax japonicus muscle</x:v>
      </x:c>
      <x:c r="F4" s="46" t="str">
        <x:v>SRC-FISH-SEABASS-STEAM-001</x:v>
      </x:c>
      <x:c r="G4" s="46" t="str">
        <x:v>Aldehydes</x:v>
      </x:c>
      <x:c r="H4" s="46" t="str">
        <x:v>Benzaldehyde</x:v>
      </x:c>
      <x:c r="I4" s="46"/>
      <x:c r="J4" s="46" t="str">
        <x:v>100-52-7</x:v>
      </x:c>
      <x:c r="K4" s="46" t="n">
        <x:v>957.6</x:v>
      </x:c>
      <x:c r="L4" s="46" t="n">
        <x:v>312.7</x:v>
      </x:c>
      <x:c r="M4" s="46" t="n">
        <x:v>1.15</x:v>
      </x:c>
      <x:c r="N4" s="46" t="str">
        <x:v>NIST + IMS database identification; source Table 2 CAS/RI/RT/Dt</x:v>
      </x:c>
      <x:c r="O4" s="46"/>
      <x:c r="P4" s="46" t="str">
        <x:v>partial_no_numeric_match_factor</x:v>
      </x:c>
      <x:c r="Q4" s="46" t="n">
        <x:v>116.3</x:v>
      </x:c>
      <x:c r="R4" s="46" t="n">
        <x:v>88.5</x:v>
      </x:c>
      <x:c r="S4" s="46" t="n">
        <x:v>131.3</x:v>
      </x:c>
      <x:c r="T4" s="46" t="n">
        <x:v>99.4</x:v>
      </x:c>
      <x:c r="U4" s="46" t="n">
        <x:v>135.7</x:v>
      </x:c>
      <x:c r="V4" s="46" t="n">
        <x:v>244.6</x:v>
      </x:c>
      <x:c r="W4" s="46" t="n">
        <x:v>325</x:v>
      </x:c>
      <x:c r="X4" s="46" t="n">
        <x:v>276.1</x:v>
      </x:c>
      <x:c r="Y4" s="46" t="str">
        <x:v>GC-IMS peak volume; four raw then four steamed slaughter groups</x:v>
      </x:c>
      <x:c r="Z4" s="46"/>
      <x:c r="AA4" t="str">
        <x:v>Aldehydes</x:v>
      </x:c>
    </x:row>
    <x:row r="5" ht="26.399999618530273" hidden="0" customHeight="1">
      <x:c r="A5" s="46" t="str">
        <x:v>DFS-SB-004</x:v>
      </x:c>
      <x:c r="B5" s="46" t="str">
        <x:v>fish:sea_bass</x:v>
      </x:c>
      <x:c r="C5" s="46" t="str">
        <x:v>family:finfish</x:v>
      </x:c>
      <x:c r="D5" s="46" t="str">
        <x:v>white_fish_anchor_fat_class_provisional</x:v>
      </x:c>
      <x:c r="E5" s="46" t="str">
        <x:v>Lateolabrax japonicus muscle</x:v>
      </x:c>
      <x:c r="F5" s="46" t="str">
        <x:v>SRC-FISH-SEABASS-STEAM-001</x:v>
      </x:c>
      <x:c r="G5" s="46" t="str">
        <x:v>Aldehydes</x:v>
      </x:c>
      <x:c r="H5" s="46" t="str">
        <x:v>Heptanal</x:v>
      </x:c>
      <x:c r="I5" s="46" t="str">
        <x:v>M</x:v>
      </x:c>
      <x:c r="J5" s="46" t="str">
        <x:v>111-71-7</x:v>
      </x:c>
      <x:c r="K5" s="46" t="n">
        <x:v>907.7</x:v>
      </x:c>
      <x:c r="L5" s="46" t="n">
        <x:v>270.2</x:v>
      </x:c>
      <x:c r="M5" s="46" t="n">
        <x:v>1.33</x:v>
      </x:c>
      <x:c r="N5" s="46" t="str">
        <x:v>NIST + IMS database identification; source Table 2 CAS/RI/RT/Dt</x:v>
      </x:c>
      <x:c r="O5" s="46"/>
      <x:c r="P5" s="46" t="str">
        <x:v>partial_no_numeric_match_factor</x:v>
      </x:c>
      <x:c r="Q5" s="46" t="n">
        <x:v>419</x:v>
      </x:c>
      <x:c r="R5" s="46" t="n">
        <x:v>297.6</x:v>
      </x:c>
      <x:c r="S5" s="46" t="n">
        <x:v>433.8</x:v>
      </x:c>
      <x:c r="T5" s="46" t="n">
        <x:v>232.6</x:v>
      </x:c>
      <x:c r="U5" s="46" t="n">
        <x:v>1567.3</x:v>
      </x:c>
      <x:c r="V5" s="46" t="n">
        <x:v>2664.4</x:v>
      </x:c>
      <x:c r="W5" s="46" t="n">
        <x:v>1872.3</x:v>
      </x:c>
      <x:c r="X5" s="46" t="n">
        <x:v>2870.9</x:v>
      </x:c>
      <x:c r="Y5" s="46" t="str">
        <x:v>GC-IMS peak volume; four raw then four steamed slaughter groups</x:v>
      </x:c>
      <x:c r="Z5" s="46"/>
      <x:c r="AA5" t="str">
        <x:v>Aldehydes</x:v>
      </x:c>
    </x:row>
    <x:row r="6" ht="26.399999618530273" hidden="0" customHeight="1">
      <x:c r="A6" s="46" t="str">
        <x:v>DFS-SB-005</x:v>
      </x:c>
      <x:c r="B6" s="46" t="str">
        <x:v>fish:sea_bass</x:v>
      </x:c>
      <x:c r="C6" s="46" t="str">
        <x:v>family:finfish</x:v>
      </x:c>
      <x:c r="D6" s="46" t="str">
        <x:v>white_fish_anchor_fat_class_provisional</x:v>
      </x:c>
      <x:c r="E6" s="46" t="str">
        <x:v>Lateolabrax japonicus muscle</x:v>
      </x:c>
      <x:c r="F6" s="46" t="str">
        <x:v>SRC-FISH-SEABASS-STEAM-001</x:v>
      </x:c>
      <x:c r="G6" s="46" t="str">
        <x:v>Aldehydes</x:v>
      </x:c>
      <x:c r="H6" s="46" t="str">
        <x:v>Heptanal</x:v>
      </x:c>
      <x:c r="I6" s="46" t="str">
        <x:v>D</x:v>
      </x:c>
      <x:c r="J6" s="46" t="str">
        <x:v>111-71-7</x:v>
      </x:c>
      <x:c r="K6" s="46" t="n">
        <x:v>901.2</x:v>
      </x:c>
      <x:c r="L6" s="46" t="n">
        <x:v>264.6</x:v>
      </x:c>
      <x:c r="M6" s="46" t="n">
        <x:v>1.7</x:v>
      </x:c>
      <x:c r="N6" s="46" t="str">
        <x:v>NIST + IMS database identification; source Table 2 CAS/RI/RT/Dt</x:v>
      </x:c>
      <x:c r="O6" s="46"/>
      <x:c r="P6" s="46" t="str">
        <x:v>partial_no_numeric_match_factor</x:v>
      </x:c>
      <x:c r="Q6" s="46" t="n">
        <x:v>56.2</x:v>
      </x:c>
      <x:c r="R6" s="46" t="n">
        <x:v>32.3</x:v>
      </x:c>
      <x:c r="S6" s="46" t="n">
        <x:v>50.6</x:v>
      </x:c>
      <x:c r="T6" s="46" t="n">
        <x:v>33.2</x:v>
      </x:c>
      <x:c r="U6" s="46" t="n">
        <x:v>796</x:v>
      </x:c>
      <x:c r="V6" s="46" t="n">
        <x:v>2108</x:v>
      </x:c>
      <x:c r="W6" s="46" t="n">
        <x:v>2454.3</x:v>
      </x:c>
      <x:c r="X6" s="46" t="n">
        <x:v>1974.6</x:v>
      </x:c>
      <x:c r="Y6" s="46" t="str">
        <x:v>GC-IMS peak volume; four raw then four steamed slaughter groups</x:v>
      </x:c>
      <x:c r="Z6" s="46"/>
      <x:c r="AA6" t="str">
        <x:v>Aldehydes</x:v>
      </x:c>
    </x:row>
    <x:row r="7" ht="26.399999618530273" hidden="0" customHeight="1">
      <x:c r="A7" s="46" t="str">
        <x:v>DFS-SB-006</x:v>
      </x:c>
      <x:c r="B7" s="46" t="str">
        <x:v>fish:sea_bass</x:v>
      </x:c>
      <x:c r="C7" s="46" t="str">
        <x:v>family:finfish</x:v>
      </x:c>
      <x:c r="D7" s="46" t="str">
        <x:v>white_fish_anchor_fat_class_provisional</x:v>
      </x:c>
      <x:c r="E7" s="46" t="str">
        <x:v>Lateolabrax japonicus muscle</x:v>
      </x:c>
      <x:c r="F7" s="46" t="str">
        <x:v>SRC-FISH-SEABASS-STEAM-001</x:v>
      </x:c>
      <x:c r="G7" s="46" t="str">
        <x:v>Aldehydes</x:v>
      </x:c>
      <x:c r="H7" s="46" t="str">
        <x:v>(E)-2-Octenal</x:v>
      </x:c>
      <x:c r="I7" s="46"/>
      <x:c r="J7" s="46" t="str">
        <x:v>2548-87-0</x:v>
      </x:c>
      <x:c r="K7" s="46" t="n">
        <x:v>1055.1</x:v>
      </x:c>
      <x:c r="L7" s="46" t="n">
        <x:v>430.2</x:v>
      </x:c>
      <x:c r="M7" s="46" t="n">
        <x:v>1.33</x:v>
      </x:c>
      <x:c r="N7" s="46" t="str">
        <x:v>NIST + IMS database identification; source Table 2 CAS/RI/RT/Dt</x:v>
      </x:c>
      <x:c r="O7" s="46"/>
      <x:c r="P7" s="46" t="str">
        <x:v>partial_no_numeric_match_factor</x:v>
      </x:c>
      <x:c r="Q7" s="46" t="n">
        <x:v>40.1</x:v>
      </x:c>
      <x:c r="R7" s="46" t="n">
        <x:v>44.4</x:v>
      </x:c>
      <x:c r="S7" s="46" t="n">
        <x:v>44</x:v>
      </x:c>
      <x:c r="T7" s="46" t="n">
        <x:v>31.3</x:v>
      </x:c>
      <x:c r="U7" s="46" t="n">
        <x:v>98.3</x:v>
      </x:c>
      <x:c r="V7" s="46" t="n">
        <x:v>288.9</x:v>
      </x:c>
      <x:c r="W7" s="46" t="n">
        <x:v>211.7</x:v>
      </x:c>
      <x:c r="X7" s="46" t="n">
        <x:v>529</x:v>
      </x:c>
      <x:c r="Y7" s="46" t="str">
        <x:v>GC-IMS peak volume; four raw then four steamed slaughter groups</x:v>
      </x:c>
      <x:c r="Z7" s="46"/>
      <x:c r="AA7" t="str">
        <x:v>Aldehydes</x:v>
      </x:c>
    </x:row>
    <x:row r="8" ht="26.399999618530273" hidden="0" customHeight="1">
      <x:c r="A8" s="46" t="str">
        <x:v>DFS-SB-007</x:v>
      </x:c>
      <x:c r="B8" s="46" t="str">
        <x:v>fish:sea_bass</x:v>
      </x:c>
      <x:c r="C8" s="46" t="str">
        <x:v>family:finfish</x:v>
      </x:c>
      <x:c r="D8" s="46" t="str">
        <x:v>white_fish_anchor_fat_class_provisional</x:v>
      </x:c>
      <x:c r="E8" s="46" t="str">
        <x:v>Lateolabrax japonicus muscle</x:v>
      </x:c>
      <x:c r="F8" s="46" t="str">
        <x:v>SRC-FISH-SEABASS-STEAM-001</x:v>
      </x:c>
      <x:c r="G8" s="46" t="str">
        <x:v>Aldehydes</x:v>
      </x:c>
      <x:c r="H8" s="46" t="str">
        <x:v>Hexanal</x:v>
      </x:c>
      <x:c r="I8" s="46" t="str">
        <x:v>M</x:v>
      </x:c>
      <x:c r="J8" s="46" t="str">
        <x:v>66-25-1</x:v>
      </x:c>
      <x:c r="K8" s="46" t="n">
        <x:v>796.1</x:v>
      </x:c>
      <x:c r="L8" s="46" t="n">
        <x:v>205.4</x:v>
      </x:c>
      <x:c r="M8" s="46" t="n">
        <x:v>1.25</x:v>
      </x:c>
      <x:c r="N8" s="46" t="str">
        <x:v>NIST + IMS database identification; source Table 2 CAS/RI/RT/Dt</x:v>
      </x:c>
      <x:c r="O8" s="46"/>
      <x:c r="P8" s="46" t="str">
        <x:v>partial_no_numeric_match_factor</x:v>
      </x:c>
      <x:c r="Q8" s="46" t="n">
        <x:v>1267.4</x:v>
      </x:c>
      <x:c r="R8" s="46" t="n">
        <x:v>925.3</x:v>
      </x:c>
      <x:c r="S8" s="46" t="n">
        <x:v>1095.6</x:v>
      </x:c>
      <x:c r="T8" s="46" t="n">
        <x:v>432.3</x:v>
      </x:c>
      <x:c r="U8" s="46" t="n">
        <x:v>1498.4</x:v>
      </x:c>
      <x:c r="V8" s="46" t="n">
        <x:v>2144.9</x:v>
      </x:c>
      <x:c r="W8" s="46" t="n">
        <x:v>1842.1</x:v>
      </x:c>
      <x:c r="X8" s="46" t="n">
        <x:v>1761.1</x:v>
      </x:c>
      <x:c r="Y8" s="46" t="str">
        <x:v>GC-IMS peak volume; four raw then four steamed slaughter groups</x:v>
      </x:c>
      <x:c r="Z8" s="46"/>
      <x:c r="AA8" t="str">
        <x:v>Aldehydes</x:v>
      </x:c>
    </x:row>
    <x:row r="9" ht="26.399999618530273" hidden="0" customHeight="1">
      <x:c r="A9" s="46" t="str">
        <x:v>DFS-SB-008</x:v>
      </x:c>
      <x:c r="B9" s="46" t="str">
        <x:v>fish:sea_bass</x:v>
      </x:c>
      <x:c r="C9" s="46" t="str">
        <x:v>family:finfish</x:v>
      </x:c>
      <x:c r="D9" s="46" t="str">
        <x:v>white_fish_anchor_fat_class_provisional</x:v>
      </x:c>
      <x:c r="E9" s="46" t="str">
        <x:v>Lateolabrax japonicus muscle</x:v>
      </x:c>
      <x:c r="F9" s="46" t="str">
        <x:v>SRC-FISH-SEABASS-STEAM-001</x:v>
      </x:c>
      <x:c r="G9" s="46" t="str">
        <x:v>Aldehydes</x:v>
      </x:c>
      <x:c r="H9" s="46" t="str">
        <x:v>Hexanal</x:v>
      </x:c>
      <x:c r="I9" s="46" t="str">
        <x:v>D</x:v>
      </x:c>
      <x:c r="J9" s="46" t="str">
        <x:v>66-25-1</x:v>
      </x:c>
      <x:c r="K9" s="46" t="n">
        <x:v>795.6</x:v>
      </x:c>
      <x:c r="L9" s="46" t="n">
        <x:v>205.1</x:v>
      </x:c>
      <x:c r="M9" s="46" t="n">
        <x:v>1.57</x:v>
      </x:c>
      <x:c r="N9" s="46" t="str">
        <x:v>NIST + IMS database identification; source Table 2 CAS/RI/RT/Dt</x:v>
      </x:c>
      <x:c r="O9" s="46"/>
      <x:c r="P9" s="46" t="str">
        <x:v>partial_no_numeric_match_factor</x:v>
      </x:c>
      <x:c r="Q9" s="46" t="n">
        <x:v>1741</x:v>
      </x:c>
      <x:c r="R9" s="46" t="n">
        <x:v>541.2</x:v>
      </x:c>
      <x:c r="S9" s="46" t="n">
        <x:v>1255.3</x:v>
      </x:c>
      <x:c r="T9" s="46" t="n">
        <x:v>256.6</x:v>
      </x:c>
      <x:c r="U9" s="46" t="n">
        <x:v>4895.1</x:v>
      </x:c>
      <x:c r="V9" s="46" t="n">
        <x:v>5950.6</x:v>
      </x:c>
      <x:c r="W9" s="46" t="n">
        <x:v>6035.4</x:v>
      </x:c>
      <x:c r="X9" s="46" t="n">
        <x:v>4906.4</x:v>
      </x:c>
      <x:c r="Y9" s="46" t="str">
        <x:v>GC-IMS peak volume; four raw then four steamed slaughter groups</x:v>
      </x:c>
      <x:c r="Z9" s="46"/>
      <x:c r="AA9" t="str">
        <x:v>Aldehydes</x:v>
      </x:c>
    </x:row>
    <x:row r="10" ht="26.399999618530273" hidden="0" customHeight="1">
      <x:c r="A10" s="46" t="str">
        <x:v>DFS-SB-009</x:v>
      </x:c>
      <x:c r="B10" s="46" t="str">
        <x:v>fish:sea_bass</x:v>
      </x:c>
      <x:c r="C10" s="46" t="str">
        <x:v>family:finfish</x:v>
      </x:c>
      <x:c r="D10" s="46" t="str">
        <x:v>white_fish_anchor_fat_class_provisional</x:v>
      </x:c>
      <x:c r="E10" s="46" t="str">
        <x:v>Lateolabrax japonicus muscle</x:v>
      </x:c>
      <x:c r="F10" s="46" t="str">
        <x:v>SRC-FISH-SEABASS-STEAM-001</x:v>
      </x:c>
      <x:c r="G10" s="46" t="str">
        <x:v>Aldehydes</x:v>
      </x:c>
      <x:c r="H10" s="46" t="str">
        <x:v>Pentanal</x:v>
      </x:c>
      <x:c r="I10" s="46" t="str">
        <x:v>M</x:v>
      </x:c>
      <x:c r="J10" s="46" t="str">
        <x:v>110-62-3</x:v>
      </x:c>
      <x:c r="K10" s="46" t="n">
        <x:v>694.2</x:v>
      </x:c>
      <x:c r="L10" s="46" t="n">
        <x:v>162.5</x:v>
      </x:c>
      <x:c r="M10" s="46" t="n">
        <x:v>1.18</x:v>
      </x:c>
      <x:c r="N10" s="46" t="str">
        <x:v>NIST + IMS database identification; source Table 2 CAS/RI/RT/Dt</x:v>
      </x:c>
      <x:c r="O10" s="46"/>
      <x:c r="P10" s="46" t="str">
        <x:v>partial_no_numeric_match_factor</x:v>
      </x:c>
      <x:c r="Q10" s="46" t="n">
        <x:v>594.1</x:v>
      </x:c>
      <x:c r="R10" s="46" t="n">
        <x:v>451.9</x:v>
      </x:c>
      <x:c r="S10" s="46" t="n">
        <x:v>389</x:v>
      </x:c>
      <x:c r="T10" s="46" t="n">
        <x:v>273.2</x:v>
      </x:c>
      <x:c r="U10" s="46" t="n">
        <x:v>584.5</x:v>
      </x:c>
      <x:c r="V10" s="46" t="n">
        <x:v>877.4</x:v>
      </x:c>
      <x:c r="W10" s="46" t="n">
        <x:v>955.1</x:v>
      </x:c>
      <x:c r="X10" s="46" t="n">
        <x:v>822.4</x:v>
      </x:c>
      <x:c r="Y10" s="46" t="str">
        <x:v>GC-IMS peak volume; four raw then four steamed slaughter groups</x:v>
      </x:c>
      <x:c r="Z10" s="46"/>
      <x:c r="AA10" t="str">
        <x:v>Aldehydes</x:v>
      </x:c>
    </x:row>
    <x:row r="11" ht="26.399999618530273" hidden="0" customHeight="1">
      <x:c r="A11" s="46" t="str">
        <x:v>DFS-SB-010</x:v>
      </x:c>
      <x:c r="B11" s="46" t="str">
        <x:v>fish:sea_bass</x:v>
      </x:c>
      <x:c r="C11" s="46" t="str">
        <x:v>family:finfish</x:v>
      </x:c>
      <x:c r="D11" s="46" t="str">
        <x:v>white_fish_anchor_fat_class_provisional</x:v>
      </x:c>
      <x:c r="E11" s="46" t="str">
        <x:v>Lateolabrax japonicus muscle</x:v>
      </x:c>
      <x:c r="F11" s="46" t="str">
        <x:v>SRC-FISH-SEABASS-STEAM-001</x:v>
      </x:c>
      <x:c r="G11" s="46" t="str">
        <x:v>Aldehydes</x:v>
      </x:c>
      <x:c r="H11" s="46" t="str">
        <x:v>2-Methylbutanal</x:v>
      </x:c>
      <x:c r="I11" s="46" t="str">
        <x:v>M</x:v>
      </x:c>
      <x:c r="J11" s="46" t="str">
        <x:v>96-17-3</x:v>
      </x:c>
      <x:c r="K11" s="46" t="n">
        <x:v>665.6</x:v>
      </x:c>
      <x:c r="L11" s="46" t="n">
        <x:v>154.1</x:v>
      </x:c>
      <x:c r="M11" s="46" t="n">
        <x:v>1.16</x:v>
      </x:c>
      <x:c r="N11" s="46" t="str">
        <x:v>NIST + IMS database identification; source Table 2 CAS/RI/RT/Dt</x:v>
      </x:c>
      <x:c r="O11" s="46"/>
      <x:c r="P11" s="46" t="str">
        <x:v>partial_no_numeric_match_factor</x:v>
      </x:c>
      <x:c r="Q11" s="46" t="n">
        <x:v>535.7</x:v>
      </x:c>
      <x:c r="R11" s="46" t="n">
        <x:v>538.5</x:v>
      </x:c>
      <x:c r="S11" s="46" t="n">
        <x:v>421</x:v>
      </x:c>
      <x:c r="T11" s="46" t="n">
        <x:v>268.4</x:v>
      </x:c>
      <x:c r="U11" s="46" t="n">
        <x:v>195.7</x:v>
      </x:c>
      <x:c r="V11" s="46" t="n">
        <x:v>323.9</x:v>
      </x:c>
      <x:c r="W11" s="46" t="n">
        <x:v>280.1</x:v>
      </x:c>
      <x:c r="X11" s="46" t="n">
        <x:v>216.5</x:v>
      </x:c>
      <x:c r="Y11" s="46" t="str">
        <x:v>GC-IMS peak volume; four raw then four steamed slaughter groups</x:v>
      </x:c>
      <x:c r="Z11" s="46"/>
      <x:c r="AA11" t="str">
        <x:v>Aldehydes</x:v>
      </x:c>
    </x:row>
    <x:row r="12" ht="26.399999618530273" hidden="0" customHeight="1">
      <x:c r="A12" s="46" t="str">
        <x:v>DFS-SB-011</x:v>
      </x:c>
      <x:c r="B12" s="46" t="str">
        <x:v>fish:sea_bass</x:v>
      </x:c>
      <x:c r="C12" s="46" t="str">
        <x:v>family:finfish</x:v>
      </x:c>
      <x:c r="D12" s="46" t="str">
        <x:v>white_fish_anchor_fat_class_provisional</x:v>
      </x:c>
      <x:c r="E12" s="46" t="str">
        <x:v>Lateolabrax japonicus muscle</x:v>
      </x:c>
      <x:c r="F12" s="46" t="str">
        <x:v>SRC-FISH-SEABASS-STEAM-001</x:v>
      </x:c>
      <x:c r="G12" s="46" t="str">
        <x:v>Aldehydes</x:v>
      </x:c>
      <x:c r="H12" s="46" t="str">
        <x:v>3-Methylbutanal</x:v>
      </x:c>
      <x:c r="I12" s="46" t="str">
        <x:v>M</x:v>
      </x:c>
      <x:c r="J12" s="46" t="str">
        <x:v>590-86-3</x:v>
      </x:c>
      <x:c r="K12" s="46" t="n">
        <x:v>644.6</x:v>
      </x:c>
      <x:c r="L12" s="46" t="n">
        <x:v>148.4</x:v>
      </x:c>
      <x:c r="M12" s="46" t="n">
        <x:v>1.17</x:v>
      </x:c>
      <x:c r="N12" s="46" t="str">
        <x:v>NIST + IMS database identification; source Table 2 CAS/RI/RT/Dt</x:v>
      </x:c>
      <x:c r="O12" s="46"/>
      <x:c r="P12" s="46" t="str">
        <x:v>partial_no_numeric_match_factor</x:v>
      </x:c>
      <x:c r="Q12" s="46" t="n">
        <x:v>602.6</x:v>
      </x:c>
      <x:c r="R12" s="46" t="n">
        <x:v>734.6</x:v>
      </x:c>
      <x:c r="S12" s="46" t="n">
        <x:v>441.1</x:v>
      </x:c>
      <x:c r="T12" s="46" t="n">
        <x:v>239.7</x:v>
      </x:c>
      <x:c r="U12" s="46" t="n">
        <x:v>275.2</x:v>
      </x:c>
      <x:c r="V12" s="46" t="n">
        <x:v>496.7</x:v>
      </x:c>
      <x:c r="W12" s="46" t="n">
        <x:v>550.9</x:v>
      </x:c>
      <x:c r="X12" s="46" t="n">
        <x:v>340.4</x:v>
      </x:c>
      <x:c r="Y12" s="46" t="str">
        <x:v>GC-IMS peak volume; four raw then four steamed slaughter groups</x:v>
      </x:c>
      <x:c r="Z12" s="46"/>
      <x:c r="AA12" t="str">
        <x:v>Aldehydes</x:v>
      </x:c>
    </x:row>
    <x:row r="13" ht="26.399999618530273" hidden="0" customHeight="1">
      <x:c r="A13" s="46" t="str">
        <x:v>DFS-SB-012</x:v>
      </x:c>
      <x:c r="B13" s="46" t="str">
        <x:v>fish:sea_bass</x:v>
      </x:c>
      <x:c r="C13" s="46" t="str">
        <x:v>family:finfish</x:v>
      </x:c>
      <x:c r="D13" s="46" t="str">
        <x:v>white_fish_anchor_fat_class_provisional</x:v>
      </x:c>
      <x:c r="E13" s="46" t="str">
        <x:v>Lateolabrax japonicus muscle</x:v>
      </x:c>
      <x:c r="F13" s="46" t="str">
        <x:v>SRC-FISH-SEABASS-STEAM-001</x:v>
      </x:c>
      <x:c r="G13" s="46" t="str">
        <x:v>Aldehydes</x:v>
      </x:c>
      <x:c r="H13" s="46" t="str">
        <x:v>2-Methylbutanal</x:v>
      </x:c>
      <x:c r="I13" s="46" t="str">
        <x:v>D</x:v>
      </x:c>
      <x:c r="J13" s="46" t="str">
        <x:v>96-17-3</x:v>
      </x:c>
      <x:c r="K13" s="46" t="n">
        <x:v>662.6</x:v>
      </x:c>
      <x:c r="L13" s="46" t="n">
        <x:v>153.3</x:v>
      </x:c>
      <x:c r="M13" s="46" t="n">
        <x:v>1.39</x:v>
      </x:c>
      <x:c r="N13" s="46" t="str">
        <x:v>NIST + IMS database identification; source Table 2 CAS/RI/RT/Dt</x:v>
      </x:c>
      <x:c r="O13" s="46"/>
      <x:c r="P13" s="46" t="str">
        <x:v>partial_no_numeric_match_factor</x:v>
      </x:c>
      <x:c r="Q13" s="46" t="n">
        <x:v>1268</x:v>
      </x:c>
      <x:c r="R13" s="46" t="n">
        <x:v>1383</x:v>
      </x:c>
      <x:c r="S13" s="46" t="n">
        <x:v>558.3</x:v>
      </x:c>
      <x:c r="T13" s="46" t="n">
        <x:v>938.2</x:v>
      </x:c>
      <x:c r="U13" s="46" t="n">
        <x:v>1497.3</x:v>
      </x:c>
      <x:c r="V13" s="46" t="n">
        <x:v>1269.8</x:v>
      </x:c>
      <x:c r="W13" s="46" t="n">
        <x:v>361.8</x:v>
      </x:c>
      <x:c r="X13" s="46" t="n">
        <x:v>1430.6</x:v>
      </x:c>
      <x:c r="Y13" s="46" t="str">
        <x:v>GC-IMS peak volume; four raw then four steamed slaughter groups</x:v>
      </x:c>
      <x:c r="Z13" s="46"/>
      <x:c r="AA13" t="str">
        <x:v>Aldehydes</x:v>
      </x:c>
    </x:row>
    <x:row r="14" ht="26.399999618530273" hidden="0" customHeight="1">
      <x:c r="A14" s="46" t="str">
        <x:v>DFS-SB-013</x:v>
      </x:c>
      <x:c r="B14" s="46" t="str">
        <x:v>fish:sea_bass</x:v>
      </x:c>
      <x:c r="C14" s="46" t="str">
        <x:v>family:finfish</x:v>
      </x:c>
      <x:c r="D14" s="46" t="str">
        <x:v>white_fish_anchor_fat_class_provisional</x:v>
      </x:c>
      <x:c r="E14" s="46" t="str">
        <x:v>Lateolabrax japonicus muscle</x:v>
      </x:c>
      <x:c r="F14" s="46" t="str">
        <x:v>SRC-FISH-SEABASS-STEAM-001</x:v>
      </x:c>
      <x:c r="G14" s="46" t="str">
        <x:v>Aldehydes</x:v>
      </x:c>
      <x:c r="H14" s="46" t="str">
        <x:v>3-Methylbutanal</x:v>
      </x:c>
      <x:c r="I14" s="46" t="str">
        <x:v>D</x:v>
      </x:c>
      <x:c r="J14" s="46" t="str">
        <x:v>590-86-3</x:v>
      </x:c>
      <x:c r="K14" s="46" t="n">
        <x:v>649.6</x:v>
      </x:c>
      <x:c r="L14" s="46" t="n">
        <x:v>149.8</x:v>
      </x:c>
      <x:c r="M14" s="46" t="n">
        <x:v>1.41</x:v>
      </x:c>
      <x:c r="N14" s="46" t="str">
        <x:v>NIST + IMS database identification; source Table 2 CAS/RI/RT/Dt</x:v>
      </x:c>
      <x:c r="O14" s="46"/>
      <x:c r="P14" s="46" t="str">
        <x:v>partial_no_numeric_match_factor</x:v>
      </x:c>
      <x:c r="Q14" s="46" t="n">
        <x:v>1276.6</x:v>
      </x:c>
      <x:c r="R14" s="46" t="n">
        <x:v>1494.3</x:v>
      </x:c>
      <x:c r="S14" s="46" t="n">
        <x:v>545</x:v>
      </x:c>
      <x:c r="T14" s="46" t="n">
        <x:v>995.1</x:v>
      </x:c>
      <x:c r="U14" s="46" t="n">
        <x:v>2230.6</x:v>
      </x:c>
      <x:c r="V14" s="46" t="n">
        <x:v>2126.1</x:v>
      </x:c>
      <x:c r="W14" s="46" t="n">
        <x:v>536.1</x:v>
      </x:c>
      <x:c r="X14" s="46" t="n">
        <x:v>2442.6</x:v>
      </x:c>
      <x:c r="Y14" s="46" t="str">
        <x:v>GC-IMS peak volume; four raw then four steamed slaughter groups</x:v>
      </x:c>
      <x:c r="Z14" s="46"/>
      <x:c r="AA14" t="str">
        <x:v>Aldehydes</x:v>
      </x:c>
    </x:row>
    <x:row r="15" ht="26.399999618530273" hidden="0" customHeight="1">
      <x:c r="A15" s="46" t="str">
        <x:v>DFS-SB-014</x:v>
      </x:c>
      <x:c r="B15" s="46" t="str">
        <x:v>fish:sea_bass</x:v>
      </x:c>
      <x:c r="C15" s="46" t="str">
        <x:v>family:finfish</x:v>
      </x:c>
      <x:c r="D15" s="46" t="str">
        <x:v>white_fish_anchor_fat_class_provisional</x:v>
      </x:c>
      <x:c r="E15" s="46" t="str">
        <x:v>Lateolabrax japonicus muscle</x:v>
      </x:c>
      <x:c r="F15" s="46" t="str">
        <x:v>SRC-FISH-SEABASS-STEAM-001</x:v>
      </x:c>
      <x:c r="G15" s="46" t="str">
        <x:v>Aldehydes</x:v>
      </x:c>
      <x:c r="H15" s="46" t="str">
        <x:v>Pentanal</x:v>
      </x:c>
      <x:c r="I15" s="46" t="str">
        <x:v>D</x:v>
      </x:c>
      <x:c r="J15" s="46" t="str">
        <x:v>110-62-3</x:v>
      </x:c>
      <x:c r="K15" s="46" t="n">
        <x:v>695.9</x:v>
      </x:c>
      <x:c r="L15" s="46" t="n">
        <x:v>163.2</x:v>
      </x:c>
      <x:c r="M15" s="46" t="n">
        <x:v>1.43</x:v>
      </x:c>
      <x:c r="N15" s="46" t="str">
        <x:v>NIST + IMS database identification; source Table 2 CAS/RI/RT/Dt</x:v>
      </x:c>
      <x:c r="O15" s="46"/>
      <x:c r="P15" s="46" t="str">
        <x:v>partial_no_numeric_match_factor</x:v>
      </x:c>
      <x:c r="Q15" s="46" t="n">
        <x:v>102.9</x:v>
      </x:c>
      <x:c r="R15" s="46" t="n">
        <x:v>41.9</x:v>
      </x:c>
      <x:c r="S15" s="46" t="n">
        <x:v>56.2</x:v>
      </x:c>
      <x:c r="T15" s="46" t="n">
        <x:v>39.2</x:v>
      </x:c>
      <x:c r="U15" s="46" t="n">
        <x:v>873.1</x:v>
      </x:c>
      <x:c r="V15" s="46" t="n">
        <x:v>1860.4</x:v>
      </x:c>
      <x:c r="W15" s="46" t="n">
        <x:v>2064.4</x:v>
      </x:c>
      <x:c r="X15" s="46" t="n">
        <x:v>1502</x:v>
      </x:c>
      <x:c r="Y15" s="46" t="str">
        <x:v>GC-IMS peak volume; four raw then four steamed slaughter groups</x:v>
      </x:c>
      <x:c r="Z15" s="46"/>
      <x:c r="AA15" t="str">
        <x:v>Aldehydes</x:v>
      </x:c>
    </x:row>
    <x:row r="16" ht="26.399999618530273" hidden="0" customHeight="1">
      <x:c r="A16" s="46" t="str">
        <x:v>DFS-SB-015</x:v>
      </x:c>
      <x:c r="B16" s="46" t="str">
        <x:v>fish:sea_bass</x:v>
      </x:c>
      <x:c r="C16" s="46" t="str">
        <x:v>family:finfish</x:v>
      </x:c>
      <x:c r="D16" s="46" t="str">
        <x:v>white_fish_anchor_fat_class_provisional</x:v>
      </x:c>
      <x:c r="E16" s="46" t="str">
        <x:v>Lateolabrax japonicus muscle</x:v>
      </x:c>
      <x:c r="F16" s="46" t="str">
        <x:v>SRC-FISH-SEABASS-STEAM-001</x:v>
      </x:c>
      <x:c r="G16" s="46" t="str">
        <x:v>Aldehydes</x:v>
      </x:c>
      <x:c r="H16" s="46" t="str">
        <x:v>(E)-2-Pentenal</x:v>
      </x:c>
      <x:c r="I16" s="46" t="str">
        <x:v>M</x:v>
      </x:c>
      <x:c r="J16" s="46" t="str">
        <x:v>1576-87-0</x:v>
      </x:c>
      <x:c r="K16" s="46" t="n">
        <x:v>749.6</x:v>
      </x:c>
      <x:c r="L16" s="46" t="n">
        <x:v>185</x:v>
      </x:c>
      <x:c r="M16" s="46" t="n">
        <x:v>1.11</x:v>
      </x:c>
      <x:c r="N16" s="46" t="str">
        <x:v>NIST + IMS database identification; source Table 2 CAS/RI/RT/Dt</x:v>
      </x:c>
      <x:c r="O16" s="46"/>
      <x:c r="P16" s="46" t="str">
        <x:v>partial_no_numeric_match_factor</x:v>
      </x:c>
      <x:c r="Q16" s="46" t="n">
        <x:v>26.8</x:v>
      </x:c>
      <x:c r="R16" s="46" t="n">
        <x:v>22.7</x:v>
      </x:c>
      <x:c r="S16" s="46" t="n">
        <x:v>64.2</x:v>
      </x:c>
      <x:c r="T16" s="46" t="n">
        <x:v>67.8</x:v>
      </x:c>
      <x:c r="U16" s="46" t="n">
        <x:v>95.8</x:v>
      </x:c>
      <x:c r="V16" s="46" t="n">
        <x:v>164</x:v>
      </x:c>
      <x:c r="W16" s="46" t="n">
        <x:v>212.9</x:v>
      </x:c>
      <x:c r="X16" s="46" t="n">
        <x:v>240.6</x:v>
      </x:c>
      <x:c r="Y16" s="46" t="str">
        <x:v>GC-IMS peak volume; four raw then four steamed slaughter groups</x:v>
      </x:c>
      <x:c r="Z16" s="46"/>
      <x:c r="AA16" t="str">
        <x:v>Aldehydes</x:v>
      </x:c>
    </x:row>
    <x:row r="17" ht="26.399999618530273" hidden="0" customHeight="1">
      <x:c r="A17" s="46" t="str">
        <x:v>DFS-SB-016</x:v>
      </x:c>
      <x:c r="B17" s="46" t="str">
        <x:v>fish:sea_bass</x:v>
      </x:c>
      <x:c r="C17" s="46" t="str">
        <x:v>family:finfish</x:v>
      </x:c>
      <x:c r="D17" s="46" t="str">
        <x:v>white_fish_anchor_fat_class_provisional</x:v>
      </x:c>
      <x:c r="E17" s="46" t="str">
        <x:v>Lateolabrax japonicus muscle</x:v>
      </x:c>
      <x:c r="F17" s="46" t="str">
        <x:v>SRC-FISH-SEABASS-STEAM-001</x:v>
      </x:c>
      <x:c r="G17" s="46" t="str">
        <x:v>Aldehydes</x:v>
      </x:c>
      <x:c r="H17" s="46" t="str">
        <x:v>(E)-2-Pentenal</x:v>
      </x:c>
      <x:c r="I17" s="46" t="str">
        <x:v>D</x:v>
      </x:c>
      <x:c r="J17" s="46" t="str">
        <x:v>1576-87-0</x:v>
      </x:c>
      <x:c r="K17" s="46" t="n">
        <x:v>748.3</x:v>
      </x:c>
      <x:c r="L17" s="46" t="n">
        <x:v>184.5</x:v>
      </x:c>
      <x:c r="M17" s="46" t="n">
        <x:v>1.37</x:v>
      </x:c>
      <x:c r="N17" s="46" t="str">
        <x:v>NIST + IMS database identification; source Table 2 CAS/RI/RT/Dt</x:v>
      </x:c>
      <x:c r="O17" s="46"/>
      <x:c r="P17" s="46" t="str">
        <x:v>partial_no_numeric_match_factor</x:v>
      </x:c>
      <x:c r="Q17" s="46" t="n">
        <x:v>8.1</x:v>
      </x:c>
      <x:c r="R17" s="46" t="n">
        <x:v>5.6</x:v>
      </x:c>
      <x:c r="S17" s="46" t="n">
        <x:v>12.1</x:v>
      </x:c>
      <x:c r="T17" s="46" t="n">
        <x:v>6.8</x:v>
      </x:c>
      <x:c r="U17" s="46" t="n">
        <x:v>23.7</x:v>
      </x:c>
      <x:c r="V17" s="46" t="n">
        <x:v>51.9</x:v>
      </x:c>
      <x:c r="W17" s="46" t="n">
        <x:v>108.6</x:v>
      </x:c>
      <x:c r="X17" s="46" t="n">
        <x:v>202.4</x:v>
      </x:c>
      <x:c r="Y17" s="46" t="str">
        <x:v>GC-IMS peak volume; four raw then four steamed slaughter groups</x:v>
      </x:c>
      <x:c r="Z17" s="46"/>
      <x:c r="AA17" t="str">
        <x:v>Aldehydes</x:v>
      </x:c>
    </x:row>
    <x:row r="18" ht="26.399999618530273" hidden="0" customHeight="1">
      <x:c r="A18" s="46" t="str">
        <x:v>DFS-SB-017</x:v>
      </x:c>
      <x:c r="B18" s="46" t="str">
        <x:v>fish:sea_bass</x:v>
      </x:c>
      <x:c r="C18" s="46" t="str">
        <x:v>family:finfish</x:v>
      </x:c>
      <x:c r="D18" s="46" t="str">
        <x:v>white_fish_anchor_fat_class_provisional</x:v>
      </x:c>
      <x:c r="E18" s="46" t="str">
        <x:v>Lateolabrax japonicus muscle</x:v>
      </x:c>
      <x:c r="F18" s="46" t="str">
        <x:v>SRC-FISH-SEABASS-STEAM-001</x:v>
      </x:c>
      <x:c r="G18" s="46" t="str">
        <x:v>Alcohols</x:v>
      </x:c>
      <x:c r="H18" s="46" t="str">
        <x:v>1-Octen-3-ol</x:v>
      </x:c>
      <x:c r="I18" s="46" t="str">
        <x:v>M</x:v>
      </x:c>
      <x:c r="J18" s="46" t="str">
        <x:v>3391-86-4</x:v>
      </x:c>
      <x:c r="K18" s="46" t="n">
        <x:v>982.4</x:v>
      </x:c>
      <x:c r="L18" s="46" t="n">
        <x:v>333.9</x:v>
      </x:c>
      <x:c r="M18" s="46" t="n">
        <x:v>1.16</x:v>
      </x:c>
      <x:c r="N18" s="46" t="str">
        <x:v>NIST + IMS database identification; source Table 2 CAS/RI/RT/Dt</x:v>
      </x:c>
      <x:c r="O18" s="46"/>
      <x:c r="P18" s="46" t="str">
        <x:v>partial_no_numeric_match_factor</x:v>
      </x:c>
      <x:c r="Q18" s="46" t="n">
        <x:v>123.5</x:v>
      </x:c>
      <x:c r="R18" s="46" t="n">
        <x:v>100.3</x:v>
      </x:c>
      <x:c r="S18" s="46" t="n">
        <x:v>124.3</x:v>
      </x:c>
      <x:c r="T18" s="46" t="n">
        <x:v>91.6</x:v>
      </x:c>
      <x:c r="U18" s="46" t="n">
        <x:v>588.5</x:v>
      </x:c>
      <x:c r="V18" s="46" t="n">
        <x:v>1181</x:v>
      </x:c>
      <x:c r="W18" s="46" t="n">
        <x:v>1431.6</x:v>
      </x:c>
      <x:c r="X18" s="46" t="n">
        <x:v>1749.6</x:v>
      </x:c>
      <x:c r="Y18" s="46" t="str">
        <x:v>GC-IMS peak volume; four raw then four steamed slaughter groups</x:v>
      </x:c>
      <x:c r="Z18" s="46"/>
      <x:c r="AA18" t="str">
        <x:v>Alcohols</x:v>
      </x:c>
    </x:row>
    <x:row r="19" ht="26.399999618530273" hidden="0" customHeight="1">
      <x:c r="A19" s="46" t="str">
        <x:v>DFS-SB-018</x:v>
      </x:c>
      <x:c r="B19" s="46" t="str">
        <x:v>fish:sea_bass</x:v>
      </x:c>
      <x:c r="C19" s="46" t="str">
        <x:v>family:finfish</x:v>
      </x:c>
      <x:c r="D19" s="46" t="str">
        <x:v>white_fish_anchor_fat_class_provisional</x:v>
      </x:c>
      <x:c r="E19" s="46" t="str">
        <x:v>Lateolabrax japonicus muscle</x:v>
      </x:c>
      <x:c r="F19" s="46" t="str">
        <x:v>SRC-FISH-SEABASS-STEAM-001</x:v>
      </x:c>
      <x:c r="G19" s="46" t="str">
        <x:v>Alcohols</x:v>
      </x:c>
      <x:c r="H19" s="46" t="str">
        <x:v>1-Octen-3-ol</x:v>
      </x:c>
      <x:c r="I19" s="46" t="str">
        <x:v>D</x:v>
      </x:c>
      <x:c r="J19" s="46" t="str">
        <x:v>3391-86-4</x:v>
      </x:c>
      <x:c r="K19" s="46" t="n">
        <x:v>979.3</x:v>
      </x:c>
      <x:c r="L19" s="46" t="n">
        <x:v>331.2</x:v>
      </x:c>
      <x:c r="M19" s="46" t="n">
        <x:v>1.6</x:v>
      </x:c>
      <x:c r="N19" s="46" t="str">
        <x:v>NIST + IMS database identification; source Table 2 CAS/RI/RT/Dt</x:v>
      </x:c>
      <x:c r="O19" s="46"/>
      <x:c r="P19" s="46" t="str">
        <x:v>partial_no_numeric_match_factor</x:v>
      </x:c>
      <x:c r="Q19" s="46" t="n">
        <x:v>40.3</x:v>
      </x:c>
      <x:c r="R19" s="46" t="n">
        <x:v>41.9</x:v>
      </x:c>
      <x:c r="S19" s="46" t="n">
        <x:v>41.1</x:v>
      </x:c>
      <x:c r="T19" s="46" t="n">
        <x:v>36.6</x:v>
      </x:c>
      <x:c r="U19" s="46" t="n">
        <x:v>60</x:v>
      </x:c>
      <x:c r="V19" s="46" t="n">
        <x:v>119.2</x:v>
      </x:c>
      <x:c r="W19" s="46" t="n">
        <x:v>189</x:v>
      </x:c>
      <x:c r="X19" s="46" t="n">
        <x:v>283.3</x:v>
      </x:c>
      <x:c r="Y19" s="46" t="str">
        <x:v>GC-IMS peak volume; four raw then four steamed slaughter groups</x:v>
      </x:c>
      <x:c r="Z19" s="46"/>
      <x:c r="AA19" t="str">
        <x:v>Alcohols</x:v>
      </x:c>
    </x:row>
    <x:row r="20" ht="26.399999618530273" hidden="0" customHeight="1">
      <x:c r="A20" s="46" t="str">
        <x:v>DFS-SB-019</x:v>
      </x:c>
      <x:c r="B20" s="46" t="str">
        <x:v>fish:sea_bass</x:v>
      </x:c>
      <x:c r="C20" s="46" t="str">
        <x:v>family:finfish</x:v>
      </x:c>
      <x:c r="D20" s="46" t="str">
        <x:v>white_fish_anchor_fat_class_provisional</x:v>
      </x:c>
      <x:c r="E20" s="46" t="str">
        <x:v>Lateolabrax japonicus muscle</x:v>
      </x:c>
      <x:c r="F20" s="46" t="str">
        <x:v>SRC-FISH-SEABASS-STEAM-001</x:v>
      </x:c>
      <x:c r="G20" s="46" t="str">
        <x:v>Alcohols</x:v>
      </x:c>
      <x:c r="H20" s="46" t="str">
        <x:v>1-Hexanol</x:v>
      </x:c>
      <x:c r="I20" s="46" t="str">
        <x:v>M</x:v>
      </x:c>
      <x:c r="J20" s="46" t="str">
        <x:v>111-27-3</x:v>
      </x:c>
      <x:c r="K20" s="46" t="n">
        <x:v>870.9</x:v>
      </x:c>
      <x:c r="L20" s="46" t="n">
        <x:v>245.5</x:v>
      </x:c>
      <x:c r="M20" s="46" t="n">
        <x:v>1.32</x:v>
      </x:c>
      <x:c r="N20" s="46" t="str">
        <x:v>NIST + IMS database identification; source Table 2 CAS/RI/RT/Dt</x:v>
      </x:c>
      <x:c r="O20" s="46"/>
      <x:c r="P20" s="46" t="str">
        <x:v>partial_no_numeric_match_factor</x:v>
      </x:c>
      <x:c r="Q20" s="46" t="n">
        <x:v>60.6</x:v>
      </x:c>
      <x:c r="R20" s="46" t="n">
        <x:v>54.5</x:v>
      </x:c>
      <x:c r="S20" s="46" t="n">
        <x:v>62.7</x:v>
      </x:c>
      <x:c r="T20" s="46" t="n">
        <x:v>53.8</x:v>
      </x:c>
      <x:c r="U20" s="46" t="n">
        <x:v>412.5</x:v>
      </x:c>
      <x:c r="V20" s="46" t="n">
        <x:v>957.6</x:v>
      </x:c>
      <x:c r="W20" s="46" t="n">
        <x:v>467.2</x:v>
      </x:c>
      <x:c r="X20" s="46" t="n">
        <x:v>1006.3</x:v>
      </x:c>
      <x:c r="Y20" s="46" t="str">
        <x:v>GC-IMS peak volume; four raw then four steamed slaughter groups</x:v>
      </x:c>
      <x:c r="Z20" s="46"/>
      <x:c r="AA20" t="str">
        <x:v>Alcohols</x:v>
      </x:c>
    </x:row>
    <x:row r="21" ht="26.399999618530273" hidden="0" customHeight="1">
      <x:c r="A21" s="46" t="str">
        <x:v>DFS-SB-020</x:v>
      </x:c>
      <x:c r="B21" s="46" t="str">
        <x:v>fish:sea_bass</x:v>
      </x:c>
      <x:c r="C21" s="46" t="str">
        <x:v>family:finfish</x:v>
      </x:c>
      <x:c r="D21" s="46" t="str">
        <x:v>white_fish_anchor_fat_class_provisional</x:v>
      </x:c>
      <x:c r="E21" s="46" t="str">
        <x:v>Lateolabrax japonicus muscle</x:v>
      </x:c>
      <x:c r="F21" s="46" t="str">
        <x:v>SRC-FISH-SEABASS-STEAM-001</x:v>
      </x:c>
      <x:c r="G21" s="46" t="str">
        <x:v>Alcohols</x:v>
      </x:c>
      <x:c r="H21" s="46" t="str">
        <x:v>1-Hexanol</x:v>
      </x:c>
      <x:c r="I21" s="46" t="str">
        <x:v>D</x:v>
      </x:c>
      <x:c r="J21" s="46" t="str">
        <x:v>111-27-3</x:v>
      </x:c>
      <x:c r="K21" s="46" t="n">
        <x:v>874.4</x:v>
      </x:c>
      <x:c r="L21" s="46" t="n">
        <x:v>247.4</x:v>
      </x:c>
      <x:c r="M21" s="46" t="n">
        <x:v>1.64</x:v>
      </x:c>
      <x:c r="N21" s="46" t="str">
        <x:v>NIST + IMS database identification; source Table 2 CAS/RI/RT/Dt</x:v>
      </x:c>
      <x:c r="O21" s="46"/>
      <x:c r="P21" s="46" t="str">
        <x:v>partial_no_numeric_match_factor</x:v>
      </x:c>
      <x:c r="Q21" s="46" t="n">
        <x:v>41</x:v>
      </x:c>
      <x:c r="R21" s="46" t="n">
        <x:v>35.7</x:v>
      </x:c>
      <x:c r="S21" s="46" t="n">
        <x:v>37.7</x:v>
      </x:c>
      <x:c r="T21" s="46" t="n">
        <x:v>41.2</x:v>
      </x:c>
      <x:c r="U21" s="46" t="n">
        <x:v>134.3</x:v>
      </x:c>
      <x:c r="V21" s="46" t="n">
        <x:v>928</x:v>
      </x:c>
      <x:c r="W21" s="46" t="n">
        <x:v>436.3</x:v>
      </x:c>
      <x:c r="X21" s="46" t="n">
        <x:v>1820.7</x:v>
      </x:c>
      <x:c r="Y21" s="46" t="str">
        <x:v>GC-IMS peak volume; four raw then four steamed slaughter groups</x:v>
      </x:c>
      <x:c r="Z21" s="46"/>
      <x:c r="AA21" t="str">
        <x:v>Alcohols</x:v>
      </x:c>
    </x:row>
    <x:row r="22" ht="26.399999618530273" hidden="0" customHeight="1">
      <x:c r="A22" s="46" t="str">
        <x:v>DFS-SB-021</x:v>
      </x:c>
      <x:c r="B22" s="46" t="str">
        <x:v>fish:sea_bass</x:v>
      </x:c>
      <x:c r="C22" s="46" t="str">
        <x:v>family:finfish</x:v>
      </x:c>
      <x:c r="D22" s="46" t="str">
        <x:v>white_fish_anchor_fat_class_provisional</x:v>
      </x:c>
      <x:c r="E22" s="46" t="str">
        <x:v>Lateolabrax japonicus muscle</x:v>
      </x:c>
      <x:c r="F22" s="46" t="str">
        <x:v>SRC-FISH-SEABASS-STEAM-001</x:v>
      </x:c>
      <x:c r="G22" s="46" t="str">
        <x:v>Alcohols</x:v>
      </x:c>
      <x:c r="H22" s="46" t="str">
        <x:v>(E)-2-Hexen-1-ol</x:v>
      </x:c>
      <x:c r="I22" s="46" t="str">
        <x:v>M</x:v>
      </x:c>
      <x:c r="J22" s="46" t="str">
        <x:v>928-95-0</x:v>
      </x:c>
      <x:c r="K22" s="46" t="n">
        <x:v>846.7</x:v>
      </x:c>
      <x:c r="L22" s="46" t="n">
        <x:v>232.6</x:v>
      </x:c>
      <x:c r="M22" s="46" t="n">
        <x:v>1.18</x:v>
      </x:c>
      <x:c r="N22" s="46" t="str">
        <x:v>NIST + IMS database identification; source Table 2 CAS/RI/RT/Dt</x:v>
      </x:c>
      <x:c r="O22" s="46"/>
      <x:c r="P22" s="46" t="str">
        <x:v>partial_no_numeric_match_factor</x:v>
      </x:c>
      <x:c r="Q22" s="46" t="n">
        <x:v>60.6</x:v>
      </x:c>
      <x:c r="R22" s="46" t="n">
        <x:v>62.4</x:v>
      </x:c>
      <x:c r="S22" s="46" t="n">
        <x:v>76.5</x:v>
      </x:c>
      <x:c r="T22" s="46" t="n">
        <x:v>61.4</x:v>
      </x:c>
      <x:c r="U22" s="46" t="n">
        <x:v>119.3</x:v>
      </x:c>
      <x:c r="V22" s="46" t="n">
        <x:v>214.7</x:v>
      </x:c>
      <x:c r="W22" s="46" t="n">
        <x:v>266.2</x:v>
      </x:c>
      <x:c r="X22" s="46" t="n">
        <x:v>313.7</x:v>
      </x:c>
      <x:c r="Y22" s="46" t="str">
        <x:v>GC-IMS peak volume; four raw then four steamed slaughter groups</x:v>
      </x:c>
      <x:c r="Z22" s="46"/>
      <x:c r="AA22" t="str">
        <x:v>Alcohols</x:v>
      </x:c>
    </x:row>
    <x:row r="23" ht="26.399999618530273" hidden="0" customHeight="1">
      <x:c r="A23" s="46" t="str">
        <x:v>DFS-SB-022</x:v>
      </x:c>
      <x:c r="B23" s="46" t="str">
        <x:v>fish:sea_bass</x:v>
      </x:c>
      <x:c r="C23" s="46" t="str">
        <x:v>family:finfish</x:v>
      </x:c>
      <x:c r="D23" s="46" t="str">
        <x:v>white_fish_anchor_fat_class_provisional</x:v>
      </x:c>
      <x:c r="E23" s="46" t="str">
        <x:v>Lateolabrax japonicus muscle</x:v>
      </x:c>
      <x:c r="F23" s="46" t="str">
        <x:v>SRC-FISH-SEABASS-STEAM-001</x:v>
      </x:c>
      <x:c r="G23" s="46" t="str">
        <x:v>Alcohols</x:v>
      </x:c>
      <x:c r="H23" s="46" t="str">
        <x:v>(E)-2-Hexen-1-ol</x:v>
      </x:c>
      <x:c r="I23" s="46" t="str">
        <x:v>D</x:v>
      </x:c>
      <x:c r="J23" s="46" t="str">
        <x:v>928-95-0</x:v>
      </x:c>
      <x:c r="K23" s="46" t="n">
        <x:v>846.7</x:v>
      </x:c>
      <x:c r="L23" s="46" t="n">
        <x:v>232.6</x:v>
      </x:c>
      <x:c r="M23" s="46" t="n">
        <x:v>1.52</x:v>
      </x:c>
      <x:c r="N23" s="46" t="str">
        <x:v>NIST + IMS database identification; source Table 2 CAS/RI/RT/Dt</x:v>
      </x:c>
      <x:c r="O23" s="46"/>
      <x:c r="P23" s="46" t="str">
        <x:v>partial_no_numeric_match_factor</x:v>
      </x:c>
      <x:c r="Q23" s="46" t="n">
        <x:v>25.16</x:v>
      </x:c>
      <x:c r="R23" s="46" t="n">
        <x:v>25.56</x:v>
      </x:c>
      <x:c r="S23" s="46" t="n">
        <x:v>17.98</x:v>
      </x:c>
      <x:c r="T23" s="46" t="n">
        <x:v>21.96</x:v>
      </x:c>
      <x:c r="U23" s="46" t="n">
        <x:v>34.2</x:v>
      </x:c>
      <x:c r="V23" s="46" t="n">
        <x:v>134.8</x:v>
      </x:c>
      <x:c r="W23" s="46" t="n">
        <x:v>249.4</x:v>
      </x:c>
      <x:c r="X23" s="46" t="n">
        <x:v>435.7</x:v>
      </x:c>
      <x:c r="Y23" s="46" t="str">
        <x:v>GC-IMS peak volume; four raw then four steamed slaughter groups</x:v>
      </x:c>
      <x:c r="Z23" s="46"/>
      <x:c r="AA23" t="str">
        <x:v>Alcohols</x:v>
      </x:c>
    </x:row>
    <x:row r="24" ht="26.399999618530273" hidden="0" customHeight="1">
      <x:c r="A24" s="46" t="str">
        <x:v>DFS-SB-023</x:v>
      </x:c>
      <x:c r="B24" s="46" t="str">
        <x:v>fish:sea_bass</x:v>
      </x:c>
      <x:c r="C24" s="46" t="str">
        <x:v>family:finfish</x:v>
      </x:c>
      <x:c r="D24" s="46" t="str">
        <x:v>white_fish_anchor_fat_class_provisional</x:v>
      </x:c>
      <x:c r="E24" s="46" t="str">
        <x:v>Lateolabrax japonicus muscle</x:v>
      </x:c>
      <x:c r="F24" s="46" t="str">
        <x:v>SRC-FISH-SEABASS-STEAM-001</x:v>
      </x:c>
      <x:c r="G24" s="46" t="str">
        <x:v>Alcohols</x:v>
      </x:c>
      <x:c r="H24" s="46" t="str">
        <x:v>1-Pentanol</x:v>
      </x:c>
      <x:c r="I24" s="46" t="str">
        <x:v>M</x:v>
      </x:c>
      <x:c r="J24" s="46" t="str">
        <x:v>71-41-0</x:v>
      </x:c>
      <x:c r="K24" s="46" t="n">
        <x:v>764</x:v>
      </x:c>
      <x:c r="L24" s="46" t="n">
        <x:v>190.9</x:v>
      </x:c>
      <x:c r="M24" s="46" t="n">
        <x:v>1.25</x:v>
      </x:c>
      <x:c r="N24" s="46" t="str">
        <x:v>NIST + IMS database identification; source Table 2 CAS/RI/RT/Dt</x:v>
      </x:c>
      <x:c r="O24" s="46"/>
      <x:c r="P24" s="46" t="str">
        <x:v>partial_no_numeric_match_factor</x:v>
      </x:c>
      <x:c r="Q24" s="46" t="n">
        <x:v>99.6</x:v>
      </x:c>
      <x:c r="R24" s="46" t="n">
        <x:v>55.6</x:v>
      </x:c>
      <x:c r="S24" s="46" t="n">
        <x:v>58.1</x:v>
      </x:c>
      <x:c r="T24" s="46" t="n">
        <x:v>47.8</x:v>
      </x:c>
      <x:c r="U24" s="46" t="n">
        <x:v>375.4</x:v>
      </x:c>
      <x:c r="V24" s="46" t="n">
        <x:v>758.8</x:v>
      </x:c>
      <x:c r="W24" s="46" t="n">
        <x:v>685.1</x:v>
      </x:c>
      <x:c r="X24" s="46" t="n">
        <x:v>619.4</x:v>
      </x:c>
      <x:c r="Y24" s="46" t="str">
        <x:v>GC-IMS peak volume; four raw then four steamed slaughter groups</x:v>
      </x:c>
      <x:c r="Z24" s="46"/>
      <x:c r="AA24" t="str">
        <x:v>Alcohols</x:v>
      </x:c>
    </x:row>
    <x:row r="25" ht="26.399999618530273" hidden="0" customHeight="1">
      <x:c r="A25" s="46" t="str">
        <x:v>DFS-SB-024</x:v>
      </x:c>
      <x:c r="B25" s="46" t="str">
        <x:v>fish:sea_bass</x:v>
      </x:c>
      <x:c r="C25" s="46" t="str">
        <x:v>family:finfish</x:v>
      </x:c>
      <x:c r="D25" s="46" t="str">
        <x:v>white_fish_anchor_fat_class_provisional</x:v>
      </x:c>
      <x:c r="E25" s="46" t="str">
        <x:v>Lateolabrax japonicus muscle</x:v>
      </x:c>
      <x:c r="F25" s="46" t="str">
        <x:v>SRC-FISH-SEABASS-STEAM-001</x:v>
      </x:c>
      <x:c r="G25" s="46" t="str">
        <x:v>Alcohols</x:v>
      </x:c>
      <x:c r="H25" s="46" t="str">
        <x:v>1-Propanol</x:v>
      </x:c>
      <x:c r="I25" s="46"/>
      <x:c r="J25" s="46" t="str">
        <x:v>71-23-8</x:v>
      </x:c>
      <x:c r="K25" s="46" t="n">
        <x:v>544.8</x:v>
      </x:c>
      <x:c r="L25" s="46" t="n">
        <x:v>121.5</x:v>
      </x:c>
      <x:c r="M25" s="46" t="n">
        <x:v>1.11</x:v>
      </x:c>
      <x:c r="N25" s="46" t="str">
        <x:v>NIST + IMS database identification; source Table 2 CAS/RI/RT/Dt</x:v>
      </x:c>
      <x:c r="O25" s="46"/>
      <x:c r="P25" s="46" t="str">
        <x:v>partial_no_numeric_match_factor</x:v>
      </x:c>
      <x:c r="Q25" s="46" t="n">
        <x:v>423.6</x:v>
      </x:c>
      <x:c r="R25" s="46" t="n">
        <x:v>451.5</x:v>
      </x:c>
      <x:c r="S25" s="46" t="n">
        <x:v>281.9</x:v>
      </x:c>
      <x:c r="T25" s="46" t="n">
        <x:v>390</x:v>
      </x:c>
      <x:c r="U25" s="46" t="n">
        <x:v>737.4</x:v>
      </x:c>
      <x:c r="V25" s="46" t="n">
        <x:v>1526.4</x:v>
      </x:c>
      <x:c r="W25" s="46" t="n">
        <x:v>1660.4</x:v>
      </x:c>
      <x:c r="X25" s="46" t="n">
        <x:v>1779.3</x:v>
      </x:c>
      <x:c r="Y25" s="46" t="str">
        <x:v>GC-IMS peak volume; four raw then four steamed slaughter groups</x:v>
      </x:c>
      <x:c r="Z25" s="46"/>
      <x:c r="AA25" t="str">
        <x:v>Alcohols</x:v>
      </x:c>
    </x:row>
    <x:row r="26" ht="26.399999618530273" hidden="0" customHeight="1">
      <x:c r="A26" s="46" t="str">
        <x:v>DFS-SB-025</x:v>
      </x:c>
      <x:c r="B26" s="46" t="str">
        <x:v>fish:sea_bass</x:v>
      </x:c>
      <x:c r="C26" s="46" t="str">
        <x:v>family:finfish</x:v>
      </x:c>
      <x:c r="D26" s="46" t="str">
        <x:v>white_fish_anchor_fat_class_provisional</x:v>
      </x:c>
      <x:c r="E26" s="46" t="str">
        <x:v>Lateolabrax japonicus muscle</x:v>
      </x:c>
      <x:c r="F26" s="46" t="str">
        <x:v>SRC-FISH-SEABASS-STEAM-001</x:v>
      </x:c>
      <x:c r="G26" s="46" t="str">
        <x:v>Alcohols</x:v>
      </x:c>
      <x:c r="H26" s="46" t="str">
        <x:v>Ethanol</x:v>
      </x:c>
      <x:c r="I26" s="46"/>
      <x:c r="J26" s="46" t="str">
        <x:v>64-17-5</x:v>
      </x:c>
      <x:c r="K26" s="46" t="n">
        <x:v>458.9</x:v>
      </x:c>
      <x:c r="L26" s="46" t="n">
        <x:v>98.4</x:v>
      </x:c>
      <x:c r="M26" s="46" t="n">
        <x:v>1.13</x:v>
      </x:c>
      <x:c r="N26" s="46" t="str">
        <x:v>NIST + IMS database identification; source Table 2 CAS/RI/RT/Dt</x:v>
      </x:c>
      <x:c r="O26" s="46"/>
      <x:c r="P26" s="46" t="str">
        <x:v>partial_no_numeric_match_factor</x:v>
      </x:c>
      <x:c r="Q26" s="46" t="n">
        <x:v>223</x:v>
      </x:c>
      <x:c r="R26" s="46" t="n">
        <x:v>178.7</x:v>
      </x:c>
      <x:c r="S26" s="46" t="n">
        <x:v>174.3</x:v>
      </x:c>
      <x:c r="T26" s="46" t="n">
        <x:v>6116.3</x:v>
      </x:c>
      <x:c r="U26" s="46" t="n">
        <x:v>5175.2</x:v>
      </x:c>
      <x:c r="V26" s="46" t="n">
        <x:v>856.6</x:v>
      </x:c>
      <x:c r="W26" s="46" t="n">
        <x:v>626.8</x:v>
      </x:c>
      <x:c r="X26" s="46" t="n">
        <x:v>719.8</x:v>
      </x:c>
      <x:c r="Y26" s="46" t="str">
        <x:v>GC-IMS peak volume; four raw then four steamed slaughter groups</x:v>
      </x:c>
      <x:c r="Z26" s="46"/>
      <x:c r="AA26" t="str">
        <x:v>Alcohols</x:v>
      </x:c>
    </x:row>
    <x:row r="27" ht="26.399999618530273" hidden="0" customHeight="1">
      <x:c r="A27" s="46" t="str">
        <x:v>DFS-SB-026</x:v>
      </x:c>
      <x:c r="B27" s="46" t="str">
        <x:v>fish:sea_bass</x:v>
      </x:c>
      <x:c r="C27" s="46" t="str">
        <x:v>family:finfish</x:v>
      </x:c>
      <x:c r="D27" s="46" t="str">
        <x:v>white_fish_anchor_fat_class_provisional</x:v>
      </x:c>
      <x:c r="E27" s="46" t="str">
        <x:v>Lateolabrax japonicus muscle</x:v>
      </x:c>
      <x:c r="F27" s="46" t="str">
        <x:v>SRC-FISH-SEABASS-STEAM-001</x:v>
      </x:c>
      <x:c r="G27" s="46" t="str">
        <x:v>Alcohols</x:v>
      </x:c>
      <x:c r="H27" s="46" t="str">
        <x:v>1-Pentanol</x:v>
      </x:c>
      <x:c r="I27" s="46" t="str">
        <x:v>D</x:v>
      </x:c>
      <x:c r="J27" s="46" t="str">
        <x:v>71-41-0</x:v>
      </x:c>
      <x:c r="K27" s="46" t="n">
        <x:v>767.6</x:v>
      </x:c>
      <x:c r="L27" s="46" t="n">
        <x:v>192.3</x:v>
      </x:c>
      <x:c r="M27" s="46" t="n">
        <x:v>1.51</x:v>
      </x:c>
      <x:c r="N27" s="46" t="str">
        <x:v>NIST + IMS database identification; source Table 2 CAS/RI/RT/Dt</x:v>
      </x:c>
      <x:c r="O27" s="46"/>
      <x:c r="P27" s="46" t="str">
        <x:v>partial_no_numeric_match_factor</x:v>
      </x:c>
      <x:c r="Q27" s="46" t="n">
        <x:v>23.9</x:v>
      </x:c>
      <x:c r="R27" s="46" t="n">
        <x:v>23.7</x:v>
      </x:c>
      <x:c r="S27" s="46" t="n">
        <x:v>24.9</x:v>
      </x:c>
      <x:c r="T27" s="46" t="n">
        <x:v>23.5</x:v>
      </x:c>
      <x:c r="U27" s="46" t="n">
        <x:v>275.6</x:v>
      </x:c>
      <x:c r="V27" s="46" t="n">
        <x:v>959.1</x:v>
      </x:c>
      <x:c r="W27" s="46" t="n">
        <x:v>1040.5</x:v>
      </x:c>
      <x:c r="X27" s="46" t="n">
        <x:v>1286.2</x:v>
      </x:c>
      <x:c r="Y27" s="46" t="str">
        <x:v>GC-IMS peak volume; four raw then four steamed slaughter groups</x:v>
      </x:c>
      <x:c r="Z27" s="46"/>
      <x:c r="AA27" t="str">
        <x:v>Alcohols</x:v>
      </x:c>
    </x:row>
    <x:row r="28" ht="26.399999618530273" hidden="0" customHeight="1">
      <x:c r="A28" s="46" t="str">
        <x:v>DFS-SB-027</x:v>
      </x:c>
      <x:c r="B28" s="46" t="str">
        <x:v>fish:sea_bass</x:v>
      </x:c>
      <x:c r="C28" s="46" t="str">
        <x:v>family:finfish</x:v>
      </x:c>
      <x:c r="D28" s="46" t="str">
        <x:v>white_fish_anchor_fat_class_provisional</x:v>
      </x:c>
      <x:c r="E28" s="46" t="str">
        <x:v>Lateolabrax japonicus muscle</x:v>
      </x:c>
      <x:c r="F28" s="46" t="str">
        <x:v>SRC-FISH-SEABASS-STEAM-001</x:v>
      </x:c>
      <x:c r="G28" s="46" t="str">
        <x:v>Ketones</x:v>
      </x:c>
      <x:c r="H28" s="46" t="str">
        <x:v>2-Heptanone</x:v>
      </x:c>
      <x:c r="I28" s="46"/>
      <x:c r="J28" s="46" t="str">
        <x:v>110-43-0</x:v>
      </x:c>
      <x:c r="K28" s="46" t="n">
        <x:v>891.6</x:v>
      </x:c>
      <x:c r="L28" s="46" t="n">
        <x:v>256.6</x:v>
      </x:c>
      <x:c r="M28" s="46" t="n">
        <x:v>1.23</x:v>
      </x:c>
      <x:c r="N28" s="46" t="str">
        <x:v>NIST + IMS database identification; source Table 2 CAS/RI/RT/Dt</x:v>
      </x:c>
      <x:c r="O28" s="46"/>
      <x:c r="P28" s="46" t="str">
        <x:v>partial_no_numeric_match_factor</x:v>
      </x:c>
      <x:c r="Q28" s="46" t="n">
        <x:v>80.1</x:v>
      </x:c>
      <x:c r="R28" s="46" t="n">
        <x:v>59.5</x:v>
      </x:c>
      <x:c r="S28" s="46" t="n">
        <x:v>87.2</x:v>
      </x:c>
      <x:c r="T28" s="46" t="n">
        <x:v>58.4</x:v>
      </x:c>
      <x:c r="U28" s="46" t="n">
        <x:v>275.7</x:v>
      </x:c>
      <x:c r="V28" s="46" t="n">
        <x:v>508.4</x:v>
      </x:c>
      <x:c r="W28" s="46" t="n">
        <x:v>736.9</x:v>
      </x:c>
      <x:c r="X28" s="46" t="n">
        <x:v>443.5</x:v>
      </x:c>
      <x:c r="Y28" s="46" t="str">
        <x:v>GC-IMS peak volume; four raw then four steamed slaughter groups</x:v>
      </x:c>
      <x:c r="Z28" s="46"/>
      <x:c r="AA28" t="str">
        <x:v>Ketones</x:v>
      </x:c>
    </x:row>
    <x:row r="29" ht="26.399999618530273" hidden="0" customHeight="1">
      <x:c r="A29" s="46" t="str">
        <x:v>DFS-SB-028</x:v>
      </x:c>
      <x:c r="B29" s="46" t="str">
        <x:v>fish:sea_bass</x:v>
      </x:c>
      <x:c r="C29" s="46" t="str">
        <x:v>family:finfish</x:v>
      </x:c>
      <x:c r="D29" s="46" t="str">
        <x:v>white_fish_anchor_fat_class_provisional</x:v>
      </x:c>
      <x:c r="E29" s="46" t="str">
        <x:v>Lateolabrax japonicus muscle</x:v>
      </x:c>
      <x:c r="F29" s="46" t="str">
        <x:v>SRC-FISH-SEABASS-STEAM-001</x:v>
      </x:c>
      <x:c r="G29" s="46" t="str">
        <x:v>Ketones</x:v>
      </x:c>
      <x:c r="H29" s="46" t="str">
        <x:v>2-Pentanone</x:v>
      </x:c>
      <x:c r="I29" s="46" t="str">
        <x:v>M</x:v>
      </x:c>
      <x:c r="J29" s="46" t="str">
        <x:v>107-87-9</x:v>
      </x:c>
      <x:c r="K29" s="46" t="n">
        <x:v>687.7</x:v>
      </x:c>
      <x:c r="L29" s="46" t="n">
        <x:v>160.1</x:v>
      </x:c>
      <x:c r="M29" s="46" t="n">
        <x:v>1.12</x:v>
      </x:c>
      <x:c r="N29" s="46" t="str">
        <x:v>NIST + IMS database identification; source Table 2 CAS/RI/RT/Dt</x:v>
      </x:c>
      <x:c r="O29" s="46"/>
      <x:c r="P29" s="46" t="str">
        <x:v>partial_no_numeric_match_factor</x:v>
      </x:c>
      <x:c r="Q29" s="46" t="n">
        <x:v>285.4</x:v>
      </x:c>
      <x:c r="R29" s="46" t="n">
        <x:v>222.5</x:v>
      </x:c>
      <x:c r="S29" s="46" t="n">
        <x:v>215</x:v>
      </x:c>
      <x:c r="T29" s="46" t="n">
        <x:v>653.4</x:v>
      </x:c>
      <x:c r="U29" s="46" t="n">
        <x:v>121.7</x:v>
      </x:c>
      <x:c r="V29" s="46" t="n">
        <x:v>63.7</x:v>
      </x:c>
      <x:c r="W29" s="46" t="n">
        <x:v>63.8</x:v>
      </x:c>
      <x:c r="X29" s="46" t="n">
        <x:v>66.6</x:v>
      </x:c>
      <x:c r="Y29" s="46" t="str">
        <x:v>GC-IMS peak volume; four raw then four steamed slaughter groups</x:v>
      </x:c>
      <x:c r="Z29" s="46"/>
      <x:c r="AA29" t="str">
        <x:v>Ketones</x:v>
      </x:c>
    </x:row>
    <x:row r="30" ht="26.399999618530273" hidden="0" customHeight="1">
      <x:c r="A30" s="46" t="str">
        <x:v>DFS-SB-029</x:v>
      </x:c>
      <x:c r="B30" s="46" t="str">
        <x:v>fish:sea_bass</x:v>
      </x:c>
      <x:c r="C30" s="46" t="str">
        <x:v>family:finfish</x:v>
      </x:c>
      <x:c r="D30" s="46" t="str">
        <x:v>white_fish_anchor_fat_class_provisional</x:v>
      </x:c>
      <x:c r="E30" s="46" t="str">
        <x:v>Lateolabrax japonicus muscle</x:v>
      </x:c>
      <x:c r="F30" s="46" t="str">
        <x:v>SRC-FISH-SEABASS-STEAM-001</x:v>
      </x:c>
      <x:c r="G30" s="46" t="str">
        <x:v>Ketones</x:v>
      </x:c>
      <x:c r="H30" s="46" t="str">
        <x:v>2-Pentanone</x:v>
      </x:c>
      <x:c r="I30" s="46" t="str">
        <x:v>D</x:v>
      </x:c>
      <x:c r="J30" s="46" t="str">
        <x:v>107-87-9</x:v>
      </x:c>
      <x:c r="K30" s="46" t="n">
        <x:v>682.7</x:v>
      </x:c>
      <x:c r="L30" s="46" t="n">
        <x:v>158.7</x:v>
      </x:c>
      <x:c r="M30" s="46" t="n">
        <x:v>1.37</x:v>
      </x:c>
      <x:c r="N30" s="46" t="str">
        <x:v>NIST + IMS database identification; source Table 2 CAS/RI/RT/Dt</x:v>
      </x:c>
      <x:c r="O30" s="46"/>
      <x:c r="P30" s="46" t="str">
        <x:v>partial_no_numeric_match_factor</x:v>
      </x:c>
      <x:c r="Q30" s="46" t="n">
        <x:v>246.7</x:v>
      </x:c>
      <x:c r="R30" s="46" t="n">
        <x:v>104.9</x:v>
      </x:c>
      <x:c r="S30" s="46" t="n">
        <x:v>137.6</x:v>
      </x:c>
      <x:c r="T30" s="46" t="n">
        <x:v>87.9</x:v>
      </x:c>
      <x:c r="U30" s="46" t="n">
        <x:v>352.9</x:v>
      </x:c>
      <x:c r="V30" s="46" t="n">
        <x:v>607.6</x:v>
      </x:c>
      <x:c r="W30" s="46" t="n">
        <x:v>514</x:v>
      </x:c>
      <x:c r="X30" s="46" t="n">
        <x:v>588.7</x:v>
      </x:c>
      <x:c r="Y30" s="46" t="str">
        <x:v>GC-IMS peak volume; four raw then four steamed slaughter groups</x:v>
      </x:c>
      <x:c r="Z30" s="46"/>
      <x:c r="AA30" t="str">
        <x:v>Ketones</x:v>
      </x:c>
    </x:row>
    <x:row r="31" ht="26.399999618530273" hidden="0" customHeight="1">
      <x:c r="A31" s="46" t="str">
        <x:v>DFS-SB-030</x:v>
      </x:c>
      <x:c r="B31" s="46" t="str">
        <x:v>fish:sea_bass</x:v>
      </x:c>
      <x:c r="C31" s="46" t="str">
        <x:v>family:finfish</x:v>
      </x:c>
      <x:c r="D31" s="46" t="str">
        <x:v>white_fish_anchor_fat_class_provisional</x:v>
      </x:c>
      <x:c r="E31" s="46" t="str">
        <x:v>Lateolabrax japonicus muscle</x:v>
      </x:c>
      <x:c r="F31" s="46" t="str">
        <x:v>SRC-FISH-SEABASS-STEAM-001</x:v>
      </x:c>
      <x:c r="G31" s="46" t="str">
        <x:v>Ketones</x:v>
      </x:c>
      <x:c r="H31" s="46" t="str">
        <x:v>2-Butanone</x:v>
      </x:c>
      <x:c r="I31" s="46"/>
      <x:c r="J31" s="46" t="str">
        <x:v>78-93-3</x:v>
      </x:c>
      <x:c r="K31" s="46" t="n">
        <x:v>575.7</x:v>
      </x:c>
      <x:c r="L31" s="46" t="n">
        <x:v>129.9</x:v>
      </x:c>
      <x:c r="M31" s="46" t="n">
        <x:v>1.25</x:v>
      </x:c>
      <x:c r="N31" s="46" t="str">
        <x:v>NIST + IMS database identification; source Table 2 CAS/RI/RT/Dt</x:v>
      </x:c>
      <x:c r="O31" s="46"/>
      <x:c r="P31" s="46" t="str">
        <x:v>partial_no_numeric_match_factor</x:v>
      </x:c>
      <x:c r="Q31" s="46" t="n">
        <x:v>481.6</x:v>
      </x:c>
      <x:c r="R31" s="46" t="n">
        <x:v>358.4</x:v>
      </x:c>
      <x:c r="S31" s="46" t="n">
        <x:v>319.7</x:v>
      </x:c>
      <x:c r="T31" s="46" t="n">
        <x:v>270.5</x:v>
      </x:c>
      <x:c r="U31" s="46" t="n">
        <x:v>841.9</x:v>
      </x:c>
      <x:c r="V31" s="46" t="n">
        <x:v>1195</x:v>
      </x:c>
      <x:c r="W31" s="46" t="n">
        <x:v>1258.2</x:v>
      </x:c>
      <x:c r="X31" s="46" t="n">
        <x:v>1350.8</x:v>
      </x:c>
      <x:c r="Y31" s="46" t="str">
        <x:v>GC-IMS peak volume; four raw then four steamed slaughter groups</x:v>
      </x:c>
      <x:c r="Z31" s="46"/>
      <x:c r="AA31" t="str">
        <x:v>Ketones</x:v>
      </x:c>
    </x:row>
    <x:row r="32" ht="26.399999618530273" hidden="0" customHeight="1">
      <x:c r="A32" s="46" t="str">
        <x:v>DFS-SB-031</x:v>
      </x:c>
      <x:c r="B32" s="46" t="str">
        <x:v>fish:sea_bass</x:v>
      </x:c>
      <x:c r="C32" s="46" t="str">
        <x:v>family:finfish</x:v>
      </x:c>
      <x:c r="D32" s="46" t="str">
        <x:v>white_fish_anchor_fat_class_provisional</x:v>
      </x:c>
      <x:c r="E32" s="46" t="str">
        <x:v>Lateolabrax japonicus muscle</x:v>
      </x:c>
      <x:c r="F32" s="46" t="str">
        <x:v>SRC-FISH-SEABASS-STEAM-001</x:v>
      </x:c>
      <x:c r="G32" s="46" t="str">
        <x:v>Ketones</x:v>
      </x:c>
      <x:c r="H32" s="46" t="str">
        <x:v>Acetone</x:v>
      </x:c>
      <x:c r="I32" s="46"/>
      <x:c r="J32" s="46" t="str">
        <x:v>67-64-1</x:v>
      </x:c>
      <x:c r="K32" s="46" t="n">
        <x:v>512.8</x:v>
      </x:c>
      <x:c r="L32" s="46" t="n">
        <x:v>112.9</x:v>
      </x:c>
      <x:c r="M32" s="46" t="n">
        <x:v>1.12</x:v>
      </x:c>
      <x:c r="N32" s="46" t="str">
        <x:v>NIST + IMS database identification; source Table 2 CAS/RI/RT/Dt</x:v>
      </x:c>
      <x:c r="O32" s="46"/>
      <x:c r="P32" s="46" t="str">
        <x:v>partial_no_numeric_match_factor</x:v>
      </x:c>
      <x:c r="Q32" s="46" t="n">
        <x:v>574.7</x:v>
      </x:c>
      <x:c r="R32" s="46" t="n">
        <x:v>356.8</x:v>
      </x:c>
      <x:c r="S32" s="46" t="n">
        <x:v>430.4</x:v>
      </x:c>
      <x:c r="T32" s="46" t="n">
        <x:v>1408.8</x:v>
      </x:c>
      <x:c r="U32" s="46" t="n">
        <x:v>1540.5</x:v>
      </x:c>
      <x:c r="V32" s="46" t="n">
        <x:v>1646.2</x:v>
      </x:c>
      <x:c r="W32" s="46" t="n">
        <x:v>1291.5</x:v>
      </x:c>
      <x:c r="X32" s="46" t="n">
        <x:v>1394.9</x:v>
      </x:c>
      <x:c r="Y32" s="46" t="str">
        <x:v>GC-IMS peak volume; four raw then four steamed slaughter groups</x:v>
      </x:c>
      <x:c r="Z32" s="46"/>
      <x:c r="AA32" t="str">
        <x:v>Ketones</x:v>
      </x:c>
    </x:row>
    <x:row r="33" ht="26.399999618530273" hidden="0" customHeight="1">
      <x:c r="A33" s="46" t="str">
        <x:v>DFS-SB-032</x:v>
      </x:c>
      <x:c r="B33" s="46" t="str">
        <x:v>fish:sea_bass</x:v>
      </x:c>
      <x:c r="C33" s="46" t="str">
        <x:v>family:finfish</x:v>
      </x:c>
      <x:c r="D33" s="46" t="str">
        <x:v>white_fish_anchor_fat_class_provisional</x:v>
      </x:c>
      <x:c r="E33" s="46" t="str">
        <x:v>Lateolabrax japonicus muscle</x:v>
      </x:c>
      <x:c r="F33" s="46" t="str">
        <x:v>SRC-FISH-SEABASS-STEAM-001</x:v>
      </x:c>
      <x:c r="G33" s="46" t="str">
        <x:v>Ketones</x:v>
      </x:c>
      <x:c r="H33" s="46" t="str">
        <x:v>3-Hydroxy-2-butanone</x:v>
      </x:c>
      <x:c r="I33" s="46"/>
      <x:c r="J33" s="46" t="str">
        <x:v>513-86-0</x:v>
      </x:c>
      <x:c r="K33" s="46" t="n">
        <x:v>715.1</x:v>
      </x:c>
      <x:c r="L33" s="46" t="n">
        <x:v>171</x:v>
      </x:c>
      <x:c r="M33" s="46" t="n">
        <x:v>1.33</x:v>
      </x:c>
      <x:c r="N33" s="46" t="str">
        <x:v>NIST + IMS database identification; source Table 2 CAS/RI/RT/Dt</x:v>
      </x:c>
      <x:c r="O33" s="46"/>
      <x:c r="P33" s="46" t="str">
        <x:v>partial_no_numeric_match_factor</x:v>
      </x:c>
      <x:c r="Q33" s="46" t="n">
        <x:v>382.9</x:v>
      </x:c>
      <x:c r="R33" s="46" t="n">
        <x:v>266.6</x:v>
      </x:c>
      <x:c r="S33" s="46" t="n">
        <x:v>63.4</x:v>
      </x:c>
      <x:c r="T33" s="46" t="n">
        <x:v>707.6</x:v>
      </x:c>
      <x:c r="U33" s="46" t="n">
        <x:v>79</x:v>
      </x:c>
      <x:c r="V33" s="46" t="n">
        <x:v>137.1</x:v>
      </x:c>
      <x:c r="W33" s="46" t="n">
        <x:v>198.8</x:v>
      </x:c>
      <x:c r="X33" s="46" t="n">
        <x:v>184.9</x:v>
      </x:c>
      <x:c r="Y33" s="46" t="str">
        <x:v>GC-IMS peak volume; four raw then four steamed slaughter groups</x:v>
      </x:c>
      <x:c r="Z33" s="46"/>
      <x:c r="AA33" t="str">
        <x:v>Ketones</x:v>
      </x:c>
    </x:row>
    <x:row r="34" ht="26.399999618530273" hidden="0" customHeight="1">
      <x:c r="A34" s="46" t="str">
        <x:v>DFS-SB-033</x:v>
      </x:c>
      <x:c r="B34" s="46" t="str">
        <x:v>fish:sea_bass</x:v>
      </x:c>
      <x:c r="C34" s="46" t="str">
        <x:v>family:finfish</x:v>
      </x:c>
      <x:c r="D34" s="46" t="str">
        <x:v>white_fish_anchor_fat_class_provisional</x:v>
      </x:c>
      <x:c r="E34" s="46" t="str">
        <x:v>Lateolabrax japonicus muscle</x:v>
      </x:c>
      <x:c r="F34" s="46" t="str">
        <x:v>SRC-FISH-SEABASS-STEAM-001</x:v>
      </x:c>
      <x:c r="G34" s="46" t="str">
        <x:v>Ketones</x:v>
      </x:c>
      <x:c r="H34" s="46" t="str">
        <x:v>2,3-Butanedione</x:v>
      </x:c>
      <x:c r="I34" s="46"/>
      <x:c r="J34" s="46" t="str">
        <x:v>431-03-8</x:v>
      </x:c>
      <x:c r="K34" s="46" t="n">
        <x:v>576.7</x:v>
      </x:c>
      <x:c r="L34" s="46" t="n">
        <x:v>130.1</x:v>
      </x:c>
      <x:c r="M34" s="46" t="n">
        <x:v>1.17</x:v>
      </x:c>
      <x:c r="N34" s="46" t="str">
        <x:v>NIST + IMS database identification; source Table 2 CAS/RI/RT/Dt</x:v>
      </x:c>
      <x:c r="O34" s="46"/>
      <x:c r="P34" s="46" t="str">
        <x:v>partial_no_numeric_match_factor</x:v>
      </x:c>
      <x:c r="Q34" s="46" t="n">
        <x:v>43.8</x:v>
      </x:c>
      <x:c r="R34" s="46" t="n">
        <x:v>50.7</x:v>
      </x:c>
      <x:c r="S34" s="46" t="n">
        <x:v>68.2</x:v>
      </x:c>
      <x:c r="T34" s="46" t="n">
        <x:v>449.1</x:v>
      </x:c>
      <x:c r="U34" s="46" t="n">
        <x:v>422.7</x:v>
      </x:c>
      <x:c r="V34" s="46" t="n">
        <x:v>45</x:v>
      </x:c>
      <x:c r="W34" s="46" t="n">
        <x:v>44.3</x:v>
      </x:c>
      <x:c r="X34" s="46" t="n">
        <x:v>48.4</x:v>
      </x:c>
      <x:c r="Y34" s="46" t="str">
        <x:v>GC-IMS peak volume; four raw then four steamed slaughter groups</x:v>
      </x:c>
      <x:c r="Z34" s="46"/>
      <x:c r="AA34" t="str">
        <x:v>Ketones</x:v>
      </x:c>
    </x:row>
    <x:row r="35" ht="26.399999618530273" hidden="0" customHeight="1">
      <x:c r="A35" s="46" t="str">
        <x:v>DFS-SB-034</x:v>
      </x:c>
      <x:c r="B35" s="46" t="str">
        <x:v>fish:sea_bass</x:v>
      </x:c>
      <x:c r="C35" s="46" t="str">
        <x:v>family:finfish</x:v>
      </x:c>
      <x:c r="D35" s="46" t="str">
        <x:v>white_fish_anchor_fat_class_provisional</x:v>
      </x:c>
      <x:c r="E35" s="46" t="str">
        <x:v>Lateolabrax japonicus muscle</x:v>
      </x:c>
      <x:c r="F35" s="46" t="str">
        <x:v>SRC-FISH-SEABASS-STEAM-001</x:v>
      </x:c>
      <x:c r="G35" s="46" t="str">
        <x:v>Esters</x:v>
      </x:c>
      <x:c r="H35" s="46" t="str">
        <x:v>Isoamyl acetate</x:v>
      </x:c>
      <x:c r="I35" s="46"/>
      <x:c r="J35" s="46" t="str">
        <x:v>123-92-2</x:v>
      </x:c>
      <x:c r="K35" s="46" t="n">
        <x:v>880.3</x:v>
      </x:c>
      <x:c r="L35" s="46" t="n">
        <x:v>250.6</x:v>
      </x:c>
      <x:c r="M35" s="46" t="n">
        <x:v>1.31</x:v>
      </x:c>
      <x:c r="N35" s="46" t="str">
        <x:v>NIST + IMS database identification; source Table 2 CAS/RI/RT/Dt</x:v>
      </x:c>
      <x:c r="O35" s="46"/>
      <x:c r="P35" s="46" t="str">
        <x:v>partial_no_numeric_match_factor</x:v>
      </x:c>
      <x:c r="Q35" s="46" t="n">
        <x:v>62.5</x:v>
      </x:c>
      <x:c r="R35" s="46" t="n">
        <x:v>39</x:v>
      </x:c>
      <x:c r="S35" s="46" t="n">
        <x:v>60</x:v>
      </x:c>
      <x:c r="T35" s="46" t="n">
        <x:v>44.4</x:v>
      </x:c>
      <x:c r="U35" s="46" t="n">
        <x:v>68.5</x:v>
      </x:c>
      <x:c r="V35" s="46" t="n">
        <x:v>91.8</x:v>
      </x:c>
      <x:c r="W35" s="46" t="n">
        <x:v>74.5</x:v>
      </x:c>
      <x:c r="X35" s="46" t="n">
        <x:v>82.1</x:v>
      </x:c>
      <x:c r="Y35" s="46" t="str">
        <x:v>GC-IMS peak volume; four raw then four steamed slaughter groups</x:v>
      </x:c>
      <x:c r="Z35" s="46"/>
      <x:c r="AA35" t="str">
        <x:v>Esters</x:v>
      </x:c>
    </x:row>
    <x:row r="36" ht="26.399999618530273" hidden="0" customHeight="1">
      <x:c r="A36" s="46" t="str">
        <x:v>DFS-SB-035</x:v>
      </x:c>
      <x:c r="B36" s="46" t="str">
        <x:v>fish:sea_bass</x:v>
      </x:c>
      <x:c r="C36" s="46" t="str">
        <x:v>family:finfish</x:v>
      </x:c>
      <x:c r="D36" s="46" t="str">
        <x:v>white_fish_anchor_fat_class_provisional</x:v>
      </x:c>
      <x:c r="E36" s="46" t="str">
        <x:v>Lateolabrax japonicus muscle</x:v>
      </x:c>
      <x:c r="F36" s="46" t="str">
        <x:v>SRC-FISH-SEABASS-STEAM-001</x:v>
      </x:c>
      <x:c r="G36" s="46" t="str">
        <x:v>Esters</x:v>
      </x:c>
      <x:c r="H36" s="46" t="str">
        <x:v>Butyl propanoate</x:v>
      </x:c>
      <x:c r="I36" s="46"/>
      <x:c r="J36" s="46" t="str">
        <x:v>590-01-2</x:v>
      </x:c>
      <x:c r="K36" s="46" t="n">
        <x:v>905</x:v>
      </x:c>
      <x:c r="L36" s="46" t="n">
        <x:v>267.8</x:v>
      </x:c>
      <x:c r="M36" s="46" t="n">
        <x:v>1.28</x:v>
      </x:c>
      <x:c r="N36" s="46" t="str">
        <x:v>NIST + IMS database identification; source Table 2 CAS/RI/RT/Dt</x:v>
      </x:c>
      <x:c r="O36" s="46"/>
      <x:c r="P36" s="46" t="str">
        <x:v>partial_no_numeric_match_factor</x:v>
      </x:c>
      <x:c r="Q36" s="46" t="n">
        <x:v>12.9</x:v>
      </x:c>
      <x:c r="R36" s="46" t="n">
        <x:v>11.1</x:v>
      </x:c>
      <x:c r="S36" s="46" t="n">
        <x:v>10.6</x:v>
      </x:c>
      <x:c r="T36" s="46" t="n">
        <x:v>8.7</x:v>
      </x:c>
      <x:c r="U36" s="46" t="n">
        <x:v>30.7</x:v>
      </x:c>
      <x:c r="V36" s="46" t="n">
        <x:v>31</x:v>
      </x:c>
      <x:c r="W36" s="46" t="n">
        <x:v>31</x:v>
      </x:c>
      <x:c r="X36" s="46" t="n">
        <x:v>23.8</x:v>
      </x:c>
      <x:c r="Y36" s="46" t="str">
        <x:v>GC-IMS peak volume; four raw then four steamed slaughter groups</x:v>
      </x:c>
      <x:c r="Z36" s="46"/>
      <x:c r="AA36" t="str">
        <x:v>Esters</x:v>
      </x:c>
    </x:row>
    <x:row r="37" ht="26.399999618530273" hidden="0" customHeight="1">
      <x:c r="A37" s="46" t="str">
        <x:v>DFS-SB-036</x:v>
      </x:c>
      <x:c r="B37" s="46" t="str">
        <x:v>fish:sea_bass</x:v>
      </x:c>
      <x:c r="C37" s="46" t="str">
        <x:v>family:finfish</x:v>
      </x:c>
      <x:c r="D37" s="46" t="str">
        <x:v>white_fish_anchor_fat_class_provisional</x:v>
      </x:c>
      <x:c r="E37" s="46" t="str">
        <x:v>Lateolabrax japonicus muscle</x:v>
      </x:c>
      <x:c r="F37" s="46" t="str">
        <x:v>SRC-FISH-SEABASS-STEAM-001</x:v>
      </x:c>
      <x:c r="G37" s="46" t="str">
        <x:v>Esters</x:v>
      </x:c>
      <x:c r="H37" s="46" t="str">
        <x:v>Ethyl formate</x:v>
      </x:c>
      <x:c r="I37" s="46"/>
      <x:c r="J37" s="46" t="str">
        <x:v>109-94-4</x:v>
      </x:c>
      <x:c r="K37" s="46" t="n">
        <x:v>509.8</x:v>
      </x:c>
      <x:c r="L37" s="46" t="n">
        <x:v>112.2</x:v>
      </x:c>
      <x:c r="M37" s="46" t="n">
        <x:v>1.24</x:v>
      </x:c>
      <x:c r="N37" s="46" t="str">
        <x:v>NIST + IMS database identification; source Table 2 CAS/RI/RT/Dt</x:v>
      </x:c>
      <x:c r="O37" s="46"/>
      <x:c r="P37" s="46" t="str">
        <x:v>partial_no_numeric_match_factor</x:v>
      </x:c>
      <x:c r="Q37" s="46" t="n">
        <x:v>23.7</x:v>
      </x:c>
      <x:c r="R37" s="46" t="n">
        <x:v>37.6</x:v>
      </x:c>
      <x:c r="S37" s="46" t="n">
        <x:v>49.3</x:v>
      </x:c>
      <x:c r="T37" s="46" t="n">
        <x:v>25.3</x:v>
      </x:c>
      <x:c r="U37" s="46" t="n">
        <x:v>92.6</x:v>
      </x:c>
      <x:c r="V37" s="46" t="n">
        <x:v>71</x:v>
      </x:c>
      <x:c r="W37" s="46" t="n">
        <x:v>280.2</x:v>
      </x:c>
      <x:c r="X37" s="46" t="n">
        <x:v>89.6</x:v>
      </x:c>
      <x:c r="Y37" s="46" t="str">
        <x:v>GC-IMS peak volume; four raw then four steamed slaughter groups</x:v>
      </x:c>
      <x:c r="Z37" s="46"/>
      <x:c r="AA37" t="str">
        <x:v>Esters</x:v>
      </x:c>
    </x:row>
    <x:row r="38" ht="26.399999618530273" hidden="0" customHeight="1">
      <x:c r="A38" s="46" t="str">
        <x:v>DFS-SB-037</x:v>
      </x:c>
      <x:c r="B38" s="46" t="str">
        <x:v>fish:sea_bass</x:v>
      </x:c>
      <x:c r="C38" s="46" t="str">
        <x:v>family:finfish</x:v>
      </x:c>
      <x:c r="D38" s="46" t="str">
        <x:v>white_fish_anchor_fat_class_provisional</x:v>
      </x:c>
      <x:c r="E38" s="46" t="str">
        <x:v>Lateolabrax japonicus muscle</x:v>
      </x:c>
      <x:c r="F38" s="46" t="str">
        <x:v>SRC-FISH-SEABASS-STEAM-001</x:v>
      </x:c>
      <x:c r="G38" s="46" t="str">
        <x:v>Esters</x:v>
      </x:c>
      <x:c r="H38" s="46" t="str">
        <x:v>Ethyl acetate</x:v>
      </x:c>
      <x:c r="I38" s="46"/>
      <x:c r="J38" s="46" t="str">
        <x:v>141-78-6</x:v>
      </x:c>
      <x:c r="K38" s="46" t="n">
        <x:v>602.7</x:v>
      </x:c>
      <x:c r="L38" s="46" t="n">
        <x:v>137.1</x:v>
      </x:c>
      <x:c r="M38" s="46" t="n">
        <x:v>1.34</x:v>
      </x:c>
      <x:c r="N38" s="46" t="str">
        <x:v>NIST + IMS database identification; source Table 2 CAS/RI/RT/Dt</x:v>
      </x:c>
      <x:c r="O38" s="46"/>
      <x:c r="P38" s="46" t="str">
        <x:v>partial_no_numeric_match_factor</x:v>
      </x:c>
      <x:c r="Q38" s="46" t="n">
        <x:v>35</x:v>
      </x:c>
      <x:c r="R38" s="46" t="n">
        <x:v>19.4</x:v>
      </x:c>
      <x:c r="S38" s="46" t="n">
        <x:v>27.9</x:v>
      </x:c>
      <x:c r="T38" s="46" t="n">
        <x:v>88</x:v>
      </x:c>
      <x:c r="U38" s="46" t="n">
        <x:v>208</x:v>
      </x:c>
      <x:c r="V38" s="46" t="n">
        <x:v>97.2</x:v>
      </x:c>
      <x:c r="W38" s="46" t="n">
        <x:v>111.6</x:v>
      </x:c>
      <x:c r="X38" s="46" t="n">
        <x:v>122.8</x:v>
      </x:c>
      <x:c r="Y38" s="46" t="str">
        <x:v>GC-IMS peak volume; four raw then four steamed slaughter groups</x:v>
      </x:c>
      <x:c r="Z38" s="46"/>
      <x:c r="AA38" t="str">
        <x:v>Esters</x:v>
      </x:c>
    </x:row>
    <x:row r="39" ht="26.399999618530273" hidden="0" customHeight="1">
      <x:c r="A39" s="46" t="str">
        <x:v>DFS-SB-038</x:v>
      </x:c>
      <x:c r="B39" s="46" t="str">
        <x:v>fish:sea_bass</x:v>
      </x:c>
      <x:c r="C39" s="46" t="str">
        <x:v>family:finfish</x:v>
      </x:c>
      <x:c r="D39" s="46" t="str">
        <x:v>white_fish_anchor_fat_class_provisional</x:v>
      </x:c>
      <x:c r="E39" s="46" t="str">
        <x:v>Lateolabrax japonicus muscle</x:v>
      </x:c>
      <x:c r="F39" s="46" t="str">
        <x:v>SRC-FISH-SEABASS-STEAM-001</x:v>
      </x:c>
      <x:c r="G39" s="46" t="str">
        <x:v>Acids</x:v>
      </x:c>
      <x:c r="H39" s="46" t="str">
        <x:v>Hexanoic acid</x:v>
      </x:c>
      <x:c r="I39" s="46"/>
      <x:c r="J39" s="46" t="str">
        <x:v>142-62-1</x:v>
      </x:c>
      <x:c r="K39" s="46" t="n">
        <x:v>991.2</x:v>
      </x:c>
      <x:c r="L39" s="46" t="n">
        <x:v>341.4</x:v>
      </x:c>
      <x:c r="M39" s="46" t="n">
        <x:v>1.3</x:v>
      </x:c>
      <x:c r="N39" s="46" t="str">
        <x:v>NIST + IMS database identification; source Table 2 CAS/RI/RT/Dt</x:v>
      </x:c>
      <x:c r="O39" s="46"/>
      <x:c r="P39" s="46" t="str">
        <x:v>partial_no_numeric_match_factor</x:v>
      </x:c>
      <x:c r="Q39" s="46" t="n">
        <x:v>74.1</x:v>
      </x:c>
      <x:c r="R39" s="46" t="n">
        <x:v>66.7</x:v>
      </x:c>
      <x:c r="S39" s="46" t="n">
        <x:v>126</x:v>
      </x:c>
      <x:c r="T39" s="46" t="n">
        <x:v>67.6</x:v>
      </x:c>
      <x:c r="U39" s="46" t="n">
        <x:v>61</x:v>
      </x:c>
      <x:c r="V39" s="46" t="n">
        <x:v>54.2</x:v>
      </x:c>
      <x:c r="W39" s="46" t="n">
        <x:v>55.7</x:v>
      </x:c>
      <x:c r="X39" s="46" t="n">
        <x:v>72.1</x:v>
      </x:c>
      <x:c r="Y39" s="46" t="str">
        <x:v>GC-IMS peak volume; four raw then four steamed slaughter groups</x:v>
      </x:c>
      <x:c r="Z39" s="46"/>
      <x:c r="AA39" t="str">
        <x:v>Acids</x:v>
      </x:c>
    </x:row>
    <x:row r="40" ht="26.399999618530273" hidden="0" customHeight="1">
      <x:c r="A40" s="46" t="str">
        <x:v>DFS-SB-039</x:v>
      </x:c>
      <x:c r="B40" s="46" t="str">
        <x:v>fish:sea_bass</x:v>
      </x:c>
      <x:c r="C40" s="46" t="str">
        <x:v>family:finfish</x:v>
      </x:c>
      <x:c r="D40" s="46" t="str">
        <x:v>white_fish_anchor_fat_class_provisional</x:v>
      </x:c>
      <x:c r="E40" s="46" t="str">
        <x:v>Lateolabrax japonicus muscle</x:v>
      </x:c>
      <x:c r="F40" s="46" t="str">
        <x:v>SRC-FISH-SEABASS-STEAM-001</x:v>
      </x:c>
      <x:c r="G40" s="46" t="str">
        <x:v>Acids</x:v>
      </x:c>
      <x:c r="H40" s="46" t="str">
        <x:v>2-Methylbutanoic acid</x:v>
      </x:c>
      <x:c r="I40" s="46"/>
      <x:c r="J40" s="46" t="str">
        <x:v>116-53-0</x:v>
      </x:c>
      <x:c r="K40" s="46" t="n">
        <x:v>835.6</x:v>
      </x:c>
      <x:c r="L40" s="46" t="n">
        <x:v>226.6</x:v>
      </x:c>
      <x:c r="M40" s="46" t="n">
        <x:v>1.21</x:v>
      </x:c>
      <x:c r="N40" s="46" t="str">
        <x:v>NIST + IMS database identification; source Table 2 CAS/RI/RT/Dt</x:v>
      </x:c>
      <x:c r="O40" s="46"/>
      <x:c r="P40" s="46" t="str">
        <x:v>partial_no_numeric_match_factor</x:v>
      </x:c>
      <x:c r="Q40" s="46" t="n">
        <x:v>27.1</x:v>
      </x:c>
      <x:c r="R40" s="46" t="n">
        <x:v>19.8</x:v>
      </x:c>
      <x:c r="S40" s="46" t="n">
        <x:v>86.2</x:v>
      </x:c>
      <x:c r="T40" s="46" t="n">
        <x:v>62.7</x:v>
      </x:c>
      <x:c r="U40" s="46" t="n">
        <x:v>15</x:v>
      </x:c>
      <x:c r="V40" s="46" t="n">
        <x:v>17.9</x:v>
      </x:c>
      <x:c r="W40" s="46" t="n">
        <x:v>17.2</x:v>
      </x:c>
      <x:c r="X40" s="46" t="n">
        <x:v>20.1</x:v>
      </x:c>
      <x:c r="Y40" s="46" t="str">
        <x:v>GC-IMS peak volume; four raw then four steamed slaughter groups</x:v>
      </x:c>
      <x:c r="Z40" s="46"/>
      <x:c r="AA40" t="str">
        <x:v>Acids</x:v>
      </x:c>
    </x:row>
    <x:row r="41" ht="26.399999618530273" hidden="0" customHeight="1">
      <x:c r="A41" s="46" t="str">
        <x:v>DFS-SB-040</x:v>
      </x:c>
      <x:c r="B41" s="46" t="str">
        <x:v>fish:sea_bass</x:v>
      </x:c>
      <x:c r="C41" s="46" t="str">
        <x:v>family:finfish</x:v>
      </x:c>
      <x:c r="D41" s="46" t="str">
        <x:v>white_fish_anchor_fat_class_provisional</x:v>
      </x:c>
      <x:c r="E41" s="46" t="str">
        <x:v>Lateolabrax japonicus muscle</x:v>
      </x:c>
      <x:c r="F41" s="46" t="str">
        <x:v>SRC-FISH-SEABASS-STEAM-001</x:v>
      </x:c>
      <x:c r="G41" s="46" t="str">
        <x:v>Acids</x:v>
      </x:c>
      <x:c r="H41" s="46" t="str">
        <x:v>Butanoic acid</x:v>
      </x:c>
      <x:c r="I41" s="46"/>
      <x:c r="J41" s="46" t="str">
        <x:v>107-92-6</x:v>
      </x:c>
      <x:c r="K41" s="46" t="n">
        <x:v>825.4</x:v>
      </x:c>
      <x:c r="L41" s="46" t="n">
        <x:v>221.1</x:v>
      </x:c>
      <x:c r="M41" s="46" t="n">
        <x:v>1.16</x:v>
      </x:c>
      <x:c r="N41" s="46" t="str">
        <x:v>NIST + IMS database identification; source Table 2 CAS/RI/RT/Dt</x:v>
      </x:c>
      <x:c r="O41" s="46"/>
      <x:c r="P41" s="46" t="str">
        <x:v>partial_no_numeric_match_factor</x:v>
      </x:c>
      <x:c r="Q41" s="46" t="n">
        <x:v>12.1</x:v>
      </x:c>
      <x:c r="R41" s="46" t="n">
        <x:v>15</x:v>
      </x:c>
      <x:c r="S41" s="46" t="n">
        <x:v>23.7</x:v>
      </x:c>
      <x:c r="T41" s="46" t="n">
        <x:v>11.4</x:v>
      </x:c>
      <x:c r="U41" s="46" t="n">
        <x:v>13.1</x:v>
      </x:c>
      <x:c r="V41" s="46" t="n">
        <x:v>21.8</x:v>
      </x:c>
      <x:c r="W41" s="46" t="n">
        <x:v>39.4</x:v>
      </x:c>
      <x:c r="X41" s="46" t="n">
        <x:v>41.6</x:v>
      </x:c>
      <x:c r="Y41" s="46" t="str">
        <x:v>GC-IMS peak volume; four raw then four steamed slaughter groups</x:v>
      </x:c>
      <x:c r="Z41" s="46"/>
      <x:c r="AA41" t="str">
        <x:v>Acids</x:v>
      </x:c>
    </x:row>
    <x:row r="42" ht="26.399999618530273" hidden="0" customHeight="1">
      <x:c r="A42" s="46" t="str">
        <x:v>DFS-SB-041</x:v>
      </x:c>
      <x:c r="B42" s="46" t="str">
        <x:v>fish:sea_bass</x:v>
      </x:c>
      <x:c r="C42" s="46" t="str">
        <x:v>family:finfish</x:v>
      </x:c>
      <x:c r="D42" s="46" t="str">
        <x:v>white_fish_anchor_fat_class_provisional</x:v>
      </x:c>
      <x:c r="E42" s="46" t="str">
        <x:v>Lateolabrax japonicus muscle</x:v>
      </x:c>
      <x:c r="F42" s="46" t="str">
        <x:v>SRC-FISH-SEABASS-STEAM-001</x:v>
      </x:c>
      <x:c r="G42" s="46" t="str">
        <x:v>Furans</x:v>
      </x:c>
      <x:c r="H42" s="46" t="str">
        <x:v>2-Pentylfuran</x:v>
      </x:c>
      <x:c r="I42" s="46"/>
      <x:c r="J42" s="46" t="str">
        <x:v>3777-69-3</x:v>
      </x:c>
      <x:c r="K42" s="46" t="n">
        <x:v>995.7</x:v>
      </x:c>
      <x:c r="L42" s="46" t="n">
        <x:v>345.2</x:v>
      </x:c>
      <x:c r="M42" s="46" t="n">
        <x:v>1.26</x:v>
      </x:c>
      <x:c r="N42" s="46" t="str">
        <x:v>NIST + IMS database identification; source Table 2 CAS/RI/RT/Dt</x:v>
      </x:c>
      <x:c r="O42" s="46"/>
      <x:c r="P42" s="46" t="str">
        <x:v>partial_no_numeric_match_factor</x:v>
      </x:c>
      <x:c r="Q42" s="46" t="n">
        <x:v>22.2</x:v>
      </x:c>
      <x:c r="R42" s="46" t="n">
        <x:v>16.4</x:v>
      </x:c>
      <x:c r="S42" s="46" t="n">
        <x:v>21</x:v>
      </x:c>
      <x:c r="T42" s="46" t="n">
        <x:v>16.5</x:v>
      </x:c>
      <x:c r="U42" s="46" t="n">
        <x:v>97.4</x:v>
      </x:c>
      <x:c r="V42" s="46" t="n">
        <x:v>205.1</x:v>
      </x:c>
      <x:c r="W42" s="46" t="n">
        <x:v>279</x:v>
      </x:c>
      <x:c r="X42" s="46" t="n">
        <x:v>284</x:v>
      </x:c>
      <x:c r="Y42" s="46" t="str">
        <x:v>GC-IMS peak volume; four raw then four steamed slaughter groups</x:v>
      </x:c>
      <x:c r="Z42" s="46"/>
      <x:c r="AA42" t="str">
        <x:v>Furans</x:v>
      </x:c>
    </x:row>
    <x:row r="43" ht="26.399999618530273" hidden="0" customHeight="1">
      <x:c r="A43" s="46" t="str">
        <x:v>DFS-SB-042</x:v>
      </x:c>
      <x:c r="B43" s="46" t="str">
        <x:v>fish:sea_bass</x:v>
      </x:c>
      <x:c r="C43" s="46" t="str">
        <x:v>family:finfish</x:v>
      </x:c>
      <x:c r="D43" s="46" t="str">
        <x:v>white_fish_anchor_fat_class_provisional</x:v>
      </x:c>
      <x:c r="E43" s="46" t="str">
        <x:v>Lateolabrax japonicus muscle</x:v>
      </x:c>
      <x:c r="F43" s="46" t="str">
        <x:v>SRC-FISH-SEABASS-STEAM-001</x:v>
      </x:c>
      <x:c r="G43" s="46" t="str">
        <x:v>Sulfur compounds</x:v>
      </x:c>
      <x:c r="H43" s="46" t="str">
        <x:v>Dimethyl disulfide</x:v>
      </x:c>
      <x:c r="I43" s="46"/>
      <x:c r="J43" s="46" t="str">
        <x:v>624-92-0</x:v>
      </x:c>
      <x:c r="K43" s="46" t="n">
        <x:v>745.7</x:v>
      </x:c>
      <x:c r="L43" s="46" t="n">
        <x:v>183.5</x:v>
      </x:c>
      <x:c r="M43" s="46" t="n">
        <x:v>1.14</x:v>
      </x:c>
      <x:c r="N43" s="46" t="str">
        <x:v>NIST + IMS database identification; source Table 2 CAS/RI/RT/Dt</x:v>
      </x:c>
      <x:c r="O43" s="46"/>
      <x:c r="P43" s="46" t="str">
        <x:v>partial_no_numeric_match_factor</x:v>
      </x:c>
      <x:c r="Q43" s="46" t="n">
        <x:v>36.5</x:v>
      </x:c>
      <x:c r="R43" s="46" t="n">
        <x:v>41.9</x:v>
      </x:c>
      <x:c r="S43" s="46" t="n">
        <x:v>182.6</x:v>
      </x:c>
      <x:c r="T43" s="46" t="n">
        <x:v>148.5</x:v>
      </x:c>
      <x:c r="U43" s="46" t="n">
        <x:v>30.7</x:v>
      </x:c>
      <x:c r="V43" s="46" t="n">
        <x:v>53.7</x:v>
      </x:c>
      <x:c r="W43" s="46" t="n">
        <x:v>58.9</x:v>
      </x:c>
      <x:c r="X43" s="46" t="n">
        <x:v>50</x:v>
      </x:c>
      <x:c r="Y43" s="46" t="str">
        <x:v>GC-IMS peak volume; four raw then four steamed slaughter groups</x:v>
      </x:c>
      <x:c r="Z43" s="46"/>
      <x:c r="AA43" t="str">
        <x:v>Sulfur compounds</x:v>
      </x:c>
    </x:row>
    <x:row r="44" ht="39.599998474121094" hidden="0" customHeight="1">
      <x:c r="A44" s="46" t="str">
        <x:v>DFS-SB-043</x:v>
      </x:c>
      <x:c r="B44" s="46" t="str">
        <x:v>fish:sea_bass</x:v>
      </x:c>
      <x:c r="C44" s="46" t="str">
        <x:v>family:finfish</x:v>
      </x:c>
      <x:c r="D44" s="46" t="str">
        <x:v>white_fish_anchor_fat_class_provisional</x:v>
      </x:c>
      <x:c r="E44" s="46" t="str">
        <x:v>Lateolabrax japonicus muscle</x:v>
      </x:c>
      <x:c r="F44" s="46" t="str">
        <x:v>SRC-FISH-SEABASS-STEAM-001</x:v>
      </x:c>
      <x:c r="G44" s="46" t="str">
        <x:v>Source table category shown as Hydrocarbons; normalized as Aldehydes</x:v>
      </x:c>
      <x:c r="H44" s="46" t="str">
        <x:v>Octanal</x:v>
      </x:c>
      <x:c r="I44" s="46" t="str">
        <x:v>M</x:v>
      </x:c>
      <x:c r="J44" s="46" t="str">
        <x:v>124-13-0</x:v>
      </x:c>
      <x:c r="K44" s="46" t="n">
        <x:v>1006.8</x:v>
      </x:c>
      <x:c r="L44" s="46" t="n">
        <x:v>360.8</x:v>
      </x:c>
      <x:c r="M44" s="46" t="n">
        <x:v>1.4</x:v>
      </x:c>
      <x:c r="N44" s="46" t="str">
        <x:v>NIST + IMS database identification; source Table 2 CAS/RI/RT/Dt</x:v>
      </x:c>
      <x:c r="O44" s="46"/>
      <x:c r="P44" s="46" t="str">
        <x:v>partial_no_numeric_match_factor</x:v>
      </x:c>
      <x:c r="Q44" s="46" t="n">
        <x:v>262.7</x:v>
      </x:c>
      <x:c r="R44" s="46" t="n">
        <x:v>200.1</x:v>
      </x:c>
      <x:c r="S44" s="46" t="n">
        <x:v>260.2</x:v>
      </x:c>
      <x:c r="T44" s="46" t="n">
        <x:v>184.2</x:v>
      </x:c>
      <x:c r="U44" s="46" t="n">
        <x:v>1215.8</x:v>
      </x:c>
      <x:c r="V44" s="46" t="n">
        <x:v>2396.4</x:v>
      </x:c>
      <x:c r="W44" s="46" t="n">
        <x:v>2648.9</x:v>
      </x:c>
      <x:c r="X44" s="46" t="n">
        <x:v>2368.9</x:v>
      </x:c>
      <x:c r="Y44" s="46" t="str">
        <x:v>GC-IMS peak volume; four raw then four steamed slaughter groups</x:v>
      </x:c>
      <x:c r="Z44" s="46" t="str">
        <x:v>Source group text normalized for Octanal because the published table layout places it under a 'Hydrocarbons' heading despite aldehyde identity.</x:v>
      </x:c>
      <x:c r="AA44" t="str">
        <x:v>Aldehydes</x:v>
      </x:c>
    </x:row>
    <x:row r="45" ht="39.599998474121094" hidden="0" customHeight="1">
      <x:c r="A45" s="46" t="str">
        <x:v>DFS-SB-044</x:v>
      </x:c>
      <x:c r="B45" s="46" t="str">
        <x:v>fish:sea_bass</x:v>
      </x:c>
      <x:c r="C45" s="46" t="str">
        <x:v>family:finfish</x:v>
      </x:c>
      <x:c r="D45" s="46" t="str">
        <x:v>white_fish_anchor_fat_class_provisional</x:v>
      </x:c>
      <x:c r="E45" s="46" t="str">
        <x:v>Lateolabrax japonicus muscle</x:v>
      </x:c>
      <x:c r="F45" s="46" t="str">
        <x:v>SRC-FISH-SEABASS-STEAM-001</x:v>
      </x:c>
      <x:c r="G45" s="46" t="str">
        <x:v>Source table category shown as Hydrocarbons; normalized as Aldehydes</x:v>
      </x:c>
      <x:c r="H45" s="46" t="str">
        <x:v>Octanal</x:v>
      </x:c>
      <x:c r="I45" s="46" t="str">
        <x:v>D</x:v>
      </x:c>
      <x:c r="J45" s="46" t="str">
        <x:v>124-13-0</x:v>
      </x:c>
      <x:c r="K45" s="46" t="n">
        <x:v>1004.3</x:v>
      </x:c>
      <x:c r="L45" s="46" t="n">
        <x:v>357.1</x:v>
      </x:c>
      <x:c r="M45" s="46" t="n">
        <x:v>1.83</x:v>
      </x:c>
      <x:c r="N45" s="46" t="str">
        <x:v>NIST + IMS database identification; source Table 2 CAS/RI/RT/Dt</x:v>
      </x:c>
      <x:c r="O45" s="46"/>
      <x:c r="P45" s="46" t="str">
        <x:v>partial_no_numeric_match_factor</x:v>
      </x:c>
      <x:c r="Q45" s="46" t="n">
        <x:v>70.6</x:v>
      </x:c>
      <x:c r="R45" s="46" t="n">
        <x:v>75.8</x:v>
      </x:c>
      <x:c r="S45" s="46" t="n">
        <x:v>70.5</x:v>
      </x:c>
      <x:c r="T45" s="46" t="n">
        <x:v>71.9</x:v>
      </x:c>
      <x:c r="U45" s="46" t="n">
        <x:v>354.2</x:v>
      </x:c>
      <x:c r="V45" s="46" t="n">
        <x:v>1629.9</x:v>
      </x:c>
      <x:c r="W45" s="46" t="n">
        <x:v>2355.7</x:v>
      </x:c>
      <x:c r="X45" s="46" t="n">
        <x:v>2220.2</x:v>
      </x:c>
      <x:c r="Y45" s="46" t="str">
        <x:v>GC-IMS peak volume; four raw then four steamed slaughter groups</x:v>
      </x:c>
      <x:c r="Z45" s="46" t="str">
        <x:v>Source group text normalized for Octanal because the published table layout places it under a 'Hydrocarbons' heading despite aldehyde identity.</x:v>
      </x:c>
      <x:c r="AA45" t="str">
        <x:v>Aldehydes</x:v>
      </x:c>
    </x:row>
  </x:sheetData>
  <x:pageMargins left="0.7" right="0.7" top="0.75" bottom="0.75" header="0.3" footer="0.3"/>
  <x:tableParts count="1">
    <x:tablePart xmlns:r="http://schemas.openxmlformats.org/officeDocument/2006/relationships" r:id="R4a99487eb3b04f2e"/>
  </x:tableParts>
</x:worksheet>
</file>

<file path=xl/worksheets/sheet59.xml><?xml version="1.0" encoding="utf-8"?>
<x:worksheet xmlns:x="http://schemas.openxmlformats.org/spreadsheetml/2006/main">
  <x:sheetFormatPr defaultRowHeight="15"/>
  <x:cols>
    <x:col min="1" max="1" width="29" hidden="0" customWidth="1"/>
    <x:col min="2" max="2" width="22" hidden="0" customWidth="1"/>
    <x:col min="3" max="3" width="56" hidden="0" customWidth="1"/>
    <x:col min="4" max="4" width="20" hidden="0" customWidth="1"/>
    <x:col min="5" max="5" width="32" hidden="0" customWidth="1"/>
    <x:col min="6" max="6" width="22" hidden="0" customWidth="1"/>
    <x:col min="7" max="7" width="24" hidden="0" customWidth="1"/>
    <x:col min="8" max="8" width="24" hidden="0" customWidth="1"/>
    <x:col min="9" max="9" width="28" hidden="0" customWidth="1"/>
    <x:col min="10" max="10" width="54" hidden="0" customWidth="1"/>
    <x:col min="11" max="11" width="28" hidden="0" customWidth="1"/>
    <x:col min="12" max="12" width="72" hidden="0" customWidth="1"/>
  </x:cols>
  <x:sheetData>
    <x:row r="1" ht="15" hidden="0" customHeight="1">
      <x:c r="A1" s="166" t="str">
        <x:v>source_id</x:v>
      </x:c>
      <x:c r="B1" s="166" t="str">
        <x:v>product_id</x:v>
      </x:c>
      <x:c r="C1" s="166" t="str">
        <x:v>source_reported_scope</x:v>
      </x:c>
      <x:c r="D1" s="166" t="str">
        <x:v>rows_extracted_current</x:v>
      </x:c>
      <x:c r="E1" s="166" t="str">
        <x:v>count_reconciliation</x:v>
      </x:c>
      <x:c r="F1" s="166" t="str">
        <x:v>cas_coverage</x:v>
      </x:c>
      <x:c r="G1" s="166" t="str">
        <x:v>retention_time_coverage</x:v>
      </x:c>
      <x:c r="H1" s="166" t="str">
        <x:v>retention_index_coverage</x:v>
      </x:c>
      <x:c r="I1" s="166" t="str">
        <x:v>numeric_match_factor_coverage</x:v>
      </x:c>
      <x:c r="J1" s="166" t="str">
        <x:v>identification_basis</x:v>
      </x:c>
      <x:c r="K1" s="166" t="str">
        <x:v>mr09_status</x:v>
      </x:c>
      <x:c r="L1" s="166" t="str">
        <x:v>notes</x:v>
      </x:c>
    </x:row>
    <x:row r="2" ht="26.399999618530273" hidden="0" customHeight="1">
      <x:c r="A2" s="46" t="str">
        <x:v>SRC-FISH-SALMON-COOK-001</x:v>
      </x:c>
      <x:c r="B2" s="46" t="str">
        <x:v>fish:atlantic_salmon</x:v>
      </x:c>
      <x:c r="C2" s="46" t="str">
        <x:v>48-compound union across raw/boiled/steamed/oven</x:v>
      </x:c>
      <x:c r="D2" s="46" t="n">
        <x:f>COUNTA('Detected Finfish Salmon'!H2:H49)</x:f>
        <x:v>48</x:v>
      </x:c>
      <x:c r="E2" s="46" t="str">
        <x:f>IF(D2=48,"pass_48_of_48","FAIL_"&amp;D2&amp;"_of_48")</x:f>
        <x:v>pass_48_of_48</x:v>
      </x:c>
      <x:c r="F2" s="46" t="str">
        <x:v>0/48 source table</x:v>
      </x:c>
      <x:c r="G2" s="46" t="str">
        <x:v>48/48</x:v>
      </x:c>
      <x:c r="H2" s="46" t="str">
        <x:v>0/48</x:v>
      </x:c>
      <x:c r="I2" s="46" t="str">
        <x:v>0/48</x:v>
      </x:c>
      <x:c r="J2" s="46" t="str">
        <x:v>GC retention time + NIST 2005 mass-spectrum comparison</x:v>
      </x:c>
      <x:c r="K2" s="202" t="str">
        <x:v>primary_source_partial_independent_MR09_corroboration</x:v>
      </x:c>
      <x:c r="L2" s="46" t="str">
        <x:v>Original 48-row cooking source still publishes no RI or numeric match factor. Independent fresh Atlantic salmon/cod source SRC-FISH-COD-SALMON-RAW-IDQA-001 supplies LRI on 101/101 rows and authentic-standard confirmation on 48/101; controlled exact-name crosscheck corroborates 21 of the 48 culinary salmon rows. Do not copy the independent RI into the original source rows.</x:v>
      </x:c>
    </x:row>
    <x:row r="3" ht="39.599998474121094" hidden="0" customHeight="1">
      <x:c r="A3" s="46" t="str">
        <x:v>SRC-FISH-SEABASS-STEAM-001</x:v>
      </x:c>
      <x:c r="B3" s="46" t="str">
        <x:v>fish:sea_bass</x:v>
      </x:c>
      <x:c r="C3" s="46" t="str">
        <x:v>31 VOCs reported raw; 39 VOCs reported cooked; Table 2 includes monomer/dimer GC-IMS analytical features and unidentified features</x:v>
      </x:c>
      <x:c r="D3" s="46" t="n">
        <x:f>COUNTA('Detected Finfish Sea Bass'!H2:H45)</x:f>
        <x:v>44</x:v>
      </x:c>
      <x:c r="E3" s="46" t="str">
        <x:v>pass_full_named_Table2_features</x:v>
      </x:c>
      <x:c r="F3" s="46" t="str">
        <x:v>44/44 named features</x:v>
      </x:c>
      <x:c r="G3" s="46" t="str">
        <x:v>44/44</x:v>
      </x:c>
      <x:c r="H3" s="46" t="str">
        <x:v>44/44</x:v>
      </x:c>
      <x:c r="I3" s="46" t="str">
        <x:v>0/44</x:v>
      </x:c>
      <x:c r="J3" s="46" t="str">
        <x:v>NIST + IMS databases; source CAS, RI, GC retention time and IMS drift time retained</x:v>
      </x:c>
      <x:c r="K3" s="202" t="str">
        <x:v>partial_source_reporting</x:v>
      </x:c>
      <x:c r="L3" s="46" t="str">
        <x:v>44 named analytical features represent 31 distinct named compounds because GC-IMS monomer/dimer forms are preserved. The paper's raw/cooked totals also include unidentified features; do not force a false 44=31/39 reconciliation.</x:v>
      </x:c>
    </x:row>
    <x:row r="4" ht="26.399999618530273" hidden="0" customHeight="1">
      <x:c r="A4" s="46" t="str">
        <x:v>SRC-FISH-SEABASS-SALMON-MAP-001</x:v>
      </x:c>
      <x:c r="B4" s="46" t="str">
        <x:v>architecture_test_only</x:v>
      </x:c>
      <x:c r="C4" s="46" t="str">
        <x:v>54 VOC identities under identical MAP storage method</x:v>
      </x:c>
      <x:c r="D4" s="46"/>
      <x:c r="E4" s="46" t="str">
        <x:v>not_ingested_as_positive_profile</x:v>
      </x:c>
      <x:c r="F4" s="46" t="str">
        <x:v>not assessed</x:v>
      </x:c>
      <x:c r="G4" s="46" t="str">
        <x:v>not assessed</x:v>
      </x:c>
      <x:c r="H4" s="46" t="str">
        <x:v>not assessed</x:v>
      </x:c>
      <x:c r="I4" s="46" t="str">
        <x:v>not assessed</x:v>
      </x:c>
      <x:c r="J4" s="46" t="str">
        <x:v>SPME-GC-MS</x:v>
      </x:c>
      <x:c r="K4" s="202" t="str">
        <x:v>context_limited</x:v>
      </x:c>
      <x:c r="L4" s="46" t="str">
        <x:v>Used only for the cross-species identity-overlap test. Storage/spoilage evolution is not imported into the positive culinary pairing layer.</x:v>
      </x:c>
    </x:row>
    <x:row r="5">
      <x:c r="A5" t="str">
        <x:v>SRC-FISH-MACKEREL-HEAT-001</x:v>
      </x:c>
      <x:c r="B5" t="str">
        <x:v>fish:mackerel</x:v>
      </x:c>
      <x:c r="C5" t="str">
        <x:v>32 raw white / 39 heated white / 41 raw red / 52 heated red; full source Table 2 union larger than any single state</x:v>
      </x:c>
      <x:c r="D5" t="n">
        <x:f>COUNTA('Detected Finfish Mackerel'!F2:F44)</x:f>
        <x:v>43</x:v>
      </x:c>
      <x:c r="E5" t="str">
        <x:f>IF(D5=43,"partial_43_exact_rows_source_counts_fully_reconciled","CHECK_"&amp;D5)</x:f>
        <x:v>partial_43_exact_rows_source_counts_fully_reconciled</x:v>
      </x:c>
      <x:c r="F5" t="str">
        <x:v>not reported in recovered table text</x:v>
      </x:c>
      <x:c r="G5" t="str">
        <x:v>43/43 recovered rows</x:v>
      </x:c>
      <x:c r="H5" t="str">
        <x:v>0/43</x:v>
      </x:c>
      <x:c r="I5" t="str">
        <x:v>43/43 recovered exact similarity values</x:v>
      </x:c>
      <x:c r="J5" t="str">
        <x:v>NIST 08 + WILEY 09 cross-match; source rejects similarity &lt;80/100</x:v>
      </x:c>
      <x:c r="K5" s="203" t="str">
        <x:v>strong_row_quality_partial_table_access</x:v>
      </x:c>
      <x:c r="L5" t="str">
        <x:v>All 43 recovered Table-2 rows carry exact RT and similarity. Source-level class counts reconcile exactly to 32/39/41/52. Remaining Table-2 rows are not reconstructed from narrative fragments.</x:v>
      </x:c>
    </x:row>
    <x:row r="6">
      <x:c r="A6" t="str">
        <x:v>SRC-FISH-COD-FRESH-001</x:v>
      </x:c>
      <x:c r="B6" t="str">
        <x:v>fish:atlantic_cod</x:v>
      </x:c>
      <x:c r="C6" t="str">
        <x:v>&gt;100 VOCs across cod/salmon/sea bass/seabream fresh and frozen-thawed samples</x:v>
      </x:c>
      <x:c r="D6"/>
      <x:c r="E6" t="str">
        <x:v>context_only_not_ingested</x:v>
      </x:c>
      <x:c r="F6" t="str">
        <x:v>not assessed</x:v>
      </x:c>
      <x:c r="G6" t="str">
        <x:v>not assessed</x:v>
      </x:c>
      <x:c r="H6" t="str">
        <x:v>not assessed</x:v>
      </x:c>
      <x:c r="I6" t="str">
        <x:v>not assessed</x:v>
      </x:c>
      <x:c r="J6" t="str">
        <x:v>SPME-GC-MS</x:v>
      </x:c>
      <x:c r="K6" s="203" t="str">
        <x:v>context_limited</x:v>
      </x:c>
      <x:c r="L6" t="str">
        <x:v>Provides a fresh-cod member anchor and cross-species context, but the published accessible record does not provide the full cod-specific fresh table and it is not a cooking study.</x:v>
      </x:c>
    </x:row>
    <x:row r="7">
      <x:c r="A7" t="str">
        <x:v>SRC-FISH-COD-SOUP-001</x:v>
      </x:c>
      <x:c r="B7" t="str">
        <x:v>fish:pacific_cod_head</x:v>
      </x:c>
      <x:c r="C7" t="str">
        <x:v>27 / 25 / 28 / 40 VOCs across four cod-head soup cooking methods</x:v>
      </x:c>
      <x:c r="D7"/>
      <x:c r="E7" t="str">
        <x:v>context_only_not_ingested</x:v>
      </x:c>
      <x:c r="F7" t="str">
        <x:v>not assessed</x:v>
      </x:c>
      <x:c r="G7" t="str">
        <x:v>not assessed</x:v>
      </x:c>
      <x:c r="H7" t="str">
        <x:v>not assessed</x:v>
      </x:c>
      <x:c r="I7" t="str">
        <x:v>not assessed</x:v>
      </x:c>
      <x:c r="J7" t="str">
        <x:v>GC-MS</x:v>
      </x:c>
      <x:c r="K7" s="203" t="str">
        <x:v>context_limited</x:v>
      </x:c>
      <x:c r="L7" t="str">
        <x:v>Useful as a cooked lean-cod process check only. Head/soup matrix is not equivalent to cod muscle and has no raw muscle baseline.</x:v>
      </x:c>
    </x:row>
    <x:row r="8">
      <x:c r="A8" t="str">
        <x:v>SRC-FISH-COD-SALMON-GCO-001</x:v>
      </x:c>
      <x:c r="B8" t="str">
        <x:v>fish:atlantic_cod + fish:atlantic_salmon</x:v>
      </x:c>
      <x:c r="C8" t="str">
        <x:v>matched boiled salmon/cod character-impact odorants under fresh-control and storage-defect conditions</x:v>
      </x:c>
      <x:c r="D8" t="n">
        <x:f>COUNTA('Finfish Cod-Salmon Sensory'!D2:D7)</x:f>
        <x:v>6</x:v>
      </x:c>
      <x:c r="E8" t="str">
        <x:v>sensory_key_set_not_MR10_detection_table</x:v>
      </x:c>
      <x:c r="F8" t="str">
        <x:v>not required for current architecture use</x:v>
      </x:c>
      <x:c r="G8" t="str">
        <x:v>not assessed</x:v>
      </x:c>
      <x:c r="H8" t="str">
        <x:v>not assessed</x:v>
      </x:c>
      <x:c r="I8" t="str">
        <x:v>not assessed</x:v>
      </x:c>
      <x:c r="J8" t="str">
        <x:v>AEDA/dilution screening + stable-isotope dilution assays + OAV</x:v>
      </x:c>
      <x:c r="K8" s="203" t="str">
        <x:v>strong_sensory_quantitative</x:v>
      </x:c>
      <x:c r="L8" t="str">
        <x:v>Six unique compounds encode the fresh-control five-vs-five character-impact sets: four shared, one salmon-specific key delta, one cod-specific key delta. This source is not used as a full detected-table substitute.</x:v>
      </x:c>
    </x:row>
    <x:row r="9">
      <x:c r="A9" t="str">
        <x:v>SRC-FISH-COD-SALMON-RAW-IDQA-001</x:v>
      </x:c>
      <x:c r="B9" t="str">
        <x:v>fish:atlantic_cod + fish:atlantic_salmon</x:v>
      </x:c>
      <x:c r="C9" t="str">
        <x:v>101-row full identification inventory spanning fresh and frozen-thawed stages; source states no frozen-only VOCs</x:v>
      </x:c>
      <x:c r="D9" t="n">
        <x:f>COUNTA('Detected Finfish Cod Raw'!G2:G102)</x:f>
        <x:v>101</x:v>
      </x:c>
      <x:c r="E9" t="str">
        <x:f>IF(D9=101,"pass_101_of_101","FAIL_"&amp;D9&amp;"_of_101")</x:f>
        <x:v>pass_101_of_101</x:v>
      </x:c>
      <x:c r="F9" t="str">
        <x:v>0/101 source table</x:v>
      </x:c>
      <x:c r="G9" t="str">
        <x:v>not reported as RT</x:v>
      </x:c>
      <x:c r="H9" t="str">
        <x:v>101/101 SLB-5ms LRI</x:v>
      </x:c>
      <x:c r="I9" t="str">
        <x:v>0/101 numeric spectral match factors</x:v>
      </x:c>
      <x:c r="J9" t="str">
        <x:v>NIST MS + LRI; 48/101 authentic-standard confirmations; specific diagnostic ion retained</x:v>
      </x:c>
      <x:c r="K9" s="207" t="str">
        <x:v>strong_MR09_without_numeric_match_factor</x:v>
      </x:c>
      <x:c r="L9" t="str">
        <x:v>Fresh cod membership is directly supported by study design/source statement. Also serves as independent identification-quality validation for the salmon family anchor.</x:v>
      </x:c>
    </x:row>
    <x:row r="10">
      <x:c r="A10" t="str">
        <x:v>SRC-FISH-COD-BAKED-001</x:v>
      </x:c>
      <x:c r="B10" t="str">
        <x:v>fish:atlantic_cod</x:v>
      </x:c>
      <x:c r="C10" t="str">
        <x:v>72-VOC baked cod/monkfish/eel comparison; full Table 2 ingested</x:v>
      </x:c>
      <x:c r="D10" t="n">
        <x:f>COUNTA('Detected Finfish Cod Baked'!J2:J73)</x:f>
        <x:v>72</x:v>
      </x:c>
      <x:c r="E10" t="str">
        <x:f>IF(D10=72,"pass_72_of_72","FAIL_"&amp;D10&amp;"_of_72")</x:f>
        <x:v>pass_72_of_72</x:v>
      </x:c>
      <x:c r="F10" t="str">
        <x:v>72/72 source CAS strings (1 malformed CAS preserved as printed)</x:v>
      </x:c>
      <x:c r="G10" t="str">
        <x:v>72/72 GC retention time</x:v>
      </x:c>
      <x:c r="H10" t="str">
        <x:v>72/72 NIST2020 DB-WAX RI</x:v>
      </x:c>
      <x:c r="I10" t="str">
        <x:v>0/72 numeric match factors</x:v>
      </x:c>
      <x:c r="J10" t="str">
        <x:v>NIST2020 RI DB-WAX + GC-IMS drift time + Vocal library workflow</x:v>
      </x:c>
      <x:c r="K10" s="207" t="str">
        <x:v>strong_retention_metadata_no_match_factor</x:v>
      </x:c>
      <x:c r="L10" t="str">
        <x:v>Direct cooked cod full table. Commercial baked-fillet ingredients include sugar, salt and MSG, so this is a seasoned thermal profile rather than a clean intrinsic cod baseline.</x:v>
      </x:c>
    </x:row>
  </x:sheetData>
  <x:pageMargins left="0.7" right="0.7" top="0.75" bottom="0.75" header="0.3" footer="0.3"/>
  <x:tableParts count="1">
    <x:tablePart xmlns:r="http://schemas.openxmlformats.org/officeDocument/2006/relationships" r:id="Rb0eaa3c95e894ba2"/>
  </x:tableParts>
</x:worksheet>
</file>

<file path=xl/worksheets/sheet60.xml><?xml version="1.0" encoding="utf-8"?>
<x:worksheet xmlns:x="http://schemas.openxmlformats.org/spreadsheetml/2006/main">
  <x:sheetFormatPr defaultRowHeight="15"/>
  <x:cols>
    <x:col min="1" max="1" width="15" hidden="0" customWidth="1"/>
    <x:col min="2" max="2" width="55" hidden="0" customWidth="1"/>
    <x:col min="3" max="3" width="50" hidden="0" customWidth="1"/>
    <x:col min="4" max="4" width="70" hidden="0" customWidth="1"/>
    <x:col min="5" max="5" width="30" hidden="0" customWidth="1"/>
    <x:col min="6" max="6" width="76" hidden="0" customWidth="1"/>
    <x:col min="7" max="7" width="80" hidden="0" customWidth="1"/>
    <x:col min="8" max="8" width="28" hidden="0" customWidth="1"/>
  </x:cols>
  <x:sheetData>
    <x:row r="1" ht="15" hidden="0" customHeight="1">
      <x:c r="A1" s="166" t="str">
        <x:v>test_id</x:v>
      </x:c>
      <x:c r="B1" s="166" t="str">
        <x:v>question</x:v>
      </x:c>
      <x:c r="C1" s="166" t="str">
        <x:v>evidence</x:v>
      </x:c>
      <x:c r="D1" s="166" t="str">
        <x:v>result</x:v>
      </x:c>
      <x:c r="E1" s="166" t="str">
        <x:v>strength</x:v>
      </x:c>
      <x:c r="F1" s="166" t="str">
        <x:v>interpretation</x:v>
      </x:c>
      <x:c r="G1" s="166" t="str">
        <x:v>boundary</x:v>
      </x:c>
      <x:c r="H1" s="166" t="str">
        <x:v>status</x:v>
      </x:c>
    </x:row>
    <x:row r="2" ht="26.399999618530273" hidden="0" customHeight="1">
      <x:c r="A2" s="46" t="str">
        <x:v>FF-ARCH-001</x:v>
      </x:c>
      <x:c r="B2" s="46" t="str">
        <x:v>Is salmon a sufficiently complete fatty-fish anchor for full-table ingestion?</x:v>
      </x:c>
      <x:c r="C2" s="46" t="str">
        <x:v>SRC-FISH-SALMON-COOK-001; Detected Finfish Salmon</x:v>
      </x:c>
      <x:c r="D2" s="46" t="str">
        <x:f>"48/48 source compounds extracted; raw "&amp;COUNT('Detected Finfish Salmon'!P2:P49)&amp;", boiled "&amp;COUNT('Detected Finfish Salmon'!Q2:Q49)&amp;", steamed "&amp;COUNT('Detected Finfish Salmon'!R2:R49)&amp;", oven "&amp;COUNT('Detected Finfish Salmon'!S2:S49)&amp;" detections; "&amp;SUMPRODUCT(--('Detected Finfish Salmon'!P2:P49&lt;&gt;""),--('Detected Finfish Salmon'!Q2:Q49&lt;&gt;""),--('Detected Finfish Salmon'!R2:R49&lt;&gt;""),--('Detected Finfish Salmon'!S2:S49&lt;&gt;""))&amp;" detected in all four states; raw fat 9.02±1.41%."</x:f>
        <x:v>48/48 source compounds extracted; raw 31, boiled 19, steamed 20, oven 30 detections; 8 detected in all four states; raw fat 9.02±1.41%.</x:v>
      </x:c>
      <x:c r="E2" s="46" t="str">
        <x:v>strong_source_complete</x:v>
      </x:c>
      <x:c r="F2" s="46" t="str">
        <x:v>Salmon can anchor a fatty-fish member profile while keeping raw/cook concentration shifts visible instead of collapsing to key odorants.</x:v>
      </x:c>
      <x:c r="G2" s="46" t="str">
        <x:v>One salmon study and its analytical method do not define the whole fin-fish family.</x:v>
      </x:c>
      <x:c r="H2" s="208" t="str">
        <x:v>pass</x:v>
      </x:c>
    </x:row>
    <x:row r="3" ht="26.399999618530273" hidden="0" customHeight="1">
      <x:c r="A3" s="46" t="str">
        <x:v>FF-ARCH-002</x:v>
      </x:c>
      <x:c r="B3" s="46" t="str">
        <x:v>Does a white-fish member show a broadly overlapping lipid-oxidation / carbonyl / alcohol / ketone backbone across raw and steamed states?</x:v>
      </x:c>
      <x:c r="C3" s="46" t="str">
        <x:v>SRC-FISH-SEABASS-STEAM-001; Detected Finfish Sea Bass</x:v>
      </x:c>
      <x:c r="D3" s="46" t="str">
        <x:v>Source reports 31 raw and 39 steamed VOCs; all 44 named GC-IMS analytical features from Table 2 are retained, representing 31 distinct named compounds with CAS/RI/RT.</x:v>
      </x:c>
      <x:c r="E3" s="46" t="str">
        <x:v>strong_member_state_evidence</x:v>
      </x:c>
      <x:c r="F3" s="46" t="str">
        <x:v>Sea bass shows the expected shared fin-fish classes plus real cooking and handling abundance deltas.</x:v>
      </x:c>
      <x:c r="G3" s="46" t="str">
        <x:v>Slaughter method materially affects peak volume; this source did not quantify total fat, so it is a white-fish anchor but not by itself proof of a lean-fat rule.</x:v>
      </x:c>
      <x:c r="H3" s="208" t="str">
        <x:v>pass</x:v>
      </x:c>
    </x:row>
    <x:row r="4" ht="39.599998474121094" hidden="0" customHeight="1">
      <x:c r="A4" s="46" t="str">
        <x:v>FF-ARCH-003</x:v>
      </x:c>
      <x:c r="B4" s="46" t="str">
        <x:v>In a controlled salmon-versus-seabass comparison, is species differentiation mostly weighting rather than different compound membership?</x:v>
      </x:c>
      <x:c r="C4" s="46" t="str">
        <x:v>SRC-FISH-SEABASS-SALMON-MAP-001</x:v>
      </x:c>
      <x:c r="D4" s="46" t="str">
        <x:v>54 VOCs were identified under the same method/context; 51 were shared across both species, with only 3 species-specific exceptions (94.4% shared identity).</x:v>
      </x:c>
      <x:c r="E4" s="46" t="str">
        <x:v>strong_same_method_context_limited</x:v>
      </x:c>
      <x:c r="F4" s="46" t="str">
        <x:v>This directly supports a large shared fin-fish identity backbone with species-dependent abundance/evolution patterns.</x:v>
      </x:c>
      <x:c r="G4" s="46" t="str">
        <x:v>The experiment is refrigerated MAP storage and explicitly studies spoilage/freshness. It is valid for identity-overlap architecture, not for positive culinary importance or fresh-state abundance inheritance.</x:v>
      </x:c>
      <x:c r="H4" s="208" t="str">
        <x:v>pass_context_limited</x:v>
      </x:c>
    </x:row>
    <x:row r="5" ht="26.399999618530273" hidden="0" customHeight="1">
      <x:c r="A5" s="46" t="str">
        <x:v>FF-ARCH-004</x:v>
      </x:c>
      <x:c r="B5" s="46" t="str">
        <x:v>Does lipid level alter volatile richness/weighting within a fish species?</x:v>
      </x:c>
      <x:c r="C5" s="46" t="str">
        <x:v>SRC-FISH-SEABASS-LIPID-001</x:v>
      </x:c>
      <x:c r="D5" s="46" t="str">
        <x:v>Farmed European sea bass had approximately six-fold higher lipid content than wild fish and a much richer volatile profile; cooking method further changed volatile enrichment.</x:v>
      </x:c>
      <x:c r="E5" s="46" t="str">
        <x:v>strong_within_species_directional</x:v>
      </x:c>
      <x:c r="F5" s="46" t="str">
        <x:v>Supports lipid abundance as a major weighting variable rather than requiring separate chemical universes for every fat level.</x:v>
      </x:c>
      <x:c r="G5" s="46" t="str">
        <x:v>Full compound table is not ingested from this source in v17; use it as pattern evidence, not a quantitative multiplier.</x:v>
      </x:c>
      <x:c r="H5" s="208" t="str">
        <x:v>pass</x:v>
      </x:c>
    </x:row>
    <x:row r="6" ht="39.599998474121094" hidden="0" customHeight="1">
      <x:c r="A6" s="46" t="str">
        <x:v>FF-ARCH-005</x:v>
      </x:c>
      <x:c r="B6" s="46" t="str">
        <x:v>Can CulinAI adopt a fin-fish core + lipid weighting + member delta architecture?</x:v>
      </x:c>
      <x:c r="C6" s="46" t="str">
        <x:v>FF-ARCH-001 through FF-ARCH-008</x:v>
      </x:c>
      <x:c r="D6" s="46" t="str">
        <x:v>Yes. Both planned stress checks now support the model at complementary layers: mackerel full-state/class chemistry and matched salmon-versus-cod sensory-key chemistry.</x:v>
      </x:c>
      <x:c r="E6" s="46" t="str">
        <x:v>strong_cross_member_cross_method</x:v>
      </x:c>
      <x:c r="F6" s="46" t="str">
        <x:v>Adopt a shared fin-fish core/mechanism with lipid/fat abundance and sensory weighting plus species/muscle/preparation deltas.</x:v>
      </x:c>
      <x:c r="G6" s="46" t="str">
        <x:v>No fixed fat multiplier; no automatic claim of universal compound equality; inherited relationships must preserve provenance and member-specific exceptions.</x:v>
      </x:c>
      <x:c r="H6" s="208" t="str">
        <x:v>ready_for_founder_approval</x:v>
      </x:c>
    </x:row>
    <x:row r="7">
      <x:c r="A7" t="str">
        <x:v>FF-ARCH-006</x:v>
      </x:c>
      <x:c r="B7" t="str">
        <x:v>Does a second fatty species break the shared-core + weighting model?</x:v>
      </x:c>
      <x:c r="C7" t="str">
        <x:v>SRC-FISH-MACKEREL-HEAT-001; Mackerel Class Deltas; Detected Finfish Mackerel</x:v>
      </x:c>
      <x:c r="D7" t="str">
        <x:v>No architecture break. Raw red muscle has 15 aldehydes versus 6 in raw white; aldehydes+ketones account for 47.93% of raw-red volatiles versus 14.47% in raw white. Heating raises detections from 32→39 in white and 41→52 in red, while some red-muscle odorants disappear.</x:v>
      </x:c>
      <x:c r="E7" t="str">
        <x:v>strong_direct_internal_contrast</x:v>
      </x:c>
      <x:c r="F7" t="str">
        <x:v>Mackerel strengthens the model: lipid/muscle context produces major abundance/class weighting plus bounded presence/absence deltas. It does not support two disconnected fatty-fish compound universes.</x:v>
      </x:c>
      <x:c r="G7" t="str">
        <x:v>Only 43 exact Table-2 rows are recovered at row level; source-level class counts are complete. Red vs white muscle is a tissue contrast, not a direct measured lipid-percentage gradient.</x:v>
      </x:c>
      <x:c r="H7" s="207" t="str">
        <x:v>pass</x:v>
      </x:c>
    </x:row>
    <x:row r="8">
      <x:c r="A8" t="str">
        <x:v>FF-ARCH-007</x:v>
      </x:c>
      <x:c r="B8" t="str">
        <x:v>Does a true lean cod comparison support the same broad sensory-important chemical backbone as fatty salmon?</x:v>
      </x:c>
      <x:c r="C8" t="str">
        <x:v>SRC-FISH-COD-SALMON-GCO-001; Finfish Cod-Salmon Sensory</x:v>
      </x:c>
      <x:c r="D8" t="str">
        <x:v>Yes at the sensory-key layer. Fresh-control boiled salmon and cod each have five character-impact odorants; four are shared: (Z)-1,5-octadien-3-one, (E,Z)-2,6-nonadienal, acetaldehyde and methional. Salmon adds propanal; cod adds (E,E)-2,4-decadienal.</x:v>
      </x:c>
      <x:c r="E8" t="str">
        <x:v>strong_matched_cross_member_sensomics</x:v>
      </x:c>
      <x:c r="F8" t="str">
        <x:v>This is direct support that a low-fat cod and fatty salmon can share most of the sensory-critical identity set while still carrying member-specific deltas.</x:v>
      </x:c>
      <x:c r="G8" t="str">
        <x:v>It is a key-odorant/OAV study, not an MR-10 exhaustive detection table or a matched raw→cooked transformation study. The cod full-table gap remains an enrichment gap, not an architecture blocker.</x:v>
      </x:c>
      <x:c r="H8" s="207" t="str">
        <x:v>pass_sensory_layer</x:v>
      </x:c>
    </x:row>
    <x:row r="9">
      <x:c r="A9" t="str">
        <x:v>FF-ARCH-008</x:v>
      </x:c>
      <x:c r="B9" t="str">
        <x:v>After cod member ingestion and salmon QA correction, is the fin-fish family evidence-complete enough for founder approval?</x:v>
      </x:c>
      <x:c r="C9" t="str">
        <x:v>FF-ARCH-001 through FF-ARCH-010</x:v>
      </x:c>
      <x:c r="D9" t="str">
        <x:v>Yes. Cod is now broadly ingested at raw and cooked states, salmon has independent LRI/standard-based identity corroboration, and prior sea-bass/mackerel/cod-salmon evidence supports shared chemistry with lipid/muscle weighting and bounded member deltas.</x:v>
      </x:c>
      <x:c r="E9" t="str">
        <x:v>strong_cross_member_cross_method_with_member_completeness</x:v>
      </x:c>
      <x:c r="F9" t="str">
        <x:v>Recommended architecture: one fin-fish family core/mechanism; lipid/fat and muscle type primarily reweight abundance and sensory importance; species and preparation deltas remain explicit.</x:v>
      </x:c>
      <x:c r="G9" t="str">
        <x:v>No fixed fat multiplier; no universal compound-equality claim. The cod cooked full table is seasoned, so a future clean matched raw→cooked cod experiment would refine transformations but is no longer a member-completeness requirement.</x:v>
      </x:c>
      <x:c r="H9" s="207" t="str">
        <x:v>ready_for_founder_approval</x:v>
      </x:c>
    </x:row>
    <x:row r="10">
      <x:c r="A10" t="str">
        <x:v>FF-ARCH-009</x:v>
      </x:c>
      <x:c r="B10" t="str">
        <x:v>Is cod now ingested as a real member rather than context-only?</x:v>
      </x:c>
      <x:c r="C10" t="str">
        <x:v>SRC-FISH-COD-SALMON-RAW-IDQA-001; Detected Finfish Cod Raw; SRC-FISH-COD-BAKED-001; Detected Finfish Cod Baked</x:v>
      </x:c>
      <x:c r="D10" t="str">
        <x:v>Yes. Fresh cod now has a governed 101-row identified inventory with LRI on every row and 48 standard-confirmed identities; baked cod has a complete 72-row direct cod table with CAS/RI/RT/drift fields and cod-specific source values.</x:v>
      </x:c>
      <x:c r="E10" t="str">
        <x:v>strong_member_coverage_two_direct_sources</x:v>
      </x:c>
      <x:c r="F10" t="str">
        <x:v>Cod is now a first-class fin-fish member with broad raw membership and full cooked detection, rather than being represented only by sensory/context papers.</x:v>
      </x:c>
      <x:c r="G10" t="str">
        <x:v>The two tables are not a matched neutral raw→cooked experiment. The baked source includes sugar, salt and MSG, so process-introduced chemistry must remain an overlay.</x:v>
      </x:c>
      <x:c r="H10" s="207" t="str">
        <x:v>pass_member_complete</x:v>
      </x:c>
    </x:row>
    <x:row r="11">
      <x:c r="A11" t="str">
        <x:v>FF-ARCH-010</x:v>
      </x:c>
      <x:c r="B11" t="str">
        <x:v>Does the salmon fatty anchor now have independent MR-09-quality corroboration?</x:v>
      </x:c>
      <x:c r="C11" t="str">
        <x:v>SRC-FISH-SALMON-COOK-001; SRC-FISH-COD-SALMON-RAW-IDQA-001; Finfish Salmon QA Crosscheck</x:v>
      </x:c>
      <x:c r="D11" t="str">
        <x:v>Yes at the anchor level. The original 48-row culinary source remains RI/match-factor incomplete, but an independent fresh Atlantic salmon source carries LRI on 101/101 identities, with 48 authentic-standard confirmations; 21 of the 48 culinary salmon names receive exact-name independent corroboration.</x:v>
      </x:c>
      <x:c r="E11" t="str">
        <x:v>strong_independent_identity_QA_partial_row_overlap</x:v>
      </x:c>
      <x:c r="F11" t="str">
        <x:v>The fatty-fish anchor no longer rests on a single source whose identification quality cannot be audited.</x:v>
      </x:c>
      <x:c r="G11" t="str">
        <x:v>Do not backfill the independent LRI into the 2022 source rows. The two source records remain distinct and only the exact controlled-name overlap is marked corroborated.</x:v>
      </x:c>
      <x:c r="H11" s="207" t="str">
        <x:v>pass_anchor_QA</x:v>
      </x:c>
    </x:row>
  </x:sheetData>
  <x:pageMargins left="0.7" right="0.7" top="0.75" bottom="0.75" header="0.3" footer="0.3"/>
  <x:tableParts count="1">
    <x:tablePart xmlns:r="http://schemas.openxmlformats.org/officeDocument/2006/relationships" r:id="R239756f3c16d4847"/>
  </x:tableParts>
</x:worksheet>
</file>

<file path=xl/worksheets/sheet61.xml><?xml version="1.0" encoding="utf-8"?>
<x:worksheet xmlns:x="http://schemas.openxmlformats.org/spreadsheetml/2006/main">
  <x:sheetFormatPr defaultRowHeight="15"/>
  <x:cols>
    <x:col min="1" max="1" width="16" hidden="0" customWidth="1"/>
    <x:col min="2" max="2" width="34" hidden="0" customWidth="1"/>
    <x:col min="3" max="3" width="38" hidden="0" customWidth="1"/>
    <x:col min="4" max="4" width="38" hidden="0" customWidth="1"/>
    <x:col min="5" max="5" width="34" hidden="0" customWidth="1"/>
    <x:col min="6" max="6" width="30" hidden="0" customWidth="1"/>
    <x:col min="7" max="7" width="38" hidden="0" customWidth="1"/>
    <x:col min="8" max="8" width="76" hidden="0" customWidth="1"/>
  </x:cols>
  <x:sheetData>
    <x:row r="1" ht="15" hidden="0" customHeight="1">
      <x:c r="A1" s="166" t="str">
        <x:v>legacy_record_id</x:v>
      </x:c>
      <x:c r="B1" s="166" t="str">
        <x:v>legacy_compound</x:v>
      </x:c>
      <x:c r="C1" s="166" t="str">
        <x:v>v17_result</x:v>
      </x:c>
      <x:c r="D1" s="166" t="str">
        <x:v>direct_source_refs</x:v>
      </x:c>
      <x:c r="E1" s="166" t="str">
        <x:v>verified_member_or_context</x:v>
      </x:c>
      <x:c r="F1" s="166" t="str">
        <x:v>positive_pairing_promotion</x:v>
      </x:c>
      <x:c r="G1" s="166" t="str">
        <x:v>identity_or_state_issue</x:v>
      </x:c>
      <x:c r="H1" s="166" t="str">
        <x:v>notes</x:v>
      </x:c>
    </x:row>
    <x:row r="2" ht="26.399999618530273" hidden="0" customHeight="1">
      <x:c r="A2" s="46" t="str">
        <x:v>LC-0036</x:v>
      </x:c>
      <x:c r="B2" s="46" t="str">
        <x:v>trimethylamine</x:v>
      </x:c>
      <x:c r="C2" s="46" t="str">
        <x:v>measured_member_context_caution</x:v>
      </x:c>
      <x:c r="D2" s="46" t="str">
        <x:v>SRC-FISH-SALMON-COOK-001</x:v>
      </x:c>
      <x:c r="E2" s="46" t="str">
        <x:v>Atlantic salmon raw/boiled/steamed/oven</x:v>
      </x:c>
      <x:c r="F2" s="46" t="str">
        <x:v>no_from_current_evidence</x:v>
      </x:c>
      <x:c r="G2" s="46" t="str">
        <x:v>none</x:v>
      </x:c>
      <x:c r="H2" s="46" t="str">
        <x:v>Measured in a culinary-treatment experiment, but the paper itself links TMA to fish-like/unpleasant odor as freshness declines. Do not turn the legacy lean-fish row into a positive family signal.</x:v>
      </x:c>
    </x:row>
    <x:row r="3" ht="26.399999618530273" hidden="0" customHeight="1">
      <x:c r="A3" s="46" t="str">
        <x:v>LC-0037</x:v>
      </x:c>
      <x:c r="B3" s="46" t="str">
        <x:v>histamine</x:v>
      </x:c>
      <x:c r="C3" s="46" t="str">
        <x:v>hold_nonvolatile_biogenic_amine</x:v>
      </x:c>
      <x:c r="D3" s="46" t="str">
        <x:v>none</x:v>
      </x:c>
      <x:c r="E3" s="46"/>
      <x:c r="F3" s="46" t="str">
        <x:v>no</x:v>
      </x:c>
      <x:c r="G3" s="46" t="str">
        <x:v>not established as volatile aroma compound in v17 sources</x:v>
      </x:c>
      <x:c r="H3" s="46" t="str">
        <x:v>Do not promote into volatile pairing chemistry from legacy presence.</x:v>
      </x:c>
    </x:row>
    <x:row r="4" ht="15" hidden="0" customHeight="1">
      <x:c r="A4" s="46" t="str">
        <x:v>LC-0038</x:v>
      </x:c>
      <x:c r="B4" s="46" t="str">
        <x:v>amonia → ammonia</x:v>
      </x:c>
      <x:c r="C4" s="46" t="str">
        <x:v>hold_no_direct_culinary_fin_fish_evidence_v17</x:v>
      </x:c>
      <x:c r="D4" s="46" t="str">
        <x:v>none</x:v>
      </x:c>
      <x:c r="E4" s="46"/>
      <x:c r="F4" s="46" t="str">
        <x:v>no</x:v>
      </x:c>
      <x:c r="G4" s="46" t="str">
        <x:v>legacy spelling already normalized</x:v>
      </x:c>
      <x:c r="H4" s="46" t="str">
        <x:v>MR-14 makes a dedicated spoilage search unnecessary for pairing purposes.</x:v>
      </x:c>
    </x:row>
    <x:row r="5" ht="15" hidden="0" customHeight="1">
      <x:c r="A5" s="46" t="str">
        <x:v>LC-0039</x:v>
      </x:c>
      <x:c r="B5" s="46" t="str">
        <x:v>limonene</x:v>
      </x:c>
      <x:c r="C5" s="46" t="str">
        <x:v>hold_no_direct_fin_fish_evidence_v17</x:v>
      </x:c>
      <x:c r="D5" s="46" t="str">
        <x:v>none</x:v>
      </x:c>
      <x:c r="E5" s="46"/>
      <x:c r="F5" s="46" t="str">
        <x:v>no</x:v>
      </x:c>
      <x:c r="G5" s="46" t="str">
        <x:v>none</x:v>
      </x:c>
      <x:c r="H5" s="46" t="str">
        <x:v>No direct salmon/sea-bass culinary occurrence in the governed v17 tables.</x:v>
      </x:c>
    </x:row>
    <x:row r="6" ht="26.399999618530273" hidden="0" customHeight="1">
      <x:c r="A6" s="46" t="str">
        <x:v>LC-0040</x:v>
      </x:c>
      <x:c r="B6" s="46" t="str">
        <x:v>1-penten-3-ol</x:v>
      </x:c>
      <x:c r="C6" s="46" t="str">
        <x:v>hold_no_direct_culinary_anchor_v17</x:v>
      </x:c>
      <x:c r="D6" s="46" t="str">
        <x:v>none</x:v>
      </x:c>
      <x:c r="E6" s="46"/>
      <x:c r="F6" s="46" t="str">
        <x:v>no</x:v>
      </x:c>
      <x:c r="G6" s="46" t="str">
        <x:v>none</x:v>
      </x:c>
      <x:c r="H6" s="46" t="str">
        <x:v>Known in fish literature but not established by the two v17 culinary anchor tables; do not promote solely from legacy.</x:v>
      </x:c>
    </x:row>
    <x:row r="7" ht="15" hidden="0" customHeight="1">
      <x:c r="A7" s="46" t="str">
        <x:v>LC-0041</x:v>
      </x:c>
      <x:c r="B7" s="46" t="str">
        <x:v>methanethiol</x:v>
      </x:c>
      <x:c r="C7" s="46" t="str">
        <x:v>hold_no_direct_fin_fish_evidence_v17</x:v>
      </x:c>
      <x:c r="D7" s="46" t="str">
        <x:v>none</x:v>
      </x:c>
      <x:c r="E7" s="46"/>
      <x:c r="F7" s="46" t="str">
        <x:v>no</x:v>
      </x:c>
      <x:c r="G7" s="46" t="str">
        <x:v>none</x:v>
      </x:c>
      <x:c r="H7" s="46" t="str">
        <x:v>No direct governed occurrence in the v17 culinary anchors.</x:v>
      </x:c>
    </x:row>
    <x:row r="8" ht="15" hidden="0" customHeight="1">
      <x:c r="A8" s="46" t="str">
        <x:v>LC-0042</x:v>
      </x:c>
      <x:c r="B8" s="46" t="str">
        <x:v>dimethyl trisulfide</x:v>
      </x:c>
      <x:c r="C8" s="46" t="str">
        <x:v>hold_no_direct_fin_fish_evidence_v17</x:v>
      </x:c>
      <x:c r="D8" s="46" t="str">
        <x:v>none</x:v>
      </x:c>
      <x:c r="E8" s="46"/>
      <x:c r="F8" s="46" t="str">
        <x:v>no</x:v>
      </x:c>
      <x:c r="G8" s="46" t="str">
        <x:v>do not conflate with dimethyl disulfide</x:v>
      </x:c>
      <x:c r="H8" s="46" t="str">
        <x:v>Sea bass directly measures dimethyl disulfide, not dimethyl trisulfide.</x:v>
      </x:c>
    </x:row>
    <x:row r="9" ht="15" hidden="0" customHeight="1">
      <x:c r="A9" s="46" t="str">
        <x:v>LC-0043</x:v>
      </x:c>
      <x:c r="B9" s="46" t="str">
        <x:v>1-pentadecene</x:v>
      </x:c>
      <x:c r="C9" s="46" t="str">
        <x:v>hold_no_direct_fin_fish_evidence_v17</x:v>
      </x:c>
      <x:c r="D9" s="46" t="str">
        <x:v>none</x:v>
      </x:c>
      <x:c r="E9" s="46"/>
      <x:c r="F9" s="46" t="str">
        <x:v>no</x:v>
      </x:c>
      <x:c r="G9" s="46" t="str">
        <x:v>none</x:v>
      </x:c>
      <x:c r="H9" s="46" t="str">
        <x:v>No direct governed occurrence in the v17 anchors.</x:v>
      </x:c>
    </x:row>
    <x:row r="10" ht="15" hidden="0" customHeight="1">
      <x:c r="A10" s="46" t="str">
        <x:v>LC-0044</x:v>
      </x:c>
      <x:c r="B10" s="46" t="str">
        <x:v>napthalene → naphthalene</x:v>
      </x:c>
      <x:c r="C10" s="46" t="str">
        <x:v>hold_no_direct_fin_fish_evidence_v17</x:v>
      </x:c>
      <x:c r="D10" s="46" t="str">
        <x:v>none</x:v>
      </x:c>
      <x:c r="E10" s="46"/>
      <x:c r="F10" s="46" t="str">
        <x:v>no</x:v>
      </x:c>
      <x:c r="G10" s="46" t="str">
        <x:v>legacy spelling already normalized</x:v>
      </x:c>
      <x:c r="H10" s="46" t="str">
        <x:v>No direct governed occurrence in the v17 anchors.</x:v>
      </x:c>
    </x:row>
    <x:row r="11" ht="26.399999618530273" hidden="0" customHeight="1">
      <x:c r="A11" s="46" t="str">
        <x:v>LC-0045</x:v>
      </x:c>
      <x:c r="B11" s="46" t="str">
        <x:v>2,3-butanediol</x:v>
      </x:c>
      <x:c r="C11" s="46" t="str">
        <x:v>storage_context_only</x:v>
      </x:c>
      <x:c r="D11" s="46" t="str">
        <x:v>SRC-FISH-SEABASS-SALMON-MAP-001</x:v>
      </x:c>
      <x:c r="E11" s="46" t="str">
        <x:v>European seabass in MAP storage</x:v>
      </x:c>
      <x:c r="F11" s="46" t="str">
        <x:v>no_from_current_evidence</x:v>
      </x:c>
      <x:c r="G11" s="46" t="str">
        <x:v>context is storage/spoilage</x:v>
      </x:c>
      <x:c r="H11" s="46" t="str">
        <x:v>Same-method paper reports it as seabass-only and a potential spoilage marker. Useful to disprove flat family inheritance, not as a positive pairing compound.</x:v>
      </x:c>
    </x:row>
    <x:row r="12" ht="26.399999618530273" hidden="0" customHeight="1">
      <x:c r="A12" s="46" t="str">
        <x:v>LC-0046</x:v>
      </x:c>
      <x:c r="B12" s="46" t="str">
        <x:v>2,3-butanedione (=diacetyl)</x:v>
      </x:c>
      <x:c r="C12" s="46" t="str">
        <x:v>measured_member_culinary</x:v>
      </x:c>
      <x:c r="D12" s="46" t="str">
        <x:v>SRC-FISH-SEABASS-STEAM-001</x:v>
      </x:c>
      <x:c r="E12" s="46" t="str">
        <x:v>Lateolabrax japonicus raw/steamed</x:v>
      </x:c>
      <x:c r="F12" s="46" t="str">
        <x:v>yes_member_only</x:v>
      </x:c>
      <x:c r="G12" s="46" t="str">
        <x:v>none</x:v>
      </x:c>
      <x:c r="H12" s="46" t="str">
        <x:v>Direct GC-IMS evidence supports sea-bass membership; does not yet justify generic lean-fish inheritance.</x:v>
      </x:c>
    </x:row>
    <x:row r="13" ht="15" hidden="0" customHeight="1">
      <x:c r="A13" s="46" t="str">
        <x:v>LC-0048</x:v>
      </x:c>
      <x:c r="B13" s="46" t="str">
        <x:v>pyrrolidine</x:v>
      </x:c>
      <x:c r="C13" s="46" t="str">
        <x:v>hold_no_direct_fin_fish_evidence_v17</x:v>
      </x:c>
      <x:c r="D13" s="46" t="str">
        <x:v>none</x:v>
      </x:c>
      <x:c r="E13" s="46"/>
      <x:c r="F13" s="46" t="str">
        <x:v>no</x:v>
      </x:c>
      <x:c r="G13" s="46" t="str">
        <x:v>none</x:v>
      </x:c>
      <x:c r="H13" s="46" t="str">
        <x:v>No direct governed occurrence in the v17 anchors. Legacy structural scope is fatty fish because the row follows LC-0047 'Fatty Fish Only'; raw workbook/category fields remain preserved.</x:v>
      </x:c>
    </x:row>
    <x:row r="14" ht="15" hidden="0" customHeight="1">
      <x:c r="A14" s="46" t="str">
        <x:v>LC-0049</x:v>
      </x:c>
      <x:c r="B14" s="46" t="str">
        <x:v>2-heptenal</x:v>
      </x:c>
      <x:c r="C14" s="46" t="str">
        <x:v>stereochemistry_hold</x:v>
      </x:c>
      <x:c r="D14" s="46" t="str">
        <x:v>SRC-FISH-SALMON-COOK-001</x:v>
      </x:c>
      <x:c r="E14" s="46" t="str">
        <x:v>Atlantic salmon</x:v>
      </x:c>
      <x:c r="F14" s="46" t="str">
        <x:v>no_for_legacy_unspecified_isomer</x:v>
      </x:c>
      <x:c r="G14" s="46" t="str">
        <x:v>source verifies (E)-2-heptenal</x:v>
      </x:c>
      <x:c r="H14" s="46" t="str">
        <x:v>Do not silently map unspecified legacy 2-heptenal to the measured E isomer. Legacy structural scope is fatty fish because the row follows LC-0047 'Fatty Fish Only'; raw workbook/category fields remain preserved.</x:v>
      </x:c>
    </x:row>
    <x:row r="15" ht="15" hidden="0" customHeight="1">
      <x:c r="A15" s="46" t="str">
        <x:v>LC-0050</x:v>
      </x:c>
      <x:c r="B15" s="46" t="str">
        <x:v>formic acid</x:v>
      </x:c>
      <x:c r="C15" s="46" t="str">
        <x:v>hold_no_direct_fin_fish_evidence_v17</x:v>
      </x:c>
      <x:c r="D15" s="46" t="str">
        <x:v>none</x:v>
      </x:c>
      <x:c r="E15" s="46"/>
      <x:c r="F15" s="46" t="str">
        <x:v>no</x:v>
      </x:c>
      <x:c r="G15" s="46" t="str">
        <x:v>none</x:v>
      </x:c>
      <x:c r="H15" s="46" t="str">
        <x:v>No direct governed occurrence in the v17 anchors. Legacy structural scope is fatty fish because the row follows LC-0047 'Fatty Fish Only'; raw workbook/category fields remain preserved.</x:v>
      </x:c>
    </x:row>
    <x:row r="16" ht="15" hidden="0" customHeight="1">
      <x:c r="A16" s="46" t="str">
        <x:v>LC-0051</x:v>
      </x:c>
      <x:c r="B16" s="46" t="str">
        <x:v>2-decenal</x:v>
      </x:c>
      <x:c r="C16" s="46" t="str">
        <x:v>hold_no_direct_fin_fish_evidence_v17</x:v>
      </x:c>
      <x:c r="D16" s="46" t="str">
        <x:v>none</x:v>
      </x:c>
      <x:c r="E16" s="46"/>
      <x:c r="F16" s="46" t="str">
        <x:v>no</x:v>
      </x:c>
      <x:c r="G16" s="46" t="str">
        <x:v>stereochemistry unresolved</x:v>
      </x:c>
      <x:c r="H16" s="46" t="str">
        <x:v>No direct governed occurrence in the v17 anchors. Legacy structural scope is fatty fish because the row follows LC-0047 'Fatty Fish Only'; raw workbook/category fields remain preserved.</x:v>
      </x:c>
    </x:row>
  </x:sheetData>
  <x:pageMargins left="0.7" right="0.7" top="0.75" bottom="0.75" header="0.3" footer="0.3"/>
  <x:tableParts count="1">
    <x:tablePart xmlns:r="http://schemas.openxmlformats.org/officeDocument/2006/relationships" r:id="R161ff2a89acb4fb6"/>
  </x:tableParts>
</x:worksheet>
</file>

<file path=xl/worksheets/sheet62.xml><?xml version="1.0" encoding="utf-8"?>
<x:worksheet xmlns:x="http://schemas.openxmlformats.org/spreadsheetml/2006/main">
  <x:sheetFormatPr defaultRowHeight="15"/>
  <x:cols>
    <x:col min="1" max="1" width="15" hidden="0" customWidth="1"/>
    <x:col min="2" max="2" width="18" hidden="0" customWidth="1"/>
    <x:col min="3" max="3" width="20" hidden="0" customWidth="1"/>
    <x:col min="4" max="4" width="22" hidden="0" customWidth="1"/>
    <x:col min="5" max="5" width="20" hidden="0" customWidth="1"/>
    <x:col min="6" max="6" width="32" hidden="0" customWidth="1"/>
    <x:col min="7" max="7" width="38" hidden="0" customWidth="1"/>
    <x:col min="8" max="8" width="14" hidden="0" customWidth="1"/>
    <x:col min="9" max="9" width="17" hidden="0" customWidth="1"/>
    <x:col min="10" max="10" width="18" hidden="0" customWidth="1"/>
    <x:col min="11" max="11" width="22" hidden="0" customWidth="1"/>
    <x:col min="12" max="12" width="48" hidden="0" customWidth="1"/>
    <x:col min="13" max="13" width="14" hidden="0" customWidth="1"/>
    <x:col min="14" max="14" width="14" hidden="0" customWidth="1"/>
    <x:col min="15" max="15" width="14" hidden="0" customWidth="1"/>
    <x:col min="16" max="16" width="14" hidden="0" customWidth="1"/>
    <x:col min="17" max="17" width="24" hidden="0" customWidth="1"/>
    <x:col min="18" max="18" width="28" hidden="0" customWidth="1"/>
    <x:col min="19" max="19" width="72" hidden="0" customWidth="1"/>
  </x:cols>
  <x:sheetData>
    <x:row r="1" ht="26.399999618530273" hidden="0" customHeight="1">
      <x:c r="A1" s="177" t="str">
        <x:v>detected_record_id</x:v>
      </x:c>
      <x:c r="B1" s="177" t="str">
        <x:v>product_id</x:v>
      </x:c>
      <x:c r="C1" s="177" t="str">
        <x:v>family_id</x:v>
      </x:c>
      <x:c r="D1" s="177" t="str">
        <x:v>material</x:v>
      </x:c>
      <x:c r="E1" s="177" t="str">
        <x:v>compound_group</x:v>
      </x:c>
      <x:c r="F1" s="177" t="str">
        <x:v>compound_name_source</x:v>
      </x:c>
      <x:c r="G1" s="177" t="str">
        <x:v>compound_name_normalized_if_unambiguous</x:v>
      </x:c>
      <x:c r="H1" s="177" t="str">
        <x:v>cas</x:v>
      </x:c>
      <x:c r="I1" s="177" t="str">
        <x:v>retention_time_min</x:v>
      </x:c>
      <x:c r="J1" s="177" t="str">
        <x:v>library_similarity_pct</x:v>
      </x:c>
      <x:c r="K1" s="177" t="str">
        <x:v>source_similarity_floor_pct</x:v>
      </x:c>
      <x:c r="L1" s="177" t="str">
        <x:v>identification_method</x:v>
      </x:c>
      <x:c r="M1" s="177" t="str">
        <x:v>raw_white_pct</x:v>
      </x:c>
      <x:c r="N1" s="177" t="str">
        <x:v>heated_white_pct</x:v>
      </x:c>
      <x:c r="O1" s="177" t="str">
        <x:v>raw_red_pct</x:v>
      </x:c>
      <x:c r="P1" s="177" t="str">
        <x:v>heated_red_pct</x:v>
      </x:c>
      <x:c r="Q1" s="177" t="str">
        <x:v>metric</x:v>
      </x:c>
      <x:c r="R1" s="177" t="str">
        <x:v>extraction_status</x:v>
      </x:c>
      <x:c r="S1" s="177" t="str">
        <x:v>notes</x:v>
      </x:c>
    </x:row>
    <x:row r="2" ht="26.399999618530273" hidden="0" customHeight="1">
      <x:c r="A2" s="46" t="str">
        <x:v>DFM-001</x:v>
      </x:c>
      <x:c r="B2" s="46" t="str">
        <x:v>fish:mackerel</x:v>
      </x:c>
      <x:c r="C2" s="46" t="str">
        <x:v>family:seafood_finfish</x:v>
      </x:c>
      <x:c r="D2" s="46" t="str">
        <x:v>mackerel muscle</x:v>
      </x:c>
      <x:c r="E2" s="46" t="str">
        <x:v>Hydrocarbons</x:v>
      </x:c>
      <x:c r="F2" s="46" t="str">
        <x:v>1-十四烯酯-3-炔</x:v>
      </x:c>
      <x:c r="G2" s="46"/>
      <x:c r="H2" s="46"/>
      <x:c r="I2" s="46" t="n">
        <x:v>30.784</x:v>
      </x:c>
      <x:c r="J2" s="46" t="n">
        <x:v>88</x:v>
      </x:c>
      <x:c r="K2" s="46" t="n">
        <x:v>80</x:v>
      </x:c>
      <x:c r="L2" s="46" t="str">
        <x:v>NIST 08 + WILEY 09; source rejects library similarity &lt;80/100</x:v>
      </x:c>
      <x:c r="M2" s="46"/>
      <x:c r="N2" s="46"/>
      <x:c r="O2" s="46" t="n">
        <x:v>1.67</x:v>
      </x:c>
      <x:c r="P2" s="46" t="n">
        <x:v>0.52</x:v>
      </x:c>
      <x:c r="Q2" s="46" t="str">
        <x:v>relative peak area (%)</x:v>
      </x:c>
      <x:c r="R2" s="46" t="str">
        <x:v>exact_table_row_recovered</x:v>
      </x:c>
      <x:c r="S2" s="46" t="str">
        <x:v>English normalization supplied only where the source identity is unambiguous; source-language name retained as controlling.</x:v>
      </x:c>
    </x:row>
    <x:row r="3" ht="26.399999618530273" hidden="0" customHeight="1">
      <x:c r="A3" s="46" t="str">
        <x:v>DFM-002</x:v>
      </x:c>
      <x:c r="B3" s="46" t="str">
        <x:v>fish:mackerel</x:v>
      </x:c>
      <x:c r="C3" s="46" t="str">
        <x:v>family:seafood_finfish</x:v>
      </x:c>
      <x:c r="D3" s="46" t="str">
        <x:v>mackerel muscle</x:v>
      </x:c>
      <x:c r="E3" s="46" t="str">
        <x:v>Hydrocarbons</x:v>
      </x:c>
      <x:c r="F3" s="46" t="str">
        <x:v>1-环己基-1-戊炔</x:v>
      </x:c>
      <x:c r="G3" s="46" t="str">
        <x:v>1-cyclohexyl-1-pentyne</x:v>
      </x:c>
      <x:c r="H3" s="46"/>
      <x:c r="I3" s="46" t="n">
        <x:v>43.494</x:v>
      </x:c>
      <x:c r="J3" s="46" t="n">
        <x:v>86</x:v>
      </x:c>
      <x:c r="K3" s="46" t="n">
        <x:v>80</x:v>
      </x:c>
      <x:c r="L3" s="46" t="str">
        <x:v>NIST 08 + WILEY 09; source rejects library similarity &lt;80/100</x:v>
      </x:c>
      <x:c r="M3" s="46"/>
      <x:c r="N3" s="46"/>
      <x:c r="O3" s="46"/>
      <x:c r="P3" s="46" t="n">
        <x:v>1.07</x:v>
      </x:c>
      <x:c r="Q3" s="46" t="str">
        <x:v>relative peak area (%)</x:v>
      </x:c>
      <x:c r="R3" s="46" t="str">
        <x:v>exact_table_row_recovered</x:v>
      </x:c>
      <x:c r="S3" s="46" t="str">
        <x:v>English normalization supplied only where the source identity is unambiguous; source-language name retained as controlling.</x:v>
      </x:c>
    </x:row>
    <x:row r="4" ht="26.399999618530273" hidden="0" customHeight="1">
      <x:c r="A4" s="46" t="str">
        <x:v>DFM-003</x:v>
      </x:c>
      <x:c r="B4" s="46" t="str">
        <x:v>fish:mackerel</x:v>
      </x:c>
      <x:c r="C4" s="46" t="str">
        <x:v>family:seafood_finfish</x:v>
      </x:c>
      <x:c r="D4" s="46" t="str">
        <x:v>mackerel muscle</x:v>
      </x:c>
      <x:c r="E4" s="46" t="str">
        <x:v>Hydrocarbons</x:v>
      </x:c>
      <x:c r="F4" s="46" t="str">
        <x:v>2-甲基-1,4-己二烯</x:v>
      </x:c>
      <x:c r="G4" s="46" t="str">
        <x:v>2-methyl-1,4-hexadiene</x:v>
      </x:c>
      <x:c r="H4" s="46"/>
      <x:c r="I4" s="46" t="n">
        <x:v>18.158</x:v>
      </x:c>
      <x:c r="J4" s="46" t="n">
        <x:v>85</x:v>
      </x:c>
      <x:c r="K4" s="46" t="n">
        <x:v>80</x:v>
      </x:c>
      <x:c r="L4" s="46" t="str">
        <x:v>NIST 08 + WILEY 09; source rejects library similarity &lt;80/100</x:v>
      </x:c>
      <x:c r="M4" s="46" t="n">
        <x:v>0.44</x:v>
      </x:c>
      <x:c r="N4" s="46"/>
      <x:c r="O4" s="46" t="n">
        <x:v>0.28</x:v>
      </x:c>
      <x:c r="P4" s="46"/>
      <x:c r="Q4" s="46" t="str">
        <x:v>relative peak area (%)</x:v>
      </x:c>
      <x:c r="R4" s="46" t="str">
        <x:v>exact_table_row_recovered</x:v>
      </x:c>
      <x:c r="S4" s="46" t="str">
        <x:v>English normalization supplied only where the source identity is unambiguous; source-language name retained as controlling.</x:v>
      </x:c>
    </x:row>
    <x:row r="5" ht="26.399999618530273" hidden="0" customHeight="1">
      <x:c r="A5" s="46" t="str">
        <x:v>DFM-004</x:v>
      </x:c>
      <x:c r="B5" s="46" t="str">
        <x:v>fish:mackerel</x:v>
      </x:c>
      <x:c r="C5" s="46" t="str">
        <x:v>family:seafood_finfish</x:v>
      </x:c>
      <x:c r="D5" s="46" t="str">
        <x:v>mackerel muscle</x:v>
      </x:c>
      <x:c r="E5" s="46" t="str">
        <x:v>Hydrocarbons</x:v>
      </x:c>
      <x:c r="F5" s="46" t="str">
        <x:v>3-甲基-1,4-庚二烯</x:v>
      </x:c>
      <x:c r="G5" s="46" t="str">
        <x:v>3-methyl-1,4-heptadiene</x:v>
      </x:c>
      <x:c r="H5" s="46"/>
      <x:c r="I5" s="46" t="n">
        <x:v>19.317</x:v>
      </x:c>
      <x:c r="J5" s="46" t="n">
        <x:v>94</x:v>
      </x:c>
      <x:c r="K5" s="46" t="n">
        <x:v>80</x:v>
      </x:c>
      <x:c r="L5" s="46" t="str">
        <x:v>NIST 08 + WILEY 09; source rejects library similarity &lt;80/100</x:v>
      </x:c>
      <x:c r="M5" s="46" t="n">
        <x:v>1.31</x:v>
      </x:c>
      <x:c r="N5" s="46" t="n">
        <x:v>2.75</x:v>
      </x:c>
      <x:c r="O5" s="46" t="n">
        <x:v>0.3</x:v>
      </x:c>
      <x:c r="P5" s="46"/>
      <x:c r="Q5" s="46" t="str">
        <x:v>relative peak area (%)</x:v>
      </x:c>
      <x:c r="R5" s="46" t="str">
        <x:v>exact_table_row_recovered</x:v>
      </x:c>
      <x:c r="S5" s="46" t="str">
        <x:v>English normalization supplied only where the source identity is unambiguous; source-language name retained as controlling.</x:v>
      </x:c>
    </x:row>
    <x:row r="6" ht="26.399999618530273" hidden="0" customHeight="1">
      <x:c r="A6" s="46" t="str">
        <x:v>DFM-005</x:v>
      </x:c>
      <x:c r="B6" s="46" t="str">
        <x:v>fish:mackerel</x:v>
      </x:c>
      <x:c r="C6" s="46" t="str">
        <x:v>family:seafood_finfish</x:v>
      </x:c>
      <x:c r="D6" s="46" t="str">
        <x:v>mackerel muscle</x:v>
      </x:c>
      <x:c r="E6" s="46" t="str">
        <x:v>Hydrocarbons</x:v>
      </x:c>
      <x:c r="F6" s="46" t="str">
        <x:v>4-甲基-1,3-庚二烯</x:v>
      </x:c>
      <x:c r="G6" s="46" t="str">
        <x:v>4-methyl-1,3-heptadiene</x:v>
      </x:c>
      <x:c r="H6" s="46"/>
      <x:c r="I6" s="46" t="n">
        <x:v>21.842</x:v>
      </x:c>
      <x:c r="J6" s="46" t="n">
        <x:v>95</x:v>
      </x:c>
      <x:c r="K6" s="46" t="n">
        <x:v>80</x:v>
      </x:c>
      <x:c r="L6" s="46" t="str">
        <x:v>NIST 08 + WILEY 09; source rejects library similarity &lt;80/100</x:v>
      </x:c>
      <x:c r="M6" s="46" t="n">
        <x:v>2.74</x:v>
      </x:c>
      <x:c r="N6" s="46" t="n">
        <x:v>2.9</x:v>
      </x:c>
      <x:c r="O6" s="46"/>
      <x:c r="P6" s="46"/>
      <x:c r="Q6" s="46" t="str">
        <x:v>relative peak area (%)</x:v>
      </x:c>
      <x:c r="R6" s="46" t="str">
        <x:v>exact_table_row_recovered</x:v>
      </x:c>
      <x:c r="S6" s="46" t="str">
        <x:v>English normalization supplied only where the source identity is unambiguous; source-language name retained as controlling.</x:v>
      </x:c>
    </x:row>
    <x:row r="7" ht="26.399999618530273" hidden="0" customHeight="1">
      <x:c r="A7" s="46" t="str">
        <x:v>DFM-006</x:v>
      </x:c>
      <x:c r="B7" s="46" t="str">
        <x:v>fish:mackerel</x:v>
      </x:c>
      <x:c r="C7" s="46" t="str">
        <x:v>family:seafood_finfish</x:v>
      </x:c>
      <x:c r="D7" s="46" t="str">
        <x:v>mackerel muscle</x:v>
      </x:c>
      <x:c r="E7" s="46" t="str">
        <x:v>Hydrocarbons</x:v>
      </x:c>
      <x:c r="F7" s="46" t="str">
        <x:v>1,3,5-辛三烯</x:v>
      </x:c>
      <x:c r="G7" s="46" t="str">
        <x:v>1,3,5-octatriene</x:v>
      </x:c>
      <x:c r="H7" s="46"/>
      <x:c r="I7" s="46" t="n">
        <x:v>22.725</x:v>
      </x:c>
      <x:c r="J7" s="46" t="n">
        <x:v>88</x:v>
      </x:c>
      <x:c r="K7" s="46" t="n">
        <x:v>80</x:v>
      </x:c>
      <x:c r="L7" s="46" t="str">
        <x:v>NIST 08 + WILEY 09; source rejects library similarity &lt;80/100</x:v>
      </x:c>
      <x:c r="M7" s="46"/>
      <x:c r="N7" s="46" t="n">
        <x:v>0.26</x:v>
      </x:c>
      <x:c r="O7" s="46"/>
      <x:c r="P7" s="46" t="n">
        <x:v>0.22</x:v>
      </x:c>
      <x:c r="Q7" s="46" t="str">
        <x:v>relative peak area (%)</x:v>
      </x:c>
      <x:c r="R7" s="46" t="str">
        <x:v>exact_table_row_recovered</x:v>
      </x:c>
      <x:c r="S7" s="46" t="str">
        <x:v>English normalization supplied only where the source identity is unambiguous; source-language name retained as controlling.</x:v>
      </x:c>
    </x:row>
    <x:row r="8" ht="26.399999618530273" hidden="0" customHeight="1">
      <x:c r="A8" s="46" t="str">
        <x:v>DFM-007</x:v>
      </x:c>
      <x:c r="B8" s="46" t="str">
        <x:v>fish:mackerel</x:v>
      </x:c>
      <x:c r="C8" s="46" t="str">
        <x:v>family:seafood_finfish</x:v>
      </x:c>
      <x:c r="D8" s="46" t="str">
        <x:v>mackerel muscle</x:v>
      </x:c>
      <x:c r="E8" s="46" t="str">
        <x:v>Hydrocarbons</x:v>
      </x:c>
      <x:c r="F8" s="46" t="str">
        <x:v>5-甲基-2-庚烯</x:v>
      </x:c>
      <x:c r="G8" s="46" t="str">
        <x:v>5-methyl-2-heptene</x:v>
      </x:c>
      <x:c r="H8" s="46"/>
      <x:c r="I8" s="46" t="n">
        <x:v>31.695</x:v>
      </x:c>
      <x:c r="J8" s="46" t="n">
        <x:v>87</x:v>
      </x:c>
      <x:c r="K8" s="46" t="n">
        <x:v>80</x:v>
      </x:c>
      <x:c r="L8" s="46" t="str">
        <x:v>NIST 08 + WILEY 09; source rejects library similarity &lt;80/100</x:v>
      </x:c>
      <x:c r="M8" s="46"/>
      <x:c r="N8" s="46"/>
      <x:c r="O8" s="46"/>
      <x:c r="P8" s="46" t="n">
        <x:v>5.37</x:v>
      </x:c>
      <x:c r="Q8" s="46" t="str">
        <x:v>relative peak area (%)</x:v>
      </x:c>
      <x:c r="R8" s="46" t="str">
        <x:v>exact_table_row_recovered</x:v>
      </x:c>
      <x:c r="S8" s="46" t="str">
        <x:v>English normalization supplied only where the source identity is unambiguous; source-language name retained as controlling.</x:v>
      </x:c>
    </x:row>
    <x:row r="9" ht="26.399999618530273" hidden="0" customHeight="1">
      <x:c r="A9" s="46" t="str">
        <x:v>DFM-008</x:v>
      </x:c>
      <x:c r="B9" s="46" t="str">
        <x:v>fish:mackerel</x:v>
      </x:c>
      <x:c r="C9" s="46" t="str">
        <x:v>family:seafood_finfish</x:v>
      </x:c>
      <x:c r="D9" s="46" t="str">
        <x:v>mackerel muscle</x:v>
      </x:c>
      <x:c r="E9" s="46" t="str">
        <x:v>Hydrocarbons</x:v>
      </x:c>
      <x:c r="F9" s="46" t="str">
        <x:v>3,5,5-三甲基-2-己烯</x:v>
      </x:c>
      <x:c r="G9" s="46" t="str">
        <x:v>3,5,5-trimethyl-2-hexene</x:v>
      </x:c>
      <x:c r="H9" s="46"/>
      <x:c r="I9" s="46" t="n">
        <x:v>26.996</x:v>
      </x:c>
      <x:c r="J9" s="46" t="n">
        <x:v>92</x:v>
      </x:c>
      <x:c r="K9" s="46" t="n">
        <x:v>80</x:v>
      </x:c>
      <x:c r="L9" s="46" t="str">
        <x:v>NIST 08 + WILEY 09; source rejects library similarity &lt;80/100</x:v>
      </x:c>
      <x:c r="M9" s="46" t="n">
        <x:v>1.53</x:v>
      </x:c>
      <x:c r="N9" s="46"/>
      <x:c r="O9" s="46" t="n">
        <x:v>2.28</x:v>
      </x:c>
      <x:c r="P9" s="46"/>
      <x:c r="Q9" s="46" t="str">
        <x:v>relative peak area (%)</x:v>
      </x:c>
      <x:c r="R9" s="46" t="str">
        <x:v>exact_table_row_recovered</x:v>
      </x:c>
      <x:c r="S9" s="46" t="str">
        <x:v>English normalization supplied only where the source identity is unambiguous; source-language name retained as controlling.</x:v>
      </x:c>
    </x:row>
    <x:row r="10" ht="26.399999618530273" hidden="0" customHeight="1">
      <x:c r="A10" s="46" t="str">
        <x:v>DFM-009</x:v>
      </x:c>
      <x:c r="B10" s="46" t="str">
        <x:v>fish:mackerel</x:v>
      </x:c>
      <x:c r="C10" s="46" t="str">
        <x:v>family:seafood_finfish</x:v>
      </x:c>
      <x:c r="D10" s="46" t="str">
        <x:v>mackerel muscle</x:v>
      </x:c>
      <x:c r="E10" s="46" t="str">
        <x:v>Hydrocarbons</x:v>
      </x:c>
      <x:c r="F10" s="46" t="str">
        <x:v>柠檬烯</x:v>
      </x:c>
      <x:c r="G10" s="46" t="str">
        <x:v>limonene</x:v>
      </x:c>
      <x:c r="H10" s="46"/>
      <x:c r="I10" s="46" t="n">
        <x:v>28.858</x:v>
      </x:c>
      <x:c r="J10" s="46" t="n">
        <x:v>95</x:v>
      </x:c>
      <x:c r="K10" s="46" t="n">
        <x:v>80</x:v>
      </x:c>
      <x:c r="L10" s="46" t="str">
        <x:v>NIST 08 + WILEY 09; source rejects library similarity &lt;80/100</x:v>
      </x:c>
      <x:c r="M10" s="46" t="n">
        <x:v>1.29</x:v>
      </x:c>
      <x:c r="N10" s="46"/>
      <x:c r="O10" s="46"/>
      <x:c r="P10" s="46"/>
      <x:c r="Q10" s="46" t="str">
        <x:v>relative peak area (%)</x:v>
      </x:c>
      <x:c r="R10" s="46" t="str">
        <x:v>exact_table_row_recovered</x:v>
      </x:c>
      <x:c r="S10" s="46" t="str">
        <x:v>English normalization supplied only where the source identity is unambiguous; source-language name retained as controlling.</x:v>
      </x:c>
    </x:row>
    <x:row r="11" ht="26.399999618530273" hidden="0" customHeight="1">
      <x:c r="A11" s="46" t="str">
        <x:v>DFM-010</x:v>
      </x:c>
      <x:c r="B11" s="46" t="str">
        <x:v>fish:mackerel</x:v>
      </x:c>
      <x:c r="C11" s="46" t="str">
        <x:v>family:seafood_finfish</x:v>
      </x:c>
      <x:c r="D11" s="46" t="str">
        <x:v>mackerel muscle</x:v>
      </x:c>
      <x:c r="E11" s="46" t="str">
        <x:v>Hydrocarbons</x:v>
      </x:c>
      <x:c r="F11" s="46" t="str">
        <x:v>1,4,9-癸三烯</x:v>
      </x:c>
      <x:c r="G11" s="46" t="str">
        <x:v>1,4,9-decatriene</x:v>
      </x:c>
      <x:c r="H11" s="46"/>
      <x:c r="I11" s="46" t="n">
        <x:v>30.808</x:v>
      </x:c>
      <x:c r="J11" s="46" t="n">
        <x:v>84</x:v>
      </x:c>
      <x:c r="K11" s="46" t="n">
        <x:v>80</x:v>
      </x:c>
      <x:c r="L11" s="46" t="str">
        <x:v>NIST 08 + WILEY 09; source rejects library similarity &lt;80/100</x:v>
      </x:c>
      <x:c r="M11" s="46"/>
      <x:c r="N11" s="46" t="n">
        <x:v>3.98</x:v>
      </x:c>
      <x:c r="O11" s="46"/>
      <x:c r="P11" s="46" t="n">
        <x:v>0.76</x:v>
      </x:c>
      <x:c r="Q11" s="46" t="str">
        <x:v>relative peak area (%)</x:v>
      </x:c>
      <x:c r="R11" s="46" t="str">
        <x:v>exact_table_row_recovered</x:v>
      </x:c>
      <x:c r="S11" s="46" t="str">
        <x:v>English normalization supplied only where the source identity is unambiguous; source-language name retained as controlling.</x:v>
      </x:c>
    </x:row>
    <x:row r="12" ht="26.399999618530273" hidden="0" customHeight="1">
      <x:c r="A12" s="46" t="str">
        <x:v>DFM-011</x:v>
      </x:c>
      <x:c r="B12" s="46" t="str">
        <x:v>fish:mackerel</x:v>
      </x:c>
      <x:c r="C12" s="46" t="str">
        <x:v>family:seafood_finfish</x:v>
      </x:c>
      <x:c r="D12" s="46" t="str">
        <x:v>mackerel muscle</x:v>
      </x:c>
      <x:c r="E12" s="46" t="str">
        <x:v>Hydrocarbons</x:v>
      </x:c>
      <x:c r="F12" s="46" t="str">
        <x:v>2,4-辛二烯</x:v>
      </x:c>
      <x:c r="G12" s="46" t="str">
        <x:v>2,4-octadiene</x:v>
      </x:c>
      <x:c r="H12" s="46"/>
      <x:c r="I12" s="46" t="n">
        <x:v>32.692</x:v>
      </x:c>
      <x:c r="J12" s="46" t="n">
        <x:v>87</x:v>
      </x:c>
      <x:c r="K12" s="46" t="n">
        <x:v>80</x:v>
      </x:c>
      <x:c r="L12" s="46" t="str">
        <x:v>NIST 08 + WILEY 09; source rejects library similarity &lt;80/100</x:v>
      </x:c>
      <x:c r="M12" s="46"/>
      <x:c r="N12" s="46" t="n">
        <x:v>0.71</x:v>
      </x:c>
      <x:c r="O12" s="46" t="n">
        <x:v>0.26</x:v>
      </x:c>
      <x:c r="P12" s="46" t="n">
        <x:v>0.35</x:v>
      </x:c>
      <x:c r="Q12" s="46" t="str">
        <x:v>relative peak area (%)</x:v>
      </x:c>
      <x:c r="R12" s="46" t="str">
        <x:v>exact_table_row_recovered</x:v>
      </x:c>
      <x:c r="S12" s="46" t="str">
        <x:v>English normalization supplied only where the source identity is unambiguous; source-language name retained as controlling.</x:v>
      </x:c>
    </x:row>
    <x:row r="13" ht="26.399999618530273" hidden="0" customHeight="1">
      <x:c r="A13" s="46" t="str">
        <x:v>DFM-012</x:v>
      </x:c>
      <x:c r="B13" s="46" t="str">
        <x:v>fish:mackerel</x:v>
      </x:c>
      <x:c r="C13" s="46" t="str">
        <x:v>family:seafood_finfish</x:v>
      </x:c>
      <x:c r="D13" s="46" t="str">
        <x:v>mackerel muscle</x:v>
      </x:c>
      <x:c r="E13" s="46" t="str">
        <x:v>Hydrocarbons</x:v>
      </x:c>
      <x:c r="F13" s="46" t="str">
        <x:v>2,6-壬二烯</x:v>
      </x:c>
      <x:c r="G13" s="46" t="str">
        <x:v>2,6-nonadiene</x:v>
      </x:c>
      <x:c r="H13" s="46"/>
      <x:c r="I13" s="46" t="n">
        <x:v>33.992</x:v>
      </x:c>
      <x:c r="J13" s="46" t="n">
        <x:v>93</x:v>
      </x:c>
      <x:c r="K13" s="46" t="n">
        <x:v>80</x:v>
      </x:c>
      <x:c r="L13" s="46" t="str">
        <x:v>NIST 08 + WILEY 09; source rejects library similarity &lt;80/100</x:v>
      </x:c>
      <x:c r="M13" s="46" t="n">
        <x:v>0.32</x:v>
      </x:c>
      <x:c r="N13" s="46" t="n">
        <x:v>0.25</x:v>
      </x:c>
      <x:c r="O13" s="46" t="n">
        <x:v>4.5</x:v>
      </x:c>
      <x:c r="P13" s="46" t="n">
        <x:v>0.52</x:v>
      </x:c>
      <x:c r="Q13" s="46" t="str">
        <x:v>relative peak area (%)</x:v>
      </x:c>
      <x:c r="R13" s="46" t="str">
        <x:v>exact_table_row_recovered</x:v>
      </x:c>
      <x:c r="S13" s="46" t="str">
        <x:v>English normalization supplied only where the source identity is unambiguous; source-language name retained as controlling.</x:v>
      </x:c>
    </x:row>
    <x:row r="14" ht="26.399999618530273" hidden="0" customHeight="1">
      <x:c r="A14" s="46" t="str">
        <x:v>DFM-013</x:v>
      </x:c>
      <x:c r="B14" s="46" t="str">
        <x:v>fish:mackerel</x:v>
      </x:c>
      <x:c r="C14" s="46" t="str">
        <x:v>family:seafood_finfish</x:v>
      </x:c>
      <x:c r="D14" s="46" t="str">
        <x:v>mackerel muscle</x:v>
      </x:c>
      <x:c r="E14" s="46" t="str">
        <x:v>Hydrocarbons</x:v>
      </x:c>
      <x:c r="F14" s="46" t="str">
        <x:v>1,4,8-十二碳三烯</x:v>
      </x:c>
      <x:c r="G14" s="46" t="str">
        <x:v>1,4,8-dodecatriene</x:v>
      </x:c>
      <x:c r="H14" s="46"/>
      <x:c r="I14" s="46" t="n">
        <x:v>40.151</x:v>
      </x:c>
      <x:c r="J14" s="46" t="n">
        <x:v>85</x:v>
      </x:c>
      <x:c r="K14" s="46" t="n">
        <x:v>80</x:v>
      </x:c>
      <x:c r="L14" s="46" t="str">
        <x:v>NIST 08 + WILEY 09; source rejects library similarity &lt;80/100</x:v>
      </x:c>
      <x:c r="M14" s="46"/>
      <x:c r="N14" s="46"/>
      <x:c r="O14" s="46"/>
      <x:c r="P14" s="46" t="n">
        <x:v>0.89</x:v>
      </x:c>
      <x:c r="Q14" s="46" t="str">
        <x:v>relative peak area (%)</x:v>
      </x:c>
      <x:c r="R14" s="46" t="str">
        <x:v>exact_table_row_recovered</x:v>
      </x:c>
      <x:c r="S14" s="46" t="str">
        <x:v>English normalization supplied only where the source identity is unambiguous; source-language name retained as controlling.</x:v>
      </x:c>
    </x:row>
    <x:row r="15" ht="26.399999618530273" hidden="0" customHeight="1">
      <x:c r="A15" s="46" t="str">
        <x:v>DFM-014</x:v>
      </x:c>
      <x:c r="B15" s="46" t="str">
        <x:v>fish:mackerel</x:v>
      </x:c>
      <x:c r="C15" s="46" t="str">
        <x:v>family:seafood_finfish</x:v>
      </x:c>
      <x:c r="D15" s="46" t="str">
        <x:v>mackerel muscle</x:v>
      </x:c>
      <x:c r="E15" s="46" t="str">
        <x:v>Hydrocarbons</x:v>
      </x:c>
      <x:c r="F15" s="46" t="str">
        <x:v>1-十五烯</x:v>
      </x:c>
      <x:c r="G15" s="46" t="str">
        <x:v>1-pentadecene</x:v>
      </x:c>
      <x:c r="H15" s="46"/>
      <x:c r="I15" s="46" t="n">
        <x:v>36.117</x:v>
      </x:c>
      <x:c r="J15" s="46" t="n">
        <x:v>95</x:v>
      </x:c>
      <x:c r="K15" s="46" t="n">
        <x:v>80</x:v>
      </x:c>
      <x:c r="L15" s="46" t="str">
        <x:v>NIST 08 + WILEY 09; source rejects library similarity &lt;80/100</x:v>
      </x:c>
      <x:c r="M15" s="46" t="n">
        <x:v>2.46</x:v>
      </x:c>
      <x:c r="N15" s="46" t="n">
        <x:v>2.63</x:v>
      </x:c>
      <x:c r="O15" s="46" t="n">
        <x:v>1.25</x:v>
      </x:c>
      <x:c r="P15" s="46" t="n">
        <x:v>0.31</x:v>
      </x:c>
      <x:c r="Q15" s="46" t="str">
        <x:v>relative peak area (%)</x:v>
      </x:c>
      <x:c r="R15" s="46" t="str">
        <x:v>exact_table_row_recovered</x:v>
      </x:c>
      <x:c r="S15" s="46" t="str">
        <x:v>English normalization supplied only where the source identity is unambiguous; source-language name retained as controlling.</x:v>
      </x:c>
    </x:row>
    <x:row r="16" ht="26.399999618530273" hidden="0" customHeight="1">
      <x:c r="A16" s="46" t="str">
        <x:v>DFM-015</x:v>
      </x:c>
      <x:c r="B16" s="46" t="str">
        <x:v>fish:mackerel</x:v>
      </x:c>
      <x:c r="C16" s="46" t="str">
        <x:v>family:seafood_finfish</x:v>
      </x:c>
      <x:c r="D16" s="46" t="str">
        <x:v>mackerel muscle</x:v>
      </x:c>
      <x:c r="E16" s="46" t="str">
        <x:v>Hydrocarbons</x:v>
      </x:c>
      <x:c r="F16" s="46" t="str">
        <x:v>5-己基-3,3-二甲基-1-环戊烯</x:v>
      </x:c>
      <x:c r="G16" s="46" t="str">
        <x:v>5-hexyl-3,3-dimethyl-1-cyclopentene</x:v>
      </x:c>
      <x:c r="H16" s="46"/>
      <x:c r="I16" s="46" t="n">
        <x:v>40.277</x:v>
      </x:c>
      <x:c r="J16" s="46" t="n">
        <x:v>85</x:v>
      </x:c>
      <x:c r="K16" s="46" t="n">
        <x:v>80</x:v>
      </x:c>
      <x:c r="L16" s="46" t="str">
        <x:v>NIST 08 + WILEY 09; source rejects library similarity &lt;80/100</x:v>
      </x:c>
      <x:c r="M16" s="46"/>
      <x:c r="N16" s="46"/>
      <x:c r="O16" s="46" t="n">
        <x:v>0.31</x:v>
      </x:c>
      <x:c r="P16" s="46" t="n">
        <x:v>1.42</x:v>
      </x:c>
      <x:c r="Q16" s="46" t="str">
        <x:v>relative peak area (%)</x:v>
      </x:c>
      <x:c r="R16" s="46" t="str">
        <x:v>exact_table_row_recovered</x:v>
      </x:c>
      <x:c r="S16" s="46" t="str">
        <x:v>English normalization supplied only where the source identity is unambiguous; source-language name retained as controlling.</x:v>
      </x:c>
    </x:row>
    <x:row r="17" ht="26.399999618530273" hidden="0" customHeight="1">
      <x:c r="A17" s="46" t="str">
        <x:v>DFM-016</x:v>
      </x:c>
      <x:c r="B17" s="46" t="str">
        <x:v>fish:mackerel</x:v>
      </x:c>
      <x:c r="C17" s="46" t="str">
        <x:v>family:seafood_finfish</x:v>
      </x:c>
      <x:c r="D17" s="46" t="str">
        <x:v>mackerel muscle</x:v>
      </x:c>
      <x:c r="E17" s="46" t="str">
        <x:v>Hydrocarbons</x:v>
      </x:c>
      <x:c r="F17" s="46" t="str">
        <x:v>3-甲基己烷</x:v>
      </x:c>
      <x:c r="G17" s="46" t="str">
        <x:v>3-methylhexane</x:v>
      </x:c>
      <x:c r="H17" s="46"/>
      <x:c r="I17" s="46" t="n">
        <x:v>12.142</x:v>
      </x:c>
      <x:c r="J17" s="46" t="n">
        <x:v>97</x:v>
      </x:c>
      <x:c r="K17" s="46" t="n">
        <x:v>80</x:v>
      </x:c>
      <x:c r="L17" s="46" t="str">
        <x:v>NIST 08 + WILEY 09; source rejects library similarity &lt;80/100</x:v>
      </x:c>
      <x:c r="M17" s="46" t="n">
        <x:v>1.33</x:v>
      </x:c>
      <x:c r="N17" s="46"/>
      <x:c r="O17" s="46"/>
      <x:c r="P17" s="46"/>
      <x:c r="Q17" s="46" t="str">
        <x:v>relative peak area (%)</x:v>
      </x:c>
      <x:c r="R17" s="46" t="str">
        <x:v>exact_table_row_recovered</x:v>
      </x:c>
      <x:c r="S17" s="46" t="str">
        <x:v>English normalization supplied only where the source identity is unambiguous; source-language name retained as controlling.</x:v>
      </x:c>
    </x:row>
    <x:row r="18" ht="26.399999618530273" hidden="0" customHeight="1">
      <x:c r="A18" s="46" t="str">
        <x:v>DFM-017</x:v>
      </x:c>
      <x:c r="B18" s="46" t="str">
        <x:v>fish:mackerel</x:v>
      </x:c>
      <x:c r="C18" s="46" t="str">
        <x:v>family:seafood_finfish</x:v>
      </x:c>
      <x:c r="D18" s="46" t="str">
        <x:v>mackerel muscle</x:v>
      </x:c>
      <x:c r="E18" s="46" t="str">
        <x:v>Hydrocarbons</x:v>
      </x:c>
      <x:c r="F18" s="46" t="str">
        <x:v>环己烷</x:v>
      </x:c>
      <x:c r="G18" s="46" t="str">
        <x:v>cyclohexane</x:v>
      </x:c>
      <x:c r="H18" s="46"/>
      <x:c r="I18" s="46" t="n">
        <x:v>12.558</x:v>
      </x:c>
      <x:c r="J18" s="46" t="n">
        <x:v>98</x:v>
      </x:c>
      <x:c r="K18" s="46" t="n">
        <x:v>80</x:v>
      </x:c>
      <x:c r="L18" s="46" t="str">
        <x:v>NIST 08 + WILEY 09; source rejects library similarity &lt;80/100</x:v>
      </x:c>
      <x:c r="M18" s="46" t="n">
        <x:v>5.01</x:v>
      </x:c>
      <x:c r="N18" s="46"/>
      <x:c r="O18" s="46"/>
      <x:c r="P18" s="46" t="n">
        <x:v>4.3</x:v>
      </x:c>
      <x:c r="Q18" s="46" t="str">
        <x:v>relative peak area (%)</x:v>
      </x:c>
      <x:c r="R18" s="46" t="str">
        <x:v>exact_table_row_recovered</x:v>
      </x:c>
      <x:c r="S18" s="46" t="str">
        <x:v>English normalization supplied only where the source identity is unambiguous; source-language name retained as controlling.</x:v>
      </x:c>
    </x:row>
    <x:row r="19" ht="26.399999618530273" hidden="0" customHeight="1">
      <x:c r="A19" s="46" t="str">
        <x:v>DFM-018</x:v>
      </x:c>
      <x:c r="B19" s="46" t="str">
        <x:v>fish:mackerel</x:v>
      </x:c>
      <x:c r="C19" s="46" t="str">
        <x:v>family:seafood_finfish</x:v>
      </x:c>
      <x:c r="D19" s="46" t="str">
        <x:v>mackerel muscle</x:v>
      </x:c>
      <x:c r="E19" s="46" t="str">
        <x:v>Hydrocarbons</x:v>
      </x:c>
      <x:c r="F19" s="46" t="str">
        <x:v>庚烷</x:v>
      </x:c>
      <x:c r="G19" s="46" t="str">
        <x:v>heptane</x:v>
      </x:c>
      <x:c r="H19" s="46"/>
      <x:c r="I19" s="46" t="n">
        <x:v>13.283</x:v>
      </x:c>
      <x:c r="J19" s="46" t="n">
        <x:v>98</x:v>
      </x:c>
      <x:c r="K19" s="46" t="n">
        <x:v>80</x:v>
      </x:c>
      <x:c r="L19" s="46" t="str">
        <x:v>NIST 08 + WILEY 09; source rejects library similarity &lt;80/100</x:v>
      </x:c>
      <x:c r="M19" s="46" t="n">
        <x:v>1.21</x:v>
      </x:c>
      <x:c r="N19" s="46"/>
      <x:c r="O19" s="46"/>
      <x:c r="P19" s="46" t="n">
        <x:v>0.35</x:v>
      </x:c>
      <x:c r="Q19" s="46" t="str">
        <x:v>relative peak area (%)</x:v>
      </x:c>
      <x:c r="R19" s="46" t="str">
        <x:v>exact_table_row_recovered</x:v>
      </x:c>
      <x:c r="S19" s="46" t="str">
        <x:v>English normalization supplied only where the source identity is unambiguous; source-language name retained as controlling.</x:v>
      </x:c>
    </x:row>
    <x:row r="20" ht="15" hidden="0" customHeight="1">
      <x:c r="A20" s="46" t="str">
        <x:v>DFM-019</x:v>
      </x:c>
      <x:c r="B20" s="46" t="str">
        <x:v>fish:mackerel</x:v>
      </x:c>
      <x:c r="C20" s="46" t="str">
        <x:v>family:seafood_finfish</x:v>
      </x:c>
      <x:c r="D20" s="46" t="str">
        <x:v>mackerel muscle</x:v>
      </x:c>
      <x:c r="E20" s="46" t="str">
        <x:v>Hydrocarbons</x:v>
      </x:c>
      <x:c r="F20" s="46" t="str">
        <x:v>2-丙烯基环戊烷</x:v>
      </x:c>
      <x:c r="G20" s="46" t="str">
        <x:v>2-propenylcyclopentane</x:v>
      </x:c>
      <x:c r="H20" s="46"/>
      <x:c r="I20" s="46" t="n">
        <x:v>18.317</x:v>
      </x:c>
      <x:c r="J20" s="46" t="n">
        <x:v>85</x:v>
      </x:c>
      <x:c r="K20" s="46" t="n">
        <x:v>80</x:v>
      </x:c>
      <x:c r="L20" s="46" t="str">
        <x:v>NIST 08 + WILEY 09; source rejects library similarity &lt;80/100</x:v>
      </x:c>
      <x:c r="M20" s="46"/>
      <x:c r="N20" s="46" t="n">
        <x:v>0.23</x:v>
      </x:c>
      <x:c r="O20" s="46" t="n">
        <x:v>0.2</x:v>
      </x:c>
      <x:c r="P20" s="46"/>
      <x:c r="Q20" s="46" t="str">
        <x:v>relative peak area (%)</x:v>
      </x:c>
      <x:c r="R20" s="46" t="str">
        <x:v>exact_table_row_recovered</x:v>
      </x:c>
      <x:c r="S20" s="46" t="str">
        <x:v>heated-red value not recoverable from indexed primary text</x:v>
      </x:c>
    </x:row>
    <x:row r="21" ht="15" hidden="0" customHeight="1">
      <x:c r="A21" s="46" t="str">
        <x:v>DFM-020</x:v>
      </x:c>
      <x:c r="B21" s="46" t="str">
        <x:v>fish:mackerel</x:v>
      </x:c>
      <x:c r="C21" s="46" t="str">
        <x:v>family:seafood_finfish</x:v>
      </x:c>
      <x:c r="D21" s="46" t="str">
        <x:v>mackerel muscle</x:v>
      </x:c>
      <x:c r="E21" s="46" t="str">
        <x:v>Hydrocarbons</x:v>
      </x:c>
      <x:c r="F21" s="46" t="str">
        <x:v>十二烷</x:v>
      </x:c>
      <x:c r="G21" s="46" t="str">
        <x:v>dodecane</x:v>
      </x:c>
      <x:c r="H21" s="46"/>
      <x:c r="I21" s="46" t="n">
        <x:v>33.017</x:v>
      </x:c>
      <x:c r="J21" s="46" t="n">
        <x:v>97</x:v>
      </x:c>
      <x:c r="K21" s="46" t="n">
        <x:v>80</x:v>
      </x:c>
      <x:c r="L21" s="46" t="str">
        <x:v>NIST 08 + WILEY 09; source rejects library similarity &lt;80/100</x:v>
      </x:c>
      <x:c r="M21" s="46"/>
      <x:c r="N21" s="46" t="n">
        <x:v>0.24</x:v>
      </x:c>
      <x:c r="O21" s="46" t="n">
        <x:v>0.74</x:v>
      </x:c>
      <x:c r="P21" s="46"/>
      <x:c r="Q21" s="46" t="str">
        <x:v>relative peak area (%)</x:v>
      </x:c>
      <x:c r="R21" s="46" t="str">
        <x:v>exact_table_row_recovered</x:v>
      </x:c>
      <x:c r="S21" s="46" t="str">
        <x:v>heated-red value not recoverable from indexed primary text</x:v>
      </x:c>
    </x:row>
    <x:row r="22" ht="26.399999618530273" hidden="0" customHeight="1">
      <x:c r="A22" s="46" t="str">
        <x:v>DFM-021</x:v>
      </x:c>
      <x:c r="B22" s="46" t="str">
        <x:v>fish:mackerel</x:v>
      </x:c>
      <x:c r="C22" s="46" t="str">
        <x:v>family:seafood_finfish</x:v>
      </x:c>
      <x:c r="D22" s="46" t="str">
        <x:v>mackerel muscle</x:v>
      </x:c>
      <x:c r="E22" s="46" t="str">
        <x:v>Hydrocarbons</x:v>
      </x:c>
      <x:c r="F22" s="46" t="str">
        <x:v>1,1,2-三甲基环十一烷</x:v>
      </x:c>
      <x:c r="G22" s="46" t="str">
        <x:v>1,1,2-trimethylcycloundecane</x:v>
      </x:c>
      <x:c r="H22" s="46"/>
      <x:c r="I22" s="46" t="n">
        <x:v>37.917</x:v>
      </x:c>
      <x:c r="J22" s="46" t="n">
        <x:v>90</x:v>
      </x:c>
      <x:c r="K22" s="46" t="n">
        <x:v>80</x:v>
      </x:c>
      <x:c r="L22" s="46" t="str">
        <x:v>NIST 08 + WILEY 09; source rejects library similarity &lt;80/100</x:v>
      </x:c>
      <x:c r="M22" s="46"/>
      <x:c r="N22" s="46" t="n">
        <x:v>0.34</x:v>
      </x:c>
      <x:c r="O22" s="46"/>
      <x:c r="P22" s="46"/>
      <x:c r="Q22" s="46" t="str">
        <x:v>relative peak area (%)</x:v>
      </x:c>
      <x:c r="R22" s="46" t="str">
        <x:v>exact_table_row_recovered</x:v>
      </x:c>
      <x:c r="S22" s="46" t="str">
        <x:v>English normalization supplied only where the source identity is unambiguous; source-language name retained as controlling.</x:v>
      </x:c>
    </x:row>
    <x:row r="23" ht="26.399999618530273" hidden="0" customHeight="1">
      <x:c r="A23" s="46" t="str">
        <x:v>DFM-022</x:v>
      </x:c>
      <x:c r="B23" s="46" t="str">
        <x:v>fish:mackerel</x:v>
      </x:c>
      <x:c r="C23" s="46" t="str">
        <x:v>family:seafood_finfish</x:v>
      </x:c>
      <x:c r="D23" s="46" t="str">
        <x:v>mackerel muscle</x:v>
      </x:c>
      <x:c r="E23" s="46" t="str">
        <x:v>Hydrocarbons</x:v>
      </x:c>
      <x:c r="F23" s="46" t="str">
        <x:v>正十四碳烷</x:v>
      </x:c>
      <x:c r="G23" s="46" t="str">
        <x:v>tetradecane</x:v>
      </x:c>
      <x:c r="H23" s="46"/>
      <x:c r="I23" s="46" t="n">
        <x:v>38.992</x:v>
      </x:c>
      <x:c r="J23" s="46" t="n">
        <x:v>97</x:v>
      </x:c>
      <x:c r="K23" s="46" t="n">
        <x:v>80</x:v>
      </x:c>
      <x:c r="L23" s="46" t="str">
        <x:v>NIST 08 + WILEY 09; source rejects library similarity &lt;80/100</x:v>
      </x:c>
      <x:c r="M23" s="46" t="n">
        <x:v>1.92</x:v>
      </x:c>
      <x:c r="N23" s="46" t="n">
        <x:v>1.24</x:v>
      </x:c>
      <x:c r="O23" s="46"/>
      <x:c r="P23" s="46" t="n">
        <x:v>0.62</x:v>
      </x:c>
      <x:c r="Q23" s="46" t="str">
        <x:v>relative peak area (%)</x:v>
      </x:c>
      <x:c r="R23" s="46" t="str">
        <x:v>exact_table_row_recovered</x:v>
      </x:c>
      <x:c r="S23" s="46" t="str">
        <x:v>English normalization supplied only where the source identity is unambiguous; source-language name retained as controlling.</x:v>
      </x:c>
    </x:row>
    <x:row r="24" ht="26.399999618530273" hidden="0" customHeight="1">
      <x:c r="A24" s="46" t="str">
        <x:v>DFM-023</x:v>
      </x:c>
      <x:c r="B24" s="46" t="str">
        <x:v>fish:mackerel</x:v>
      </x:c>
      <x:c r="C24" s="46" t="str">
        <x:v>family:seafood_finfish</x:v>
      </x:c>
      <x:c r="D24" s="46" t="str">
        <x:v>mackerel muscle</x:v>
      </x:c>
      <x:c r="E24" s="46" t="str">
        <x:v>Hydrocarbons</x:v>
      </x:c>
      <x:c r="F24" s="46" t="str">
        <x:v>十五烷</x:v>
      </x:c>
      <x:c r="G24" s="46" t="str">
        <x:v>pentadecane</x:v>
      </x:c>
      <x:c r="H24" s="46"/>
      <x:c r="I24" s="46" t="n">
        <x:v>41.9</x:v>
      </x:c>
      <x:c r="J24" s="46" t="n">
        <x:v>99</x:v>
      </x:c>
      <x:c r="K24" s="46" t="n">
        <x:v>80</x:v>
      </x:c>
      <x:c r="L24" s="46" t="str">
        <x:v>NIST 08 + WILEY 09; source rejects library similarity &lt;80/100</x:v>
      </x:c>
      <x:c r="M24" s="46" t="n">
        <x:v>45.73</x:v>
      </x:c>
      <x:c r="N24" s="46" t="n">
        <x:v>33.89</x:v>
      </x:c>
      <x:c r="O24" s="46" t="n">
        <x:v>21.15</x:v>
      </x:c>
      <x:c r="P24" s="46" t="n">
        <x:v>29.65</x:v>
      </x:c>
      <x:c r="Q24" s="46" t="str">
        <x:v>relative peak area (%)</x:v>
      </x:c>
      <x:c r="R24" s="46" t="str">
        <x:v>exact_table_row_recovered</x:v>
      </x:c>
      <x:c r="S24" s="46" t="str">
        <x:v>English normalization supplied only where the source identity is unambiguous; source-language name retained as controlling.</x:v>
      </x:c>
    </x:row>
    <x:row r="25" ht="26.399999618530273" hidden="0" customHeight="1">
      <x:c r="A25" s="46" t="str">
        <x:v>DFM-024</x:v>
      </x:c>
      <x:c r="B25" s="46" t="str">
        <x:v>fish:mackerel</x:v>
      </x:c>
      <x:c r="C25" s="46" t="str">
        <x:v>family:seafood_finfish</x:v>
      </x:c>
      <x:c r="D25" s="46" t="str">
        <x:v>mackerel muscle</x:v>
      </x:c>
      <x:c r="E25" s="46" t="str">
        <x:v>Hydrocarbons</x:v>
      </x:c>
      <x:c r="F25" s="46" t="str">
        <x:v>2,6,10,14-四甲基十五烷</x:v>
      </x:c>
      <x:c r="G25" s="46" t="str">
        <x:v>2,6,10,14-tetramethylpentadecane</x:v>
      </x:c>
      <x:c r="H25" s="46"/>
      <x:c r="I25" s="46" t="n">
        <x:v>49.883</x:v>
      </x:c>
      <x:c r="J25" s="46" t="n">
        <x:v>97</x:v>
      </x:c>
      <x:c r="K25" s="46" t="n">
        <x:v>80</x:v>
      </x:c>
      <x:c r="L25" s="46" t="str">
        <x:v>NIST 08 + WILEY 09; source rejects library similarity &lt;80/100</x:v>
      </x:c>
      <x:c r="M25" s="46" t="n">
        <x:v>3.99</x:v>
      </x:c>
      <x:c r="N25" s="46" t="n">
        <x:v>1.76</x:v>
      </x:c>
      <x:c r="O25" s="46" t="n">
        <x:v>0.81</x:v>
      </x:c>
      <x:c r="P25" s="46" t="n">
        <x:v>4.72</x:v>
      </x:c>
      <x:c r="Q25" s="46" t="str">
        <x:v>relative peak area (%)</x:v>
      </x:c>
      <x:c r="R25" s="46" t="str">
        <x:v>exact_table_row_recovered</x:v>
      </x:c>
      <x:c r="S25" s="46" t="str">
        <x:v>English normalization supplied only where the source identity is unambiguous; source-language name retained as controlling.</x:v>
      </x:c>
    </x:row>
    <x:row r="26" ht="15" hidden="0" customHeight="1">
      <x:c r="A26" s="46" t="str">
        <x:v>DFM-025</x:v>
      </x:c>
      <x:c r="B26" s="46" t="str">
        <x:v>fish:mackerel</x:v>
      </x:c>
      <x:c r="C26" s="46" t="str">
        <x:v>family:seafood_finfish</x:v>
      </x:c>
      <x:c r="D26" s="46" t="str">
        <x:v>mackerel muscle</x:v>
      </x:c>
      <x:c r="E26" s="46" t="str">
        <x:v>Aldehydes</x:v>
      </x:c>
      <x:c r="F26" s="46" t="str">
        <x:v>丙醛</x:v>
      </x:c>
      <x:c r="G26" s="46" t="str">
        <x:v>propanal</x:v>
      </x:c>
      <x:c r="H26" s="46"/>
      <x:c r="I26" s="46" t="n">
        <x:v>6.533</x:v>
      </x:c>
      <x:c r="J26" s="46" t="n">
        <x:v>100</x:v>
      </x:c>
      <x:c r="K26" s="46" t="n">
        <x:v>80</x:v>
      </x:c>
      <x:c r="L26" s="46" t="str">
        <x:v>NIST 08 + WILEY 09; source rejects library similarity &lt;80/100</x:v>
      </x:c>
      <x:c r="M26" s="46"/>
      <x:c r="N26" s="46"/>
      <x:c r="O26" s="46" t="n">
        <x:v>1.37</x:v>
      </x:c>
      <x:c r="P26" s="46"/>
      <x:c r="Q26" s="46" t="str">
        <x:v>relative peak area (%)</x:v>
      </x:c>
      <x:c r="R26" s="46" t="str">
        <x:v>exact_table_row_recovered</x:v>
      </x:c>
      <x:c r="S26" s="46" t="str">
        <x:v>Source does not report retention index; no RI is inferred.</x:v>
      </x:c>
    </x:row>
    <x:row r="27" ht="15" hidden="0" customHeight="1">
      <x:c r="A27" s="46" t="str">
        <x:v>DFM-026</x:v>
      </x:c>
      <x:c r="B27" s="46" t="str">
        <x:v>fish:mackerel</x:v>
      </x:c>
      <x:c r="C27" s="46" t="str">
        <x:v>family:seafood_finfish</x:v>
      </x:c>
      <x:c r="D27" s="46" t="str">
        <x:v>mackerel muscle</x:v>
      </x:c>
      <x:c r="E27" s="46" t="str">
        <x:v>Aldehydes</x:v>
      </x:c>
      <x:c r="F27" s="46" t="str">
        <x:v>3-甲基丁醛</x:v>
      </x:c>
      <x:c r="G27" s="46" t="str">
        <x:v>3-methylbutanal</x:v>
      </x:c>
      <x:c r="H27" s="46"/>
      <x:c r="I27" s="46" t="n">
        <x:v>13.425</x:v>
      </x:c>
      <x:c r="J27" s="46" t="n">
        <x:v>93</x:v>
      </x:c>
      <x:c r="K27" s="46" t="n">
        <x:v>80</x:v>
      </x:c>
      <x:c r="L27" s="46" t="str">
        <x:v>NIST 08 + WILEY 09; source rejects library similarity &lt;80/100</x:v>
      </x:c>
      <x:c r="M27" s="46"/>
      <x:c r="N27" s="46" t="n">
        <x:v>2.89</x:v>
      </x:c>
      <x:c r="O27" s="46"/>
      <x:c r="P27" s="46" t="n">
        <x:v>0.24</x:v>
      </x:c>
      <x:c r="Q27" s="46" t="str">
        <x:v>relative peak area (%)</x:v>
      </x:c>
      <x:c r="R27" s="46" t="str">
        <x:v>exact_table_row_recovered</x:v>
      </x:c>
      <x:c r="S27" s="46" t="str">
        <x:v>Source does not report retention index; no RI is inferred.</x:v>
      </x:c>
    </x:row>
    <x:row r="28" ht="15" hidden="0" customHeight="1">
      <x:c r="A28" s="46" t="str">
        <x:v>DFM-027</x:v>
      </x:c>
      <x:c r="B28" s="46" t="str">
        <x:v>fish:mackerel</x:v>
      </x:c>
      <x:c r="C28" s="46" t="str">
        <x:v>family:seafood_finfish</x:v>
      </x:c>
      <x:c r="D28" s="46" t="str">
        <x:v>mackerel muscle</x:v>
      </x:c>
      <x:c r="E28" s="46" t="str">
        <x:v>Aldehydes</x:v>
      </x:c>
      <x:c r="F28" s="46" t="str">
        <x:v>(E)-2-戊烯醛</x:v>
      </x:c>
      <x:c r="G28" s="46" t="str">
        <x:v>(E)-2-pentenal</x:v>
      </x:c>
      <x:c r="H28" s="46"/>
      <x:c r="I28" s="46" t="n">
        <x:v>18.73</x:v>
      </x:c>
      <x:c r="J28" s="46" t="n">
        <x:v>93</x:v>
      </x:c>
      <x:c r="K28" s="46" t="n">
        <x:v>80</x:v>
      </x:c>
      <x:c r="L28" s="46" t="str">
        <x:v>NIST 08 + WILEY 09; source rejects library similarity &lt;80/100</x:v>
      </x:c>
      <x:c r="M28" s="46"/>
      <x:c r="N28" s="46"/>
      <x:c r="O28" s="46" t="n">
        <x:v>1.42</x:v>
      </x:c>
      <x:c r="P28" s="46"/>
      <x:c r="Q28" s="46" t="str">
        <x:v>relative peak area (%)</x:v>
      </x:c>
      <x:c r="R28" s="46" t="str">
        <x:v>exact_table_row_recovered</x:v>
      </x:c>
      <x:c r="S28" s="46" t="str">
        <x:v>Source does not report retention index; no RI is inferred.</x:v>
      </x:c>
    </x:row>
    <x:row r="29" ht="15" hidden="0" customHeight="1">
      <x:c r="A29" s="46" t="str">
        <x:v>DFM-028</x:v>
      </x:c>
      <x:c r="B29" s="46" t="str">
        <x:v>fish:mackerel</x:v>
      </x:c>
      <x:c r="C29" s="46" t="str">
        <x:v>family:seafood_finfish</x:v>
      </x:c>
      <x:c r="D29" s="46" t="str">
        <x:v>mackerel muscle</x:v>
      </x:c>
      <x:c r="E29" s="46" t="str">
        <x:v>Aldehydes</x:v>
      </x:c>
      <x:c r="F29" s="46" t="str">
        <x:v>己醛</x:v>
      </x:c>
      <x:c r="G29" s="46" t="str">
        <x:v>hexanal</x:v>
      </x:c>
      <x:c r="H29" s="46"/>
      <x:c r="I29" s="46" t="n">
        <x:v>20.146</x:v>
      </x:c>
      <x:c r="J29" s="46" t="n">
        <x:v>91</x:v>
      </x:c>
      <x:c r="K29" s="46" t="n">
        <x:v>80</x:v>
      </x:c>
      <x:c r="L29" s="46" t="str">
        <x:v>NIST 08 + WILEY 09; source rejects library similarity &lt;80/100</x:v>
      </x:c>
      <x:c r="M29" s="46" t="n">
        <x:v>3.02</x:v>
      </x:c>
      <x:c r="N29" s="46" t="n">
        <x:v>0.64</x:v>
      </x:c>
      <x:c r="O29" s="46" t="n">
        <x:v>3.46</x:v>
      </x:c>
      <x:c r="P29" s="46" t="n">
        <x:v>0.91</x:v>
      </x:c>
      <x:c r="Q29" s="46" t="str">
        <x:v>relative peak area (%)</x:v>
      </x:c>
      <x:c r="R29" s="46" t="str">
        <x:v>exact_table_row_recovered</x:v>
      </x:c>
      <x:c r="S29" s="46" t="str">
        <x:v>Source does not report retention index; no RI is inferred.</x:v>
      </x:c>
    </x:row>
    <x:row r="30" ht="15" hidden="0" customHeight="1">
      <x:c r="A30" s="46" t="str">
        <x:v>DFM-029</x:v>
      </x:c>
      <x:c r="B30" s="46" t="str">
        <x:v>fish:mackerel</x:v>
      </x:c>
      <x:c r="C30" s="46" t="str">
        <x:v>family:seafood_finfish</x:v>
      </x:c>
      <x:c r="D30" s="46" t="str">
        <x:v>mackerel muscle</x:v>
      </x:c>
      <x:c r="E30" s="46" t="str">
        <x:v>Aldehydes</x:v>
      </x:c>
      <x:c r="F30" s="46" t="str">
        <x:v>2-己烯醛</x:v>
      </x:c>
      <x:c r="G30" s="46" t="str">
        <x:v>2-hexenal</x:v>
      </x:c>
      <x:c r="H30" s="46"/>
      <x:c r="I30" s="46" t="n">
        <x:v>22.851</x:v>
      </x:c>
      <x:c r="J30" s="46" t="n">
        <x:v>97</x:v>
      </x:c>
      <x:c r="K30" s="46" t="n">
        <x:v>80</x:v>
      </x:c>
      <x:c r="L30" s="46" t="str">
        <x:v>NIST 08 + WILEY 09; source rejects library similarity &lt;80/100</x:v>
      </x:c>
      <x:c r="M30" s="46"/>
      <x:c r="N30" s="46"/>
      <x:c r="O30" s="46" t="n">
        <x:v>2.74</x:v>
      </x:c>
      <x:c r="P30" s="46" t="n">
        <x:v>0.25</x:v>
      </x:c>
      <x:c r="Q30" s="46" t="str">
        <x:v>relative peak area (%)</x:v>
      </x:c>
      <x:c r="R30" s="46" t="str">
        <x:v>exact_table_row_recovered</x:v>
      </x:c>
      <x:c r="S30" s="46" t="str">
        <x:v>Source does not report retention index; no RI is inferred.</x:v>
      </x:c>
    </x:row>
    <x:row r="31" ht="15" hidden="0" customHeight="1">
      <x:c r="A31" s="46" t="str">
        <x:v>DFM-030</x:v>
      </x:c>
      <x:c r="B31" s="46" t="str">
        <x:v>fish:mackerel</x:v>
      </x:c>
      <x:c r="C31" s="46" t="str">
        <x:v>family:seafood_finfish</x:v>
      </x:c>
      <x:c r="D31" s="46" t="str">
        <x:v>mackerel muscle</x:v>
      </x:c>
      <x:c r="E31" s="46" t="str">
        <x:v>Aldehydes</x:v>
      </x:c>
      <x:c r="F31" s="46" t="str">
        <x:v>庚醛</x:v>
      </x:c>
      <x:c r="G31" s="46" t="str">
        <x:v>heptanal</x:v>
      </x:c>
      <x:c r="H31" s="46"/>
      <x:c r="I31" s="46" t="n">
        <x:v>24.318</x:v>
      </x:c>
      <x:c r="J31" s="46" t="n">
        <x:v>93</x:v>
      </x:c>
      <x:c r="K31" s="46" t="n">
        <x:v>80</x:v>
      </x:c>
      <x:c r="L31" s="46" t="str">
        <x:v>NIST 08 + WILEY 09; source rejects library similarity &lt;80/100</x:v>
      </x:c>
      <x:c r="M31" s="46" t="n">
        <x:v>1.02</x:v>
      </x:c>
      <x:c r="N31" s="46" t="n">
        <x:v>0.55</x:v>
      </x:c>
      <x:c r="O31" s="46" t="n">
        <x:v>0.31</x:v>
      </x:c>
      <x:c r="P31" s="46" t="n">
        <x:v>0.45</x:v>
      </x:c>
      <x:c r="Q31" s="46" t="str">
        <x:v>relative peak area (%)</x:v>
      </x:c>
      <x:c r="R31" s="46" t="str">
        <x:v>exact_table_row_recovered</x:v>
      </x:c>
      <x:c r="S31" s="46" t="str">
        <x:v>Source does not report retention index; no RI is inferred.</x:v>
      </x:c>
    </x:row>
    <x:row r="32" ht="15" hidden="0" customHeight="1">
      <x:c r="A32" s="46" t="str">
        <x:v>DFM-031</x:v>
      </x:c>
      <x:c r="B32" s="46" t="str">
        <x:v>fish:mackerel</x:v>
      </x:c>
      <x:c r="C32" s="46" t="str">
        <x:v>family:seafood_finfish</x:v>
      </x:c>
      <x:c r="D32" s="46" t="str">
        <x:v>mackerel muscle</x:v>
      </x:c>
      <x:c r="E32" s="46" t="str">
        <x:v>Aldehydes</x:v>
      </x:c>
      <x:c r="F32" s="46" t="str">
        <x:v>(Z)-4-庚烯醛</x:v>
      </x:c>
      <x:c r="G32" s="46" t="str">
        <x:v>(Z)-4-heptenal</x:v>
      </x:c>
      <x:c r="H32" s="46"/>
      <x:c r="I32" s="46" t="n">
        <x:v>24.52</x:v>
      </x:c>
      <x:c r="J32" s="46" t="n">
        <x:v>93</x:v>
      </x:c>
      <x:c r="K32" s="46" t="n">
        <x:v>80</x:v>
      </x:c>
      <x:c r="L32" s="46" t="str">
        <x:v>NIST 08 + WILEY 09; source rejects library similarity &lt;80/100</x:v>
      </x:c>
      <x:c r="M32" s="46"/>
      <x:c r="N32" s="46"/>
      <x:c r="O32" s="46"/>
      <x:c r="P32" s="46" t="n">
        <x:v>0.78</x:v>
      </x:c>
      <x:c r="Q32" s="46" t="str">
        <x:v>relative peak area (%)</x:v>
      </x:c>
      <x:c r="R32" s="46" t="str">
        <x:v>exact_table_row_recovered</x:v>
      </x:c>
      <x:c r="S32" s="46" t="str">
        <x:v>Source does not report retention index; no RI is inferred.</x:v>
      </x:c>
    </x:row>
    <x:row r="33" ht="15" hidden="0" customHeight="1">
      <x:c r="A33" s="46" t="str">
        <x:v>DFM-032</x:v>
      </x:c>
      <x:c r="B33" s="46" t="str">
        <x:v>fish:mackerel</x:v>
      </x:c>
      <x:c r="C33" s="46" t="str">
        <x:v>family:seafood_finfish</x:v>
      </x:c>
      <x:c r="D33" s="46" t="str">
        <x:v>mackerel muscle</x:v>
      </x:c>
      <x:c r="E33" s="46" t="str">
        <x:v>Aldehydes</x:v>
      </x:c>
      <x:c r="F33" s="46" t="str">
        <x:v>辛醛</x:v>
      </x:c>
      <x:c r="G33" s="46" t="str">
        <x:v>octanal</x:v>
      </x:c>
      <x:c r="H33" s="46"/>
      <x:c r="I33" s="46" t="n">
        <x:v>28.141</x:v>
      </x:c>
      <x:c r="J33" s="46" t="n">
        <x:v>94</x:v>
      </x:c>
      <x:c r="K33" s="46" t="n">
        <x:v>80</x:v>
      </x:c>
      <x:c r="L33" s="46" t="str">
        <x:v>NIST 08 + WILEY 09; source rejects library similarity &lt;80/100</x:v>
      </x:c>
      <x:c r="M33" s="46" t="n">
        <x:v>0.86</x:v>
      </x:c>
      <x:c r="N33" s="46" t="n">
        <x:v>0.65</x:v>
      </x:c>
      <x:c r="O33" s="46" t="n">
        <x:v>0.69</x:v>
      </x:c>
      <x:c r="P33" s="46" t="n">
        <x:v>0.45</x:v>
      </x:c>
      <x:c r="Q33" s="46" t="str">
        <x:v>relative peak area (%)</x:v>
      </x:c>
      <x:c r="R33" s="46" t="str">
        <x:v>exact_table_row_recovered</x:v>
      </x:c>
      <x:c r="S33" s="46" t="str">
        <x:v>Source does not report retention index; no RI is inferred.</x:v>
      </x:c>
    </x:row>
    <x:row r="34" ht="15" hidden="0" customHeight="1">
      <x:c r="A34" s="46" t="str">
        <x:v>DFM-033</x:v>
      </x:c>
      <x:c r="B34" s="46" t="str">
        <x:v>fish:mackerel</x:v>
      </x:c>
      <x:c r="C34" s="46" t="str">
        <x:v>family:seafood_finfish</x:v>
      </x:c>
      <x:c r="D34" s="46" t="str">
        <x:v>mackerel muscle</x:v>
      </x:c>
      <x:c r="E34" s="46" t="str">
        <x:v>Aldehydes</x:v>
      </x:c>
      <x:c r="F34" s="46" t="str">
        <x:v>苯甲醛</x:v>
      </x:c>
      <x:c r="G34" s="46" t="str">
        <x:v>benzaldehyde</x:v>
      </x:c>
      <x:c r="H34" s="46"/>
      <x:c r="I34" s="46" t="n">
        <x:v>28.442</x:v>
      </x:c>
      <x:c r="J34" s="46" t="n">
        <x:v>95</x:v>
      </x:c>
      <x:c r="K34" s="46" t="n">
        <x:v>80</x:v>
      </x:c>
      <x:c r="L34" s="46" t="str">
        <x:v>NIST 08 + WILEY 09; source rejects library similarity &lt;80/100</x:v>
      </x:c>
      <x:c r="M34" s="46" t="n">
        <x:v>0.54</x:v>
      </x:c>
      <x:c r="N34" s="46" t="n">
        <x:v>0.44</x:v>
      </x:c>
      <x:c r="O34" s="46" t="n">
        <x:v>0.68</x:v>
      </x:c>
      <x:c r="P34" s="46"/>
      <x:c r="Q34" s="46" t="str">
        <x:v>relative peak area (%)</x:v>
      </x:c>
      <x:c r="R34" s="46" t="str">
        <x:v>exact_table_row_recovered</x:v>
      </x:c>
      <x:c r="S34" s="46" t="str">
        <x:v>Source does not report retention index; no RI is inferred.</x:v>
      </x:c>
    </x:row>
    <x:row r="35" ht="15" hidden="0" customHeight="1">
      <x:c r="A35" s="46" t="str">
        <x:v>DFM-034</x:v>
      </x:c>
      <x:c r="B35" s="46" t="str">
        <x:v>fish:mackerel</x:v>
      </x:c>
      <x:c r="C35" s="46" t="str">
        <x:v>family:seafood_finfish</x:v>
      </x:c>
      <x:c r="D35" s="46" t="str">
        <x:v>mackerel muscle</x:v>
      </x:c>
      <x:c r="E35" s="46" t="str">
        <x:v>Aldehydes</x:v>
      </x:c>
      <x:c r="F35" s="46" t="str">
        <x:v>2,4-庚二烯醛</x:v>
      </x:c>
      <x:c r="G35" s="46" t="str">
        <x:v>2,4-heptadienal</x:v>
      </x:c>
      <x:c r="H35" s="46"/>
      <x:c r="I35" s="46" t="n">
        <x:v>29.308</x:v>
      </x:c>
      <x:c r="J35" s="46" t="n">
        <x:v>98</x:v>
      </x:c>
      <x:c r="K35" s="46" t="n">
        <x:v>80</x:v>
      </x:c>
      <x:c r="L35" s="46" t="str">
        <x:v>NIST 08 + WILEY 09; source rejects library similarity &lt;80/100</x:v>
      </x:c>
      <x:c r="M35" s="46" t="n">
        <x:v>1.55</x:v>
      </x:c>
      <x:c r="N35" s="46" t="n">
        <x:v>0.87</x:v>
      </x:c>
      <x:c r="O35" s="46" t="n">
        <x:v>13.26</x:v>
      </x:c>
      <x:c r="P35" s="46" t="n">
        <x:v>1.53</x:v>
      </x:c>
      <x:c r="Q35" s="46" t="str">
        <x:v>relative peak area (%)</x:v>
      </x:c>
      <x:c r="R35" s="46" t="str">
        <x:v>exact_table_row_recovered</x:v>
      </x:c>
      <x:c r="S35" s="46" t="str">
        <x:v>Source does not report retention index; no RI is inferred.</x:v>
      </x:c>
    </x:row>
    <x:row r="36" ht="15" hidden="0" customHeight="1">
      <x:c r="A36" s="46" t="str">
        <x:v>DFM-035</x:v>
      </x:c>
      <x:c r="B36" s="46" t="str">
        <x:v>fish:mackerel</x:v>
      </x:c>
      <x:c r="C36" s="46" t="str">
        <x:v>family:seafood_finfish</x:v>
      </x:c>
      <x:c r="D36" s="46" t="str">
        <x:v>mackerel muscle</x:v>
      </x:c>
      <x:c r="E36" s="46" t="str">
        <x:v>Aldehydes</x:v>
      </x:c>
      <x:c r="F36" s="46" t="str">
        <x:v>2-辛烯醛</x:v>
      </x:c>
      <x:c r="G36" s="46" t="str">
        <x:v>2-octenal</x:v>
      </x:c>
      <x:c r="H36" s="46"/>
      <x:c r="I36" s="46" t="n">
        <x:v>30.032</x:v>
      </x:c>
      <x:c r="J36" s="46" t="n">
        <x:v>97</x:v>
      </x:c>
      <x:c r="K36" s="46" t="n">
        <x:v>80</x:v>
      </x:c>
      <x:c r="L36" s="46" t="str">
        <x:v>NIST 08 + WILEY 09; source rejects library similarity &lt;80/100</x:v>
      </x:c>
      <x:c r="M36" s="46"/>
      <x:c r="N36" s="46"/>
      <x:c r="O36" s="46" t="n">
        <x:v>2.58</x:v>
      </x:c>
      <x:c r="P36" s="46" t="n">
        <x:v>0.37</x:v>
      </x:c>
      <x:c r="Q36" s="46" t="str">
        <x:v>relative peak area (%)</x:v>
      </x:c>
      <x:c r="R36" s="46" t="str">
        <x:v>exact_table_row_recovered</x:v>
      </x:c>
      <x:c r="S36" s="46" t="str">
        <x:v>Source does not report retention index; no RI is inferred.</x:v>
      </x:c>
    </x:row>
    <x:row r="37" ht="15" hidden="0" customHeight="1">
      <x:c r="A37" s="46" t="str">
        <x:v>DFM-036</x:v>
      </x:c>
      <x:c r="B37" s="46" t="str">
        <x:v>fish:mackerel</x:v>
      </x:c>
      <x:c r="C37" s="46" t="str">
        <x:v>family:seafood_finfish</x:v>
      </x:c>
      <x:c r="D37" s="46" t="str">
        <x:v>mackerel muscle</x:v>
      </x:c>
      <x:c r="E37" s="46" t="str">
        <x:v>Aldehydes</x:v>
      </x:c>
      <x:c r="F37" s="46" t="str">
        <x:v>壬醛</x:v>
      </x:c>
      <x:c r="G37" s="46" t="str">
        <x:v>nonanal</x:v>
      </x:c>
      <x:c r="H37" s="46"/>
      <x:c r="I37" s="46" t="n">
        <x:v>31.667</x:v>
      </x:c>
      <x:c r="J37" s="46" t="n">
        <x:v>95</x:v>
      </x:c>
      <x:c r="K37" s="46" t="n">
        <x:v>80</x:v>
      </x:c>
      <x:c r="L37" s="46" t="str">
        <x:v>NIST 08 + WILEY 09; source rejects library similarity &lt;80/100</x:v>
      </x:c>
      <x:c r="M37" s="46" t="n">
        <x:v>1.71</x:v>
      </x:c>
      <x:c r="N37" s="46" t="n">
        <x:v>2.63</x:v>
      </x:c>
      <x:c r="O37" s="46" t="n">
        <x:v>1.41</x:v>
      </x:c>
      <x:c r="P37" s="46"/>
      <x:c r="Q37" s="46" t="str">
        <x:v>relative peak area (%)</x:v>
      </x:c>
      <x:c r="R37" s="46" t="str">
        <x:v>exact_table_row_recovered</x:v>
      </x:c>
      <x:c r="S37" s="46" t="str">
        <x:v>Source does not report retention index; no RI is inferred.</x:v>
      </x:c>
    </x:row>
    <x:row r="38" ht="15" hidden="0" customHeight="1">
      <x:c r="A38" s="46" t="str">
        <x:v>DFM-037</x:v>
      </x:c>
      <x:c r="B38" s="46" t="str">
        <x:v>fish:mackerel</x:v>
      </x:c>
      <x:c r="C38" s="46" t="str">
        <x:v>family:seafood_finfish</x:v>
      </x:c>
      <x:c r="D38" s="46" t="str">
        <x:v>mackerel muscle</x:v>
      </x:c>
      <x:c r="E38" s="46" t="str">
        <x:v>Aldehydes</x:v>
      </x:c>
      <x:c r="F38" s="46" t="str">
        <x:v>2,4,4-三甲基戊醛</x:v>
      </x:c>
      <x:c r="G38" s="46" t="str">
        <x:v>2,4,4-trimethylpentanal</x:v>
      </x:c>
      <x:c r="H38" s="46"/>
      <x:c r="I38" s="46" t="n">
        <x:v>32.525</x:v>
      </x:c>
      <x:c r="J38" s="46" t="n">
        <x:v>89</x:v>
      </x:c>
      <x:c r="K38" s="46" t="n">
        <x:v>80</x:v>
      </x:c>
      <x:c r="L38" s="46" t="str">
        <x:v>NIST 08 + WILEY 09; source rejects library similarity &lt;80/100</x:v>
      </x:c>
      <x:c r="M38" s="46"/>
      <x:c r="N38" s="46"/>
      <x:c r="O38" s="46" t="n">
        <x:v>0.2</x:v>
      </x:c>
      <x:c r="P38" s="46" t="n">
        <x:v>0.44</x:v>
      </x:c>
      <x:c r="Q38" s="46" t="str">
        <x:v>relative peak area (%)</x:v>
      </x:c>
      <x:c r="R38" s="46" t="str">
        <x:v>exact_table_row_recovered</x:v>
      </x:c>
      <x:c r="S38" s="46" t="str">
        <x:v>Source does not report retention index; no RI is inferred.</x:v>
      </x:c>
    </x:row>
    <x:row r="39" ht="15" hidden="0" customHeight="1">
      <x:c r="A39" s="46" t="str">
        <x:v>DFM-038</x:v>
      </x:c>
      <x:c r="B39" s="46" t="str">
        <x:v>fish:mackerel</x:v>
      </x:c>
      <x:c r="C39" s="46" t="str">
        <x:v>family:seafood_finfish</x:v>
      </x:c>
      <x:c r="D39" s="46" t="str">
        <x:v>mackerel muscle</x:v>
      </x:c>
      <x:c r="E39" s="46" t="str">
        <x:v>Aldehydes</x:v>
      </x:c>
      <x:c r="F39" s="46" t="str">
        <x:v>2-壬烯醛</x:v>
      </x:c>
      <x:c r="G39" s="46" t="str">
        <x:v>2-nonenal</x:v>
      </x:c>
      <x:c r="H39" s="46"/>
      <x:c r="I39" s="46" t="n">
        <x:v>33.863</x:v>
      </x:c>
      <x:c r="J39" s="46" t="n">
        <x:v>97</x:v>
      </x:c>
      <x:c r="K39" s="46" t="n">
        <x:v>80</x:v>
      </x:c>
      <x:c r="L39" s="46" t="str">
        <x:v>NIST 08 + WILEY 09; source rejects library similarity &lt;80/100</x:v>
      </x:c>
      <x:c r="M39" s="46"/>
      <x:c r="N39" s="46"/>
      <x:c r="O39" s="46" t="n">
        <x:v>1.54</x:v>
      </x:c>
      <x:c r="P39" s="46" t="n">
        <x:v>0.5</x:v>
      </x:c>
      <x:c r="Q39" s="46" t="str">
        <x:v>relative peak area (%)</x:v>
      </x:c>
      <x:c r="R39" s="46" t="str">
        <x:v>exact_table_row_recovered</x:v>
      </x:c>
      <x:c r="S39" s="46" t="str">
        <x:v>Source does not report retention index; no RI is inferred.</x:v>
      </x:c>
    </x:row>
    <x:row r="40" ht="15" hidden="0" customHeight="1">
      <x:c r="A40" s="46" t="str">
        <x:v>DFM-039</x:v>
      </x:c>
      <x:c r="B40" s="46" t="str">
        <x:v>fish:mackerel</x:v>
      </x:c>
      <x:c r="C40" s="46" t="str">
        <x:v>family:seafood_finfish</x:v>
      </x:c>
      <x:c r="D40" s="46" t="str">
        <x:v>mackerel muscle</x:v>
      </x:c>
      <x:c r="E40" s="46" t="str">
        <x:v>Aldehydes</x:v>
      </x:c>
      <x:c r="F40" s="46" t="str">
        <x:v>2-癸烯醛</x:v>
      </x:c>
      <x:c r="G40" s="46" t="str">
        <x:v>2-decenal</x:v>
      </x:c>
      <x:c r="H40" s="46"/>
      <x:c r="I40" s="46" t="n">
        <x:v>36.996</x:v>
      </x:c>
      <x:c r="J40" s="46" t="n">
        <x:v>96</x:v>
      </x:c>
      <x:c r="K40" s="46" t="n">
        <x:v>80</x:v>
      </x:c>
      <x:c r="L40" s="46" t="str">
        <x:v>NIST 08 + WILEY 09; source rejects library similarity &lt;80/100</x:v>
      </x:c>
      <x:c r="M40" s="46"/>
      <x:c r="N40" s="46"/>
      <x:c r="O40" s="46" t="n">
        <x:v>1.4</x:v>
      </x:c>
      <x:c r="P40" s="46" t="n">
        <x:v>2.4</x:v>
      </x:c>
      <x:c r="Q40" s="46" t="str">
        <x:v>relative peak area (%)</x:v>
      </x:c>
      <x:c r="R40" s="46" t="str">
        <x:v>exact_table_row_recovered</x:v>
      </x:c>
      <x:c r="S40" s="46" t="str">
        <x:v>Source does not report retention index; no RI is inferred.</x:v>
      </x:c>
    </x:row>
    <x:row r="41" ht="15" hidden="0" customHeight="1">
      <x:c r="A41" s="46" t="str">
        <x:v>DFM-040</x:v>
      </x:c>
      <x:c r="B41" s="46" t="str">
        <x:v>fish:mackerel</x:v>
      </x:c>
      <x:c r="C41" s="46" t="str">
        <x:v>family:seafood_finfish</x:v>
      </x:c>
      <x:c r="D41" s="46" t="str">
        <x:v>mackerel muscle</x:v>
      </x:c>
      <x:c r="E41" s="46" t="str">
        <x:v>Aldehydes</x:v>
      </x:c>
      <x:c r="F41" s="46" t="str">
        <x:v>2,4-癸二烯醛</x:v>
      </x:c>
      <x:c r="G41" s="46" t="str">
        <x:v>2,4-decadienal</x:v>
      </x:c>
      <x:c r="H41" s="46"/>
      <x:c r="I41" s="46" t="n">
        <x:v>38.275</x:v>
      </x:c>
      <x:c r="J41" s="46" t="n">
        <x:v>99</x:v>
      </x:c>
      <x:c r="K41" s="46" t="n">
        <x:v>80</x:v>
      </x:c>
      <x:c r="L41" s="46" t="str">
        <x:v>NIST 08 + WILEY 09; source rejects library similarity &lt;80/100</x:v>
      </x:c>
      <x:c r="M41" s="46"/>
      <x:c r="N41" s="46"/>
      <x:c r="O41" s="46" t="n">
        <x:v>2.86</x:v>
      </x:c>
      <x:c r="P41" s="46" t="n">
        <x:v>4.25</x:v>
      </x:c>
      <x:c r="Q41" s="46" t="str">
        <x:v>relative peak area (%)</x:v>
      </x:c>
      <x:c r="R41" s="46" t="str">
        <x:v>exact_table_row_recovered</x:v>
      </x:c>
      <x:c r="S41" s="46" t="str">
        <x:v>Source does not report retention index; no RI is inferred.</x:v>
      </x:c>
    </x:row>
    <x:row r="42" ht="15" hidden="0" customHeight="1">
      <x:c r="A42" s="46" t="str">
        <x:v>DFM-041</x:v>
      </x:c>
      <x:c r="B42" s="46" t="str">
        <x:v>fish:mackerel</x:v>
      </x:c>
      <x:c r="C42" s="46" t="str">
        <x:v>family:seafood_finfish</x:v>
      </x:c>
      <x:c r="D42" s="46" t="str">
        <x:v>mackerel muscle</x:v>
      </x:c>
      <x:c r="E42" s="46" t="str">
        <x:v>Aldehydes</x:v>
      </x:c>
      <x:c r="F42" s="46" t="str">
        <x:v>2-十一烯醛</x:v>
      </x:c>
      <x:c r="G42" s="46" t="str">
        <x:v>2-undecenal</x:v>
      </x:c>
      <x:c r="H42" s="46"/>
      <x:c r="I42" s="46" t="n">
        <x:v>39.953</x:v>
      </x:c>
      <x:c r="J42" s="46" t="n">
        <x:v>95</x:v>
      </x:c>
      <x:c r="K42" s="46" t="n">
        <x:v>80</x:v>
      </x:c>
      <x:c r="L42" s="46" t="str">
        <x:v>NIST 08 + WILEY 09; source rejects library similarity &lt;80/100</x:v>
      </x:c>
      <x:c r="M42" s="46"/>
      <x:c r="N42" s="46"/>
      <x:c r="O42" s="46" t="n">
        <x:v>0.46</x:v>
      </x:c>
      <x:c r="P42" s="46" t="n">
        <x:v>2.11</x:v>
      </x:c>
      <x:c r="Q42" s="46" t="str">
        <x:v>relative peak area (%)</x:v>
      </x:c>
      <x:c r="R42" s="46" t="str">
        <x:v>exact_table_row_recovered</x:v>
      </x:c>
      <x:c r="S42" s="46" t="str">
        <x:v>Source does not report retention index; no RI is inferred.</x:v>
      </x:c>
    </x:row>
    <x:row r="43" ht="15" hidden="0" customHeight="1">
      <x:c r="A43" s="46" t="str">
        <x:v>DFM-042</x:v>
      </x:c>
      <x:c r="B43" s="46" t="str">
        <x:v>fish:mackerel</x:v>
      </x:c>
      <x:c r="C43" s="46" t="str">
        <x:v>family:seafood_finfish</x:v>
      </x:c>
      <x:c r="D43" s="46" t="str">
        <x:v>mackerel muscle</x:v>
      </x:c>
      <x:c r="E43" s="46" t="str">
        <x:v>Aldehydes</x:v>
      </x:c>
      <x:c r="F43" s="46" t="str">
        <x:v>十二烷醛</x:v>
      </x:c>
      <x:c r="G43" s="46" t="str">
        <x:v>dodecanal</x:v>
      </x:c>
      <x:c r="H43" s="46"/>
      <x:c r="I43" s="46" t="n">
        <x:v>40.892</x:v>
      </x:c>
      <x:c r="J43" s="46" t="n">
        <x:v>87</x:v>
      </x:c>
      <x:c r="K43" s="46" t="n">
        <x:v>80</x:v>
      </x:c>
      <x:c r="L43" s="46" t="str">
        <x:v>NIST 08 + WILEY 09; source rejects library similarity &lt;80/100</x:v>
      </x:c>
      <x:c r="M43" s="46"/>
      <x:c r="N43" s="46"/>
      <x:c r="O43" s="46"/>
      <x:c r="P43" s="46" t="n">
        <x:v>0.38</x:v>
      </x:c>
      <x:c r="Q43" s="46" t="str">
        <x:v>relative peak area (%)</x:v>
      </x:c>
      <x:c r="R43" s="46" t="str">
        <x:v>exact_table_row_recovered</x:v>
      </x:c>
      <x:c r="S43" s="46" t="str">
        <x:v>Source does not report retention index; no RI is inferred.</x:v>
      </x:c>
    </x:row>
    <x:row r="44" ht="15" hidden="0" customHeight="1">
      <x:c r="A44" s="46" t="str">
        <x:v>DFM-043</x:v>
      </x:c>
      <x:c r="B44" s="46" t="str">
        <x:v>fish:mackerel</x:v>
      </x:c>
      <x:c r="C44" s="46" t="str">
        <x:v>family:seafood_finfish</x:v>
      </x:c>
      <x:c r="D44" s="46" t="str">
        <x:v>mackerel muscle</x:v>
      </x:c>
      <x:c r="E44" s="46" t="str">
        <x:v>Aldehydes</x:v>
      </x:c>
      <x:c r="F44" s="46" t="str">
        <x:v>9,12,15-十八碳三烯醛</x:v>
      </x:c>
      <x:c r="G44" s="46" t="str">
        <x:v>9,12,15-octadecatrienal</x:v>
      </x:c>
      <x:c r="H44" s="46"/>
      <x:c r="I44" s="46" t="n">
        <x:v>44.875</x:v>
      </x:c>
      <x:c r="J44" s="46" t="n">
        <x:v>86</x:v>
      </x:c>
      <x:c r="K44" s="46" t="n">
        <x:v>80</x:v>
      </x:c>
      <x:c r="L44" s="46" t="str">
        <x:v>NIST 08 + WILEY 09; source rejects library similarity &lt;80/100</x:v>
      </x:c>
      <x:c r="M44" s="46"/>
      <x:c r="N44" s="46"/>
      <x:c r="O44" s="46"/>
      <x:c r="P44" s="46" t="n">
        <x:v>0.31</x:v>
      </x:c>
      <x:c r="Q44" s="46" t="str">
        <x:v>relative peak area (%)</x:v>
      </x:c>
      <x:c r="R44" s="46" t="str">
        <x:v>exact_table_row_recovered</x:v>
      </x:c>
      <x:c r="S44" s="46" t="str">
        <x:v>Source does not report retention index; no RI is inferred.</x:v>
      </x:c>
    </x:row>
  </x:sheetData>
  <x:pageMargins left="0.7" right="0.7" top="0.75" bottom="0.75" header="0.3" footer="0.3"/>
  <x:tableParts count="1">
    <x:tablePart xmlns:r="http://schemas.openxmlformats.org/officeDocument/2006/relationships" r:id="R41b9083e8b7c4105"/>
  </x:tableParts>
</x:worksheet>
</file>

<file path=xl/worksheets/sheet6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s>
  <x:sheetData>
    <x:row r="1" ht="15" hidden="0" customHeight="1">
      <x:c r="A1" s="177" t="str">
        <x:v>compound_class</x:v>
      </x:c>
      <x:c r="B1" s="177" t="str">
        <x:v>raw_white_count</x:v>
      </x:c>
      <x:c r="C1" s="177" t="str">
        <x:v>raw_white_pct</x:v>
      </x:c>
      <x:c r="D1" s="177" t="str">
        <x:v>heated_white_count</x:v>
      </x:c>
      <x:c r="E1" s="177" t="str">
        <x:v>heated_white_pct</x:v>
      </x:c>
      <x:c r="F1" s="177" t="str">
        <x:v>raw_red_count</x:v>
      </x:c>
      <x:c r="G1" s="177" t="str">
        <x:v>raw_red_pct</x:v>
      </x:c>
      <x:c r="H1" s="177" t="str">
        <x:v>heated_red_count</x:v>
      </x:c>
      <x:c r="I1" s="177" t="str">
        <x:v>heated_red_pct</x:v>
      </x:c>
    </x:row>
    <x:row r="2" ht="15" hidden="0" customHeight="1">
      <x:c r="A2" s="46" t="str">
        <x:v>Hydrocarbons</x:v>
      </x:c>
      <x:c r="B2" s="46" t="n">
        <x:v>13</x:v>
      </x:c>
      <x:c r="C2" s="46" t="n">
        <x:v>69.28</x:v>
      </x:c>
      <x:c r="D2" s="46" t="n">
        <x:v>13</x:v>
      </x:c>
      <x:c r="E2" s="46" t="n">
        <x:v>51.18</x:v>
      </x:c>
      <x:c r="F2" s="46" t="n">
        <x:v>10</x:v>
      </x:c>
      <x:c r="G2" s="46" t="n">
        <x:v>33.01</x:v>
      </x:c>
      <x:c r="H2" s="46" t="n">
        <x:v>17</x:v>
      </x:c>
      <x:c r="I2" s="46" t="n">
        <x:v>52.01</x:v>
      </x:c>
    </x:row>
    <x:row r="3" ht="15" hidden="0" customHeight="1">
      <x:c r="A3" s="46" t="str">
        <x:v>Aldehydes</x:v>
      </x:c>
      <x:c r="B3" s="46" t="n">
        <x:v>6</x:v>
      </x:c>
      <x:c r="C3" s="46" t="n">
        <x:v>8.7</x:v>
      </x:c>
      <x:c r="D3" s="46" t="n">
        <x:v>7</x:v>
      </x:c>
      <x:c r="E3" s="46" t="n">
        <x:v>8.67</x:v>
      </x:c>
      <x:c r="F3" s="46" t="n">
        <x:v>15</x:v>
      </x:c>
      <x:c r="G3" s="46" t="n">
        <x:v>34.38</x:v>
      </x:c>
      <x:c r="H3" s="46" t="n">
        <x:v>15</x:v>
      </x:c>
      <x:c r="I3" s="46" t="n">
        <x:v>15.37</x:v>
      </x:c>
    </x:row>
    <x:row r="4" ht="15" hidden="0" customHeight="1">
      <x:c r="A4" s="46" t="str">
        <x:v>Ketones</x:v>
      </x:c>
      <x:c r="B4" s="46" t="n">
        <x:v>3</x:v>
      </x:c>
      <x:c r="C4" s="46" t="n">
        <x:v>5.77</x:v>
      </x:c>
      <x:c r="D4" s="46" t="n">
        <x:v>3</x:v>
      </x:c>
      <x:c r="E4" s="46" t="n">
        <x:v>5.35</x:v>
      </x:c>
      <x:c r="F4" s="46" t="n">
        <x:v>5</x:v>
      </x:c>
      <x:c r="G4" s="46" t="n">
        <x:v>13.55</x:v>
      </x:c>
      <x:c r="H4" s="46" t="n">
        <x:v>6</x:v>
      </x:c>
      <x:c r="I4" s="46" t="n">
        <x:v>15.18</x:v>
      </x:c>
    </x:row>
    <x:row r="5" ht="15" hidden="0" customHeight="1">
      <x:c r="A5" s="46" t="str">
        <x:v>Alcohols</x:v>
      </x:c>
      <x:c r="B5" s="46" t="n">
        <x:v>4</x:v>
      </x:c>
      <x:c r="C5" s="46" t="n">
        <x:v>8.88</x:v>
      </x:c>
      <x:c r="D5" s="46" t="n">
        <x:v>6</x:v>
      </x:c>
      <x:c r="E5" s="46" t="n">
        <x:v>8.45</x:v>
      </x:c>
      <x:c r="F5" s="46" t="n">
        <x:v>5</x:v>
      </x:c>
      <x:c r="G5" s="46" t="n">
        <x:v>10.72</x:v>
      </x:c>
      <x:c r="H5" s="46" t="n">
        <x:v>2</x:v>
      </x:c>
      <x:c r="I5" s="46" t="n">
        <x:v>2.97</x:v>
      </x:c>
    </x:row>
    <x:row r="6" ht="15" hidden="0" customHeight="1">
      <x:c r="A6" s="46" t="str">
        <x:v>Acids</x:v>
      </x:c>
      <x:c r="B6" s="46" t="n">
        <x:v>0</x:v>
      </x:c>
      <x:c r="C6" s="46" t="n">
        <x:v>0</x:v>
      </x:c>
      <x:c r="D6" s="46" t="n">
        <x:v>0</x:v>
      </x:c>
      <x:c r="E6" s="46" t="n">
        <x:v>0</x:v>
      </x:c>
      <x:c r="F6" s="46" t="n">
        <x:v>2</x:v>
      </x:c>
      <x:c r="G6" s="46" t="n">
        <x:v>0.87</x:v>
      </x:c>
      <x:c r="H6" s="46" t="n">
        <x:v>5</x:v>
      </x:c>
      <x:c r="I6" s="46" t="n">
        <x:v>2.56</x:v>
      </x:c>
    </x:row>
    <x:row r="7" ht="15" hidden="0" customHeight="1">
      <x:c r="A7" s="46" t="str">
        <x:v>Other</x:v>
      </x:c>
      <x:c r="B7" s="46" t="n">
        <x:v>6</x:v>
      </x:c>
      <x:c r="C7" s="46" t="n">
        <x:v>3.88</x:v>
      </x:c>
      <x:c r="D7" s="46" t="n">
        <x:v>10</x:v>
      </x:c>
      <x:c r="E7" s="46" t="n">
        <x:v>26.09</x:v>
      </x:c>
      <x:c r="F7" s="46" t="n">
        <x:v>4</x:v>
      </x:c>
      <x:c r="G7" s="46" t="n">
        <x:v>6.11</x:v>
      </x:c>
      <x:c r="H7" s="46" t="n">
        <x:v>7</x:v>
      </x:c>
      <x:c r="I7" s="46" t="n">
        <x:v>11.76</x:v>
      </x:c>
    </x:row>
    <x:row r="8" ht="15" hidden="0" customHeight="1">
      <x:c r="A8" s="46" t="str">
        <x:v>TOTAL SOURCE DETECTIONS</x:v>
      </x:c>
      <x:c r="B8" s="46" t="n">
        <x:v>32</x:v>
      </x:c>
      <x:c r="C8" s="46"/>
      <x:c r="D8" s="46" t="n">
        <x:v>39</x:v>
      </x:c>
      <x:c r="E8" s="46"/>
      <x:c r="F8" s="46" t="n">
        <x:v>41</x:v>
      </x:c>
      <x:c r="G8" s="46"/>
      <x:c r="H8" s="46" t="n">
        <x:v>52</x:v>
      </x:c>
      <x:c r="I8" s="46"/>
    </x:row>
  </x:sheetData>
  <x:pageMargins left="0.7" right="0.7" top="0.75" bottom="0.75" header="0.3" footer="0.3"/>
  <x:tableParts count="1">
    <x:tablePart xmlns:r="http://schemas.openxmlformats.org/officeDocument/2006/relationships" r:id="Rdb5f1205d89d444e"/>
  </x:tableParts>
</x:worksheet>
</file>

<file path=xl/worksheets/sheet64.xml><?xml version="1.0" encoding="utf-8"?>
<x:worksheet xmlns:x="http://schemas.openxmlformats.org/spreadsheetml/2006/main">
  <x:sheetFormatPr defaultRowHeight="15"/>
  <x:cols>
    <x:col min="1" max="1" width="30" hidden="0" customWidth="1"/>
    <x:col min="2" max="2" width="70" hidden="0" customWidth="1"/>
    <x:col min="3" max="3" width="24" hidden="0" customWidth="1"/>
    <x:col min="4" max="4" width="32" hidden="0" customWidth="1"/>
    <x:col min="5" max="5" width="28" hidden="0" customWidth="1"/>
    <x:col min="6" max="6" width="30" hidden="0" customWidth="1"/>
    <x:col min="7" max="7" width="68" hidden="0" customWidth="1"/>
  </x:cols>
  <x:sheetData>
    <x:row r="1" ht="15" hidden="0" customHeight="1">
      <x:c r="A1" s="177" t="str">
        <x:v>compound_name</x:v>
      </x:c>
      <x:c r="B1" s="177" t="str">
        <x:v>source_observation</x:v>
      </x:c>
      <x:c r="C1" s="177" t="str">
        <x:v>state_scope</x:v>
      </x:c>
      <x:c r="D1" s="177" t="str">
        <x:v>architecture_role</x:v>
      </x:c>
      <x:c r="E1" s="177" t="str">
        <x:v>evidence_quality</x:v>
      </x:c>
      <x:c r="F1" s="177" t="str">
        <x:v>source_id</x:v>
      </x:c>
      <x:c r="G1" s="177" t="str">
        <x:v>notes</x:v>
      </x:c>
    </x:row>
    <x:row r="2" ht="26.399999618530273" hidden="0" customHeight="1">
      <x:c r="A2" s="46" t="str">
        <x:v>3,5-octadien-2-one</x:v>
      </x:c>
      <x:c r="B2" s="46" t="str">
        <x:v>Named as a major fishy ketone; source states ketone identities change with heating while total ketone abundance changes less dramatically.</x:v>
      </x:c>
      <x:c r="C2" s="46" t="str">
        <x:v>raw/heated mackerel</x:v>
      </x:c>
      <x:c r="D2" s="46" t="str">
        <x:v>red-muscle lipid-oxidation marker</x:v>
      </x:c>
      <x:c r="E2" s="46" t="str">
        <x:v>direct_primary_discussion</x:v>
      </x:c>
      <x:c r="F2" s="46" t="str">
        <x:v>SRC-FISH-MACKEREL-HEAT-001</x:v>
      </x:c>
      <x:c r="G2" s="46" t="str">
        <x:v>Exact complete Table-2 row not entered because the indexed primary text does not expose all row cells reliably.</x:v>
      </x:c>
    </x:row>
    <x:row r="3" ht="26.399999618530273" hidden="0" customHeight="1">
      <x:c r="A3" s="46" t="str">
        <x:v>1-penten-3-ol</x:v>
      </x:c>
      <x:c r="B3" s="46" t="str">
        <x:v>5.21% in raw red muscle; not detected after heating; described as a component of mackerel fishy odor.</x:v>
      </x:c>
      <x:c r="C3" s="46" t="str">
        <x:v>raw red muscle</x:v>
      </x:c>
      <x:c r="D3" s="46" t="str">
        <x:v>red-muscle-specific state delta</x:v>
      </x:c>
      <x:c r="E3" s="46" t="str">
        <x:v>direct_primary_discussion</x:v>
      </x:c>
      <x:c r="F3" s="46" t="str">
        <x:v>SRC-FISH-MACKEREL-HEAT-001</x:v>
      </x:c>
      <x:c r="G3" s="46" t="str">
        <x:v>Presence/absence delta is real in this experiment; do not convert it into a universal fatty-fish marker.</x:v>
      </x:c>
    </x:row>
    <x:row r="4" ht="26.399999618530273" hidden="0" customHeight="1">
      <x:c r="A4" s="46" t="str">
        <x:v>1-octen-3-ol</x:v>
      </x:c>
      <x:c r="B4" s="46" t="str">
        <x:v>3.38% in raw red muscle; not detected after heating; low odor threshold noted by source.</x:v>
      </x:c>
      <x:c r="C4" s="46" t="str">
        <x:v>raw red muscle</x:v>
      </x:c>
      <x:c r="D4" s="46" t="str">
        <x:v>red-muscle-specific state delta</x:v>
      </x:c>
      <x:c r="E4" s="46" t="str">
        <x:v>direct_primary_discussion</x:v>
      </x:c>
      <x:c r="F4" s="46" t="str">
        <x:v>SRC-FISH-MACKEREL-HEAT-001</x:v>
      </x:c>
      <x:c r="G4" s="46" t="str">
        <x:v>Shows that heating can erase a meaningful red-muscle odorant rather than only change concentration.</x:v>
      </x:c>
    </x:row>
    <x:row r="5" ht="26.399999618530273" hidden="0" customHeight="1">
      <x:c r="A5" s="46" t="str">
        <x:v>2-ethylfuran</x:v>
      </x:c>
      <x:c r="B5" s="46" t="str">
        <x:v>Source states furan abundance increases with heating and identifies 2-ethylfuran as important to cooked/roasted aroma.</x:v>
      </x:c>
      <x:c r="C5" s="46" t="str">
        <x:v>heated mackerel</x:v>
      </x:c>
      <x:c r="D5" s="46" t="str">
        <x:v>thermal overlay</x:v>
      </x:c>
      <x:c r="E5" s="46" t="str">
        <x:v>direct_primary_discussion</x:v>
      </x:c>
      <x:c r="F5" s="46" t="str">
        <x:v>SRC-FISH-MACKEREL-HEAT-001</x:v>
      </x:c>
      <x:c r="G5" s="46" t="str">
        <x:v>Positive culinary thermal evidence.</x:v>
      </x:c>
    </x:row>
    <x:row r="6" ht="26.399999618530273" hidden="0" customHeight="1">
      <x:c r="A6" s="46" t="str">
        <x:v>2-pentylfuran</x:v>
      </x:c>
      <x:c r="B6" s="46" t="str">
        <x:v>Source states furan abundance increases with heating and identifies 2-pentylfuran as important to cooked/roasted aroma.</x:v>
      </x:c>
      <x:c r="C6" s="46" t="str">
        <x:v>heated mackerel</x:v>
      </x:c>
      <x:c r="D6" s="46" t="str">
        <x:v>thermal overlay</x:v>
      </x:c>
      <x:c r="E6" s="46" t="str">
        <x:v>direct_primary_discussion</x:v>
      </x:c>
      <x:c r="F6" s="46" t="str">
        <x:v>SRC-FISH-MACKEREL-HEAT-001</x:v>
      </x:c>
      <x:c r="G6" s="46" t="str">
        <x:v>Recurrent fish/meat thermal-lipid compound; still retain member/state provenance.</x:v>
      </x:c>
    </x:row>
    <x:row r="7" ht="26.399999618530273" hidden="0" customHeight="1">
      <x:c r="A7" s="46" t="str">
        <x:v>trimethylamine</x:v>
      </x:c>
      <x:c r="B7" s="46" t="str">
        <x:v>16.56% in heated white muscle; source treats it as a characteristic fishy compound.</x:v>
      </x:c>
      <x:c r="C7" s="46" t="str">
        <x:v>heated white mackerel</x:v>
      </x:c>
      <x:c r="D7" s="46" t="str">
        <x:v>freshness/fishy context caution</x:v>
      </x:c>
      <x:c r="E7" s="46" t="str">
        <x:v>direct_primary_discussion</x:v>
      </x:c>
      <x:c r="F7" s="46" t="str">
        <x:v>SRC-FISH-MACKEREL-HEAT-001</x:v>
      </x:c>
      <x:c r="G7" s="46" t="str">
        <x:v>Stored analytically under MR-14; not promoted as a positive pairing driver solely because it is abundant.</x:v>
      </x:c>
    </x:row>
    <x:row r="8" ht="26.399999618530273" hidden="0" customHeight="1">
      <x:c r="A8" s="46" t="str">
        <x:v>2,5-dimethylpyrazine</x:v>
      </x:c>
      <x:c r="B8" s="46" t="str">
        <x:v>Source discussion identifies it as a low-threshold roasted/meaty pyrazine formed in thermal chemistry.</x:v>
      </x:c>
      <x:c r="C8" s="46" t="str">
        <x:v>heated mackerel</x:v>
      </x:c>
      <x:c r="D8" s="46" t="str">
        <x:v>thermal Maillard overlay</x:v>
      </x:c>
      <x:c r="E8" s="46" t="str">
        <x:v>direct_primary_discussion</x:v>
      </x:c>
      <x:c r="F8" s="46" t="str">
        <x:v>SRC-FISH-MACKEREL-HEAT-001</x:v>
      </x:c>
      <x:c r="G8" s="46" t="str">
        <x:v>Supports shared thermal transformation logic across protein families without implying identical abundance.</x:v>
      </x:c>
    </x:row>
  </x:sheetData>
  <x:pageMargins left="0.7" right="0.7" top="0.75" bottom="0.75" header="0.3" footer="0.3"/>
  <x:tableParts count="1">
    <x:tablePart xmlns:r="http://schemas.openxmlformats.org/officeDocument/2006/relationships" r:id="R9af550ffc6c64761"/>
  </x:tableParts>
</x:worksheet>
</file>

<file path=xl/worksheets/sheet65.xml><?xml version="1.0" encoding="utf-8"?>
<x:worksheet xmlns:x="http://schemas.openxmlformats.org/spreadsheetml/2006/main">
  <x:sheetFormatPr defaultRowHeight="15"/>
  <x:cols>
    <x:col min="1" max="1" width="15" hidden="0" customWidth="1"/>
    <x:col min="2" max="2" width="22" hidden="0" customWidth="1"/>
    <x:col min="3" max="3" width="18" hidden="0" customWidth="1"/>
    <x:col min="4" max="4" width="34" hidden="0" customWidth="1"/>
    <x:col min="5" max="5" width="24" hidden="0" customWidth="1"/>
    <x:col min="6" max="6" width="24" hidden="0" customWidth="1"/>
    <x:col min="7" max="7" width="26" hidden="0" customWidth="1"/>
    <x:col min="8" max="8" width="32" hidden="0" customWidth="1"/>
    <x:col min="9" max="9" width="30" hidden="0" customWidth="1"/>
    <x:col min="10" max="10" width="68" hidden="0" customWidth="1"/>
  </x:cols>
  <x:sheetData>
    <x:row r="1" ht="26.399999618530273" hidden="0" customHeight="1">
      <x:c r="A1" s="177" t="str">
        <x:v>record_id</x:v>
      </x:c>
      <x:c r="B1" s="177" t="str">
        <x:v>product_id</x:v>
      </x:c>
      <x:c r="C1" s="177" t="str">
        <x:v>species_role</x:v>
      </x:c>
      <x:c r="D1" s="177" t="str">
        <x:v>compound_name</x:v>
      </x:c>
      <x:c r="E1" s="177" t="str">
        <x:v>fresh_boiled_salmon_character_impact</x:v>
      </x:c>
      <x:c r="F1" s="177" t="str">
        <x:v>fresh_boiled_cod_character_impact</x:v>
      </x:c>
      <x:c r="G1" s="177" t="str">
        <x:v>cross_member_status</x:v>
      </x:c>
      <x:c r="H1" s="177" t="str">
        <x:v>sensory_evidence</x:v>
      </x:c>
      <x:c r="I1" s="177" t="str">
        <x:v>source_id</x:v>
      </x:c>
      <x:c r="J1" s="177" t="str">
        <x:v>notes</x:v>
      </x:c>
    </x:row>
    <x:row r="2" ht="15" hidden="0" customHeight="1">
      <x:c r="A2" s="46" t="str">
        <x:v>FCS-001</x:v>
      </x:c>
      <x:c r="B2" s="46" t="str">
        <x:v>family:finfish</x:v>
      </x:c>
      <x:c r="C2" s="46" t="str">
        <x:v>shared</x:v>
      </x:c>
      <x:c r="D2" s="46" t="str">
        <x:v>(Z)-1,5-octadien-3-one</x:v>
      </x:c>
      <x:c r="E2" s="46" t="str">
        <x:v>yes</x:v>
      </x:c>
      <x:c r="F2" s="46" t="str">
        <x:v>yes</x:v>
      </x:c>
      <x:c r="G2" s="46" t="str">
        <x:v>shared_key_odorant</x:v>
      </x:c>
      <x:c r="H2" s="46" t="str">
        <x:v>stable isotope dilution + OAV</x:v>
      </x:c>
      <x:c r="I2" s="46" t="str">
        <x:v>SRC-FISH-COD-SALMON-GCO-001</x:v>
      </x:c>
      <x:c r="J2" s="46" t="str">
        <x:v>Character-impact odorant in both fresh-control boiled salmon and cod.</x:v>
      </x:c>
    </x:row>
    <x:row r="3" ht="15" hidden="0" customHeight="1">
      <x:c r="A3" s="46" t="str">
        <x:v>FCS-002</x:v>
      </x:c>
      <x:c r="B3" s="46" t="str">
        <x:v>family:finfish</x:v>
      </x:c>
      <x:c r="C3" s="46" t="str">
        <x:v>shared</x:v>
      </x:c>
      <x:c r="D3" s="46" t="str">
        <x:v>(E,Z)-2,6-nonadienal</x:v>
      </x:c>
      <x:c r="E3" s="46" t="str">
        <x:v>yes</x:v>
      </x:c>
      <x:c r="F3" s="46" t="str">
        <x:v>yes</x:v>
      </x:c>
      <x:c r="G3" s="46" t="str">
        <x:v>shared_key_odorant</x:v>
      </x:c>
      <x:c r="H3" s="46" t="str">
        <x:v>stable isotope dilution + OAV</x:v>
      </x:c>
      <x:c r="I3" s="46" t="str">
        <x:v>SRC-FISH-COD-SALMON-GCO-001</x:v>
      </x:c>
      <x:c r="J3" s="46" t="str">
        <x:v>Character-impact odorant in both fresh-control boiled salmon and cod.</x:v>
      </x:c>
    </x:row>
    <x:row r="4" ht="15" hidden="0" customHeight="1">
      <x:c r="A4" s="46" t="str">
        <x:v>FCS-003</x:v>
      </x:c>
      <x:c r="B4" s="46" t="str">
        <x:v>family:finfish</x:v>
      </x:c>
      <x:c r="C4" s="46" t="str">
        <x:v>shared</x:v>
      </x:c>
      <x:c r="D4" s="46" t="str">
        <x:v>acetaldehyde</x:v>
      </x:c>
      <x:c r="E4" s="46" t="str">
        <x:v>yes</x:v>
      </x:c>
      <x:c r="F4" s="46" t="str">
        <x:v>yes</x:v>
      </x:c>
      <x:c r="G4" s="46" t="str">
        <x:v>shared_key_odorant</x:v>
      </x:c>
      <x:c r="H4" s="46" t="str">
        <x:v>stable isotope dilution + OAV</x:v>
      </x:c>
      <x:c r="I4" s="46" t="str">
        <x:v>SRC-FISH-COD-SALMON-GCO-001</x:v>
      </x:c>
      <x:c r="J4" s="46" t="str">
        <x:v>Character-impact odorant in both fresh-control boiled salmon and cod.</x:v>
      </x:c>
    </x:row>
    <x:row r="5" ht="15" hidden="0" customHeight="1">
      <x:c r="A5" s="46" t="str">
        <x:v>FCS-004</x:v>
      </x:c>
      <x:c r="B5" s="46" t="str">
        <x:v>family:finfish</x:v>
      </x:c>
      <x:c r="C5" s="46" t="str">
        <x:v>shared</x:v>
      </x:c>
      <x:c r="D5" s="46" t="str">
        <x:v>methional</x:v>
      </x:c>
      <x:c r="E5" s="46" t="str">
        <x:v>yes</x:v>
      </x:c>
      <x:c r="F5" s="46" t="str">
        <x:v>yes</x:v>
      </x:c>
      <x:c r="G5" s="46" t="str">
        <x:v>shared_key_odorant</x:v>
      </x:c>
      <x:c r="H5" s="46" t="str">
        <x:v>stable isotope dilution + OAV</x:v>
      </x:c>
      <x:c r="I5" s="46" t="str">
        <x:v>SRC-FISH-COD-SALMON-GCO-001</x:v>
      </x:c>
      <x:c r="J5" s="46" t="str">
        <x:v>Character-impact odorant in both fresh-control boiled salmon and cod.</x:v>
      </x:c>
    </x:row>
    <x:row r="6" ht="26.399999618530273" hidden="0" customHeight="1">
      <x:c r="A6" s="46" t="str">
        <x:v>FCS-005</x:v>
      </x:c>
      <x:c r="B6" s="46" t="str">
        <x:v>fish:atlantic_salmon</x:v>
      </x:c>
      <x:c r="C6" s="46" t="str">
        <x:v>salmon_delta</x:v>
      </x:c>
      <x:c r="D6" s="46" t="str">
        <x:v>propanal</x:v>
      </x:c>
      <x:c r="E6" s="46" t="str">
        <x:v>yes</x:v>
      </x:c>
      <x:c r="F6" s="46" t="str">
        <x:v>no</x:v>
      </x:c>
      <x:c r="G6" s="46" t="str">
        <x:v>salmon_key_delta</x:v>
      </x:c>
      <x:c r="H6" s="46" t="str">
        <x:v>stable isotope dilution + OAV</x:v>
      </x:c>
      <x:c r="I6" s="46" t="str">
        <x:v>SRC-FISH-COD-SALMON-GCO-001</x:v>
      </x:c>
      <x:c r="J6" s="46" t="str">
        <x:v>Salmon fresh-control character-impact set; not listed in cod fresh-control character-impact set.</x:v>
      </x:c>
    </x:row>
    <x:row r="7" ht="26.399999618530273" hidden="0" customHeight="1">
      <x:c r="A7" s="46" t="str">
        <x:v>FCS-006</x:v>
      </x:c>
      <x:c r="B7" s="46" t="str">
        <x:v>fish:atlantic_cod</x:v>
      </x:c>
      <x:c r="C7" s="46" t="str">
        <x:v>cod_delta</x:v>
      </x:c>
      <x:c r="D7" s="46" t="str">
        <x:v>(E,E)-2,4-decadienal</x:v>
      </x:c>
      <x:c r="E7" s="46" t="str">
        <x:v>no</x:v>
      </x:c>
      <x:c r="F7" s="46" t="str">
        <x:v>yes</x:v>
      </x:c>
      <x:c r="G7" s="46" t="str">
        <x:v>cod_key_delta</x:v>
      </x:c>
      <x:c r="H7" s="46" t="str">
        <x:v>stable isotope dilution + OAV</x:v>
      </x:c>
      <x:c r="I7" s="46" t="str">
        <x:v>SRC-FISH-COD-SALMON-GCO-001</x:v>
      </x:c>
      <x:c r="J7" s="46" t="str">
        <x:v>Cod fresh-control character-impact set; not listed in salmon fresh-control character-impact set.</x:v>
      </x:c>
    </x:row>
  </x:sheetData>
  <x:pageMargins left="0.7" right="0.7" top="0.75" bottom="0.75" header="0.3" footer="0.3"/>
  <x:tableParts count="1">
    <x:tablePart xmlns:r="http://schemas.openxmlformats.org/officeDocument/2006/relationships" r:id="R0a2cc9657a9f498c"/>
  </x:tableParts>
</x:worksheet>
</file>

<file path=xl/worksheets/sheet66.xml><?xml version="1.0" encoding="utf-8"?>
<x:worksheet xmlns:x="http://schemas.openxmlformats.org/spreadsheetml/2006/main">
  <x:sheetFormatPr defaultRowHeight="15"/>
  <x:cols>
    <x:col min="1" max="1" width="34" hidden="0" customWidth="1"/>
    <x:col min="2" max="2" width="34" hidden="0" customWidth="1"/>
    <x:col min="3" max="3" width="55" hidden="0" customWidth="1"/>
    <x:col min="4" max="4" width="34" hidden="0" customWidth="1"/>
    <x:col min="5" max="5" width="78" hidden="0" customWidth="1"/>
    <x:col min="6" max="6" width="74" hidden="0" customWidth="1"/>
    <x:col min="7" max="7" width="26" hidden="0" customWidth="1"/>
    <x:col min="8" max="8" width="72" hidden="0" customWidth="1"/>
  </x:cols>
  <x:sheetData>
    <x:row r="1" ht="15" hidden="0" customHeight="1">
      <x:c r="A1" s="177" t="str">
        <x:v>criterion</x:v>
      </x:c>
      <x:c r="B1" s="177" t="str">
        <x:v>status</x:v>
      </x:c>
      <x:c r="C1" s="177" t="str">
        <x:v>evidence_refs</x:v>
      </x:c>
      <x:c r="D1" s="177" t="str">
        <x:v>evidence_strength</x:v>
      </x:c>
      <x:c r="E1" s="177" t="str">
        <x:v>what_is_complete</x:v>
      </x:c>
      <x:c r="F1" s="177" t="str">
        <x:v>residual_uncertainty</x:v>
      </x:c>
      <x:c r="G1" s="177" t="str">
        <x:v>blocks_family_architecture</x:v>
      </x:c>
      <x:c r="H1" s="177" t="str">
        <x:v>recommended_action</x:v>
      </x:c>
    </x:row>
    <x:row r="2" ht="26.399999618530273" hidden="0" customHeight="1">
      <x:c r="A2" s="46" t="str">
        <x:v>OVERALL — fin-fish data coverage</x:v>
      </x:c>
      <x:c r="B2" s="208" t="str">
        <x:v>COMPLETE_FOR_CURRENT_PHASE_PENDING_FOUNDER_ARCHITECTURE_APPROVAL</x:v>
      </x:c>
      <x:c r="C2" s="46" t="str">
        <x:v>Finfish Architecture Test; Detected Finfish Cod Raw; Detected Finfish Cod Baked; Finfish Salmon QA Crosscheck; FV-FINFISH-001</x:v>
      </x:c>
      <x:c r="D2" s="46" t="str">
        <x:v>strong_cross_member_cross_method_with_cod_member_ingestion</x:v>
      </x:c>
      <x:c r="E2" s="46" t="str">
        <x:v>Salmon, sea bass, mackerel and cod now have governed member-level evidence. Cod is no longer context-only; salmon no longer rests on an unauditable single-source identity layer.</x:v>
      </x:c>
      <x:c r="F2" s="46" t="str">
        <x:v>No neutral matched full raw→cooked cod experiment; baked cod includes sugar/salt/MSG. Original salmon cooking source still lacks source-specific RI/match factors.</x:v>
      </x:c>
      <x:c r="G2" s="46" t="str">
        <x:v>no</x:v>
      </x:c>
      <x:c r="H2" s="46" t="str">
        <x:v>Founder can now decide FV-FINFISH-001. Further cod/salmon work is enrichment or transformation refinement, not family member completion.</x:v>
      </x:c>
    </x:row>
    <x:row r="3" ht="15" hidden="0" customHeight="1">
      <x:c r="A3" s="46" t="str">
        <x:v>MR-10 salmon full detection</x:v>
      </x:c>
      <x:c r="B3" s="208" t="str">
        <x:v>met</x:v>
      </x:c>
      <x:c r="C3" s="46" t="str">
        <x:v>Detected Finfish Salmon; SRC-FISH-SALMON-COOK-001</x:v>
      </x:c>
      <x:c r="D3" s="46" t="str">
        <x:v>strong_source_complete</x:v>
      </x:c>
      <x:c r="E3" s="46" t="str">
        <x:v>48/48 union rows extracted across raw/boiled/steamed/oven states.</x:v>
      </x:c>
      <x:c r="F3" s="46" t="str">
        <x:v>Source lacks exact RI and match factors.</x:v>
      </x:c>
      <x:c r="G3" s="46" t="str">
        <x:v>no</x:v>
      </x:c>
      <x:c r="H3" s="46" t="str">
        <x:v>No further salmon broad-table work required for family architecture.</x:v>
      </x:c>
    </x:row>
    <x:row r="4" ht="26.399999618530273" hidden="0" customHeight="1">
      <x:c r="A4" s="46" t="str">
        <x:v>Sea-bass white-fish anchor</x:v>
      </x:c>
      <x:c r="B4" s="208" t="str">
        <x:v>met</x:v>
      </x:c>
      <x:c r="C4" s="46" t="str">
        <x:v>Detected Finfish Sea Bass; SRC-FISH-SEABASS-STEAM-001</x:v>
      </x:c>
      <x:c r="D4" s="46" t="str">
        <x:v>strong_member_state</x:v>
      </x:c>
      <x:c r="E4" s="46" t="str">
        <x:v>All 44 named GC-IMS Table-2 features retained, representing 31 distinct compounds with CAS/RI/RT/drift-time fields.</x:v>
      </x:c>
      <x:c r="F4" s="46" t="str">
        <x:v>Slaughter method is a material abundance confound; source does not quantify total lipid.</x:v>
      </x:c>
      <x:c r="G4" s="46" t="str">
        <x:v>no</x:v>
      </x:c>
      <x:c r="H4" s="46" t="str">
        <x:v>Keep handling/state provenance; do not infer universal lean-fish abundances.</x:v>
      </x:c>
    </x:row>
    <x:row r="5" ht="39.599998474121094" hidden="0" customHeight="1">
      <x:c r="A5" s="46" t="str">
        <x:v>Mackerel oily/red-muscle stress check</x:v>
      </x:c>
      <x:c r="B5" s="208" t="str">
        <x:v>met_for_architecture_partial_for_MR10</x:v>
      </x:c>
      <x:c r="C5" s="46" t="str">
        <x:v>Mackerel Class Deltas; Detected Finfish Mackerel; Mackerel Key Interpretation</x:v>
      </x:c>
      <x:c r="D5" s="46" t="str">
        <x:v>strong_source_counts_and_partial_rows</x:v>
      </x:c>
      <x:c r="E5" s="46" t="str">
        <x:v>Source detection counts reconcile exactly at 32/39/41/52; raw red muscle strongly increases aldehyde/ketone weighting and has real state-specific odorants; 43 exact rows preserve RT, similarity and abundance.</x:v>
      </x:c>
      <x:c r="F5" s="46" t="str">
        <x:v>Complete Table-2 row union was not fully recoverable from accessible primary text.</x:v>
      </x:c>
      <x:c r="G5" s="46" t="str">
        <x:v>no</x:v>
      </x:c>
      <x:c r="H5" s="46" t="str">
        <x:v>Do not invent missing rows. Complete extraction later only if direct table access becomes available.</x:v>
      </x:c>
    </x:row>
    <x:row r="6" ht="26.399999618530273" hidden="0" customHeight="1">
      <x:c r="A6" s="46" t="str">
        <x:v>Lean cod sensory stress check</x:v>
      </x:c>
      <x:c r="B6" s="208" t="str">
        <x:v>met</x:v>
      </x:c>
      <x:c r="C6" s="46" t="str">
        <x:v>Finfish Cod-Salmon Sensory; SRC-FISH-COD-SALMON-GCO-001</x:v>
      </x:c>
      <x:c r="D6" s="46" t="str">
        <x:v>strong_matched_sensomics</x:v>
      </x:c>
      <x:c r="E6" s="46" t="str">
        <x:v>Fresh-control boiled salmon and cod share 4 of 5 character-impact odorants; each has one key member delta.</x:v>
      </x:c>
      <x:c r="F6" s="46" t="str">
        <x:v>This is sensory-key/OAV evidence, not an exhaustive detected table.</x:v>
      </x:c>
      <x:c r="G6" s="46" t="str">
        <x:v>no</x:v>
      </x:c>
      <x:c r="H6" s="46" t="str">
        <x:v>Use to validate family architecture; keep exhaustive cod detection as optional enrichment.</x:v>
      </x:c>
    </x:row>
    <x:row r="7" ht="26.399999618530273" hidden="0" customHeight="1">
      <x:c r="A7" s="46" t="str">
        <x:v>Cod full member ingestion</x:v>
      </x:c>
      <x:c r="B7" s="208" t="str">
        <x:v>met</x:v>
      </x:c>
      <x:c r="C7" s="46" t="str">
        <x:v>Detected Finfish Cod Raw; Detected Finfish Cod Baked; SRC-FISH-COD-SALMON-RAW-IDQA-001; SRC-FISH-COD-BAKED-001</x:v>
      </x:c>
      <x:c r="D7" s="46" t="str">
        <x:v>strong_two_source_full_tables</x:v>
      </x:c>
      <x:c r="E7" s="46" t="str">
        <x:v>101-row fresh cod membership inventory plus direct 72-row baked cod table, both with strong retention-based identification metadata.</x:v>
      </x:c>
      <x:c r="F7" s="46" t="str">
        <x:v>Raw/cooked are not matched within one experiment; baked source has sugar/salt/MSG overlay.</x:v>
      </x:c>
      <x:c r="G7" s="46" t="str">
        <x:v>no</x:v>
      </x:c>
      <x:c r="H7" s="46" t="str">
        <x:v>Treat the baked table as seasoned thermal cod. Search for a clean matched experiment only if runtime transformation accuracy warrants it.</x:v>
      </x:c>
    </x:row>
    <x:row r="8" ht="26.399999618530273" hidden="0" customHeight="1">
      <x:c r="A8" s="46" t="str">
        <x:v>Spoilage/freshness boundary</x:v>
      </x:c>
      <x:c r="B8" s="208" t="str">
        <x:v>met</x:v>
      </x:c>
      <x:c r="C8" s="46" t="str">
        <x:v>MR-14; PAT-BEEF-005; Mackerel Key Interpretation</x:v>
      </x:c>
      <x:c r="D8" s="46" t="str">
        <x:v>governed</x:v>
      </x:c>
      <x:c r="E8" s="46" t="str">
        <x:v>TMA and other freshness-associated compounds remain analytically visible but cannot become positive pairing relationships solely from spoilage/freshness evidence.</x:v>
      </x:c>
      <x:c r="F8" s="46" t="str">
        <x:v>Some compounds have both culinary and spoilage roles, so classification remains context-sensitive.</x:v>
      </x:c>
      <x:c r="G8" s="46" t="str">
        <x:v>no</x:v>
      </x:c>
      <x:c r="H8" s="46" t="str">
        <x:v>Keep MR-14 light; no seafood-specific spoilage subsystem needed.</x:v>
      </x:c>
    </x:row>
    <x:row r="9" ht="26.399999618530273" hidden="0" customHeight="1">
      <x:c r="A9" s="46" t="str">
        <x:v>Lean-versus-fatty architecture</x:v>
      </x:c>
      <x:c r="B9" s="208" t="str">
        <x:v>met</x:v>
      </x:c>
      <x:c r="C9" s="46" t="str">
        <x:v>FF-ARCH-003; FF-ARCH-004; FF-ARCH-006; FF-ARCH-007</x:v>
      </x:c>
      <x:c r="D9" s="46" t="str">
        <x:v>strong_directional_and_matched</x:v>
      </x:c>
      <x:c r="E9" s="46" t="str">
        <x:v>Evidence supports shared identity/mechanism plus lipid/muscle abundance and sensory weighting, with bounded member/state presence differences.</x:v>
      </x:c>
      <x:c r="F9" s="46" t="str">
        <x:v>No fixed mathematical fat multiplier is supported.</x:v>
      </x:c>
      <x:c r="G9" s="46" t="str">
        <x:v>no</x:v>
      </x:c>
      <x:c r="H9" s="46" t="str">
        <x:v>Do not create separate lean-fish and fatty-fish chemical families.</x:v>
      </x:c>
    </x:row>
    <x:row r="10">
      <x:c r="A10" t="str">
        <x:v>Salmon MR-09 anchor validation</x:v>
      </x:c>
      <x:c r="B10" s="207" t="str">
        <x:v>met_via_independent_source</x:v>
      </x:c>
      <x:c r="C10" t="str">
        <x:v>Finfish Salmon QA Crosscheck; SRC-FISH-COD-SALMON-RAW-IDQA-001</x:v>
      </x:c>
      <x:c r="D10" t="str">
        <x:v>strong_independent_QA</x:v>
      </x:c>
      <x:c r="E10" t="str">
        <x:v>Independent fresh salmon source supplies 101/101 LRI fields and 48 authentic-standard confirmations; 21 exact-name rows independently corroborate the 48-row culinary salmon source.</x:v>
      </x:c>
      <x:c r="F10" t="str">
        <x:v>This does not transform the original 2022 source into a source-specific RI dataset.</x:v>
      </x:c>
      <x:c r="G10" t="str">
        <x:v>no</x:v>
      </x:c>
      <x:c r="H10" t="str">
        <x:v>Keep both provenance layers separate; use cross-source corroboration only as validation.</x:v>
      </x:c>
    </x:row>
    <x:row r="11">
      <x:c r="A11" t="str">
        <x:v>Matched neutral cod raw→cooked table</x:v>
      </x:c>
      <x:c r="B11" s="203" t="str">
        <x:v>open_nonblocking_refinement</x:v>
      </x:c>
      <x:c r="C11" t="str">
        <x:v>Research Queue RQ-056</x:v>
      </x:c>
      <x:c r="D11" t="str">
        <x:v>source_gap</x:v>
      </x:c>
      <x:c r="E11" t="str">
        <x:v>Cod has separate full raw and cooked member tables plus matched sensory-key cooked salmon/cod evidence.</x:v>
      </x:c>
      <x:c r="F11" t="str">
        <x:v>A clean unseasoned matched full raw→cooked cod muscle experiment remains unlocated.</x:v>
      </x:c>
      <x:c r="G11" t="str">
        <x:v>no</x:v>
      </x:c>
      <x:c r="H11" t="str">
        <x:v>Do not keep fin-fish open for this alone; revisit only if transformation-specific runtime errors appear.</x:v>
      </x:c>
    </x:row>
  </x:sheetData>
  <x:pageMargins left="0.7" right="0.7" top="0.75" bottom="0.75" header="0.3" footer="0.3"/>
  <x:tableParts count="1">
    <x:tablePart xmlns:r="http://schemas.openxmlformats.org/officeDocument/2006/relationships" r:id="R9b7a4db4599646f3"/>
  </x:tableParts>
</x:worksheet>
</file>

<file path=xl/worksheets/sheet67.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18" hidden="0" customWidth="1"/>
    <x:col min="5" max="5" width="34" hidden="0" customWidth="1"/>
    <x:col min="6" max="6" width="22" hidden="0" customWidth="1"/>
    <x:col min="7" max="7" width="34" hidden="0" customWidth="1"/>
    <x:col min="8" max="8" width="34" hidden="0" customWidth="1"/>
    <x:col min="9" max="9" width="12" hidden="0" customWidth="1"/>
    <x:col min="10" max="10" width="15" hidden="0" customWidth="1"/>
    <x:col min="11" max="11" width="13" hidden="0" customWidth="1"/>
    <x:col min="12" max="12" width="15" hidden="0" customWidth="1"/>
    <x:col min="13" max="13" width="22" hidden="0" customWidth="1"/>
    <x:col min="14" max="14" width="18" hidden="0" customWidth="1"/>
    <x:col min="15" max="15" width="18" hidden="0" customWidth="1"/>
    <x:col min="16" max="16" width="34" hidden="0" customWidth="1"/>
    <x:col min="17" max="17" width="28" hidden="0" customWidth="1"/>
    <x:col min="18" max="18" width="32" hidden="0" customWidth="1"/>
    <x:col min="19" max="19" width="74" hidden="0" customWidth="1"/>
  </x:cols>
  <x:sheetData>
    <x:row r="1" ht="26.399999618530273" hidden="0" customHeight="1">
      <x:c r="A1" s="201" t="str">
        <x:v>detected_record_id</x:v>
      </x:c>
      <x:c r="B1" s="201" t="str">
        <x:v>product_id</x:v>
      </x:c>
      <x:c r="C1" s="201" t="str">
        <x:v>family_id</x:v>
      </x:c>
      <x:c r="D1" s="201" t="str">
        <x:v>state</x:v>
      </x:c>
      <x:c r="E1" s="201" t="str">
        <x:v>source_id</x:v>
      </x:c>
      <x:c r="F1" s="201" t="str">
        <x:v>compound_group</x:v>
      </x:c>
      <x:c r="G1" s="201" t="str">
        <x:v>compound_name_source</x:v>
      </x:c>
      <x:c r="H1" s="201" t="str">
        <x:v>canonical_name_if_safe</x:v>
      </x:c>
      <x:c r="I1" s="201" t="str">
        <x:v>source_code</x:v>
      </x:c>
      <x:c r="J1" s="201" t="str">
        <x:v>lri_source_text</x:v>
      </x:c>
      <x:c r="K1" s="201" t="str">
        <x:v>lri_numeric</x:v>
      </x:c>
      <x:c r="L1" s="201" t="str">
        <x:v>specific_ion_mz</x:v>
      </x:c>
      <x:c r="M1" s="201" t="str">
        <x:v>identification_method</x:v>
      </x:c>
      <x:c r="N1" s="201" t="str">
        <x:v>authentic_standard_confirmed</x:v>
      </x:c>
      <x:c r="O1" s="201" t="str">
        <x:v>numeric_match_factor</x:v>
      </x:c>
      <x:c r="P1" s="201" t="str">
        <x:v>mr09_basis</x:v>
      </x:c>
      <x:c r="Q1" s="201" t="str">
        <x:v>identity_status</x:v>
      </x:c>
      <x:c r="R1" s="201" t="str">
        <x:v>presence_interpretation</x:v>
      </x:c>
      <x:c r="S1" s="201" t="str">
        <x:v>notes</x:v>
      </x:c>
    </x:row>
    <x:row r="2" ht="26.399999618530273" hidden="0" customHeight="1">
      <x:c r="A2" s="46" t="str">
        <x:v>DFC-RAW-001</x:v>
      </x:c>
      <x:c r="B2" s="46" t="str">
        <x:v>fish:atlantic_cod</x:v>
      </x:c>
      <x:c r="C2" s="46" t="str">
        <x:v>family:seafood_finfish</x:v>
      </x:c>
      <x:c r="D2" s="46" t="str">
        <x:v>fresh raw fillet</x:v>
      </x:c>
      <x:c r="E2" s="46" t="str">
        <x:v>SRC-FISH-COD-SALMON-RAW-IDQA-001</x:v>
      </x:c>
      <x:c r="F2" s="46" t="str">
        <x:v>Alcohols</x:v>
      </x:c>
      <x:c r="G2" s="46" t="str">
        <x:v>Ethanol</x:v>
      </x:c>
      <x:c r="H2" s="46" t="str">
        <x:v>Ethanol</x:v>
      </x:c>
      <x:c r="I2" s="46" t="str">
        <x:v>d</x:v>
      </x:c>
      <x:c r="J2" s="46" t="str">
        <x:v>&lt;500</x:v>
      </x:c>
      <x:c r="K2" s="46"/>
      <x:c r="L2" s="46" t="n">
        <x:v>45</x:v>
      </x:c>
      <x:c r="M2" s="46" t="str">
        <x:v>MS, LRI, Std</x:v>
      </x:c>
      <x:c r="N2" s="46" t="str">
        <x:v>yes</x:v>
      </x:c>
      <x:c r="O2" s="46"/>
      <x:c r="P2" s="46" t="str">
        <x:v>LRI + NIST MS + authentic standard</x:v>
      </x:c>
      <x:c r="Q2" s="46" t="str">
        <x:v>named_source_compound</x:v>
      </x:c>
      <x:c r="R2" s="46" t="str">
        <x:v>fresh_membership_supported</x:v>
      </x:c>
      <x:c r="S2" s="46" t="str">
        <x:v>Table-2 inventory is reported as found across all four studied species at different stages; source further states no frozen-thawed volatile appeared that was not already present in the fresh fish.</x:v>
      </x:c>
    </x:row>
    <x:row r="3" ht="26.399999618530273" hidden="0" customHeight="1">
      <x:c r="A3" s="46" t="str">
        <x:v>DFC-RAW-002</x:v>
      </x:c>
      <x:c r="B3" s="46" t="str">
        <x:v>fish:atlantic_cod</x:v>
      </x:c>
      <x:c r="C3" s="46" t="str">
        <x:v>family:seafood_finfish</x:v>
      </x:c>
      <x:c r="D3" s="46" t="str">
        <x:v>fresh raw fillet</x:v>
      </x:c>
      <x:c r="E3" s="46" t="str">
        <x:v>SRC-FISH-COD-SALMON-RAW-IDQA-001</x:v>
      </x:c>
      <x:c r="F3" s="46" t="str">
        <x:v>Alcohols</x:v>
      </x:c>
      <x:c r="G3" s="46" t="str">
        <x:v>2-methyl-1-propanol</x:v>
      </x:c>
      <x:c r="H3" s="46" t="str">
        <x:v>2-methyl-1-propanol</x:v>
      </x:c>
      <x:c r="I3" s="46" t="str">
        <x:v>u</x:v>
      </x:c>
      <x:c r="J3" s="46" t="str">
        <x:v>629</x:v>
      </x:c>
      <x:c r="K3" s="46" t="n">
        <x:v>629</x:v>
      </x:c>
      <x:c r="L3" s="46" t="n">
        <x:v>74</x:v>
      </x:c>
      <x:c r="M3" s="46" t="str">
        <x:v>MS, LRI, Std</x:v>
      </x:c>
      <x:c r="N3" s="46" t="str">
        <x:v>yes</x:v>
      </x:c>
      <x:c r="O3" s="46"/>
      <x:c r="P3" s="46" t="str">
        <x:v>LRI + NIST MS + authentic standard</x:v>
      </x:c>
      <x:c r="Q3" s="46" t="str">
        <x:v>named_source_compound</x:v>
      </x:c>
      <x:c r="R3" s="46" t="str">
        <x:v>fresh_membership_supported</x:v>
      </x:c>
      <x:c r="S3" s="46" t="str">
        <x:v>Table-2 inventory is reported as found across all four studied species at different stages; source further states no frozen-thawed volatile appeared that was not already present in the fresh fish.</x:v>
      </x:c>
    </x:row>
    <x:row r="4" ht="26.399999618530273" hidden="0" customHeight="1">
      <x:c r="A4" s="46" t="str">
        <x:v>DFC-RAW-003</x:v>
      </x:c>
      <x:c r="B4" s="46" t="str">
        <x:v>fish:atlantic_cod</x:v>
      </x:c>
      <x:c r="C4" s="46" t="str">
        <x:v>family:seafood_finfish</x:v>
      </x:c>
      <x:c r="D4" s="46" t="str">
        <x:v>fresh raw fillet</x:v>
      </x:c>
      <x:c r="E4" s="46" t="str">
        <x:v>SRC-FISH-COD-SALMON-RAW-IDQA-001</x:v>
      </x:c>
      <x:c r="F4" s="46" t="str">
        <x:v>Alcohols</x:v>
      </x:c>
      <x:c r="G4" s="46" t="str">
        <x:v>1-butanol</x:v>
      </x:c>
      <x:c r="H4" s="46" t="str">
        <x:v>1-butanol</x:v>
      </x:c>
      <x:c r="I4" s="46" t="str">
        <x:v>db</x:v>
      </x:c>
      <x:c r="J4" s="46" t="str">
        <x:v>664</x:v>
      </x:c>
      <x:c r="K4" s="46" t="n">
        <x:v>664</x:v>
      </x:c>
      <x:c r="L4" s="46" t="n">
        <x:v>56</x:v>
      </x:c>
      <x:c r="M4" s="46" t="str">
        <x:v>MS, LRI, Std</x:v>
      </x:c>
      <x:c r="N4" s="46" t="str">
        <x:v>yes</x:v>
      </x:c>
      <x:c r="O4" s="46"/>
      <x:c r="P4" s="46" t="str">
        <x:v>LRI + NIST MS + authentic standard</x:v>
      </x:c>
      <x:c r="Q4" s="46" t="str">
        <x:v>named_source_compound</x:v>
      </x:c>
      <x:c r="R4" s="46" t="str">
        <x:v>fresh_membership_supported</x:v>
      </x:c>
      <x:c r="S4" s="46" t="str">
        <x:v>Table-2 inventory is reported as found across all four studied species at different stages; source further states no frozen-thawed volatile appeared that was not already present in the fresh fish.</x:v>
      </x:c>
    </x:row>
    <x:row r="5" ht="26.399999618530273" hidden="0" customHeight="1">
      <x:c r="A5" s="46" t="str">
        <x:v>DFC-RAW-004</x:v>
      </x:c>
      <x:c r="B5" s="46" t="str">
        <x:v>fish:atlantic_cod</x:v>
      </x:c>
      <x:c r="C5" s="46" t="str">
        <x:v>family:seafood_finfish</x:v>
      </x:c>
      <x:c r="D5" s="46" t="str">
        <x:v>fresh raw fillet</x:v>
      </x:c>
      <x:c r="E5" s="46" t="str">
        <x:v>SRC-FISH-COD-SALMON-RAW-IDQA-001</x:v>
      </x:c>
      <x:c r="F5" s="46" t="str">
        <x:v>Alcohols</x:v>
      </x:c>
      <x:c r="G5" s="46" t="str">
        <x:v>1-penten-3-ol</x:v>
      </x:c>
      <x:c r="H5" s="46" t="str">
        <x:v>1-penten-3-ol</x:v>
      </x:c>
      <x:c r="I5" s="46" t="str">
        <x:v>aa</x:v>
      </x:c>
      <x:c r="J5" s="46" t="str">
        <x:v>682</x:v>
      </x:c>
      <x:c r="K5" s="46" t="n">
        <x:v>682</x:v>
      </x:c>
      <x:c r="L5" s="46" t="n">
        <x:v>57</x:v>
      </x:c>
      <x:c r="M5" s="46" t="str">
        <x:v>MS, LRI, Std</x:v>
      </x:c>
      <x:c r="N5" s="46" t="str">
        <x:v>yes</x:v>
      </x:c>
      <x:c r="O5" s="46"/>
      <x:c r="P5" s="46" t="str">
        <x:v>LRI + NIST MS + authentic standard</x:v>
      </x:c>
      <x:c r="Q5" s="46" t="str">
        <x:v>named_source_compound</x:v>
      </x:c>
      <x:c r="R5" s="46" t="str">
        <x:v>fresh_membership_supported</x:v>
      </x:c>
      <x:c r="S5" s="46" t="str">
        <x:v>Table-2 inventory is reported as found across all four studied species at different stages; source further states no frozen-thawed volatile appeared that was not already present in the fresh fish.</x:v>
      </x:c>
    </x:row>
    <x:row r="6" ht="26.399999618530273" hidden="0" customHeight="1">
      <x:c r="A6" s="46" t="str">
        <x:v>DFC-RAW-005</x:v>
      </x:c>
      <x:c r="B6" s="46" t="str">
        <x:v>fish:atlantic_cod</x:v>
      </x:c>
      <x:c r="C6" s="46" t="str">
        <x:v>family:seafood_finfish</x:v>
      </x:c>
      <x:c r="D6" s="46" t="str">
        <x:v>fresh raw fillet</x:v>
      </x:c>
      <x:c r="E6" s="46" t="str">
        <x:v>SRC-FISH-COD-SALMON-RAW-IDQA-001</x:v>
      </x:c>
      <x:c r="F6" s="46" t="str">
        <x:v>Alcohols</x:v>
      </x:c>
      <x:c r="G6" s="46" t="str">
        <x:v>3-methyl-3-buten-1-ol</x:v>
      </x:c>
      <x:c r="H6" s="46" t="str">
        <x:v>3-methyl-3-buten-1-ol</x:v>
      </x:c>
      <x:c r="I6" s="46" t="str">
        <x:v>ah</x:v>
      </x:c>
      <x:c r="J6" s="46" t="str">
        <x:v>728</x:v>
      </x:c>
      <x:c r="K6" s="46" t="n">
        <x:v>728</x:v>
      </x:c>
      <x:c r="L6" s="46" t="n">
        <x:v>56</x:v>
      </x:c>
      <x:c r="M6" s="46" t="str">
        <x:v>MS, LRI, Std</x:v>
      </x:c>
      <x:c r="N6" s="46" t="str">
        <x:v>yes</x:v>
      </x:c>
      <x:c r="O6" s="46"/>
      <x:c r="P6" s="46" t="str">
        <x:v>LRI + NIST MS + authentic standard</x:v>
      </x:c>
      <x:c r="Q6" s="46" t="str">
        <x:v>named_source_compound</x:v>
      </x:c>
      <x:c r="R6" s="46" t="str">
        <x:v>fresh_membership_supported</x:v>
      </x:c>
      <x:c r="S6" s="46" t="str">
        <x:v>Table-2 inventory is reported as found across all four studied species at different stages; source further states no frozen-thawed volatile appeared that was not already present in the fresh fish.</x:v>
      </x:c>
    </x:row>
    <x:row r="7" ht="26.399999618530273" hidden="0" customHeight="1">
      <x:c r="A7" s="46" t="str">
        <x:v>DFC-RAW-006</x:v>
      </x:c>
      <x:c r="B7" s="46" t="str">
        <x:v>fish:atlantic_cod</x:v>
      </x:c>
      <x:c r="C7" s="46" t="str">
        <x:v>family:seafood_finfish</x:v>
      </x:c>
      <x:c r="D7" s="46" t="str">
        <x:v>fresh raw fillet</x:v>
      </x:c>
      <x:c r="E7" s="46" t="str">
        <x:v>SRC-FISH-COD-SALMON-RAW-IDQA-001</x:v>
      </x:c>
      <x:c r="F7" s="46" t="str">
        <x:v>Alcohols</x:v>
      </x:c>
      <x:c r="G7" s="46" t="str">
        <x:v>3-methyl-1-butanol</x:v>
      </x:c>
      <x:c r="H7" s="46" t="str">
        <x:v>3-methyl-1-butanol</x:v>
      </x:c>
      <x:c r="I7" s="46" t="str">
        <x:v>ai</x:v>
      </x:c>
      <x:c r="J7" s="46" t="str">
        <x:v>734</x:v>
      </x:c>
      <x:c r="K7" s="46" t="n">
        <x:v>734</x:v>
      </x:c>
      <x:c r="L7" s="46" t="n">
        <x:v>70</x:v>
      </x:c>
      <x:c r="M7" s="46" t="str">
        <x:v>MS, LRI, Std</x:v>
      </x:c>
      <x:c r="N7" s="46" t="str">
        <x:v>yes</x:v>
      </x:c>
      <x:c r="O7" s="46"/>
      <x:c r="P7" s="46" t="str">
        <x:v>LRI + NIST MS + authentic standard</x:v>
      </x:c>
      <x:c r="Q7" s="46" t="str">
        <x:v>named_source_compound</x:v>
      </x:c>
      <x:c r="R7" s="46" t="str">
        <x:v>fresh_membership_supported</x:v>
      </x:c>
      <x:c r="S7" s="46" t="str">
        <x:v>Table-2 inventory is reported as found across all four studied species at different stages; source further states no frozen-thawed volatile appeared that was not already present in the fresh fish.</x:v>
      </x:c>
    </x:row>
    <x:row r="8" ht="26.399999618530273" hidden="0" customHeight="1">
      <x:c r="A8" s="46" t="str">
        <x:v>DFC-RAW-007</x:v>
      </x:c>
      <x:c r="B8" s="46" t="str">
        <x:v>fish:atlantic_cod</x:v>
      </x:c>
      <x:c r="C8" s="46" t="str">
        <x:v>family:seafood_finfish</x:v>
      </x:c>
      <x:c r="D8" s="46" t="str">
        <x:v>fresh raw fillet</x:v>
      </x:c>
      <x:c r="E8" s="46" t="str">
        <x:v>SRC-FISH-COD-SALMON-RAW-IDQA-001</x:v>
      </x:c>
      <x:c r="F8" s="46" t="str">
        <x:v>Alcohols</x:v>
      </x:c>
      <x:c r="G8" s="46" t="str">
        <x:v>1-pentanol</x:v>
      </x:c>
      <x:c r="H8" s="46" t="str">
        <x:v>1-pentanol</x:v>
      </x:c>
      <x:c r="I8" s="46" t="str">
        <x:v>an</x:v>
      </x:c>
      <x:c r="J8" s="46" t="str">
        <x:v>763</x:v>
      </x:c>
      <x:c r="K8" s="46" t="n">
        <x:v>763</x:v>
      </x:c>
      <x:c r="L8" s="46" t="n">
        <x:v>70</x:v>
      </x:c>
      <x:c r="M8" s="46" t="str">
        <x:v>MS, LRI, Std</x:v>
      </x:c>
      <x:c r="N8" s="46" t="str">
        <x:v>yes</x:v>
      </x:c>
      <x:c r="O8" s="46"/>
      <x:c r="P8" s="46" t="str">
        <x:v>LRI + NIST MS + authentic standard</x:v>
      </x:c>
      <x:c r="Q8" s="46" t="str">
        <x:v>named_source_compound</x:v>
      </x:c>
      <x:c r="R8" s="46" t="str">
        <x:v>fresh_membership_supported</x:v>
      </x:c>
      <x:c r="S8" s="46" t="str">
        <x:v>Table-2 inventory is reported as found across all four studied species at different stages; source further states no frozen-thawed volatile appeared that was not already present in the fresh fish.</x:v>
      </x:c>
    </x:row>
    <x:row r="9" ht="26.399999618530273" hidden="0" customHeight="1">
      <x:c r="A9" s="46" t="str">
        <x:v>DFC-RAW-008</x:v>
      </x:c>
      <x:c r="B9" s="46" t="str">
        <x:v>fish:atlantic_cod</x:v>
      </x:c>
      <x:c r="C9" s="46" t="str">
        <x:v>family:seafood_finfish</x:v>
      </x:c>
      <x:c r="D9" s="46" t="str">
        <x:v>fresh raw fillet</x:v>
      </x:c>
      <x:c r="E9" s="46" t="str">
        <x:v>SRC-FISH-COD-SALMON-RAW-IDQA-001</x:v>
      </x:c>
      <x:c r="F9" s="46" t="str">
        <x:v>Alcohols</x:v>
      </x:c>
      <x:c r="G9" s="46" t="str">
        <x:v>(Z)-2-penten-1-ol</x:v>
      </x:c>
      <x:c r="H9" s="46" t="str">
        <x:v>(Z)-2-penten-1-ol</x:v>
      </x:c>
      <x:c r="I9" s="46" t="str">
        <x:v>ao</x:v>
      </x:c>
      <x:c r="J9" s="46" t="str">
        <x:v>765</x:v>
      </x:c>
      <x:c r="K9" s="46" t="n">
        <x:v>765</x:v>
      </x:c>
      <x:c r="L9" s="46" t="n">
        <x:v>68</x:v>
      </x:c>
      <x:c r="M9" s="46" t="str">
        <x:v>MS, LRI, Std</x:v>
      </x:c>
      <x:c r="N9" s="46" t="str">
        <x:v>yes</x:v>
      </x:c>
      <x:c r="O9" s="46"/>
      <x:c r="P9" s="46" t="str">
        <x:v>LRI + NIST MS + authentic standard</x:v>
      </x:c>
      <x:c r="Q9" s="46" t="str">
        <x:v>named_source_compound</x:v>
      </x:c>
      <x:c r="R9" s="46" t="str">
        <x:v>fresh_membership_supported</x:v>
      </x:c>
      <x:c r="S9" s="46" t="str">
        <x:v>Table-2 inventory is reported as found across all four studied species at different stages; source further states no frozen-thawed volatile appeared that was not already present in the fresh fish.</x:v>
      </x:c>
    </x:row>
    <x:row r="10" ht="26.399999618530273" hidden="0" customHeight="1">
      <x:c r="A10" s="46" t="str">
        <x:v>DFC-RAW-009</x:v>
      </x:c>
      <x:c r="B10" s="46" t="str">
        <x:v>fish:atlantic_cod</x:v>
      </x:c>
      <x:c r="C10" s="46" t="str">
        <x:v>family:seafood_finfish</x:v>
      </x:c>
      <x:c r="D10" s="46" t="str">
        <x:v>fresh raw fillet</x:v>
      </x:c>
      <x:c r="E10" s="46" t="str">
        <x:v>SRC-FISH-COD-SALMON-RAW-IDQA-001</x:v>
      </x:c>
      <x:c r="F10" s="46" t="str">
        <x:v>Alcohols</x:v>
      </x:c>
      <x:c r="G10" s="46" t="str">
        <x:v>1-hexanol</x:v>
      </x:c>
      <x:c r="H10" s="46" t="str">
        <x:v>1-hexanol</x:v>
      </x:c>
      <x:c r="I10" s="46" t="str">
        <x:v>av</x:v>
      </x:c>
      <x:c r="J10" s="46" t="str">
        <x:v>869</x:v>
      </x:c>
      <x:c r="K10" s="46" t="n">
        <x:v>869</x:v>
      </x:c>
      <x:c r="L10" s="46" t="n">
        <x:v>56</x:v>
      </x:c>
      <x:c r="M10" s="46" t="str">
        <x:v>MS, LRI</x:v>
      </x:c>
      <x:c r="N10" s="46" t="str">
        <x:v>no</x:v>
      </x:c>
      <x:c r="O10" s="46"/>
      <x:c r="P10" s="46" t="str">
        <x:v>LRI + NIST MS</x:v>
      </x:c>
      <x:c r="Q10" s="46" t="str">
        <x:v>named_source_compound</x:v>
      </x:c>
      <x:c r="R10" s="46" t="str">
        <x:v>fresh_membership_supported</x:v>
      </x:c>
      <x:c r="S10" s="46" t="str">
        <x:v>Table-2 inventory is reported as found across all four studied species at different stages; source further states no frozen-thawed volatile appeared that was not already present in the fresh fish.</x:v>
      </x:c>
    </x:row>
    <x:row r="11" ht="26.399999618530273" hidden="0" customHeight="1">
      <x:c r="A11" s="46" t="str">
        <x:v>DFC-RAW-010</x:v>
      </x:c>
      <x:c r="B11" s="46" t="str">
        <x:v>fish:atlantic_cod</x:v>
      </x:c>
      <x:c r="C11" s="46" t="str">
        <x:v>family:seafood_finfish</x:v>
      </x:c>
      <x:c r="D11" s="46" t="str">
        <x:v>fresh raw fillet</x:v>
      </x:c>
      <x:c r="E11" s="46" t="str">
        <x:v>SRC-FISH-COD-SALMON-RAW-IDQA-001</x:v>
      </x:c>
      <x:c r="F11" s="46" t="str">
        <x:v>Alcohols</x:v>
      </x:c>
      <x:c r="G11" s="46" t="str">
        <x:v>1-heptanol</x:v>
      </x:c>
      <x:c r="H11" s="46" t="str">
        <x:v>1-heptanol</x:v>
      </x:c>
      <x:c r="I11" s="46" t="str">
        <x:v>bm</x:v>
      </x:c>
      <x:c r="J11" s="46" t="str">
        <x:v>972</x:v>
      </x:c>
      <x:c r="K11" s="46" t="n">
        <x:v>972</x:v>
      </x:c>
      <x:c r="L11" s="46" t="n">
        <x:v>70</x:v>
      </x:c>
      <x:c r="M11" s="46" t="str">
        <x:v>MS, LRI, Std</x:v>
      </x:c>
      <x:c r="N11" s="46" t="str">
        <x:v>yes</x:v>
      </x:c>
      <x:c r="O11" s="46"/>
      <x:c r="P11" s="46" t="str">
        <x:v>LRI + NIST MS + authentic standard</x:v>
      </x:c>
      <x:c r="Q11" s="46" t="str">
        <x:v>named_source_compound</x:v>
      </x:c>
      <x:c r="R11" s="46" t="str">
        <x:v>fresh_membership_supported</x:v>
      </x:c>
      <x:c r="S11" s="46" t="str">
        <x:v>Table-2 inventory is reported as found across all four studied species at different stages; source further states no frozen-thawed volatile appeared that was not already present in the fresh fish.</x:v>
      </x:c>
    </x:row>
    <x:row r="12" ht="26.399999618530273" hidden="0" customHeight="1">
      <x:c r="A12" s="46" t="str">
        <x:v>DFC-RAW-011</x:v>
      </x:c>
      <x:c r="B12" s="46" t="str">
        <x:v>fish:atlantic_cod</x:v>
      </x:c>
      <x:c r="C12" s="46" t="str">
        <x:v>family:seafood_finfish</x:v>
      </x:c>
      <x:c r="D12" s="46" t="str">
        <x:v>fresh raw fillet</x:v>
      </x:c>
      <x:c r="E12" s="46" t="str">
        <x:v>SRC-FISH-COD-SALMON-RAW-IDQA-001</x:v>
      </x:c>
      <x:c r="F12" s="46" t="str">
        <x:v>Alcohols</x:v>
      </x:c>
      <x:c r="G12" s="46" t="str">
        <x:v>1-octen-3-ol</x:v>
      </x:c>
      <x:c r="H12" s="46" t="str">
        <x:v>1-octen-3-ol</x:v>
      </x:c>
      <x:c r="I12" s="46" t="str">
        <x:v>bo</x:v>
      </x:c>
      <x:c r="J12" s="46" t="str">
        <x:v>981</x:v>
      </x:c>
      <x:c r="K12" s="46" t="n">
        <x:v>981</x:v>
      </x:c>
      <x:c r="L12" s="46" t="n">
        <x:v>85</x:v>
      </x:c>
      <x:c r="M12" s="46" t="str">
        <x:v>MS, LRI, Std</x:v>
      </x:c>
      <x:c r="N12" s="46" t="str">
        <x:v>yes</x:v>
      </x:c>
      <x:c r="O12" s="46"/>
      <x:c r="P12" s="46" t="str">
        <x:v>LRI + NIST MS + authentic standard</x:v>
      </x:c>
      <x:c r="Q12" s="46" t="str">
        <x:v>named_source_compound</x:v>
      </x:c>
      <x:c r="R12" s="46" t="str">
        <x:v>fresh_membership_supported</x:v>
      </x:c>
      <x:c r="S12" s="46" t="str">
        <x:v>Table-2 inventory is reported as found across all four studied species at different stages; source further states no frozen-thawed volatile appeared that was not already present in the fresh fish.</x:v>
      </x:c>
    </x:row>
    <x:row r="13" ht="26.399999618530273" hidden="0" customHeight="1">
      <x:c r="A13" s="46" t="str">
        <x:v>DFC-RAW-012</x:v>
      </x:c>
      <x:c r="B13" s="46" t="str">
        <x:v>fish:atlantic_cod</x:v>
      </x:c>
      <x:c r="C13" s="46" t="str">
        <x:v>family:seafood_finfish</x:v>
      </x:c>
      <x:c r="D13" s="46" t="str">
        <x:v>fresh raw fillet</x:v>
      </x:c>
      <x:c r="E13" s="46" t="str">
        <x:v>SRC-FISH-COD-SALMON-RAW-IDQA-001</x:v>
      </x:c>
      <x:c r="F13" s="46" t="str">
        <x:v>Alcohols</x:v>
      </x:c>
      <x:c r="G13" s="46" t="str">
        <x:v>2-ethyl-1-hexanol</x:v>
      </x:c>
      <x:c r="H13" s="46" t="str">
        <x:v>2-ethyl-1-hexanol</x:v>
      </x:c>
      <x:c r="I13" s="46" t="str">
        <x:v>bv</x:v>
      </x:c>
      <x:c r="J13" s="46" t="str">
        <x:v>1031</x:v>
      </x:c>
      <x:c r="K13" s="46" t="n">
        <x:v>1031</x:v>
      </x:c>
      <x:c r="L13" s="46" t="n">
        <x:v>57</x:v>
      </x:c>
      <x:c r="M13" s="46" t="str">
        <x:v>MS, LRI, Std</x:v>
      </x:c>
      <x:c r="N13" s="46" t="str">
        <x:v>yes</x:v>
      </x:c>
      <x:c r="O13" s="46"/>
      <x:c r="P13" s="46" t="str">
        <x:v>LRI + NIST MS + authentic standard</x:v>
      </x:c>
      <x:c r="Q13" s="46" t="str">
        <x:v>named_source_compound</x:v>
      </x:c>
      <x:c r="R13" s="46" t="str">
        <x:v>fresh_membership_supported</x:v>
      </x:c>
      <x:c r="S13" s="46" t="str">
        <x:v>Table-2 inventory is reported as found across all four studied species at different stages; source further states no frozen-thawed volatile appeared that was not already present in the fresh fish.</x:v>
      </x:c>
    </x:row>
    <x:row r="14" ht="26.399999618530273" hidden="0" customHeight="1">
      <x:c r="A14" s="46" t="str">
        <x:v>DFC-RAW-013</x:v>
      </x:c>
      <x:c r="B14" s="46" t="str">
        <x:v>fish:atlantic_cod</x:v>
      </x:c>
      <x:c r="C14" s="46" t="str">
        <x:v>family:seafood_finfish</x:v>
      </x:c>
      <x:c r="D14" s="46" t="str">
        <x:v>fresh raw fillet</x:v>
      </x:c>
      <x:c r="E14" s="46" t="str">
        <x:v>SRC-FISH-COD-SALMON-RAW-IDQA-001</x:v>
      </x:c>
      <x:c r="F14" s="46" t="str">
        <x:v>Aldehydes</x:v>
      </x:c>
      <x:c r="G14" s="46" t="str">
        <x:v>Acetaldehyde</x:v>
      </x:c>
      <x:c r="H14" s="46" t="str">
        <x:v>Acetaldehyde</x:v>
      </x:c>
      <x:c r="I14" s="46" t="str">
        <x:v>c</x:v>
      </x:c>
      <x:c r="J14" s="46" t="str">
        <x:v>&lt;500</x:v>
      </x:c>
      <x:c r="K14" s="46"/>
      <x:c r="L14" s="46" t="n">
        <x:v>43</x:v>
      </x:c>
      <x:c r="M14" s="46" t="str">
        <x:v>MS, LRI</x:v>
      </x:c>
      <x:c r="N14" s="46" t="str">
        <x:v>no</x:v>
      </x:c>
      <x:c r="O14" s="46"/>
      <x:c r="P14" s="46" t="str">
        <x:v>LRI + NIST MS</x:v>
      </x:c>
      <x:c r="Q14" s="46" t="str">
        <x:v>named_source_compound</x:v>
      </x:c>
      <x:c r="R14" s="46" t="str">
        <x:v>fresh_membership_supported</x:v>
      </x:c>
      <x:c r="S14" s="46" t="str">
        <x:v>Table-2 inventory is reported as found across all four studied species at different stages; source further states no frozen-thawed volatile appeared that was not already present in the fresh fish.</x:v>
      </x:c>
    </x:row>
    <x:row r="15" ht="26.399999618530273" hidden="0" customHeight="1">
      <x:c r="A15" s="46" t="str">
        <x:v>DFC-RAW-014</x:v>
      </x:c>
      <x:c r="B15" s="46" t="str">
        <x:v>fish:atlantic_cod</x:v>
      </x:c>
      <x:c r="C15" s="46" t="str">
        <x:v>family:seafood_finfish</x:v>
      </x:c>
      <x:c r="D15" s="46" t="str">
        <x:v>fresh raw fillet</x:v>
      </x:c>
      <x:c r="E15" s="46" t="str">
        <x:v>SRC-FISH-COD-SALMON-RAW-IDQA-001</x:v>
      </x:c>
      <x:c r="F15" s="46" t="str">
        <x:v>Aldehydes</x:v>
      </x:c>
      <x:c r="G15" s="46" t="str">
        <x:v>Propanal</x:v>
      </x:c>
      <x:c r="H15" s="46" t="str">
        <x:v>Propanal</x:v>
      </x:c>
      <x:c r="I15" s="46" t="str">
        <x:v>f</x:v>
      </x:c>
      <x:c r="J15" s="46" t="str">
        <x:v>&lt;500</x:v>
      </x:c>
      <x:c r="K15" s="46"/>
      <x:c r="L15" s="46" t="n">
        <x:v>58</x:v>
      </x:c>
      <x:c r="M15" s="46" t="str">
        <x:v>MS, LRI, Std</x:v>
      </x:c>
      <x:c r="N15" s="46" t="str">
        <x:v>yes</x:v>
      </x:c>
      <x:c r="O15" s="46"/>
      <x:c r="P15" s="46" t="str">
        <x:v>LRI + NIST MS + authentic standard</x:v>
      </x:c>
      <x:c r="Q15" s="46" t="str">
        <x:v>named_source_compound</x:v>
      </x:c>
      <x:c r="R15" s="46" t="str">
        <x:v>fresh_membership_supported</x:v>
      </x:c>
      <x:c r="S15" s="46" t="str">
        <x:v>Table-2 inventory is reported as found across all four studied species at different stages; source further states no frozen-thawed volatile appeared that was not already present in the fresh fish.</x:v>
      </x:c>
    </x:row>
    <x:row r="16" ht="26.399999618530273" hidden="0" customHeight="1">
      <x:c r="A16" s="46" t="str">
        <x:v>DFC-RAW-015</x:v>
      </x:c>
      <x:c r="B16" s="46" t="str">
        <x:v>fish:atlantic_cod</x:v>
      </x:c>
      <x:c r="C16" s="46" t="str">
        <x:v>family:seafood_finfish</x:v>
      </x:c>
      <x:c r="D16" s="46" t="str">
        <x:v>fresh raw fillet</x:v>
      </x:c>
      <x:c r="E16" s="46" t="str">
        <x:v>SRC-FISH-COD-SALMON-RAW-IDQA-001</x:v>
      </x:c>
      <x:c r="F16" s="46" t="str">
        <x:v>Aldehydes</x:v>
      </x:c>
      <x:c r="G16" s="46" t="str">
        <x:v>2-methylpropanal</x:v>
      </x:c>
      <x:c r="H16" s="46" t="str">
        <x:v>2-methylpropanal</x:v>
      </x:c>
      <x:c r="I16" s="46" t="str">
        <x:v>m</x:v>
      </x:c>
      <x:c r="J16" s="46" t="str">
        <x:v>554</x:v>
      </x:c>
      <x:c r="K16" s="46" t="n">
        <x:v>554</x:v>
      </x:c>
      <x:c r="L16" s="46" t="n">
        <x:v>41</x:v>
      </x:c>
      <x:c r="M16" s="46" t="str">
        <x:v>MS, LRI, Std</x:v>
      </x:c>
      <x:c r="N16" s="46" t="str">
        <x:v>yes</x:v>
      </x:c>
      <x:c r="O16" s="46"/>
      <x:c r="P16" s="46" t="str">
        <x:v>LRI + NIST MS + authentic standard</x:v>
      </x:c>
      <x:c r="Q16" s="46" t="str">
        <x:v>named_source_compound</x:v>
      </x:c>
      <x:c r="R16" s="46" t="str">
        <x:v>fresh_membership_supported</x:v>
      </x:c>
      <x:c r="S16" s="46" t="str">
        <x:v>Table-2 inventory is reported as found across all four studied species at different stages; source further states no frozen-thawed volatile appeared that was not already present in the fresh fish.</x:v>
      </x:c>
    </x:row>
    <x:row r="17" ht="26.399999618530273" hidden="0" customHeight="1">
      <x:c r="A17" s="46" t="str">
        <x:v>DFC-RAW-016</x:v>
      </x:c>
      <x:c r="B17" s="46" t="str">
        <x:v>fish:atlantic_cod</x:v>
      </x:c>
      <x:c r="C17" s="46" t="str">
        <x:v>family:seafood_finfish</x:v>
      </x:c>
      <x:c r="D17" s="46" t="str">
        <x:v>fresh raw fillet</x:v>
      </x:c>
      <x:c r="E17" s="46" t="str">
        <x:v>SRC-FISH-COD-SALMON-RAW-IDQA-001</x:v>
      </x:c>
      <x:c r="F17" s="46" t="str">
        <x:v>Aldehydes</x:v>
      </x:c>
      <x:c r="G17" s="46" t="str">
        <x:v>Butanal</x:v>
      </x:c>
      <x:c r="H17" s="46" t="str">
        <x:v>Butanal</x:v>
      </x:c>
      <x:c r="I17" s="46" t="str">
        <x:v>o</x:v>
      </x:c>
      <x:c r="J17" s="46" t="str">
        <x:v>596</x:v>
      </x:c>
      <x:c r="K17" s="46" t="n">
        <x:v>596</x:v>
      </x:c>
      <x:c r="L17" s="46" t="n">
        <x:v>44</x:v>
      </x:c>
      <x:c r="M17" s="46" t="str">
        <x:v>MS, LRI, Std</x:v>
      </x:c>
      <x:c r="N17" s="46" t="str">
        <x:v>yes</x:v>
      </x:c>
      <x:c r="O17" s="46"/>
      <x:c r="P17" s="46" t="str">
        <x:v>LRI + NIST MS + authentic standard</x:v>
      </x:c>
      <x:c r="Q17" s="46" t="str">
        <x:v>named_source_compound</x:v>
      </x:c>
      <x:c r="R17" s="46" t="str">
        <x:v>fresh_membership_supported</x:v>
      </x:c>
      <x:c r="S17" s="46" t="str">
        <x:v>Table-2 inventory is reported as found across all four studied species at different stages; source further states no frozen-thawed volatile appeared that was not already present in the fresh fish.</x:v>
      </x:c>
    </x:row>
    <x:row r="18" ht="26.399999618530273" hidden="0" customHeight="1">
      <x:c r="A18" s="46" t="str">
        <x:v>DFC-RAW-017</x:v>
      </x:c>
      <x:c r="B18" s="46" t="str">
        <x:v>fish:atlantic_cod</x:v>
      </x:c>
      <x:c r="C18" s="46" t="str">
        <x:v>family:seafood_finfish</x:v>
      </x:c>
      <x:c r="D18" s="46" t="str">
        <x:v>fresh raw fillet</x:v>
      </x:c>
      <x:c r="E18" s="46" t="str">
        <x:v>SRC-FISH-COD-SALMON-RAW-IDQA-001</x:v>
      </x:c>
      <x:c r="F18" s="46" t="str">
        <x:v>Aldehydes</x:v>
      </x:c>
      <x:c r="G18" s="46" t="str">
        <x:v>2-butenal</x:v>
      </x:c>
      <x:c r="H18" s="46" t="str">
        <x:v>2-butenal</x:v>
      </x:c>
      <x:c r="I18" s="46" t="str">
        <x:v>v</x:v>
      </x:c>
      <x:c r="J18" s="46" t="str">
        <x:v>649</x:v>
      </x:c>
      <x:c r="K18" s="46" t="n">
        <x:v>649</x:v>
      </x:c>
      <x:c r="L18" s="46" t="n">
        <x:v>70</x:v>
      </x:c>
      <x:c r="M18" s="46" t="str">
        <x:v>MS, LRI, Std</x:v>
      </x:c>
      <x:c r="N18" s="46" t="str">
        <x:v>yes</x:v>
      </x:c>
      <x:c r="O18" s="46"/>
      <x:c r="P18" s="46" t="str">
        <x:v>LRI + NIST MS + authentic standard</x:v>
      </x:c>
      <x:c r="Q18" s="46" t="str">
        <x:v>named_source_compound</x:v>
      </x:c>
      <x:c r="R18" s="46" t="str">
        <x:v>fresh_membership_supported</x:v>
      </x:c>
      <x:c r="S18" s="46" t="str">
        <x:v>Table-2 inventory is reported as found across all four studied species at different stages; source further states no frozen-thawed volatile appeared that was not already present in the fresh fish.</x:v>
      </x:c>
    </x:row>
    <x:row r="19" ht="26.399999618530273" hidden="0" customHeight="1">
      <x:c r="A19" s="46" t="str">
        <x:v>DFC-RAW-018</x:v>
      </x:c>
      <x:c r="B19" s="46" t="str">
        <x:v>fish:atlantic_cod</x:v>
      </x:c>
      <x:c r="C19" s="46" t="str">
        <x:v>family:seafood_finfish</x:v>
      </x:c>
      <x:c r="D19" s="46" t="str">
        <x:v>fresh raw fillet</x:v>
      </x:c>
      <x:c r="E19" s="46" t="str">
        <x:v>SRC-FISH-COD-SALMON-RAW-IDQA-001</x:v>
      </x:c>
      <x:c r="F19" s="46" t="str">
        <x:v>Aldehydes</x:v>
      </x:c>
      <x:c r="G19" s="46" t="str">
        <x:v>3-methylbutanal</x:v>
      </x:c>
      <x:c r="H19" s="46" t="str">
        <x:v>3-methylbutanal</x:v>
      </x:c>
      <x:c r="I19" s="46" t="str">
        <x:v>w</x:v>
      </x:c>
      <x:c r="J19" s="46" t="str">
        <x:v>653</x:v>
      </x:c>
      <x:c r="K19" s="46" t="n">
        <x:v>653</x:v>
      </x:c>
      <x:c r="L19" s="46" t="n">
        <x:v>58</x:v>
      </x:c>
      <x:c r="M19" s="46" t="str">
        <x:v>MS, LRI, Std</x:v>
      </x:c>
      <x:c r="N19" s="46" t="str">
        <x:v>yes</x:v>
      </x:c>
      <x:c r="O19" s="46"/>
      <x:c r="P19" s="46" t="str">
        <x:v>LRI + NIST MS + authentic standard</x:v>
      </x:c>
      <x:c r="Q19" s="46" t="str">
        <x:v>named_source_compound</x:v>
      </x:c>
      <x:c r="R19" s="46" t="str">
        <x:v>fresh_membership_supported</x:v>
      </x:c>
      <x:c r="S19" s="46" t="str">
        <x:v>Table-2 inventory is reported as found across all four studied species at different stages; source further states no frozen-thawed volatile appeared that was not already present in the fresh fish.</x:v>
      </x:c>
    </x:row>
    <x:row r="20" ht="26.399999618530273" hidden="0" customHeight="1">
      <x:c r="A20" s="46" t="str">
        <x:v>DFC-RAW-019</x:v>
      </x:c>
      <x:c r="B20" s="46" t="str">
        <x:v>fish:atlantic_cod</x:v>
      </x:c>
      <x:c r="C20" s="46" t="str">
        <x:v>family:seafood_finfish</x:v>
      </x:c>
      <x:c r="D20" s="46" t="str">
        <x:v>fresh raw fillet</x:v>
      </x:c>
      <x:c r="E20" s="46" t="str">
        <x:v>SRC-FISH-COD-SALMON-RAW-IDQA-001</x:v>
      </x:c>
      <x:c r="F20" s="46" t="str">
        <x:v>Aldehydes</x:v>
      </x:c>
      <x:c r="G20" s="46" t="str">
        <x:v>2-methylbutanal</x:v>
      </x:c>
      <x:c r="H20" s="46" t="str">
        <x:v>2-methylbutanal</x:v>
      </x:c>
      <x:c r="I20" s="46" t="str">
        <x:v>y</x:v>
      </x:c>
      <x:c r="J20" s="46" t="str">
        <x:v>663</x:v>
      </x:c>
      <x:c r="K20" s="46" t="n">
        <x:v>663</x:v>
      </x:c>
      <x:c r="L20" s="46" t="n">
        <x:v>57</x:v>
      </x:c>
      <x:c r="M20" s="46" t="str">
        <x:v>MS, LRI, Std</x:v>
      </x:c>
      <x:c r="N20" s="46" t="str">
        <x:v>yes</x:v>
      </x:c>
      <x:c r="O20" s="46"/>
      <x:c r="P20" s="46" t="str">
        <x:v>LRI + NIST MS + authentic standard</x:v>
      </x:c>
      <x:c r="Q20" s="46" t="str">
        <x:v>named_source_compound</x:v>
      </x:c>
      <x:c r="R20" s="46" t="str">
        <x:v>fresh_membership_supported</x:v>
      </x:c>
      <x:c r="S20" s="46" t="str">
        <x:v>Table-2 inventory is reported as found across all four studied species at different stages; source further states no frozen-thawed volatile appeared that was not already present in the fresh fish.</x:v>
      </x:c>
    </x:row>
    <x:row r="21" ht="26.399999618530273" hidden="0" customHeight="1">
      <x:c r="A21" s="46" t="str">
        <x:v>DFC-RAW-020</x:v>
      </x:c>
      <x:c r="B21" s="46" t="str">
        <x:v>fish:atlantic_cod</x:v>
      </x:c>
      <x:c r="C21" s="46" t="str">
        <x:v>family:seafood_finfish</x:v>
      </x:c>
      <x:c r="D21" s="46" t="str">
        <x:v>fresh raw fillet</x:v>
      </x:c>
      <x:c r="E21" s="46" t="str">
        <x:v>SRC-FISH-COD-SALMON-RAW-IDQA-001</x:v>
      </x:c>
      <x:c r="F21" s="46" t="str">
        <x:v>Aldehydes</x:v>
      </x:c>
      <x:c r="G21" s="46" t="str">
        <x:v>Pentanal</x:v>
      </x:c>
      <x:c r="H21" s="46" t="str">
        <x:v>Pentanal</x:v>
      </x:c>
      <x:c r="I21" s="46" t="str">
        <x:v>ad</x:v>
      </x:c>
      <x:c r="J21" s="46" t="str">
        <x:v>696</x:v>
      </x:c>
      <x:c r="K21" s="46" t="n">
        <x:v>696</x:v>
      </x:c>
      <x:c r="L21" s="46" t="n">
        <x:v>58</x:v>
      </x:c>
      <x:c r="M21" s="46" t="str">
        <x:v>MS, LRI, Std</x:v>
      </x:c>
      <x:c r="N21" s="46" t="str">
        <x:v>yes</x:v>
      </x:c>
      <x:c r="O21" s="46"/>
      <x:c r="P21" s="46" t="str">
        <x:v>LRI + NIST MS + authentic standard</x:v>
      </x:c>
      <x:c r="Q21" s="46" t="str">
        <x:v>named_source_compound</x:v>
      </x:c>
      <x:c r="R21" s="46" t="str">
        <x:v>fresh_membership_supported</x:v>
      </x:c>
      <x:c r="S21" s="46" t="str">
        <x:v>Table-2 inventory is reported as found across all four studied species at different stages; source further states no frozen-thawed volatile appeared that was not already present in the fresh fish.</x:v>
      </x:c>
    </x:row>
    <x:row r="22" ht="26.399999618530273" hidden="0" customHeight="1">
      <x:c r="A22" s="46" t="str">
        <x:v>DFC-RAW-021</x:v>
      </x:c>
      <x:c r="B22" s="46" t="str">
        <x:v>fish:atlantic_cod</x:v>
      </x:c>
      <x:c r="C22" s="46" t="str">
        <x:v>family:seafood_finfish</x:v>
      </x:c>
      <x:c r="D22" s="46" t="str">
        <x:v>fresh raw fillet</x:v>
      </x:c>
      <x:c r="E22" s="46" t="str">
        <x:v>SRC-FISH-COD-SALMON-RAW-IDQA-001</x:v>
      </x:c>
      <x:c r="F22" s="46" t="str">
        <x:v>Aldehydes</x:v>
      </x:c>
      <x:c r="G22" s="46" t="str">
        <x:v>(E)-2-pentenal</x:v>
      </x:c>
      <x:c r="H22" s="46" t="str">
        <x:v>(E)-2-pentenal</x:v>
      </x:c>
      <x:c r="I22" s="46" t="str">
        <x:v>al</x:v>
      </x:c>
      <x:c r="J22" s="46" t="str">
        <x:v>750</x:v>
      </x:c>
      <x:c r="K22" s="46" t="n">
        <x:v>750</x:v>
      </x:c>
      <x:c r="L22" s="46" t="n">
        <x:v>83</x:v>
      </x:c>
      <x:c r="M22" s="46" t="str">
        <x:v>MS, LRI</x:v>
      </x:c>
      <x:c r="N22" s="46" t="str">
        <x:v>no</x:v>
      </x:c>
      <x:c r="O22" s="46"/>
      <x:c r="P22" s="46" t="str">
        <x:v>LRI + NIST MS</x:v>
      </x:c>
      <x:c r="Q22" s="46" t="str">
        <x:v>named_source_compound</x:v>
      </x:c>
      <x:c r="R22" s="46" t="str">
        <x:v>fresh_membership_supported</x:v>
      </x:c>
      <x:c r="S22" s="46" t="str">
        <x:v>Table-2 inventory is reported as found across all four studied species at different stages; source further states no frozen-thawed volatile appeared that was not already present in the fresh fish.</x:v>
      </x:c>
    </x:row>
    <x:row r="23" ht="26.399999618530273" hidden="0" customHeight="1">
      <x:c r="A23" s="46" t="str">
        <x:v>DFC-RAW-022</x:v>
      </x:c>
      <x:c r="B23" s="46" t="str">
        <x:v>fish:atlantic_cod</x:v>
      </x:c>
      <x:c r="C23" s="46" t="str">
        <x:v>family:seafood_finfish</x:v>
      </x:c>
      <x:c r="D23" s="46" t="str">
        <x:v>fresh raw fillet</x:v>
      </x:c>
      <x:c r="E23" s="46" t="str">
        <x:v>SRC-FISH-COD-SALMON-RAW-IDQA-001</x:v>
      </x:c>
      <x:c r="F23" s="46" t="str">
        <x:v>Aldehydes</x:v>
      </x:c>
      <x:c r="G23" s="46" t="str">
        <x:v>Hexanal</x:v>
      </x:c>
      <x:c r="H23" s="46" t="str">
        <x:v>Hexanal</x:v>
      </x:c>
      <x:c r="I23" s="46" t="str">
        <x:v>ar</x:v>
      </x:c>
      <x:c r="J23" s="46" t="str">
        <x:v>789</x:v>
      </x:c>
      <x:c r="K23" s="46" t="n">
        <x:v>789</x:v>
      </x:c>
      <x:c r="L23" s="46" t="n">
        <x:v>44</x:v>
      </x:c>
      <x:c r="M23" s="46" t="str">
        <x:v>MS, LRI, Std</x:v>
      </x:c>
      <x:c r="N23" s="46" t="str">
        <x:v>yes</x:v>
      </x:c>
      <x:c r="O23" s="46"/>
      <x:c r="P23" s="46" t="str">
        <x:v>LRI + NIST MS + authentic standard</x:v>
      </x:c>
      <x:c r="Q23" s="46" t="str">
        <x:v>named_source_compound</x:v>
      </x:c>
      <x:c r="R23" s="46" t="str">
        <x:v>fresh_membership_supported</x:v>
      </x:c>
      <x:c r="S23" s="46" t="str">
        <x:v>Table-2 inventory is reported as found across all four studied species at different stages; source further states no frozen-thawed volatile appeared that was not already present in the fresh fish.</x:v>
      </x:c>
    </x:row>
    <x:row r="24" ht="26.399999618530273" hidden="0" customHeight="1">
      <x:c r="A24" s="46" t="str">
        <x:v>DFC-RAW-023</x:v>
      </x:c>
      <x:c r="B24" s="46" t="str">
        <x:v>fish:atlantic_cod</x:v>
      </x:c>
      <x:c r="C24" s="46" t="str">
        <x:v>family:seafood_finfish</x:v>
      </x:c>
      <x:c r="D24" s="46" t="str">
        <x:v>fresh raw fillet</x:v>
      </x:c>
      <x:c r="E24" s="46" t="str">
        <x:v>SRC-FISH-COD-SALMON-RAW-IDQA-001</x:v>
      </x:c>
      <x:c r="F24" s="46" t="str">
        <x:v>Aldehydes</x:v>
      </x:c>
      <x:c r="G24" s="46" t="str">
        <x:v>(E)-2-hexenal</x:v>
      </x:c>
      <x:c r="H24" s="46" t="str">
        <x:v>(E)-2-hexenal</x:v>
      </x:c>
      <x:c r="I24" s="46" t="str">
        <x:v>at</x:v>
      </x:c>
      <x:c r="J24" s="46" t="str">
        <x:v>851</x:v>
      </x:c>
      <x:c r="K24" s="46" t="n">
        <x:v>851</x:v>
      </x:c>
      <x:c r="L24" s="46" t="n">
        <x:v>83</x:v>
      </x:c>
      <x:c r="M24" s="46" t="str">
        <x:v>MS, LRI</x:v>
      </x:c>
      <x:c r="N24" s="46" t="str">
        <x:v>no</x:v>
      </x:c>
      <x:c r="O24" s="46"/>
      <x:c r="P24" s="46" t="str">
        <x:v>LRI + NIST MS</x:v>
      </x:c>
      <x:c r="Q24" s="46" t="str">
        <x:v>named_source_compound</x:v>
      </x:c>
      <x:c r="R24" s="46" t="str">
        <x:v>fresh_membership_supported</x:v>
      </x:c>
      <x:c r="S24" s="46" t="str">
        <x:v>Table-2 inventory is reported as found across all four studied species at different stages; source further states no frozen-thawed volatile appeared that was not already present in the fresh fish.</x:v>
      </x:c>
    </x:row>
    <x:row r="25" ht="26.399999618530273" hidden="0" customHeight="1">
      <x:c r="A25" s="46" t="str">
        <x:v>DFC-RAW-024</x:v>
      </x:c>
      <x:c r="B25" s="46" t="str">
        <x:v>fish:atlantic_cod</x:v>
      </x:c>
      <x:c r="C25" s="46" t="str">
        <x:v>family:seafood_finfish</x:v>
      </x:c>
      <x:c r="D25" s="46" t="str">
        <x:v>fresh raw fillet</x:v>
      </x:c>
      <x:c r="E25" s="46" t="str">
        <x:v>SRC-FISH-COD-SALMON-RAW-IDQA-001</x:v>
      </x:c>
      <x:c r="F25" s="46" t="str">
        <x:v>Aldehydes</x:v>
      </x:c>
      <x:c r="G25" s="46" t="str">
        <x:v>(Z)-4-heptenal</x:v>
      </x:c>
      <x:c r="H25" s="46" t="str">
        <x:v>(Z)-4-heptenal</x:v>
      </x:c>
      <x:c r="I25" s="46" t="str">
        <x:v>bc</x:v>
      </x:c>
      <x:c r="J25" s="46" t="str">
        <x:v>898</x:v>
      </x:c>
      <x:c r="K25" s="46" t="n">
        <x:v>898</x:v>
      </x:c>
      <x:c r="L25" s="46" t="n">
        <x:v>84</x:v>
      </x:c>
      <x:c r="M25" s="46" t="str">
        <x:v>MS, LRI</x:v>
      </x:c>
      <x:c r="N25" s="46" t="str">
        <x:v>no</x:v>
      </x:c>
      <x:c r="O25" s="46"/>
      <x:c r="P25" s="46" t="str">
        <x:v>LRI + NIST MS</x:v>
      </x:c>
      <x:c r="Q25" s="46" t="str">
        <x:v>named_source_compound</x:v>
      </x:c>
      <x:c r="R25" s="46" t="str">
        <x:v>fresh_membership_supported</x:v>
      </x:c>
      <x:c r="S25" s="46" t="str">
        <x:v>Table-2 inventory is reported as found across all four studied species at different stages; source further states no frozen-thawed volatile appeared that was not already present in the fresh fish.</x:v>
      </x:c>
    </x:row>
    <x:row r="26" ht="26.399999618530273" hidden="0" customHeight="1">
      <x:c r="A26" s="46" t="str">
        <x:v>DFC-RAW-025</x:v>
      </x:c>
      <x:c r="B26" s="46" t="str">
        <x:v>fish:atlantic_cod</x:v>
      </x:c>
      <x:c r="C26" s="46" t="str">
        <x:v>family:seafood_finfish</x:v>
      </x:c>
      <x:c r="D26" s="46" t="str">
        <x:v>fresh raw fillet</x:v>
      </x:c>
      <x:c r="E26" s="46" t="str">
        <x:v>SRC-FISH-COD-SALMON-RAW-IDQA-001</x:v>
      </x:c>
      <x:c r="F26" s="46" t="str">
        <x:v>Aldehydes</x:v>
      </x:c>
      <x:c r="G26" s="46" t="str">
        <x:v>Heptanal</x:v>
      </x:c>
      <x:c r="H26" s="46" t="str">
        <x:v>Heptanal</x:v>
      </x:c>
      <x:c r="I26" s="46" t="str">
        <x:v>bd</x:v>
      </x:c>
      <x:c r="J26" s="46" t="str">
        <x:v>900</x:v>
      </x:c>
      <x:c r="K26" s="46" t="n">
        <x:v>900</x:v>
      </x:c>
      <x:c r="L26" s="46" t="n">
        <x:v>70</x:v>
      </x:c>
      <x:c r="M26" s="46" t="str">
        <x:v>MS, LRI, Std</x:v>
      </x:c>
      <x:c r="N26" s="46" t="str">
        <x:v>yes</x:v>
      </x:c>
      <x:c r="O26" s="46"/>
      <x:c r="P26" s="46" t="str">
        <x:v>LRI + NIST MS + authentic standard</x:v>
      </x:c>
      <x:c r="Q26" s="46" t="str">
        <x:v>named_source_compound</x:v>
      </x:c>
      <x:c r="R26" s="46" t="str">
        <x:v>fresh_membership_supported</x:v>
      </x:c>
      <x:c r="S26" s="46" t="str">
        <x:v>Table-2 inventory is reported as found across all four studied species at different stages; source further states no frozen-thawed volatile appeared that was not already present in the fresh fish.</x:v>
      </x:c>
    </x:row>
    <x:row r="27" ht="26.399999618530273" hidden="0" customHeight="1">
      <x:c r="A27" s="46" t="str">
        <x:v>DFC-RAW-026</x:v>
      </x:c>
      <x:c r="B27" s="46" t="str">
        <x:v>fish:atlantic_cod</x:v>
      </x:c>
      <x:c r="C27" s="46" t="str">
        <x:v>family:seafood_finfish</x:v>
      </x:c>
      <x:c r="D27" s="46" t="str">
        <x:v>fresh raw fillet</x:v>
      </x:c>
      <x:c r="E27" s="46" t="str">
        <x:v>SRC-FISH-COD-SALMON-RAW-IDQA-001</x:v>
      </x:c>
      <x:c r="F27" s="46" t="str">
        <x:v>Aldehydes</x:v>
      </x:c>
      <x:c r="G27" s="46" t="str">
        <x:v>2,4-hexadienal</x:v>
      </x:c>
      <x:c r="H27" s="46" t="str">
        <x:v>2,4-hexadienal</x:v>
      </x:c>
      <x:c r="I27" s="46" t="str">
        <x:v>be</x:v>
      </x:c>
      <x:c r="J27" s="46" t="str">
        <x:v>910</x:v>
      </x:c>
      <x:c r="K27" s="46" t="n">
        <x:v>910</x:v>
      </x:c>
      <x:c r="L27" s="46" t="n">
        <x:v>81</x:v>
      </x:c>
      <x:c r="M27" s="46" t="str">
        <x:v>MS, LRI</x:v>
      </x:c>
      <x:c r="N27" s="46" t="str">
        <x:v>no</x:v>
      </x:c>
      <x:c r="O27" s="46"/>
      <x:c r="P27" s="46" t="str">
        <x:v>LRI + NIST MS</x:v>
      </x:c>
      <x:c r="Q27" s="46" t="str">
        <x:v>named_source_compound</x:v>
      </x:c>
      <x:c r="R27" s="46" t="str">
        <x:v>fresh_membership_supported</x:v>
      </x:c>
      <x:c r="S27" s="46" t="str">
        <x:v>Table-2 inventory is reported as found across all four studied species at different stages; source further states no frozen-thawed volatile appeared that was not already present in the fresh fish.</x:v>
      </x:c>
    </x:row>
    <x:row r="28" ht="26.399999618530273" hidden="0" customHeight="1">
      <x:c r="A28" s="46" t="str">
        <x:v>DFC-RAW-027</x:v>
      </x:c>
      <x:c r="B28" s="46" t="str">
        <x:v>fish:atlantic_cod</x:v>
      </x:c>
      <x:c r="C28" s="46" t="str">
        <x:v>family:seafood_finfish</x:v>
      </x:c>
      <x:c r="D28" s="46" t="str">
        <x:v>fresh raw fillet</x:v>
      </x:c>
      <x:c r="E28" s="46" t="str">
        <x:v>SRC-FISH-COD-SALMON-RAW-IDQA-001</x:v>
      </x:c>
      <x:c r="F28" s="46" t="str">
        <x:v>Aldehydes</x:v>
      </x:c>
      <x:c r="G28" s="46" t="str">
        <x:v>(E)-2-heptenal</x:v>
      </x:c>
      <x:c r="H28" s="46" t="str">
        <x:v>(E)-2-heptenal</x:v>
      </x:c>
      <x:c r="I28" s="46" t="str">
        <x:v>bk</x:v>
      </x:c>
      <x:c r="J28" s="46" t="str">
        <x:v>961</x:v>
      </x:c>
      <x:c r="K28" s="46" t="n">
        <x:v>961</x:v>
      </x:c>
      <x:c r="L28" s="46" t="n">
        <x:v>41</x:v>
      </x:c>
      <x:c r="M28" s="46" t="str">
        <x:v>MS, LRI, Std</x:v>
      </x:c>
      <x:c r="N28" s="46" t="str">
        <x:v>yes</x:v>
      </x:c>
      <x:c r="O28" s="46"/>
      <x:c r="P28" s="46" t="str">
        <x:v>LRI + NIST MS + authentic standard</x:v>
      </x:c>
      <x:c r="Q28" s="46" t="str">
        <x:v>named_source_compound</x:v>
      </x:c>
      <x:c r="R28" s="46" t="str">
        <x:v>fresh_membership_supported</x:v>
      </x:c>
      <x:c r="S28" s="46" t="str">
        <x:v>Table-2 inventory is reported as found across all four studied species at different stages; source further states no frozen-thawed volatile appeared that was not already present in the fresh fish.</x:v>
      </x:c>
    </x:row>
    <x:row r="29" ht="26.399999618530273" hidden="0" customHeight="1">
      <x:c r="A29" s="46" t="str">
        <x:v>DFC-RAW-028</x:v>
      </x:c>
      <x:c r="B29" s="46" t="str">
        <x:v>fish:atlantic_cod</x:v>
      </x:c>
      <x:c r="C29" s="46" t="str">
        <x:v>family:seafood_finfish</x:v>
      </x:c>
      <x:c r="D29" s="46" t="str">
        <x:v>fresh raw fillet</x:v>
      </x:c>
      <x:c r="E29" s="46" t="str">
        <x:v>SRC-FISH-COD-SALMON-RAW-IDQA-001</x:v>
      </x:c>
      <x:c r="F29" s="46" t="str">
        <x:v>Aldehydes</x:v>
      </x:c>
      <x:c r="G29" s="46" t="str">
        <x:v>Benzaldehyde</x:v>
      </x:c>
      <x:c r="H29" s="46" t="str">
        <x:v>Benzaldehyde</x:v>
      </x:c>
      <x:c r="I29" s="46" t="str">
        <x:v>bl</x:v>
      </x:c>
      <x:c r="J29" s="46" t="str">
        <x:v>969</x:v>
      </x:c>
      <x:c r="K29" s="46" t="n">
        <x:v>969</x:v>
      </x:c>
      <x:c r="L29" s="46" t="n">
        <x:v>106</x:v>
      </x:c>
      <x:c r="M29" s="46" t="str">
        <x:v>MS, LRI, Std</x:v>
      </x:c>
      <x:c r="N29" s="46" t="str">
        <x:v>yes</x:v>
      </x:c>
      <x:c r="O29" s="46"/>
      <x:c r="P29" s="46" t="str">
        <x:v>LRI + NIST MS + authentic standard</x:v>
      </x:c>
      <x:c r="Q29" s="46" t="str">
        <x:v>named_source_compound</x:v>
      </x:c>
      <x:c r="R29" s="46" t="str">
        <x:v>fresh_membership_supported</x:v>
      </x:c>
      <x:c r="S29" s="46" t="str">
        <x:v>Table-2 inventory is reported as found across all four studied species at different stages; source further states no frozen-thawed volatile appeared that was not already present in the fresh fish.</x:v>
      </x:c>
    </x:row>
    <x:row r="30" ht="26.399999618530273" hidden="0" customHeight="1">
      <x:c r="A30" s="46" t="str">
        <x:v>DFC-RAW-029</x:v>
      </x:c>
      <x:c r="B30" s="46" t="str">
        <x:v>fish:atlantic_cod</x:v>
      </x:c>
      <x:c r="C30" s="46" t="str">
        <x:v>family:seafood_finfish</x:v>
      </x:c>
      <x:c r="D30" s="46" t="str">
        <x:v>fresh raw fillet</x:v>
      </x:c>
      <x:c r="E30" s="46" t="str">
        <x:v>SRC-FISH-COD-SALMON-RAW-IDQA-001</x:v>
      </x:c>
      <x:c r="F30" s="46" t="str">
        <x:v>Aldehydes</x:v>
      </x:c>
      <x:c r="G30" s="46" t="str">
        <x:v>2,4-heptadienal</x:v>
      </x:c>
      <x:c r="H30" s="46" t="str">
        <x:v>2,4-heptadienal</x:v>
      </x:c>
      <x:c r="I30" s="46" t="str">
        <x:v>br</x:v>
      </x:c>
      <x:c r="J30" s="46" t="str">
        <x:v>1000</x:v>
      </x:c>
      <x:c r="K30" s="46" t="n">
        <x:v>1000</x:v>
      </x:c>
      <x:c r="L30" s="46" t="n">
        <x:v>81</x:v>
      </x:c>
      <x:c r="M30" s="46" t="str">
        <x:v>MS, LRI</x:v>
      </x:c>
      <x:c r="N30" s="46" t="str">
        <x:v>no</x:v>
      </x:c>
      <x:c r="O30" s="46"/>
      <x:c r="P30" s="46" t="str">
        <x:v>LRI + NIST MS</x:v>
      </x:c>
      <x:c r="Q30" s="46" t="str">
        <x:v>named_source_compound</x:v>
      </x:c>
      <x:c r="R30" s="46" t="str">
        <x:v>fresh_membership_supported</x:v>
      </x:c>
      <x:c r="S30" s="46" t="str">
        <x:v>Table-2 inventory is reported as found across all four studied species at different stages; source further states no frozen-thawed volatile appeared that was not already present in the fresh fish.</x:v>
      </x:c>
    </x:row>
    <x:row r="31" ht="26.399999618530273" hidden="0" customHeight="1">
      <x:c r="A31" s="46" t="str">
        <x:v>DFC-RAW-030</x:v>
      </x:c>
      <x:c r="B31" s="46" t="str">
        <x:v>fish:atlantic_cod</x:v>
      </x:c>
      <x:c r="C31" s="46" t="str">
        <x:v>family:seafood_finfish</x:v>
      </x:c>
      <x:c r="D31" s="46" t="str">
        <x:v>fresh raw fillet</x:v>
      </x:c>
      <x:c r="E31" s="46" t="str">
        <x:v>SRC-FISH-COD-SALMON-RAW-IDQA-001</x:v>
      </x:c>
      <x:c r="F31" s="46" t="str">
        <x:v>Aldehydes</x:v>
      </x:c>
      <x:c r="G31" s="46" t="str">
        <x:v>Octanal</x:v>
      </x:c>
      <x:c r="H31" s="46" t="str">
        <x:v>Octanal</x:v>
      </x:c>
      <x:c r="I31" s="46" t="str">
        <x:v>bs</x:v>
      </x:c>
      <x:c r="J31" s="46" t="str">
        <x:v>1002</x:v>
      </x:c>
      <x:c r="K31" s="46" t="n">
        <x:v>1002</x:v>
      </x:c>
      <x:c r="L31" s="46" t="n">
        <x:v>84</x:v>
      </x:c>
      <x:c r="M31" s="46" t="str">
        <x:v>MS, LRI, Std</x:v>
      </x:c>
      <x:c r="N31" s="46" t="str">
        <x:v>yes</x:v>
      </x:c>
      <x:c r="O31" s="46"/>
      <x:c r="P31" s="46" t="str">
        <x:v>LRI + NIST MS + authentic standard</x:v>
      </x:c>
      <x:c r="Q31" s="46" t="str">
        <x:v>named_source_compound</x:v>
      </x:c>
      <x:c r="R31" s="46" t="str">
        <x:v>fresh_membership_supported</x:v>
      </x:c>
      <x:c r="S31" s="46" t="str">
        <x:v>Table-2 inventory is reported as found across all four studied species at different stages; source further states no frozen-thawed volatile appeared that was not already present in the fresh fish.</x:v>
      </x:c>
    </x:row>
    <x:row r="32" ht="26.399999618530273" hidden="0" customHeight="1">
      <x:c r="A32" s="46" t="str">
        <x:v>DFC-RAW-031</x:v>
      </x:c>
      <x:c r="B32" s="46" t="str">
        <x:v>fish:atlantic_cod</x:v>
      </x:c>
      <x:c r="C32" s="46" t="str">
        <x:v>family:seafood_finfish</x:v>
      </x:c>
      <x:c r="D32" s="46" t="str">
        <x:v>fresh raw fillet</x:v>
      </x:c>
      <x:c r="E32" s="46" t="str">
        <x:v>SRC-FISH-COD-SALMON-RAW-IDQA-001</x:v>
      </x:c>
      <x:c r="F32" s="46" t="str">
        <x:v>Aldehydes</x:v>
      </x:c>
      <x:c r="G32" s="46" t="str">
        <x:v>(E,E)-2,4-heptadienal</x:v>
      </x:c>
      <x:c r="H32" s="46" t="str">
        <x:v>(E,E)-2,4-heptadienal</x:v>
      </x:c>
      <x:c r="I32" s="46" t="str">
        <x:v>bu</x:v>
      </x:c>
      <x:c r="J32" s="46" t="str">
        <x:v>1015</x:v>
      </x:c>
      <x:c r="K32" s="46" t="n">
        <x:v>1015</x:v>
      </x:c>
      <x:c r="L32" s="46" t="n">
        <x:v>81</x:v>
      </x:c>
      <x:c r="M32" s="46" t="str">
        <x:v>MS, LRI</x:v>
      </x:c>
      <x:c r="N32" s="46" t="str">
        <x:v>no</x:v>
      </x:c>
      <x:c r="O32" s="46"/>
      <x:c r="P32" s="46" t="str">
        <x:v>LRI + NIST MS</x:v>
      </x:c>
      <x:c r="Q32" s="46" t="str">
        <x:v>named_source_compound</x:v>
      </x:c>
      <x:c r="R32" s="46" t="str">
        <x:v>fresh_membership_supported</x:v>
      </x:c>
      <x:c r="S32" s="46" t="str">
        <x:v>Table-2 inventory is reported as found across all four studied species at different stages; source further states no frozen-thawed volatile appeared that was not already present in the fresh fish.</x:v>
      </x:c>
    </x:row>
    <x:row r="33" ht="26.399999618530273" hidden="0" customHeight="1">
      <x:c r="A33" s="46" t="str">
        <x:v>DFC-RAW-032</x:v>
      </x:c>
      <x:c r="B33" s="46" t="str">
        <x:v>fish:atlantic_cod</x:v>
      </x:c>
      <x:c r="C33" s="46" t="str">
        <x:v>family:seafood_finfish</x:v>
      </x:c>
      <x:c r="D33" s="46" t="str">
        <x:v>fresh raw fillet</x:v>
      </x:c>
      <x:c r="E33" s="46" t="str">
        <x:v>SRC-FISH-COD-SALMON-RAW-IDQA-001</x:v>
      </x:c>
      <x:c r="F33" s="46" t="str">
        <x:v>Aldehydes</x:v>
      </x:c>
      <x:c r="G33" s="46" t="str">
        <x:v>(E)-2-octenal</x:v>
      </x:c>
      <x:c r="H33" s="46" t="str">
        <x:v>(E)-2-octenal</x:v>
      </x:c>
      <x:c r="I33" s="46" t="str">
        <x:v>dc</x:v>
      </x:c>
      <x:c r="J33" s="46" t="str">
        <x:v>1062</x:v>
      </x:c>
      <x:c r="K33" s="46" t="n">
        <x:v>1062</x:v>
      </x:c>
      <x:c r="L33" s="46" t="n">
        <x:v>70</x:v>
      </x:c>
      <x:c r="M33" s="46" t="str">
        <x:v>MS, LRI</x:v>
      </x:c>
      <x:c r="N33" s="46" t="str">
        <x:v>no</x:v>
      </x:c>
      <x:c r="O33" s="46"/>
      <x:c r="P33" s="46" t="str">
        <x:v>LRI + NIST MS</x:v>
      </x:c>
      <x:c r="Q33" s="46" t="str">
        <x:v>named_source_compound</x:v>
      </x:c>
      <x:c r="R33" s="46" t="str">
        <x:v>fresh_membership_supported</x:v>
      </x:c>
      <x:c r="S33" s="46" t="str">
        <x:v>Table-2 inventory is reported as found across all four studied species at different stages; source further states no frozen-thawed volatile appeared that was not already present in the fresh fish.</x:v>
      </x:c>
    </x:row>
    <x:row r="34" ht="26.399999618530273" hidden="0" customHeight="1">
      <x:c r="A34" s="46" t="str">
        <x:v>DFC-RAW-033</x:v>
      </x:c>
      <x:c r="B34" s="46" t="str">
        <x:v>fish:atlantic_cod</x:v>
      </x:c>
      <x:c r="C34" s="46" t="str">
        <x:v>family:seafood_finfish</x:v>
      </x:c>
      <x:c r="D34" s="46" t="str">
        <x:v>fresh raw fillet</x:v>
      </x:c>
      <x:c r="E34" s="46" t="str">
        <x:v>SRC-FISH-COD-SALMON-RAW-IDQA-001</x:v>
      </x:c>
      <x:c r="F34" s="46" t="str">
        <x:v>Aldehydes</x:v>
      </x:c>
      <x:c r="G34" s="46" t="str">
        <x:v>(E)-2-nonanal</x:v>
      </x:c>
      <x:c r="H34" s="46"/>
      <x:c r="I34" s="46" t="str">
        <x:v>dd</x:v>
      </x:c>
      <x:c r="J34" s="46" t="str">
        <x:v>1165</x:v>
      </x:c>
      <x:c r="K34" s="46" t="n">
        <x:v>1165</x:v>
      </x:c>
      <x:c r="L34" s="46" t="n">
        <x:v>57</x:v>
      </x:c>
      <x:c r="M34" s="46" t="str">
        <x:v>MS, LRI</x:v>
      </x:c>
      <x:c r="N34" s="46" t="str">
        <x:v>no</x:v>
      </x:c>
      <x:c r="O34" s="46"/>
      <x:c r="P34" s="46" t="str">
        <x:v>LRI + NIST MS</x:v>
      </x:c>
      <x:c r="Q34" s="46" t="str">
        <x:v>named_source_compound</x:v>
      </x:c>
      <x:c r="R34" s="46" t="str">
        <x:v>fresh_membership_supported</x:v>
      </x:c>
      <x:c r="S34" s="46" t="str">
        <x:v>Source prints '(E)-2-nonanal'; likely nomenclature issue. No silent correction to (E)-2-nonenal in governed identity.</x:v>
      </x:c>
    </x:row>
    <x:row r="35" ht="26.399999618530273" hidden="0" customHeight="1">
      <x:c r="A35" s="46" t="str">
        <x:v>DFC-RAW-034</x:v>
      </x:c>
      <x:c r="B35" s="46" t="str">
        <x:v>fish:atlantic_cod</x:v>
      </x:c>
      <x:c r="C35" s="46" t="str">
        <x:v>family:seafood_finfish</x:v>
      </x:c>
      <x:c r="D35" s="46" t="str">
        <x:v>fresh raw fillet</x:v>
      </x:c>
      <x:c r="E35" s="46" t="str">
        <x:v>SRC-FISH-COD-SALMON-RAW-IDQA-001</x:v>
      </x:c>
      <x:c r="F35" s="46" t="str">
        <x:v>Aldehydes</x:v>
      </x:c>
      <x:c r="G35" s="46" t="str">
        <x:v>Nonanal</x:v>
      </x:c>
      <x:c r="H35" s="46" t="str">
        <x:v>Nonanal</x:v>
      </x:c>
      <x:c r="I35" s="46" t="str">
        <x:v>ck</x:v>
      </x:c>
      <x:c r="J35" s="46" t="str">
        <x:v>1108</x:v>
      </x:c>
      <x:c r="K35" s="46" t="n">
        <x:v>1108</x:v>
      </x:c>
      <x:c r="L35" s="46" t="n">
        <x:v>82</x:v>
      </x:c>
      <x:c r="M35" s="46" t="str">
        <x:v>MS, LRI, Std</x:v>
      </x:c>
      <x:c r="N35" s="46" t="str">
        <x:v>yes</x:v>
      </x:c>
      <x:c r="O35" s="46"/>
      <x:c r="P35" s="46" t="str">
        <x:v>LRI + NIST MS + authentic standard</x:v>
      </x:c>
      <x:c r="Q35" s="46" t="str">
        <x:v>named_source_compound</x:v>
      </x:c>
      <x:c r="R35" s="46" t="str">
        <x:v>fresh_membership_supported</x:v>
      </x:c>
      <x:c r="S35" s="46" t="str">
        <x:v>Table-2 inventory is reported as found across all four studied species at different stages; source further states no frozen-thawed volatile appeared that was not already present in the fresh fish.</x:v>
      </x:c>
    </x:row>
    <x:row r="36" ht="26.399999618530273" hidden="0" customHeight="1">
      <x:c r="A36" s="46" t="str">
        <x:v>DFC-RAW-035</x:v>
      </x:c>
      <x:c r="B36" s="46" t="str">
        <x:v>fish:atlantic_cod</x:v>
      </x:c>
      <x:c r="C36" s="46" t="str">
        <x:v>family:seafood_finfish</x:v>
      </x:c>
      <x:c r="D36" s="46" t="str">
        <x:v>fresh raw fillet</x:v>
      </x:c>
      <x:c r="E36" s="46" t="str">
        <x:v>SRC-FISH-COD-SALMON-RAW-IDQA-001</x:v>
      </x:c>
      <x:c r="F36" s="46" t="str">
        <x:v>Aldehydes</x:v>
      </x:c>
      <x:c r="G36" s="46" t="str">
        <x:v>Decanal</x:v>
      </x:c>
      <x:c r="H36" s="46" t="str">
        <x:v>Decanal</x:v>
      </x:c>
      <x:c r="I36" s="46" t="str">
        <x:v>cv</x:v>
      </x:c>
      <x:c r="J36" s="46" t="str">
        <x:v>1210</x:v>
      </x:c>
      <x:c r="K36" s="46" t="n">
        <x:v>1210</x:v>
      </x:c>
      <x:c r="L36" s="46" t="n">
        <x:v>82</x:v>
      </x:c>
      <x:c r="M36" s="46" t="str">
        <x:v>MS, LRI, Std</x:v>
      </x:c>
      <x:c r="N36" s="46" t="str">
        <x:v>yes</x:v>
      </x:c>
      <x:c r="O36" s="46"/>
      <x:c r="P36" s="46" t="str">
        <x:v>LRI + NIST MS + authentic standard</x:v>
      </x:c>
      <x:c r="Q36" s="46" t="str">
        <x:v>named_source_compound</x:v>
      </x:c>
      <x:c r="R36" s="46" t="str">
        <x:v>fresh_membership_supported</x:v>
      </x:c>
      <x:c r="S36" s="46" t="str">
        <x:v>Table-2 inventory is reported as found across all four studied species at different stages; source further states no frozen-thawed volatile appeared that was not already present in the fresh fish.</x:v>
      </x:c>
    </x:row>
    <x:row r="37" ht="26.399999618530273" hidden="0" customHeight="1">
      <x:c r="A37" s="46" t="str">
        <x:v>DFC-RAW-036</x:v>
      </x:c>
      <x:c r="B37" s="46" t="str">
        <x:v>fish:atlantic_cod</x:v>
      </x:c>
      <x:c r="C37" s="46" t="str">
        <x:v>family:seafood_finfish</x:v>
      </x:c>
      <x:c r="D37" s="46" t="str">
        <x:v>fresh raw fillet</x:v>
      </x:c>
      <x:c r="E37" s="46" t="str">
        <x:v>SRC-FISH-COD-SALMON-RAW-IDQA-001</x:v>
      </x:c>
      <x:c r="F37" s="46" t="str">
        <x:v>Ketones</x:v>
      </x:c>
      <x:c r="G37" s="46" t="str">
        <x:v>2,3-butanedione</x:v>
      </x:c>
      <x:c r="H37" s="46" t="str">
        <x:v>2,3-butanedione</x:v>
      </x:c>
      <x:c r="I37" s="46" t="str">
        <x:v>n</x:v>
      </x:c>
      <x:c r="J37" s="46" t="str">
        <x:v>589</x:v>
      </x:c>
      <x:c r="K37" s="46" t="n">
        <x:v>589</x:v>
      </x:c>
      <x:c r="L37" s="46" t="n">
        <x:v>86</x:v>
      </x:c>
      <x:c r="M37" s="46" t="str">
        <x:v>MS, LRI, Std</x:v>
      </x:c>
      <x:c r="N37" s="46" t="str">
        <x:v>yes</x:v>
      </x:c>
      <x:c r="O37" s="46"/>
      <x:c r="P37" s="46" t="str">
        <x:v>LRI + NIST MS + authentic standard</x:v>
      </x:c>
      <x:c r="Q37" s="46" t="str">
        <x:v>named_source_compound</x:v>
      </x:c>
      <x:c r="R37" s="46" t="str">
        <x:v>fresh_membership_supported</x:v>
      </x:c>
      <x:c r="S37" s="46" t="str">
        <x:v>Table-2 inventory is reported as found across all four studied species at different stages; source further states no frozen-thawed volatile appeared that was not already present in the fresh fish.</x:v>
      </x:c>
    </x:row>
    <x:row r="38" ht="26.399999618530273" hidden="0" customHeight="1">
      <x:c r="A38" s="46" t="str">
        <x:v>DFC-RAW-037</x:v>
      </x:c>
      <x:c r="B38" s="46" t="str">
        <x:v>fish:atlantic_cod</x:v>
      </x:c>
      <x:c r="C38" s="46" t="str">
        <x:v>family:seafood_finfish</x:v>
      </x:c>
      <x:c r="D38" s="46" t="str">
        <x:v>fresh raw fillet</x:v>
      </x:c>
      <x:c r="E38" s="46" t="str">
        <x:v>SRC-FISH-COD-SALMON-RAW-IDQA-001</x:v>
      </x:c>
      <x:c r="F38" s="46" t="str">
        <x:v>Ketones</x:v>
      </x:c>
      <x:c r="G38" s="46" t="str">
        <x:v>2-butanone</x:v>
      </x:c>
      <x:c r="H38" s="46" t="str">
        <x:v>2-butanone</x:v>
      </x:c>
      <x:c r="I38" s="46" t="str">
        <x:v>p</x:v>
      </x:c>
      <x:c r="J38" s="46" t="str">
        <x:v>600</x:v>
      </x:c>
      <x:c r="K38" s="46" t="n">
        <x:v>600</x:v>
      </x:c>
      <x:c r="L38" s="46" t="n">
        <x:v>57</x:v>
      </x:c>
      <x:c r="M38" s="46" t="str">
        <x:v>MS, LRI</x:v>
      </x:c>
      <x:c r="N38" s="46" t="str">
        <x:v>no</x:v>
      </x:c>
      <x:c r="O38" s="46"/>
      <x:c r="P38" s="46" t="str">
        <x:v>LRI + NIST MS</x:v>
      </x:c>
      <x:c r="Q38" s="46" t="str">
        <x:v>named_source_compound</x:v>
      </x:c>
      <x:c r="R38" s="46" t="str">
        <x:v>fresh_membership_supported</x:v>
      </x:c>
      <x:c r="S38" s="46" t="str">
        <x:v>Table-2 inventory is reported as found across all four studied species at different stages; source further states no frozen-thawed volatile appeared that was not already present in the fresh fish.</x:v>
      </x:c>
    </x:row>
    <x:row r="39" ht="26.399999618530273" hidden="0" customHeight="1">
      <x:c r="A39" s="46" t="str">
        <x:v>DFC-RAW-038</x:v>
      </x:c>
      <x:c r="B39" s="46" t="str">
        <x:v>fish:atlantic_cod</x:v>
      </x:c>
      <x:c r="C39" s="46" t="str">
        <x:v>family:seafood_finfish</x:v>
      </x:c>
      <x:c r="D39" s="46" t="str">
        <x:v>fresh raw fillet</x:v>
      </x:c>
      <x:c r="E39" s="46" t="str">
        <x:v>SRC-FISH-COD-SALMON-RAW-IDQA-001</x:v>
      </x:c>
      <x:c r="F39" s="46" t="str">
        <x:v>Ketones</x:v>
      </x:c>
      <x:c r="G39" s="46" t="str">
        <x:v>2-pentanone</x:v>
      </x:c>
      <x:c r="H39" s="46" t="str">
        <x:v>2-pentanone</x:v>
      </x:c>
      <x:c r="I39" s="46" t="str">
        <x:v>ab</x:v>
      </x:c>
      <x:c r="J39" s="46" t="str">
        <x:v>684</x:v>
      </x:c>
      <x:c r="K39" s="46" t="n">
        <x:v>684</x:v>
      </x:c>
      <x:c r="L39" s="46" t="n">
        <x:v>43</x:v>
      </x:c>
      <x:c r="M39" s="46" t="str">
        <x:v>MS, LRI</x:v>
      </x:c>
      <x:c r="N39" s="46" t="str">
        <x:v>no</x:v>
      </x:c>
      <x:c r="O39" s="46"/>
      <x:c r="P39" s="46" t="str">
        <x:v>LRI + NIST MS</x:v>
      </x:c>
      <x:c r="Q39" s="46" t="str">
        <x:v>named_source_compound</x:v>
      </x:c>
      <x:c r="R39" s="46" t="str">
        <x:v>fresh_membership_supported</x:v>
      </x:c>
      <x:c r="S39" s="46" t="str">
        <x:v>Table-2 inventory is reported as found across all four studied species at different stages; source further states no frozen-thawed volatile appeared that was not already present in the fresh fish.</x:v>
      </x:c>
    </x:row>
    <x:row r="40" ht="26.399999618530273" hidden="0" customHeight="1">
      <x:c r="A40" s="46" t="str">
        <x:v>DFC-RAW-039</x:v>
      </x:c>
      <x:c r="B40" s="46" t="str">
        <x:v>fish:atlantic_cod</x:v>
      </x:c>
      <x:c r="C40" s="46" t="str">
        <x:v>family:seafood_finfish</x:v>
      </x:c>
      <x:c r="D40" s="46" t="str">
        <x:v>fresh raw fillet</x:v>
      </x:c>
      <x:c r="E40" s="46" t="str">
        <x:v>SRC-FISH-COD-SALMON-RAW-IDQA-001</x:v>
      </x:c>
      <x:c r="F40" s="46" t="str">
        <x:v>Ketones</x:v>
      </x:c>
      <x:c r="G40" s="46" t="str">
        <x:v>3-pentanone</x:v>
      </x:c>
      <x:c r="H40" s="46" t="str">
        <x:v>3-pentanone</x:v>
      </x:c>
      <x:c r="I40" s="46" t="str">
        <x:v>ac</x:v>
      </x:c>
      <x:c r="J40" s="46" t="str">
        <x:v>694</x:v>
      </x:c>
      <x:c r="K40" s="46" t="n">
        <x:v>694</x:v>
      </x:c>
      <x:c r="L40" s="46" t="n">
        <x:v>100</x:v>
      </x:c>
      <x:c r="M40" s="46" t="str">
        <x:v>MS, LRI, Std</x:v>
      </x:c>
      <x:c r="N40" s="46" t="str">
        <x:v>yes</x:v>
      </x:c>
      <x:c r="O40" s="46"/>
      <x:c r="P40" s="46" t="str">
        <x:v>LRI + NIST MS + authentic standard</x:v>
      </x:c>
      <x:c r="Q40" s="46" t="str">
        <x:v>named_source_compound</x:v>
      </x:c>
      <x:c r="R40" s="46" t="str">
        <x:v>fresh_membership_supported</x:v>
      </x:c>
      <x:c r="S40" s="46" t="str">
        <x:v>Table-2 inventory is reported as found across all four studied species at different stages; source further states no frozen-thawed volatile appeared that was not already present in the fresh fish.</x:v>
      </x:c>
    </x:row>
    <x:row r="41" ht="26.399999618530273" hidden="0" customHeight="1">
      <x:c r="A41" s="46" t="str">
        <x:v>DFC-RAW-040</x:v>
      </x:c>
      <x:c r="B41" s="46" t="str">
        <x:v>fish:atlantic_cod</x:v>
      </x:c>
      <x:c r="C41" s="46" t="str">
        <x:v>family:seafood_finfish</x:v>
      </x:c>
      <x:c r="D41" s="46" t="str">
        <x:v>fresh raw fillet</x:v>
      </x:c>
      <x:c r="E41" s="46" t="str">
        <x:v>SRC-FISH-COD-SALMON-RAW-IDQA-001</x:v>
      </x:c>
      <x:c r="F41" s="46" t="str">
        <x:v>Ketones</x:v>
      </x:c>
      <x:c r="G41" s="46" t="str">
        <x:v>2,3-hexanedione</x:v>
      </x:c>
      <x:c r="H41" s="46" t="str">
        <x:v>2,3-hexanedione</x:v>
      </x:c>
      <x:c r="I41" s="46" t="str">
        <x:v>ap</x:v>
      </x:c>
      <x:c r="J41" s="46" t="str">
        <x:v>776</x:v>
      </x:c>
      <x:c r="K41" s="46" t="n">
        <x:v>776</x:v>
      </x:c>
      <x:c r="L41" s="46" t="n">
        <x:v>71</x:v>
      </x:c>
      <x:c r="M41" s="46" t="str">
        <x:v>MS, LRI, Std</x:v>
      </x:c>
      <x:c r="N41" s="46" t="str">
        <x:v>yes</x:v>
      </x:c>
      <x:c r="O41" s="46"/>
      <x:c r="P41" s="46" t="str">
        <x:v>LRI + NIST MS + authentic standard</x:v>
      </x:c>
      <x:c r="Q41" s="46" t="str">
        <x:v>named_source_compound</x:v>
      </x:c>
      <x:c r="R41" s="46" t="str">
        <x:v>fresh_membership_supported</x:v>
      </x:c>
      <x:c r="S41" s="46" t="str">
        <x:v>Table-2 inventory is reported as found across all four studied species at different stages; source further states no frozen-thawed volatile appeared that was not already present in the fresh fish.</x:v>
      </x:c>
    </x:row>
    <x:row r="42" ht="26.399999618530273" hidden="0" customHeight="1">
      <x:c r="A42" s="46" t="str">
        <x:v>DFC-RAW-041</x:v>
      </x:c>
      <x:c r="B42" s="46" t="str">
        <x:v>fish:atlantic_cod</x:v>
      </x:c>
      <x:c r="C42" s="46" t="str">
        <x:v>family:seafood_finfish</x:v>
      </x:c>
      <x:c r="D42" s="46" t="str">
        <x:v>fresh raw fillet</x:v>
      </x:c>
      <x:c r="E42" s="46" t="str">
        <x:v>SRC-FISH-COD-SALMON-RAW-IDQA-001</x:v>
      </x:c>
      <x:c r="F42" s="46" t="str">
        <x:v>Ketones</x:v>
      </x:c>
      <x:c r="G42" s="46" t="str">
        <x:v>2-hexanone</x:v>
      </x:c>
      <x:c r="H42" s="46" t="str">
        <x:v>2-hexanone</x:v>
      </x:c>
      <x:c r="I42" s="46" t="str">
        <x:v>aq</x:v>
      </x:c>
      <x:c r="J42" s="46" t="str">
        <x:v>780</x:v>
      </x:c>
      <x:c r="K42" s="46" t="n">
        <x:v>780</x:v>
      </x:c>
      <x:c r="L42" s="46" t="n">
        <x:v>43</x:v>
      </x:c>
      <x:c r="M42" s="46" t="str">
        <x:v>MS, LRI</x:v>
      </x:c>
      <x:c r="N42" s="46" t="str">
        <x:v>no</x:v>
      </x:c>
      <x:c r="O42" s="46"/>
      <x:c r="P42" s="46" t="str">
        <x:v>LRI + NIST MS</x:v>
      </x:c>
      <x:c r="Q42" s="46" t="str">
        <x:v>named_source_compound</x:v>
      </x:c>
      <x:c r="R42" s="46" t="str">
        <x:v>fresh_membership_supported</x:v>
      </x:c>
      <x:c r="S42" s="46" t="str">
        <x:v>Table-2 inventory is reported as found across all four studied species at different stages; source further states no frozen-thawed volatile appeared that was not already present in the fresh fish.</x:v>
      </x:c>
    </x:row>
    <x:row r="43" ht="26.399999618530273" hidden="0" customHeight="1">
      <x:c r="A43" s="46" t="str">
        <x:v>DFC-RAW-042</x:v>
      </x:c>
      <x:c r="B43" s="46" t="str">
        <x:v>fish:atlantic_cod</x:v>
      </x:c>
      <x:c r="C43" s="46" t="str">
        <x:v>family:seafood_finfish</x:v>
      </x:c>
      <x:c r="D43" s="46" t="str">
        <x:v>fresh raw fillet</x:v>
      </x:c>
      <x:c r="E43" s="46" t="str">
        <x:v>SRC-FISH-COD-SALMON-RAW-IDQA-001</x:v>
      </x:c>
      <x:c r="F43" s="46" t="str">
        <x:v>Ketones</x:v>
      </x:c>
      <x:c r="G43" s="46" t="str">
        <x:v>3-heptanone</x:v>
      </x:c>
      <x:c r="H43" s="46" t="str">
        <x:v>3-heptanone</x:v>
      </x:c>
      <x:c r="I43" s="46" t="str">
        <x:v>ay</x:v>
      </x:c>
      <x:c r="J43" s="46" t="str">
        <x:v>884</x:v>
      </x:c>
      <x:c r="K43" s="46" t="n">
        <x:v>884</x:v>
      </x:c>
      <x:c r="L43" s="46" t="n">
        <x:v>57</x:v>
      </x:c>
      <x:c r="M43" s="46" t="str">
        <x:v>MS, LRI</x:v>
      </x:c>
      <x:c r="N43" s="46" t="str">
        <x:v>no</x:v>
      </x:c>
      <x:c r="O43" s="46"/>
      <x:c r="P43" s="46" t="str">
        <x:v>LRI + NIST MS</x:v>
      </x:c>
      <x:c r="Q43" s="46" t="str">
        <x:v>named_source_compound</x:v>
      </x:c>
      <x:c r="R43" s="46" t="str">
        <x:v>fresh_membership_supported</x:v>
      </x:c>
      <x:c r="S43" s="46" t="str">
        <x:v>Table-2 inventory is reported as found across all four studied species at different stages; source further states no frozen-thawed volatile appeared that was not already present in the fresh fish.</x:v>
      </x:c>
    </x:row>
    <x:row r="44" ht="26.399999618530273" hidden="0" customHeight="1">
      <x:c r="A44" s="46" t="str">
        <x:v>DFC-RAW-043</x:v>
      </x:c>
      <x:c r="B44" s="46" t="str">
        <x:v>fish:atlantic_cod</x:v>
      </x:c>
      <x:c r="C44" s="46" t="str">
        <x:v>family:seafood_finfish</x:v>
      </x:c>
      <x:c r="D44" s="46" t="str">
        <x:v>fresh raw fillet</x:v>
      </x:c>
      <x:c r="E44" s="46" t="str">
        <x:v>SRC-FISH-COD-SALMON-RAW-IDQA-001</x:v>
      </x:c>
      <x:c r="F44" s="46" t="str">
        <x:v>Ketones</x:v>
      </x:c>
      <x:c r="G44" s="46" t="str">
        <x:v>2-heptanone</x:v>
      </x:c>
      <x:c r="H44" s="46" t="str">
        <x:v>2-heptanone</x:v>
      </x:c>
      <x:c r="I44" s="46" t="str">
        <x:v>az</x:v>
      </x:c>
      <x:c r="J44" s="46" t="str">
        <x:v>888</x:v>
      </x:c>
      <x:c r="K44" s="46" t="n">
        <x:v>888</x:v>
      </x:c>
      <x:c r="L44" s="46" t="n">
        <x:v>58</x:v>
      </x:c>
      <x:c r="M44" s="46" t="str">
        <x:v>MS, LRI</x:v>
      </x:c>
      <x:c r="N44" s="46" t="str">
        <x:v>no</x:v>
      </x:c>
      <x:c r="O44" s="46"/>
      <x:c r="P44" s="46" t="str">
        <x:v>LRI + NIST MS</x:v>
      </x:c>
      <x:c r="Q44" s="46" t="str">
        <x:v>named_source_compound</x:v>
      </x:c>
      <x:c r="R44" s="46" t="str">
        <x:v>fresh_membership_supported</x:v>
      </x:c>
      <x:c r="S44" s="46" t="str">
        <x:v>Table-2 inventory is reported as found across all four studied species at different stages; source further states no frozen-thawed volatile appeared that was not already present in the fresh fish.</x:v>
      </x:c>
    </x:row>
    <x:row r="45" ht="26.399999618530273" hidden="0" customHeight="1">
      <x:c r="A45" s="46" t="str">
        <x:v>DFC-RAW-044</x:v>
      </x:c>
      <x:c r="B45" s="46" t="str">
        <x:v>fish:atlantic_cod</x:v>
      </x:c>
      <x:c r="C45" s="46" t="str">
        <x:v>family:seafood_finfish</x:v>
      </x:c>
      <x:c r="D45" s="46" t="str">
        <x:v>fresh raw fillet</x:v>
      </x:c>
      <x:c r="E45" s="46" t="str">
        <x:v>SRC-FISH-COD-SALMON-RAW-IDQA-001</x:v>
      </x:c>
      <x:c r="F45" s="46" t="str">
        <x:v>Ketones</x:v>
      </x:c>
      <x:c r="G45" s="46" t="str">
        <x:v>6-methyl-2-heptanone</x:v>
      </x:c>
      <x:c r="H45" s="46" t="str">
        <x:v>6-methyl-2-heptanone</x:v>
      </x:c>
      <x:c r="I45" s="46" t="str">
        <x:v>bj</x:v>
      </x:c>
      <x:c r="J45" s="46" t="str">
        <x:v>956</x:v>
      </x:c>
      <x:c r="K45" s="46" t="n">
        <x:v>956</x:v>
      </x:c>
      <x:c r="L45" s="46" t="n">
        <x:v>43</x:v>
      </x:c>
      <x:c r="M45" s="46" t="str">
        <x:v>MS, LRI</x:v>
      </x:c>
      <x:c r="N45" s="46" t="str">
        <x:v>no</x:v>
      </x:c>
      <x:c r="O45" s="46"/>
      <x:c r="P45" s="46" t="str">
        <x:v>LRI + NIST MS</x:v>
      </x:c>
      <x:c r="Q45" s="46" t="str">
        <x:v>named_source_compound</x:v>
      </x:c>
      <x:c r="R45" s="46" t="str">
        <x:v>fresh_membership_supported</x:v>
      </x:c>
      <x:c r="S45" s="46" t="str">
        <x:v>Table-2 inventory is reported as found across all four studied species at different stages; source further states no frozen-thawed volatile appeared that was not already present in the fresh fish.</x:v>
      </x:c>
    </x:row>
    <x:row r="46" ht="26.399999618530273" hidden="0" customHeight="1">
      <x:c r="A46" s="46" t="str">
        <x:v>DFC-RAW-045</x:v>
      </x:c>
      <x:c r="B46" s="46" t="str">
        <x:v>fish:atlantic_cod</x:v>
      </x:c>
      <x:c r="C46" s="46" t="str">
        <x:v>family:seafood_finfish</x:v>
      </x:c>
      <x:c r="D46" s="46" t="str">
        <x:v>fresh raw fillet</x:v>
      </x:c>
      <x:c r="E46" s="46" t="str">
        <x:v>SRC-FISH-COD-SALMON-RAW-IDQA-001</x:v>
      </x:c>
      <x:c r="F46" s="46" t="str">
        <x:v>Ketones</x:v>
      </x:c>
      <x:c r="G46" s="46" t="str">
        <x:v>2,3-octanedione</x:v>
      </x:c>
      <x:c r="H46" s="46" t="str">
        <x:v>2,3-octanedione</x:v>
      </x:c>
      <x:c r="I46" s="46" t="str">
        <x:v>bp</x:v>
      </x:c>
      <x:c r="J46" s="46" t="str">
        <x:v>983</x:v>
      </x:c>
      <x:c r="K46" s="46" t="n">
        <x:v>983</x:v>
      </x:c>
      <x:c r="L46" s="46" t="n">
        <x:v>43</x:v>
      </x:c>
      <x:c r="M46" s="46" t="str">
        <x:v>MS, LRI</x:v>
      </x:c>
      <x:c r="N46" s="46" t="str">
        <x:v>no</x:v>
      </x:c>
      <x:c r="O46" s="46"/>
      <x:c r="P46" s="46" t="str">
        <x:v>LRI + NIST MS</x:v>
      </x:c>
      <x:c r="Q46" s="46" t="str">
        <x:v>named_source_compound</x:v>
      </x:c>
      <x:c r="R46" s="46" t="str">
        <x:v>fresh_membership_supported</x:v>
      </x:c>
      <x:c r="S46" s="46" t="str">
        <x:v>Table-2 inventory is reported as found across all four studied species at different stages; source further states no frozen-thawed volatile appeared that was not already present in the fresh fish.</x:v>
      </x:c>
    </x:row>
    <x:row r="47" ht="26.399999618530273" hidden="0" customHeight="1">
      <x:c r="A47" s="46" t="str">
        <x:v>DFC-RAW-046</x:v>
      </x:c>
      <x:c r="B47" s="46" t="str">
        <x:v>fish:atlantic_cod</x:v>
      </x:c>
      <x:c r="C47" s="46" t="str">
        <x:v>family:seafood_finfish</x:v>
      </x:c>
      <x:c r="D47" s="46" t="str">
        <x:v>fresh raw fillet</x:v>
      </x:c>
      <x:c r="E47" s="46" t="str">
        <x:v>SRC-FISH-COD-SALMON-RAW-IDQA-001</x:v>
      </x:c>
      <x:c r="F47" s="46" t="str">
        <x:v>Ketones</x:v>
      </x:c>
      <x:c r="G47" s="46" t="str">
        <x:v>2-ethyl-cyclohexanone</x:v>
      </x:c>
      <x:c r="H47" s="46" t="str">
        <x:v>2-ethyl-cyclohexanone</x:v>
      </x:c>
      <x:c r="I47" s="46" t="str">
        <x:v>by</x:v>
      </x:c>
      <x:c r="J47" s="46" t="str">
        <x:v>1050</x:v>
      </x:c>
      <x:c r="K47" s="46" t="n">
        <x:v>1050</x:v>
      </x:c>
      <x:c r="L47" s="46" t="n">
        <x:v>83</x:v>
      </x:c>
      <x:c r="M47" s="46" t="str">
        <x:v>MS, LRI, Std</x:v>
      </x:c>
      <x:c r="N47" s="46" t="str">
        <x:v>yes</x:v>
      </x:c>
      <x:c r="O47" s="46"/>
      <x:c r="P47" s="46" t="str">
        <x:v>LRI + NIST MS + authentic standard</x:v>
      </x:c>
      <x:c r="Q47" s="46" t="str">
        <x:v>named_source_compound</x:v>
      </x:c>
      <x:c r="R47" s="46" t="str">
        <x:v>fresh_membership_supported</x:v>
      </x:c>
      <x:c r="S47" s="46" t="str">
        <x:v>Table-2 inventory is reported as found across all four studied species at different stages; source further states no frozen-thawed volatile appeared that was not already present in the fresh fish.</x:v>
      </x:c>
    </x:row>
    <x:row r="48" ht="26.399999618530273" hidden="0" customHeight="1">
      <x:c r="A48" s="46" t="str">
        <x:v>DFC-RAW-047</x:v>
      </x:c>
      <x:c r="B48" s="46" t="str">
        <x:v>fish:atlantic_cod</x:v>
      </x:c>
      <x:c r="C48" s="46" t="str">
        <x:v>family:seafood_finfish</x:v>
      </x:c>
      <x:c r="D48" s="46" t="str">
        <x:v>fresh raw fillet</x:v>
      </x:c>
      <x:c r="E48" s="46" t="str">
        <x:v>SRC-FISH-COD-SALMON-RAW-IDQA-001</x:v>
      </x:c>
      <x:c r="F48" s="46" t="str">
        <x:v>Ketones</x:v>
      </x:c>
      <x:c r="G48" s="46" t="str">
        <x:v>(E,E)-3,5-octadien-2-one</x:v>
      </x:c>
      <x:c r="H48" s="46" t="str">
        <x:v>(E,E)-3,5-octadien-2-one</x:v>
      </x:c>
      <x:c r="I48" s="46" t="str">
        <x:v>cc</x:v>
      </x:c>
      <x:c r="J48" s="46" t="str">
        <x:v>1075</x:v>
      </x:c>
      <x:c r="K48" s="46" t="n">
        <x:v>1075</x:v>
      </x:c>
      <x:c r="L48" s="46" t="n">
        <x:v>95</x:v>
      </x:c>
      <x:c r="M48" s="46" t="str">
        <x:v>MS, LRI</x:v>
      </x:c>
      <x:c r="N48" s="46" t="str">
        <x:v>no</x:v>
      </x:c>
      <x:c r="O48" s="46"/>
      <x:c r="P48" s="46" t="str">
        <x:v>LRI + NIST MS</x:v>
      </x:c>
      <x:c r="Q48" s="46" t="str">
        <x:v>named_source_compound</x:v>
      </x:c>
      <x:c r="R48" s="46" t="str">
        <x:v>fresh_membership_supported</x:v>
      </x:c>
      <x:c r="S48" s="46" t="str">
        <x:v>Table-2 inventory is reported as found across all four studied species at different stages; source further states no frozen-thawed volatile appeared that was not already present in the fresh fish.</x:v>
      </x:c>
    </x:row>
    <x:row r="49" ht="26.399999618530273" hidden="0" customHeight="1">
      <x:c r="A49" s="46" t="str">
        <x:v>DFC-RAW-048</x:v>
      </x:c>
      <x:c r="B49" s="46" t="str">
        <x:v>fish:atlantic_cod</x:v>
      </x:c>
      <x:c r="C49" s="46" t="str">
        <x:v>family:seafood_finfish</x:v>
      </x:c>
      <x:c r="D49" s="46" t="str">
        <x:v>fresh raw fillet</x:v>
      </x:c>
      <x:c r="E49" s="46" t="str">
        <x:v>SRC-FISH-COD-SALMON-RAW-IDQA-001</x:v>
      </x:c>
      <x:c r="F49" s="46" t="str">
        <x:v>Ketones</x:v>
      </x:c>
      <x:c r="G49" s="46" t="str">
        <x:v>Acetophenone</x:v>
      </x:c>
      <x:c r="H49" s="46" t="str">
        <x:v>Acetophenone</x:v>
      </x:c>
      <x:c r="I49" s="46" t="str">
        <x:v>cd</x:v>
      </x:c>
      <x:c r="J49" s="46" t="str">
        <x:v>1078</x:v>
      </x:c>
      <x:c r="K49" s="46" t="n">
        <x:v>1078</x:v>
      </x:c>
      <x:c r="L49" s="46" t="n">
        <x:v>105</x:v>
      </x:c>
      <x:c r="M49" s="46" t="str">
        <x:v>MS, LRI</x:v>
      </x:c>
      <x:c r="N49" s="46" t="str">
        <x:v>no</x:v>
      </x:c>
      <x:c r="O49" s="46"/>
      <x:c r="P49" s="46" t="str">
        <x:v>LRI + NIST MS</x:v>
      </x:c>
      <x:c r="Q49" s="46" t="str">
        <x:v>named_source_compound</x:v>
      </x:c>
      <x:c r="R49" s="46" t="str">
        <x:v>fresh_membership_supported</x:v>
      </x:c>
      <x:c r="S49" s="46" t="str">
        <x:v>Table-2 inventory is reported as found across all four studied species at different stages; source further states no frozen-thawed volatile appeared that was not already present in the fresh fish.</x:v>
      </x:c>
    </x:row>
    <x:row r="50" ht="26.399999618530273" hidden="0" customHeight="1">
      <x:c r="A50" s="46" t="str">
        <x:v>DFC-RAW-049</x:v>
      </x:c>
      <x:c r="B50" s="46" t="str">
        <x:v>fish:atlantic_cod</x:v>
      </x:c>
      <x:c r="C50" s="46" t="str">
        <x:v>family:seafood_finfish</x:v>
      </x:c>
      <x:c r="D50" s="46" t="str">
        <x:v>fresh raw fillet</x:v>
      </x:c>
      <x:c r="E50" s="46" t="str">
        <x:v>SRC-FISH-COD-SALMON-RAW-IDQA-001</x:v>
      </x:c>
      <x:c r="F50" s="46" t="str">
        <x:v>Ketones</x:v>
      </x:c>
      <x:c r="G50" s="46" t="str">
        <x:v>3-nonanone</x:v>
      </x:c>
      <x:c r="H50" s="46" t="str">
        <x:v>3-nonanone</x:v>
      </x:c>
      <x:c r="I50" s="46" t="str">
        <x:v>cf</x:v>
      </x:c>
      <x:c r="J50" s="46" t="str">
        <x:v>1088</x:v>
      </x:c>
      <x:c r="K50" s="46" t="n">
        <x:v>1088</x:v>
      </x:c>
      <x:c r="L50" s="46" t="n">
        <x:v>113</x:v>
      </x:c>
      <x:c r="M50" s="46" t="str">
        <x:v>MS, LRI</x:v>
      </x:c>
      <x:c r="N50" s="46" t="str">
        <x:v>no</x:v>
      </x:c>
      <x:c r="O50" s="46"/>
      <x:c r="P50" s="46" t="str">
        <x:v>LRI + NIST MS</x:v>
      </x:c>
      <x:c r="Q50" s="46" t="str">
        <x:v>named_source_compound</x:v>
      </x:c>
      <x:c r="R50" s="46" t="str">
        <x:v>fresh_membership_supported</x:v>
      </x:c>
      <x:c r="S50" s="46" t="str">
        <x:v>Table-2 inventory is reported as found across all four studied species at different stages; source further states no frozen-thawed volatile appeared that was not already present in the fresh fish.</x:v>
      </x:c>
    </x:row>
    <x:row r="51" ht="26.399999618530273" hidden="0" customHeight="1">
      <x:c r="A51" s="46" t="str">
        <x:v>DFC-RAW-050</x:v>
      </x:c>
      <x:c r="B51" s="46" t="str">
        <x:v>fish:atlantic_cod</x:v>
      </x:c>
      <x:c r="C51" s="46" t="str">
        <x:v>family:seafood_finfish</x:v>
      </x:c>
      <x:c r="D51" s="46" t="str">
        <x:v>fresh raw fillet</x:v>
      </x:c>
      <x:c r="E51" s="46" t="str">
        <x:v>SRC-FISH-COD-SALMON-RAW-IDQA-001</x:v>
      </x:c>
      <x:c r="F51" s="46" t="str">
        <x:v>Ketones</x:v>
      </x:c>
      <x:c r="G51" s="46" t="str">
        <x:v>2-nonanone</x:v>
      </x:c>
      <x:c r="H51" s="46" t="str">
        <x:v>2-nonanone</x:v>
      </x:c>
      <x:c r="I51" s="46" t="str">
        <x:v>cg</x:v>
      </x:c>
      <x:c r="J51" s="46" t="str">
        <x:v>1093</x:v>
      </x:c>
      <x:c r="K51" s="46" t="n">
        <x:v>1093</x:v>
      </x:c>
      <x:c r="L51" s="46" t="n">
        <x:v>58</x:v>
      </x:c>
      <x:c r="M51" s="46" t="str">
        <x:v>MS, LRI</x:v>
      </x:c>
      <x:c r="N51" s="46" t="str">
        <x:v>no</x:v>
      </x:c>
      <x:c r="O51" s="46"/>
      <x:c r="P51" s="46" t="str">
        <x:v>LRI + NIST MS</x:v>
      </x:c>
      <x:c r="Q51" s="46" t="str">
        <x:v>named_source_compound</x:v>
      </x:c>
      <x:c r="R51" s="46" t="str">
        <x:v>fresh_membership_supported</x:v>
      </x:c>
      <x:c r="S51" s="46" t="str">
        <x:v>Table-2 inventory is reported as found across all four studied species at different stages; source further states no frozen-thawed volatile appeared that was not already present in the fresh fish.</x:v>
      </x:c>
    </x:row>
    <x:row r="52" ht="26.399999618530273" hidden="0" customHeight="1">
      <x:c r="A52" s="46" t="str">
        <x:v>DFC-RAW-051</x:v>
      </x:c>
      <x:c r="B52" s="46" t="str">
        <x:v>fish:atlantic_cod</x:v>
      </x:c>
      <x:c r="C52" s="46" t="str">
        <x:v>family:seafood_finfish</x:v>
      </x:c>
      <x:c r="D52" s="46" t="str">
        <x:v>fresh raw fillet</x:v>
      </x:c>
      <x:c r="E52" s="46" t="str">
        <x:v>SRC-FISH-COD-SALMON-RAW-IDQA-001</x:v>
      </x:c>
      <x:c r="F52" s="46" t="str">
        <x:v>Ketones</x:v>
      </x:c>
      <x:c r="G52" s="46" t="str">
        <x:v>3,5-octadien-2-one</x:v>
      </x:c>
      <x:c r="H52" s="46" t="str">
        <x:v>3,5-octadien-2-one</x:v>
      </x:c>
      <x:c r="I52" s="46" t="str">
        <x:v>ci</x:v>
      </x:c>
      <x:c r="J52" s="46" t="str">
        <x:v>1099</x:v>
      </x:c>
      <x:c r="K52" s="46" t="n">
        <x:v>1099</x:v>
      </x:c>
      <x:c r="L52" s="46" t="n">
        <x:v>95</x:v>
      </x:c>
      <x:c r="M52" s="46" t="str">
        <x:v>MS, LRI</x:v>
      </x:c>
      <x:c r="N52" s="46" t="str">
        <x:v>no</x:v>
      </x:c>
      <x:c r="O52" s="46"/>
      <x:c r="P52" s="46" t="str">
        <x:v>LRI + NIST MS</x:v>
      </x:c>
      <x:c r="Q52" s="46" t="str">
        <x:v>named_source_compound</x:v>
      </x:c>
      <x:c r="R52" s="46" t="str">
        <x:v>fresh_membership_supported</x:v>
      </x:c>
      <x:c r="S52" s="46" t="str">
        <x:v>Table-2 inventory is reported as found across all four studied species at different stages; source further states no frozen-thawed volatile appeared that was not already present in the fresh fish.</x:v>
      </x:c>
    </x:row>
    <x:row r="53" ht="26.399999618530273" hidden="0" customHeight="1">
      <x:c r="A53" s="46" t="str">
        <x:v>DFC-RAW-052</x:v>
      </x:c>
      <x:c r="B53" s="46" t="str">
        <x:v>fish:atlantic_cod</x:v>
      </x:c>
      <x:c r="C53" s="46" t="str">
        <x:v>family:seafood_finfish</x:v>
      </x:c>
      <x:c r="D53" s="46" t="str">
        <x:v>fresh raw fillet</x:v>
      </x:c>
      <x:c r="E53" s="46" t="str">
        <x:v>SRC-FISH-COD-SALMON-RAW-IDQA-001</x:v>
      </x:c>
      <x:c r="F53" s="46" t="str">
        <x:v>Ketones</x:v>
      </x:c>
      <x:c r="G53" s="46" t="str">
        <x:v>2-hydroxy-acetophenone</x:v>
      </x:c>
      <x:c r="H53" s="46" t="str">
        <x:v>2-hydroxy-acetophenone</x:v>
      </x:c>
      <x:c r="I53" s="46" t="str">
        <x:v>cs</x:v>
      </x:c>
      <x:c r="J53" s="46" t="str">
        <x:v>1180</x:v>
      </x:c>
      <x:c r="K53" s="46" t="n">
        <x:v>1180</x:v>
      </x:c>
      <x:c r="L53" s="46" t="n">
        <x:v>121</x:v>
      </x:c>
      <x:c r="M53" s="46" t="str">
        <x:v>MS, LRI</x:v>
      </x:c>
      <x:c r="N53" s="46" t="str">
        <x:v>no</x:v>
      </x:c>
      <x:c r="O53" s="46"/>
      <x:c r="P53" s="46" t="str">
        <x:v>LRI + NIST MS</x:v>
      </x:c>
      <x:c r="Q53" s="46" t="str">
        <x:v>named_source_compound</x:v>
      </x:c>
      <x:c r="R53" s="46" t="str">
        <x:v>fresh_membership_supported</x:v>
      </x:c>
      <x:c r="S53" s="46" t="str">
        <x:v>Table-2 inventory is reported as found across all four studied species at different stages; source further states no frozen-thawed volatile appeared that was not already present in the fresh fish.</x:v>
      </x:c>
    </x:row>
    <x:row r="54" ht="26.399999618530273" hidden="0" customHeight="1">
      <x:c r="A54" s="46" t="str">
        <x:v>DFC-RAW-053</x:v>
      </x:c>
      <x:c r="B54" s="46" t="str">
        <x:v>fish:atlantic_cod</x:v>
      </x:c>
      <x:c r="C54" s="46" t="str">
        <x:v>family:seafood_finfish</x:v>
      </x:c>
      <x:c r="D54" s="46" t="str">
        <x:v>fresh raw fillet</x:v>
      </x:c>
      <x:c r="E54" s="46" t="str">
        <x:v>SRC-FISH-COD-SALMON-RAW-IDQA-001</x:v>
      </x:c>
      <x:c r="F54" s="46" t="str">
        <x:v>Esters</x:v>
      </x:c>
      <x:c r="G54" s="46" t="str">
        <x:v>acetic-acid, methyl-ester</x:v>
      </x:c>
      <x:c r="H54" s="46" t="str">
        <x:v>acetic-acid, methyl-ester</x:v>
      </x:c>
      <x:c r="I54" s="46" t="str">
        <x:v>i</x:v>
      </x:c>
      <x:c r="J54" s="46" t="str">
        <x:v>523</x:v>
      </x:c>
      <x:c r="K54" s="46" t="n">
        <x:v>523</x:v>
      </x:c>
      <x:c r="L54" s="46" t="n">
        <x:v>43</x:v>
      </x:c>
      <x:c r="M54" s="46" t="str">
        <x:v>MS, LRI</x:v>
      </x:c>
      <x:c r="N54" s="46" t="str">
        <x:v>no</x:v>
      </x:c>
      <x:c r="O54" s="46"/>
      <x:c r="P54" s="46" t="str">
        <x:v>LRI + NIST MS</x:v>
      </x:c>
      <x:c r="Q54" s="46" t="str">
        <x:v>named_source_compound</x:v>
      </x:c>
      <x:c r="R54" s="46" t="str">
        <x:v>fresh_membership_supported</x:v>
      </x:c>
      <x:c r="S54" s="46" t="str">
        <x:v>Table-2 inventory is reported as found across all four studied species at different stages; source further states no frozen-thawed volatile appeared that was not already present in the fresh fish.</x:v>
      </x:c>
    </x:row>
    <x:row r="55" ht="26.399999618530273" hidden="0" customHeight="1">
      <x:c r="A55" s="46" t="str">
        <x:v>DFC-RAW-054</x:v>
      </x:c>
      <x:c r="B55" s="46" t="str">
        <x:v>fish:atlantic_cod</x:v>
      </x:c>
      <x:c r="C55" s="46" t="str">
        <x:v>family:seafood_finfish</x:v>
      </x:c>
      <x:c r="D55" s="46" t="str">
        <x:v>fresh raw fillet</x:v>
      </x:c>
      <x:c r="E55" s="46" t="str">
        <x:v>SRC-FISH-COD-SALMON-RAW-IDQA-001</x:v>
      </x:c>
      <x:c r="F55" s="46" t="str">
        <x:v>Esters</x:v>
      </x:c>
      <x:c r="G55" s="46" t="str">
        <x:v>ethyl acetate</x:v>
      </x:c>
      <x:c r="H55" s="46" t="str">
        <x:v>ethyl acetate</x:v>
      </x:c>
      <x:c r="I55" s="46" t="str">
        <x:v>s</x:v>
      </x:c>
      <x:c r="J55" s="46" t="str">
        <x:v>613</x:v>
      </x:c>
      <x:c r="K55" s="46" t="n">
        <x:v>613</x:v>
      </x:c>
      <x:c r="L55" s="46" t="n">
        <x:v>70</x:v>
      </x:c>
      <x:c r="M55" s="46" t="str">
        <x:v>MS, LRI, Std</x:v>
      </x:c>
      <x:c r="N55" s="46" t="str">
        <x:v>yes</x:v>
      </x:c>
      <x:c r="O55" s="46"/>
      <x:c r="P55" s="46" t="str">
        <x:v>LRI + NIST MS + authentic standard</x:v>
      </x:c>
      <x:c r="Q55" s="46" t="str">
        <x:v>named_source_compound</x:v>
      </x:c>
      <x:c r="R55" s="46" t="str">
        <x:v>fresh_membership_supported</x:v>
      </x:c>
      <x:c r="S55" s="46" t="str">
        <x:v>Table-2 inventory is reported as found across all four studied species at different stages; source further states no frozen-thawed volatile appeared that was not already present in the fresh fish.</x:v>
      </x:c>
    </x:row>
    <x:row r="56" ht="26.399999618530273" hidden="0" customHeight="1">
      <x:c r="A56" s="46" t="str">
        <x:v>DFC-RAW-055</x:v>
      </x:c>
      <x:c r="B56" s="46" t="str">
        <x:v>fish:atlantic_cod</x:v>
      </x:c>
      <x:c r="C56" s="46" t="str">
        <x:v>family:seafood_finfish</x:v>
      </x:c>
      <x:c r="D56" s="46" t="str">
        <x:v>fresh raw fillet</x:v>
      </x:c>
      <x:c r="E56" s="46" t="str">
        <x:v>SRC-FISH-COD-SALMON-RAW-IDQA-001</x:v>
      </x:c>
      <x:c r="F56" s="46" t="str">
        <x:v>Esters</x:v>
      </x:c>
      <x:c r="G56" s="46" t="str">
        <x:v>butanoic acid, methyl ester</x:v>
      </x:c>
      <x:c r="H56" s="46" t="str">
        <x:v>butanoic acid, methyl ester</x:v>
      </x:c>
      <x:c r="I56" s="46" t="str">
        <x:v>ag</x:v>
      </x:c>
      <x:c r="J56" s="46" t="str">
        <x:v>724</x:v>
      </x:c>
      <x:c r="K56" s="46" t="n">
        <x:v>724</x:v>
      </x:c>
      <x:c r="L56" s="46" t="n">
        <x:v>74</x:v>
      </x:c>
      <x:c r="M56" s="46" t="str">
        <x:v>MS, LRI</x:v>
      </x:c>
      <x:c r="N56" s="46" t="str">
        <x:v>no</x:v>
      </x:c>
      <x:c r="O56" s="46"/>
      <x:c r="P56" s="46" t="str">
        <x:v>LRI + NIST MS</x:v>
      </x:c>
      <x:c r="Q56" s="46" t="str">
        <x:v>named_source_compound</x:v>
      </x:c>
      <x:c r="R56" s="46" t="str">
        <x:v>fresh_membership_supported</x:v>
      </x:c>
      <x:c r="S56" s="46" t="str">
        <x:v>Table-2 inventory is reported as found across all four studied species at different stages; source further states no frozen-thawed volatile appeared that was not already present in the fresh fish.</x:v>
      </x:c>
    </x:row>
    <x:row r="57" ht="26.399999618530273" hidden="0" customHeight="1">
      <x:c r="A57" s="46" t="str">
        <x:v>DFC-RAW-056</x:v>
      </x:c>
      <x:c r="B57" s="46" t="str">
        <x:v>fish:atlantic_cod</x:v>
      </x:c>
      <x:c r="C57" s="46" t="str">
        <x:v>family:seafood_finfish</x:v>
      </x:c>
      <x:c r="D57" s="46" t="str">
        <x:v>fresh raw fillet</x:v>
      </x:c>
      <x:c r="E57" s="46" t="str">
        <x:v>SRC-FISH-COD-SALMON-RAW-IDQA-001</x:v>
      </x:c>
      <x:c r="F57" s="46" t="str">
        <x:v>Esters</x:v>
      </x:c>
      <x:c r="G57" s="46" t="str">
        <x:v>octanoic acid, ethyl ester</x:v>
      </x:c>
      <x:c r="H57" s="46" t="str">
        <x:v>octanoic acid, ethyl ester</x:v>
      </x:c>
      <x:c r="I57" s="46" t="str">
        <x:v>ct</x:v>
      </x:c>
      <x:c r="J57" s="46" t="str">
        <x:v>1194</x:v>
      </x:c>
      <x:c r="K57" s="46" t="n">
        <x:v>1194</x:v>
      </x:c>
      <x:c r="L57" s="46" t="n">
        <x:v>83</x:v>
      </x:c>
      <x:c r="M57" s="46" t="str">
        <x:v>MS, LRI</x:v>
      </x:c>
      <x:c r="N57" s="46" t="str">
        <x:v>no</x:v>
      </x:c>
      <x:c r="O57" s="46"/>
      <x:c r="P57" s="46" t="str">
        <x:v>LRI + NIST MS</x:v>
      </x:c>
      <x:c r="Q57" s="46" t="str">
        <x:v>named_source_compound</x:v>
      </x:c>
      <x:c r="R57" s="46" t="str">
        <x:v>fresh_membership_supported</x:v>
      </x:c>
      <x:c r="S57" s="46" t="str">
        <x:v>Table-2 inventory is reported as found across all four studied species at different stages; source further states no frozen-thawed volatile appeared that was not already present in the fresh fish.</x:v>
      </x:c>
    </x:row>
    <x:row r="58" ht="26.399999618530273" hidden="0" customHeight="1">
      <x:c r="A58" s="46" t="str">
        <x:v>DFC-RAW-057</x:v>
      </x:c>
      <x:c r="B58" s="46" t="str">
        <x:v>fish:atlantic_cod</x:v>
      </x:c>
      <x:c r="C58" s="46" t="str">
        <x:v>family:seafood_finfish</x:v>
      </x:c>
      <x:c r="D58" s="46" t="str">
        <x:v>fresh raw fillet</x:v>
      </x:c>
      <x:c r="E58" s="46" t="str">
        <x:v>SRC-FISH-COD-SALMON-RAW-IDQA-001</x:v>
      </x:c>
      <x:c r="F58" s="46" t="str">
        <x:v>Furans</x:v>
      </x:c>
      <x:c r="G58" s="46" t="str">
        <x:v>3-methyl-furan</x:v>
      </x:c>
      <x:c r="H58" s="46" t="str">
        <x:v>3-methyl-furan</x:v>
      </x:c>
      <x:c r="I58" s="46" t="str">
        <x:v>q</x:v>
      </x:c>
      <x:c r="J58" s="46" t="str">
        <x:v>603</x:v>
      </x:c>
      <x:c r="K58" s="46" t="n">
        <x:v>603</x:v>
      </x:c>
      <x:c r="L58" s="46" t="n">
        <x:v>82</x:v>
      </x:c>
      <x:c r="M58" s="46" t="str">
        <x:v>MS, LRI</x:v>
      </x:c>
      <x:c r="N58" s="46" t="str">
        <x:v>no</x:v>
      </x:c>
      <x:c r="O58" s="46"/>
      <x:c r="P58" s="46" t="str">
        <x:v>LRI + NIST MS</x:v>
      </x:c>
      <x:c r="Q58" s="46" t="str">
        <x:v>named_source_compound</x:v>
      </x:c>
      <x:c r="R58" s="46" t="str">
        <x:v>fresh_membership_supported</x:v>
      </x:c>
      <x:c r="S58" s="46" t="str">
        <x:v>Table-2 inventory is reported as found across all four studied species at different stages; source further states no frozen-thawed volatile appeared that was not already present in the fresh fish.</x:v>
      </x:c>
    </x:row>
    <x:row r="59" ht="26.399999618530273" hidden="0" customHeight="1">
      <x:c r="A59" s="46" t="str">
        <x:v>DFC-RAW-058</x:v>
      </x:c>
      <x:c r="B59" s="46" t="str">
        <x:v>fish:atlantic_cod</x:v>
      </x:c>
      <x:c r="C59" s="46" t="str">
        <x:v>family:seafood_finfish</x:v>
      </x:c>
      <x:c r="D59" s="46" t="str">
        <x:v>fresh raw fillet</x:v>
      </x:c>
      <x:c r="E59" s="46" t="str">
        <x:v>SRC-FISH-COD-SALMON-RAW-IDQA-001</x:v>
      </x:c>
      <x:c r="F59" s="46" t="str">
        <x:v>Furans</x:v>
      </x:c>
      <x:c r="G59" s="46" t="str">
        <x:v>2-methyl-furan</x:v>
      </x:c>
      <x:c r="H59" s="46" t="str">
        <x:v>2-methyl-furan</x:v>
      </x:c>
      <x:c r="I59" s="46" t="str">
        <x:v>r</x:v>
      </x:c>
      <x:c r="J59" s="46" t="str">
        <x:v>611</x:v>
      </x:c>
      <x:c r="K59" s="46" t="n">
        <x:v>611</x:v>
      </x:c>
      <x:c r="L59" s="46" t="n">
        <x:v>82</x:v>
      </x:c>
      <x:c r="M59" s="46" t="str">
        <x:v>MS, LRI, Std</x:v>
      </x:c>
      <x:c r="N59" s="46" t="str">
        <x:v>yes</x:v>
      </x:c>
      <x:c r="O59" s="46"/>
      <x:c r="P59" s="46" t="str">
        <x:v>LRI + NIST MS + authentic standard</x:v>
      </x:c>
      <x:c r="Q59" s="46" t="str">
        <x:v>named_source_compound</x:v>
      </x:c>
      <x:c r="R59" s="46" t="str">
        <x:v>fresh_membership_supported</x:v>
      </x:c>
      <x:c r="S59" s="46" t="str">
        <x:v>Table-2 inventory is reported as found across all four studied species at different stages; source further states no frozen-thawed volatile appeared that was not already present in the fresh fish.</x:v>
      </x:c>
    </x:row>
    <x:row r="60" ht="26.399999618530273" hidden="0" customHeight="1">
      <x:c r="A60" s="46" t="str">
        <x:v>DFC-RAW-059</x:v>
      </x:c>
      <x:c r="B60" s="46" t="str">
        <x:v>fish:atlantic_cod</x:v>
      </x:c>
      <x:c r="C60" s="46" t="str">
        <x:v>family:seafood_finfish</x:v>
      </x:c>
      <x:c r="D60" s="46" t="str">
        <x:v>fresh raw fillet</x:v>
      </x:c>
      <x:c r="E60" s="46" t="str">
        <x:v>SRC-FISH-COD-SALMON-RAW-IDQA-001</x:v>
      </x:c>
      <x:c r="F60" s="46" t="str">
        <x:v>Furans</x:v>
      </x:c>
      <x:c r="G60" s="46" t="str">
        <x:v>2-ethyl-furan</x:v>
      </x:c>
      <x:c r="H60" s="46" t="str">
        <x:v>2-ethyl-furan</x:v>
      </x:c>
      <x:c r="I60" s="46" t="str">
        <x:v>ae</x:v>
      </x:c>
      <x:c r="J60" s="46" t="str">
        <x:v>697</x:v>
      </x:c>
      <x:c r="K60" s="46" t="n">
        <x:v>697</x:v>
      </x:c>
      <x:c r="L60" s="46" t="n">
        <x:v>81</x:v>
      </x:c>
      <x:c r="M60" s="46" t="str">
        <x:v>MS, LRI</x:v>
      </x:c>
      <x:c r="N60" s="46" t="str">
        <x:v>no</x:v>
      </x:c>
      <x:c r="O60" s="46"/>
      <x:c r="P60" s="46" t="str">
        <x:v>LRI + NIST MS</x:v>
      </x:c>
      <x:c r="Q60" s="46" t="str">
        <x:v>named_source_compound</x:v>
      </x:c>
      <x:c r="R60" s="46" t="str">
        <x:v>fresh_membership_supported</x:v>
      </x:c>
      <x:c r="S60" s="46" t="str">
        <x:v>Table-2 inventory is reported as found across all four studied species at different stages; source further states no frozen-thawed volatile appeared that was not already present in the fresh fish.</x:v>
      </x:c>
    </x:row>
    <x:row r="61" ht="26.399999618530273" hidden="0" customHeight="1">
      <x:c r="A61" s="46" t="str">
        <x:v>DFC-RAW-060</x:v>
      </x:c>
      <x:c r="B61" s="46" t="str">
        <x:v>fish:atlantic_cod</x:v>
      </x:c>
      <x:c r="C61" s="46" t="str">
        <x:v>family:seafood_finfish</x:v>
      </x:c>
      <x:c r="D61" s="46" t="str">
        <x:v>fresh raw fillet</x:v>
      </x:c>
      <x:c r="E61" s="46" t="str">
        <x:v>SRC-FISH-COD-SALMON-RAW-IDQA-001</x:v>
      </x:c>
      <x:c r="F61" s="46" t="str">
        <x:v>Furans</x:v>
      </x:c>
      <x:c r="G61" s="46" t="str">
        <x:v>2-pentyl-furan</x:v>
      </x:c>
      <x:c r="H61" s="46" t="str">
        <x:v>2-pentyl-furan</x:v>
      </x:c>
      <x:c r="I61" s="46" t="str">
        <x:v>bq</x:v>
      </x:c>
      <x:c r="J61" s="46" t="str">
        <x:v>991</x:v>
      </x:c>
      <x:c r="K61" s="46" t="n">
        <x:v>991</x:v>
      </x:c>
      <x:c r="L61" s="46" t="n">
        <x:v>81</x:v>
      </x:c>
      <x:c r="M61" s="46" t="str">
        <x:v>MS, LRI, Std</x:v>
      </x:c>
      <x:c r="N61" s="46" t="str">
        <x:v>yes</x:v>
      </x:c>
      <x:c r="O61" s="46"/>
      <x:c r="P61" s="46" t="str">
        <x:v>LRI + NIST MS + authentic standard</x:v>
      </x:c>
      <x:c r="Q61" s="46" t="str">
        <x:v>named_source_compound</x:v>
      </x:c>
      <x:c r="R61" s="46" t="str">
        <x:v>fresh_membership_supported</x:v>
      </x:c>
      <x:c r="S61" s="46" t="str">
        <x:v>Table-2 inventory is reported as found across all four studied species at different stages; source further states no frozen-thawed volatile appeared that was not already present in the fresh fish.</x:v>
      </x:c>
    </x:row>
    <x:row r="62" ht="26.399999618530273" hidden="0" customHeight="1">
      <x:c r="A62" s="46" t="str">
        <x:v>DFC-RAW-061</x:v>
      </x:c>
      <x:c r="B62" s="46" t="str">
        <x:v>fish:atlantic_cod</x:v>
      </x:c>
      <x:c r="C62" s="46" t="str">
        <x:v>family:seafood_finfish</x:v>
      </x:c>
      <x:c r="D62" s="46" t="str">
        <x:v>fresh raw fillet</x:v>
      </x:c>
      <x:c r="E62" s="46" t="str">
        <x:v>SRC-FISH-COD-SALMON-RAW-IDQA-001</x:v>
      </x:c>
      <x:c r="F62" s="46" t="str">
        <x:v>Furans</x:v>
      </x:c>
      <x:c r="G62" s="46" t="str">
        <x:v>Benzofuran</x:v>
      </x:c>
      <x:c r="H62" s="46" t="str">
        <x:v>Benzofuran</x:v>
      </x:c>
      <x:c r="I62" s="46" t="str">
        <x:v>bt</x:v>
      </x:c>
      <x:c r="J62" s="46" t="str">
        <x:v>1005</x:v>
      </x:c>
      <x:c r="K62" s="46" t="n">
        <x:v>1005</x:v>
      </x:c>
      <x:c r="L62" s="46" t="n">
        <x:v>118</x:v>
      </x:c>
      <x:c r="M62" s="46" t="str">
        <x:v>MS, LRI</x:v>
      </x:c>
      <x:c r="N62" s="46" t="str">
        <x:v>no</x:v>
      </x:c>
      <x:c r="O62" s="46"/>
      <x:c r="P62" s="46" t="str">
        <x:v>LRI + NIST MS</x:v>
      </x:c>
      <x:c r="Q62" s="46" t="str">
        <x:v>named_source_compound</x:v>
      </x:c>
      <x:c r="R62" s="46" t="str">
        <x:v>fresh_membership_supported</x:v>
      </x:c>
      <x:c r="S62" s="46" t="str">
        <x:v>Table-2 inventory is reported as found across all four studied species at different stages; source further states no frozen-thawed volatile appeared that was not already present in the fresh fish.</x:v>
      </x:c>
    </x:row>
    <x:row r="63" ht="26.399999618530273" hidden="0" customHeight="1">
      <x:c r="A63" s="46" t="str">
        <x:v>DFC-RAW-062</x:v>
      </x:c>
      <x:c r="B63" s="46" t="str">
        <x:v>fish:atlantic_cod</x:v>
      </x:c>
      <x:c r="C63" s="46" t="str">
        <x:v>family:seafood_finfish</x:v>
      </x:c>
      <x:c r="D63" s="46" t="str">
        <x:v>fresh raw fillet</x:v>
      </x:c>
      <x:c r="E63" s="46" t="str">
        <x:v>SRC-FISH-COD-SALMON-RAW-IDQA-001</x:v>
      </x:c>
      <x:c r="F63" s="46" t="str">
        <x:v>Furans</x:v>
      </x:c>
      <x:c r="G63" s="46" t="str">
        <x:v>2,3-dihydro-benzofuran</x:v>
      </x:c>
      <x:c r="H63" s="46" t="str">
        <x:v>2,3-dihydro-benzofuran</x:v>
      </x:c>
      <x:c r="I63" s="46" t="str">
        <x:v>cp</x:v>
      </x:c>
      <x:c r="J63" s="46" t="str">
        <x:v>1161</x:v>
      </x:c>
      <x:c r="K63" s="46" t="n">
        <x:v>1161</x:v>
      </x:c>
      <x:c r="L63" s="46" t="n">
        <x:v>120</x:v>
      </x:c>
      <x:c r="M63" s="46" t="str">
        <x:v>MS, LRI</x:v>
      </x:c>
      <x:c r="N63" s="46" t="str">
        <x:v>no</x:v>
      </x:c>
      <x:c r="O63" s="46"/>
      <x:c r="P63" s="46" t="str">
        <x:v>LRI + NIST MS</x:v>
      </x:c>
      <x:c r="Q63" s="46" t="str">
        <x:v>named_source_compound</x:v>
      </x:c>
      <x:c r="R63" s="46" t="str">
        <x:v>fresh_membership_supported</x:v>
      </x:c>
      <x:c r="S63" s="46" t="str">
        <x:v>Table-2 inventory is reported as found across all four studied species at different stages; source further states no frozen-thawed volatile appeared that was not already present in the fresh fish.</x:v>
      </x:c>
    </x:row>
    <x:row r="64" ht="26.399999618530273" hidden="0" customHeight="1">
      <x:c r="A64" s="46" t="str">
        <x:v>DFC-RAW-063</x:v>
      </x:c>
      <x:c r="B64" s="46" t="str">
        <x:v>fish:atlantic_cod</x:v>
      </x:c>
      <x:c r="C64" s="46" t="str">
        <x:v>family:seafood_finfish</x:v>
      </x:c>
      <x:c r="D64" s="46" t="str">
        <x:v>fresh raw fillet</x:v>
      </x:c>
      <x:c r="E64" s="46" t="str">
        <x:v>SRC-FISH-COD-SALMON-RAW-IDQA-001</x:v>
      </x:c>
      <x:c r="F64" s="46" t="str">
        <x:v>Alkanes</x:v>
      </x:c>
      <x:c r="G64" s="46" t="str">
        <x:v>2-methylbutane</x:v>
      </x:c>
      <x:c r="H64" s="46" t="str">
        <x:v>2-methylbutane</x:v>
      </x:c>
      <x:c r="I64" s="46" t="str">
        <x:v>e</x:v>
      </x:c>
      <x:c r="J64" s="46" t="str">
        <x:v>&lt;500</x:v>
      </x:c>
      <x:c r="K64" s="46"/>
      <x:c r="L64" s="46" t="n">
        <x:v>42</x:v>
      </x:c>
      <x:c r="M64" s="46" t="str">
        <x:v>MS, LRI</x:v>
      </x:c>
      <x:c r="N64" s="46" t="str">
        <x:v>no</x:v>
      </x:c>
      <x:c r="O64" s="46"/>
      <x:c r="P64" s="46" t="str">
        <x:v>LRI + NIST MS</x:v>
      </x:c>
      <x:c r="Q64" s="46" t="str">
        <x:v>named_source_compound</x:v>
      </x:c>
      <x:c r="R64" s="46" t="str">
        <x:v>fresh_membership_supported</x:v>
      </x:c>
      <x:c r="S64" s="46" t="str">
        <x:v>Table-2 inventory is reported as found across all four studied species at different stages; source further states no frozen-thawed volatile appeared that was not already present in the fresh fish.</x:v>
      </x:c>
    </x:row>
    <x:row r="65" ht="26.399999618530273" hidden="0" customHeight="1">
      <x:c r="A65" s="46" t="str">
        <x:v>DFC-RAW-064</x:v>
      </x:c>
      <x:c r="B65" s="46" t="str">
        <x:v>fish:atlantic_cod</x:v>
      </x:c>
      <x:c r="C65" s="46" t="str">
        <x:v>family:seafood_finfish</x:v>
      </x:c>
      <x:c r="D65" s="46" t="str">
        <x:v>fresh raw fillet</x:v>
      </x:c>
      <x:c r="E65" s="46" t="str">
        <x:v>SRC-FISH-COD-SALMON-RAW-IDQA-001</x:v>
      </x:c>
      <x:c r="F65" s="46" t="str">
        <x:v>Alkanes</x:v>
      </x:c>
      <x:c r="G65" s="46" t="str">
        <x:v>Pentane</x:v>
      </x:c>
      <x:c r="H65" s="46" t="str">
        <x:v>Pentane</x:v>
      </x:c>
      <x:c r="I65" s="46" t="str">
        <x:v>g</x:v>
      </x:c>
      <x:c r="J65" s="46" t="str">
        <x:v>500</x:v>
      </x:c>
      <x:c r="K65" s="46" t="n">
        <x:v>500</x:v>
      </x:c>
      <x:c r="L65" s="46" t="n">
        <x:v>43</x:v>
      </x:c>
      <x:c r="M65" s="46" t="str">
        <x:v>MS, LRI, Std</x:v>
      </x:c>
      <x:c r="N65" s="46" t="str">
        <x:v>yes</x:v>
      </x:c>
      <x:c r="O65" s="46"/>
      <x:c r="P65" s="46" t="str">
        <x:v>LRI + NIST MS + authentic standard</x:v>
      </x:c>
      <x:c r="Q65" s="46" t="str">
        <x:v>named_source_compound</x:v>
      </x:c>
      <x:c r="R65" s="46" t="str">
        <x:v>fresh_membership_supported</x:v>
      </x:c>
      <x:c r="S65" s="46" t="str">
        <x:v>Table-2 inventory is reported as found across all four studied species at different stages; source further states no frozen-thawed volatile appeared that was not already present in the fresh fish.</x:v>
      </x:c>
    </x:row>
    <x:row r="66" ht="26.399999618530273" hidden="0" customHeight="1">
      <x:c r="A66" s="46" t="str">
        <x:v>DFC-RAW-065</x:v>
      </x:c>
      <x:c r="B66" s="46" t="str">
        <x:v>fish:atlantic_cod</x:v>
      </x:c>
      <x:c r="C66" s="46" t="str">
        <x:v>family:seafood_finfish</x:v>
      </x:c>
      <x:c r="D66" s="46" t="str">
        <x:v>fresh raw fillet</x:v>
      </x:c>
      <x:c r="E66" s="46" t="str">
        <x:v>SRC-FISH-COD-SALMON-RAW-IDQA-001</x:v>
      </x:c>
      <x:c r="F66" s="46" t="str">
        <x:v>Alkanes</x:v>
      </x:c>
      <x:c r="G66" s="46" t="str">
        <x:v>Hexane</x:v>
      </x:c>
      <x:c r="H66" s="46" t="str">
        <x:v>Hexane</x:v>
      </x:c>
      <x:c r="I66" s="46" t="str">
        <x:v>cw</x:v>
      </x:c>
      <x:c r="J66" s="46" t="str">
        <x:v>600</x:v>
      </x:c>
      <x:c r="K66" s="46" t="n">
        <x:v>600</x:v>
      </x:c>
      <x:c r="L66" s="46" t="n">
        <x:v>57</x:v>
      </x:c>
      <x:c r="M66" s="46" t="str">
        <x:v>MS, LRI, Std</x:v>
      </x:c>
      <x:c r="N66" s="46" t="str">
        <x:v>yes</x:v>
      </x:c>
      <x:c r="O66" s="46"/>
      <x:c r="P66" s="46" t="str">
        <x:v>LRI + NIST MS + authentic standard</x:v>
      </x:c>
      <x:c r="Q66" s="46" t="str">
        <x:v>named_source_compound</x:v>
      </x:c>
      <x:c r="R66" s="46" t="str">
        <x:v>fresh_membership_supported</x:v>
      </x:c>
      <x:c r="S66" s="46" t="str">
        <x:v>Table-2 inventory is reported as found across all four studied species at different stages; source further states no frozen-thawed volatile appeared that was not already present in the fresh fish.</x:v>
      </x:c>
    </x:row>
    <x:row r="67" ht="26.399999618530273" hidden="0" customHeight="1">
      <x:c r="A67" s="46" t="str">
        <x:v>DFC-RAW-066</x:v>
      </x:c>
      <x:c r="B67" s="46" t="str">
        <x:v>fish:atlantic_cod</x:v>
      </x:c>
      <x:c r="C67" s="46" t="str">
        <x:v>family:seafood_finfish</x:v>
      </x:c>
      <x:c r="D67" s="46" t="str">
        <x:v>fresh raw fillet</x:v>
      </x:c>
      <x:c r="E67" s="46" t="str">
        <x:v>SRC-FISH-COD-SALMON-RAW-IDQA-001</x:v>
      </x:c>
      <x:c r="F67" s="46" t="str">
        <x:v>Alkanes</x:v>
      </x:c>
      <x:c r="G67" s="46" t="str">
        <x:v>Heptane</x:v>
      </x:c>
      <x:c r="H67" s="46" t="str">
        <x:v>Heptane</x:v>
      </x:c>
      <x:c r="I67" s="46" t="str">
        <x:v>cx</x:v>
      </x:c>
      <x:c r="J67" s="46" t="str">
        <x:v>700</x:v>
      </x:c>
      <x:c r="K67" s="46" t="n">
        <x:v>700</x:v>
      </x:c>
      <x:c r="L67" s="46" t="n">
        <x:v>43</x:v>
      </x:c>
      <x:c r="M67" s="46" t="str">
        <x:v>MS, LRI, Std</x:v>
      </x:c>
      <x:c r="N67" s="46" t="str">
        <x:v>yes</x:v>
      </x:c>
      <x:c r="O67" s="46"/>
      <x:c r="P67" s="46" t="str">
        <x:v>LRI + NIST MS + authentic standard</x:v>
      </x:c>
      <x:c r="Q67" s="46" t="str">
        <x:v>named_source_compound</x:v>
      </x:c>
      <x:c r="R67" s="46" t="str">
        <x:v>fresh_membership_supported</x:v>
      </x:c>
      <x:c r="S67" s="46" t="str">
        <x:v>Table-2 inventory is reported as found across all four studied species at different stages; source further states no frozen-thawed volatile appeared that was not already present in the fresh fish.</x:v>
      </x:c>
    </x:row>
    <x:row r="68" ht="26.399999618530273" hidden="0" customHeight="1">
      <x:c r="A68" s="46" t="str">
        <x:v>DFC-RAW-067</x:v>
      </x:c>
      <x:c r="B68" s="46" t="str">
        <x:v>fish:atlantic_cod</x:v>
      </x:c>
      <x:c r="C68" s="46" t="str">
        <x:v>family:seafood_finfish</x:v>
      </x:c>
      <x:c r="D68" s="46" t="str">
        <x:v>fresh raw fillet</x:v>
      </x:c>
      <x:c r="E68" s="46" t="str">
        <x:v>SRC-FISH-COD-SALMON-RAW-IDQA-001</x:v>
      </x:c>
      <x:c r="F68" s="46" t="str">
        <x:v>Alkanes</x:v>
      </x:c>
      <x:c r="G68" s="46" t="str">
        <x:v>Octane</x:v>
      </x:c>
      <x:c r="H68" s="46" t="str">
        <x:v>Octane</x:v>
      </x:c>
      <x:c r="I68" s="46" t="str">
        <x:v>cy</x:v>
      </x:c>
      <x:c r="J68" s="46" t="str">
        <x:v>800</x:v>
      </x:c>
      <x:c r="K68" s="46" t="n">
        <x:v>800</x:v>
      </x:c>
      <x:c r="L68" s="46" t="n">
        <x:v>43</x:v>
      </x:c>
      <x:c r="M68" s="46" t="str">
        <x:v>MS, LRI, Std</x:v>
      </x:c>
      <x:c r="N68" s="46" t="str">
        <x:v>yes</x:v>
      </x:c>
      <x:c r="O68" s="46"/>
      <x:c r="P68" s="46" t="str">
        <x:v>LRI + NIST MS + authentic standard</x:v>
      </x:c>
      <x:c r="Q68" s="46" t="str">
        <x:v>named_source_compound</x:v>
      </x:c>
      <x:c r="R68" s="46" t="str">
        <x:v>fresh_membership_supported</x:v>
      </x:c>
      <x:c r="S68" s="46" t="str">
        <x:v>Table-2 inventory is reported as found across all four studied species at different stages; source further states no frozen-thawed volatile appeared that was not already present in the fresh fish.</x:v>
      </x:c>
    </x:row>
    <x:row r="69" ht="26.399999618530273" hidden="0" customHeight="1">
      <x:c r="A69" s="46" t="str">
        <x:v>DFC-RAW-068</x:v>
      </x:c>
      <x:c r="B69" s="46" t="str">
        <x:v>fish:atlantic_cod</x:v>
      </x:c>
      <x:c r="C69" s="46" t="str">
        <x:v>family:seafood_finfish</x:v>
      </x:c>
      <x:c r="D69" s="46" t="str">
        <x:v>fresh raw fillet</x:v>
      </x:c>
      <x:c r="E69" s="46" t="str">
        <x:v>SRC-FISH-COD-SALMON-RAW-IDQA-001</x:v>
      </x:c>
      <x:c r="F69" s="46" t="str">
        <x:v>Alkanes</x:v>
      </x:c>
      <x:c r="G69" s="46" t="str">
        <x:v>Nonane</x:v>
      </x:c>
      <x:c r="H69" s="46" t="str">
        <x:v>Nonane</x:v>
      </x:c>
      <x:c r="I69" s="46" t="str">
        <x:v>cz</x:v>
      </x:c>
      <x:c r="J69" s="46" t="str">
        <x:v>900</x:v>
      </x:c>
      <x:c r="K69" s="46" t="n">
        <x:v>900</x:v>
      </x:c>
      <x:c r="L69" s="46" t="n">
        <x:v>43</x:v>
      </x:c>
      <x:c r="M69" s="46" t="str">
        <x:v>MS, LRI, Std</x:v>
      </x:c>
      <x:c r="N69" s="46" t="str">
        <x:v>yes</x:v>
      </x:c>
      <x:c r="O69" s="46"/>
      <x:c r="P69" s="46" t="str">
        <x:v>LRI + NIST MS + authentic standard</x:v>
      </x:c>
      <x:c r="Q69" s="46" t="str">
        <x:v>named_source_compound</x:v>
      </x:c>
      <x:c r="R69" s="46" t="str">
        <x:v>fresh_membership_supported</x:v>
      </x:c>
      <x:c r="S69" s="46" t="str">
        <x:v>Table-2 inventory is reported as found across all four studied species at different stages; source further states no frozen-thawed volatile appeared that was not already present in the fresh fish.</x:v>
      </x:c>
    </x:row>
    <x:row r="70" ht="26.399999618530273" hidden="0" customHeight="1">
      <x:c r="A70" s="46" t="str">
        <x:v>DFC-RAW-069</x:v>
      </x:c>
      <x:c r="B70" s="46" t="str">
        <x:v>fish:atlantic_cod</x:v>
      </x:c>
      <x:c r="C70" s="46" t="str">
        <x:v>family:seafood_finfish</x:v>
      </x:c>
      <x:c r="D70" s="46" t="str">
        <x:v>fresh raw fillet</x:v>
      </x:c>
      <x:c r="E70" s="46" t="str">
        <x:v>SRC-FISH-COD-SALMON-RAW-IDQA-001</x:v>
      </x:c>
      <x:c r="F70" s="46" t="str">
        <x:v>Alkanes</x:v>
      </x:c>
      <x:c r="G70" s="46" t="str">
        <x:v>Decane</x:v>
      </x:c>
      <x:c r="H70" s="46" t="str">
        <x:v>Decane</x:v>
      </x:c>
      <x:c r="I70" s="46" t="str">
        <x:v>da</x:v>
      </x:c>
      <x:c r="J70" s="46" t="str">
        <x:v>1000</x:v>
      </x:c>
      <x:c r="K70" s="46" t="n">
        <x:v>1000</x:v>
      </x:c>
      <x:c r="L70" s="46" t="n">
        <x:v>57</x:v>
      </x:c>
      <x:c r="M70" s="46" t="str">
        <x:v>MS, LRI, Std</x:v>
      </x:c>
      <x:c r="N70" s="46" t="str">
        <x:v>yes</x:v>
      </x:c>
      <x:c r="O70" s="46"/>
      <x:c r="P70" s="46" t="str">
        <x:v>LRI + NIST MS + authentic standard</x:v>
      </x:c>
      <x:c r="Q70" s="46" t="str">
        <x:v>named_source_compound</x:v>
      </x:c>
      <x:c r="R70" s="46" t="str">
        <x:v>fresh_membership_supported</x:v>
      </x:c>
      <x:c r="S70" s="46" t="str">
        <x:v>Table-2 inventory is reported as found across all four studied species at different stages; source further states no frozen-thawed volatile appeared that was not already present in the fresh fish.</x:v>
      </x:c>
    </x:row>
    <x:row r="71" ht="26.399999618530273" hidden="0" customHeight="1">
      <x:c r="A71" s="46" t="str">
        <x:v>DFC-RAW-070</x:v>
      </x:c>
      <x:c r="B71" s="46" t="str">
        <x:v>fish:atlantic_cod</x:v>
      </x:c>
      <x:c r="C71" s="46" t="str">
        <x:v>family:seafood_finfish</x:v>
      </x:c>
      <x:c r="D71" s="46" t="str">
        <x:v>fresh raw fillet</x:v>
      </x:c>
      <x:c r="E71" s="46" t="str">
        <x:v>SRC-FISH-COD-SALMON-RAW-IDQA-001</x:v>
      </x:c>
      <x:c r="F71" s="46" t="str">
        <x:v>Alkanes</x:v>
      </x:c>
      <x:c r="G71" s="46" t="str">
        <x:v>Undecane</x:v>
      </x:c>
      <x:c r="H71" s="46" t="str">
        <x:v>Undecane</x:v>
      </x:c>
      <x:c r="I71" s="46" t="str">
        <x:v>cj</x:v>
      </x:c>
      <x:c r="J71" s="46" t="str">
        <x:v>1100</x:v>
      </x:c>
      <x:c r="K71" s="46" t="n">
        <x:v>1100</x:v>
      </x:c>
      <x:c r="L71" s="46" t="n">
        <x:v>71</x:v>
      </x:c>
      <x:c r="M71" s="46" t="str">
        <x:v>MS, LRI, Std</x:v>
      </x:c>
      <x:c r="N71" s="46" t="str">
        <x:v>yes</x:v>
      </x:c>
      <x:c r="O71" s="46"/>
      <x:c r="P71" s="46" t="str">
        <x:v>LRI + NIST MS + authentic standard</x:v>
      </x:c>
      <x:c r="Q71" s="46" t="str">
        <x:v>named_source_compound</x:v>
      </x:c>
      <x:c r="R71" s="46" t="str">
        <x:v>fresh_membership_supported</x:v>
      </x:c>
      <x:c r="S71" s="46" t="str">
        <x:v>Table-2 inventory is reported as found across all four studied species at different stages; source further states no frozen-thawed volatile appeared that was not already present in the fresh fish.</x:v>
      </x:c>
    </x:row>
    <x:row r="72" ht="26.399999618530273" hidden="0" customHeight="1">
      <x:c r="A72" s="46" t="str">
        <x:v>DFC-RAW-071</x:v>
      </x:c>
      <x:c r="B72" s="46" t="str">
        <x:v>fish:atlantic_cod</x:v>
      </x:c>
      <x:c r="C72" s="46" t="str">
        <x:v>family:seafood_finfish</x:v>
      </x:c>
      <x:c r="D72" s="46" t="str">
        <x:v>fresh raw fillet</x:v>
      </x:c>
      <x:c r="E72" s="46" t="str">
        <x:v>SRC-FISH-COD-SALMON-RAW-IDQA-001</x:v>
      </x:c>
      <x:c r="F72" s="46" t="str">
        <x:v>Alkanes</x:v>
      </x:c>
      <x:c r="G72" s="46" t="str">
        <x:v>Dodecane</x:v>
      </x:c>
      <x:c r="H72" s="46" t="str">
        <x:v>Dodecane</x:v>
      </x:c>
      <x:c r="I72" s="46" t="str">
        <x:v>cu</x:v>
      </x:c>
      <x:c r="J72" s="46" t="str">
        <x:v>1200</x:v>
      </x:c>
      <x:c r="K72" s="46" t="n">
        <x:v>1200</x:v>
      </x:c>
      <x:c r="L72" s="46" t="n">
        <x:v>57</x:v>
      </x:c>
      <x:c r="M72" s="46" t="str">
        <x:v>MS, LRI, Std</x:v>
      </x:c>
      <x:c r="N72" s="46" t="str">
        <x:v>yes</x:v>
      </x:c>
      <x:c r="O72" s="46"/>
      <x:c r="P72" s="46" t="str">
        <x:v>LRI + NIST MS + authentic standard</x:v>
      </x:c>
      <x:c r="Q72" s="46" t="str">
        <x:v>named_source_compound</x:v>
      </x:c>
      <x:c r="R72" s="46" t="str">
        <x:v>fresh_membership_supported</x:v>
      </x:c>
      <x:c r="S72" s="46" t="str">
        <x:v>Table-2 inventory is reported as found across all four studied species at different stages; source further states no frozen-thawed volatile appeared that was not already present in the fresh fish.</x:v>
      </x:c>
    </x:row>
    <x:row r="73" ht="26.399999618530273" hidden="0" customHeight="1">
      <x:c r="A73" s="46" t="str">
        <x:v>DFC-RAW-072</x:v>
      </x:c>
      <x:c r="B73" s="46" t="str">
        <x:v>fish:atlantic_cod</x:v>
      </x:c>
      <x:c r="C73" s="46" t="str">
        <x:v>family:seafood_finfish</x:v>
      </x:c>
      <x:c r="D73" s="46" t="str">
        <x:v>fresh raw fillet</x:v>
      </x:c>
      <x:c r="E73" s="46" t="str">
        <x:v>SRC-FISH-COD-SALMON-RAW-IDQA-001</x:v>
      </x:c>
      <x:c r="F73" s="46" t="str">
        <x:v>Terpenes</x:v>
      </x:c>
      <x:c r="G73" s="46" t="str">
        <x:v>alpha-pinene</x:v>
      </x:c>
      <x:c r="H73" s="46" t="str">
        <x:v>alpha-pinene</x:v>
      </x:c>
      <x:c r="I73" s="46" t="str">
        <x:v>bg</x:v>
      </x:c>
      <x:c r="J73" s="46" t="str">
        <x:v>940</x:v>
      </x:c>
      <x:c r="K73" s="46" t="n">
        <x:v>940</x:v>
      </x:c>
      <x:c r="L73" s="46" t="n">
        <x:v>93</x:v>
      </x:c>
      <x:c r="M73" s="46" t="str">
        <x:v>MS, LRI</x:v>
      </x:c>
      <x:c r="N73" s="46" t="str">
        <x:v>no</x:v>
      </x:c>
      <x:c r="O73" s="46"/>
      <x:c r="P73" s="46" t="str">
        <x:v>LRI + NIST MS</x:v>
      </x:c>
      <x:c r="Q73" s="46" t="str">
        <x:v>named_source_compound</x:v>
      </x:c>
      <x:c r="R73" s="46" t="str">
        <x:v>fresh_membership_supported</x:v>
      </x:c>
      <x:c r="S73" s="46" t="str">
        <x:v>Table-2 inventory is reported as found across all four studied species at different stages; source further states no frozen-thawed volatile appeared that was not already present in the fresh fish.</x:v>
      </x:c>
    </x:row>
    <x:row r="74" ht="26.399999618530273" hidden="0" customHeight="1">
      <x:c r="A74" s="46" t="str">
        <x:v>DFC-RAW-073</x:v>
      </x:c>
      <x:c r="B74" s="46" t="str">
        <x:v>fish:atlantic_cod</x:v>
      </x:c>
      <x:c r="C74" s="46" t="str">
        <x:v>family:seafood_finfish</x:v>
      </x:c>
      <x:c r="D74" s="46" t="str">
        <x:v>fresh raw fillet</x:v>
      </x:c>
      <x:c r="E74" s="46" t="str">
        <x:v>SRC-FISH-COD-SALMON-RAW-IDQA-001</x:v>
      </x:c>
      <x:c r="F74" s="46" t="str">
        <x:v>Terpenes</x:v>
      </x:c>
      <x:c r="G74" s="46" t="str">
        <x:v>Limonene</x:v>
      </x:c>
      <x:c r="H74" s="46" t="str">
        <x:v>Limonene</x:v>
      </x:c>
      <x:c r="I74" s="46" t="str">
        <x:v>bw</x:v>
      </x:c>
      <x:c r="J74" s="46" t="str">
        <x:v>1037</x:v>
      </x:c>
      <x:c r="K74" s="46" t="n">
        <x:v>1037</x:v>
      </x:c>
      <x:c r="L74" s="46" t="n">
        <x:v>68</x:v>
      </x:c>
      <x:c r="M74" s="46" t="str">
        <x:v>MS, LRI</x:v>
      </x:c>
      <x:c r="N74" s="46" t="str">
        <x:v>no</x:v>
      </x:c>
      <x:c r="O74" s="46"/>
      <x:c r="P74" s="46" t="str">
        <x:v>LRI + NIST MS</x:v>
      </x:c>
      <x:c r="Q74" s="46" t="str">
        <x:v>named_source_compound</x:v>
      </x:c>
      <x:c r="R74" s="46" t="str">
        <x:v>fresh_membership_supported</x:v>
      </x:c>
      <x:c r="S74" s="46" t="str">
        <x:v>Table-2 inventory is reported as found across all four studied species at different stages; source further states no frozen-thawed volatile appeared that was not already present in the fresh fish.</x:v>
      </x:c>
    </x:row>
    <x:row r="75" ht="26.399999618530273" hidden="0" customHeight="1">
      <x:c r="A75" s="46" t="str">
        <x:v>DFC-RAW-074</x:v>
      </x:c>
      <x:c r="B75" s="46" t="str">
        <x:v>fish:atlantic_cod</x:v>
      </x:c>
      <x:c r="C75" s="46" t="str">
        <x:v>family:seafood_finfish</x:v>
      </x:c>
      <x:c r="D75" s="46" t="str">
        <x:v>fresh raw fillet</x:v>
      </x:c>
      <x:c r="E75" s="46" t="str">
        <x:v>SRC-FISH-COD-SALMON-RAW-IDQA-001</x:v>
      </x:c>
      <x:c r="F75" s="46" t="str">
        <x:v>Benzene compounds</x:v>
      </x:c>
      <x:c r="G75" s="46" t="str">
        <x:v>Benzene</x:v>
      </x:c>
      <x:c r="H75" s="46" t="str">
        <x:v>Benzene</x:v>
      </x:c>
      <x:c r="I75" s="46" t="str">
        <x:v>x</x:v>
      </x:c>
      <x:c r="J75" s="46" t="str">
        <x:v>656</x:v>
      </x:c>
      <x:c r="K75" s="46" t="n">
        <x:v>656</x:v>
      </x:c>
      <x:c r="L75" s="46" t="n">
        <x:v>78</x:v>
      </x:c>
      <x:c r="M75" s="46" t="str">
        <x:v>MS, LRI, Std</x:v>
      </x:c>
      <x:c r="N75" s="46" t="str">
        <x:v>yes</x:v>
      </x:c>
      <x:c r="O75" s="46"/>
      <x:c r="P75" s="46" t="str">
        <x:v>LRI + NIST MS + authentic standard</x:v>
      </x:c>
      <x:c r="Q75" s="46" t="str">
        <x:v>named_source_compound</x:v>
      </x:c>
      <x:c r="R75" s="46" t="str">
        <x:v>fresh_membership_supported</x:v>
      </x:c>
      <x:c r="S75" s="46" t="str">
        <x:v>Table-2 inventory is reported as found across all four studied species at different stages; source further states no frozen-thawed volatile appeared that was not already present in the fresh fish.</x:v>
      </x:c>
    </x:row>
    <x:row r="76" ht="26.399999618530273" hidden="0" customHeight="1">
      <x:c r="A76" s="46" t="str">
        <x:v>DFC-RAW-075</x:v>
      </x:c>
      <x:c r="B76" s="46" t="str">
        <x:v>fish:atlantic_cod</x:v>
      </x:c>
      <x:c r="C76" s="46" t="str">
        <x:v>family:seafood_finfish</x:v>
      </x:c>
      <x:c r="D76" s="46" t="str">
        <x:v>fresh raw fillet</x:v>
      </x:c>
      <x:c r="E76" s="46" t="str">
        <x:v>SRC-FISH-COD-SALMON-RAW-IDQA-001</x:v>
      </x:c>
      <x:c r="F76" s="46" t="str">
        <x:v>Benzene compounds</x:v>
      </x:c>
      <x:c r="G76" s="46" t="str">
        <x:v>Toluene</x:v>
      </x:c>
      <x:c r="H76" s="46" t="str">
        <x:v>Toluene</x:v>
      </x:c>
      <x:c r="I76" s="46" t="str">
        <x:v>am</x:v>
      </x:c>
      <x:c r="J76" s="46" t="str">
        <x:v>760</x:v>
      </x:c>
      <x:c r="K76" s="46" t="n">
        <x:v>760</x:v>
      </x:c>
      <x:c r="L76" s="46" t="n">
        <x:v>91</x:v>
      </x:c>
      <x:c r="M76" s="46" t="str">
        <x:v>MS, LRI</x:v>
      </x:c>
      <x:c r="N76" s="46" t="str">
        <x:v>no</x:v>
      </x:c>
      <x:c r="O76" s="46"/>
      <x:c r="P76" s="46" t="str">
        <x:v>LRI + NIST MS</x:v>
      </x:c>
      <x:c r="Q76" s="46" t="str">
        <x:v>named_source_compound</x:v>
      </x:c>
      <x:c r="R76" s="46" t="str">
        <x:v>fresh_membership_supported</x:v>
      </x:c>
      <x:c r="S76" s="46" t="str">
        <x:v>Table-2 inventory is reported as found across all four studied species at different stages; source further states no frozen-thawed volatile appeared that was not already present in the fresh fish.</x:v>
      </x:c>
    </x:row>
    <x:row r="77" ht="26.399999618530273" hidden="0" customHeight="1">
      <x:c r="A77" s="46" t="str">
        <x:v>DFC-RAW-076</x:v>
      </x:c>
      <x:c r="B77" s="46" t="str">
        <x:v>fish:atlantic_cod</x:v>
      </x:c>
      <x:c r="C77" s="46" t="str">
        <x:v>family:seafood_finfish</x:v>
      </x:c>
      <x:c r="D77" s="46" t="str">
        <x:v>fresh raw fillet</x:v>
      </x:c>
      <x:c r="E77" s="46" t="str">
        <x:v>SRC-FISH-COD-SALMON-RAW-IDQA-001</x:v>
      </x:c>
      <x:c r="F77" s="46" t="str">
        <x:v>Benzene compounds</x:v>
      </x:c>
      <x:c r="G77" s="46" t="str">
        <x:v>Ethylbenzene</x:v>
      </x:c>
      <x:c r="H77" s="46" t="str">
        <x:v>Ethylbenzene</x:v>
      </x:c>
      <x:c r="I77" s="46" t="str">
        <x:v>au</x:v>
      </x:c>
      <x:c r="J77" s="46" t="str">
        <x:v>860</x:v>
      </x:c>
      <x:c r="K77" s="46" t="n">
        <x:v>860</x:v>
      </x:c>
      <x:c r="L77" s="46" t="n">
        <x:v>91</x:v>
      </x:c>
      <x:c r="M77" s="46" t="str">
        <x:v>MS, LRI</x:v>
      </x:c>
      <x:c r="N77" s="46" t="str">
        <x:v>no</x:v>
      </x:c>
      <x:c r="O77" s="46"/>
      <x:c r="P77" s="46" t="str">
        <x:v>LRI + NIST MS</x:v>
      </x:c>
      <x:c r="Q77" s="46" t="str">
        <x:v>named_source_compound</x:v>
      </x:c>
      <x:c r="R77" s="46" t="str">
        <x:v>fresh_membership_supported</x:v>
      </x:c>
      <x:c r="S77" s="46" t="str">
        <x:v>Table-2 inventory is reported as found across all four studied species at different stages; source further states no frozen-thawed volatile appeared that was not already present in the fresh fish.</x:v>
      </x:c>
    </x:row>
    <x:row r="78" ht="26.399999618530273" hidden="0" customHeight="1">
      <x:c r="A78" s="46" t="str">
        <x:v>DFC-RAW-077</x:v>
      </x:c>
      <x:c r="B78" s="46" t="str">
        <x:v>fish:atlantic_cod</x:v>
      </x:c>
      <x:c r="C78" s="46" t="str">
        <x:v>family:seafood_finfish</x:v>
      </x:c>
      <x:c r="D78" s="46" t="str">
        <x:v>fresh raw fillet</x:v>
      </x:c>
      <x:c r="E78" s="46" t="str">
        <x:v>SRC-FISH-COD-SALMON-RAW-IDQA-001</x:v>
      </x:c>
      <x:c r="F78" s="46" t="str">
        <x:v>Benzene compounds</x:v>
      </x:c>
      <x:c r="G78" s="46" t="str">
        <x:v>m-xylene</x:v>
      </x:c>
      <x:c r="H78" s="46" t="str">
        <x:v>m-xylene</x:v>
      </x:c>
      <x:c r="I78" s="46" t="str">
        <x:v>aw</x:v>
      </x:c>
      <x:c r="J78" s="46" t="str">
        <x:v>869</x:v>
      </x:c>
      <x:c r="K78" s="46" t="n">
        <x:v>869</x:v>
      </x:c>
      <x:c r="L78" s="46" t="n">
        <x:v>91</x:v>
      </x:c>
      <x:c r="M78" s="46" t="str">
        <x:v>MS, LRI</x:v>
      </x:c>
      <x:c r="N78" s="46" t="str">
        <x:v>no</x:v>
      </x:c>
      <x:c r="O78" s="46"/>
      <x:c r="P78" s="46" t="str">
        <x:v>LRI + NIST MS</x:v>
      </x:c>
      <x:c r="Q78" s="46" t="str">
        <x:v>named_source_compound</x:v>
      </x:c>
      <x:c r="R78" s="46" t="str">
        <x:v>fresh_membership_supported</x:v>
      </x:c>
      <x:c r="S78" s="46" t="str">
        <x:v>Table-2 inventory is reported as found across all four studied species at different stages; source further states no frozen-thawed volatile appeared that was not already present in the fresh fish.</x:v>
      </x:c>
    </x:row>
    <x:row r="79" ht="26.399999618530273" hidden="0" customHeight="1">
      <x:c r="A79" s="46" t="str">
        <x:v>DFC-RAW-078</x:v>
      </x:c>
      <x:c r="B79" s="46" t="str">
        <x:v>fish:atlantic_cod</x:v>
      </x:c>
      <x:c r="C79" s="46" t="str">
        <x:v>family:seafood_finfish</x:v>
      </x:c>
      <x:c r="D79" s="46" t="str">
        <x:v>fresh raw fillet</x:v>
      </x:c>
      <x:c r="E79" s="46" t="str">
        <x:v>SRC-FISH-COD-SALMON-RAW-IDQA-001</x:v>
      </x:c>
      <x:c r="F79" s="46" t="str">
        <x:v>Benzene compounds</x:v>
      </x:c>
      <x:c r="G79" s="46" t="str">
        <x:v>Styrene</x:v>
      </x:c>
      <x:c r="H79" s="46" t="str">
        <x:v>Styrene</x:v>
      </x:c>
      <x:c r="I79" s="46" t="str">
        <x:v>ba</x:v>
      </x:c>
      <x:c r="J79" s="46" t="str">
        <x:v>892</x:v>
      </x:c>
      <x:c r="K79" s="46" t="n">
        <x:v>892</x:v>
      </x:c>
      <x:c r="L79" s="46" t="n">
        <x:v>104</x:v>
      </x:c>
      <x:c r="M79" s="46" t="str">
        <x:v>MS, LRI</x:v>
      </x:c>
      <x:c r="N79" s="46" t="str">
        <x:v>no</x:v>
      </x:c>
      <x:c r="O79" s="46"/>
      <x:c r="P79" s="46" t="str">
        <x:v>LRI + NIST MS</x:v>
      </x:c>
      <x:c r="Q79" s="46" t="str">
        <x:v>named_source_compound</x:v>
      </x:c>
      <x:c r="R79" s="46" t="str">
        <x:v>fresh_membership_supported</x:v>
      </x:c>
      <x:c r="S79" s="46" t="str">
        <x:v>Table-2 inventory is reported as found across all four studied species at different stages; source further states no frozen-thawed volatile appeared that was not already present in the fresh fish.</x:v>
      </x:c>
    </x:row>
    <x:row r="80" ht="26.399999618530273" hidden="0" customHeight="1">
      <x:c r="A80" s="46" t="str">
        <x:v>DFC-RAW-079</x:v>
      </x:c>
      <x:c r="B80" s="46" t="str">
        <x:v>fish:atlantic_cod</x:v>
      </x:c>
      <x:c r="C80" s="46" t="str">
        <x:v>family:seafood_finfish</x:v>
      </x:c>
      <x:c r="D80" s="46" t="str">
        <x:v>fresh raw fillet</x:v>
      </x:c>
      <x:c r="E80" s="46" t="str">
        <x:v>SRC-FISH-COD-SALMON-RAW-IDQA-001</x:v>
      </x:c>
      <x:c r="F80" s="46" t="str">
        <x:v>Benzene compounds</x:v>
      </x:c>
      <x:c r="G80" s="46" t="str">
        <x:v>1-chloro-2-ethyl-benzene</x:v>
      </x:c>
      <x:c r="H80" s="46" t="str">
        <x:v>1-chloro-2-ethyl-benzene</x:v>
      </x:c>
      <x:c r="I80" s="46" t="str">
        <x:v>bx</x:v>
      </x:c>
      <x:c r="J80" s="46" t="str">
        <x:v>1046</x:v>
      </x:c>
      <x:c r="K80" s="46" t="n">
        <x:v>1046</x:v>
      </x:c>
      <x:c r="L80" s="46" t="n">
        <x:v>125</x:v>
      </x:c>
      <x:c r="M80" s="46" t="str">
        <x:v>MS, LRI</x:v>
      </x:c>
      <x:c r="N80" s="46" t="str">
        <x:v>no</x:v>
      </x:c>
      <x:c r="O80" s="46"/>
      <x:c r="P80" s="46" t="str">
        <x:v>LRI + NIST MS</x:v>
      </x:c>
      <x:c r="Q80" s="46" t="str">
        <x:v>named_source_compound</x:v>
      </x:c>
      <x:c r="R80" s="46" t="str">
        <x:v>fresh_membership_supported</x:v>
      </x:c>
      <x:c r="S80" s="46" t="str">
        <x:v>Table-2 inventory is reported as found across all four studied species at different stages; source further states no frozen-thawed volatile appeared that was not already present in the fresh fish.</x:v>
      </x:c>
    </x:row>
    <x:row r="81" ht="26.399999618530273" hidden="0" customHeight="1">
      <x:c r="A81" s="46" t="str">
        <x:v>DFC-RAW-080</x:v>
      </x:c>
      <x:c r="B81" s="46" t="str">
        <x:v>fish:atlantic_cod</x:v>
      </x:c>
      <x:c r="C81" s="46" t="str">
        <x:v>family:seafood_finfish</x:v>
      </x:c>
      <x:c r="D81" s="46" t="str">
        <x:v>fresh raw fillet</x:v>
      </x:c>
      <x:c r="E81" s="46" t="str">
        <x:v>SRC-FISH-COD-SALMON-RAW-IDQA-001</x:v>
      </x:c>
      <x:c r="F81" s="46" t="str">
        <x:v>Benzene compounds</x:v>
      </x:c>
      <x:c r="G81" s="46" t="str">
        <x:v>Benzeneacetaldehyde</x:v>
      </x:c>
      <x:c r="H81" s="46" t="str">
        <x:v>Benzeneacetaldehyde</x:v>
      </x:c>
      <x:c r="I81" s="46" t="str">
        <x:v>bz</x:v>
      </x:c>
      <x:c r="J81" s="46" t="str">
        <x:v>1054</x:v>
      </x:c>
      <x:c r="K81" s="46" t="n">
        <x:v>1054</x:v>
      </x:c>
      <x:c r="L81" s="46" t="n">
        <x:v>91</x:v>
      </x:c>
      <x:c r="M81" s="46" t="str">
        <x:v>MS, LRI, Std</x:v>
      </x:c>
      <x:c r="N81" s="46" t="str">
        <x:v>yes</x:v>
      </x:c>
      <x:c r="O81" s="46"/>
      <x:c r="P81" s="46" t="str">
        <x:v>LRI + NIST MS + authentic standard</x:v>
      </x:c>
      <x:c r="Q81" s="46" t="str">
        <x:v>named_source_compound</x:v>
      </x:c>
      <x:c r="R81" s="46" t="str">
        <x:v>fresh_membership_supported</x:v>
      </x:c>
      <x:c r="S81" s="46" t="str">
        <x:v>Table-2 inventory is reported as found across all four studied species at different stages; source further states no frozen-thawed volatile appeared that was not already present in the fresh fish.</x:v>
      </x:c>
    </x:row>
    <x:row r="82" ht="26.399999618530273" hidden="0" customHeight="1">
      <x:c r="A82" s="46" t="str">
        <x:v>DFC-RAW-081</x:v>
      </x:c>
      <x:c r="B82" s="46" t="str">
        <x:v>fish:atlantic_cod</x:v>
      </x:c>
      <x:c r="C82" s="46" t="str">
        <x:v>family:seafood_finfish</x:v>
      </x:c>
      <x:c r="D82" s="46" t="str">
        <x:v>fresh raw fillet</x:v>
      </x:c>
      <x:c r="E82" s="46" t="str">
        <x:v>SRC-FISH-COD-SALMON-RAW-IDQA-001</x:v>
      </x:c>
      <x:c r="F82" s="46" t="str">
        <x:v>Benzene compounds</x:v>
      </x:c>
      <x:c r="G82" s="46" t="str">
        <x:v>1-chloro-3-ethyl-benzene</x:v>
      </x:c>
      <x:c r="H82" s="46" t="str">
        <x:v>1-chloro-3-ethyl-benzene</x:v>
      </x:c>
      <x:c r="I82" s="46" t="str">
        <x:v>cb</x:v>
      </x:c>
      <x:c r="J82" s="46" t="str">
        <x:v>1066</x:v>
      </x:c>
      <x:c r="K82" s="46" t="n">
        <x:v>1066</x:v>
      </x:c>
      <x:c r="L82" s="46" t="n">
        <x:v>125</x:v>
      </x:c>
      <x:c r="M82" s="46" t="str">
        <x:v>MS, LRI</x:v>
      </x:c>
      <x:c r="N82" s="46" t="str">
        <x:v>no</x:v>
      </x:c>
      <x:c r="O82" s="46"/>
      <x:c r="P82" s="46" t="str">
        <x:v>LRI + NIST MS</x:v>
      </x:c>
      <x:c r="Q82" s="46" t="str">
        <x:v>named_source_compound</x:v>
      </x:c>
      <x:c r="R82" s="46" t="str">
        <x:v>fresh_membership_supported</x:v>
      </x:c>
      <x:c r="S82" s="46" t="str">
        <x:v>Table-2 inventory is reported as found across all four studied species at different stages; source further states no frozen-thawed volatile appeared that was not already present in the fresh fish.</x:v>
      </x:c>
    </x:row>
    <x:row r="83" ht="26.399999618530273" hidden="0" customHeight="1">
      <x:c r="A83" s="46" t="str">
        <x:v>DFC-RAW-082</x:v>
      </x:c>
      <x:c r="B83" s="46" t="str">
        <x:v>fish:atlantic_cod</x:v>
      </x:c>
      <x:c r="C83" s="46" t="str">
        <x:v>family:seafood_finfish</x:v>
      </x:c>
      <x:c r="D83" s="46" t="str">
        <x:v>fresh raw fillet</x:v>
      </x:c>
      <x:c r="E83" s="46" t="str">
        <x:v>SRC-FISH-COD-SALMON-RAW-IDQA-001</x:v>
      </x:c>
      <x:c r="F83" s="46" t="str">
        <x:v>Benzene compounds</x:v>
      </x:c>
      <x:c r="G83" s="46" t="str">
        <x:v>1,2,4,5-tetramethyl-benzene</x:v>
      </x:c>
      <x:c r="H83" s="46" t="str">
        <x:v>1,2,4,5-tetramethyl-benzene</x:v>
      </x:c>
      <x:c r="I83" s="46" t="str">
        <x:v>cm</x:v>
      </x:c>
      <x:c r="J83" s="46" t="str">
        <x:v>1134</x:v>
      </x:c>
      <x:c r="K83" s="46" t="n">
        <x:v>1134</x:v>
      </x:c>
      <x:c r="L83" s="46" t="n">
        <x:v>119</x:v>
      </x:c>
      <x:c r="M83" s="46" t="str">
        <x:v>MS, LRI</x:v>
      </x:c>
      <x:c r="N83" s="46" t="str">
        <x:v>no</x:v>
      </x:c>
      <x:c r="O83" s="46"/>
      <x:c r="P83" s="46" t="str">
        <x:v>LRI + NIST MS</x:v>
      </x:c>
      <x:c r="Q83" s="46" t="str">
        <x:v>named_source_compound</x:v>
      </x:c>
      <x:c r="R83" s="46" t="str">
        <x:v>fresh_membership_supported</x:v>
      </x:c>
      <x:c r="S83" s="46" t="str">
        <x:v>Table-2 inventory is reported as found across all four studied species at different stages; source further states no frozen-thawed volatile appeared that was not already present in the fresh fish.</x:v>
      </x:c>
    </x:row>
    <x:row r="84" ht="26.399999618530273" hidden="0" customHeight="1">
      <x:c r="A84" s="46" t="str">
        <x:v>DFC-RAW-083</x:v>
      </x:c>
      <x:c r="B84" s="46" t="str">
        <x:v>fish:atlantic_cod</x:v>
      </x:c>
      <x:c r="C84" s="46" t="str">
        <x:v>family:seafood_finfish</x:v>
      </x:c>
      <x:c r="D84" s="46" t="str">
        <x:v>fresh raw fillet</x:v>
      </x:c>
      <x:c r="E84" s="46" t="str">
        <x:v>SRC-FISH-COD-SALMON-RAW-IDQA-001</x:v>
      </x:c>
      <x:c r="F84" s="46" t="str">
        <x:v>Benzene compounds</x:v>
      </x:c>
      <x:c r="G84" s="46" t="str">
        <x:v>2,4-dimethyl-benzaldehyde</x:v>
      </x:c>
      <x:c r="H84" s="46" t="str">
        <x:v>2,4-dimethyl-benzaldehyde</x:v>
      </x:c>
      <x:c r="I84" s="46" t="str">
        <x:v>cr</x:v>
      </x:c>
      <x:c r="J84" s="46" t="str">
        <x:v>1174</x:v>
      </x:c>
      <x:c r="K84" s="46" t="n">
        <x:v>1174</x:v>
      </x:c>
      <x:c r="L84" s="46" t="n">
        <x:v>83</x:v>
      </x:c>
      <x:c r="M84" s="46" t="str">
        <x:v>MS, LRI</x:v>
      </x:c>
      <x:c r="N84" s="46" t="str">
        <x:v>no</x:v>
      </x:c>
      <x:c r="O84" s="46"/>
      <x:c r="P84" s="46" t="str">
        <x:v>LRI + NIST MS</x:v>
      </x:c>
      <x:c r="Q84" s="46" t="str">
        <x:v>named_source_compound</x:v>
      </x:c>
      <x:c r="R84" s="46" t="str">
        <x:v>fresh_membership_supported</x:v>
      </x:c>
      <x:c r="S84" s="46" t="str">
        <x:v>Table-2 inventory is reported as found across all four studied species at different stages; source further states no frozen-thawed volatile appeared that was not already present in the fresh fish.</x:v>
      </x:c>
    </x:row>
    <x:row r="85" ht="26.399999618530273" hidden="0" customHeight="1">
      <x:c r="A85" s="46" t="str">
        <x:v>DFC-RAW-084</x:v>
      </x:c>
      <x:c r="B85" s="46" t="str">
        <x:v>fish:atlantic_cod</x:v>
      </x:c>
      <x:c r="C85" s="46" t="str">
        <x:v>family:seafood_finfish</x:v>
      </x:c>
      <x:c r="D85" s="46" t="str">
        <x:v>fresh raw fillet</x:v>
      </x:c>
      <x:c r="E85" s="46" t="str">
        <x:v>SRC-FISH-COD-SALMON-RAW-IDQA-001</x:v>
      </x:c>
      <x:c r="F85" s="46" t="str">
        <x:v>Chlorine compounds</x:v>
      </x:c>
      <x:c r="G85" s="46" t="str">
        <x:v>methylene chloride</x:v>
      </x:c>
      <x:c r="H85" s="46" t="str">
        <x:v>methylene chloride</x:v>
      </x:c>
      <x:c r="I85" s="46" t="str">
        <x:v>j</x:v>
      </x:c>
      <x:c r="J85" s="46" t="str">
        <x:v>528</x:v>
      </x:c>
      <x:c r="K85" s="46" t="n">
        <x:v>528</x:v>
      </x:c>
      <x:c r="L85" s="46" t="n">
        <x:v>84</x:v>
      </x:c>
      <x:c r="M85" s="46" t="str">
        <x:v>MS, LRI</x:v>
      </x:c>
      <x:c r="N85" s="46" t="str">
        <x:v>no</x:v>
      </x:c>
      <x:c r="O85" s="46"/>
      <x:c r="P85" s="46" t="str">
        <x:v>LRI + NIST MS</x:v>
      </x:c>
      <x:c r="Q85" s="46" t="str">
        <x:v>named_source_compound</x:v>
      </x:c>
      <x:c r="R85" s="46" t="str">
        <x:v>fresh_membership_supported</x:v>
      </x:c>
      <x:c r="S85" s="46" t="str">
        <x:v>Table-2 inventory is reported as found across all four studied species at different stages; source further states no frozen-thawed volatile appeared that was not already present in the fresh fish.</x:v>
      </x:c>
    </x:row>
    <x:row r="86" ht="26.399999618530273" hidden="0" customHeight="1">
      <x:c r="A86" s="46" t="str">
        <x:v>DFC-RAW-085</x:v>
      </x:c>
      <x:c r="B86" s="46" t="str">
        <x:v>fish:atlantic_cod</x:v>
      </x:c>
      <x:c r="C86" s="46" t="str">
        <x:v>family:seafood_finfish</x:v>
      </x:c>
      <x:c r="D86" s="46" t="str">
        <x:v>fresh raw fillet</x:v>
      </x:c>
      <x:c r="E86" s="46" t="str">
        <x:v>SRC-FISH-COD-SALMON-RAW-IDQA-001</x:v>
      </x:c>
      <x:c r="F86" s="46" t="str">
        <x:v>Chlorine compounds</x:v>
      </x:c>
      <x:c r="G86" s="46" t="str">
        <x:v>Chloroform</x:v>
      </x:c>
      <x:c r="H86" s="46" t="str">
        <x:v>Chloroform</x:v>
      </x:c>
      <x:c r="I86" s="46" t="str">
        <x:v>t</x:v>
      </x:c>
      <x:c r="J86" s="46" t="str">
        <x:v>622</x:v>
      </x:c>
      <x:c r="K86" s="46" t="n">
        <x:v>622</x:v>
      </x:c>
      <x:c r="L86" s="46" t="n">
        <x:v>83</x:v>
      </x:c>
      <x:c r="M86" s="46" t="str">
        <x:v>MS, LRI, Std</x:v>
      </x:c>
      <x:c r="N86" s="46" t="str">
        <x:v>yes</x:v>
      </x:c>
      <x:c r="O86" s="46"/>
      <x:c r="P86" s="46" t="str">
        <x:v>LRI + NIST MS + authentic standard</x:v>
      </x:c>
      <x:c r="Q86" s="46" t="str">
        <x:v>named_source_compound</x:v>
      </x:c>
      <x:c r="R86" s="46" t="str">
        <x:v>fresh_membership_supported</x:v>
      </x:c>
      <x:c r="S86" s="46" t="str">
        <x:v>Table-2 inventory is reported as found across all four studied species at different stages; source further states no frozen-thawed volatile appeared that was not already present in the fresh fish.</x:v>
      </x:c>
    </x:row>
    <x:row r="87" ht="26.399999618530273" hidden="0" customHeight="1">
      <x:c r="A87" s="46" t="str">
        <x:v>DFC-RAW-086</x:v>
      </x:c>
      <x:c r="B87" s="46" t="str">
        <x:v>fish:atlantic_cod</x:v>
      </x:c>
      <x:c r="C87" s="46" t="str">
        <x:v>family:seafood_finfish</x:v>
      </x:c>
      <x:c r="D87" s="46" t="str">
        <x:v>fresh raw fillet</x:v>
      </x:c>
      <x:c r="E87" s="46" t="str">
        <x:v>SRC-FISH-COD-SALMON-RAW-IDQA-001</x:v>
      </x:c>
      <x:c r="F87" s="46" t="str">
        <x:v>Sulfur compounds</x:v>
      </x:c>
      <x:c r="G87" s="46" t="str">
        <x:v>carbonyl sulfide</x:v>
      </x:c>
      <x:c r="H87" s="46" t="str">
        <x:v>carbonyl sulfide</x:v>
      </x:c>
      <x:c r="I87" s="46" t="str">
        <x:v>b</x:v>
      </x:c>
      <x:c r="J87" s="46" t="str">
        <x:v>&lt;500</x:v>
      </x:c>
      <x:c r="K87" s="46"/>
      <x:c r="L87" s="46" t="n">
        <x:v>60</x:v>
      </x:c>
      <x:c r="M87" s="46" t="str">
        <x:v>MS, LRI</x:v>
      </x:c>
      <x:c r="N87" s="46" t="str">
        <x:v>no</x:v>
      </x:c>
      <x:c r="O87" s="46"/>
      <x:c r="P87" s="46" t="str">
        <x:v>LRI + NIST MS</x:v>
      </x:c>
      <x:c r="Q87" s="46" t="str">
        <x:v>named_source_compound</x:v>
      </x:c>
      <x:c r="R87" s="46" t="str">
        <x:v>fresh_membership_supported</x:v>
      </x:c>
      <x:c r="S87" s="46" t="str">
        <x:v>Table-2 inventory is reported as found across all four studied species at different stages; source further states no frozen-thawed volatile appeared that was not already present in the fresh fish.</x:v>
      </x:c>
    </x:row>
    <x:row r="88" ht="26.399999618530273" hidden="0" customHeight="1">
      <x:c r="A88" s="46" t="str">
        <x:v>DFC-RAW-087</x:v>
      </x:c>
      <x:c r="B88" s="46" t="str">
        <x:v>fish:atlantic_cod</x:v>
      </x:c>
      <x:c r="C88" s="46" t="str">
        <x:v>family:seafood_finfish</x:v>
      </x:c>
      <x:c r="D88" s="46" t="str">
        <x:v>fresh raw fillet</x:v>
      </x:c>
      <x:c r="E88" s="46" t="str">
        <x:v>SRC-FISH-COD-SALMON-RAW-IDQA-001</x:v>
      </x:c>
      <x:c r="F88" s="46" t="str">
        <x:v>Sulfur compounds</x:v>
      </x:c>
      <x:c r="G88" s="46" t="str">
        <x:v>dimethyl sulfide</x:v>
      </x:c>
      <x:c r="H88" s="46" t="str">
        <x:v>dimethyl sulfide</x:v>
      </x:c>
      <x:c r="I88" s="46" t="str">
        <x:v>h</x:v>
      </x:c>
      <x:c r="J88" s="46" t="str">
        <x:v>516</x:v>
      </x:c>
      <x:c r="K88" s="46" t="n">
        <x:v>516</x:v>
      </x:c>
      <x:c r="L88" s="46" t="n">
        <x:v>62</x:v>
      </x:c>
      <x:c r="M88" s="46" t="str">
        <x:v>MS, LRI, Std</x:v>
      </x:c>
      <x:c r="N88" s="46" t="str">
        <x:v>yes</x:v>
      </x:c>
      <x:c r="O88" s="46"/>
      <x:c r="P88" s="46" t="str">
        <x:v>LRI + NIST MS + authentic standard</x:v>
      </x:c>
      <x:c r="Q88" s="46" t="str">
        <x:v>named_source_compound</x:v>
      </x:c>
      <x:c r="R88" s="46" t="str">
        <x:v>fresh_membership_supported</x:v>
      </x:c>
      <x:c r="S88" s="46" t="str">
        <x:v>Table-2 inventory is reported as found across all four studied species at different stages; source further states no frozen-thawed volatile appeared that was not already present in the fresh fish.</x:v>
      </x:c>
    </x:row>
    <x:row r="89" ht="26.399999618530273" hidden="0" customHeight="1">
      <x:c r="A89" s="46" t="str">
        <x:v>DFC-RAW-088</x:v>
      </x:c>
      <x:c r="B89" s="46" t="str">
        <x:v>fish:atlantic_cod</x:v>
      </x:c>
      <x:c r="C89" s="46" t="str">
        <x:v>family:seafood_finfish</x:v>
      </x:c>
      <x:c r="D89" s="46" t="str">
        <x:v>fresh raw fillet</x:v>
      </x:c>
      <x:c r="E89" s="46" t="str">
        <x:v>SRC-FISH-COD-SALMON-RAW-IDQA-001</x:v>
      </x:c>
      <x:c r="F89" s="46" t="str">
        <x:v>Sulfur compounds</x:v>
      </x:c>
      <x:c r="G89" s="46" t="str">
        <x:v>carbon disulfide</x:v>
      </x:c>
      <x:c r="H89" s="46" t="str">
        <x:v>carbon disulfide</x:v>
      </x:c>
      <x:c r="I89" s="46" t="str">
        <x:v>k</x:v>
      </x:c>
      <x:c r="J89" s="46" t="str">
        <x:v>533</x:v>
      </x:c>
      <x:c r="K89" s="46" t="n">
        <x:v>533</x:v>
      </x:c>
      <x:c r="L89" s="46" t="n">
        <x:v>76</x:v>
      </x:c>
      <x:c r="M89" s="46" t="str">
        <x:v>MS, LRI, Std</x:v>
      </x:c>
      <x:c r="N89" s="46" t="str">
        <x:v>yes</x:v>
      </x:c>
      <x:c r="O89" s="46"/>
      <x:c r="P89" s="46" t="str">
        <x:v>LRI + NIST MS + authentic standard</x:v>
      </x:c>
      <x:c r="Q89" s="46" t="str">
        <x:v>named_source_compound</x:v>
      </x:c>
      <x:c r="R89" s="46" t="str">
        <x:v>fresh_membership_supported</x:v>
      </x:c>
      <x:c r="S89" s="46" t="str">
        <x:v>Table-2 inventory is reported as found across all four studied species at different stages; source further states no frozen-thawed volatile appeared that was not already present in the fresh fish.</x:v>
      </x:c>
    </x:row>
    <x:row r="90" ht="26.399999618530273" hidden="0" customHeight="1">
      <x:c r="A90" s="46" t="str">
        <x:v>DFC-RAW-089</x:v>
      </x:c>
      <x:c r="B90" s="46" t="str">
        <x:v>fish:atlantic_cod</x:v>
      </x:c>
      <x:c r="C90" s="46" t="str">
        <x:v>family:seafood_finfish</x:v>
      </x:c>
      <x:c r="D90" s="46" t="str">
        <x:v>fresh raw fillet</x:v>
      </x:c>
      <x:c r="E90" s="46" t="str">
        <x:v>SRC-FISH-COD-SALMON-RAW-IDQA-001</x:v>
      </x:c>
      <x:c r="F90" s="46" t="str">
        <x:v>Unclassified</x:v>
      </x:c>
      <x:c r="G90" s="46" t="str">
        <x:v>Unidentified</x:v>
      </x:c>
      <x:c r="H90" s="46" t="str">
        <x:v>Unidentified</x:v>
      </x:c>
      <x:c r="I90" s="46" t="str">
        <x:v>af</x:v>
      </x:c>
      <x:c r="J90" s="46" t="str">
        <x:v>698</x:v>
      </x:c>
      <x:c r="K90" s="46" t="n">
        <x:v>698</x:v>
      </x:c>
      <x:c r="L90" s="46" t="n">
        <x:v>59</x:v>
      </x:c>
      <x:c r="M90" s="46" t="str">
        <x:v>MS, LRI</x:v>
      </x:c>
      <x:c r="N90" s="46" t="str">
        <x:v>no</x:v>
      </x:c>
      <x:c r="O90" s="46"/>
      <x:c r="P90" s="46" t="str">
        <x:v>LRI + NIST MS</x:v>
      </x:c>
      <x:c r="Q90" s="46" t="str">
        <x:v>unidentified_source_feature</x:v>
      </x:c>
      <x:c r="R90" s="46" t="str">
        <x:v>fresh_membership_supported</x:v>
      </x:c>
      <x:c r="S90" s="46" t="str">
        <x:v>Table-2 inventory is reported as found across all four studied species at different stages; source further states no frozen-thawed volatile appeared that was not already present in the fresh fish.</x:v>
      </x:c>
    </x:row>
    <x:row r="91" ht="26.399999618530273" hidden="0" customHeight="1">
      <x:c r="A91" s="46" t="str">
        <x:v>DFC-RAW-090</x:v>
      </x:c>
      <x:c r="B91" s="46" t="str">
        <x:v>fish:atlantic_cod</x:v>
      </x:c>
      <x:c r="C91" s="46" t="str">
        <x:v>family:seafood_finfish</x:v>
      </x:c>
      <x:c r="D91" s="46" t="str">
        <x:v>fresh raw fillet</x:v>
      </x:c>
      <x:c r="E91" s="46" t="str">
        <x:v>SRC-FISH-COD-SALMON-RAW-IDQA-001</x:v>
      </x:c>
      <x:c r="F91" s="46" t="str">
        <x:v>Unclassified</x:v>
      </x:c>
      <x:c r="G91" s="46" t="str">
        <x:v>Unidentified</x:v>
      </x:c>
      <x:c r="H91" s="46" t="str">
        <x:v>Unidentified</x:v>
      </x:c>
      <x:c r="I91" s="46" t="str">
        <x:v>aj</x:v>
      </x:c>
      <x:c r="J91" s="46" t="str">
        <x:v>740</x:v>
      </x:c>
      <x:c r="K91" s="46" t="n">
        <x:v>740</x:v>
      </x:c>
      <x:c r="L91" s="46" t="n">
        <x:v>45</x:v>
      </x:c>
      <x:c r="M91" s="46" t="str">
        <x:v>MS, LRI</x:v>
      </x:c>
      <x:c r="N91" s="46" t="str">
        <x:v>no</x:v>
      </x:c>
      <x:c r="O91" s="46"/>
      <x:c r="P91" s="46" t="str">
        <x:v>LRI + NIST MS</x:v>
      </x:c>
      <x:c r="Q91" s="46" t="str">
        <x:v>unidentified_source_feature</x:v>
      </x:c>
      <x:c r="R91" s="46" t="str">
        <x:v>fresh_membership_supported</x:v>
      </x:c>
      <x:c r="S91" s="46" t="str">
        <x:v>Table-2 inventory is reported as found across all four studied species at different stages; source further states no frozen-thawed volatile appeared that was not already present in the fresh fish.</x:v>
      </x:c>
    </x:row>
    <x:row r="92" ht="26.399999618530273" hidden="0" customHeight="1">
      <x:c r="A92" s="46" t="str">
        <x:v>DFC-RAW-091</x:v>
      </x:c>
      <x:c r="B92" s="46" t="str">
        <x:v>fish:atlantic_cod</x:v>
      </x:c>
      <x:c r="C92" s="46" t="str">
        <x:v>family:seafood_finfish</x:v>
      </x:c>
      <x:c r="D92" s="46" t="str">
        <x:v>fresh raw fillet</x:v>
      </x:c>
      <x:c r="E92" s="46" t="str">
        <x:v>SRC-FISH-COD-SALMON-RAW-IDQA-001</x:v>
      </x:c>
      <x:c r="F92" s="46" t="str">
        <x:v>Unclassified</x:v>
      </x:c>
      <x:c r="G92" s="46" t="str">
        <x:v>Unidentified</x:v>
      </x:c>
      <x:c r="H92" s="46" t="str">
        <x:v>Unidentified</x:v>
      </x:c>
      <x:c r="I92" s="46" t="str">
        <x:v>ak</x:v>
      </x:c>
      <x:c r="J92" s="46" t="str">
        <x:v>748</x:v>
      </x:c>
      <x:c r="K92" s="46" t="n">
        <x:v>748</x:v>
      </x:c>
      <x:c r="L92" s="46" t="n">
        <x:v>70</x:v>
      </x:c>
      <x:c r="M92" s="46" t="str">
        <x:v>MS, LRI</x:v>
      </x:c>
      <x:c r="N92" s="46" t="str">
        <x:v>no</x:v>
      </x:c>
      <x:c r="O92" s="46"/>
      <x:c r="P92" s="46" t="str">
        <x:v>LRI + NIST MS</x:v>
      </x:c>
      <x:c r="Q92" s="46" t="str">
        <x:v>unidentified_source_feature</x:v>
      </x:c>
      <x:c r="R92" s="46" t="str">
        <x:v>fresh_membership_supported</x:v>
      </x:c>
      <x:c r="S92" s="46" t="str">
        <x:v>Table-2 inventory is reported as found across all four studied species at different stages; source further states no frozen-thawed volatile appeared that was not already present in the fresh fish.</x:v>
      </x:c>
    </x:row>
    <x:row r="93" ht="26.399999618530273" hidden="0" customHeight="1">
      <x:c r="A93" s="46" t="str">
        <x:v>DFC-RAW-092</x:v>
      </x:c>
      <x:c r="B93" s="46" t="str">
        <x:v>fish:atlantic_cod</x:v>
      </x:c>
      <x:c r="C93" s="46" t="str">
        <x:v>family:seafood_finfish</x:v>
      </x:c>
      <x:c r="D93" s="46" t="str">
        <x:v>fresh raw fillet</x:v>
      </x:c>
      <x:c r="E93" s="46" t="str">
        <x:v>SRC-FISH-COD-SALMON-RAW-IDQA-001</x:v>
      </x:c>
      <x:c r="F93" s="46" t="str">
        <x:v>Unclassified</x:v>
      </x:c>
      <x:c r="G93" s="46" t="str">
        <x:v>Unidentified</x:v>
      </x:c>
      <x:c r="H93" s="46" t="str">
        <x:v>Unidentified</x:v>
      </x:c>
      <x:c r="I93" s="46" t="str">
        <x:v>ax</x:v>
      </x:c>
      <x:c r="J93" s="46" t="str">
        <x:v>875</x:v>
      </x:c>
      <x:c r="K93" s="46" t="n">
        <x:v>875</x:v>
      </x:c>
      <x:c r="L93" s="46" t="n">
        <x:v>45</x:v>
      </x:c>
      <x:c r="M93" s="46" t="str">
        <x:v>MS, LRI</x:v>
      </x:c>
      <x:c r="N93" s="46" t="str">
        <x:v>no</x:v>
      </x:c>
      <x:c r="O93" s="46"/>
      <x:c r="P93" s="46" t="str">
        <x:v>LRI + NIST MS</x:v>
      </x:c>
      <x:c r="Q93" s="46" t="str">
        <x:v>unidentified_source_feature</x:v>
      </x:c>
      <x:c r="R93" s="46" t="str">
        <x:v>fresh_membership_supported</x:v>
      </x:c>
      <x:c r="S93" s="46" t="str">
        <x:v>Table-2 inventory is reported as found across all four studied species at different stages; source further states no frozen-thawed volatile appeared that was not already present in the fresh fish.</x:v>
      </x:c>
    </x:row>
    <x:row r="94" ht="26.399999618530273" hidden="0" customHeight="1">
      <x:c r="A94" s="46" t="str">
        <x:v>DFC-RAW-093</x:v>
      </x:c>
      <x:c r="B94" s="46" t="str">
        <x:v>fish:atlantic_cod</x:v>
      </x:c>
      <x:c r="C94" s="46" t="str">
        <x:v>family:seafood_finfish</x:v>
      </x:c>
      <x:c r="D94" s="46" t="str">
        <x:v>fresh raw fillet</x:v>
      </x:c>
      <x:c r="E94" s="46" t="str">
        <x:v>SRC-FISH-COD-SALMON-RAW-IDQA-001</x:v>
      </x:c>
      <x:c r="F94" s="46" t="str">
        <x:v>Unclassified</x:v>
      </x:c>
      <x:c r="G94" s="46" t="str">
        <x:v>methane, tribromo</x:v>
      </x:c>
      <x:c r="H94" s="46" t="str">
        <x:v>methane, tribromo</x:v>
      </x:c>
      <x:c r="I94" s="46" t="str">
        <x:v>bb</x:v>
      </x:c>
      <x:c r="J94" s="46" t="str">
        <x:v>894</x:v>
      </x:c>
      <x:c r="K94" s="46" t="n">
        <x:v>894</x:v>
      </x:c>
      <x:c r="L94" s="46" t="n">
        <x:v>173</x:v>
      </x:c>
      <x:c r="M94" s="46" t="str">
        <x:v>MS, LRI, Std</x:v>
      </x:c>
      <x:c r="N94" s="46" t="str">
        <x:v>yes</x:v>
      </x:c>
      <x:c r="O94" s="46"/>
      <x:c r="P94" s="46" t="str">
        <x:v>LRI + NIST MS + authentic standard</x:v>
      </x:c>
      <x:c r="Q94" s="46" t="str">
        <x:v>named_source_compound</x:v>
      </x:c>
      <x:c r="R94" s="46" t="str">
        <x:v>fresh_membership_supported</x:v>
      </x:c>
      <x:c r="S94" s="46" t="str">
        <x:v>Table-2 inventory is reported as found across all four studied species at different stages; source further states no frozen-thawed volatile appeared that was not already present in the fresh fish.</x:v>
      </x:c>
    </x:row>
    <x:row r="95" ht="26.399999618530273" hidden="0" customHeight="1">
      <x:c r="A95" s="46" t="str">
        <x:v>DFC-RAW-094</x:v>
      </x:c>
      <x:c r="B95" s="46" t="str">
        <x:v>fish:atlantic_cod</x:v>
      </x:c>
      <x:c r="C95" s="46" t="str">
        <x:v>family:seafood_finfish</x:v>
      </x:c>
      <x:c r="D95" s="46" t="str">
        <x:v>fresh raw fillet</x:v>
      </x:c>
      <x:c r="E95" s="46" t="str">
        <x:v>SRC-FISH-COD-SALMON-RAW-IDQA-001</x:v>
      </x:c>
      <x:c r="F95" s="46" t="str">
        <x:v>Unclassified</x:v>
      </x:c>
      <x:c r="G95" s="46" t="str">
        <x:v>Butyrolactone</x:v>
      </x:c>
      <x:c r="H95" s="46" t="str">
        <x:v>Butyrolactone</x:v>
      </x:c>
      <x:c r="I95" s="46" t="str">
        <x:v>bf</x:v>
      </x:c>
      <x:c r="J95" s="46" t="str">
        <x:v>914</x:v>
      </x:c>
      <x:c r="K95" s="46" t="n">
        <x:v>914</x:v>
      </x:c>
      <x:c r="L95" s="46" t="n">
        <x:v>42</x:v>
      </x:c>
      <x:c r="M95" s="46" t="str">
        <x:v>MS, LRI, Std</x:v>
      </x:c>
      <x:c r="N95" s="46" t="str">
        <x:v>yes</x:v>
      </x:c>
      <x:c r="O95" s="46"/>
      <x:c r="P95" s="46" t="str">
        <x:v>LRI + NIST MS + authentic standard</x:v>
      </x:c>
      <x:c r="Q95" s="46" t="str">
        <x:v>named_source_compound</x:v>
      </x:c>
      <x:c r="R95" s="46" t="str">
        <x:v>fresh_membership_supported</x:v>
      </x:c>
      <x:c r="S95" s="46" t="str">
        <x:v>Table-2 inventory is reported as found across all four studied species at different stages; source further states no frozen-thawed volatile appeared that was not already present in the fresh fish.</x:v>
      </x:c>
    </x:row>
    <x:row r="96" ht="26.399999618530273" hidden="0" customHeight="1">
      <x:c r="A96" s="46" t="str">
        <x:v>DFC-RAW-095</x:v>
      </x:c>
      <x:c r="B96" s="46" t="str">
        <x:v>fish:atlantic_cod</x:v>
      </x:c>
      <x:c r="C96" s="46" t="str">
        <x:v>family:seafood_finfish</x:v>
      </x:c>
      <x:c r="D96" s="46" t="str">
        <x:v>fresh raw fillet</x:v>
      </x:c>
      <x:c r="E96" s="46" t="str">
        <x:v>SRC-FISH-COD-SALMON-RAW-IDQA-001</x:v>
      </x:c>
      <x:c r="F96" s="46" t="str">
        <x:v>Unclassified</x:v>
      </x:c>
      <x:c r="G96" s="46" t="str">
        <x:v>Unidentified</x:v>
      </x:c>
      <x:c r="H96" s="46" t="str">
        <x:v>Unidentified</x:v>
      </x:c>
      <x:c r="I96" s="46" t="str">
        <x:v>bh</x:v>
      </x:c>
      <x:c r="J96" s="46" t="str">
        <x:v>942</x:v>
      </x:c>
      <x:c r="K96" s="46" t="n">
        <x:v>942</x:v>
      </x:c>
      <x:c r="L96" s="46" t="n">
        <x:v>193</x:v>
      </x:c>
      <x:c r="M96" s="46" t="str">
        <x:v>MS, LRI</x:v>
      </x:c>
      <x:c r="N96" s="46" t="str">
        <x:v>no</x:v>
      </x:c>
      <x:c r="O96" s="46"/>
      <x:c r="P96" s="46" t="str">
        <x:v>LRI + NIST MS</x:v>
      </x:c>
      <x:c r="Q96" s="46" t="str">
        <x:v>unidentified_source_feature</x:v>
      </x:c>
      <x:c r="R96" s="46" t="str">
        <x:v>fresh_membership_supported</x:v>
      </x:c>
      <x:c r="S96" s="46" t="str">
        <x:v>Table-2 inventory is reported as found across all four studied species at different stages; source further states no frozen-thawed volatile appeared that was not already present in the fresh fish.</x:v>
      </x:c>
    </x:row>
    <x:row r="97" ht="26.399999618530273" hidden="0" customHeight="1">
      <x:c r="A97" s="46" t="str">
        <x:v>DFC-RAW-096</x:v>
      </x:c>
      <x:c r="B97" s="46" t="str">
        <x:v>fish:atlantic_cod</x:v>
      </x:c>
      <x:c r="C97" s="46" t="str">
        <x:v>family:seafood_finfish</x:v>
      </x:c>
      <x:c r="D97" s="46" t="str">
        <x:v>fresh raw fillet</x:v>
      </x:c>
      <x:c r="E97" s="46" t="str">
        <x:v>SRC-FISH-COD-SALMON-RAW-IDQA-001</x:v>
      </x:c>
      <x:c r="F97" s="46" t="str">
        <x:v>Unclassified</x:v>
      </x:c>
      <x:c r="G97" s="46" t="str">
        <x:v>Unidentified</x:v>
      </x:c>
      <x:c r="H97" s="46" t="str">
        <x:v>Unidentified</x:v>
      </x:c>
      <x:c r="I97" s="46" t="str">
        <x:v>bi</x:v>
      </x:c>
      <x:c r="J97" s="46" t="str">
        <x:v>953</x:v>
      </x:c>
      <x:c r="K97" s="46" t="n">
        <x:v>953</x:v>
      </x:c>
      <x:c r="L97" s="46" t="n">
        <x:v>55</x:v>
      </x:c>
      <x:c r="M97" s="46" t="str">
        <x:v>MS, LRI</x:v>
      </x:c>
      <x:c r="N97" s="46" t="str">
        <x:v>no</x:v>
      </x:c>
      <x:c r="O97" s="46"/>
      <x:c r="P97" s="46" t="str">
        <x:v>LRI + NIST MS</x:v>
      </x:c>
      <x:c r="Q97" s="46" t="str">
        <x:v>unidentified_source_feature</x:v>
      </x:c>
      <x:c r="R97" s="46" t="str">
        <x:v>fresh_membership_supported</x:v>
      </x:c>
      <x:c r="S97" s="46" t="str">
        <x:v>Table-2 inventory is reported as found across all four studied species at different stages; source further states no frozen-thawed volatile appeared that was not already present in the fresh fish.</x:v>
      </x:c>
    </x:row>
    <x:row r="98" ht="26.399999618530273" hidden="0" customHeight="1">
      <x:c r="A98" s="46" t="str">
        <x:v>DFC-RAW-097</x:v>
      </x:c>
      <x:c r="B98" s="46" t="str">
        <x:v>fish:atlantic_cod</x:v>
      </x:c>
      <x:c r="C98" s="46" t="str">
        <x:v>family:seafood_finfish</x:v>
      </x:c>
      <x:c r="D98" s="46" t="str">
        <x:v>fresh raw fillet</x:v>
      </x:c>
      <x:c r="E98" s="46" t="str">
        <x:v>SRC-FISH-COD-SALMON-RAW-IDQA-001</x:v>
      </x:c>
      <x:c r="F98" s="46" t="str">
        <x:v>Unclassified</x:v>
      </x:c>
      <x:c r="G98" s="46" t="str">
        <x:v>Unidentified</x:v>
      </x:c>
      <x:c r="H98" s="46" t="str">
        <x:v>Unidentified</x:v>
      </x:c>
      <x:c r="I98" s="46" t="str">
        <x:v>bn</x:v>
      </x:c>
      <x:c r="J98" s="46" t="str">
        <x:v>974</x:v>
      </x:c>
      <x:c r="K98" s="46" t="n">
        <x:v>974</x:v>
      </x:c>
      <x:c r="L98" s="46" t="n">
        <x:v>281</x:v>
      </x:c>
      <x:c r="M98" s="46" t="str">
        <x:v>MS, LRI</x:v>
      </x:c>
      <x:c r="N98" s="46" t="str">
        <x:v>no</x:v>
      </x:c>
      <x:c r="O98" s="46"/>
      <x:c r="P98" s="46" t="str">
        <x:v>LRI + NIST MS</x:v>
      </x:c>
      <x:c r="Q98" s="46" t="str">
        <x:v>unidentified_source_feature</x:v>
      </x:c>
      <x:c r="R98" s="46" t="str">
        <x:v>fresh_membership_supported</x:v>
      </x:c>
      <x:c r="S98" s="46" t="str">
        <x:v>Table-2 inventory is reported as found across all four studied species at different stages; source further states no frozen-thawed volatile appeared that was not already present in the fresh fish.</x:v>
      </x:c>
    </x:row>
    <x:row r="99" ht="26.399999618530273" hidden="0" customHeight="1">
      <x:c r="A99" s="46" t="str">
        <x:v>DFC-RAW-098</x:v>
      </x:c>
      <x:c r="B99" s="46" t="str">
        <x:v>fish:atlantic_cod</x:v>
      </x:c>
      <x:c r="C99" s="46" t="str">
        <x:v>family:seafood_finfish</x:v>
      </x:c>
      <x:c r="D99" s="46" t="str">
        <x:v>fresh raw fillet</x:v>
      </x:c>
      <x:c r="E99" s="46" t="str">
        <x:v>SRC-FISH-COD-SALMON-RAW-IDQA-001</x:v>
      </x:c>
      <x:c r="F99" s="46" t="str">
        <x:v>Unclassified</x:v>
      </x:c>
      <x:c r="G99" s="46" t="str">
        <x:v>Unidentified</x:v>
      </x:c>
      <x:c r="H99" s="46" t="str">
        <x:v>Unidentified</x:v>
      </x:c>
      <x:c r="I99" s="46" t="str">
        <x:v>ca</x:v>
      </x:c>
      <x:c r="J99" s="46" t="str">
        <x:v>1058</x:v>
      </x:c>
      <x:c r="K99" s="46" t="n">
        <x:v>1058</x:v>
      </x:c>
      <x:c r="L99" s="46" t="n">
        <x:v>57</x:v>
      </x:c>
      <x:c r="M99" s="46" t="str">
        <x:v>MS, LRI</x:v>
      </x:c>
      <x:c r="N99" s="46" t="str">
        <x:v>no</x:v>
      </x:c>
      <x:c r="O99" s="46"/>
      <x:c r="P99" s="46" t="str">
        <x:v>LRI + NIST MS</x:v>
      </x:c>
      <x:c r="Q99" s="46" t="str">
        <x:v>unidentified_source_feature</x:v>
      </x:c>
      <x:c r="R99" s="46" t="str">
        <x:v>fresh_membership_supported</x:v>
      </x:c>
      <x:c r="S99" s="46" t="str">
        <x:v>Table-2 inventory is reported as found across all four studied species at different stages; source further states no frozen-thawed volatile appeared that was not already present in the fresh fish.</x:v>
      </x:c>
    </x:row>
    <x:row r="100" ht="26.399999618530273" hidden="0" customHeight="1">
      <x:c r="A100" s="46" t="str">
        <x:v>DFC-RAW-099</x:v>
      </x:c>
      <x:c r="B100" s="46" t="str">
        <x:v>fish:atlantic_cod</x:v>
      </x:c>
      <x:c r="C100" s="46" t="str">
        <x:v>family:seafood_finfish</x:v>
      </x:c>
      <x:c r="D100" s="46" t="str">
        <x:v>fresh raw fillet</x:v>
      </x:c>
      <x:c r="E100" s="46" t="str">
        <x:v>SRC-FISH-COD-SALMON-RAW-IDQA-001</x:v>
      </x:c>
      <x:c r="F100" s="46" t="str">
        <x:v>Unclassified</x:v>
      </x:c>
      <x:c r="G100" s="46" t="str">
        <x:v>2-methoxy-phenol</x:v>
      </x:c>
      <x:c r="H100" s="46" t="str">
        <x:v>2-methoxy-phenol</x:v>
      </x:c>
      <x:c r="I100" s="46" t="str">
        <x:v>ch</x:v>
      </x:c>
      <x:c r="J100" s="46" t="str">
        <x:v>1095</x:v>
      </x:c>
      <x:c r="K100" s="46" t="n">
        <x:v>1095</x:v>
      </x:c>
      <x:c r="L100" s="46" t="n">
        <x:v>81</x:v>
      </x:c>
      <x:c r="M100" s="46" t="str">
        <x:v>MS, LRI</x:v>
      </x:c>
      <x:c r="N100" s="46" t="str">
        <x:v>no</x:v>
      </x:c>
      <x:c r="O100" s="46"/>
      <x:c r="P100" s="46" t="str">
        <x:v>LRI + NIST MS</x:v>
      </x:c>
      <x:c r="Q100" s="46" t="str">
        <x:v>named_source_compound</x:v>
      </x:c>
      <x:c r="R100" s="46" t="str">
        <x:v>fresh_membership_supported</x:v>
      </x:c>
      <x:c r="S100" s="46" t="str">
        <x:v>Table-2 inventory is reported as found across all four studied species at different stages; source further states no frozen-thawed volatile appeared that was not already present in the fresh fish.</x:v>
      </x:c>
    </x:row>
    <x:row r="101" ht="26.399999618530273" hidden="0" customHeight="1">
      <x:c r="A101" s="46" t="str">
        <x:v>DFC-RAW-100</x:v>
      </x:c>
      <x:c r="B101" s="46" t="str">
        <x:v>fish:atlantic_cod</x:v>
      </x:c>
      <x:c r="C101" s="46" t="str">
        <x:v>family:seafood_finfish</x:v>
      </x:c>
      <x:c r="D101" s="46" t="str">
        <x:v>fresh raw fillet</x:v>
      </x:c>
      <x:c r="E101" s="46" t="str">
        <x:v>SRC-FISH-COD-SALMON-RAW-IDQA-001</x:v>
      </x:c>
      <x:c r="F101" s="46" t="str">
        <x:v>Unclassified</x:v>
      </x:c>
      <x:c r="G101" s="46" t="str">
        <x:v>2-ethyl-phenol</x:v>
      </x:c>
      <x:c r="H101" s="46" t="str">
        <x:v>2-ethyl-phenol</x:v>
      </x:c>
      <x:c r="I101" s="46" t="str">
        <x:v>cn</x:v>
      </x:c>
      <x:c r="J101" s="46" t="str">
        <x:v>1144</x:v>
      </x:c>
      <x:c r="K101" s="46" t="n">
        <x:v>1144</x:v>
      </x:c>
      <x:c r="L101" s="46" t="n">
        <x:v>107</x:v>
      </x:c>
      <x:c r="M101" s="46" t="str">
        <x:v>MS, LRI, Std</x:v>
      </x:c>
      <x:c r="N101" s="46" t="str">
        <x:v>yes</x:v>
      </x:c>
      <x:c r="O101" s="46"/>
      <x:c r="P101" s="46" t="str">
        <x:v>LRI + NIST MS + authentic standard</x:v>
      </x:c>
      <x:c r="Q101" s="46" t="str">
        <x:v>named_source_compound</x:v>
      </x:c>
      <x:c r="R101" s="46" t="str">
        <x:v>fresh_membership_supported</x:v>
      </x:c>
      <x:c r="S101" s="46" t="str">
        <x:v>Table-2 inventory is reported as found across all four studied species at different stages; source further states no frozen-thawed volatile appeared that was not already present in the fresh fish.</x:v>
      </x:c>
    </x:row>
    <x:row r="102" ht="26.399999618530273" hidden="0" customHeight="1">
      <x:c r="A102" s="46" t="str">
        <x:v>DFC-RAW-101</x:v>
      </x:c>
      <x:c r="B102" s="46" t="str">
        <x:v>fish:atlantic_cod</x:v>
      </x:c>
      <x:c r="C102" s="46" t="str">
        <x:v>family:seafood_finfish</x:v>
      </x:c>
      <x:c r="D102" s="46" t="str">
        <x:v>fresh raw fillet</x:v>
      </x:c>
      <x:c r="E102" s="46" t="str">
        <x:v>SRC-FISH-COD-SALMON-RAW-IDQA-001</x:v>
      </x:c>
      <x:c r="F102" s="46" t="str">
        <x:v>Unclassified</x:v>
      </x:c>
      <x:c r="G102" s="46" t="str">
        <x:v>Unidentified</x:v>
      </x:c>
      <x:c r="H102" s="46" t="str">
        <x:v>Unidentified</x:v>
      </x:c>
      <x:c r="I102" s="46" t="str">
        <x:v>co</x:v>
      </x:c>
      <x:c r="J102" s="46" t="str">
        <x:v>1148</x:v>
      </x:c>
      <x:c r="K102" s="46" t="n">
        <x:v>1148</x:v>
      </x:c>
      <x:c r="L102" s="46" t="n">
        <x:v>70</x:v>
      </x:c>
      <x:c r="M102" s="46" t="str">
        <x:v>MS, LRI</x:v>
      </x:c>
      <x:c r="N102" s="46" t="str">
        <x:v>no</x:v>
      </x:c>
      <x:c r="O102" s="46"/>
      <x:c r="P102" s="46" t="str">
        <x:v>LRI + NIST MS</x:v>
      </x:c>
      <x:c r="Q102" s="46" t="str">
        <x:v>unidentified_source_feature</x:v>
      </x:c>
      <x:c r="R102" s="46" t="str">
        <x:v>fresh_membership_supported</x:v>
      </x:c>
      <x:c r="S102" s="46" t="str">
        <x:v>Table-2 inventory is reported as found across all four studied species at different stages; source further states no frozen-thawed volatile appeared that was not already present in the fresh fish.</x:v>
      </x:c>
    </x:row>
  </x:sheetData>
  <x:pageMargins left="0.7" right="0.7" top="0.75" bottom="0.75" header="0.3" footer="0.3"/>
  <x:tableParts count="1">
    <x:tablePart xmlns:r="http://schemas.openxmlformats.org/officeDocument/2006/relationships" r:id="Ra51c892b417e45b1"/>
  </x:tableParts>
</x:worksheet>
</file>

<file path=xl/worksheets/sheet68.xml><?xml version="1.0" encoding="utf-8"?>
<x:worksheet xmlns:x="http://schemas.openxmlformats.org/spreadsheetml/2006/main">
  <x:sheetFormatPr defaultRowHeight="15"/>
  <x:cols>
    <x:col min="1" max="1" width="16" hidden="0" customWidth="1"/>
    <x:col min="2" max="2" width="18" hidden="0" customWidth="1"/>
    <x:col min="3" max="3" width="20" hidden="0" customWidth="1"/>
    <x:col min="4" max="4" width="29" hidden="0" customWidth="1"/>
    <x:col min="5" max="5" width="36" hidden="0" customWidth="1"/>
    <x:col min="6" max="6" width="29" hidden="0" customWidth="1"/>
    <x:col min="7" max="7" width="24" hidden="0" customWidth="1"/>
    <x:col min="8" max="8" width="26" hidden="0" customWidth="1"/>
    <x:col min="9" max="9" width="30" hidden="0" customWidth="1"/>
    <x:col min="10" max="10" width="32" hidden="0" customWidth="1"/>
    <x:col min="11" max="11" width="15" hidden="0" customWidth="1"/>
    <x:col min="12" max="12" width="18" hidden="0" customWidth="1"/>
    <x:col min="13" max="13" width="18" hidden="0" customWidth="1"/>
    <x:col min="14" max="14" width="18" hidden="0" customWidth="1"/>
    <x:col min="15" max="15" width="46" hidden="0" customWidth="1"/>
    <x:col min="16" max="16" width="20" hidden="0" customWidth="1"/>
    <x:col min="17" max="17" width="36" hidden="0" customWidth="1"/>
    <x:col min="18" max="18" width="20" hidden="0" customWidth="1"/>
    <x:col min="19" max="19" width="18" hidden="0" customWidth="1"/>
    <x:col min="20" max="20" width="34" hidden="0" customWidth="1"/>
    <x:col min="21" max="21" width="27" hidden="0" customWidth="1"/>
    <x:col min="22" max="22" width="30" hidden="0" customWidth="1"/>
    <x:col min="23" max="23" width="72" hidden="0" customWidth="1"/>
  </x:cols>
  <x:sheetData>
    <x:row r="1" ht="26.399999618530273" hidden="0" customHeight="1">
      <x:c r="A1" s="201" t="str">
        <x:v>detected_record_id</x:v>
      </x:c>
      <x:c r="B1" s="201" t="str">
        <x:v>product_id</x:v>
      </x:c>
      <x:c r="C1" s="201" t="str">
        <x:v>family_id</x:v>
      </x:c>
      <x:c r="D1" s="201" t="str">
        <x:v>state</x:v>
      </x:c>
      <x:c r="E1" s="201" t="str">
        <x:v>material_and_added_ingredients</x:v>
      </x:c>
      <x:c r="F1" s="201" t="str">
        <x:v>source_id</x:v>
      </x:c>
      <x:c r="G1" s="201" t="str">
        <x:v>source_compound_group</x:v>
      </x:c>
      <x:c r="H1" s="201" t="str">
        <x:v>normalized_compound_group</x:v>
      </x:c>
      <x:c r="I1" s="201" t="str">
        <x:v>compound_name_source_zh</x:v>
      </x:c>
      <x:c r="J1" s="201" t="str">
        <x:v>canonical_name</x:v>
      </x:c>
      <x:c r="K1" s="201" t="str">
        <x:v>cas</x:v>
      </x:c>
      <x:c r="L1" s="201" t="str">
        <x:v>retention_index_db_wax</x:v>
      </x:c>
      <x:c r="M1" s="201" t="str">
        <x:v>gc_retention_time_s</x:v>
      </x:c>
      <x:c r="N1" s="201" t="str">
        <x:v>ims_drift_time_ms</x:v>
      </x:c>
      <x:c r="O1" s="201" t="str">
        <x:v>identification_method</x:v>
      </x:c>
      <x:c r="P1" s="201" t="str">
        <x:v>numeric_match_factor</x:v>
      </x:c>
      <x:c r="Q1" s="201" t="str">
        <x:v>mr09_identification_status</x:v>
      </x:c>
      <x:c r="R1" s="201" t="str">
        <x:v>cod_source_value</x:v>
      </x:c>
      <x:c r="S1" s="201" t="str">
        <x:v>cod_mean_raw_numeric</x:v>
      </x:c>
      <x:c r="T1" s="201" t="str">
        <x:v>source_metric_label</x:v>
      </x:c>
      <x:c r="U1" s="201" t="str">
        <x:v>importance_role</x:v>
      </x:c>
      <x:c r="V1" s="201" t="str">
        <x:v>culinary_relevance_route</x:v>
      </x:c>
      <x:c r="W1" s="201" t="str">
        <x:v>notes</x:v>
      </x:c>
    </x:row>
    <x:row r="2" ht="26.399999618530273" hidden="0" customHeight="1">
      <x:c r="A2" s="46" t="str">
        <x:v>DFC-BAKE-001</x:v>
      </x:c>
      <x:c r="B2" s="46" t="str">
        <x:v>fish:atlantic_cod</x:v>
      </x:c>
      <x:c r="C2" s="46" t="str">
        <x:v>family:seafood_finfish</x:v>
      </x:c>
      <x:c r="D2" s="46" t="str">
        <x:v>baked / iron-plate roasted commercial fillet</x:v>
      </x:c>
      <x:c r="E2" s="46" t="str">
        <x:v>cod fillet + sugar + salt + MSG</x:v>
      </x:c>
      <x:c r="F2" s="46" t="str">
        <x:v>SRC-FISH-COD-BAKED-001</x:v>
      </x:c>
      <x:c r="G2" s="46" t="str">
        <x:v>Alkenes</x:v>
      </x:c>
      <x:c r="H2" s="46" t="str">
        <x:v>Alkenes</x:v>
      </x:c>
      <x:c r="I2" s="46" t="str">
        <x:v>双戊烯</x:v>
      </x:c>
      <x:c r="J2" s="46" t="str">
        <x:v>dipentene</x:v>
      </x:c>
      <x:c r="K2" s="46" t="str">
        <x:v>138-86-3</x:v>
      </x:c>
      <x:c r="L2" s="46" t="n">
        <x:v>1203.1</x:v>
      </x:c>
      <x:c r="M2" s="46" t="n">
        <x:v>1449.006</x:v>
      </x:c>
      <x:c r="N2" s="46" t="n">
        <x:v>0.94066</x:v>
      </x:c>
      <x:c r="O2" s="46" t="str">
        <x:v>NIST2020 RI DB-WAX + Vocal GC-IMS library workflow</x:v>
      </x:c>
      <x:c r="P2" s="46"/>
      <x:c r="Q2" s="46" t="str">
        <x:v>ri_rt_drift_cas_reported_no_match_factor</x:v>
      </x:c>
      <x:c r="R2" s="46" t="str">
        <x:v>97.5421±7.47</x:v>
      </x:c>
      <x:c r="S2" s="46" t="n">
        <x:v>97.5421</x:v>
      </x:c>
      <x:c r="T2" s="46" t="str">
        <x:v>source table labels metric as relative content (%)</x:v>
      </x:c>
      <x:c r="U2" s="46" t="str">
        <x:v>detected_full_table</x:v>
      </x:c>
      <x:c r="V2" s="46" t="str">
        <x:v>positive_culinary_candidate</x:v>
      </x:c>
      <x:c r="W2" s="46" t="str">
        <x:v>Added sugar/salt/MSG are a process overlay; do not attribute every detected or high-abundance compound to intrinsic cod chemistry.</x:v>
      </x:c>
    </x:row>
    <x:row r="3" ht="26.399999618530273" hidden="0" customHeight="1">
      <x:c r="A3" s="46" t="str">
        <x:v>DFC-BAKE-002</x:v>
      </x:c>
      <x:c r="B3" s="46" t="str">
        <x:v>fish:atlantic_cod</x:v>
      </x:c>
      <x:c r="C3" s="46" t="str">
        <x:v>family:seafood_finfish</x:v>
      </x:c>
      <x:c r="D3" s="46" t="str">
        <x:v>baked / iron-plate roasted commercial fillet</x:v>
      </x:c>
      <x:c r="E3" s="46" t="str">
        <x:v>cod fillet + sugar + salt + MSG</x:v>
      </x:c>
      <x:c r="F3" s="46" t="str">
        <x:v>SRC-FISH-COD-BAKED-001</x:v>
      </x:c>
      <x:c r="G3" s="46" t="str">
        <x:v>Alkenes</x:v>
      </x:c>
      <x:c r="H3" s="46" t="str">
        <x:v>Alkenes</x:v>
      </x:c>
      <x:c r="I3" s="46" t="str">
        <x:v>α-葑烯</x:v>
      </x:c>
      <x:c r="J3" s="46" t="str">
        <x:v>alpha-fenchene</x:v>
      </x:c>
      <x:c r="K3" s="46" t="str">
        <x:v>471-84-1</x:v>
      </x:c>
      <x:c r="L3" s="46" t="n">
        <x:v>1062.9</x:v>
      </x:c>
      <x:c r="M3" s="46" t="n">
        <x:v>1133.684</x:v>
      </x:c>
      <x:c r="N3" s="46" t="n">
        <x:v>1.22264</x:v>
      </x:c>
      <x:c r="O3" s="46" t="str">
        <x:v>NIST2020 RI DB-WAX + Vocal GC-IMS library workflow</x:v>
      </x:c>
      <x:c r="P3" s="46"/>
      <x:c r="Q3" s="46" t="str">
        <x:v>ri_rt_drift_cas_reported_no_match_factor</x:v>
      </x:c>
      <x:c r="R3" s="46" t="str">
        <x:v>1684.56±10.25</x:v>
      </x:c>
      <x:c r="S3" s="46" t="n">
        <x:v>1684.56</x:v>
      </x:c>
      <x:c r="T3" s="46" t="str">
        <x:v>source table labels metric as relative content (%)</x:v>
      </x:c>
      <x:c r="U3" s="46" t="str">
        <x:v>detected_full_table</x:v>
      </x:c>
      <x:c r="V3" s="46" t="str">
        <x:v>positive_culinary_candidate</x:v>
      </x:c>
      <x:c r="W3" s="46" t="str">
        <x:v>Added sugar/salt/MSG are a process overlay; do not attribute every detected or high-abundance compound to intrinsic cod chemistry.</x:v>
      </x:c>
    </x:row>
    <x:row r="4" ht="26.399999618530273" hidden="0" customHeight="1">
      <x:c r="A4" s="46" t="str">
        <x:v>DFC-BAKE-003</x:v>
      </x:c>
      <x:c r="B4" s="46" t="str">
        <x:v>fish:atlantic_cod</x:v>
      </x:c>
      <x:c r="C4" s="46" t="str">
        <x:v>family:seafood_finfish</x:v>
      </x:c>
      <x:c r="D4" s="46" t="str">
        <x:v>baked / iron-plate roasted commercial fillet</x:v>
      </x:c>
      <x:c r="E4" s="46" t="str">
        <x:v>cod fillet + sugar + salt + MSG</x:v>
      </x:c>
      <x:c r="F4" s="46" t="str">
        <x:v>SRC-FISH-COD-BAKED-001</x:v>
      </x:c>
      <x:c r="G4" s="46" t="str">
        <x:v>Alkenes</x:v>
      </x:c>
      <x:c r="H4" s="46" t="str">
        <x:v>Alkenes</x:v>
      </x:c>
      <x:c r="I4" s="46" t="str">
        <x:v>3-蒈烯</x:v>
      </x:c>
      <x:c r="J4" s="46" t="str">
        <x:v>3-carene</x:v>
      </x:c>
      <x:c r="K4" s="46" t="str">
        <x:v>13466-78-9</x:v>
      </x:c>
      <x:c r="L4" s="46" t="n">
        <x:v>1156.5</x:v>
      </x:c>
      <x:c r="M4" s="46" t="n">
        <x:v>1342.617</x:v>
      </x:c>
      <x:c r="N4" s="46" t="n">
        <x:v>1.30743</x:v>
      </x:c>
      <x:c r="O4" s="46" t="str">
        <x:v>NIST2020 RI DB-WAX + Vocal GC-IMS library workflow</x:v>
      </x:c>
      <x:c r="P4" s="46"/>
      <x:c r="Q4" s="46" t="str">
        <x:v>ri_rt_drift_cas_reported_no_match_factor</x:v>
      </x:c>
      <x:c r="R4" s="46" t="str">
        <x:v>329.86±25.86</x:v>
      </x:c>
      <x:c r="S4" s="46" t="n">
        <x:v>329.86</x:v>
      </x:c>
      <x:c r="T4" s="46" t="str">
        <x:v>source table labels metric as relative content (%)</x:v>
      </x:c>
      <x:c r="U4" s="46" t="str">
        <x:v>detected_full_table</x:v>
      </x:c>
      <x:c r="V4" s="46" t="str">
        <x:v>positive_culinary_candidate</x:v>
      </x:c>
      <x:c r="W4" s="46" t="str">
        <x:v>Added sugar/salt/MSG are a process overlay; do not attribute every detected or high-abundance compound to intrinsic cod chemistry.</x:v>
      </x:c>
    </x:row>
    <x:row r="5" ht="26.399999618530273" hidden="0" customHeight="1">
      <x:c r="A5" s="46" t="str">
        <x:v>DFC-BAKE-004</x:v>
      </x:c>
      <x:c r="B5" s="46" t="str">
        <x:v>fish:atlantic_cod</x:v>
      </x:c>
      <x:c r="C5" s="46" t="str">
        <x:v>family:seafood_finfish</x:v>
      </x:c>
      <x:c r="D5" s="46" t="str">
        <x:v>baked / iron-plate roasted commercial fillet</x:v>
      </x:c>
      <x:c r="E5" s="46" t="str">
        <x:v>cod fillet + sugar + salt + MSG</x:v>
      </x:c>
      <x:c r="F5" s="46" t="str">
        <x:v>SRC-FISH-COD-BAKED-001</x:v>
      </x:c>
      <x:c r="G5" s="46" t="str">
        <x:v>Alkenes</x:v>
      </x:c>
      <x:c r="H5" s="46" t="str">
        <x:v>Alkenes</x:v>
      </x:c>
      <x:c r="I5" s="46" t="str">
        <x:v>1-辛烯</x:v>
      </x:c>
      <x:c r="J5" s="46" t="str">
        <x:v>1-octene</x:v>
      </x:c>
      <x:c r="K5" s="46" t="str">
        <x:v>111-66-0</x:v>
      </x:c>
      <x:c r="L5" s="46" t="n">
        <x:v>836.9</x:v>
      </x:c>
      <x:c r="M5" s="46" t="n">
        <x:v>656.339</x:v>
      </x:c>
      <x:c r="N5" s="46" t="n">
        <x:v>1.17684</x:v>
      </x:c>
      <x:c r="O5" s="46" t="str">
        <x:v>NIST2020 RI DB-WAX + Vocal GC-IMS library workflow</x:v>
      </x:c>
      <x:c r="P5" s="46"/>
      <x:c r="Q5" s="46" t="str">
        <x:v>ri_rt_drift_cas_reported_no_match_factor</x:v>
      </x:c>
      <x:c r="R5" s="46" t="str">
        <x:v>122.32±17.93</x:v>
      </x:c>
      <x:c r="S5" s="46" t="n">
        <x:v>122.32</x:v>
      </x:c>
      <x:c r="T5" s="46" t="str">
        <x:v>source table labels metric as relative content (%)</x:v>
      </x:c>
      <x:c r="U5" s="46" t="str">
        <x:v>detected_full_table</x:v>
      </x:c>
      <x:c r="V5" s="46" t="str">
        <x:v>positive_culinary_candidate</x:v>
      </x:c>
      <x:c r="W5" s="46" t="str">
        <x:v>Added sugar/salt/MSG are a process overlay; do not attribute every detected or high-abundance compound to intrinsic cod chemistry.</x:v>
      </x:c>
    </x:row>
    <x:row r="6" ht="26.399999618530273" hidden="0" customHeight="1">
      <x:c r="A6" s="46" t="str">
        <x:v>DFC-BAKE-005</x:v>
      </x:c>
      <x:c r="B6" s="46" t="str">
        <x:v>fish:atlantic_cod</x:v>
      </x:c>
      <x:c r="C6" s="46" t="str">
        <x:v>family:seafood_finfish</x:v>
      </x:c>
      <x:c r="D6" s="46" t="str">
        <x:v>baked / iron-plate roasted commercial fillet</x:v>
      </x:c>
      <x:c r="E6" s="46" t="str">
        <x:v>cod fillet + sugar + salt + MSG</x:v>
      </x:c>
      <x:c r="F6" s="46" t="str">
        <x:v>SRC-FISH-COD-BAKED-001</x:v>
      </x:c>
      <x:c r="G6" s="46" t="str">
        <x:v>Alkenes</x:v>
      </x:c>
      <x:c r="H6" s="46" t="str">
        <x:v>Alkenes</x:v>
      </x:c>
      <x:c r="I6" s="46" t="str">
        <x:v>3-庚烯</x:v>
      </x:c>
      <x:c r="J6" s="46" t="str">
        <x:v>3-heptene</x:v>
      </x:c>
      <x:c r="K6" s="46" t="str">
        <x:v>7642-10-6</x:v>
      </x:c>
      <x:c r="L6" s="46" t="n">
        <x:v>726.7</x:v>
      </x:c>
      <x:c r="M6" s="46" t="n">
        <x:v>492.685</x:v>
      </x:c>
      <x:c r="N6" s="46" t="n">
        <x:v>1.14113</x:v>
      </x:c>
      <x:c r="O6" s="46" t="str">
        <x:v>NIST2020 RI DB-WAX + Vocal GC-IMS library workflow</x:v>
      </x:c>
      <x:c r="P6" s="46"/>
      <x:c r="Q6" s="46" t="str">
        <x:v>ri_rt_drift_cas_reported_no_match_factor</x:v>
      </x:c>
      <x:c r="R6" s="46" t="str">
        <x:v>24.54±2.83</x:v>
      </x:c>
      <x:c r="S6" s="46" t="n">
        <x:v>24.54</x:v>
      </x:c>
      <x:c r="T6" s="46" t="str">
        <x:v>source table labels metric as relative content (%)</x:v>
      </x:c>
      <x:c r="U6" s="46" t="str">
        <x:v>detected_full_table</x:v>
      </x:c>
      <x:c r="V6" s="46" t="str">
        <x:v>positive_culinary_candidate</x:v>
      </x:c>
      <x:c r="W6" s="46" t="str">
        <x:v>Added sugar/salt/MSG are a process overlay; do not attribute every detected or high-abundance compound to intrinsic cod chemistry.</x:v>
      </x:c>
    </x:row>
    <x:row r="7" ht="26.399999618530273" hidden="0" customHeight="1">
      <x:c r="A7" s="46" t="str">
        <x:v>DFC-BAKE-006</x:v>
      </x:c>
      <x:c r="B7" s="46" t="str">
        <x:v>fish:atlantic_cod</x:v>
      </x:c>
      <x:c r="C7" s="46" t="str">
        <x:v>family:seafood_finfish</x:v>
      </x:c>
      <x:c r="D7" s="46" t="str">
        <x:v>baked / iron-plate roasted commercial fillet</x:v>
      </x:c>
      <x:c r="E7" s="46" t="str">
        <x:v>cod fillet + sugar + salt + MSG</x:v>
      </x:c>
      <x:c r="F7" s="46" t="str">
        <x:v>SRC-FISH-COD-BAKED-001</x:v>
      </x:c>
      <x:c r="G7" s="46" t="str">
        <x:v>Alkenes</x:v>
      </x:c>
      <x:c r="H7" s="46" t="str">
        <x:v>Alkenes</x:v>
      </x:c>
      <x:c r="I7" s="46" t="str">
        <x:v>1-庚烯</x:v>
      </x:c>
      <x:c r="J7" s="46" t="str">
        <x:v>1-heptene</x:v>
      </x:c>
      <x:c r="K7" s="46" t="str">
        <x:v>592-76-7</x:v>
      </x:c>
      <x:c r="L7" s="46" t="n">
        <x:v>745</x:v>
      </x:c>
      <x:c r="M7" s="46" t="n">
        <x:v>516.672</x:v>
      </x:c>
      <x:c r="N7" s="46" t="n">
        <x:v>1.19446</x:v>
      </x:c>
      <x:c r="O7" s="46" t="str">
        <x:v>NIST2020 RI DB-WAX + Vocal GC-IMS library workflow</x:v>
      </x:c>
      <x:c r="P7" s="46"/>
      <x:c r="Q7" s="46" t="str">
        <x:v>ri_rt_drift_cas_reported_no_match_factor</x:v>
      </x:c>
      <x:c r="R7" s="46" t="str">
        <x:v>1936.96±26.48</x:v>
      </x:c>
      <x:c r="S7" s="46" t="n">
        <x:v>1936.96</x:v>
      </x:c>
      <x:c r="T7" s="46" t="str">
        <x:v>source table labels metric as relative content (%)</x:v>
      </x:c>
      <x:c r="U7" s="46" t="str">
        <x:v>detected_full_table</x:v>
      </x:c>
      <x:c r="V7" s="46" t="str">
        <x:v>positive_culinary_candidate</x:v>
      </x:c>
      <x:c r="W7" s="46" t="str">
        <x:v>Added sugar/salt/MSG are a process overlay; do not attribute every detected or high-abundance compound to intrinsic cod chemistry.</x:v>
      </x:c>
    </x:row>
    <x:row r="8" ht="26.399999618530273" hidden="0" customHeight="1">
      <x:c r="A8" s="46" t="str">
        <x:v>DFC-BAKE-007</x:v>
      </x:c>
      <x:c r="B8" s="46" t="str">
        <x:v>fish:atlantic_cod</x:v>
      </x:c>
      <x:c r="C8" s="46" t="str">
        <x:v>family:seafood_finfish</x:v>
      </x:c>
      <x:c r="D8" s="46" t="str">
        <x:v>baked / iron-plate roasted commercial fillet</x:v>
      </x:c>
      <x:c r="E8" s="46" t="str">
        <x:v>cod fillet + sugar + salt + MSG</x:v>
      </x:c>
      <x:c r="F8" s="46" t="str">
        <x:v>SRC-FISH-COD-BAKED-001</x:v>
      </x:c>
      <x:c r="G8" s="46" t="str">
        <x:v>Alkenes</x:v>
      </x:c>
      <x:c r="H8" s="46" t="str">
        <x:v>Alkenes</x:v>
      </x:c>
      <x:c r="I8" s="46" t="str">
        <x:v>反-2-辛烯</x:v>
      </x:c>
      <x:c r="J8" s="46" t="str">
        <x:v>trans-2-octene</x:v>
      </x:c>
      <x:c r="K8" s="46" t="str">
        <x:v>13389-42-9</x:v>
      </x:c>
      <x:c r="L8" s="46" t="n">
        <x:v>858.8</x:v>
      </x:c>
      <x:c r="M8" s="46" t="n">
        <x:v>694.96</x:v>
      </x:c>
      <x:c r="N8" s="46" t="n">
        <x:v>1.12085</x:v>
      </x:c>
      <x:c r="O8" s="46" t="str">
        <x:v>NIST2020 RI DB-WAX + Vocal GC-IMS library workflow</x:v>
      </x:c>
      <x:c r="P8" s="46"/>
      <x:c r="Q8" s="46" t="str">
        <x:v>ri_rt_drift_cas_reported_no_match_factor</x:v>
      </x:c>
      <x:c r="R8" s="46" t="str">
        <x:v>21.20±12.18</x:v>
      </x:c>
      <x:c r="S8" s="46" t="n">
        <x:v>21.2</x:v>
      </x:c>
      <x:c r="T8" s="46" t="str">
        <x:v>source table labels metric as relative content (%)</x:v>
      </x:c>
      <x:c r="U8" s="46" t="str">
        <x:v>detected_full_table</x:v>
      </x:c>
      <x:c r="V8" s="46" t="str">
        <x:v>positive_culinary_candidate</x:v>
      </x:c>
      <x:c r="W8" s="46" t="str">
        <x:v>Added sugar/salt/MSG are a process overlay; do not attribute every detected or high-abundance compound to intrinsic cod chemistry.</x:v>
      </x:c>
    </x:row>
    <x:row r="9" ht="26.399999618530273" hidden="0" customHeight="1">
      <x:c r="A9" s="46" t="str">
        <x:v>DFC-BAKE-008</x:v>
      </x:c>
      <x:c r="B9" s="46" t="str">
        <x:v>fish:atlantic_cod</x:v>
      </x:c>
      <x:c r="C9" s="46" t="str">
        <x:v>family:seafood_finfish</x:v>
      </x:c>
      <x:c r="D9" s="46" t="str">
        <x:v>baked / iron-plate roasted commercial fillet</x:v>
      </x:c>
      <x:c r="E9" s="46" t="str">
        <x:v>cod fillet + sugar + salt + MSG</x:v>
      </x:c>
      <x:c r="F9" s="46" t="str">
        <x:v>SRC-FISH-COD-BAKED-001</x:v>
      </x:c>
      <x:c r="G9" s="46" t="str">
        <x:v>Alkenes</x:v>
      </x:c>
      <x:c r="H9" s="46" t="str">
        <x:v>Alkenes</x:v>
      </x:c>
      <x:c r="I9" s="46" t="str">
        <x:v>1,1-二氯乙烯</x:v>
      </x:c>
      <x:c r="J9" s="46" t="str">
        <x:v>1,1-dichloroethylene</x:v>
      </x:c>
      <x:c r="K9" s="46" t="str">
        <x:v>75-35-4</x:v>
      </x:c>
      <x:c r="L9" s="46" t="n">
        <x:v>742.7</x:v>
      </x:c>
      <x:c r="M9" s="46" t="n">
        <x:v>513.618</x:v>
      </x:c>
      <x:c r="N9" s="46" t="n">
        <x:v>1.27729</x:v>
      </x:c>
      <x:c r="O9" s="46" t="str">
        <x:v>NIST2020 RI DB-WAX + Vocal GC-IMS library workflow</x:v>
      </x:c>
      <x:c r="P9" s="46"/>
      <x:c r="Q9" s="46" t="str">
        <x:v>ri_rt_drift_cas_reported_no_match_factor</x:v>
      </x:c>
      <x:c r="R9" s="46" t="str">
        <x:v>324.20±39.72</x:v>
      </x:c>
      <x:c r="S9" s="46" t="n">
        <x:v>324.2</x:v>
      </x:c>
      <x:c r="T9" s="46" t="str">
        <x:v>source table labels metric as relative content (%)</x:v>
      </x:c>
      <x:c r="U9" s="46" t="str">
        <x:v>detected_full_table</x:v>
      </x:c>
      <x:c r="V9" s="46" t="str">
        <x:v>positive_culinary_candidate</x:v>
      </x:c>
      <x:c r="W9" s="46" t="str">
        <x:v>Added sugar/salt/MSG are a process overlay; do not attribute every detected or high-abundance compound to intrinsic cod chemistry.</x:v>
      </x:c>
    </x:row>
    <x:row r="10" ht="26.399999618530273" hidden="0" customHeight="1">
      <x:c r="A10" s="46" t="str">
        <x:v>DFC-BAKE-009</x:v>
      </x:c>
      <x:c r="B10" s="46" t="str">
        <x:v>fish:atlantic_cod</x:v>
      </x:c>
      <x:c r="C10" s="46" t="str">
        <x:v>family:seafood_finfish</x:v>
      </x:c>
      <x:c r="D10" s="46" t="str">
        <x:v>baked / iron-plate roasted commercial fillet</x:v>
      </x:c>
      <x:c r="E10" s="46" t="str">
        <x:v>cod fillet + sugar + salt + MSG</x:v>
      </x:c>
      <x:c r="F10" s="46" t="str">
        <x:v>SRC-FISH-COD-BAKED-001</x:v>
      </x:c>
      <x:c r="G10" s="46" t="str">
        <x:v>Alkenes</x:v>
      </x:c>
      <x:c r="H10" s="46" t="str">
        <x:v>Alkenes</x:v>
      </x:c>
      <x:c r="I10" s="46" t="str">
        <x:v>α-蒎烯</x:v>
      </x:c>
      <x:c r="J10" s="46" t="str">
        <x:v>alpha-pinene</x:v>
      </x:c>
      <x:c r="K10" s="46" t="str">
        <x:v>80-56-8</x:v>
      </x:c>
      <x:c r="L10" s="46" t="n">
        <x:v>1031.6</x:v>
      </x:c>
      <x:c r="M10" s="46" t="n">
        <x:v>1066.257</x:v>
      </x:c>
      <x:c r="N10" s="46" t="n">
        <x:v>1.30021</x:v>
      </x:c>
      <x:c r="O10" s="46" t="str">
        <x:v>NIST2020 RI DB-WAX + Vocal GC-IMS library workflow</x:v>
      </x:c>
      <x:c r="P10" s="46"/>
      <x:c r="Q10" s="46" t="str">
        <x:v>ri_rt_drift_cas_reported_no_match_factor</x:v>
      </x:c>
      <x:c r="R10" s="46" t="str">
        <x:v>83.57±9.10</x:v>
      </x:c>
      <x:c r="S10" s="46" t="n">
        <x:v>83.57</x:v>
      </x:c>
      <x:c r="T10" s="46" t="str">
        <x:v>source table labels metric as relative content (%)</x:v>
      </x:c>
      <x:c r="U10" s="46" t="str">
        <x:v>detected_full_table</x:v>
      </x:c>
      <x:c r="V10" s="46" t="str">
        <x:v>positive_culinary_candidate</x:v>
      </x:c>
      <x:c r="W10" s="46" t="str">
        <x:v>Added sugar/salt/MSG are a process overlay; do not attribute every detected or high-abundance compound to intrinsic cod chemistry.</x:v>
      </x:c>
    </x:row>
    <x:row r="11" ht="26.399999618530273" hidden="0" customHeight="1">
      <x:c r="A11" s="46" t="str">
        <x:v>DFC-BAKE-010</x:v>
      </x:c>
      <x:c r="B11" s="46" t="str">
        <x:v>fish:atlantic_cod</x:v>
      </x:c>
      <x:c r="C11" s="46" t="str">
        <x:v>family:seafood_finfish</x:v>
      </x:c>
      <x:c r="D11" s="46" t="str">
        <x:v>baked / iron-plate roasted commercial fillet</x:v>
      </x:c>
      <x:c r="E11" s="46" t="str">
        <x:v>cod fillet + sugar + salt + MSG</x:v>
      </x:c>
      <x:c r="F11" s="46" t="str">
        <x:v>SRC-FISH-COD-BAKED-001</x:v>
      </x:c>
      <x:c r="G11" s="46" t="str">
        <x:v>Esters</x:v>
      </x:c>
      <x:c r="H11" s="46" t="str">
        <x:v>Esters</x:v>
      </x:c>
      <x:c r="I11" s="46" t="str">
        <x:v>异戊酸异戊酯</x:v>
      </x:c>
      <x:c r="J11" s="46" t="str">
        <x:v>isoamyl isovalerate</x:v>
      </x:c>
      <x:c r="K11" s="46" t="str">
        <x:v>659-70-1</x:v>
      </x:c>
      <x:c r="L11" s="46" t="n">
        <x:v>1286.9</x:v>
      </x:c>
      <x:c r="M11" s="46" t="n">
        <x:v>1623.341</x:v>
      </x:c>
      <x:c r="N11" s="46" t="n">
        <x:v>1.48157</x:v>
      </x:c>
      <x:c r="O11" s="46" t="str">
        <x:v>NIST2020 RI DB-WAX + Vocal GC-IMS library workflow</x:v>
      </x:c>
      <x:c r="P11" s="46"/>
      <x:c r="Q11" s="46" t="str">
        <x:v>ri_rt_drift_cas_reported_no_match_factor</x:v>
      </x:c>
      <x:c r="R11" s="46" t="str">
        <x:v>13.70±0.94</x:v>
      </x:c>
      <x:c r="S11" s="46" t="n">
        <x:v>13.7</x:v>
      </x:c>
      <x:c r="T11" s="46" t="str">
        <x:v>source table labels metric as relative content (%)</x:v>
      </x:c>
      <x:c r="U11" s="46" t="str">
        <x:v>detected_full_table</x:v>
      </x:c>
      <x:c r="V11" s="46" t="str">
        <x:v>positive_culinary_candidate</x:v>
      </x:c>
      <x:c r="W11" s="46" t="str">
        <x:v>Added sugar/salt/MSG are a process overlay; do not attribute every detected or high-abundance compound to intrinsic cod chemistry.</x:v>
      </x:c>
    </x:row>
    <x:row r="12" ht="26.399999618530273" hidden="0" customHeight="1">
      <x:c r="A12" s="46" t="str">
        <x:v>DFC-BAKE-011</x:v>
      </x:c>
      <x:c r="B12" s="46" t="str">
        <x:v>fish:atlantic_cod</x:v>
      </x:c>
      <x:c r="C12" s="46" t="str">
        <x:v>family:seafood_finfish</x:v>
      </x:c>
      <x:c r="D12" s="46" t="str">
        <x:v>baked / iron-plate roasted commercial fillet</x:v>
      </x:c>
      <x:c r="E12" s="46" t="str">
        <x:v>cod fillet + sugar + salt + MSG</x:v>
      </x:c>
      <x:c r="F12" s="46" t="str">
        <x:v>SRC-FISH-COD-BAKED-001</x:v>
      </x:c>
      <x:c r="G12" s="46" t="str">
        <x:v>Esters</x:v>
      </x:c>
      <x:c r="H12" s="46" t="str">
        <x:v>Esters</x:v>
      </x:c>
      <x:c r="I12" s="46" t="str">
        <x:v>乙酸异戊酯</x:v>
      </x:c>
      <x:c r="J12" s="46" t="str">
        <x:v>isoamyl acetate</x:v>
      </x:c>
      <x:c r="K12" s="46" t="str">
        <x:v>123-92-2</x:v>
      </x:c>
      <x:c r="L12" s="46" t="n">
        <x:v>1134.9</x:v>
      </x:c>
      <x:c r="M12" s="46" t="n">
        <x:v>1293.738</x:v>
      </x:c>
      <x:c r="N12" s="46" t="n">
        <x:v>1.33857</x:v>
      </x:c>
      <x:c r="O12" s="46" t="str">
        <x:v>NIST2020 RI DB-WAX + Vocal GC-IMS library workflow</x:v>
      </x:c>
      <x:c r="P12" s="46"/>
      <x:c r="Q12" s="46" t="str">
        <x:v>ri_rt_drift_cas_reported_no_match_factor</x:v>
      </x:c>
      <x:c r="R12" s="46" t="str">
        <x:v>21.17±3.54</x:v>
      </x:c>
      <x:c r="S12" s="46" t="n">
        <x:v>21.17</x:v>
      </x:c>
      <x:c r="T12" s="46" t="str">
        <x:v>source table labels metric as relative content (%)</x:v>
      </x:c>
      <x:c r="U12" s="46" t="str">
        <x:v>cod_key_or_shared_marker</x:v>
      </x:c>
      <x:c r="V12" s="46" t="str">
        <x:v>positive_culinary_candidate</x:v>
      </x:c>
      <x:c r="W12" s="46" t="str">
        <x:v>Added sugar/salt/MSG are a process overlay; do not attribute every detected or high-abundance compound to intrinsic cod chemistry.</x:v>
      </x:c>
    </x:row>
    <x:row r="13" ht="26.399999618530273" hidden="0" customHeight="1">
      <x:c r="A13" s="46" t="str">
        <x:v>DFC-BAKE-012</x:v>
      </x:c>
      <x:c r="B13" s="46" t="str">
        <x:v>fish:atlantic_cod</x:v>
      </x:c>
      <x:c r="C13" s="46" t="str">
        <x:v>family:seafood_finfish</x:v>
      </x:c>
      <x:c r="D13" s="46" t="str">
        <x:v>baked / iron-plate roasted commercial fillet</x:v>
      </x:c>
      <x:c r="E13" s="46" t="str">
        <x:v>cod fillet + sugar + salt + MSG</x:v>
      </x:c>
      <x:c r="F13" s="46" t="str">
        <x:v>SRC-FISH-COD-BAKED-001</x:v>
      </x:c>
      <x:c r="G13" s="46" t="str">
        <x:v>Esters</x:v>
      </x:c>
      <x:c r="H13" s="46" t="str">
        <x:v>Esters</x:v>
      </x:c>
      <x:c r="I13" s="46" t="str">
        <x:v>丁酸丙酯</x:v>
      </x:c>
      <x:c r="J13" s="46" t="str">
        <x:v>propyl butyrate</x:v>
      </x:c>
      <x:c r="K13" s="46" t="str">
        <x:v>105-66-8</x:v>
      </x:c>
      <x:c r="L13" s="46" t="n">
        <x:v>1108.5</x:v>
      </x:c>
      <x:c r="M13" s="46" t="n">
        <x:v>1236.146</x:v>
      </x:c>
      <x:c r="N13" s="46" t="n">
        <x:v>1.24733</x:v>
      </x:c>
      <x:c r="O13" s="46" t="str">
        <x:v>NIST2020 RI DB-WAX + Vocal GC-IMS library workflow</x:v>
      </x:c>
      <x:c r="P13" s="46"/>
      <x:c r="Q13" s="46" t="str">
        <x:v>ri_rt_drift_cas_reported_no_match_factor</x:v>
      </x:c>
      <x:c r="R13" s="46" t="str">
        <x:v>137.80±4.85</x:v>
      </x:c>
      <x:c r="S13" s="46" t="n">
        <x:v>137.8</x:v>
      </x:c>
      <x:c r="T13" s="46" t="str">
        <x:v>source table labels metric as relative content (%)</x:v>
      </x:c>
      <x:c r="U13" s="46" t="str">
        <x:v>detected_full_table</x:v>
      </x:c>
      <x:c r="V13" s="46" t="str">
        <x:v>positive_culinary_candidate</x:v>
      </x:c>
      <x:c r="W13" s="46" t="str">
        <x:v>Added sugar/salt/MSG are a process overlay; do not attribute every detected or high-abundance compound to intrinsic cod chemistry.</x:v>
      </x:c>
    </x:row>
    <x:row r="14" ht="26.399999618530273" hidden="0" customHeight="1">
      <x:c r="A14" s="46" t="str">
        <x:v>DFC-BAKE-013</x:v>
      </x:c>
      <x:c r="B14" s="46" t="str">
        <x:v>fish:atlantic_cod</x:v>
      </x:c>
      <x:c r="C14" s="46" t="str">
        <x:v>family:seafood_finfish</x:v>
      </x:c>
      <x:c r="D14" s="46" t="str">
        <x:v>baked / iron-plate roasted commercial fillet</x:v>
      </x:c>
      <x:c r="E14" s="46" t="str">
        <x:v>cod fillet + sugar + salt + MSG</x:v>
      </x:c>
      <x:c r="F14" s="46" t="str">
        <x:v>SRC-FISH-COD-BAKED-001</x:v>
      </x:c>
      <x:c r="G14" s="46" t="str">
        <x:v>Esters</x:v>
      </x:c>
      <x:c r="H14" s="46" t="str">
        <x:v>Esters</x:v>
      </x:c>
      <x:c r="I14" s="46" t="str">
        <x:v>乙酸丁酯</x:v>
      </x:c>
      <x:c r="J14" s="46" t="str">
        <x:v>butyl acetate</x:v>
      </x:c>
      <x:c r="K14" s="46" t="str">
        <x:v>123-86-4</x:v>
      </x:c>
      <x:c r="L14" s="46" t="n">
        <x:v>1062.7</x:v>
      </x:c>
      <x:c r="M14" s="46" t="n">
        <x:v>1133.207</x:v>
      </x:c>
      <x:c r="N14" s="46" t="n">
        <x:v>1.5842</x:v>
      </x:c>
      <x:c r="O14" s="46" t="str">
        <x:v>NIST2020 RI DB-WAX + Vocal GC-IMS library workflow</x:v>
      </x:c>
      <x:c r="P14" s="46"/>
      <x:c r="Q14" s="46" t="str">
        <x:v>ri_rt_drift_cas_reported_no_match_factor</x:v>
      </x:c>
      <x:c r="R14" s="46" t="str">
        <x:v>35.28±3.20</x:v>
      </x:c>
      <x:c r="S14" s="46" t="n">
        <x:v>35.28</x:v>
      </x:c>
      <x:c r="T14" s="46" t="str">
        <x:v>source table labels metric as relative content (%)</x:v>
      </x:c>
      <x:c r="U14" s="46" t="str">
        <x:v>detected_full_table</x:v>
      </x:c>
      <x:c r="V14" s="46" t="str">
        <x:v>positive_culinary_candidate</x:v>
      </x:c>
      <x:c r="W14" s="46" t="str">
        <x:v>Added sugar/salt/MSG are a process overlay; do not attribute every detected or high-abundance compound to intrinsic cod chemistry.</x:v>
      </x:c>
    </x:row>
    <x:row r="15" ht="26.399999618530273" hidden="0" customHeight="1">
      <x:c r="A15" s="46" t="str">
        <x:v>DFC-BAKE-014</x:v>
      </x:c>
      <x:c r="B15" s="46" t="str">
        <x:v>fish:atlantic_cod</x:v>
      </x:c>
      <x:c r="C15" s="46" t="str">
        <x:v>family:seafood_finfish</x:v>
      </x:c>
      <x:c r="D15" s="46" t="str">
        <x:v>baked / iron-plate roasted commercial fillet</x:v>
      </x:c>
      <x:c r="E15" s="46" t="str">
        <x:v>cod fillet + sugar + salt + MSG</x:v>
      </x:c>
      <x:c r="F15" s="46" t="str">
        <x:v>SRC-FISH-COD-BAKED-001</x:v>
      </x:c>
      <x:c r="G15" s="46" t="str">
        <x:v>Esters</x:v>
      </x:c>
      <x:c r="H15" s="46" t="str">
        <x:v>Esters</x:v>
      </x:c>
      <x:c r="I15" s="46" t="str">
        <x:v>丁酸乙酯</x:v>
      </x:c>
      <x:c r="J15" s="46" t="str">
        <x:v>ethyl butyrate</x:v>
      </x:c>
      <x:c r="K15" s="46" t="str">
        <x:v>105-54-4</x:v>
      </x:c>
      <x:c r="L15" s="46" t="n">
        <x:v>1036.1</x:v>
      </x:c>
      <x:c r="M15" s="46" t="n">
        <x:v>1075.732</x:v>
      </x:c>
      <x:c r="N15" s="46" t="n">
        <x:v>1.80008</x:v>
      </x:c>
      <x:c r="O15" s="46" t="str">
        <x:v>NIST2020 RI DB-WAX + Vocal GC-IMS library workflow</x:v>
      </x:c>
      <x:c r="P15" s="46"/>
      <x:c r="Q15" s="46" t="str">
        <x:v>ri_rt_drift_cas_reported_no_match_factor</x:v>
      </x:c>
      <x:c r="R15" s="46" t="str">
        <x:v>261.04±8.55</x:v>
      </x:c>
      <x:c r="S15" s="46" t="n">
        <x:v>261.04</x:v>
      </x:c>
      <x:c r="T15" s="46" t="str">
        <x:v>source table labels metric as relative content (%)</x:v>
      </x:c>
      <x:c r="U15" s="46" t="str">
        <x:v>detected_full_table</x:v>
      </x:c>
      <x:c r="V15" s="46" t="str">
        <x:v>positive_culinary_candidate</x:v>
      </x:c>
      <x:c r="W15" s="46" t="str">
        <x:v>Added sugar/salt/MSG are a process overlay; do not attribute every detected or high-abundance compound to intrinsic cod chemistry.</x:v>
      </x:c>
    </x:row>
    <x:row r="16" ht="26.399999618530273" hidden="0" customHeight="1">
      <x:c r="A16" s="46" t="str">
        <x:v>DFC-BAKE-015</x:v>
      </x:c>
      <x:c r="B16" s="46" t="str">
        <x:v>fish:atlantic_cod</x:v>
      </x:c>
      <x:c r="C16" s="46" t="str">
        <x:v>family:seafood_finfish</x:v>
      </x:c>
      <x:c r="D16" s="46" t="str">
        <x:v>baked / iron-plate roasted commercial fillet</x:v>
      </x:c>
      <x:c r="E16" s="46" t="str">
        <x:v>cod fillet + sugar + salt + MSG</x:v>
      </x:c>
      <x:c r="F16" s="46" t="str">
        <x:v>SRC-FISH-COD-BAKED-001</x:v>
      </x:c>
      <x:c r="G16" s="46" t="str">
        <x:v>Esters</x:v>
      </x:c>
      <x:c r="H16" s="46" t="str">
        <x:v>Esters</x:v>
      </x:c>
      <x:c r="I16" s="46" t="str">
        <x:v>乙酸异丁酯</x:v>
      </x:c>
      <x:c r="J16" s="46" t="str">
        <x:v>isobutyl acetate</x:v>
      </x:c>
      <x:c r="K16" s="46" t="str">
        <x:v>110-19-0</x:v>
      </x:c>
      <x:c r="L16" s="46" t="n">
        <x:v>1003.3</x:v>
      </x:c>
      <x:c r="M16" s="46" t="n">
        <x:v>1008.857</x:v>
      </x:c>
      <x:c r="N16" s="46" t="n">
        <x:v>1.09284</x:v>
      </x:c>
      <x:c r="O16" s="46" t="str">
        <x:v>NIST2020 RI DB-WAX + Vocal GC-IMS library workflow</x:v>
      </x:c>
      <x:c r="P16" s="46"/>
      <x:c r="Q16" s="46" t="str">
        <x:v>ri_rt_drift_cas_reported_no_match_factor</x:v>
      </x:c>
      <x:c r="R16" s="46" t="str">
        <x:v>276.38±37.53</x:v>
      </x:c>
      <x:c r="S16" s="46" t="n">
        <x:v>276.38</x:v>
      </x:c>
      <x:c r="T16" s="46" t="str">
        <x:v>source table labels metric as relative content (%)</x:v>
      </x:c>
      <x:c r="U16" s="46" t="str">
        <x:v>detected_full_table</x:v>
      </x:c>
      <x:c r="V16" s="46" t="str">
        <x:v>positive_culinary_candidate</x:v>
      </x:c>
      <x:c r="W16" s="46" t="str">
        <x:v>Added sugar/salt/MSG are a process overlay; do not attribute every detected or high-abundance compound to intrinsic cod chemistry.</x:v>
      </x:c>
    </x:row>
    <x:row r="17" ht="26.399999618530273" hidden="0" customHeight="1">
      <x:c r="A17" s="46" t="str">
        <x:v>DFC-BAKE-016</x:v>
      </x:c>
      <x:c r="B17" s="46" t="str">
        <x:v>fish:atlantic_cod</x:v>
      </x:c>
      <x:c r="C17" s="46" t="str">
        <x:v>family:seafood_finfish</x:v>
      </x:c>
      <x:c r="D17" s="46" t="str">
        <x:v>baked / iron-plate roasted commercial fillet</x:v>
      </x:c>
      <x:c r="E17" s="46" t="str">
        <x:v>cod fillet + sugar + salt + MSG</x:v>
      </x:c>
      <x:c r="F17" s="46" t="str">
        <x:v>SRC-FISH-COD-BAKED-001</x:v>
      </x:c>
      <x:c r="G17" s="46" t="str">
        <x:v>Esters</x:v>
      </x:c>
      <x:c r="H17" s="46" t="str">
        <x:v>Esters</x:v>
      </x:c>
      <x:c r="I17" s="46" t="str">
        <x:v>丁酸甲酯</x:v>
      </x:c>
      <x:c r="J17" s="46" t="str">
        <x:v>methyl butyrate</x:v>
      </x:c>
      <x:c r="K17" s="46" t="str">
        <x:v>623-42-7</x:v>
      </x:c>
      <x:c r="L17" s="46" t="n">
        <x:v>996</x:v>
      </x:c>
      <x:c r="M17" s="46" t="n">
        <x:v>993.422</x:v>
      </x:c>
      <x:c r="N17" s="46" t="n">
        <x:v>1.172</x:v>
      </x:c>
      <x:c r="O17" s="46" t="str">
        <x:v>NIST2020 RI DB-WAX + Vocal GC-IMS library workflow</x:v>
      </x:c>
      <x:c r="P17" s="46"/>
      <x:c r="Q17" s="46" t="str">
        <x:v>ri_rt_drift_cas_reported_no_match_factor</x:v>
      </x:c>
      <x:c r="R17" s="46" t="str">
        <x:v>357.61±10.35</x:v>
      </x:c>
      <x:c r="S17" s="46" t="n">
        <x:v>357.61</x:v>
      </x:c>
      <x:c r="T17" s="46" t="str">
        <x:v>source table labels metric as relative content (%)</x:v>
      </x:c>
      <x:c r="U17" s="46" t="str">
        <x:v>detected_full_table</x:v>
      </x:c>
      <x:c r="V17" s="46" t="str">
        <x:v>positive_culinary_candidate</x:v>
      </x:c>
      <x:c r="W17" s="46" t="str">
        <x:v>Added sugar/salt/MSG are a process overlay; do not attribute every detected or high-abundance compound to intrinsic cod chemistry.</x:v>
      </x:c>
    </x:row>
    <x:row r="18" ht="26.399999618530273" hidden="0" customHeight="1">
      <x:c r="A18" s="46" t="str">
        <x:v>DFC-BAKE-017</x:v>
      </x:c>
      <x:c r="B18" s="46" t="str">
        <x:v>fish:atlantic_cod</x:v>
      </x:c>
      <x:c r="C18" s="46" t="str">
        <x:v>family:seafood_finfish</x:v>
      </x:c>
      <x:c r="D18" s="46" t="str">
        <x:v>baked / iron-plate roasted commercial fillet</x:v>
      </x:c>
      <x:c r="E18" s="46" t="str">
        <x:v>cod fillet + sugar + salt + MSG</x:v>
      </x:c>
      <x:c r="F18" s="46" t="str">
        <x:v>SRC-FISH-COD-BAKED-001</x:v>
      </x:c>
      <x:c r="G18" s="46" t="str">
        <x:v>Esters</x:v>
      </x:c>
      <x:c r="H18" s="46" t="str">
        <x:v>Esters</x:v>
      </x:c>
      <x:c r="I18" s="46" t="str">
        <x:v>2-甲基丁酸甲酯</x:v>
      </x:c>
      <x:c r="J18" s="46" t="str">
        <x:v>methyl 2-methylbutyrate</x:v>
      </x:c>
      <x:c r="K18" s="46" t="str">
        <x:v>868-57-5</x:v>
      </x:c>
      <x:c r="L18" s="46" t="n">
        <x:v>1011.6</x:v>
      </x:c>
      <x:c r="M18" s="46" t="n">
        <x:v>1025.494</x:v>
      </x:c>
      <x:c r="N18" s="46" t="n">
        <x:v>1.19737</x:v>
      </x:c>
      <x:c r="O18" s="46" t="str">
        <x:v>NIST2020 RI DB-WAX + Vocal GC-IMS library workflow</x:v>
      </x:c>
      <x:c r="P18" s="46"/>
      <x:c r="Q18" s="46" t="str">
        <x:v>ri_rt_drift_cas_reported_no_match_factor</x:v>
      </x:c>
      <x:c r="R18" s="46" t="str">
        <x:v>54.76±3.15</x:v>
      </x:c>
      <x:c r="S18" s="46" t="n">
        <x:v>54.76</x:v>
      </x:c>
      <x:c r="T18" s="46" t="str">
        <x:v>source table labels metric as relative content (%)</x:v>
      </x:c>
      <x:c r="U18" s="46" t="str">
        <x:v>detected_full_table</x:v>
      </x:c>
      <x:c r="V18" s="46" t="str">
        <x:v>positive_culinary_candidate</x:v>
      </x:c>
      <x:c r="W18" s="46" t="str">
        <x:v>Added sugar/salt/MSG are a process overlay; do not attribute every detected or high-abundance compound to intrinsic cod chemistry.</x:v>
      </x:c>
    </x:row>
    <x:row r="19" ht="26.399999618530273" hidden="0" customHeight="1">
      <x:c r="A19" s="46" t="str">
        <x:v>DFC-BAKE-018</x:v>
      </x:c>
      <x:c r="B19" s="46" t="str">
        <x:v>fish:atlantic_cod</x:v>
      </x:c>
      <x:c r="C19" s="46" t="str">
        <x:v>family:seafood_finfish</x:v>
      </x:c>
      <x:c r="D19" s="46" t="str">
        <x:v>baked / iron-plate roasted commercial fillet</x:v>
      </x:c>
      <x:c r="E19" s="46" t="str">
        <x:v>cod fillet + sugar + salt + MSG</x:v>
      </x:c>
      <x:c r="F19" s="46" t="str">
        <x:v>SRC-FISH-COD-BAKED-001</x:v>
      </x:c>
      <x:c r="G19" s="46" t="str">
        <x:v>Esters</x:v>
      </x:c>
      <x:c r="H19" s="46" t="str">
        <x:v>Esters</x:v>
      </x:c>
      <x:c r="I19" s="46" t="str">
        <x:v>乙酸乙酯</x:v>
      </x:c>
      <x:c r="J19" s="46" t="str">
        <x:v>ethyl acetate</x:v>
      </x:c>
      <x:c r="K19" s="46" t="str">
        <x:v>141-78-6</x:v>
      </x:c>
      <x:c r="L19" s="46" t="n">
        <x:v>874.7</x:v>
      </x:c>
      <x:c r="M19" s="46" t="n">
        <x:v>724.271</x:v>
      </x:c>
      <x:c r="N19" s="46" t="n">
        <x:v>1.03966</x:v>
      </x:c>
      <x:c r="O19" s="46" t="str">
        <x:v>NIST2020 RI DB-WAX + Vocal GC-IMS library workflow</x:v>
      </x:c>
      <x:c r="P19" s="46"/>
      <x:c r="Q19" s="46" t="str">
        <x:v>ri_rt_drift_cas_reported_no_match_factor</x:v>
      </x:c>
      <x:c r="R19" s="46" t="str">
        <x:v>224.89±12.42</x:v>
      </x:c>
      <x:c r="S19" s="46" t="n">
        <x:v>224.89</x:v>
      </x:c>
      <x:c r="T19" s="46" t="str">
        <x:v>source table labels metric as relative content (%)</x:v>
      </x:c>
      <x:c r="U19" s="46" t="str">
        <x:v>detected_full_table</x:v>
      </x:c>
      <x:c r="V19" s="46" t="str">
        <x:v>positive_culinary_candidate</x:v>
      </x:c>
      <x:c r="W19" s="46" t="str">
        <x:v>Added sugar/salt/MSG are a process overlay; do not attribute every detected or high-abundance compound to intrinsic cod chemistry.</x:v>
      </x:c>
    </x:row>
    <x:row r="20" ht="26.399999618530273" hidden="0" customHeight="1">
      <x:c r="A20" s="46" t="str">
        <x:v>DFC-BAKE-019</x:v>
      </x:c>
      <x:c r="B20" s="46" t="str">
        <x:v>fish:atlantic_cod</x:v>
      </x:c>
      <x:c r="C20" s="46" t="str">
        <x:v>family:seafood_finfish</x:v>
      </x:c>
      <x:c r="D20" s="46" t="str">
        <x:v>baked / iron-plate roasted commercial fillet</x:v>
      </x:c>
      <x:c r="E20" s="46" t="str">
        <x:v>cod fillet + sugar + salt + MSG</x:v>
      </x:c>
      <x:c r="F20" s="46" t="str">
        <x:v>SRC-FISH-COD-BAKED-001</x:v>
      </x:c>
      <x:c r="G20" s="46" t="str">
        <x:v>Esters</x:v>
      </x:c>
      <x:c r="H20" s="46" t="str">
        <x:v>Esters</x:v>
      </x:c>
      <x:c r="I20" s="46" t="str">
        <x:v>丙酸乙酯</x:v>
      </x:c>
      <x:c r="J20" s="46" t="str">
        <x:v>ethyl propionate</x:v>
      </x:c>
      <x:c r="K20" s="46" t="str">
        <x:v>105-37-3</x:v>
      </x:c>
      <x:c r="L20" s="46" t="n">
        <x:v>952.9</x:v>
      </x:c>
      <x:c r="M20" s="46" t="n">
        <x:v>887.93</x:v>
      </x:c>
      <x:c r="N20" s="46" t="n">
        <x:v>1.11066</x:v>
      </x:c>
      <x:c r="O20" s="46" t="str">
        <x:v>NIST2020 RI DB-WAX + Vocal GC-IMS library workflow</x:v>
      </x:c>
      <x:c r="P20" s="46"/>
      <x:c r="Q20" s="46" t="str">
        <x:v>ri_rt_drift_cas_reported_no_match_factor</x:v>
      </x:c>
      <x:c r="R20" s="46" t="str">
        <x:v>8506.56±83.62</x:v>
      </x:c>
      <x:c r="S20" s="46" t="n">
        <x:v>8506.56</x:v>
      </x:c>
      <x:c r="T20" s="46" t="str">
        <x:v>source table labels metric as relative content (%)</x:v>
      </x:c>
      <x:c r="U20" s="46" t="str">
        <x:v>detected_full_table</x:v>
      </x:c>
      <x:c r="V20" s="46" t="str">
        <x:v>positive_culinary_candidate</x:v>
      </x:c>
      <x:c r="W20" s="46" t="str">
        <x:v>Added sugar/salt/MSG are a process overlay; do not attribute every detected or high-abundance compound to intrinsic cod chemistry.</x:v>
      </x:c>
    </x:row>
    <x:row r="21" ht="26.399999618530273" hidden="0" customHeight="1">
      <x:c r="A21" s="46" t="str">
        <x:v>DFC-BAKE-020</x:v>
      </x:c>
      <x:c r="B21" s="46" t="str">
        <x:v>fish:atlantic_cod</x:v>
      </x:c>
      <x:c r="C21" s="46" t="str">
        <x:v>family:seafood_finfish</x:v>
      </x:c>
      <x:c r="D21" s="46" t="str">
        <x:v>baked / iron-plate roasted commercial fillet</x:v>
      </x:c>
      <x:c r="E21" s="46" t="str">
        <x:v>cod fillet + sugar + salt + MSG</x:v>
      </x:c>
      <x:c r="F21" s="46" t="str">
        <x:v>SRC-FISH-COD-BAKED-001</x:v>
      </x:c>
      <x:c r="G21" s="46" t="str">
        <x:v>Esters</x:v>
      </x:c>
      <x:c r="H21" s="46" t="str">
        <x:v>Esters</x:v>
      </x:c>
      <x:c r="I21" s="46" t="str">
        <x:v>乙酸甲酯</x:v>
      </x:c>
      <x:c r="J21" s="46" t="str">
        <x:v>methyl acetate</x:v>
      </x:c>
      <x:c r="K21" s="46" t="str">
        <x:v>79-20-9</x:v>
      </x:c>
      <x:c r="L21" s="46" t="n">
        <x:v>837.2</x:v>
      </x:c>
      <x:c r="M21" s="46" t="n">
        <x:v>656.921</x:v>
      </x:c>
      <x:c r="N21" s="46" t="n">
        <x:v>1.39649</x:v>
      </x:c>
      <x:c r="O21" s="46" t="str">
        <x:v>NIST2020 RI DB-WAX + Vocal GC-IMS library workflow</x:v>
      </x:c>
      <x:c r="P21" s="46"/>
      <x:c r="Q21" s="46" t="str">
        <x:v>ri_rt_drift_cas_reported_no_match_factor</x:v>
      </x:c>
      <x:c r="R21" s="46" t="str">
        <x:v>42.00±20.68</x:v>
      </x:c>
      <x:c r="S21" s="46" t="n">
        <x:v>42</x:v>
      </x:c>
      <x:c r="T21" s="46" t="str">
        <x:v>source table labels metric as relative content (%)</x:v>
      </x:c>
      <x:c r="U21" s="46" t="str">
        <x:v>detected_full_table</x:v>
      </x:c>
      <x:c r="V21" s="46" t="str">
        <x:v>positive_culinary_candidate</x:v>
      </x:c>
      <x:c r="W21" s="46" t="str">
        <x:v>Added sugar/salt/MSG are a process overlay; do not attribute every detected or high-abundance compound to intrinsic cod chemistry.</x:v>
      </x:c>
    </x:row>
    <x:row r="22" ht="26.399999618530273" hidden="0" customHeight="1">
      <x:c r="A22" s="46" t="str">
        <x:v>DFC-BAKE-021</x:v>
      </x:c>
      <x:c r="B22" s="46" t="str">
        <x:v>fish:atlantic_cod</x:v>
      </x:c>
      <x:c r="C22" s="46" t="str">
        <x:v>family:seafood_finfish</x:v>
      </x:c>
      <x:c r="D22" s="46" t="str">
        <x:v>baked / iron-plate roasted commercial fillet</x:v>
      </x:c>
      <x:c r="E22" s="46" t="str">
        <x:v>cod fillet + sugar + salt + MSG</x:v>
      </x:c>
      <x:c r="F22" s="46" t="str">
        <x:v>SRC-FISH-COD-BAKED-001</x:v>
      </x:c>
      <x:c r="G22" s="46" t="str">
        <x:v>Esters</x:v>
      </x:c>
      <x:c r="H22" s="46" t="str">
        <x:v>Esters</x:v>
      </x:c>
      <x:c r="I22" s="46" t="str">
        <x:v>甲酸乙酯</x:v>
      </x:c>
      <x:c r="J22" s="46" t="str">
        <x:v>ethyl formate</x:v>
      </x:c>
      <x:c r="K22" s="46" t="str">
        <x:v>109-94-4</x:v>
      </x:c>
      <x:c r="L22" s="46" t="n">
        <x:v>822.6</x:v>
      </x:c>
      <x:c r="M22" s="46" t="n">
        <x:v>632.397</x:v>
      </x:c>
      <x:c r="N22" s="46" t="n">
        <x:v>1.05947</x:v>
      </x:c>
      <x:c r="O22" s="46" t="str">
        <x:v>NIST2020 RI DB-WAX + Vocal GC-IMS library workflow</x:v>
      </x:c>
      <x:c r="P22" s="46"/>
      <x:c r="Q22" s="46" t="str">
        <x:v>ri_rt_drift_cas_reported_no_match_factor</x:v>
      </x:c>
      <x:c r="R22" s="46" t="str">
        <x:v>230.50±8.75</x:v>
      </x:c>
      <x:c r="S22" s="46" t="n">
        <x:v>230.5</x:v>
      </x:c>
      <x:c r="T22" s="46" t="str">
        <x:v>source table labels metric as relative content (%)</x:v>
      </x:c>
      <x:c r="U22" s="46" t="str">
        <x:v>detected_full_table</x:v>
      </x:c>
      <x:c r="V22" s="46" t="str">
        <x:v>positive_culinary_candidate</x:v>
      </x:c>
      <x:c r="W22" s="46" t="str">
        <x:v>Added sugar/salt/MSG are a process overlay; do not attribute every detected or high-abundance compound to intrinsic cod chemistry.</x:v>
      </x:c>
    </x:row>
    <x:row r="23" ht="26.399999618530273" hidden="0" customHeight="1">
      <x:c r="A23" s="46" t="str">
        <x:v>DFC-BAKE-022</x:v>
      </x:c>
      <x:c r="B23" s="46" t="str">
        <x:v>fish:atlantic_cod</x:v>
      </x:c>
      <x:c r="C23" s="46" t="str">
        <x:v>family:seafood_finfish</x:v>
      </x:c>
      <x:c r="D23" s="46" t="str">
        <x:v>baked / iron-plate roasted commercial fillet</x:v>
      </x:c>
      <x:c r="E23" s="46" t="str">
        <x:v>cod fillet + sugar + salt + MSG</x:v>
      </x:c>
      <x:c r="F23" s="46" t="str">
        <x:v>SRC-FISH-COD-BAKED-001</x:v>
      </x:c>
      <x:c r="G23" s="46" t="str">
        <x:v>Esters</x:v>
      </x:c>
      <x:c r="H23" s="46" t="str">
        <x:v>Esters</x:v>
      </x:c>
      <x:c r="I23" s="46" t="str">
        <x:v>异丁酸异丁酯</x:v>
      </x:c>
      <x:c r="J23" s="46" t="str">
        <x:v>isobutyl isobutyrate</x:v>
      </x:c>
      <x:c r="K23" s="46" t="str">
        <x:v>97-85-8</x:v>
      </x:c>
      <x:c r="L23" s="46" t="n">
        <x:v>1090.6</x:v>
      </x:c>
      <x:c r="M23" s="46" t="n">
        <x:v>1196.747</x:v>
      </x:c>
      <x:c r="N23" s="46" t="n">
        <x:v>1.3394</x:v>
      </x:c>
      <x:c r="O23" s="46" t="str">
        <x:v>NIST2020 RI DB-WAX + Vocal GC-IMS library workflow</x:v>
      </x:c>
      <x:c r="P23" s="46"/>
      <x:c r="Q23" s="46" t="str">
        <x:v>ri_rt_drift_cas_reported_no_match_factor</x:v>
      </x:c>
      <x:c r="R23" s="46" t="str">
        <x:v>2469.55±221.29</x:v>
      </x:c>
      <x:c r="S23" s="46" t="n">
        <x:v>2469.55</x:v>
      </x:c>
      <x:c r="T23" s="46" t="str">
        <x:v>source table labels metric as relative content (%)</x:v>
      </x:c>
      <x:c r="U23" s="46" t="str">
        <x:v>detected_full_table</x:v>
      </x:c>
      <x:c r="V23" s="46" t="str">
        <x:v>positive_culinary_candidate</x:v>
      </x:c>
      <x:c r="W23" s="46" t="str">
        <x:v>Added sugar/salt/MSG are a process overlay; do not attribute every detected or high-abundance compound to intrinsic cod chemistry.</x:v>
      </x:c>
    </x:row>
    <x:row r="24" ht="26.399999618530273" hidden="0" customHeight="1">
      <x:c r="A24" s="46" t="str">
        <x:v>DFC-BAKE-023</x:v>
      </x:c>
      <x:c r="B24" s="46" t="str">
        <x:v>fish:atlantic_cod</x:v>
      </x:c>
      <x:c r="C24" s="46" t="str">
        <x:v>family:seafood_finfish</x:v>
      </x:c>
      <x:c r="D24" s="46" t="str">
        <x:v>baked / iron-plate roasted commercial fillet</x:v>
      </x:c>
      <x:c r="E24" s="46" t="str">
        <x:v>cod fillet + sugar + salt + MSG</x:v>
      </x:c>
      <x:c r="F24" s="46" t="str">
        <x:v>SRC-FISH-COD-BAKED-001</x:v>
      </x:c>
      <x:c r="G24" s="46" t="str">
        <x:v>Esters</x:v>
      </x:c>
      <x:c r="H24" s="46" t="str">
        <x:v>Esters</x:v>
      </x:c>
      <x:c r="I24" s="46" t="str">
        <x:v>2-甲基丁酸乙酯</x:v>
      </x:c>
      <x:c r="J24" s="46" t="str">
        <x:v>ethyl 2-methylbutyrate</x:v>
      </x:c>
      <x:c r="K24" s="46" t="str">
        <x:v>7452-79-1</x:v>
      </x:c>
      <x:c r="L24" s="46" t="n">
        <x:v>1062.6</x:v>
      </x:c>
      <x:c r="M24" s="46" t="n">
        <x:v>1133.008</x:v>
      </x:c>
      <x:c r="N24" s="46" t="n">
        <x:v>1.07953</x:v>
      </x:c>
      <x:c r="O24" s="46" t="str">
        <x:v>NIST2020 RI DB-WAX + Vocal GC-IMS library workflow</x:v>
      </x:c>
      <x:c r="P24" s="46"/>
      <x:c r="Q24" s="46" t="str">
        <x:v>ri_rt_drift_cas_reported_no_match_factor</x:v>
      </x:c>
      <x:c r="R24" s="46" t="str">
        <x:v>2469.55±221.29</x:v>
      </x:c>
      <x:c r="S24" s="46" t="n">
        <x:v>2469.55</x:v>
      </x:c>
      <x:c r="T24" s="46" t="str">
        <x:v>source table labels metric as relative content (%)</x:v>
      </x:c>
      <x:c r="U24" s="46" t="str">
        <x:v>cod_key_or_shared_marker</x:v>
      </x:c>
      <x:c r="V24" s="46" t="str">
        <x:v>positive_culinary_candidate</x:v>
      </x:c>
      <x:c r="W24" s="46" t="str">
        <x:v>Added sugar/salt/MSG are a process overlay; do not attribute every detected or high-abundance compound to intrinsic cod chemistry.</x:v>
      </x:c>
    </x:row>
    <x:row r="25" ht="26.399999618530273" hidden="0" customHeight="1">
      <x:c r="A25" s="46" t="str">
        <x:v>DFC-BAKE-024</x:v>
      </x:c>
      <x:c r="B25" s="46" t="str">
        <x:v>fish:atlantic_cod</x:v>
      </x:c>
      <x:c r="C25" s="46" t="str">
        <x:v>family:seafood_finfish</x:v>
      </x:c>
      <x:c r="D25" s="46" t="str">
        <x:v>baked / iron-plate roasted commercial fillet</x:v>
      </x:c>
      <x:c r="E25" s="46" t="str">
        <x:v>cod fillet + sugar + salt + MSG</x:v>
      </x:c>
      <x:c r="F25" s="46" t="str">
        <x:v>SRC-FISH-COD-BAKED-001</x:v>
      </x:c>
      <x:c r="G25" s="46" t="str">
        <x:v>Esters</x:v>
      </x:c>
      <x:c r="H25" s="46" t="str">
        <x:v>Esters</x:v>
      </x:c>
      <x:c r="I25" s="46" t="str">
        <x:v>异丁酸乙酯</x:v>
      </x:c>
      <x:c r="J25" s="46" t="str">
        <x:v>ethyl isobutyrate</x:v>
      </x:c>
      <x:c r="K25" s="46" t="str">
        <x:v>97-62-1</x:v>
      </x:c>
      <x:c r="L25" s="46" t="n">
        <x:v>964.8</x:v>
      </x:c>
      <x:c r="M25" s="46" t="n">
        <x:v>915.759</x:v>
      </x:c>
      <x:c r="N25" s="46" t="n">
        <x:v>1.1718</x:v>
      </x:c>
      <x:c r="O25" s="46" t="str">
        <x:v>NIST2020 RI DB-WAX + Vocal GC-IMS library workflow</x:v>
      </x:c>
      <x:c r="P25" s="46"/>
      <x:c r="Q25" s="46" t="str">
        <x:v>ri_rt_drift_cas_reported_no_match_factor</x:v>
      </x:c>
      <x:c r="R25" s="46" t="str">
        <x:v>595.07±47.25</x:v>
      </x:c>
      <x:c r="S25" s="46" t="n">
        <x:v>595.07</x:v>
      </x:c>
      <x:c r="T25" s="46" t="str">
        <x:v>source table labels metric as relative content (%)</x:v>
      </x:c>
      <x:c r="U25" s="46" t="str">
        <x:v>detected_full_table</x:v>
      </x:c>
      <x:c r="V25" s="46" t="str">
        <x:v>positive_culinary_candidate</x:v>
      </x:c>
      <x:c r="W25" s="46" t="str">
        <x:v>Added sugar/salt/MSG are a process overlay; do not attribute every detected or high-abundance compound to intrinsic cod chemistry.</x:v>
      </x:c>
    </x:row>
    <x:row r="26" ht="26.399999618530273" hidden="0" customHeight="1">
      <x:c r="A26" s="46" t="str">
        <x:v>DFC-BAKE-025</x:v>
      </x:c>
      <x:c r="B26" s="46" t="str">
        <x:v>fish:atlantic_cod</x:v>
      </x:c>
      <x:c r="C26" s="46" t="str">
        <x:v>family:seafood_finfish</x:v>
      </x:c>
      <x:c r="D26" s="46" t="str">
        <x:v>baked / iron-plate roasted commercial fillet</x:v>
      </x:c>
      <x:c r="E26" s="46" t="str">
        <x:v>cod fillet + sugar + salt + MSG</x:v>
      </x:c>
      <x:c r="F26" s="46" t="str">
        <x:v>SRC-FISH-COD-BAKED-001</x:v>
      </x:c>
      <x:c r="G26" s="46" t="str">
        <x:v>Esters</x:v>
      </x:c>
      <x:c r="H26" s="46" t="str">
        <x:v>Esters</x:v>
      </x:c>
      <x:c r="I26" s="46" t="str">
        <x:v>丙酸甲酯</x:v>
      </x:c>
      <x:c r="J26" s="46" t="str">
        <x:v>methyl propionate</x:v>
      </x:c>
      <x:c r="K26" s="46" t="str">
        <x:v>554-12-1</x:v>
      </x:c>
      <x:c r="L26" s="46" t="n">
        <x:v>898.1</x:v>
      </x:c>
      <x:c r="M26" s="46" t="n">
        <x:v>769.835</x:v>
      </x:c>
      <x:c r="N26" s="46" t="n">
        <x:v>1.416</x:v>
      </x:c>
      <x:c r="O26" s="46" t="str">
        <x:v>NIST2020 RI DB-WAX + Vocal GC-IMS library workflow</x:v>
      </x:c>
      <x:c r="P26" s="46"/>
      <x:c r="Q26" s="46" t="str">
        <x:v>ri_rt_drift_cas_reported_no_match_factor</x:v>
      </x:c>
      <x:c r="R26" s="46" t="str">
        <x:v>1947.50±29.76</x:v>
      </x:c>
      <x:c r="S26" s="46" t="n">
        <x:v>1947.5</x:v>
      </x:c>
      <x:c r="T26" s="46" t="str">
        <x:v>source table labels metric as relative content (%)</x:v>
      </x:c>
      <x:c r="U26" s="46" t="str">
        <x:v>detected_full_table</x:v>
      </x:c>
      <x:c r="V26" s="46" t="str">
        <x:v>positive_culinary_candidate</x:v>
      </x:c>
      <x:c r="W26" s="46" t="str">
        <x:v>Added sugar/salt/MSG are a process overlay; do not attribute every detected or high-abundance compound to intrinsic cod chemistry.</x:v>
      </x:c>
    </x:row>
    <x:row r="27" ht="26.399999618530273" hidden="0" customHeight="1">
      <x:c r="A27" s="46" t="str">
        <x:v>DFC-BAKE-026</x:v>
      </x:c>
      <x:c r="B27" s="46" t="str">
        <x:v>fish:atlantic_cod</x:v>
      </x:c>
      <x:c r="C27" s="46" t="str">
        <x:v>family:seafood_finfish</x:v>
      </x:c>
      <x:c r="D27" s="46" t="str">
        <x:v>baked / iron-plate roasted commercial fillet</x:v>
      </x:c>
      <x:c r="E27" s="46" t="str">
        <x:v>cod fillet + sugar + salt + MSG</x:v>
      </x:c>
      <x:c r="F27" s="46" t="str">
        <x:v>SRC-FISH-COD-BAKED-001</x:v>
      </x:c>
      <x:c r="G27" s="46" t="str">
        <x:v>Esters</x:v>
      </x:c>
      <x:c r="H27" s="46" t="str">
        <x:v>Esters</x:v>
      </x:c>
      <x:c r="I27" s="46" t="str">
        <x:v>3-甲基丁酸乙酯</x:v>
      </x:c>
      <x:c r="J27" s="46" t="str">
        <x:v>ethyl 3-methylbutyrate</x:v>
      </x:c>
      <x:c r="K27" s="46" t="str">
        <x:v>108-64-5</x:v>
      </x:c>
      <x:c r="L27" s="46" t="n">
        <x:v>1062.8</x:v>
      </x:c>
      <x:c r="M27" s="46" t="n">
        <x:v>1133.441</x:v>
      </x:c>
      <x:c r="N27" s="46" t="n">
        <x:v>1.26822</x:v>
      </x:c>
      <x:c r="O27" s="46" t="str">
        <x:v>NIST2020 RI DB-WAX + Vocal GC-IMS library workflow</x:v>
      </x:c>
      <x:c r="P27" s="46"/>
      <x:c r="Q27" s="46" t="str">
        <x:v>ri_rt_drift_cas_reported_no_match_factor</x:v>
      </x:c>
      <x:c r="R27" s="46" t="str">
        <x:v>102.98±10.90</x:v>
      </x:c>
      <x:c r="S27" s="46" t="n">
        <x:v>102.98</x:v>
      </x:c>
      <x:c r="T27" s="46" t="str">
        <x:v>source table labels metric as relative content (%)</x:v>
      </x:c>
      <x:c r="U27" s="46" t="str">
        <x:v>cod_key_or_shared_marker</x:v>
      </x:c>
      <x:c r="V27" s="46" t="str">
        <x:v>positive_culinary_candidate</x:v>
      </x:c>
      <x:c r="W27" s="46" t="str">
        <x:v>Added sugar/salt/MSG are a process overlay; do not attribute every detected or high-abundance compound to intrinsic cod chemistry.</x:v>
      </x:c>
    </x:row>
    <x:row r="28" ht="26.399999618530273" hidden="0" customHeight="1">
      <x:c r="A28" s="46" t="str">
        <x:v>DFC-BAKE-027</x:v>
      </x:c>
      <x:c r="B28" s="46" t="str">
        <x:v>fish:atlantic_cod</x:v>
      </x:c>
      <x:c r="C28" s="46" t="str">
        <x:v>family:seafood_finfish</x:v>
      </x:c>
      <x:c r="D28" s="46" t="str">
        <x:v>baked / iron-plate roasted commercial fillet</x:v>
      </x:c>
      <x:c r="E28" s="46" t="str">
        <x:v>cod fillet + sugar + salt + MSG</x:v>
      </x:c>
      <x:c r="F28" s="46" t="str">
        <x:v>SRC-FISH-COD-BAKED-001</x:v>
      </x:c>
      <x:c r="G28" s="46" t="str">
        <x:v>Alcohols (source table)</x:v>
      </x:c>
      <x:c r="H28" s="46" t="str">
        <x:v>Alcohols</x:v>
      </x:c>
      <x:c r="I28" s="46" t="str">
        <x:v>异戊醇</x:v>
      </x:c>
      <x:c r="J28" s="46" t="str">
        <x:v>isoamyl alcohol</x:v>
      </x:c>
      <x:c r="K28" s="46" t="str">
        <x:v>123-51-3</x:v>
      </x:c>
      <x:c r="L28" s="46" t="n">
        <x:v>1211.3</x:v>
      </x:c>
      <x:c r="M28" s="46" t="n">
        <x:v>1465.128</x:v>
      </x:c>
      <x:c r="N28" s="46" t="n">
        <x:v>0.9407</x:v>
      </x:c>
      <x:c r="O28" s="46" t="str">
        <x:v>NIST2020 RI DB-WAX + Vocal GC-IMS library workflow</x:v>
      </x:c>
      <x:c r="P28" s="46"/>
      <x:c r="Q28" s="46" t="str">
        <x:v>ri_rt_drift_cas_reported_no_match_factor</x:v>
      </x:c>
      <x:c r="R28" s="46" t="str">
        <x:v>1129.62±20.91</x:v>
      </x:c>
      <x:c r="S28" s="46" t="n">
        <x:v>1129.62</x:v>
      </x:c>
      <x:c r="T28" s="46" t="str">
        <x:v>source table labels metric as relative content (%)</x:v>
      </x:c>
      <x:c r="U28" s="46" t="str">
        <x:v>cod_key_or_shared_marker</x:v>
      </x:c>
      <x:c r="V28" s="46" t="str">
        <x:v>positive_culinary_candidate</x:v>
      </x:c>
      <x:c r="W28" s="46" t="str">
        <x:v>Added sugar/salt/MSG are a process overlay; do not attribute every detected or high-abundance compound to intrinsic cod chemistry.</x:v>
      </x:c>
    </x:row>
    <x:row r="29" ht="26.399999618530273" hidden="0" customHeight="1">
      <x:c r="A29" s="46" t="str">
        <x:v>DFC-BAKE-028</x:v>
      </x:c>
      <x:c r="B29" s="46" t="str">
        <x:v>fish:atlantic_cod</x:v>
      </x:c>
      <x:c r="C29" s="46" t="str">
        <x:v>family:seafood_finfish</x:v>
      </x:c>
      <x:c r="D29" s="46" t="str">
        <x:v>baked / iron-plate roasted commercial fillet</x:v>
      </x:c>
      <x:c r="E29" s="46" t="str">
        <x:v>cod fillet + sugar + salt + MSG</x:v>
      </x:c>
      <x:c r="F29" s="46" t="str">
        <x:v>SRC-FISH-COD-BAKED-001</x:v>
      </x:c>
      <x:c r="G29" s="46" t="str">
        <x:v>Alcohols (source table)</x:v>
      </x:c>
      <x:c r="H29" s="46" t="str">
        <x:v>Alcohols</x:v>
      </x:c>
      <x:c r="I29" s="46" t="str">
        <x:v>正丁醇</x:v>
      </x:c>
      <x:c r="J29" s="46" t="str">
        <x:v>1-butanol</x:v>
      </x:c>
      <x:c r="K29" s="46" t="str">
        <x:v>71-36-3</x:v>
      </x:c>
      <x:c r="L29" s="46" t="n">
        <x:v>1148.4</x:v>
      </x:c>
      <x:c r="M29" s="46" t="n">
        <x:v>1324.017</x:v>
      </x:c>
      <x:c r="N29" s="46" t="n">
        <x:v>1.25376</x:v>
      </x:c>
      <x:c r="O29" s="46" t="str">
        <x:v>NIST2020 RI DB-WAX + Vocal GC-IMS library workflow</x:v>
      </x:c>
      <x:c r="P29" s="46"/>
      <x:c r="Q29" s="46" t="str">
        <x:v>ri_rt_drift_cas_reported_no_match_factor</x:v>
      </x:c>
      <x:c r="R29" s="46" t="str">
        <x:v>1598.58±29.59</x:v>
      </x:c>
      <x:c r="S29" s="46" t="n">
        <x:v>1598.58</x:v>
      </x:c>
      <x:c r="T29" s="46" t="str">
        <x:v>source table labels metric as relative content (%)</x:v>
      </x:c>
      <x:c r="U29" s="46" t="str">
        <x:v>detected_full_table</x:v>
      </x:c>
      <x:c r="V29" s="46" t="str">
        <x:v>positive_culinary_candidate</x:v>
      </x:c>
      <x:c r="W29" s="46" t="str">
        <x:v>Added sugar/salt/MSG are a process overlay; do not attribute every detected or high-abundance compound to intrinsic cod chemistry.</x:v>
      </x:c>
    </x:row>
    <x:row r="30" ht="26.399999618530273" hidden="0" customHeight="1">
      <x:c r="A30" s="46" t="str">
        <x:v>DFC-BAKE-029</x:v>
      </x:c>
      <x:c r="B30" s="46" t="str">
        <x:v>fish:atlantic_cod</x:v>
      </x:c>
      <x:c r="C30" s="46" t="str">
        <x:v>family:seafood_finfish</x:v>
      </x:c>
      <x:c r="D30" s="46" t="str">
        <x:v>baked / iron-plate roasted commercial fillet</x:v>
      </x:c>
      <x:c r="E30" s="46" t="str">
        <x:v>cod fillet + sugar + salt + MSG</x:v>
      </x:c>
      <x:c r="F30" s="46" t="str">
        <x:v>SRC-FISH-COD-BAKED-001</x:v>
      </x:c>
      <x:c r="G30" s="46" t="str">
        <x:v>Alcohols (source table)</x:v>
      </x:c>
      <x:c r="H30" s="46" t="str">
        <x:v>Alcohols</x:v>
      </x:c>
      <x:c r="I30" s="46" t="str">
        <x:v>3-戊醇</x:v>
      </x:c>
      <x:c r="J30" s="46" t="str">
        <x:v>3-pentanol</x:v>
      </x:c>
      <x:c r="K30" s="46" t="str">
        <x:v>584-02-1</x:v>
      </x:c>
      <x:c r="L30" s="46" t="n">
        <x:v>1108.2</x:v>
      </x:c>
      <x:c r="M30" s="46" t="n">
        <x:v>1235.616</x:v>
      </x:c>
      <x:c r="N30" s="46" t="n">
        <x:v>1.32188</x:v>
      </x:c>
      <x:c r="O30" s="46" t="str">
        <x:v>NIST2020 RI DB-WAX + Vocal GC-IMS library workflow</x:v>
      </x:c>
      <x:c r="P30" s="46"/>
      <x:c r="Q30" s="46" t="str">
        <x:v>ri_rt_drift_cas_reported_no_match_factor</x:v>
      </x:c>
      <x:c r="R30" s="46" t="str">
        <x:v>423.50±159.64</x:v>
      </x:c>
      <x:c r="S30" s="46" t="n">
        <x:v>423.5</x:v>
      </x:c>
      <x:c r="T30" s="46" t="str">
        <x:v>source table labels metric as relative content (%)</x:v>
      </x:c>
      <x:c r="U30" s="46" t="str">
        <x:v>detected_full_table</x:v>
      </x:c>
      <x:c r="V30" s="46" t="str">
        <x:v>positive_culinary_candidate</x:v>
      </x:c>
      <x:c r="W30" s="46" t="str">
        <x:v>Added sugar/salt/MSG are a process overlay; do not attribute every detected or high-abundance compound to intrinsic cod chemistry.</x:v>
      </x:c>
    </x:row>
    <x:row r="31" ht="26.399999618530273" hidden="0" customHeight="1">
      <x:c r="A31" s="46" t="str">
        <x:v>DFC-BAKE-030</x:v>
      </x:c>
      <x:c r="B31" s="46" t="str">
        <x:v>fish:atlantic_cod</x:v>
      </x:c>
      <x:c r="C31" s="46" t="str">
        <x:v>family:seafood_finfish</x:v>
      </x:c>
      <x:c r="D31" s="46" t="str">
        <x:v>baked / iron-plate roasted commercial fillet</x:v>
      </x:c>
      <x:c r="E31" s="46" t="str">
        <x:v>cod fillet + sugar + salt + MSG</x:v>
      </x:c>
      <x:c r="F31" s="46" t="str">
        <x:v>SRC-FISH-COD-BAKED-001</x:v>
      </x:c>
      <x:c r="G31" s="46" t="str">
        <x:v>Alcohols (source table)</x:v>
      </x:c>
      <x:c r="H31" s="46" t="str">
        <x:v>Alcohols</x:v>
      </x:c>
      <x:c r="I31" s="46" t="str">
        <x:v>2-戊醇</x:v>
      </x:c>
      <x:c r="J31" s="46" t="str">
        <x:v>2-pentanol</x:v>
      </x:c>
      <x:c r="K31" s="46" t="str">
        <x:v>6032-29-7</x:v>
      </x:c>
      <x:c r="L31" s="46" t="n">
        <x:v>1108.1</x:v>
      </x:c>
      <x:c r="M31" s="46" t="n">
        <x:v>1235.411</x:v>
      </x:c>
      <x:c r="N31" s="46" t="n">
        <x:v>1.49667</x:v>
      </x:c>
      <x:c r="O31" s="46" t="str">
        <x:v>NIST2020 RI DB-WAX + Vocal GC-IMS library workflow</x:v>
      </x:c>
      <x:c r="P31" s="46"/>
      <x:c r="Q31" s="46" t="str">
        <x:v>ri_rt_drift_cas_reported_no_match_factor</x:v>
      </x:c>
      <x:c r="R31" s="46" t="str">
        <x:v>298.05±18.53</x:v>
      </x:c>
      <x:c r="S31" s="46" t="n">
        <x:v>298.05</x:v>
      </x:c>
      <x:c r="T31" s="46" t="str">
        <x:v>source table labels metric as relative content (%)</x:v>
      </x:c>
      <x:c r="U31" s="46" t="str">
        <x:v>detected_full_table</x:v>
      </x:c>
      <x:c r="V31" s="46" t="str">
        <x:v>positive_culinary_candidate</x:v>
      </x:c>
      <x:c r="W31" s="46" t="str">
        <x:v>Added sugar/salt/MSG are a process overlay; do not attribute every detected or high-abundance compound to intrinsic cod chemistry.</x:v>
      </x:c>
    </x:row>
    <x:row r="32" ht="26.399999618530273" hidden="0" customHeight="1">
      <x:c r="A32" s="46" t="str">
        <x:v>DFC-BAKE-031</x:v>
      </x:c>
      <x:c r="B32" s="46" t="str">
        <x:v>fish:atlantic_cod</x:v>
      </x:c>
      <x:c r="C32" s="46" t="str">
        <x:v>family:seafood_finfish</x:v>
      </x:c>
      <x:c r="D32" s="46" t="str">
        <x:v>baked / iron-plate roasted commercial fillet</x:v>
      </x:c>
      <x:c r="E32" s="46" t="str">
        <x:v>cod fillet + sugar + salt + MSG</x:v>
      </x:c>
      <x:c r="F32" s="46" t="str">
        <x:v>SRC-FISH-COD-BAKED-001</x:v>
      </x:c>
      <x:c r="G32" s="46" t="str">
        <x:v>Alcohols (source table)</x:v>
      </x:c>
      <x:c r="H32" s="46" t="str">
        <x:v>Alcohols</x:v>
      </x:c>
      <x:c r="I32" s="46" t="str">
        <x:v>叔丁醇</x:v>
      </x:c>
      <x:c r="J32" s="46" t="str">
        <x:v>tert-butanol</x:v>
      </x:c>
      <x:c r="K32" s="46" t="str">
        <x:v>75-65-0</x:v>
      </x:c>
      <x:c r="L32" s="46" t="n">
        <x:v>897.5</x:v>
      </x:c>
      <x:c r="M32" s="46" t="n">
        <x:v>768.657</x:v>
      </x:c>
      <x:c r="N32" s="46" t="n">
        <x:v>1.35283</x:v>
      </x:c>
      <x:c r="O32" s="46" t="str">
        <x:v>NIST2020 RI DB-WAX + Vocal GC-IMS library workflow</x:v>
      </x:c>
      <x:c r="P32" s="46"/>
      <x:c r="Q32" s="46" t="str">
        <x:v>ri_rt_drift_cas_reported_no_match_factor</x:v>
      </x:c>
      <x:c r="R32" s="46" t="str">
        <x:v>243.51±3.37</x:v>
      </x:c>
      <x:c r="S32" s="46" t="n">
        <x:v>243.51</x:v>
      </x:c>
      <x:c r="T32" s="46" t="str">
        <x:v>source table labels metric as relative content (%)</x:v>
      </x:c>
      <x:c r="U32" s="46" t="str">
        <x:v>detected_full_table</x:v>
      </x:c>
      <x:c r="V32" s="46" t="str">
        <x:v>positive_culinary_candidate</x:v>
      </x:c>
      <x:c r="W32" s="46" t="str">
        <x:v>Added sugar/salt/MSG are a process overlay; do not attribute every detected or high-abundance compound to intrinsic cod chemistry.</x:v>
      </x:c>
    </x:row>
    <x:row r="33" ht="26.399999618530273" hidden="0" customHeight="1">
      <x:c r="A33" s="46" t="str">
        <x:v>DFC-BAKE-032</x:v>
      </x:c>
      <x:c r="B33" s="46" t="str">
        <x:v>fish:atlantic_cod</x:v>
      </x:c>
      <x:c r="C33" s="46" t="str">
        <x:v>family:seafood_finfish</x:v>
      </x:c>
      <x:c r="D33" s="46" t="str">
        <x:v>baked / iron-plate roasted commercial fillet</x:v>
      </x:c>
      <x:c r="E33" s="46" t="str">
        <x:v>cod fillet + sugar + salt + MSG</x:v>
      </x:c>
      <x:c r="F33" s="46" t="str">
        <x:v>SRC-FISH-COD-BAKED-001</x:v>
      </x:c>
      <x:c r="G33" s="46" t="str">
        <x:v>Alcohols (source table)</x:v>
      </x:c>
      <x:c r="H33" s="46" t="str">
        <x:v>Alcohols</x:v>
      </x:c>
      <x:c r="I33" s="46" t="str">
        <x:v>异丙醇</x:v>
      </x:c>
      <x:c r="J33" s="46" t="str">
        <x:v>isopropanol</x:v>
      </x:c>
      <x:c r="K33" s="46" t="str">
        <x:v>67-63-0</x:v>
      </x:c>
      <x:c r="L33" s="46" t="n">
        <x:v>919.9</x:v>
      </x:c>
      <x:c r="M33" s="46" t="n">
        <x:v>814.79</x:v>
      </x:c>
      <x:c r="N33" s="46" t="n">
        <x:v>1.09663</x:v>
      </x:c>
      <x:c r="O33" s="46" t="str">
        <x:v>NIST2020 RI DB-WAX + Vocal GC-IMS library workflow</x:v>
      </x:c>
      <x:c r="P33" s="46"/>
      <x:c r="Q33" s="46" t="str">
        <x:v>ri_rt_drift_cas_reported_no_match_factor</x:v>
      </x:c>
      <x:c r="R33" s="46" t="str">
        <x:v>238.45±25.88</x:v>
      </x:c>
      <x:c r="S33" s="46" t="n">
        <x:v>238.45</x:v>
      </x:c>
      <x:c r="T33" s="46" t="str">
        <x:v>source table labels metric as relative content (%)</x:v>
      </x:c>
      <x:c r="U33" s="46" t="str">
        <x:v>detected_full_table</x:v>
      </x:c>
      <x:c r="V33" s="46" t="str">
        <x:v>positive_culinary_candidate</x:v>
      </x:c>
      <x:c r="W33" s="46" t="str">
        <x:v>Added sugar/salt/MSG are a process overlay; do not attribute every detected or high-abundance compound to intrinsic cod chemistry.</x:v>
      </x:c>
    </x:row>
    <x:row r="34" ht="26.399999618530273" hidden="0" customHeight="1">
      <x:c r="A34" s="46" t="str">
        <x:v>DFC-BAKE-033</x:v>
      </x:c>
      <x:c r="B34" s="46" t="str">
        <x:v>fish:atlantic_cod</x:v>
      </x:c>
      <x:c r="C34" s="46" t="str">
        <x:v>family:seafood_finfish</x:v>
      </x:c>
      <x:c r="D34" s="46" t="str">
        <x:v>baked / iron-plate roasted commercial fillet</x:v>
      </x:c>
      <x:c r="E34" s="46" t="str">
        <x:v>cod fillet + sugar + salt + MSG</x:v>
      </x:c>
      <x:c r="F34" s="46" t="str">
        <x:v>SRC-FISH-COD-BAKED-001</x:v>
      </x:c>
      <x:c r="G34" s="46" t="str">
        <x:v>Alcohols (source table)</x:v>
      </x:c>
      <x:c r="H34" s="46" t="str">
        <x:v>Alcohols</x:v>
      </x:c>
      <x:c r="I34" s="46" t="str">
        <x:v>2-甲基-1-丁醇</x:v>
      </x:c>
      <x:c r="J34" s="46" t="str">
        <x:v>2-methyl-1-butanol</x:v>
      </x:c>
      <x:c r="K34" s="46" t="str">
        <x:v>137-32-6</x:v>
      </x:c>
      <x:c r="L34" s="46" t="n">
        <x:v>1201.8</x:v>
      </x:c>
      <x:c r="M34" s="46" t="n">
        <x:v>1446.464</x:v>
      </x:c>
      <x:c r="N34" s="46" t="n">
        <x:v>1.07198</x:v>
      </x:c>
      <x:c r="O34" s="46" t="str">
        <x:v>NIST2020 RI DB-WAX + Vocal GC-IMS library workflow</x:v>
      </x:c>
      <x:c r="P34" s="46"/>
      <x:c r="Q34" s="46" t="str">
        <x:v>ri_rt_drift_cas_reported_no_match_factor</x:v>
      </x:c>
      <x:c r="R34" s="46" t="str">
        <x:v>8.41±1.73</x:v>
      </x:c>
      <x:c r="S34" s="46" t="n">
        <x:v>8.41</x:v>
      </x:c>
      <x:c r="T34" s="46" t="str">
        <x:v>source table labels metric as relative content (%)</x:v>
      </x:c>
      <x:c r="U34" s="46" t="str">
        <x:v>detected_full_table</x:v>
      </x:c>
      <x:c r="V34" s="46" t="str">
        <x:v>positive_culinary_candidate</x:v>
      </x:c>
      <x:c r="W34" s="46" t="str">
        <x:v>Added sugar/salt/MSG are a process overlay; do not attribute every detected or high-abundance compound to intrinsic cod chemistry.</x:v>
      </x:c>
    </x:row>
    <x:row r="35" ht="26.399999618530273" hidden="0" customHeight="1">
      <x:c r="A35" s="46" t="str">
        <x:v>DFC-BAKE-034</x:v>
      </x:c>
      <x:c r="B35" s="46" t="str">
        <x:v>fish:atlantic_cod</x:v>
      </x:c>
      <x:c r="C35" s="46" t="str">
        <x:v>family:seafood_finfish</x:v>
      </x:c>
      <x:c r="D35" s="46" t="str">
        <x:v>baked / iron-plate roasted commercial fillet</x:v>
      </x:c>
      <x:c r="E35" s="46" t="str">
        <x:v>cod fillet + sugar + salt + MSG</x:v>
      </x:c>
      <x:c r="F35" s="46" t="str">
        <x:v>SRC-FISH-COD-BAKED-001</x:v>
      </x:c>
      <x:c r="G35" s="46" t="str">
        <x:v>Alcohols (source table)</x:v>
      </x:c>
      <x:c r="H35" s="46" t="str">
        <x:v>Sulfur compounds</x:v>
      </x:c>
      <x:c r="I35" s="46" t="str">
        <x:v>丙硫醇</x:v>
      </x:c>
      <x:c r="J35" s="46" t="str">
        <x:v>propanethiol</x:v>
      </x:c>
      <x:c r="K35" s="46" t="str">
        <x:v>107-03-9</x:v>
      </x:c>
      <x:c r="L35" s="46" t="n">
        <x:v>857.6</x:v>
      </x:c>
      <x:c r="M35" s="46" t="n">
        <x:v>692.702</x:v>
      </x:c>
      <x:c r="N35" s="46" t="n">
        <x:v>1.24468</x:v>
      </x:c>
      <x:c r="O35" s="46" t="str">
        <x:v>NIST2020 RI DB-WAX + Vocal GC-IMS library workflow</x:v>
      </x:c>
      <x:c r="P35" s="46"/>
      <x:c r="Q35" s="46" t="str">
        <x:v>ri_rt_drift_cas_reported_no_match_factor</x:v>
      </x:c>
      <x:c r="R35" s="46" t="str">
        <x:v>198.25±6.08</x:v>
      </x:c>
      <x:c r="S35" s="46" t="n">
        <x:v>198.25</x:v>
      </x:c>
      <x:c r="T35" s="46" t="str">
        <x:v>source table labels metric as relative content (%)</x:v>
      </x:c>
      <x:c r="U35" s="46" t="str">
        <x:v>detected_full_table</x:v>
      </x:c>
      <x:c r="V35" s="46" t="str">
        <x:v>positive_culinary_candidate</x:v>
      </x:c>
      <x:c r="W35" s="46" t="str">
        <x:v>Added sugar/salt/MSG are a process overlay; do not attribute every detected or high-abundance compound to intrinsic cod chemistry.</x:v>
      </x:c>
    </x:row>
    <x:row r="36" ht="26.399999618530273" hidden="0" customHeight="1">
      <x:c r="A36" s="46" t="str">
        <x:v>DFC-BAKE-035</x:v>
      </x:c>
      <x:c r="B36" s="46" t="str">
        <x:v>fish:atlantic_cod</x:v>
      </x:c>
      <x:c r="C36" s="46" t="str">
        <x:v>family:seafood_finfish</x:v>
      </x:c>
      <x:c r="D36" s="46" t="str">
        <x:v>baked / iron-plate roasted commercial fillet</x:v>
      </x:c>
      <x:c r="E36" s="46" t="str">
        <x:v>cod fillet + sugar + salt + MSG</x:v>
      </x:c>
      <x:c r="F36" s="46" t="str">
        <x:v>SRC-FISH-COD-BAKED-001</x:v>
      </x:c>
      <x:c r="G36" s="46" t="str">
        <x:v>Alcohols (source table)</x:v>
      </x:c>
      <x:c r="H36" s="46" t="str">
        <x:v>Alcohols</x:v>
      </x:c>
      <x:c r="I36" s="46" t="str">
        <x:v>甲醇</x:v>
      </x:c>
      <x:c r="J36" s="46" t="str">
        <x:v>methanol</x:v>
      </x:c>
      <x:c r="K36" s="46" t="str">
        <x:v>67-56-1</x:v>
      </x:c>
      <x:c r="L36" s="46" t="n">
        <x:v>898.1</x:v>
      </x:c>
      <x:c r="M36" s="46" t="n">
        <x:v>769.828</x:v>
      </x:c>
      <x:c r="N36" s="46" t="n">
        <x:v>1.19948</x:v>
      </x:c>
      <x:c r="O36" s="46" t="str">
        <x:v>NIST2020 RI DB-WAX + Vocal GC-IMS library workflow</x:v>
      </x:c>
      <x:c r="P36" s="46"/>
      <x:c r="Q36" s="46" t="str">
        <x:v>ri_rt_drift_cas_reported_no_match_factor</x:v>
      </x:c>
      <x:c r="R36" s="46" t="str">
        <x:v>71.96±3.17</x:v>
      </x:c>
      <x:c r="S36" s="46" t="n">
        <x:v>71.96</x:v>
      </x:c>
      <x:c r="T36" s="46" t="str">
        <x:v>source table labels metric as relative content (%)</x:v>
      </x:c>
      <x:c r="U36" s="46" t="str">
        <x:v>detected_full_table</x:v>
      </x:c>
      <x:c r="V36" s="46" t="str">
        <x:v>positive_culinary_candidate</x:v>
      </x:c>
      <x:c r="W36" s="46" t="str">
        <x:v>Added sugar/salt/MSG are a process overlay; do not attribute every detected or high-abundance compound to intrinsic cod chemistry.</x:v>
      </x:c>
    </x:row>
    <x:row r="37" ht="26.399999618530273" hidden="0" customHeight="1">
      <x:c r="A37" s="46" t="str">
        <x:v>DFC-BAKE-036</x:v>
      </x:c>
      <x:c r="B37" s="46" t="str">
        <x:v>fish:atlantic_cod</x:v>
      </x:c>
      <x:c r="C37" s="46" t="str">
        <x:v>family:seafood_finfish</x:v>
      </x:c>
      <x:c r="D37" s="46" t="str">
        <x:v>baked / iron-plate roasted commercial fillet</x:v>
      </x:c>
      <x:c r="E37" s="46" t="str">
        <x:v>cod fillet + sugar + salt + MSG</x:v>
      </x:c>
      <x:c r="F37" s="46" t="str">
        <x:v>SRC-FISH-COD-BAKED-001</x:v>
      </x:c>
      <x:c r="G37" s="46" t="str">
        <x:v>Alcohols (source table)</x:v>
      </x:c>
      <x:c r="H37" s="46" t="str">
        <x:v>Alcohols</x:v>
      </x:c>
      <x:c r="I37" s="46" t="str">
        <x:v>乙醇</x:v>
      </x:c>
      <x:c r="J37" s="46" t="str">
        <x:v>ethanol</x:v>
      </x:c>
      <x:c r="K37" s="46" t="str">
        <x:v>64-17-5</x:v>
      </x:c>
      <x:c r="L37" s="46" t="n">
        <x:v>949.8</x:v>
      </x:c>
      <x:c r="M37" s="46" t="n">
        <x:v>880.767</x:v>
      </x:c>
      <x:c r="N37" s="46" t="n">
        <x:v>1.20814</x:v>
      </x:c>
      <x:c r="O37" s="46" t="str">
        <x:v>NIST2020 RI DB-WAX + Vocal GC-IMS library workflow</x:v>
      </x:c>
      <x:c r="P37" s="46"/>
      <x:c r="Q37" s="46" t="str">
        <x:v>ri_rt_drift_cas_reported_no_match_factor</x:v>
      </x:c>
      <x:c r="R37" s="46" t="str">
        <x:v>113.72±19.74</x:v>
      </x:c>
      <x:c r="S37" s="46" t="n">
        <x:v>113.72</x:v>
      </x:c>
      <x:c r="T37" s="46" t="str">
        <x:v>source table labels metric as relative content (%)</x:v>
      </x:c>
      <x:c r="U37" s="46" t="str">
        <x:v>cod_key_or_shared_marker</x:v>
      </x:c>
      <x:c r="V37" s="46" t="str">
        <x:v>positive_culinary_candidate</x:v>
      </x:c>
      <x:c r="W37" s="46" t="str">
        <x:v>Added sugar/salt/MSG are a process overlay; do not attribute every detected or high-abundance compound to intrinsic cod chemistry.</x:v>
      </x:c>
    </x:row>
    <x:row r="38" ht="26.399999618530273" hidden="0" customHeight="1">
      <x:c r="A38" s="46" t="str">
        <x:v>DFC-BAKE-037</x:v>
      </x:c>
      <x:c r="B38" s="46" t="str">
        <x:v>fish:atlantic_cod</x:v>
      </x:c>
      <x:c r="C38" s="46" t="str">
        <x:v>family:seafood_finfish</x:v>
      </x:c>
      <x:c r="D38" s="46" t="str">
        <x:v>baked / iron-plate roasted commercial fillet</x:v>
      </x:c>
      <x:c r="E38" s="46" t="str">
        <x:v>cod fillet + sugar + salt + MSG</x:v>
      </x:c>
      <x:c r="F38" s="46" t="str">
        <x:v>SRC-FISH-COD-BAKED-001</x:v>
      </x:c>
      <x:c r="G38" s="46" t="str">
        <x:v>Aldehydes</x:v>
      </x:c>
      <x:c r="H38" s="46" t="str">
        <x:v>Aldehydes</x:v>
      </x:c>
      <x:c r="I38" s="46" t="str">
        <x:v>顺-4-庚烯醛</x:v>
      </x:c>
      <x:c r="J38" s="46" t="str">
        <x:v>cis-4-heptenal</x:v>
      </x:c>
      <x:c r="K38" s="46" t="str">
        <x:v>6728-31-0</x:v>
      </x:c>
      <x:c r="L38" s="46" t="n">
        <x:v>1228.1</x:v>
      </x:c>
      <x:c r="M38" s="46" t="n">
        <x:v>1498.905</x:v>
      </x:c>
      <x:c r="N38" s="46" t="n">
        <x:v>1.11846</x:v>
      </x:c>
      <x:c r="O38" s="46" t="str">
        <x:v>NIST2020 RI DB-WAX + Vocal GC-IMS library workflow</x:v>
      </x:c>
      <x:c r="P38" s="46"/>
      <x:c r="Q38" s="46" t="str">
        <x:v>ri_rt_drift_cas_reported_no_match_factor</x:v>
      </x:c>
      <x:c r="R38" s="46" t="str">
        <x:v>12423.16±45.14</x:v>
      </x:c>
      <x:c r="S38" s="46" t="n">
        <x:v>12423.16</x:v>
      </x:c>
      <x:c r="T38" s="46" t="str">
        <x:v>source table labels metric as relative content (%)</x:v>
      </x:c>
      <x:c r="U38" s="46" t="str">
        <x:v>detected_full_table</x:v>
      </x:c>
      <x:c r="V38" s="46" t="str">
        <x:v>positive_culinary_candidate</x:v>
      </x:c>
      <x:c r="W38" s="46" t="str">
        <x:v>Added sugar/salt/MSG are a process overlay; do not attribute every detected or high-abundance compound to intrinsic cod chemistry.</x:v>
      </x:c>
    </x:row>
    <x:row r="39" ht="26.399999618530273" hidden="0" customHeight="1">
      <x:c r="A39" s="46" t="str">
        <x:v>DFC-BAKE-038</x:v>
      </x:c>
      <x:c r="B39" s="46" t="str">
        <x:v>fish:atlantic_cod</x:v>
      </x:c>
      <x:c r="C39" s="46" t="str">
        <x:v>family:seafood_finfish</x:v>
      </x:c>
      <x:c r="D39" s="46" t="str">
        <x:v>baked / iron-plate roasted commercial fillet</x:v>
      </x:c>
      <x:c r="E39" s="46" t="str">
        <x:v>cod fillet + sugar + salt + MSG</x:v>
      </x:c>
      <x:c r="F39" s="46" t="str">
        <x:v>SRC-FISH-COD-BAKED-001</x:v>
      </x:c>
      <x:c r="G39" s="46" t="str">
        <x:v>Aldehydes</x:v>
      </x:c>
      <x:c r="H39" s="46" t="str">
        <x:v>Aldehydes</x:v>
      </x:c>
      <x:c r="I39" s="46" t="str">
        <x:v>庚醛</x:v>
      </x:c>
      <x:c r="J39" s="46" t="str">
        <x:v>heptanal</x:v>
      </x:c>
      <x:c r="K39" s="46" t="str">
        <x:v>111-71-7</x:v>
      </x:c>
      <x:c r="L39" s="46" t="n">
        <x:v>1186.1</x:v>
      </x:c>
      <x:c r="M39" s="46" t="n">
        <x:v>1412.903</x:v>
      </x:c>
      <x:c r="N39" s="46" t="n">
        <x:v>1.41025</x:v>
      </x:c>
      <x:c r="O39" s="46" t="str">
        <x:v>NIST2020 RI DB-WAX + Vocal GC-IMS library workflow</x:v>
      </x:c>
      <x:c r="P39" s="46"/>
      <x:c r="Q39" s="46" t="str">
        <x:v>ri_rt_drift_cas_reported_no_match_factor</x:v>
      </x:c>
      <x:c r="R39" s="46" t="str">
        <x:v>78.48±8.06</x:v>
      </x:c>
      <x:c r="S39" s="46" t="n">
        <x:v>78.48</x:v>
      </x:c>
      <x:c r="T39" s="46" t="str">
        <x:v>source table labels metric as relative content (%)</x:v>
      </x:c>
      <x:c r="U39" s="46" t="str">
        <x:v>detected_full_table</x:v>
      </x:c>
      <x:c r="V39" s="46" t="str">
        <x:v>positive_culinary_candidate</x:v>
      </x:c>
      <x:c r="W39" s="46" t="str">
        <x:v>Added sugar/salt/MSG are a process overlay; do not attribute every detected or high-abundance compound to intrinsic cod chemistry.</x:v>
      </x:c>
    </x:row>
    <x:row r="40" ht="26.399999618530273" hidden="0" customHeight="1">
      <x:c r="A40" s="46" t="str">
        <x:v>DFC-BAKE-039</x:v>
      </x:c>
      <x:c r="B40" s="46" t="str">
        <x:v>fish:atlantic_cod</x:v>
      </x:c>
      <x:c r="C40" s="46" t="str">
        <x:v>family:seafood_finfish</x:v>
      </x:c>
      <x:c r="D40" s="46" t="str">
        <x:v>baked / iron-plate roasted commercial fillet</x:v>
      </x:c>
      <x:c r="E40" s="46" t="str">
        <x:v>cod fillet + sugar + salt + MSG</x:v>
      </x:c>
      <x:c r="F40" s="46" t="str">
        <x:v>SRC-FISH-COD-BAKED-001</x:v>
      </x:c>
      <x:c r="G40" s="46" t="str">
        <x:v>Aldehydes</x:v>
      </x:c>
      <x:c r="H40" s="46" t="str">
        <x:v>Aldehydes</x:v>
      </x:c>
      <x:c r="I40" s="46" t="str">
        <x:v>己醛</x:v>
      </x:c>
      <x:c r="J40" s="46" t="str">
        <x:v>hexanal</x:v>
      </x:c>
      <x:c r="K40" s="46" t="str">
        <x:v>66-25-1</x:v>
      </x:c>
      <x:c r="L40" s="46" t="n">
        <x:v>1088.4</x:v>
      </x:c>
      <x:c r="M40" s="46" t="n">
        <x:v>1191.712</x:v>
      </x:c>
      <x:c r="N40" s="46" t="n">
        <x:v>1.25948</x:v>
      </x:c>
      <x:c r="O40" s="46" t="str">
        <x:v>NIST2020 RI DB-WAX + Vocal GC-IMS library workflow</x:v>
      </x:c>
      <x:c r="P40" s="46"/>
      <x:c r="Q40" s="46" t="str">
        <x:v>ri_rt_drift_cas_reported_no_match_factor</x:v>
      </x:c>
      <x:c r="R40" s="46" t="str">
        <x:v>91.39±6.41</x:v>
      </x:c>
      <x:c r="S40" s="46" t="n">
        <x:v>91.39</x:v>
      </x:c>
      <x:c r="T40" s="46" t="str">
        <x:v>source table labels metric as relative content (%)</x:v>
      </x:c>
      <x:c r="U40" s="46" t="str">
        <x:v>detected_full_table</x:v>
      </x:c>
      <x:c r="V40" s="46" t="str">
        <x:v>positive_culinary_candidate</x:v>
      </x:c>
      <x:c r="W40" s="46" t="str">
        <x:v>Added sugar/salt/MSG are a process overlay; do not attribute every detected or high-abundance compound to intrinsic cod chemistry.</x:v>
      </x:c>
    </x:row>
    <x:row r="41" ht="26.399999618530273" hidden="0" customHeight="1">
      <x:c r="A41" s="46" t="str">
        <x:v>DFC-BAKE-040</x:v>
      </x:c>
      <x:c r="B41" s="46" t="str">
        <x:v>fish:atlantic_cod</x:v>
      </x:c>
      <x:c r="C41" s="46" t="str">
        <x:v>family:seafood_finfish</x:v>
      </x:c>
      <x:c r="D41" s="46" t="str">
        <x:v>baked / iron-plate roasted commercial fillet</x:v>
      </x:c>
      <x:c r="E41" s="46" t="str">
        <x:v>cod fillet + sugar + salt + MSG</x:v>
      </x:c>
      <x:c r="F41" s="46" t="str">
        <x:v>SRC-FISH-COD-BAKED-001</x:v>
      </x:c>
      <x:c r="G41" s="46" t="str">
        <x:v>Aldehydes</x:v>
      </x:c>
      <x:c r="H41" s="46" t="str">
        <x:v>Aldehydes</x:v>
      </x:c>
      <x:c r="I41" s="46" t="str">
        <x:v>戊醛</x:v>
      </x:c>
      <x:c r="J41" s="46" t="str">
        <x:v>pentanal</x:v>
      </x:c>
      <x:c r="K41" s="46" t="str">
        <x:v>110-62-3</x:v>
      </x:c>
      <x:c r="L41" s="46" t="n">
        <x:v>970</x:v>
      </x:c>
      <x:c r="M41" s="46" t="n">
        <x:v>928.36</x:v>
      </x:c>
      <x:c r="N41" s="46" t="n">
        <x:v>1.09622</x:v>
      </x:c>
      <x:c r="O41" s="46" t="str">
        <x:v>NIST2020 RI DB-WAX + Vocal GC-IMS library workflow</x:v>
      </x:c>
      <x:c r="P41" s="46"/>
      <x:c r="Q41" s="46" t="str">
        <x:v>ri_rt_drift_cas_reported_no_match_factor</x:v>
      </x:c>
      <x:c r="R41" s="46" t="str">
        <x:v>23.26±2.25</x:v>
      </x:c>
      <x:c r="S41" s="46" t="n">
        <x:v>23.26</x:v>
      </x:c>
      <x:c r="T41" s="46" t="str">
        <x:v>source table labels metric as relative content (%)</x:v>
      </x:c>
      <x:c r="U41" s="46" t="str">
        <x:v>detected_full_table</x:v>
      </x:c>
      <x:c r="V41" s="46" t="str">
        <x:v>positive_culinary_candidate</x:v>
      </x:c>
      <x:c r="W41" s="46" t="str">
        <x:v>Added sugar/salt/MSG are a process overlay; do not attribute every detected or high-abundance compound to intrinsic cod chemistry.</x:v>
      </x:c>
    </x:row>
    <x:row r="42" ht="26.399999618530273" hidden="0" customHeight="1">
      <x:c r="A42" s="46" t="str">
        <x:v>DFC-BAKE-041</x:v>
      </x:c>
      <x:c r="B42" s="46" t="str">
        <x:v>fish:atlantic_cod</x:v>
      </x:c>
      <x:c r="C42" s="46" t="str">
        <x:v>family:seafood_finfish</x:v>
      </x:c>
      <x:c r="D42" s="46" t="str">
        <x:v>baked / iron-plate roasted commercial fillet</x:v>
      </x:c>
      <x:c r="E42" s="46" t="str">
        <x:v>cod fillet + sugar + salt + MSG</x:v>
      </x:c>
      <x:c r="F42" s="46" t="str">
        <x:v>SRC-FISH-COD-BAKED-001</x:v>
      </x:c>
      <x:c r="G42" s="46" t="str">
        <x:v>Aldehydes</x:v>
      </x:c>
      <x:c r="H42" s="46" t="str">
        <x:v>Aldehydes</x:v>
      </x:c>
      <x:c r="I42" s="46" t="str">
        <x:v>丁醛</x:v>
      </x:c>
      <x:c r="J42" s="46" t="str">
        <x:v>butanal</x:v>
      </x:c>
      <x:c r="K42" s="46" t="str">
        <x:v>123-72-8</x:v>
      </x:c>
      <x:c r="L42" s="46" t="n">
        <x:v>897.4</x:v>
      </x:c>
      <x:c r="M42" s="46" t="n">
        <x:v>768.425</x:v>
      </x:c>
      <x:c r="N42" s="46" t="n">
        <x:v>1.11257</x:v>
      </x:c>
      <x:c r="O42" s="46" t="str">
        <x:v>NIST2020 RI DB-WAX + Vocal GC-IMS library workflow</x:v>
      </x:c>
      <x:c r="P42" s="46"/>
      <x:c r="Q42" s="46" t="str">
        <x:v>ri_rt_drift_cas_reported_no_match_factor</x:v>
      </x:c>
      <x:c r="R42" s="46" t="str">
        <x:v>941.31±697.31</x:v>
      </x:c>
      <x:c r="S42" s="46" t="n">
        <x:v>941.31</x:v>
      </x:c>
      <x:c r="T42" s="46" t="str">
        <x:v>source table labels metric as relative content (%)</x:v>
      </x:c>
      <x:c r="U42" s="46" t="str">
        <x:v>detected_full_table</x:v>
      </x:c>
      <x:c r="V42" s="46" t="str">
        <x:v>positive_culinary_candidate</x:v>
      </x:c>
      <x:c r="W42" s="46" t="str">
        <x:v>Added sugar/salt/MSG are a process overlay; do not attribute every detected or high-abundance compound to intrinsic cod chemistry.</x:v>
      </x:c>
    </x:row>
    <x:row r="43" ht="26.399999618530273" hidden="0" customHeight="1">
      <x:c r="A43" s="46" t="str">
        <x:v>DFC-BAKE-042</x:v>
      </x:c>
      <x:c r="B43" s="46" t="str">
        <x:v>fish:atlantic_cod</x:v>
      </x:c>
      <x:c r="C43" s="46" t="str">
        <x:v>family:seafood_finfish</x:v>
      </x:c>
      <x:c r="D43" s="46" t="str">
        <x:v>baked / iron-plate roasted commercial fillet</x:v>
      </x:c>
      <x:c r="E43" s="46" t="str">
        <x:v>cod fillet + sugar + salt + MSG</x:v>
      </x:c>
      <x:c r="F43" s="46" t="str">
        <x:v>SRC-FISH-COD-BAKED-001</x:v>
      </x:c>
      <x:c r="G43" s="46" t="str">
        <x:v>Aldehydes</x:v>
      </x:c>
      <x:c r="H43" s="46" t="str">
        <x:v>Aldehydes</x:v>
      </x:c>
      <x:c r="I43" s="46" t="str">
        <x:v>2-甲基丙醛</x:v>
      </x:c>
      <x:c r="J43" s="46" t="str">
        <x:v>2-methylpropanal</x:v>
      </x:c>
      <x:c r="K43" s="46" t="str">
        <x:v>78-84-2</x:v>
      </x:c>
      <x:c r="L43" s="46" t="n">
        <x:v>822.6</x:v>
      </x:c>
      <x:c r="M43" s="46" t="n">
        <x:v>632.365</x:v>
      </x:c>
      <x:c r="N43" s="46" t="n">
        <x:v>1.24209</x:v>
      </x:c>
      <x:c r="O43" s="46" t="str">
        <x:v>NIST2020 RI DB-WAX + Vocal GC-IMS library workflow</x:v>
      </x:c>
      <x:c r="P43" s="46"/>
      <x:c r="Q43" s="46" t="str">
        <x:v>ri_rt_drift_cas_reported_no_match_factor</x:v>
      </x:c>
      <x:c r="R43" s="46" t="str">
        <x:v>643.68±14.42</x:v>
      </x:c>
      <x:c r="S43" s="46" t="n">
        <x:v>643.68</x:v>
      </x:c>
      <x:c r="T43" s="46" t="str">
        <x:v>source table labels metric as relative content (%)</x:v>
      </x:c>
      <x:c r="U43" s="46" t="str">
        <x:v>detected_full_table</x:v>
      </x:c>
      <x:c r="V43" s="46" t="str">
        <x:v>positive_culinary_candidate</x:v>
      </x:c>
      <x:c r="W43" s="46" t="str">
        <x:v>Added sugar/salt/MSG are a process overlay; do not attribute every detected or high-abundance compound to intrinsic cod chemistry.</x:v>
      </x:c>
    </x:row>
    <x:row r="44" ht="26.399999618530273" hidden="0" customHeight="1">
      <x:c r="A44" s="46" t="str">
        <x:v>DFC-BAKE-043</x:v>
      </x:c>
      <x:c r="B44" s="46" t="str">
        <x:v>fish:atlantic_cod</x:v>
      </x:c>
      <x:c r="C44" s="46" t="str">
        <x:v>family:seafood_finfish</x:v>
      </x:c>
      <x:c r="D44" s="46" t="str">
        <x:v>baked / iron-plate roasted commercial fillet</x:v>
      </x:c>
      <x:c r="E44" s="46" t="str">
        <x:v>cod fillet + sugar + salt + MSG</x:v>
      </x:c>
      <x:c r="F44" s="46" t="str">
        <x:v>SRC-FISH-COD-BAKED-001</x:v>
      </x:c>
      <x:c r="G44" s="46" t="str">
        <x:v>Aldehydes</x:v>
      </x:c>
      <x:c r="H44" s="46" t="str">
        <x:v>Aldehydes</x:v>
      </x:c>
      <x:c r="I44" s="46" t="str">
        <x:v>乙醛</x:v>
      </x:c>
      <x:c r="J44" s="46" t="str">
        <x:v>acetaldehyde</x:v>
      </x:c>
      <x:c r="K44" s="46" t="str">
        <x:v>75-07-0</x:v>
      </x:c>
      <x:c r="L44" s="46" t="n">
        <x:v>699.7</x:v>
      </x:c>
      <x:c r="M44" s="46" t="n">
        <x:v>459.193</x:v>
      </x:c>
      <x:c r="N44" s="46" t="n">
        <x:v>0.95368</x:v>
      </x:c>
      <x:c r="O44" s="46" t="str">
        <x:v>NIST2020 RI DB-WAX + Vocal GC-IMS library workflow</x:v>
      </x:c>
      <x:c r="P44" s="46"/>
      <x:c r="Q44" s="46" t="str">
        <x:v>ri_rt_drift_cas_reported_no_match_factor</x:v>
      </x:c>
      <x:c r="R44" s="46" t="str">
        <x:v>1362.14±96.93</x:v>
      </x:c>
      <x:c r="S44" s="46" t="n">
        <x:v>1362.14</x:v>
      </x:c>
      <x:c r="T44" s="46" t="str">
        <x:v>source table labels metric as relative content (%)</x:v>
      </x:c>
      <x:c r="U44" s="46" t="str">
        <x:v>cod_key_or_shared_marker</x:v>
      </x:c>
      <x:c r="V44" s="46" t="str">
        <x:v>positive_culinary_candidate</x:v>
      </x:c>
      <x:c r="W44" s="46" t="str">
        <x:v>Added sugar/salt/MSG are a process overlay; do not attribute every detected or high-abundance compound to intrinsic cod chemistry.</x:v>
      </x:c>
    </x:row>
    <x:row r="45" ht="26.399999618530273" hidden="0" customHeight="1">
      <x:c r="A45" s="46" t="str">
        <x:v>DFC-BAKE-044</x:v>
      </x:c>
      <x:c r="B45" s="46" t="str">
        <x:v>fish:atlantic_cod</x:v>
      </x:c>
      <x:c r="C45" s="46" t="str">
        <x:v>family:seafood_finfish</x:v>
      </x:c>
      <x:c r="D45" s="46" t="str">
        <x:v>baked / iron-plate roasted commercial fillet</x:v>
      </x:c>
      <x:c r="E45" s="46" t="str">
        <x:v>cod fillet + sugar + salt + MSG</x:v>
      </x:c>
      <x:c r="F45" s="46" t="str">
        <x:v>SRC-FISH-COD-BAKED-001</x:v>
      </x:c>
      <x:c r="G45" s="46" t="str">
        <x:v>Aldehydes</x:v>
      </x:c>
      <x:c r="H45" s="46" t="str">
        <x:v>Aldehydes</x:v>
      </x:c>
      <x:c r="I45" s="46" t="str">
        <x:v>丙醛</x:v>
      </x:c>
      <x:c r="J45" s="46" t="str">
        <x:v>propanal</x:v>
      </x:c>
      <x:c r="K45" s="46" t="str">
        <x:v>123-38-6</x:v>
      </x:c>
      <x:c r="L45" s="46" t="n">
        <x:v>809.2</x:v>
      </x:c>
      <x:c r="M45" s="46" t="n">
        <x:v>610.669</x:v>
      </x:c>
      <x:c r="N45" s="46" t="n">
        <x:v>1.33183</x:v>
      </x:c>
      <x:c r="O45" s="46" t="str">
        <x:v>NIST2020 RI DB-WAX + Vocal GC-IMS library workflow</x:v>
      </x:c>
      <x:c r="P45" s="46"/>
      <x:c r="Q45" s="46" t="str">
        <x:v>ri_rt_drift_cas_reported_no_match_factor</x:v>
      </x:c>
      <x:c r="R45" s="46" t="str">
        <x:v>26.5625±2.69</x:v>
      </x:c>
      <x:c r="S45" s="46" t="n">
        <x:v>26.5625</x:v>
      </x:c>
      <x:c r="T45" s="46" t="str">
        <x:v>source table labels metric as relative content (%)</x:v>
      </x:c>
      <x:c r="U45" s="46" t="str">
        <x:v>detected_full_table</x:v>
      </x:c>
      <x:c r="V45" s="46" t="str">
        <x:v>positive_culinary_candidate</x:v>
      </x:c>
      <x:c r="W45" s="46" t="str">
        <x:v>Added sugar/salt/MSG are a process overlay; do not attribute every detected or high-abundance compound to intrinsic cod chemistry.</x:v>
      </x:c>
    </x:row>
    <x:row r="46" ht="26.399999618530273" hidden="0" customHeight="1">
      <x:c r="A46" s="46" t="str">
        <x:v>DFC-BAKE-045</x:v>
      </x:c>
      <x:c r="B46" s="46" t="str">
        <x:v>fish:atlantic_cod</x:v>
      </x:c>
      <x:c r="C46" s="46" t="str">
        <x:v>family:seafood_finfish</x:v>
      </x:c>
      <x:c r="D46" s="46" t="str">
        <x:v>baked / iron-plate roasted commercial fillet</x:v>
      </x:c>
      <x:c r="E46" s="46" t="str">
        <x:v>cod fillet + sugar + salt + MSG</x:v>
      </x:c>
      <x:c r="F46" s="46" t="str">
        <x:v>SRC-FISH-COD-BAKED-001</x:v>
      </x:c>
      <x:c r="G46" s="46" t="str">
        <x:v>Aldehydes</x:v>
      </x:c>
      <x:c r="H46" s="46" t="str">
        <x:v>Aldehydes</x:v>
      </x:c>
      <x:c r="I46" s="46" t="str">
        <x:v>丙烯醛</x:v>
      </x:c>
      <x:c r="J46" s="46" t="str">
        <x:v>acrolein</x:v>
      </x:c>
      <x:c r="K46" s="46" t="str">
        <x:v>107-02-8</x:v>
      </x:c>
      <x:c r="L46" s="46" t="n">
        <x:v>837.5</x:v>
      </x:c>
      <x:c r="M46" s="46" t="n">
        <x:v>657.528</x:v>
      </x:c>
      <x:c r="N46" s="46" t="n">
        <x:v>1.24825</x:v>
      </x:c>
      <x:c r="O46" s="46" t="str">
        <x:v>NIST2020 RI DB-WAX + Vocal GC-IMS library workflow</x:v>
      </x:c>
      <x:c r="P46" s="46"/>
      <x:c r="Q46" s="46" t="str">
        <x:v>ri_rt_drift_cas_reported_no_match_factor</x:v>
      </x:c>
      <x:c r="R46" s="46" t="str">
        <x:v>19.86±4.91</x:v>
      </x:c>
      <x:c r="S46" s="46" t="n">
        <x:v>19.86</x:v>
      </x:c>
      <x:c r="T46" s="46" t="str">
        <x:v>source table labels metric as relative content (%)</x:v>
      </x:c>
      <x:c r="U46" s="46" t="str">
        <x:v>detected_full_table</x:v>
      </x:c>
      <x:c r="V46" s="46" t="str">
        <x:v>positive_culinary_candidate</x:v>
      </x:c>
      <x:c r="W46" s="46" t="str">
        <x:v>Added sugar/salt/MSG are a process overlay; do not attribute every detected or high-abundance compound to intrinsic cod chemistry.</x:v>
      </x:c>
    </x:row>
    <x:row r="47" ht="26.399999618530273" hidden="0" customHeight="1">
      <x:c r="A47" s="46" t="str">
        <x:v>DFC-BAKE-046</x:v>
      </x:c>
      <x:c r="B47" s="46" t="str">
        <x:v>fish:atlantic_cod</x:v>
      </x:c>
      <x:c r="C47" s="46" t="str">
        <x:v>family:seafood_finfish</x:v>
      </x:c>
      <x:c r="D47" s="46" t="str">
        <x:v>baked / iron-plate roasted commercial fillet</x:v>
      </x:c>
      <x:c r="E47" s="46" t="str">
        <x:v>cod fillet + sugar + salt + MSG</x:v>
      </x:c>
      <x:c r="F47" s="46" t="str">
        <x:v>SRC-FISH-COD-BAKED-001</x:v>
      </x:c>
      <x:c r="G47" s="46" t="str">
        <x:v>Ketones</x:v>
      </x:c>
      <x:c r="H47" s="46" t="str">
        <x:v>Ketones</x:v>
      </x:c>
      <x:c r="I47" s="46" t="str">
        <x:v>3-己酮</x:v>
      </x:c>
      <x:c r="J47" s="46" t="str">
        <x:v>3-hexanone</x:v>
      </x:c>
      <x:c r="K47" s="46" t="str">
        <x:v>589-38-8</x:v>
      </x:c>
      <x:c r="L47" s="46" t="n">
        <x:v>1049.5</x:v>
      </x:c>
      <x:c r="M47" s="46" t="n">
        <x:v>1104.316</x:v>
      </x:c>
      <x:c r="N47" s="46" t="n">
        <x:v>1.18378</x:v>
      </x:c>
      <x:c r="O47" s="46" t="str">
        <x:v>NIST2020 RI DB-WAX + Vocal GC-IMS library workflow</x:v>
      </x:c>
      <x:c r="P47" s="46"/>
      <x:c r="Q47" s="46" t="str">
        <x:v>ri_rt_drift_cas_reported_no_match_factor</x:v>
      </x:c>
      <x:c r="R47" s="46" t="str">
        <x:v>242.39±17.20</x:v>
      </x:c>
      <x:c r="S47" s="46" t="n">
        <x:v>242.39</x:v>
      </x:c>
      <x:c r="T47" s="46" t="str">
        <x:v>source table labels metric as relative content (%)</x:v>
      </x:c>
      <x:c r="U47" s="46" t="str">
        <x:v>detected_full_table</x:v>
      </x:c>
      <x:c r="V47" s="46" t="str">
        <x:v>positive_culinary_candidate</x:v>
      </x:c>
      <x:c r="W47" s="46" t="str">
        <x:v>Added sugar/salt/MSG are a process overlay; do not attribute every detected or high-abundance compound to intrinsic cod chemistry.</x:v>
      </x:c>
    </x:row>
    <x:row r="48" ht="26.399999618530273" hidden="0" customHeight="1">
      <x:c r="A48" s="46" t="str">
        <x:v>DFC-BAKE-047</x:v>
      </x:c>
      <x:c r="B48" s="46" t="str">
        <x:v>fish:atlantic_cod</x:v>
      </x:c>
      <x:c r="C48" s="46" t="str">
        <x:v>family:seafood_finfish</x:v>
      </x:c>
      <x:c r="D48" s="46" t="str">
        <x:v>baked / iron-plate roasted commercial fillet</x:v>
      </x:c>
      <x:c r="E48" s="46" t="str">
        <x:v>cod fillet + sugar + salt + MSG</x:v>
      </x:c>
      <x:c r="F48" s="46" t="str">
        <x:v>SRC-FISH-COD-BAKED-001</x:v>
      </x:c>
      <x:c r="G48" s="46" t="str">
        <x:v>Ketones</x:v>
      </x:c>
      <x:c r="H48" s="46" t="str">
        <x:v>Ketones</x:v>
      </x:c>
      <x:c r="I48" s="46" t="str">
        <x:v>2-戊酮</x:v>
      </x:c>
      <x:c r="J48" s="46" t="str">
        <x:v>2-pentanone</x:v>
      </x:c>
      <x:c r="K48" s="46" t="str">
        <x:v>107-87-9</x:v>
      </x:c>
      <x:c r="L48" s="46" t="n">
        <x:v>989.5</x:v>
      </x:c>
      <x:c r="M48" s="46" t="n">
        <x:v>976.799</x:v>
      </x:c>
      <x:c r="N48" s="46" t="n">
        <x:v>1.27041</x:v>
      </x:c>
      <x:c r="O48" s="46" t="str">
        <x:v>NIST2020 RI DB-WAX + Vocal GC-IMS library workflow</x:v>
      </x:c>
      <x:c r="P48" s="46"/>
      <x:c r="Q48" s="46" t="str">
        <x:v>ri_rt_drift_cas_reported_no_match_factor</x:v>
      </x:c>
      <x:c r="R48" s="46" t="str">
        <x:v>1415.32±42.37</x:v>
      </x:c>
      <x:c r="S48" s="46" t="n">
        <x:v>1415.32</x:v>
      </x:c>
      <x:c r="T48" s="46" t="str">
        <x:v>source table labels metric as relative content (%)</x:v>
      </x:c>
      <x:c r="U48" s="46" t="str">
        <x:v>detected_full_table</x:v>
      </x:c>
      <x:c r="V48" s="46" t="str">
        <x:v>positive_culinary_candidate</x:v>
      </x:c>
      <x:c r="W48" s="46" t="str">
        <x:v>Added sugar/salt/MSG are a process overlay; do not attribute every detected or high-abundance compound to intrinsic cod chemistry.</x:v>
      </x:c>
    </x:row>
    <x:row r="49" ht="26.399999618530273" hidden="0" customHeight="1">
      <x:c r="A49" s="46" t="str">
        <x:v>DFC-BAKE-048</x:v>
      </x:c>
      <x:c r="B49" s="46" t="str">
        <x:v>fish:atlantic_cod</x:v>
      </x:c>
      <x:c r="C49" s="46" t="str">
        <x:v>family:seafood_finfish</x:v>
      </x:c>
      <x:c r="D49" s="46" t="str">
        <x:v>baked / iron-plate roasted commercial fillet</x:v>
      </x:c>
      <x:c r="E49" s="46" t="str">
        <x:v>cod fillet + sugar + salt + MSG</x:v>
      </x:c>
      <x:c r="F49" s="46" t="str">
        <x:v>SRC-FISH-COD-BAKED-001</x:v>
      </x:c>
      <x:c r="G49" s="46" t="str">
        <x:v>Ketones</x:v>
      </x:c>
      <x:c r="H49" s="46" t="str">
        <x:v>Ketones</x:v>
      </x:c>
      <x:c r="I49" s="46" t="str">
        <x:v>2,3-丁二酮</x:v>
      </x:c>
      <x:c r="J49" s="46" t="str">
        <x:v>2,3-butanedione</x:v>
      </x:c>
      <x:c r="K49" s="46" t="str">
        <x:v>431-03-8</x:v>
      </x:c>
      <x:c r="L49" s="46" t="n">
        <x:v>989.5</x:v>
      </x:c>
      <x:c r="M49" s="46" t="n">
        <x:v>976.78</x:v>
      </x:c>
      <x:c r="N49" s="46" t="n">
        <x:v>1.55636</x:v>
      </x:c>
      <x:c r="O49" s="46" t="str">
        <x:v>NIST2020 RI DB-WAX + Vocal GC-IMS library workflow</x:v>
      </x:c>
      <x:c r="P49" s="46"/>
      <x:c r="Q49" s="46" t="str">
        <x:v>ri_rt_drift_cas_reported_no_match_factor</x:v>
      </x:c>
      <x:c r="R49" s="46" t="str">
        <x:v>91.71±3.87</x:v>
      </x:c>
      <x:c r="S49" s="46" t="n">
        <x:v>91.71</x:v>
      </x:c>
      <x:c r="T49" s="46" t="str">
        <x:v>source table labels metric as relative content (%)</x:v>
      </x:c>
      <x:c r="U49" s="46" t="str">
        <x:v>detected_full_table</x:v>
      </x:c>
      <x:c r="V49" s="46" t="str">
        <x:v>positive_culinary_candidate</x:v>
      </x:c>
      <x:c r="W49" s="46" t="str">
        <x:v>Added sugar/salt/MSG are a process overlay; do not attribute every detected or high-abundance compound to intrinsic cod chemistry.</x:v>
      </x:c>
    </x:row>
    <x:row r="50" ht="26.399999618530273" hidden="0" customHeight="1">
      <x:c r="A50" s="46" t="str">
        <x:v>DFC-BAKE-049</x:v>
      </x:c>
      <x:c r="B50" s="46" t="str">
        <x:v>fish:atlantic_cod</x:v>
      </x:c>
      <x:c r="C50" s="46" t="str">
        <x:v>family:seafood_finfish</x:v>
      </x:c>
      <x:c r="D50" s="46" t="str">
        <x:v>baked / iron-plate roasted commercial fillet</x:v>
      </x:c>
      <x:c r="E50" s="46" t="str">
        <x:v>cod fillet + sugar + salt + MSG</x:v>
      </x:c>
      <x:c r="F50" s="46" t="str">
        <x:v>SRC-FISH-COD-BAKED-001</x:v>
      </x:c>
      <x:c r="G50" s="46" t="str">
        <x:v>Ketones</x:v>
      </x:c>
      <x:c r="H50" s="46" t="str">
        <x:v>Ketones</x:v>
      </x:c>
      <x:c r="I50" s="46" t="str">
        <x:v>2,3-戊二酮</x:v>
      </x:c>
      <x:c r="J50" s="46" t="str">
        <x:v>2,3-pentanedione</x:v>
      </x:c>
      <x:c r="K50" s="46" t="str">
        <x:v>600-14-6</x:v>
      </x:c>
      <x:c r="L50" s="46" t="n">
        <x:v>1063.1</x:v>
      </x:c>
      <x:c r="M50" s="46" t="n">
        <x:v>1134.124</x:v>
      </x:c>
      <x:c r="N50" s="46" t="n">
        <x:v>0.94027</x:v>
      </x:c>
      <x:c r="O50" s="46" t="str">
        <x:v>NIST2020 RI DB-WAX + Vocal GC-IMS library workflow</x:v>
      </x:c>
      <x:c r="P50" s="46"/>
      <x:c r="Q50" s="46" t="str">
        <x:v>ri_rt_drift_cas_reported_no_match_factor</x:v>
      </x:c>
      <x:c r="R50" s="46" t="str">
        <x:v>448.59±16.46</x:v>
      </x:c>
      <x:c r="S50" s="46" t="n">
        <x:v>448.59</x:v>
      </x:c>
      <x:c r="T50" s="46" t="str">
        <x:v>source table labels metric as relative content (%)</x:v>
      </x:c>
      <x:c r="U50" s="46" t="str">
        <x:v>cod_key_or_shared_marker</x:v>
      </x:c>
      <x:c r="V50" s="46" t="str">
        <x:v>positive_culinary_candidate</x:v>
      </x:c>
      <x:c r="W50" s="46" t="str">
        <x:v>Added sugar/salt/MSG are a process overlay; do not attribute every detected or high-abundance compound to intrinsic cod chemistry.</x:v>
      </x:c>
    </x:row>
    <x:row r="51" ht="26.399999618530273" hidden="0" customHeight="1">
      <x:c r="A51" s="46" t="str">
        <x:v>DFC-BAKE-050</x:v>
      </x:c>
      <x:c r="B51" s="46" t="str">
        <x:v>fish:atlantic_cod</x:v>
      </x:c>
      <x:c r="C51" s="46" t="str">
        <x:v>family:seafood_finfish</x:v>
      </x:c>
      <x:c r="D51" s="46" t="str">
        <x:v>baked / iron-plate roasted commercial fillet</x:v>
      </x:c>
      <x:c r="E51" s="46" t="str">
        <x:v>cod fillet + sugar + salt + MSG</x:v>
      </x:c>
      <x:c r="F51" s="46" t="str">
        <x:v>SRC-FISH-COD-BAKED-001</x:v>
      </x:c>
      <x:c r="G51" s="46" t="str">
        <x:v>Ketones</x:v>
      </x:c>
      <x:c r="H51" s="46" t="str">
        <x:v>Ketones</x:v>
      </x:c>
      <x:c r="I51" s="46" t="str">
        <x:v>2-丁酮</x:v>
      </x:c>
      <x:c r="J51" s="46" t="str">
        <x:v>2-butanone</x:v>
      </x:c>
      <x:c r="K51" s="46" t="str">
        <x:v>78-93-3</x:v>
      </x:c>
      <x:c r="L51" s="46" t="n">
        <x:v>920.8</x:v>
      </x:c>
      <x:c r="M51" s="46" t="n">
        <x:v>816.634</x:v>
      </x:c>
      <x:c r="N51" s="46" t="n">
        <x:v>1.04043</x:v>
      </x:c>
      <x:c r="O51" s="46" t="str">
        <x:v>NIST2020 RI DB-WAX + Vocal GC-IMS library workflow</x:v>
      </x:c>
      <x:c r="P51" s="46"/>
      <x:c r="Q51" s="46" t="str">
        <x:v>ri_rt_drift_cas_reported_no_match_factor</x:v>
      </x:c>
      <x:c r="R51" s="46" t="str">
        <x:v>88.64±13.41</x:v>
      </x:c>
      <x:c r="S51" s="46" t="n">
        <x:v>88.64</x:v>
      </x:c>
      <x:c r="T51" s="46" t="str">
        <x:v>source table labels metric as relative content (%)</x:v>
      </x:c>
      <x:c r="U51" s="46" t="str">
        <x:v>detected_full_table</x:v>
      </x:c>
      <x:c r="V51" s="46" t="str">
        <x:v>positive_culinary_candidate</x:v>
      </x:c>
      <x:c r="W51" s="46" t="str">
        <x:v>Added sugar/salt/MSG are a process overlay; do not attribute every detected or high-abundance compound to intrinsic cod chemistry.</x:v>
      </x:c>
    </x:row>
    <x:row r="52" ht="26.399999618530273" hidden="0" customHeight="1">
      <x:c r="A52" s="46" t="str">
        <x:v>DFC-BAKE-051</x:v>
      </x:c>
      <x:c r="B52" s="46" t="str">
        <x:v>fish:atlantic_cod</x:v>
      </x:c>
      <x:c r="C52" s="46" t="str">
        <x:v>family:seafood_finfish</x:v>
      </x:c>
      <x:c r="D52" s="46" t="str">
        <x:v>baked / iron-plate roasted commercial fillet</x:v>
      </x:c>
      <x:c r="E52" s="46" t="str">
        <x:v>cod fillet + sugar + salt + MSG</x:v>
      </x:c>
      <x:c r="F52" s="46" t="str">
        <x:v>SRC-FISH-COD-BAKED-001</x:v>
      </x:c>
      <x:c r="G52" s="46" t="str">
        <x:v>Ketones</x:v>
      </x:c>
      <x:c r="H52" s="46" t="str">
        <x:v>Ketones</x:v>
      </x:c>
      <x:c r="I52" s="46" t="str">
        <x:v>丙酮</x:v>
      </x:c>
      <x:c r="J52" s="46" t="str">
        <x:v>acetone</x:v>
      </x:c>
      <x:c r="K52" s="46" t="str">
        <x:v>67-64-1</x:v>
      </x:c>
      <x:c r="L52" s="46" t="n">
        <x:v>809.1</x:v>
      </x:c>
      <x:c r="M52" s="46" t="n">
        <x:v>610.657</x:v>
      </x:c>
      <x:c r="N52" s="46" t="n">
        <x:v>1.09507</x:v>
      </x:c>
      <x:c r="O52" s="46" t="str">
        <x:v>NIST2020 RI DB-WAX + Vocal GC-IMS library workflow</x:v>
      </x:c>
      <x:c r="P52" s="46"/>
      <x:c r="Q52" s="46" t="str">
        <x:v>ri_rt_drift_cas_reported_no_match_factor</x:v>
      </x:c>
      <x:c r="R52" s="46" t="str">
        <x:v>365.10±11.43</x:v>
      </x:c>
      <x:c r="S52" s="46" t="n">
        <x:v>365.1</x:v>
      </x:c>
      <x:c r="T52" s="46" t="str">
        <x:v>source table labels metric as relative content (%)</x:v>
      </x:c>
      <x:c r="U52" s="46" t="str">
        <x:v>detected_full_table</x:v>
      </x:c>
      <x:c r="V52" s="46" t="str">
        <x:v>positive_culinary_candidate</x:v>
      </x:c>
      <x:c r="W52" s="46" t="str">
        <x:v>Added sugar/salt/MSG are a process overlay; do not attribute every detected or high-abundance compound to intrinsic cod chemistry.</x:v>
      </x:c>
    </x:row>
    <x:row r="53" ht="26.399999618530273" hidden="0" customHeight="1">
      <x:c r="A53" s="46" t="str">
        <x:v>DFC-BAKE-052</x:v>
      </x:c>
      <x:c r="B53" s="46" t="str">
        <x:v>fish:atlantic_cod</x:v>
      </x:c>
      <x:c r="C53" s="46" t="str">
        <x:v>family:seafood_finfish</x:v>
      </x:c>
      <x:c r="D53" s="46" t="str">
        <x:v>baked / iron-plate roasted commercial fillet</x:v>
      </x:c>
      <x:c r="E53" s="46" t="str">
        <x:v>cod fillet + sugar + salt + MSG</x:v>
      </x:c>
      <x:c r="F53" s="46" t="str">
        <x:v>SRC-FISH-COD-BAKED-001</x:v>
      </x:c>
      <x:c r="G53" s="46" t="str">
        <x:v>Ethers (source table)</x:v>
      </x:c>
      <x:c r="H53" s="46" t="str">
        <x:v>Ethers</x:v>
      </x:c>
      <x:c r="I53" s="46" t="str">
        <x:v>苯甲醚</x:v>
      </x:c>
      <x:c r="J53" s="46" t="str">
        <x:v>anisole</x:v>
      </x:c>
      <x:c r="K53" s="46" t="str">
        <x:v>100-66-3</x:v>
      </x:c>
      <x:c r="L53" s="46" t="n">
        <x:v>1326.7</x:v>
      </x:c>
      <x:c r="M53" s="46" t="n">
        <x:v>1706.864</x:v>
      </x:c>
      <x:c r="N53" s="46" t="n">
        <x:v>1.05189</x:v>
      </x:c>
      <x:c r="O53" s="46" t="str">
        <x:v>NIST2020 RI DB-WAX + Vocal GC-IMS library workflow</x:v>
      </x:c>
      <x:c r="P53" s="46"/>
      <x:c r="Q53" s="46" t="str">
        <x:v>ri_rt_drift_cas_reported_no_match_factor</x:v>
      </x:c>
      <x:c r="R53" s="46" t="str">
        <x:v>28.97±2.46</x:v>
      </x:c>
      <x:c r="S53" s="46" t="n">
        <x:v>28.97</x:v>
      </x:c>
      <x:c r="T53" s="46" t="str">
        <x:v>source table labels metric as relative content (%)</x:v>
      </x:c>
      <x:c r="U53" s="46" t="str">
        <x:v>detected_full_table</x:v>
      </x:c>
      <x:c r="V53" s="46" t="str">
        <x:v>positive_culinary_candidate</x:v>
      </x:c>
      <x:c r="W53" s="46" t="str">
        <x:v>Added sugar/salt/MSG are a process overlay; do not attribute every detected or high-abundance compound to intrinsic cod chemistry.</x:v>
      </x:c>
    </x:row>
    <x:row r="54" ht="26.399999618530273" hidden="0" customHeight="1">
      <x:c r="A54" s="46" t="str">
        <x:v>DFC-BAKE-053</x:v>
      </x:c>
      <x:c r="B54" s="46" t="str">
        <x:v>fish:atlantic_cod</x:v>
      </x:c>
      <x:c r="C54" s="46" t="str">
        <x:v>family:seafood_finfish</x:v>
      </x:c>
      <x:c r="D54" s="46" t="str">
        <x:v>baked / iron-plate roasted commercial fillet</x:v>
      </x:c>
      <x:c r="E54" s="46" t="str">
        <x:v>cod fillet + sugar + salt + MSG</x:v>
      </x:c>
      <x:c r="F54" s="46" t="str">
        <x:v>SRC-FISH-COD-BAKED-001</x:v>
      </x:c>
      <x:c r="G54" s="46" t="str">
        <x:v>Ethers (source table)</x:v>
      </x:c>
      <x:c r="H54" s="46" t="str">
        <x:v>Sulfur compounds</x:v>
      </x:c>
      <x:c r="I54" s="46" t="str">
        <x:v>二烯丙基硫醚</x:v>
      </x:c>
      <x:c r="J54" s="46" t="str">
        <x:v>diallyl sulfide</x:v>
      </x:c>
      <x:c r="K54" s="46" t="str">
        <x:v>592-88-1</x:v>
      </x:c>
      <x:c r="L54" s="46" t="n">
        <x:v>1144</x:v>
      </x:c>
      <x:c r="M54" s="46" t="n">
        <x:v>1314.091</x:v>
      </x:c>
      <x:c r="N54" s="46" t="n">
        <x:v>1.14296</x:v>
      </x:c>
      <x:c r="O54" s="46" t="str">
        <x:v>NIST2020 RI DB-WAX + Vocal GC-IMS library workflow</x:v>
      </x:c>
      <x:c r="P54" s="46"/>
      <x:c r="Q54" s="46" t="str">
        <x:v>ri_rt_drift_cas_reported_no_match_factor</x:v>
      </x:c>
      <x:c r="R54" s="46" t="str">
        <x:v>229.99±3.64</x:v>
      </x:c>
      <x:c r="S54" s="46" t="n">
        <x:v>229.99</x:v>
      </x:c>
      <x:c r="T54" s="46" t="str">
        <x:v>source table labels metric as relative content (%)</x:v>
      </x:c>
      <x:c r="U54" s="46" t="str">
        <x:v>detected_full_table</x:v>
      </x:c>
      <x:c r="V54" s="46" t="str">
        <x:v>positive_culinary_candidate</x:v>
      </x:c>
      <x:c r="W54" s="46" t="str">
        <x:v>Added sugar/salt/MSG are a process overlay; do not attribute every detected or high-abundance compound to intrinsic cod chemistry.</x:v>
      </x:c>
    </x:row>
    <x:row r="55" ht="26.399999618530273" hidden="0" customHeight="1">
      <x:c r="A55" s="46" t="str">
        <x:v>DFC-BAKE-054</x:v>
      </x:c>
      <x:c r="B55" s="46" t="str">
        <x:v>fish:atlantic_cod</x:v>
      </x:c>
      <x:c r="C55" s="46" t="str">
        <x:v>family:seafood_finfish</x:v>
      </x:c>
      <x:c r="D55" s="46" t="str">
        <x:v>baked / iron-plate roasted commercial fillet</x:v>
      </x:c>
      <x:c r="E55" s="46" t="str">
        <x:v>cod fillet + sugar + salt + MSG</x:v>
      </x:c>
      <x:c r="F55" s="46" t="str">
        <x:v>SRC-FISH-COD-BAKED-001</x:v>
      </x:c>
      <x:c r="G55" s="46" t="str">
        <x:v>Ethers (source table)</x:v>
      </x:c>
      <x:c r="H55" s="46" t="str">
        <x:v>Sulfur compounds</x:v>
      </x:c>
      <x:c r="I55" s="46" t="str">
        <x:v>二甲基二硫醚</x:v>
      </x:c>
      <x:c r="J55" s="46" t="str">
        <x:v>dimethyl disulfide</x:v>
      </x:c>
      <x:c r="K55" s="46" t="str">
        <x:v>624-92-0</x:v>
      </x:c>
      <x:c r="L55" s="46" t="n">
        <x:v>1062.7</x:v>
      </x:c>
      <x:c r="M55" s="46" t="n">
        <x:v>1133.32</x:v>
      </x:c>
      <x:c r="N55" s="46" t="n">
        <x:v>1.31138</x:v>
      </x:c>
      <x:c r="O55" s="46" t="str">
        <x:v>NIST2020 RI DB-WAX + Vocal GC-IMS library workflow</x:v>
      </x:c>
      <x:c r="P55" s="46"/>
      <x:c r="Q55" s="46" t="str">
        <x:v>ri_rt_drift_cas_reported_no_match_factor</x:v>
      </x:c>
      <x:c r="R55" s="46" t="str">
        <x:v>6676.78±136.41</x:v>
      </x:c>
      <x:c r="S55" s="46" t="n">
        <x:v>6676.78</x:v>
      </x:c>
      <x:c r="T55" s="46" t="str">
        <x:v>source table labels metric as relative content (%)</x:v>
      </x:c>
      <x:c r="U55" s="46" t="str">
        <x:v>detected_full_table</x:v>
      </x:c>
      <x:c r="V55" s="46" t="str">
        <x:v>positive_culinary_candidate</x:v>
      </x:c>
      <x:c r="W55" s="46" t="str">
        <x:v>Added sugar/salt/MSG are a process overlay; do not attribute every detected or high-abundance compound to intrinsic cod chemistry.</x:v>
      </x:c>
    </x:row>
    <x:row r="56" ht="26.399999618530273" hidden="0" customHeight="1">
      <x:c r="A56" s="46" t="str">
        <x:v>DFC-BAKE-055</x:v>
      </x:c>
      <x:c r="B56" s="46" t="str">
        <x:v>fish:atlantic_cod</x:v>
      </x:c>
      <x:c r="C56" s="46" t="str">
        <x:v>family:seafood_finfish</x:v>
      </x:c>
      <x:c r="D56" s="46" t="str">
        <x:v>baked / iron-plate roasted commercial fillet</x:v>
      </x:c>
      <x:c r="E56" s="46" t="str">
        <x:v>cod fillet + sugar + salt + MSG</x:v>
      </x:c>
      <x:c r="F56" s="46" t="str">
        <x:v>SRC-FISH-COD-BAKED-001</x:v>
      </x:c>
      <x:c r="G56" s="46" t="str">
        <x:v>Ethers (source table)</x:v>
      </x:c>
      <x:c r="H56" s="46" t="str">
        <x:v>Ethers</x:v>
      </x:c>
      <x:c r="I56" s="46" t="str">
        <x:v>乙醚</x:v>
      </x:c>
      <x:c r="J56" s="46" t="str">
        <x:v>diethyl ether</x:v>
      </x:c>
      <x:c r="K56" s="46" t="str">
        <x:v>60-29-7</x:v>
      </x:c>
      <x:c r="L56" s="46" t="n">
        <x:v>602.3</x:v>
      </x:c>
      <x:c r="M56" s="46" t="n">
        <x:v>356.297</x:v>
      </x:c>
      <x:c r="N56" s="46" t="n">
        <x:v>0.94489</x:v>
      </x:c>
      <x:c r="O56" s="46" t="str">
        <x:v>NIST2020 RI DB-WAX + Vocal GC-IMS library workflow</x:v>
      </x:c>
      <x:c r="P56" s="46"/>
      <x:c r="Q56" s="46" t="str">
        <x:v>ri_rt_drift_cas_reported_no_match_factor</x:v>
      </x:c>
      <x:c r="R56" s="46" t="str">
        <x:v>289.06±7.29</x:v>
      </x:c>
      <x:c r="S56" s="46" t="n">
        <x:v>289.06</x:v>
      </x:c>
      <x:c r="T56" s="46" t="str">
        <x:v>source table labels metric as relative content (%)</x:v>
      </x:c>
      <x:c r="U56" s="46" t="str">
        <x:v>detected_full_table</x:v>
      </x:c>
      <x:c r="V56" s="46" t="str">
        <x:v>positive_culinary_candidate</x:v>
      </x:c>
      <x:c r="W56" s="46" t="str">
        <x:v>Added sugar/salt/MSG are a process overlay; do not attribute every detected or high-abundance compound to intrinsic cod chemistry.</x:v>
      </x:c>
    </x:row>
    <x:row r="57" ht="26.399999618530273" hidden="0" customHeight="1">
      <x:c r="A57" s="46" t="str">
        <x:v>DFC-BAKE-056</x:v>
      </x:c>
      <x:c r="B57" s="46" t="str">
        <x:v>fish:atlantic_cod</x:v>
      </x:c>
      <x:c r="C57" s="46" t="str">
        <x:v>family:seafood_finfish</x:v>
      </x:c>
      <x:c r="D57" s="46" t="str">
        <x:v>baked / iron-plate roasted commercial fillet</x:v>
      </x:c>
      <x:c r="E57" s="46" t="str">
        <x:v>cod fillet + sugar + salt + MSG</x:v>
      </x:c>
      <x:c r="F57" s="46" t="str">
        <x:v>SRC-FISH-COD-BAKED-001</x:v>
      </x:c>
      <x:c r="G57" s="46" t="str">
        <x:v>Aromatic hydrocarbons</x:v>
      </x:c>
      <x:c r="H57" s="46" t="str">
        <x:v>Aromatic hydrocarbons</x:v>
      </x:c>
      <x:c r="I57" s="46" t="str">
        <x:v>苯</x:v>
      </x:c>
      <x:c r="J57" s="46" t="str">
        <x:v>benzene</x:v>
      </x:c>
      <x:c r="K57" s="46" t="str">
        <x:v>71-43-2</x:v>
      </x:c>
      <x:c r="L57" s="46" t="n">
        <x:v>966.4</x:v>
      </x:c>
      <x:c r="M57" s="46" t="n">
        <x:v>919.566</x:v>
      </x:c>
      <x:c r="N57" s="46" t="n">
        <x:v>1.2459</x:v>
      </x:c>
      <x:c r="O57" s="46" t="str">
        <x:v>NIST2020 RI DB-WAX + Vocal GC-IMS library workflow</x:v>
      </x:c>
      <x:c r="P57" s="46"/>
      <x:c r="Q57" s="46" t="str">
        <x:v>ri_rt_drift_cas_reported_no_match_factor</x:v>
      </x:c>
      <x:c r="R57" s="46" t="str">
        <x:v>146.44±5.85</x:v>
      </x:c>
      <x:c r="S57" s="46" t="n">
        <x:v>146.44</x:v>
      </x:c>
      <x:c r="T57" s="46" t="str">
        <x:v>source table labels metric as relative content (%)</x:v>
      </x:c>
      <x:c r="U57" s="46" t="str">
        <x:v>detected_full_table</x:v>
      </x:c>
      <x:c r="V57" s="46" t="str">
        <x:v>positive_culinary_candidate</x:v>
      </x:c>
      <x:c r="W57" s="46" t="str">
        <x:v>Added sugar/salt/MSG are a process overlay; do not attribute every detected or high-abundance compound to intrinsic cod chemistry.</x:v>
      </x:c>
    </x:row>
    <x:row r="58" ht="26.399999618530273" hidden="0" customHeight="1">
      <x:c r="A58" s="46" t="str">
        <x:v>DFC-BAKE-057</x:v>
      </x:c>
      <x:c r="B58" s="46" t="str">
        <x:v>fish:atlantic_cod</x:v>
      </x:c>
      <x:c r="C58" s="46" t="str">
        <x:v>family:seafood_finfish</x:v>
      </x:c>
      <x:c r="D58" s="46" t="str">
        <x:v>baked / iron-plate roasted commercial fillet</x:v>
      </x:c>
      <x:c r="E58" s="46" t="str">
        <x:v>cod fillet + sugar + salt + MSG</x:v>
      </x:c>
      <x:c r="F58" s="46" t="str">
        <x:v>SRC-FISH-COD-BAKED-001</x:v>
      </x:c>
      <x:c r="G58" s="46" t="str">
        <x:v>Aromatic hydrocarbons</x:v>
      </x:c>
      <x:c r="H58" s="46" t="str">
        <x:v>Aromatic hydrocarbons</x:v>
      </x:c>
      <x:c r="I58" s="46" t="str">
        <x:v>乙苯</x:v>
      </x:c>
      <x:c r="J58" s="46" t="str">
        <x:v>ethylbenzene</x:v>
      </x:c>
      <x:c r="K58" s="46" t="str">
        <x:v>100-41-4</x:v>
      </x:c>
      <x:c r="L58" s="46" t="n">
        <x:v>1134.7</x:v>
      </x:c>
      <x:c r="M58" s="46" t="n">
        <x:v>1293.276</x:v>
      </x:c>
      <x:c r="N58" s="46" t="n">
        <x:v>1.78703</x:v>
      </x:c>
      <x:c r="O58" s="46" t="str">
        <x:v>NIST2020 RI DB-WAX + Vocal GC-IMS library workflow</x:v>
      </x:c>
      <x:c r="P58" s="46"/>
      <x:c r="Q58" s="46" t="str">
        <x:v>ri_rt_drift_cas_reported_no_match_factor</x:v>
      </x:c>
      <x:c r="R58" s="46" t="str">
        <x:v>98.52±6.05</x:v>
      </x:c>
      <x:c r="S58" s="46" t="n">
        <x:v>98.52</x:v>
      </x:c>
      <x:c r="T58" s="46" t="str">
        <x:v>source table labels metric as relative content (%)</x:v>
      </x:c>
      <x:c r="U58" s="46" t="str">
        <x:v>cod_key_or_shared_marker</x:v>
      </x:c>
      <x:c r="V58" s="46" t="str">
        <x:v>positive_culinary_candidate</x:v>
      </x:c>
      <x:c r="W58" s="46" t="str">
        <x:v>Added sugar/salt/MSG are a process overlay; do not attribute every detected or high-abundance compound to intrinsic cod chemistry.</x:v>
      </x:c>
    </x:row>
    <x:row r="59" ht="26.399999618530273" hidden="0" customHeight="1">
      <x:c r="A59" s="46" t="str">
        <x:v>DFC-BAKE-058</x:v>
      </x:c>
      <x:c r="B59" s="46" t="str">
        <x:v>fish:atlantic_cod</x:v>
      </x:c>
      <x:c r="C59" s="46" t="str">
        <x:v>family:seafood_finfish</x:v>
      </x:c>
      <x:c r="D59" s="46" t="str">
        <x:v>baked / iron-plate roasted commercial fillet</x:v>
      </x:c>
      <x:c r="E59" s="46" t="str">
        <x:v>cod fillet + sugar + salt + MSG</x:v>
      </x:c>
      <x:c r="F59" s="46" t="str">
        <x:v>SRC-FISH-COD-BAKED-001</x:v>
      </x:c>
      <x:c r="G59" s="46" t="str">
        <x:v>Aromatic hydrocarbons</x:v>
      </x:c>
      <x:c r="H59" s="46" t="str">
        <x:v>Aromatic hydrocarbons</x:v>
      </x:c>
      <x:c r="I59" s="46" t="str">
        <x:v>甲苯</x:v>
      </x:c>
      <x:c r="J59" s="46" t="str">
        <x:v>toluene</x:v>
      </x:c>
      <x:c r="K59" s="46" t="str">
        <x:v>108-88-3</x:v>
      </x:c>
      <x:c r="L59" s="46" t="n">
        <x:v>1040.1</x:v>
      </x:c>
      <x:c r="M59" s="46" t="n">
        <x:v>1084.201</x:v>
      </x:c>
      <x:c r="N59" s="46" t="n">
        <x:v>1.28705</x:v>
      </x:c>
      <x:c r="O59" s="46" t="str">
        <x:v>NIST2020 RI DB-WAX + Vocal GC-IMS library workflow</x:v>
      </x:c>
      <x:c r="P59" s="46"/>
      <x:c r="Q59" s="46" t="str">
        <x:v>ri_rt_drift_cas_reported_no_match_factor</x:v>
      </x:c>
      <x:c r="R59" s="46" t="str">
        <x:v>26.34±1.08</x:v>
      </x:c>
      <x:c r="S59" s="46" t="n">
        <x:v>26.34</x:v>
      </x:c>
      <x:c r="T59" s="46" t="str">
        <x:v>source table labels metric as relative content (%)</x:v>
      </x:c>
      <x:c r="U59" s="46" t="str">
        <x:v>detected_full_table</x:v>
      </x:c>
      <x:c r="V59" s="46" t="str">
        <x:v>positive_culinary_candidate</x:v>
      </x:c>
      <x:c r="W59" s="46" t="str">
        <x:v>Added sugar/salt/MSG are a process overlay; do not attribute every detected or high-abundance compound to intrinsic cod chemistry.</x:v>
      </x:c>
    </x:row>
    <x:row r="60" ht="26.399999618530273" hidden="0" customHeight="1">
      <x:c r="A60" s="46" t="str">
        <x:v>DFC-BAKE-059</x:v>
      </x:c>
      <x:c r="B60" s="46" t="str">
        <x:v>fish:atlantic_cod</x:v>
      </x:c>
      <x:c r="C60" s="46" t="str">
        <x:v>family:seafood_finfish</x:v>
      </x:c>
      <x:c r="D60" s="46" t="str">
        <x:v>baked / iron-plate roasted commercial fillet</x:v>
      </x:c>
      <x:c r="E60" s="46" t="str">
        <x:v>cod fillet + sugar + salt + MSG</x:v>
      </x:c>
      <x:c r="F60" s="46" t="str">
        <x:v>SRC-FISH-COD-BAKED-001</x:v>
      </x:c>
      <x:c r="G60" s="46" t="str">
        <x:v>Aromatic hydrocarbons</x:v>
      </x:c>
      <x:c r="H60" s="46" t="str">
        <x:v>Aromatic hydrocarbons</x:v>
      </x:c>
      <x:c r="I60" s="46" t="str">
        <x:v>邻二甲苯</x:v>
      </x:c>
      <x:c r="J60" s="46" t="str">
        <x:v>o-xylene</x:v>
      </x:c>
      <x:c r="K60" s="46" t="str">
        <x:v>95-47-6</x:v>
      </x:c>
      <x:c r="L60" s="46" t="n">
        <x:v>1187.4</x:v>
      </x:c>
      <x:c r="M60" s="46" t="n">
        <x:v>1416.08</x:v>
      </x:c>
      <x:c r="N60" s="46" t="n">
        <x:v>1.07308</x:v>
      </x:c>
      <x:c r="O60" s="46" t="str">
        <x:v>NIST2020 RI DB-WAX + Vocal GC-IMS library workflow</x:v>
      </x:c>
      <x:c r="P60" s="46"/>
      <x:c r="Q60" s="46" t="str">
        <x:v>ri_rt_drift_cas_reported_no_match_factor</x:v>
      </x:c>
      <x:c r="R60" s="46" t="str">
        <x:v>46.11±12.76</x:v>
      </x:c>
      <x:c r="S60" s="46" t="n">
        <x:v>46.11</x:v>
      </x:c>
      <x:c r="T60" s="46" t="str">
        <x:v>source table labels metric as relative content (%)</x:v>
      </x:c>
      <x:c r="U60" s="46" t="str">
        <x:v>detected_full_table</x:v>
      </x:c>
      <x:c r="V60" s="46" t="str">
        <x:v>positive_culinary_candidate</x:v>
      </x:c>
      <x:c r="W60" s="46" t="str">
        <x:v>Added sugar/salt/MSG are a process overlay; do not attribute every detected or high-abundance compound to intrinsic cod chemistry.</x:v>
      </x:c>
    </x:row>
    <x:row r="61" ht="26.399999618530273" hidden="0" customHeight="1">
      <x:c r="A61" s="46" t="str">
        <x:v>DFC-BAKE-060</x:v>
      </x:c>
      <x:c r="B61" s="46" t="str">
        <x:v>fish:atlantic_cod</x:v>
      </x:c>
      <x:c r="C61" s="46" t="str">
        <x:v>family:seafood_finfish</x:v>
      </x:c>
      <x:c r="D61" s="46" t="str">
        <x:v>baked / iron-plate roasted commercial fillet</x:v>
      </x:c>
      <x:c r="E61" s="46" t="str">
        <x:v>cod fillet + sugar + salt + MSG</x:v>
      </x:c>
      <x:c r="F61" s="46" t="str">
        <x:v>SRC-FISH-COD-BAKED-001</x:v>
      </x:c>
      <x:c r="G61" s="46" t="str">
        <x:v>Sulfur compounds</x:v>
      </x:c>
      <x:c r="H61" s="46" t="str">
        <x:v>Sulfur compounds</x:v>
      </x:c>
      <x:c r="I61" s="46" t="str">
        <x:v>环硫乙烷</x:v>
      </x:c>
      <x:c r="J61" s="46" t="str">
        <x:v>ethylene sulfide</x:v>
      </x:c>
      <x:c r="K61" s="46" t="str">
        <x:v>420-12-2</x:v>
      </x:c>
      <x:c r="L61" s="46" t="n">
        <x:v>897.8</x:v>
      </x:c>
      <x:c r="M61" s="46" t="n">
        <x:v>769.17</x:v>
      </x:c>
      <x:c r="N61" s="46" t="n">
        <x:v>1.38506</x:v>
      </x:c>
      <x:c r="O61" s="46" t="str">
        <x:v>NIST2020 RI DB-WAX + Vocal GC-IMS library workflow</x:v>
      </x:c>
      <x:c r="P61" s="46"/>
      <x:c r="Q61" s="46" t="str">
        <x:v>ri_rt_drift_cas_reported_no_match_factor</x:v>
      </x:c>
      <x:c r="R61" s="46" t="str">
        <x:v>1459.80±181.92</x:v>
      </x:c>
      <x:c r="S61" s="46" t="n">
        <x:v>1459.8</x:v>
      </x:c>
      <x:c r="T61" s="46" t="str">
        <x:v>source table labels metric as relative content (%)</x:v>
      </x:c>
      <x:c r="U61" s="46" t="str">
        <x:v>detected_full_table</x:v>
      </x:c>
      <x:c r="V61" s="46" t="str">
        <x:v>positive_culinary_candidate</x:v>
      </x:c>
      <x:c r="W61" s="46" t="str">
        <x:v>Added sugar/salt/MSG are a process overlay; do not attribute every detected or high-abundance compound to intrinsic cod chemistry.</x:v>
      </x:c>
    </x:row>
    <x:row r="62" ht="26.399999618530273" hidden="0" customHeight="1">
      <x:c r="A62" s="46" t="str">
        <x:v>DFC-BAKE-061</x:v>
      </x:c>
      <x:c r="B62" s="46" t="str">
        <x:v>fish:atlantic_cod</x:v>
      </x:c>
      <x:c r="C62" s="46" t="str">
        <x:v>family:seafood_finfish</x:v>
      </x:c>
      <x:c r="D62" s="46" t="str">
        <x:v>baked / iron-plate roasted commercial fillet</x:v>
      </x:c>
      <x:c r="E62" s="46" t="str">
        <x:v>cod fillet + sugar + salt + MSG</x:v>
      </x:c>
      <x:c r="F62" s="46" t="str">
        <x:v>SRC-FISH-COD-BAKED-001</x:v>
      </x:c>
      <x:c r="G62" s="46" t="str">
        <x:v>Sulfur compounds</x:v>
      </x:c>
      <x:c r="H62" s="46" t="str">
        <x:v>Sulfur compounds</x:v>
      </x:c>
      <x:c r="I62" s="46" t="str">
        <x:v>二甲基硫</x:v>
      </x:c>
      <x:c r="J62" s="46" t="str">
        <x:v>dimethyl sulfide</x:v>
      </x:c>
      <x:c r="K62" s="46" t="str">
        <x:v>75-18-3</x:v>
      </x:c>
      <x:c r="L62" s="46" t="n">
        <x:v>744.9</x:v>
      </x:c>
      <x:c r="M62" s="46" t="n">
        <x:v>516.557</x:v>
      </x:c>
      <x:c r="N62" s="46" t="n">
        <x:v>1.1177</x:v>
      </x:c>
      <x:c r="O62" s="46" t="str">
        <x:v>NIST2020 RI DB-WAX + Vocal GC-IMS library workflow</x:v>
      </x:c>
      <x:c r="P62" s="46"/>
      <x:c r="Q62" s="46" t="str">
        <x:v>ri_rt_drift_cas_reported_no_match_factor</x:v>
      </x:c>
      <x:c r="R62" s="46" t="str">
        <x:v>90.90±24.48</x:v>
      </x:c>
      <x:c r="S62" s="46" t="n">
        <x:v>90.9</x:v>
      </x:c>
      <x:c r="T62" s="46" t="str">
        <x:v>source table labels metric as relative content (%)</x:v>
      </x:c>
      <x:c r="U62" s="46" t="str">
        <x:v>detected_full_table</x:v>
      </x:c>
      <x:c r="V62" s="46" t="str">
        <x:v>positive_culinary_candidate</x:v>
      </x:c>
      <x:c r="W62" s="46" t="str">
        <x:v>Added sugar/salt/MSG are a process overlay; do not attribute every detected or high-abundance compound to intrinsic cod chemistry.</x:v>
      </x:c>
    </x:row>
    <x:row r="63" ht="26.399999618530273" hidden="0" customHeight="1">
      <x:c r="A63" s="46" t="str">
        <x:v>DFC-BAKE-062</x:v>
      </x:c>
      <x:c r="B63" s="46" t="str">
        <x:v>fish:atlantic_cod</x:v>
      </x:c>
      <x:c r="C63" s="46" t="str">
        <x:v>family:seafood_finfish</x:v>
      </x:c>
      <x:c r="D63" s="46" t="str">
        <x:v>baked / iron-plate roasted commercial fillet</x:v>
      </x:c>
      <x:c r="E63" s="46" t="str">
        <x:v>cod fillet + sugar + salt + MSG</x:v>
      </x:c>
      <x:c r="F63" s="46" t="str">
        <x:v>SRC-FISH-COD-BAKED-001</x:v>
      </x:c>
      <x:c r="G63" s="46" t="str">
        <x:v>Furans</x:v>
      </x:c>
      <x:c r="H63" s="46" t="str">
        <x:v>Furans</x:v>
      </x:c>
      <x:c r="I63" s="46" t="str">
        <x:v>2-乙基呋喃</x:v>
      </x:c>
      <x:c r="J63" s="46" t="str">
        <x:v>2-ethylfuran</x:v>
      </x:c>
      <x:c r="K63" s="46" t="str">
        <x:v>3208-16-0</x:v>
      </x:c>
      <x:c r="L63" s="46" t="n">
        <x:v>952.8</x:v>
      </x:c>
      <x:c r="M63" s="46" t="n">
        <x:v>887.729</x:v>
      </x:c>
      <x:c r="N63" s="46" t="n">
        <x:v>1.19126</x:v>
      </x:c>
      <x:c r="O63" s="46" t="str">
        <x:v>NIST2020 RI DB-WAX + Vocal GC-IMS library workflow</x:v>
      </x:c>
      <x:c r="P63" s="46"/>
      <x:c r="Q63" s="46" t="str">
        <x:v>ri_rt_drift_cas_reported_no_match_factor</x:v>
      </x:c>
      <x:c r="R63" s="46" t="str">
        <x:v>366.70±3.75</x:v>
      </x:c>
      <x:c r="S63" s="46" t="n">
        <x:v>366.7</x:v>
      </x:c>
      <x:c r="T63" s="46" t="str">
        <x:v>source table labels metric as relative content (%)</x:v>
      </x:c>
      <x:c r="U63" s="46" t="str">
        <x:v>cod_key_or_shared_marker</x:v>
      </x:c>
      <x:c r="V63" s="46" t="str">
        <x:v>positive_culinary_candidate</x:v>
      </x:c>
      <x:c r="W63" s="46" t="str">
        <x:v>Added sugar/salt/MSG are a process overlay; do not attribute every detected or high-abundance compound to intrinsic cod chemistry.</x:v>
      </x:c>
    </x:row>
    <x:row r="64" ht="26.399999618530273" hidden="0" customHeight="1">
      <x:c r="A64" s="46" t="str">
        <x:v>DFC-BAKE-063</x:v>
      </x:c>
      <x:c r="B64" s="46" t="str">
        <x:v>fish:atlantic_cod</x:v>
      </x:c>
      <x:c r="C64" s="46" t="str">
        <x:v>family:seafood_finfish</x:v>
      </x:c>
      <x:c r="D64" s="46" t="str">
        <x:v>baked / iron-plate roasted commercial fillet</x:v>
      </x:c>
      <x:c r="E64" s="46" t="str">
        <x:v>cod fillet + sugar + salt + MSG</x:v>
      </x:c>
      <x:c r="F64" s="46" t="str">
        <x:v>SRC-FISH-COD-BAKED-001</x:v>
      </x:c>
      <x:c r="G64" s="46" t="str">
        <x:v>Furans</x:v>
      </x:c>
      <x:c r="H64" s="46" t="str">
        <x:v>Furans</x:v>
      </x:c>
      <x:c r="I64" s="46" t="str">
        <x:v>2,5-二甲基呋喃</x:v>
      </x:c>
      <x:c r="J64" s="46" t="str">
        <x:v>2,5-dimethylfuran</x:v>
      </x:c>
      <x:c r="K64" s="46" t="str">
        <x:v>625-86-5</x:v>
      </x:c>
      <x:c r="L64" s="46" t="n">
        <x:v>952.9</x:v>
      </x:c>
      <x:c r="M64" s="46" t="n">
        <x:v>887.897</x:v>
      </x:c>
      <x:c r="N64" s="46" t="n">
        <x:v>1.25068</x:v>
      </x:c>
      <x:c r="O64" s="46" t="str">
        <x:v>NIST2020 RI DB-WAX + Vocal GC-IMS library workflow</x:v>
      </x:c>
      <x:c r="P64" s="46"/>
      <x:c r="Q64" s="46" t="str">
        <x:v>ri_rt_drift_cas_reported_no_match_factor</x:v>
      </x:c>
      <x:c r="R64" s="46" t="str">
        <x:v>290.99±41.35</x:v>
      </x:c>
      <x:c r="S64" s="46" t="n">
        <x:v>290.99</x:v>
      </x:c>
      <x:c r="T64" s="46" t="str">
        <x:v>source table labels metric as relative content (%)</x:v>
      </x:c>
      <x:c r="U64" s="46" t="str">
        <x:v>detected_full_table</x:v>
      </x:c>
      <x:c r="V64" s="46" t="str">
        <x:v>positive_culinary_candidate</x:v>
      </x:c>
      <x:c r="W64" s="46" t="str">
        <x:v>Added sugar/salt/MSG are a process overlay; do not attribute every detected or high-abundance compound to intrinsic cod chemistry.</x:v>
      </x:c>
    </x:row>
    <x:row r="65" ht="26.399999618530273" hidden="0" customHeight="1">
      <x:c r="A65" s="46" t="str">
        <x:v>DFC-BAKE-064</x:v>
      </x:c>
      <x:c r="B65" s="46" t="str">
        <x:v>fish:atlantic_cod</x:v>
      </x:c>
      <x:c r="C65" s="46" t="str">
        <x:v>family:seafood_finfish</x:v>
      </x:c>
      <x:c r="D65" s="46" t="str">
        <x:v>baked / iron-plate roasted commercial fillet</x:v>
      </x:c>
      <x:c r="E65" s="46" t="str">
        <x:v>cod fillet + sugar + salt + MSG</x:v>
      </x:c>
      <x:c r="F65" s="46" t="str">
        <x:v>SRC-FISH-COD-BAKED-001</x:v>
      </x:c>
      <x:c r="G65" s="46" t="str">
        <x:v>Furans</x:v>
      </x:c>
      <x:c r="H65" s="46" t="str">
        <x:v>Furans</x:v>
      </x:c>
      <x:c r="I65" s="46" t="str">
        <x:v>呋喃</x:v>
      </x:c>
      <x:c r="J65" s="46" t="str">
        <x:v>furan</x:v>
      </x:c>
      <x:c r="K65" s="46" t="str">
        <x:v>110-00-9</x:v>
      </x:c>
      <x:c r="L65" s="46" t="n">
        <x:v>799.1</x:v>
      </x:c>
      <x:c r="M65" s="46" t="n">
        <x:v>594.884</x:v>
      </x:c>
      <x:c r="N65" s="46" t="n">
        <x:v>1.13316</x:v>
      </x:c>
      <x:c r="O65" s="46" t="str">
        <x:v>NIST2020 RI DB-WAX + Vocal GC-IMS library workflow</x:v>
      </x:c>
      <x:c r="P65" s="46"/>
      <x:c r="Q65" s="46" t="str">
        <x:v>ri_rt_drift_cas_reported_no_match_factor</x:v>
      </x:c>
      <x:c r="R65" s="46" t="str">
        <x:v>941.35±44.26</x:v>
      </x:c>
      <x:c r="S65" s="46" t="n">
        <x:v>941.35</x:v>
      </x:c>
      <x:c r="T65" s="46" t="str">
        <x:v>source table labels metric as relative content (%)</x:v>
      </x:c>
      <x:c r="U65" s="46" t="str">
        <x:v>detected_full_table</x:v>
      </x:c>
      <x:c r="V65" s="46" t="str">
        <x:v>positive_culinary_candidate</x:v>
      </x:c>
      <x:c r="W65" s="46" t="str">
        <x:v>Added sugar/salt/MSG are a process overlay; do not attribute every detected or high-abundance compound to intrinsic cod chemistry.</x:v>
      </x:c>
    </x:row>
    <x:row r="66" ht="26.399999618530273" hidden="0" customHeight="1">
      <x:c r="A66" s="46" t="str">
        <x:v>DFC-BAKE-065</x:v>
      </x:c>
      <x:c r="B66" s="46" t="str">
        <x:v>fish:atlantic_cod</x:v>
      </x:c>
      <x:c r="C66" s="46" t="str">
        <x:v>family:seafood_finfish</x:v>
      </x:c>
      <x:c r="D66" s="46" t="str">
        <x:v>baked / iron-plate roasted commercial fillet</x:v>
      </x:c>
      <x:c r="E66" s="46" t="str">
        <x:v>cod fillet + sugar + salt + MSG</x:v>
      </x:c>
      <x:c r="F66" s="46" t="str">
        <x:v>SRC-FISH-COD-BAKED-001</x:v>
      </x:c>
      <x:c r="G66" s="46" t="str">
        <x:v>Furans</x:v>
      </x:c>
      <x:c r="H66" s="46" t="str">
        <x:v>Furans</x:v>
      </x:c>
      <x:c r="I66" s="46" t="str">
        <x:v>四氢呋喃</x:v>
      </x:c>
      <x:c r="J66" s="46" t="str">
        <x:v>tetrahydrofuran</x:v>
      </x:c>
      <x:c r="K66" s="46" t="str">
        <x:v>109-99-9</x:v>
      </x:c>
      <x:c r="L66" s="46" t="n">
        <x:v>850.9</x:v>
      </x:c>
      <x:c r="M66" s="46" t="n">
        <x:v>680.848</x:v>
      </x:c>
      <x:c r="N66" s="46" t="n">
        <x:v>1.09297</x:v>
      </x:c>
      <x:c r="O66" s="46" t="str">
        <x:v>NIST2020 RI DB-WAX + Vocal GC-IMS library workflow</x:v>
      </x:c>
      <x:c r="P66" s="46"/>
      <x:c r="Q66" s="46" t="str">
        <x:v>ri_rt_drift_cas_reported_no_match_factor</x:v>
      </x:c>
      <x:c r="R66" s="46" t="str">
        <x:v>41.27±2.36</x:v>
      </x:c>
      <x:c r="S66" s="46" t="n">
        <x:v>41.27</x:v>
      </x:c>
      <x:c r="T66" s="46" t="str">
        <x:v>source table labels metric as relative content (%)</x:v>
      </x:c>
      <x:c r="U66" s="46" t="str">
        <x:v>detected_full_table</x:v>
      </x:c>
      <x:c r="V66" s="46" t="str">
        <x:v>positive_culinary_candidate</x:v>
      </x:c>
      <x:c r="W66" s="46" t="str">
        <x:v>Added sugar/salt/MSG are a process overlay; do not attribute every detected or high-abundance compound to intrinsic cod chemistry.</x:v>
      </x:c>
    </x:row>
    <x:row r="67" ht="26.399999618530273" hidden="0" customHeight="1">
      <x:c r="A67" s="46" t="str">
        <x:v>DFC-BAKE-066</x:v>
      </x:c>
      <x:c r="B67" s="46" t="str">
        <x:v>fish:atlantic_cod</x:v>
      </x:c>
      <x:c r="C67" s="46" t="str">
        <x:v>family:seafood_finfish</x:v>
      </x:c>
      <x:c r="D67" s="46" t="str">
        <x:v>baked / iron-plate roasted commercial fillet</x:v>
      </x:c>
      <x:c r="E67" s="46" t="str">
        <x:v>cod fillet + sugar + salt + MSG</x:v>
      </x:c>
      <x:c r="F67" s="46" t="str">
        <x:v>SRC-FISH-COD-BAKED-001</x:v>
      </x:c>
      <x:c r="G67" s="46" t="str">
        <x:v>Other</x:v>
      </x:c>
      <x:c r="H67" s="46" t="str">
        <x:v>Ethers / acetals</x:v>
      </x:c>
      <x:c r="I67" s="46" t="str">
        <x:v>1,1-二乙氧基-3-甲基丁烷</x:v>
      </x:c>
      <x:c r="J67" s="46" t="str">
        <x:v>1,1-diethoxy-3-methylbutane</x:v>
      </x:c>
      <x:c r="K67" s="46" t="str">
        <x:v>3842-3-3</x:v>
      </x:c>
      <x:c r="L67" s="46" t="n">
        <x:v>1062.7</x:v>
      </x:c>
      <x:c r="M67" s="46" t="n">
        <x:v>1133.281</x:v>
      </x:c>
      <x:c r="N67" s="46" t="n">
        <x:v>1.3792</x:v>
      </x:c>
      <x:c r="O67" s="46" t="str">
        <x:v>NIST2020 RI DB-WAX + Vocal GC-IMS library workflow</x:v>
      </x:c>
      <x:c r="P67" s="46"/>
      <x:c r="Q67" s="46" t="str">
        <x:v>ri_rt_drift_reported_source_cas_malformed</x:v>
      </x:c>
      <x:c r="R67" s="46" t="str">
        <x:v>16.12±1.99</x:v>
      </x:c>
      <x:c r="S67" s="46" t="n">
        <x:v>16.12</x:v>
      </x:c>
      <x:c r="T67" s="46" t="str">
        <x:v>source table labels metric as relative content (%)</x:v>
      </x:c>
      <x:c r="U67" s="46" t="str">
        <x:v>detected_full_table</x:v>
      </x:c>
      <x:c r="V67" s="46" t="str">
        <x:v>positive_culinary_candidate</x:v>
      </x:c>
      <x:c r="W67" s="46" t="str">
        <x:v>Source prints CAS '3842-3-3', which is malformed. Raw source CAS is preserved and not silently repaired.</x:v>
      </x:c>
    </x:row>
    <x:row r="68" ht="26.399999618530273" hidden="0" customHeight="1">
      <x:c r="A68" s="46" t="str">
        <x:v>DFC-BAKE-067</x:v>
      </x:c>
      <x:c r="B68" s="46" t="str">
        <x:v>fish:atlantic_cod</x:v>
      </x:c>
      <x:c r="C68" s="46" t="str">
        <x:v>family:seafood_finfish</x:v>
      </x:c>
      <x:c r="D68" s="46" t="str">
        <x:v>baked / iron-plate roasted commercial fillet</x:v>
      </x:c>
      <x:c r="E68" s="46" t="str">
        <x:v>cod fillet + sugar + salt + MSG</x:v>
      </x:c>
      <x:c r="F68" s="46" t="str">
        <x:v>SRC-FISH-COD-BAKED-001</x:v>
      </x:c>
      <x:c r="G68" s="46" t="str">
        <x:v>Other</x:v>
      </x:c>
      <x:c r="H68" s="46" t="str">
        <x:v>Ethers / acetals</x:v>
      </x:c>
      <x:c r="I68" s="46" t="str">
        <x:v>1,1-二乙氧基乙烷</x:v>
      </x:c>
      <x:c r="J68" s="46" t="str">
        <x:v>1,1-diethoxyethane</x:v>
      </x:c>
      <x:c r="K68" s="46" t="str">
        <x:v>105-57-7</x:v>
      </x:c>
      <x:c r="L68" s="46" t="n">
        <x:v>893.2</x:v>
      </x:c>
      <x:c r="M68" s="46" t="n">
        <x:v>760.064</x:v>
      </x:c>
      <x:c r="N68" s="46" t="n">
        <x:v>1.16385</x:v>
      </x:c>
      <x:c r="O68" s="46" t="str">
        <x:v>NIST2020 RI DB-WAX + Vocal GC-IMS library workflow</x:v>
      </x:c>
      <x:c r="P68" s="46"/>
      <x:c r="Q68" s="46" t="str">
        <x:v>ri_rt_drift_cas_reported_no_match_factor</x:v>
      </x:c>
      <x:c r="R68" s="46" t="str">
        <x:v>91.74±7.97</x:v>
      </x:c>
      <x:c r="S68" s="46" t="n">
        <x:v>91.74</x:v>
      </x:c>
      <x:c r="T68" s="46" t="str">
        <x:v>source table labels metric as relative content (%)</x:v>
      </x:c>
      <x:c r="U68" s="46" t="str">
        <x:v>detected_full_table</x:v>
      </x:c>
      <x:c r="V68" s="46" t="str">
        <x:v>positive_culinary_candidate</x:v>
      </x:c>
      <x:c r="W68" s="46" t="str">
        <x:v>Added sugar/salt/MSG are a process overlay; do not attribute every detected or high-abundance compound to intrinsic cod chemistry.</x:v>
      </x:c>
    </x:row>
    <x:row r="69" ht="26.399999618530273" hidden="0" customHeight="1">
      <x:c r="A69" s="46" t="str">
        <x:v>DFC-BAKE-068</x:v>
      </x:c>
      <x:c r="B69" s="46" t="str">
        <x:v>fish:atlantic_cod</x:v>
      </x:c>
      <x:c r="C69" s="46" t="str">
        <x:v>family:seafood_finfish</x:v>
      </x:c>
      <x:c r="D69" s="46" t="str">
        <x:v>baked / iron-plate roasted commercial fillet</x:v>
      </x:c>
      <x:c r="E69" s="46" t="str">
        <x:v>cod fillet + sugar + salt + MSG</x:v>
      </x:c>
      <x:c r="F69" s="46" t="str">
        <x:v>SRC-FISH-COD-BAKED-001</x:v>
      </x:c>
      <x:c r="G69" s="46" t="str">
        <x:v>Other</x:v>
      </x:c>
      <x:c r="H69" s="46" t="str">
        <x:v>Hydrocarbons</x:v>
      </x:c>
      <x:c r="I69" s="46" t="str">
        <x:v>环庚烷</x:v>
      </x:c>
      <x:c r="J69" s="46" t="str">
        <x:v>cycloheptane</x:v>
      </x:c>
      <x:c r="K69" s="46" t="str">
        <x:v>291-64-5</x:v>
      </x:c>
      <x:c r="L69" s="46" t="n">
        <x:v>893.2</x:v>
      </x:c>
      <x:c r="M69" s="46" t="n">
        <x:v>760.062</x:v>
      </x:c>
      <x:c r="N69" s="46" t="n">
        <x:v>1.47178</x:v>
      </x:c>
      <x:c r="O69" s="46" t="str">
        <x:v>NIST2020 RI DB-WAX + Vocal GC-IMS library workflow</x:v>
      </x:c>
      <x:c r="P69" s="46"/>
      <x:c r="Q69" s="46" t="str">
        <x:v>ri_rt_drift_cas_reported_no_match_factor</x:v>
      </x:c>
      <x:c r="R69" s="46" t="str">
        <x:v>1760.58±70.94</x:v>
      </x:c>
      <x:c r="S69" s="46" t="n">
        <x:v>1760.58</x:v>
      </x:c>
      <x:c r="T69" s="46" t="str">
        <x:v>source table labels metric as relative content (%)</x:v>
      </x:c>
      <x:c r="U69" s="46" t="str">
        <x:v>detected_full_table</x:v>
      </x:c>
      <x:c r="V69" s="46" t="str">
        <x:v>positive_culinary_candidate</x:v>
      </x:c>
      <x:c r="W69" s="46" t="str">
        <x:v>Added sugar/salt/MSG are a process overlay; do not attribute every detected or high-abundance compound to intrinsic cod chemistry.</x:v>
      </x:c>
    </x:row>
    <x:row r="70" ht="26.399999618530273" hidden="0" customHeight="1">
      <x:c r="A70" s="46" t="str">
        <x:v>DFC-BAKE-069</x:v>
      </x:c>
      <x:c r="B70" s="46" t="str">
        <x:v>fish:atlantic_cod</x:v>
      </x:c>
      <x:c r="C70" s="46" t="str">
        <x:v>family:seafood_finfish</x:v>
      </x:c>
      <x:c r="D70" s="46" t="str">
        <x:v>baked / iron-plate roasted commercial fillet</x:v>
      </x:c>
      <x:c r="E70" s="46" t="str">
        <x:v>cod fillet + sugar + salt + MSG</x:v>
      </x:c>
      <x:c r="F70" s="46" t="str">
        <x:v>SRC-FISH-COD-BAKED-001</x:v>
      </x:c>
      <x:c r="G70" s="46" t="str">
        <x:v>Other</x:v>
      </x:c>
      <x:c r="H70" s="46" t="str">
        <x:v>Amines</x:v>
      </x:c>
      <x:c r="I70" s="46" t="str">
        <x:v>三乙胺</x:v>
      </x:c>
      <x:c r="J70" s="46" t="str">
        <x:v>triethylamine</x:v>
      </x:c>
      <x:c r="K70" s="46" t="str">
        <x:v>121-44-8</x:v>
      </x:c>
      <x:c r="L70" s="46" t="n">
        <x:v>798.9</x:v>
      </x:c>
      <x:c r="M70" s="46" t="n">
        <x:v>594.564</x:v>
      </x:c>
      <x:c r="N70" s="46" t="n">
        <x:v>1.27558</x:v>
      </x:c>
      <x:c r="O70" s="46" t="str">
        <x:v>NIST2020 RI DB-WAX + Vocal GC-IMS library workflow</x:v>
      </x:c>
      <x:c r="P70" s="46"/>
      <x:c r="Q70" s="46" t="str">
        <x:v>ri_rt_drift_cas_reported_no_match_factor</x:v>
      </x:c>
      <x:c r="R70" s="46" t="str">
        <x:v>20.57±1.24</x:v>
      </x:c>
      <x:c r="S70" s="46" t="n">
        <x:v>20.57</x:v>
      </x:c>
      <x:c r="T70" s="46" t="str">
        <x:v>source table labels metric as relative content (%)</x:v>
      </x:c>
      <x:c r="U70" s="46" t="str">
        <x:v>detected_full_table</x:v>
      </x:c>
      <x:c r="V70" s="46" t="str">
        <x:v>freshness_related_caution_MR14</x:v>
      </x:c>
      <x:c r="W70" s="46" t="str">
        <x:v>Added sugar/salt/MSG are a process overlay; do not attribute every detected or high-abundance compound to intrinsic cod chemistry.</x:v>
      </x:c>
    </x:row>
    <x:row r="71" ht="26.399999618530273" hidden="0" customHeight="1">
      <x:c r="A71" s="46" t="str">
        <x:v>DFC-BAKE-070</x:v>
      </x:c>
      <x:c r="B71" s="46" t="str">
        <x:v>fish:atlantic_cod</x:v>
      </x:c>
      <x:c r="C71" s="46" t="str">
        <x:v>family:seafood_finfish</x:v>
      </x:c>
      <x:c r="D71" s="46" t="str">
        <x:v>baked / iron-plate roasted commercial fillet</x:v>
      </x:c>
      <x:c r="E71" s="46" t="str">
        <x:v>cod fillet + sugar + salt + MSG</x:v>
      </x:c>
      <x:c r="F71" s="46" t="str">
        <x:v>SRC-FISH-COD-BAKED-001</x:v>
      </x:c>
      <x:c r="G71" s="46" t="str">
        <x:v>Other</x:v>
      </x:c>
      <x:c r="H71" s="46" t="str">
        <x:v>Hydrocarbons</x:v>
      </x:c>
      <x:c r="I71" s="46" t="str">
        <x:v>环己烷</x:v>
      </x:c>
      <x:c r="J71" s="46" t="str">
        <x:v>cyclohexane</x:v>
      </x:c>
      <x:c r="K71" s="46" t="str">
        <x:v>110-82-7</x:v>
      </x:c>
      <x:c r="L71" s="46" t="n">
        <x:v>726.7</x:v>
      </x:c>
      <x:c r="M71" s="46" t="n">
        <x:v>492.685</x:v>
      </x:c>
      <x:c r="N71" s="46" t="n">
        <x:v>1.0816</x:v>
      </x:c>
      <x:c r="O71" s="46" t="str">
        <x:v>NIST2020 RI DB-WAX + Vocal GC-IMS library workflow</x:v>
      </x:c>
      <x:c r="P71" s="46"/>
      <x:c r="Q71" s="46" t="str">
        <x:v>ri_rt_drift_cas_reported_no_match_factor</x:v>
      </x:c>
      <x:c r="R71" s="46" t="str">
        <x:v>1161.57±245.58</x:v>
      </x:c>
      <x:c r="S71" s="46" t="n">
        <x:v>1161.57</x:v>
      </x:c>
      <x:c r="T71" s="46" t="str">
        <x:v>source table labels metric as relative content (%)</x:v>
      </x:c>
      <x:c r="U71" s="46" t="str">
        <x:v>detected_full_table</x:v>
      </x:c>
      <x:c r="V71" s="46" t="str">
        <x:v>positive_culinary_candidate</x:v>
      </x:c>
      <x:c r="W71" s="46" t="str">
        <x:v>Added sugar/salt/MSG are a process overlay; do not attribute every detected or high-abundance compound to intrinsic cod chemistry.</x:v>
      </x:c>
    </x:row>
    <x:row r="72" ht="26.399999618530273" hidden="0" customHeight="1">
      <x:c r="A72" s="46" t="str">
        <x:v>DFC-BAKE-071</x:v>
      </x:c>
      <x:c r="B72" s="46" t="str">
        <x:v>fish:atlantic_cod</x:v>
      </x:c>
      <x:c r="C72" s="46" t="str">
        <x:v>family:seafood_finfish</x:v>
      </x:c>
      <x:c r="D72" s="46" t="str">
        <x:v>baked / iron-plate roasted commercial fillet</x:v>
      </x:c>
      <x:c r="E72" s="46" t="str">
        <x:v>cod fillet + sugar + salt + MSG</x:v>
      </x:c>
      <x:c r="F72" s="46" t="str">
        <x:v>SRC-FISH-COD-BAKED-001</x:v>
      </x:c>
      <x:c r="G72" s="46" t="str">
        <x:v>Other</x:v>
      </x:c>
      <x:c r="H72" s="46" t="str">
        <x:v>Hydrocarbons</x:v>
      </x:c>
      <x:c r="I72" s="46" t="str">
        <x:v>异辛烷</x:v>
      </x:c>
      <x:c r="J72" s="46" t="str">
        <x:v>isooctane</x:v>
      </x:c>
      <x:c r="K72" s="46" t="str">
        <x:v>540-84-1</x:v>
      </x:c>
      <x:c r="L72" s="46" t="n">
        <x:v>671.6</x:v>
      </x:c>
      <x:c r="M72" s="46" t="n">
        <x:v>426.785</x:v>
      </x:c>
      <x:c r="N72" s="46" t="n">
        <x:v>1.03348</x:v>
      </x:c>
      <x:c r="O72" s="46" t="str">
        <x:v>NIST2020 RI DB-WAX + Vocal GC-IMS library workflow</x:v>
      </x:c>
      <x:c r="P72" s="46"/>
      <x:c r="Q72" s="46" t="str">
        <x:v>ri_rt_drift_cas_reported_no_match_factor</x:v>
      </x:c>
      <x:c r="R72" s="46" t="str">
        <x:v>681.12±60.17</x:v>
      </x:c>
      <x:c r="S72" s="46" t="n">
        <x:v>681.12</x:v>
      </x:c>
      <x:c r="T72" s="46" t="str">
        <x:v>source table labels metric as relative content (%)</x:v>
      </x:c>
      <x:c r="U72" s="46" t="str">
        <x:v>detected_full_table</x:v>
      </x:c>
      <x:c r="V72" s="46" t="str">
        <x:v>positive_culinary_candidate</x:v>
      </x:c>
      <x:c r="W72" s="46" t="str">
        <x:v>Added sugar/salt/MSG are a process overlay; do not attribute every detected or high-abundance compound to intrinsic cod chemistry.</x:v>
      </x:c>
    </x:row>
    <x:row r="73" ht="26.399999618530273" hidden="0" customHeight="1">
      <x:c r="A73" s="46" t="str">
        <x:v>DFC-BAKE-072</x:v>
      </x:c>
      <x:c r="B73" s="46" t="str">
        <x:v>fish:atlantic_cod</x:v>
      </x:c>
      <x:c r="C73" s="46" t="str">
        <x:v>family:seafood_finfish</x:v>
      </x:c>
      <x:c r="D73" s="46" t="str">
        <x:v>baked / iron-plate roasted commercial fillet</x:v>
      </x:c>
      <x:c r="E73" s="46" t="str">
        <x:v>cod fillet + sugar + salt + MSG</x:v>
      </x:c>
      <x:c r="F73" s="46" t="str">
        <x:v>SRC-FISH-COD-BAKED-001</x:v>
      </x:c>
      <x:c r="G73" s="46" t="str">
        <x:v>Other</x:v>
      </x:c>
      <x:c r="H73" s="46" t="str">
        <x:v>Ethers</x:v>
      </x:c>
      <x:c r="I73" s="46" t="str">
        <x:v>1,4-二氧六环</x:v>
      </x:c>
      <x:c r="J73" s="46" t="str">
        <x:v>1,4-dioxane</x:v>
      </x:c>
      <x:c r="K73" s="46" t="str">
        <x:v>123-91-1</x:v>
      </x:c>
      <x:c r="L73" s="46" t="n">
        <x:v>1062.7</x:v>
      </x:c>
      <x:c r="M73" s="46" t="n">
        <x:v>1133.252</x:v>
      </x:c>
      <x:c r="N73" s="46" t="n">
        <x:v>1.33995</x:v>
      </x:c>
      <x:c r="O73" s="46" t="str">
        <x:v>NIST2020 RI DB-WAX + Vocal GC-IMS library workflow</x:v>
      </x:c>
      <x:c r="P73" s="46"/>
      <x:c r="Q73" s="46" t="str">
        <x:v>ri_rt_drift_cas_reported_no_match_factor</x:v>
      </x:c>
      <x:c r="R73" s="46" t="str">
        <x:v>73.79±4.22</x:v>
      </x:c>
      <x:c r="S73" s="46" t="n">
        <x:v>73.79</x:v>
      </x:c>
      <x:c r="T73" s="46" t="str">
        <x:v>source table labels metric as relative content (%)</x:v>
      </x:c>
      <x:c r="U73" s="46" t="str">
        <x:v>detected_full_table</x:v>
      </x:c>
      <x:c r="V73" s="46" t="str">
        <x:v>positive_culinary_candidate</x:v>
      </x:c>
      <x:c r="W73" s="46" t="str">
        <x:v>Added sugar/salt/MSG are a process overlay; do not attribute every detected or high-abundance compound to intrinsic cod chemistry.</x:v>
      </x:c>
    </x:row>
  </x:sheetData>
  <x:pageMargins left="0.7" right="0.7" top="0.75" bottom="0.75" header="0.3" footer="0.3"/>
  <x:tableParts count="1">
    <x:tablePart xmlns:r="http://schemas.openxmlformats.org/officeDocument/2006/relationships" r:id="Rde67f0982fe04190"/>
  </x:tableParts>
</x:worksheet>
</file>

<file path=xl/worksheets/sheet69.xml><?xml version="1.0" encoding="utf-8"?>
<x:worksheet xmlns:x="http://schemas.openxmlformats.org/spreadsheetml/2006/main">
  <x:sheetFormatPr defaultRowHeight="15"/>
  <x:cols>
    <x:col min="1" max="1" width="17" hidden="0" customWidth="1"/>
    <x:col min="2" max="2" width="34" hidden="0" customWidth="1"/>
    <x:col min="3" max="3" width="28" hidden="0" customWidth="1"/>
    <x:col min="4" max="4" width="38" hidden="0" customWidth="1"/>
    <x:col min="5" max="5" width="32" hidden="0" customWidth="1"/>
    <x:col min="6" max="6" width="20" hidden="0" customWidth="1"/>
    <x:col min="7" max="7" width="16" hidden="0" customWidth="1"/>
    <x:col min="8" max="8" width="28" hidden="0" customWidth="1"/>
    <x:col min="9" max="9" width="20" hidden="0" customWidth="1"/>
    <x:col min="10" max="10" width="30" hidden="0" customWidth="1"/>
    <x:col min="11" max="11" width="72" hidden="0" customWidth="1"/>
  </x:cols>
  <x:sheetData>
    <x:row r="1" ht="26.399999618530273" hidden="0" customHeight="1">
      <x:c r="A1" s="201" t="str">
        <x:v>crosscheck_record_id</x:v>
      </x:c>
      <x:c r="B1" s="201" t="str">
        <x:v>culinary_salmon_compound</x:v>
      </x:c>
      <x:c r="C1" s="201" t="str">
        <x:v>culinary_source_id</x:v>
      </x:c>
      <x:c r="D1" s="201" t="str">
        <x:v>independent_qa_source_id</x:v>
      </x:c>
      <x:c r="E1" s="201" t="str">
        <x:v>independent_source_name</x:v>
      </x:c>
      <x:c r="F1" s="201" t="str">
        <x:v>independent_lri_source_text</x:v>
      </x:c>
      <x:c r="G1" s="201" t="str">
        <x:v>specific_ion_mz</x:v>
      </x:c>
      <x:c r="H1" s="201" t="str">
        <x:v>independent_identification_method</x:v>
      </x:c>
      <x:c r="I1" s="201" t="str">
        <x:v>authentic_standard_confirmed</x:v>
      </x:c>
      <x:c r="J1" s="201" t="str">
        <x:v>crosscheck_status</x:v>
      </x:c>
      <x:c r="K1" s="201" t="str">
        <x:v>notes</x:v>
      </x:c>
    </x:row>
    <x:row r="2" ht="26.399999618530273" hidden="0" customHeight="1">
      <x:c r="A2" s="46" t="str">
        <x:v>FSQ-001</x:v>
      </x:c>
      <x:c r="B2" s="46" t="str">
        <x:v>Ethanol</x:v>
      </x:c>
      <x:c r="C2" s="46" t="str">
        <x:v>SRC-FISH-SALMON-COOK-001</x:v>
      </x:c>
      <x:c r="D2" s="46" t="str">
        <x:v>SRC-FISH-COD-SALMON-RAW-IDQA-001</x:v>
      </x:c>
      <x:c r="E2" s="46" t="str">
        <x:v>Ethanol</x:v>
      </x:c>
      <x:c r="F2" s="46" t="str">
        <x:v>&lt;500</x:v>
      </x:c>
      <x:c r="G2" s="46" t="n">
        <x:v>45</x:v>
      </x:c>
      <x:c r="H2" s="46" t="str">
        <x:v>MS, LRI, Std</x:v>
      </x:c>
      <x:c r="I2" s="46" t="str">
        <x:v>yes</x:v>
      </x:c>
      <x:c r="J2" s="46" t="str">
        <x:v>independent_identity_corroboration</x:v>
      </x:c>
      <x:c r="K2" s="46" t="str">
        <x:v>LRI/standard fields belong to the independent fresh salmon/cod source, not to the 2022 cooking-source row.</x:v>
      </x:c>
    </x:row>
    <x:row r="3" ht="26.399999618530273" hidden="0" customHeight="1">
      <x:c r="A3" s="46" t="str">
        <x:v>FSQ-002</x:v>
      </x:c>
      <x:c r="B3" s="46" t="str">
        <x:v>Propanal</x:v>
      </x:c>
      <x:c r="C3" s="46" t="str">
        <x:v>SRC-FISH-SALMON-COOK-001</x:v>
      </x:c>
      <x:c r="D3" s="46" t="str">
        <x:v>SRC-FISH-COD-SALMON-RAW-IDQA-001</x:v>
      </x:c>
      <x:c r="E3" s="46" t="str">
        <x:v>Propanal</x:v>
      </x:c>
      <x:c r="F3" s="46" t="str">
        <x:v>&lt;500</x:v>
      </x:c>
      <x:c r="G3" s="46" t="n">
        <x:v>58</x:v>
      </x:c>
      <x:c r="H3" s="46" t="str">
        <x:v>MS, LRI, Std</x:v>
      </x:c>
      <x:c r="I3" s="46" t="str">
        <x:v>yes</x:v>
      </x:c>
      <x:c r="J3" s="46" t="str">
        <x:v>independent_identity_corroboration</x:v>
      </x:c>
      <x:c r="K3" s="46" t="str">
        <x:v>LRI/standard fields belong to the independent fresh salmon/cod source, not to the 2022 cooking-source row.</x:v>
      </x:c>
    </x:row>
    <x:row r="4" ht="26.399999618530273" hidden="0" customHeight="1">
      <x:c r="A4" s="46" t="str">
        <x:v>FSQ-003</x:v>
      </x:c>
      <x:c r="B4" s="46" t="str">
        <x:v>Butanal</x:v>
      </x:c>
      <x:c r="C4" s="46" t="str">
        <x:v>SRC-FISH-SALMON-COOK-001</x:v>
      </x:c>
      <x:c r="D4" s="46" t="str">
        <x:v>SRC-FISH-COD-SALMON-RAW-IDQA-001</x:v>
      </x:c>
      <x:c r="E4" s="46" t="str">
        <x:v>Butanal</x:v>
      </x:c>
      <x:c r="F4" s="46" t="str">
        <x:v>596</x:v>
      </x:c>
      <x:c r="G4" s="46" t="n">
        <x:v>44</x:v>
      </x:c>
      <x:c r="H4" s="46" t="str">
        <x:v>MS, LRI, Std</x:v>
      </x:c>
      <x:c r="I4" s="46" t="str">
        <x:v>yes</x:v>
      </x:c>
      <x:c r="J4" s="46" t="str">
        <x:v>independent_identity_corroboration</x:v>
      </x:c>
      <x:c r="K4" s="46" t="str">
        <x:v>LRI/standard fields belong to the independent fresh salmon/cod source, not to the 2022 cooking-source row.</x:v>
      </x:c>
    </x:row>
    <x:row r="5" ht="26.399999618530273" hidden="0" customHeight="1">
      <x:c r="A5" s="46" t="str">
        <x:v>FSQ-004</x:v>
      </x:c>
      <x:c r="B5" s="46" t="str">
        <x:v>Pentanal</x:v>
      </x:c>
      <x:c r="C5" s="46" t="str">
        <x:v>SRC-FISH-SALMON-COOK-001</x:v>
      </x:c>
      <x:c r="D5" s="46" t="str">
        <x:v>SRC-FISH-COD-SALMON-RAW-IDQA-001</x:v>
      </x:c>
      <x:c r="E5" s="46" t="str">
        <x:v>Pentanal</x:v>
      </x:c>
      <x:c r="F5" s="46" t="str">
        <x:v>696</x:v>
      </x:c>
      <x:c r="G5" s="46" t="n">
        <x:v>58</x:v>
      </x:c>
      <x:c r="H5" s="46" t="str">
        <x:v>MS, LRI, Std</x:v>
      </x:c>
      <x:c r="I5" s="46" t="str">
        <x:v>yes</x:v>
      </x:c>
      <x:c r="J5" s="46" t="str">
        <x:v>independent_identity_corroboration</x:v>
      </x:c>
      <x:c r="K5" s="46" t="str">
        <x:v>LRI/standard fields belong to the independent fresh salmon/cod source, not to the 2022 cooking-source row.</x:v>
      </x:c>
    </x:row>
    <x:row r="6" ht="26.399999618530273" hidden="0" customHeight="1">
      <x:c r="A6" s="46" t="str">
        <x:v>FSQ-005</x:v>
      </x:c>
      <x:c r="B6" s="46" t="str">
        <x:v>3-Methylbutanal</x:v>
      </x:c>
      <x:c r="C6" s="46" t="str">
        <x:v>SRC-FISH-SALMON-COOK-001</x:v>
      </x:c>
      <x:c r="D6" s="46" t="str">
        <x:v>SRC-FISH-COD-SALMON-RAW-IDQA-001</x:v>
      </x:c>
      <x:c r="E6" s="46" t="str">
        <x:v>3-methylbutanal</x:v>
      </x:c>
      <x:c r="F6" s="46" t="str">
        <x:v>653</x:v>
      </x:c>
      <x:c r="G6" s="46" t="n">
        <x:v>58</x:v>
      </x:c>
      <x:c r="H6" s="46" t="str">
        <x:v>MS, LRI, Std</x:v>
      </x:c>
      <x:c r="I6" s="46" t="str">
        <x:v>yes</x:v>
      </x:c>
      <x:c r="J6" s="46" t="str">
        <x:v>independent_identity_corroboration</x:v>
      </x:c>
      <x:c r="K6" s="46" t="str">
        <x:v>LRI/standard fields belong to the independent fresh salmon/cod source, not to the 2022 cooking-source row.</x:v>
      </x:c>
    </x:row>
    <x:row r="7" ht="26.399999618530273" hidden="0" customHeight="1">
      <x:c r="A7" s="46" t="str">
        <x:v>FSQ-006</x:v>
      </x:c>
      <x:c r="B7" s="46" t="str">
        <x:v>Hexanal</x:v>
      </x:c>
      <x:c r="C7" s="46" t="str">
        <x:v>SRC-FISH-SALMON-COOK-001</x:v>
      </x:c>
      <x:c r="D7" s="46" t="str">
        <x:v>SRC-FISH-COD-SALMON-RAW-IDQA-001</x:v>
      </x:c>
      <x:c r="E7" s="46" t="str">
        <x:v>Hexanal</x:v>
      </x:c>
      <x:c r="F7" s="46" t="str">
        <x:v>789</x:v>
      </x:c>
      <x:c r="G7" s="46" t="n">
        <x:v>44</x:v>
      </x:c>
      <x:c r="H7" s="46" t="str">
        <x:v>MS, LRI, Std</x:v>
      </x:c>
      <x:c r="I7" s="46" t="str">
        <x:v>yes</x:v>
      </x:c>
      <x:c r="J7" s="46" t="str">
        <x:v>independent_identity_corroboration</x:v>
      </x:c>
      <x:c r="K7" s="46" t="str">
        <x:v>LRI/standard fields belong to the independent fresh salmon/cod source, not to the 2022 cooking-source row.</x:v>
      </x:c>
    </x:row>
    <x:row r="8" ht="26.399999618530273" hidden="0" customHeight="1">
      <x:c r="A8" s="46" t="str">
        <x:v>FSQ-007</x:v>
      </x:c>
      <x:c r="B8" s="46" t="str">
        <x:v>Heptanal</x:v>
      </x:c>
      <x:c r="C8" s="46" t="str">
        <x:v>SRC-FISH-SALMON-COOK-001</x:v>
      </x:c>
      <x:c r="D8" s="46" t="str">
        <x:v>SRC-FISH-COD-SALMON-RAW-IDQA-001</x:v>
      </x:c>
      <x:c r="E8" s="46" t="str">
        <x:v>Heptanal</x:v>
      </x:c>
      <x:c r="F8" s="46" t="str">
        <x:v>900</x:v>
      </x:c>
      <x:c r="G8" s="46" t="n">
        <x:v>70</x:v>
      </x:c>
      <x:c r="H8" s="46" t="str">
        <x:v>MS, LRI, Std</x:v>
      </x:c>
      <x:c r="I8" s="46" t="str">
        <x:v>yes</x:v>
      </x:c>
      <x:c r="J8" s="46" t="str">
        <x:v>independent_identity_corroboration</x:v>
      </x:c>
      <x:c r="K8" s="46" t="str">
        <x:v>LRI/standard fields belong to the independent fresh salmon/cod source, not to the 2022 cooking-source row.</x:v>
      </x:c>
    </x:row>
    <x:row r="9" ht="26.399999618530273" hidden="0" customHeight="1">
      <x:c r="A9" s="46" t="str">
        <x:v>FSQ-008</x:v>
      </x:c>
      <x:c r="B9" s="46" t="str">
        <x:v>(E)-2-Octenal</x:v>
      </x:c>
      <x:c r="C9" s="46" t="str">
        <x:v>SRC-FISH-SALMON-COOK-001</x:v>
      </x:c>
      <x:c r="D9" s="46" t="str">
        <x:v>SRC-FISH-COD-SALMON-RAW-IDQA-001</x:v>
      </x:c>
      <x:c r="E9" s="46" t="str">
        <x:v>(E)-2-octenal</x:v>
      </x:c>
      <x:c r="F9" s="46" t="str">
        <x:v>1062</x:v>
      </x:c>
      <x:c r="G9" s="46" t="n">
        <x:v>70</x:v>
      </x:c>
      <x:c r="H9" s="46" t="str">
        <x:v>MS, LRI</x:v>
      </x:c>
      <x:c r="I9" s="46" t="str">
        <x:v>no</x:v>
      </x:c>
      <x:c r="J9" s="46" t="str">
        <x:v>independent_identity_corroboration</x:v>
      </x:c>
      <x:c r="K9" s="46" t="str">
        <x:v>LRI/standard fields belong to the independent fresh salmon/cod source, not to the 2022 cooking-source row.</x:v>
      </x:c>
    </x:row>
    <x:row r="10" ht="26.399999618530273" hidden="0" customHeight="1">
      <x:c r="A10" s="46" t="str">
        <x:v>FSQ-009</x:v>
      </x:c>
      <x:c r="B10" s="46" t="str">
        <x:v>Octanal</x:v>
      </x:c>
      <x:c r="C10" s="46" t="str">
        <x:v>SRC-FISH-SALMON-COOK-001</x:v>
      </x:c>
      <x:c r="D10" s="46" t="str">
        <x:v>SRC-FISH-COD-SALMON-RAW-IDQA-001</x:v>
      </x:c>
      <x:c r="E10" s="46" t="str">
        <x:v>Octanal</x:v>
      </x:c>
      <x:c r="F10" s="46" t="str">
        <x:v>1002</x:v>
      </x:c>
      <x:c r="G10" s="46" t="n">
        <x:v>84</x:v>
      </x:c>
      <x:c r="H10" s="46" t="str">
        <x:v>MS, LRI, Std</x:v>
      </x:c>
      <x:c r="I10" s="46" t="str">
        <x:v>yes</x:v>
      </x:c>
      <x:c r="J10" s="46" t="str">
        <x:v>independent_identity_corroboration</x:v>
      </x:c>
      <x:c r="K10" s="46" t="str">
        <x:v>LRI/standard fields belong to the independent fresh salmon/cod source, not to the 2022 cooking-source row.</x:v>
      </x:c>
    </x:row>
    <x:row r="11" ht="26.399999618530273" hidden="0" customHeight="1">
      <x:c r="A11" s="46" t="str">
        <x:v>FSQ-010</x:v>
      </x:c>
      <x:c r="B11" s="46" t="str">
        <x:v>(E)-2-Heptenal</x:v>
      </x:c>
      <x:c r="C11" s="46" t="str">
        <x:v>SRC-FISH-SALMON-COOK-001</x:v>
      </x:c>
      <x:c r="D11" s="46" t="str">
        <x:v>SRC-FISH-COD-SALMON-RAW-IDQA-001</x:v>
      </x:c>
      <x:c r="E11" s="46" t="str">
        <x:v>(E)-2-heptenal</x:v>
      </x:c>
      <x:c r="F11" s="46" t="str">
        <x:v>961</x:v>
      </x:c>
      <x:c r="G11" s="46" t="n">
        <x:v>41</x:v>
      </x:c>
      <x:c r="H11" s="46" t="str">
        <x:v>MS, LRI, Std</x:v>
      </x:c>
      <x:c r="I11" s="46" t="str">
        <x:v>yes</x:v>
      </x:c>
      <x:c r="J11" s="46" t="str">
        <x:v>independent_identity_corroboration</x:v>
      </x:c>
      <x:c r="K11" s="46" t="str">
        <x:v>LRI/standard fields belong to the independent fresh salmon/cod source, not to the 2022 cooking-source row.</x:v>
      </x:c>
    </x:row>
    <x:row r="12" ht="26.399999618530273" hidden="0" customHeight="1">
      <x:c r="A12" s="46" t="str">
        <x:v>FSQ-011</x:v>
      </x:c>
      <x:c r="B12" s="46" t="str">
        <x:v>Nonanal</x:v>
      </x:c>
      <x:c r="C12" s="46" t="str">
        <x:v>SRC-FISH-SALMON-COOK-001</x:v>
      </x:c>
      <x:c r="D12" s="46" t="str">
        <x:v>SRC-FISH-COD-SALMON-RAW-IDQA-001</x:v>
      </x:c>
      <x:c r="E12" s="46" t="str">
        <x:v>Nonanal</x:v>
      </x:c>
      <x:c r="F12" s="46" t="str">
        <x:v>1108</x:v>
      </x:c>
      <x:c r="G12" s="46" t="n">
        <x:v>82</x:v>
      </x:c>
      <x:c r="H12" s="46" t="str">
        <x:v>MS, LRI, Std</x:v>
      </x:c>
      <x:c r="I12" s="46" t="str">
        <x:v>yes</x:v>
      </x:c>
      <x:c r="J12" s="46" t="str">
        <x:v>independent_identity_corroboration</x:v>
      </x:c>
      <x:c r="K12" s="46" t="str">
        <x:v>LRI/standard fields belong to the independent fresh salmon/cod source, not to the 2022 cooking-source row.</x:v>
      </x:c>
    </x:row>
    <x:row r="13" ht="26.399999618530273" hidden="0" customHeight="1">
      <x:c r="A13" s="46" t="str">
        <x:v>FSQ-012</x:v>
      </x:c>
      <x:c r="B13" s="46" t="str">
        <x:v>(E,E)-2,4-Heptadienal</x:v>
      </x:c>
      <x:c r="C13" s="46" t="str">
        <x:v>SRC-FISH-SALMON-COOK-001</x:v>
      </x:c>
      <x:c r="D13" s="46" t="str">
        <x:v>SRC-FISH-COD-SALMON-RAW-IDQA-001</x:v>
      </x:c>
      <x:c r="E13" s="46" t="str">
        <x:v>(E,E)-2,4-heptadienal</x:v>
      </x:c>
      <x:c r="F13" s="46" t="str">
        <x:v>1015</x:v>
      </x:c>
      <x:c r="G13" s="46" t="n">
        <x:v>81</x:v>
      </x:c>
      <x:c r="H13" s="46" t="str">
        <x:v>MS, LRI</x:v>
      </x:c>
      <x:c r="I13" s="46" t="str">
        <x:v>no</x:v>
      </x:c>
      <x:c r="J13" s="46" t="str">
        <x:v>independent_identity_corroboration</x:v>
      </x:c>
      <x:c r="K13" s="46" t="str">
        <x:v>LRI/standard fields belong to the independent fresh salmon/cod source, not to the 2022 cooking-source row.</x:v>
      </x:c>
    </x:row>
    <x:row r="14" ht="26.399999618530273" hidden="0" customHeight="1">
      <x:c r="A14" s="46" t="str">
        <x:v>FSQ-013</x:v>
      </x:c>
      <x:c r="B14" s="46" t="str">
        <x:v>Benzaldehyde</x:v>
      </x:c>
      <x:c r="C14" s="46" t="str">
        <x:v>SRC-FISH-SALMON-COOK-001</x:v>
      </x:c>
      <x:c r="D14" s="46" t="str">
        <x:v>SRC-FISH-COD-SALMON-RAW-IDQA-001</x:v>
      </x:c>
      <x:c r="E14" s="46" t="str">
        <x:v>Benzaldehyde</x:v>
      </x:c>
      <x:c r="F14" s="46" t="str">
        <x:v>969</x:v>
      </x:c>
      <x:c r="G14" s="46" t="n">
        <x:v>106</x:v>
      </x:c>
      <x:c r="H14" s="46" t="str">
        <x:v>MS, LRI, Std</x:v>
      </x:c>
      <x:c r="I14" s="46" t="str">
        <x:v>yes</x:v>
      </x:c>
      <x:c r="J14" s="46" t="str">
        <x:v>independent_identity_corroboration</x:v>
      </x:c>
      <x:c r="K14" s="46" t="str">
        <x:v>LRI/standard fields belong to the independent fresh salmon/cod source, not to the 2022 cooking-source row.</x:v>
      </x:c>
    </x:row>
    <x:row r="15" ht="26.399999618530273" hidden="0" customHeight="1">
      <x:c r="A15" s="46" t="str">
        <x:v>FSQ-014</x:v>
      </x:c>
      <x:c r="B15" s="46" t="str">
        <x:v>Pentane</x:v>
      </x:c>
      <x:c r="C15" s="46" t="str">
        <x:v>SRC-FISH-SALMON-COOK-001</x:v>
      </x:c>
      <x:c r="D15" s="46" t="str">
        <x:v>SRC-FISH-COD-SALMON-RAW-IDQA-001</x:v>
      </x:c>
      <x:c r="E15" s="46" t="str">
        <x:v>Pentane</x:v>
      </x:c>
      <x:c r="F15" s="46" t="str">
        <x:v>500</x:v>
      </x:c>
      <x:c r="G15" s="46" t="n">
        <x:v>43</x:v>
      </x:c>
      <x:c r="H15" s="46" t="str">
        <x:v>MS, LRI, Std</x:v>
      </x:c>
      <x:c r="I15" s="46" t="str">
        <x:v>yes</x:v>
      </x:c>
      <x:c r="J15" s="46" t="str">
        <x:v>independent_identity_corroboration</x:v>
      </x:c>
      <x:c r="K15" s="46" t="str">
        <x:v>LRI/standard fields belong to the independent fresh salmon/cod source, not to the 2022 cooking-source row.</x:v>
      </x:c>
    </x:row>
    <x:row r="16" ht="26.399999618530273" hidden="0" customHeight="1">
      <x:c r="A16" s="46" t="str">
        <x:v>FSQ-015</x:v>
      </x:c>
      <x:c r="B16" s="46" t="str">
        <x:v>Octane</x:v>
      </x:c>
      <x:c r="C16" s="46" t="str">
        <x:v>SRC-FISH-SALMON-COOK-001</x:v>
      </x:c>
      <x:c r="D16" s="46" t="str">
        <x:v>SRC-FISH-COD-SALMON-RAW-IDQA-001</x:v>
      </x:c>
      <x:c r="E16" s="46" t="str">
        <x:v>Octane</x:v>
      </x:c>
      <x:c r="F16" s="46" t="str">
        <x:v>800</x:v>
      </x:c>
      <x:c r="G16" s="46" t="n">
        <x:v>43</x:v>
      </x:c>
      <x:c r="H16" s="46" t="str">
        <x:v>MS, LRI, Std</x:v>
      </x:c>
      <x:c r="I16" s="46" t="str">
        <x:v>yes</x:v>
      </x:c>
      <x:c r="J16" s="46" t="str">
        <x:v>independent_identity_corroboration</x:v>
      </x:c>
      <x:c r="K16" s="46" t="str">
        <x:v>LRI/standard fields belong to the independent fresh salmon/cod source, not to the 2022 cooking-source row.</x:v>
      </x:c>
    </x:row>
    <x:row r="17" ht="26.399999618530273" hidden="0" customHeight="1">
      <x:c r="A17" s="46" t="str">
        <x:v>FSQ-016</x:v>
      </x:c>
      <x:c r="B17" s="46" t="str">
        <x:v>Nonane</x:v>
      </x:c>
      <x:c r="C17" s="46" t="str">
        <x:v>SRC-FISH-SALMON-COOK-001</x:v>
      </x:c>
      <x:c r="D17" s="46" t="str">
        <x:v>SRC-FISH-COD-SALMON-RAW-IDQA-001</x:v>
      </x:c>
      <x:c r="E17" s="46" t="str">
        <x:v>Nonane</x:v>
      </x:c>
      <x:c r="F17" s="46" t="str">
        <x:v>900</x:v>
      </x:c>
      <x:c r="G17" s="46" t="n">
        <x:v>43</x:v>
      </x:c>
      <x:c r="H17" s="46" t="str">
        <x:v>MS, LRI, Std</x:v>
      </x:c>
      <x:c r="I17" s="46" t="str">
        <x:v>yes</x:v>
      </x:c>
      <x:c r="J17" s="46" t="str">
        <x:v>independent_identity_corroboration</x:v>
      </x:c>
      <x:c r="K17" s="46" t="str">
        <x:v>LRI/standard fields belong to the independent fresh salmon/cod source, not to the 2022 cooking-source row.</x:v>
      </x:c>
    </x:row>
    <x:row r="18" ht="26.399999618530273" hidden="0" customHeight="1">
      <x:c r="A18" s="46" t="str">
        <x:v>FSQ-017</x:v>
      </x:c>
      <x:c r="B18" s="46" t="str">
        <x:v>Decane</x:v>
      </x:c>
      <x:c r="C18" s="46" t="str">
        <x:v>SRC-FISH-SALMON-COOK-001</x:v>
      </x:c>
      <x:c r="D18" s="46" t="str">
        <x:v>SRC-FISH-COD-SALMON-RAW-IDQA-001</x:v>
      </x:c>
      <x:c r="E18" s="46" t="str">
        <x:v>Decane</x:v>
      </x:c>
      <x:c r="F18" s="46" t="str">
        <x:v>1000</x:v>
      </x:c>
      <x:c r="G18" s="46" t="n">
        <x:v>57</x:v>
      </x:c>
      <x:c r="H18" s="46" t="str">
        <x:v>MS, LRI, Std</x:v>
      </x:c>
      <x:c r="I18" s="46" t="str">
        <x:v>yes</x:v>
      </x:c>
      <x:c r="J18" s="46" t="str">
        <x:v>independent_identity_corroboration</x:v>
      </x:c>
      <x:c r="K18" s="46" t="str">
        <x:v>LRI/standard fields belong to the independent fresh salmon/cod source, not to the 2022 cooking-source row.</x:v>
      </x:c>
    </x:row>
    <x:row r="19" ht="26.399999618530273" hidden="0" customHeight="1">
      <x:c r="A19" s="46" t="str">
        <x:v>FSQ-018</x:v>
      </x:c>
      <x:c r="B19" s="46" t="str">
        <x:v>Dodecane</x:v>
      </x:c>
      <x:c r="C19" s="46" t="str">
        <x:v>SRC-FISH-SALMON-COOK-001</x:v>
      </x:c>
      <x:c r="D19" s="46" t="str">
        <x:v>SRC-FISH-COD-SALMON-RAW-IDQA-001</x:v>
      </x:c>
      <x:c r="E19" s="46" t="str">
        <x:v>Dodecane</x:v>
      </x:c>
      <x:c r="F19" s="46" t="str">
        <x:v>1200</x:v>
      </x:c>
      <x:c r="G19" s="46" t="n">
        <x:v>57</x:v>
      </x:c>
      <x:c r="H19" s="46" t="str">
        <x:v>MS, LRI, Std</x:v>
      </x:c>
      <x:c r="I19" s="46" t="str">
        <x:v>yes</x:v>
      </x:c>
      <x:c r="J19" s="46" t="str">
        <x:v>independent_identity_corroboration</x:v>
      </x:c>
      <x:c r="K19" s="46" t="str">
        <x:v>LRI/standard fields belong to the independent fresh salmon/cod source, not to the 2022 cooking-source row.</x:v>
      </x:c>
    </x:row>
    <x:row r="20" ht="26.399999618530273" hidden="0" customHeight="1">
      <x:c r="A20" s="46" t="str">
        <x:v>FSQ-019</x:v>
      </x:c>
      <x:c r="B20" s="46" t="str">
        <x:v>Toluene</x:v>
      </x:c>
      <x:c r="C20" s="46" t="str">
        <x:v>SRC-FISH-SALMON-COOK-001</x:v>
      </x:c>
      <x:c r="D20" s="46" t="str">
        <x:v>SRC-FISH-COD-SALMON-RAW-IDQA-001</x:v>
      </x:c>
      <x:c r="E20" s="46" t="str">
        <x:v>Toluene</x:v>
      </x:c>
      <x:c r="F20" s="46" t="str">
        <x:v>760</x:v>
      </x:c>
      <x:c r="G20" s="46" t="n">
        <x:v>91</x:v>
      </x:c>
      <x:c r="H20" s="46" t="str">
        <x:v>MS, LRI</x:v>
      </x:c>
      <x:c r="I20" s="46" t="str">
        <x:v>no</x:v>
      </x:c>
      <x:c r="J20" s="46" t="str">
        <x:v>independent_identity_corroboration</x:v>
      </x:c>
      <x:c r="K20" s="46" t="str">
        <x:v>LRI/standard fields belong to the independent fresh salmon/cod source, not to the 2022 cooking-source row.</x:v>
      </x:c>
    </x:row>
    <x:row r="21" ht="26.399999618530273" hidden="0" customHeight="1">
      <x:c r="A21" s="46" t="str">
        <x:v>FSQ-020</x:v>
      </x:c>
      <x:c r="B21" s="46" t="str">
        <x:v>Ethyl acetate</x:v>
      </x:c>
      <x:c r="C21" s="46" t="str">
        <x:v>SRC-FISH-SALMON-COOK-001</x:v>
      </x:c>
      <x:c r="D21" s="46" t="str">
        <x:v>SRC-FISH-COD-SALMON-RAW-IDQA-001</x:v>
      </x:c>
      <x:c r="E21" s="46" t="str">
        <x:v>ethyl acetate</x:v>
      </x:c>
      <x:c r="F21" s="46" t="str">
        <x:v>613</x:v>
      </x:c>
      <x:c r="G21" s="46" t="n">
        <x:v>70</x:v>
      </x:c>
      <x:c r="H21" s="46" t="str">
        <x:v>MS, LRI, Std</x:v>
      </x:c>
      <x:c r="I21" s="46" t="str">
        <x:v>yes</x:v>
      </x:c>
      <x:c r="J21" s="46" t="str">
        <x:v>independent_identity_corroboration</x:v>
      </x:c>
      <x:c r="K21" s="46" t="str">
        <x:v>LRI/standard fields belong to the independent fresh salmon/cod source, not to the 2022 cooking-source row.</x:v>
      </x:c>
    </x:row>
    <x:row r="22" ht="26.399999618530273" hidden="0" customHeight="1">
      <x:c r="A22" s="46" t="str">
        <x:v>FSQ-021</x:v>
      </x:c>
      <x:c r="B22" s="46" t="str">
        <x:v>2-Pentanone</x:v>
      </x:c>
      <x:c r="C22" s="46" t="str">
        <x:v>SRC-FISH-SALMON-COOK-001</x:v>
      </x:c>
      <x:c r="D22" s="46" t="str">
        <x:v>SRC-FISH-COD-SALMON-RAW-IDQA-001</x:v>
      </x:c>
      <x:c r="E22" s="46" t="str">
        <x:v>2-pentanone</x:v>
      </x:c>
      <x:c r="F22" s="46" t="str">
        <x:v>684</x:v>
      </x:c>
      <x:c r="G22" s="46" t="n">
        <x:v>43</x:v>
      </x:c>
      <x:c r="H22" s="46" t="str">
        <x:v>MS, LRI</x:v>
      </x:c>
      <x:c r="I22" s="46" t="str">
        <x:v>no</x:v>
      </x:c>
      <x:c r="J22" s="46" t="str">
        <x:v>independent_identity_corroboration</x:v>
      </x:c>
      <x:c r="K22" s="46" t="str">
        <x:v>LRI/standard fields belong to the independent fresh salmon/cod source, not to the 2022 cooking-source row.</x:v>
      </x:c>
    </x:row>
  </x:sheetData>
  <x:pageMargins left="0.7" right="0.7" top="0.75" bottom="0.75" header="0.3" footer="0.3"/>
  <x:tableParts count="1">
    <x:tablePart xmlns:r="http://schemas.openxmlformats.org/officeDocument/2006/relationships" r:id="Rd597d97fc81d41b9"/>
  </x:tableParts>
</x:worksheet>
</file>

<file path=xl/worksheets/sheet70.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34" hidden="0" customWidth="1"/>
    <x:col min="5" max="5" width="28" hidden="0" customWidth="1"/>
    <x:col min="6" max="6" width="20" hidden="0" customWidth="1"/>
    <x:col min="7" max="7" width="38" hidden="0" customWidth="1"/>
    <x:col min="8" max="8" width="15" hidden="0" customWidth="1"/>
    <x:col min="9" max="9" width="13" hidden="0" customWidth="1"/>
    <x:col min="10" max="10" width="13" hidden="0" customWidth="1"/>
    <x:col min="11" max="11" width="46" hidden="0" customWidth="1"/>
    <x:col min="12" max="12" width="18" hidden="0" customWidth="1"/>
    <x:col min="13" max="13" width="34"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4" hidden="0" customWidth="1"/>
    <x:col min="23" max="23" width="24"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cas</x:v>
      </x:c>
      <x:c r="I1" s="201" t="str">
        <x:v>ri_reference</x:v>
      </x:c>
      <x:c r="J1" s="201" t="str">
        <x:v>ri_calculated</x:v>
      </x:c>
      <x:c r="K1" s="201" t="str">
        <x:v>identification_method</x:v>
      </x:c>
      <x:c r="L1" s="201" t="str">
        <x:v>numeric_match_factor</x:v>
      </x:c>
      <x:c r="M1" s="201" t="str">
        <x:v>mr09_status</x:v>
      </x:c>
      <x:c r="N1" s="201" t="str">
        <x:v>SCB1_ug_g</x:v>
      </x:c>
      <x:c r="O1" s="201" t="str">
        <x:v>SCB2_ug_g</x:v>
      </x:c>
      <x:c r="P1" s="201" t="str">
        <x:v>SCB3_ug_g</x:v>
      </x:c>
      <x:c r="Q1" s="201" t="str">
        <x:v>CB1_ug_g</x:v>
      </x:c>
      <x:c r="R1" s="201" t="str">
        <x:v>CB2_ug_g</x:v>
      </x:c>
      <x:c r="S1" s="201" t="str">
        <x:v>CB3_ug_g</x:v>
      </x:c>
      <x:c r="T1" s="201" t="str">
        <x:v>CB4_ug_g</x:v>
      </x:c>
      <x:c r="U1" s="201" t="str">
        <x:v>unit</x:v>
      </x:c>
      <x:c r="V1" s="201" t="str">
        <x:v>lactone_flag</x:v>
      </x:c>
      <x:c r="W1" s="201" t="str">
        <x:v>type_pattern</x:v>
      </x:c>
    </x:row>
    <x:row r="2" ht="26.399999618530273" hidden="0" customHeight="1">
      <x:c r="A2" s="46" t="str">
        <x:v>DBT-001</x:v>
      </x:c>
      <x:c r="B2" s="46" t="str">
        <x:v>dairy:butter</x:v>
      </x:c>
      <x:c r="C2" s="46" t="str">
        <x:v>family:dairy_carrier</x:v>
      </x:c>
      <x:c r="D2" s="46" t="str">
        <x:v>sweet cream + cultured commercial butter</x:v>
      </x:c>
      <x:c r="E2" s="46" t="str">
        <x:v>SRC-BUTTER-SCB-CB-001</x:v>
      </x:c>
      <x:c r="F2" s="46" t="str">
        <x:v>Acids</x:v>
      </x:c>
      <x:c r="G2" s="46" t="str">
        <x:v>Butanoic acid</x:v>
      </x:c>
      <x:c r="H2" s="46" t="str">
        <x:v>107-92-6</x:v>
      </x:c>
      <x:c r="I2" s="46" t="n">
        <x:v>790</x:v>
      </x:c>
      <x:c r="J2" s="46" t="n">
        <x:v>806</x:v>
      </x:c>
      <x:c r="K2" s="46" t="str">
        <x:v>HS-SPME-GC-MS; reference RI + calculated RI + NIST/library workflow</x:v>
      </x:c>
      <x:c r="L2" s="46"/>
      <x:c r="M2" s="46" t="str">
        <x:v>ri_reference_and_calculated_no_numeric_match_factor</x:v>
      </x:c>
      <x:c r="N2" s="46"/>
      <x:c r="O2" s="46"/>
      <x:c r="P2" s="46"/>
      <x:c r="Q2" s="46" t="n">
        <x:v>0.44</x:v>
      </x:c>
      <x:c r="R2" s="46"/>
      <x:c r="S2" s="46"/>
      <x:c r="T2" s="46"/>
      <x:c r="U2" s="46" t="str">
        <x:v>µg/g</x:v>
      </x:c>
      <x:c r="V2" s="46" t="str">
        <x:v>no</x:v>
      </x:c>
      <x:c r="W2" s="46" t="str">
        <x:v>shared_or_brand_variable</x:v>
      </x:c>
    </x:row>
    <x:row r="3" ht="26.399999618530273" hidden="0" customHeight="1">
      <x:c r="A3" s="46" t="str">
        <x:v>DBT-002</x:v>
      </x:c>
      <x:c r="B3" s="46" t="str">
        <x:v>dairy:butter</x:v>
      </x:c>
      <x:c r="C3" s="46" t="str">
        <x:v>family:dairy_carrier</x:v>
      </x:c>
      <x:c r="D3" s="46" t="str">
        <x:v>sweet cream + cultured commercial butter</x:v>
      </x:c>
      <x:c r="E3" s="46" t="str">
        <x:v>SRC-BUTTER-SCB-CB-001</x:v>
      </x:c>
      <x:c r="F3" s="46" t="str">
        <x:v>Acids</x:v>
      </x:c>
      <x:c r="G3" s="46" t="str">
        <x:v>Hexanoic acid</x:v>
      </x:c>
      <x:c r="H3" s="46" t="str">
        <x:v>142-62-1</x:v>
      </x:c>
      <x:c r="I3" s="46" t="n">
        <x:v>999</x:v>
      </x:c>
      <x:c r="J3" s="46" t="n">
        <x:v>997</x:v>
      </x:c>
      <x:c r="K3" s="46" t="str">
        <x:v>HS-SPME-GC-MS; reference RI + calculated RI + NIST/library workflow</x:v>
      </x:c>
      <x:c r="L3" s="46"/>
      <x:c r="M3" s="46" t="str">
        <x:v>ri_reference_and_calculated_no_numeric_match_factor</x:v>
      </x:c>
      <x:c r="N3" s="46" t="n">
        <x:v>0.59</x:v>
      </x:c>
      <x:c r="O3" s="46" t="n">
        <x:v>0.52</x:v>
      </x:c>
      <x:c r="P3" s="46" t="n">
        <x:v>0.47</x:v>
      </x:c>
      <x:c r="Q3" s="46" t="n">
        <x:v>0.83</x:v>
      </x:c>
      <x:c r="R3" s="46"/>
      <x:c r="S3" s="46" t="n">
        <x:v>1.36</x:v>
      </x:c>
      <x:c r="T3" s="46" t="n">
        <x:v>1.61</x:v>
      </x:c>
      <x:c r="U3" s="46" t="str">
        <x:v>µg/g</x:v>
      </x:c>
      <x:c r="V3" s="46" t="str">
        <x:v>no</x:v>
      </x:c>
      <x:c r="W3" s="46" t="str">
        <x:v>shared_or_brand_variable</x:v>
      </x:c>
    </x:row>
    <x:row r="4" ht="26.399999618530273" hidden="0" customHeight="1">
      <x:c r="A4" s="46" t="str">
        <x:v>DBT-003</x:v>
      </x:c>
      <x:c r="B4" s="46" t="str">
        <x:v>dairy:butter</x:v>
      </x:c>
      <x:c r="C4" s="46" t="str">
        <x:v>family:dairy_carrier</x:v>
      </x:c>
      <x:c r="D4" s="46" t="str">
        <x:v>sweet cream + cultured commercial butter</x:v>
      </x:c>
      <x:c r="E4" s="46" t="str">
        <x:v>SRC-BUTTER-SCB-CB-001</x:v>
      </x:c>
      <x:c r="F4" s="46" t="str">
        <x:v>Acids</x:v>
      </x:c>
      <x:c r="G4" s="46" t="str">
        <x:v>Octanoic acid</x:v>
      </x:c>
      <x:c r="H4" s="46" t="str">
        <x:v>124-07-2</x:v>
      </x:c>
      <x:c r="I4" s="46" t="n">
        <x:v>1188</x:v>
      </x:c>
      <x:c r="J4" s="46" t="n">
        <x:v>1187</x:v>
      </x:c>
      <x:c r="K4" s="46" t="str">
        <x:v>HS-SPME-GC-MS; reference RI + calculated RI + NIST/library workflow</x:v>
      </x:c>
      <x:c r="L4" s="46"/>
      <x:c r="M4" s="46" t="str">
        <x:v>ri_reference_and_calculated_no_numeric_match_factor</x:v>
      </x:c>
      <x:c r="N4" s="46" t="n">
        <x:v>0.59</x:v>
      </x:c>
      <x:c r="O4" s="46" t="n">
        <x:v>0.65</x:v>
      </x:c>
      <x:c r="P4" s="46" t="n">
        <x:v>1.33</x:v>
      </x:c>
      <x:c r="Q4" s="46" t="n">
        <x:v>1.63</x:v>
      </x:c>
      <x:c r="R4" s="46" t="n">
        <x:v>5.09</x:v>
      </x:c>
      <x:c r="S4" s="46" t="n">
        <x:v>1.91</x:v>
      </x:c>
      <x:c r="T4" s="46" t="n">
        <x:v>2.74</x:v>
      </x:c>
      <x:c r="U4" s="46" t="str">
        <x:v>µg/g</x:v>
      </x:c>
      <x:c r="V4" s="46" t="str">
        <x:v>no</x:v>
      </x:c>
      <x:c r="W4" s="46" t="str">
        <x:v>shared_or_brand_variable</x:v>
      </x:c>
    </x:row>
    <x:row r="5" ht="26.399999618530273" hidden="0" customHeight="1">
      <x:c r="A5" s="46" t="str">
        <x:v>DBT-004</x:v>
      </x:c>
      <x:c r="B5" s="46" t="str">
        <x:v>dairy:butter</x:v>
      </x:c>
      <x:c r="C5" s="46" t="str">
        <x:v>family:dairy_carrier</x:v>
      </x:c>
      <x:c r="D5" s="46" t="str">
        <x:v>sweet cream + cultured commercial butter</x:v>
      </x:c>
      <x:c r="E5" s="46" t="str">
        <x:v>SRC-BUTTER-SCB-CB-001</x:v>
      </x:c>
      <x:c r="F5" s="46" t="str">
        <x:v>Acids</x:v>
      </x:c>
      <x:c r="G5" s="46" t="str">
        <x:v>Nonanoic acid</x:v>
      </x:c>
      <x:c r="H5" s="46" t="str">
        <x:v>112-05-0</x:v>
      </x:c>
      <x:c r="I5" s="46" t="n">
        <x:v>1280</x:v>
      </x:c>
      <x:c r="J5" s="46" t="n">
        <x:v>1277</x:v>
      </x:c>
      <x:c r="K5" s="46" t="str">
        <x:v>HS-SPME-GC-MS; reference RI + calculated RI + NIST/library workflow</x:v>
      </x:c>
      <x:c r="L5" s="46"/>
      <x:c r="M5" s="46" t="str">
        <x:v>ri_reference_and_calculated_no_numeric_match_factor</x:v>
      </x:c>
      <x:c r="N5" s="46" t="n">
        <x:v>0.08</x:v>
      </x:c>
      <x:c r="O5" s="46"/>
      <x:c r="P5" s="46"/>
      <x:c r="Q5" s="46"/>
      <x:c r="R5" s="46" t="n">
        <x:v>0.16</x:v>
      </x:c>
      <x:c r="S5" s="46"/>
      <x:c r="T5" s="46"/>
      <x:c r="U5" s="46" t="str">
        <x:v>µg/g</x:v>
      </x:c>
      <x:c r="V5" s="46" t="str">
        <x:v>no</x:v>
      </x:c>
      <x:c r="W5" s="46" t="str">
        <x:v>shared_or_brand_variable</x:v>
      </x:c>
    </x:row>
    <x:row r="6" ht="26.399999618530273" hidden="0" customHeight="1">
      <x:c r="A6" s="46" t="str">
        <x:v>DBT-005</x:v>
      </x:c>
      <x:c r="B6" s="46" t="str">
        <x:v>dairy:butter</x:v>
      </x:c>
      <x:c r="C6" s="46" t="str">
        <x:v>family:dairy_carrier</x:v>
      </x:c>
      <x:c r="D6" s="46" t="str">
        <x:v>sweet cream + cultured commercial butter</x:v>
      </x:c>
      <x:c r="E6" s="46" t="str">
        <x:v>SRC-BUTTER-SCB-CB-001</x:v>
      </x:c>
      <x:c r="F6" s="46" t="str">
        <x:v>Acids</x:v>
      </x:c>
      <x:c r="G6" s="46" t="str">
        <x:v>Decanoic acid</x:v>
      </x:c>
      <x:c r="H6" s="46" t="str">
        <x:v>334-48-5</x:v>
      </x:c>
      <x:c r="I6" s="46" t="n">
        <x:v>1379</x:v>
      </x:c>
      <x:c r="J6" s="46" t="n">
        <x:v>1378</x:v>
      </x:c>
      <x:c r="K6" s="46" t="str">
        <x:v>HS-SPME-GC-MS; reference RI + calculated RI + NIST/library workflow</x:v>
      </x:c>
      <x:c r="L6" s="46"/>
      <x:c r="M6" s="46" t="str">
        <x:v>ri_reference_and_calculated_no_numeric_match_factor</x:v>
      </x:c>
      <x:c r="N6" s="46" t="n">
        <x:v>0.58</x:v>
      </x:c>
      <x:c r="O6" s="46" t="n">
        <x:v>0.51</x:v>
      </x:c>
      <x:c r="P6" s="46" t="n">
        <x:v>2.55</x:v>
      </x:c>
      <x:c r="Q6" s="46" t="n">
        <x:v>2.6</x:v>
      </x:c>
      <x:c r="R6" s="46" t="n">
        <x:v>3.93</x:v>
      </x:c>
      <x:c r="S6" s="46" t="n">
        <x:v>2.94</x:v>
      </x:c>
      <x:c r="T6" s="46" t="n">
        <x:v>4.7</x:v>
      </x:c>
      <x:c r="U6" s="46" t="str">
        <x:v>µg/g</x:v>
      </x:c>
      <x:c r="V6" s="46" t="str">
        <x:v>no</x:v>
      </x:c>
      <x:c r="W6" s="46" t="str">
        <x:v>shared_or_brand_variable</x:v>
      </x:c>
    </x:row>
    <x:row r="7" ht="26.399999618530273" hidden="0" customHeight="1">
      <x:c r="A7" s="46" t="str">
        <x:v>DBT-006</x:v>
      </x:c>
      <x:c r="B7" s="46" t="str">
        <x:v>dairy:butter</x:v>
      </x:c>
      <x:c r="C7" s="46" t="str">
        <x:v>family:dairy_carrier</x:v>
      </x:c>
      <x:c r="D7" s="46" t="str">
        <x:v>sweet cream + cultured commercial butter</x:v>
      </x:c>
      <x:c r="E7" s="46" t="str">
        <x:v>SRC-BUTTER-SCB-CB-001</x:v>
      </x:c>
      <x:c r="F7" s="46" t="str">
        <x:v>Acids</x:v>
      </x:c>
      <x:c r="G7" s="46" t="str">
        <x:v>Dodecanoic acid</x:v>
      </x:c>
      <x:c r="H7" s="46" t="str">
        <x:v>143-07-7</x:v>
      </x:c>
      <x:c r="I7" s="46" t="n">
        <x:v>1571</x:v>
      </x:c>
      <x:c r="J7" s="46" t="n">
        <x:v>1572</x:v>
      </x:c>
      <x:c r="K7" s="46" t="str">
        <x:v>HS-SPME-GC-MS; reference RI + calculated RI + NIST/library workflow</x:v>
      </x:c>
      <x:c r="L7" s="46"/>
      <x:c r="M7" s="46" t="str">
        <x:v>ri_reference_and_calculated_no_numeric_match_factor</x:v>
      </x:c>
      <x:c r="N7" s="46" t="n">
        <x:v>0.12</x:v>
      </x:c>
      <x:c r="O7" s="46"/>
      <x:c r="P7" s="46" t="n">
        <x:v>0.57</x:v>
      </x:c>
      <x:c r="Q7" s="46" t="n">
        <x:v>1.11</x:v>
      </x:c>
      <x:c r="R7" s="46" t="n">
        <x:v>0.52</x:v>
      </x:c>
      <x:c r="S7" s="46" t="n">
        <x:v>0.61</x:v>
      </x:c>
      <x:c r="T7" s="46" t="n">
        <x:v>1.18</x:v>
      </x:c>
      <x:c r="U7" s="46" t="str">
        <x:v>µg/g</x:v>
      </x:c>
      <x:c r="V7" s="46" t="str">
        <x:v>no</x:v>
      </x:c>
      <x:c r="W7" s="46" t="str">
        <x:v>shared_or_brand_variable</x:v>
      </x:c>
    </x:row>
    <x:row r="8" ht="26.399999618530273" hidden="0" customHeight="1">
      <x:c r="A8" s="46" t="str">
        <x:v>DBT-007</x:v>
      </x:c>
      <x:c r="B8" s="46" t="str">
        <x:v>dairy:butter</x:v>
      </x:c>
      <x:c r="C8" s="46" t="str">
        <x:v>family:dairy_carrier</x:v>
      </x:c>
      <x:c r="D8" s="46" t="str">
        <x:v>sweet cream + cultured commercial butter</x:v>
      </x:c>
      <x:c r="E8" s="46" t="str">
        <x:v>SRC-BUTTER-SCB-CB-001</x:v>
      </x:c>
      <x:c r="F8" s="46" t="str">
        <x:v>Acids</x:v>
      </x:c>
      <x:c r="G8" s="46" t="str">
        <x:v>Myristic acid</x:v>
      </x:c>
      <x:c r="H8" s="46" t="str">
        <x:v>544-63-8</x:v>
      </x:c>
      <x:c r="I8" s="46" t="n">
        <x:v>1770</x:v>
      </x:c>
      <x:c r="J8" s="46" t="n">
        <x:v>1770</x:v>
      </x:c>
      <x:c r="K8" s="46" t="str">
        <x:v>HS-SPME-GC-MS; reference RI + calculated RI + NIST/library workflow</x:v>
      </x:c>
      <x:c r="L8" s="46"/>
      <x:c r="M8" s="46" t="str">
        <x:v>ri_reference_and_calculated_no_numeric_match_factor</x:v>
      </x:c>
      <x:c r="N8" s="46"/>
      <x:c r="O8" s="46"/>
      <x:c r="P8" s="46"/>
      <x:c r="Q8" s="46" t="n">
        <x:v>0.18</x:v>
      </x:c>
      <x:c r="R8" s="46"/>
      <x:c r="S8" s="46"/>
      <x:c r="T8" s="46"/>
      <x:c r="U8" s="46" t="str">
        <x:v>µg/g</x:v>
      </x:c>
      <x:c r="V8" s="46" t="str">
        <x:v>no</x:v>
      </x:c>
      <x:c r="W8" s="46" t="str">
        <x:v>shared_or_brand_variable</x:v>
      </x:c>
    </x:row>
    <x:row r="9" ht="26.399999618530273" hidden="0" customHeight="1">
      <x:c r="A9" s="46" t="str">
        <x:v>DBT-008</x:v>
      </x:c>
      <x:c r="B9" s="46" t="str">
        <x:v>dairy:butter</x:v>
      </x:c>
      <x:c r="C9" s="46" t="str">
        <x:v>family:dairy_carrier</x:v>
      </x:c>
      <x:c r="D9" s="46" t="str">
        <x:v>sweet cream + cultured commercial butter</x:v>
      </x:c>
      <x:c r="E9" s="46" t="str">
        <x:v>SRC-BUTTER-SCB-CB-001</x:v>
      </x:c>
      <x:c r="F9" s="46" t="str">
        <x:v>Ketones</x:v>
      </x:c>
      <x:c r="G9" s="46" t="str">
        <x:v>2-Heptanone</x:v>
      </x:c>
      <x:c r="H9" s="46" t="str">
        <x:v>110-43-0</x:v>
      </x:c>
      <x:c r="I9" s="46" t="n">
        <x:v>898</x:v>
      </x:c>
      <x:c r="J9" s="46" t="n">
        <x:v>899</x:v>
      </x:c>
      <x:c r="K9" s="46" t="str">
        <x:v>HS-SPME-GC-MS; reference RI + calculated RI + NIST/library workflow</x:v>
      </x:c>
      <x:c r="L9" s="46"/>
      <x:c r="M9" s="46" t="str">
        <x:v>ri_reference_and_calculated_no_numeric_match_factor</x:v>
      </x:c>
      <x:c r="N9" s="46" t="n">
        <x:v>0.9</x:v>
      </x:c>
      <x:c r="O9" s="46" t="n">
        <x:v>0.49</x:v>
      </x:c>
      <x:c r="P9" s="46" t="n">
        <x:v>0.63</x:v>
      </x:c>
      <x:c r="Q9" s="46"/>
      <x:c r="R9" s="46" t="n">
        <x:v>0.55</x:v>
      </x:c>
      <x:c r="S9" s="46"/>
      <x:c r="T9" s="46" t="n">
        <x:v>1.02</x:v>
      </x:c>
      <x:c r="U9" s="46" t="str">
        <x:v>µg/g</x:v>
      </x:c>
      <x:c r="V9" s="46" t="str">
        <x:v>no</x:v>
      </x:c>
      <x:c r="W9" s="46" t="str">
        <x:v>shared_or_brand_variable</x:v>
      </x:c>
    </x:row>
    <x:row r="10" ht="26.399999618530273" hidden="0" customHeight="1">
      <x:c r="A10" s="46" t="str">
        <x:v>DBT-009</x:v>
      </x:c>
      <x:c r="B10" s="46" t="str">
        <x:v>dairy:butter</x:v>
      </x:c>
      <x:c r="C10" s="46" t="str">
        <x:v>family:dairy_carrier</x:v>
      </x:c>
      <x:c r="D10" s="46" t="str">
        <x:v>sweet cream + cultured commercial butter</x:v>
      </x:c>
      <x:c r="E10" s="46" t="str">
        <x:v>SRC-BUTTER-SCB-CB-001</x:v>
      </x:c>
      <x:c r="F10" s="46" t="str">
        <x:v>Ketones</x:v>
      </x:c>
      <x:c r="G10" s="46" t="str">
        <x:v>3,5-Octadien-2-one</x:v>
      </x:c>
      <x:c r="H10" s="46" t="str">
        <x:v>38284-27-4</x:v>
      </x:c>
      <x:c r="I10" s="46" t="n">
        <x:v>1076</x:v>
      </x:c>
      <x:c r="J10" s="46" t="n">
        <x:v>1077</x:v>
      </x:c>
      <x:c r="K10" s="46" t="str">
        <x:v>HS-SPME-GC-MS; reference RI + calculated RI + NIST/library workflow</x:v>
      </x:c>
      <x:c r="L10" s="46"/>
      <x:c r="M10" s="46" t="str">
        <x:v>ri_reference_and_calculated_no_numeric_match_factor</x:v>
      </x:c>
      <x:c r="N10" s="46"/>
      <x:c r="O10" s="46" t="n">
        <x:v>0.09</x:v>
      </x:c>
      <x:c r="P10" s="46"/>
      <x:c r="Q10" s="46"/>
      <x:c r="R10" s="46"/>
      <x:c r="S10" s="46" t="n">
        <x:v>0.21</x:v>
      </x:c>
      <x:c r="T10" s="46"/>
      <x:c r="U10" s="46" t="str">
        <x:v>µg/g</x:v>
      </x:c>
      <x:c r="V10" s="46" t="str">
        <x:v>no</x:v>
      </x:c>
      <x:c r="W10" s="46" t="str">
        <x:v>shared_or_brand_variable</x:v>
      </x:c>
    </x:row>
    <x:row r="11" ht="26.399999618530273" hidden="0" customHeight="1">
      <x:c r="A11" s="46" t="str">
        <x:v>DBT-010</x:v>
      </x:c>
      <x:c r="B11" s="46" t="str">
        <x:v>dairy:butter</x:v>
      </x:c>
      <x:c r="C11" s="46" t="str">
        <x:v>family:dairy_carrier</x:v>
      </x:c>
      <x:c r="D11" s="46" t="str">
        <x:v>sweet cream + cultured commercial butter</x:v>
      </x:c>
      <x:c r="E11" s="46" t="str">
        <x:v>SRC-BUTTER-SCB-CB-001</x:v>
      </x:c>
      <x:c r="F11" s="46" t="str">
        <x:v>Ketones</x:v>
      </x:c>
      <x:c r="G11" s="46" t="str">
        <x:v>2-Nonanone</x:v>
      </x:c>
      <x:c r="H11" s="46" t="str">
        <x:v>821-55-6</x:v>
      </x:c>
      <x:c r="I11" s="46" t="n">
        <x:v>1095</x:v>
      </x:c>
      <x:c r="J11" s="46" t="n">
        <x:v>1095</x:v>
      </x:c>
      <x:c r="K11" s="46" t="str">
        <x:v>HS-SPME-GC-MS; reference RI + calculated RI + NIST/library workflow</x:v>
      </x:c>
      <x:c r="L11" s="46"/>
      <x:c r="M11" s="46" t="str">
        <x:v>ri_reference_and_calculated_no_numeric_match_factor</x:v>
      </x:c>
      <x:c r="N11" s="46" t="n">
        <x:v>1.4</x:v>
      </x:c>
      <x:c r="O11" s="46" t="n">
        <x:v>0.44</x:v>
      </x:c>
      <x:c r="P11" s="46" t="n">
        <x:v>0.93</x:v>
      </x:c>
      <x:c r="Q11" s="46" t="n">
        <x:v>0.73</x:v>
      </x:c>
      <x:c r="R11" s="46" t="n">
        <x:v>0.72</x:v>
      </x:c>
      <x:c r="S11" s="46" t="n">
        <x:v>0.7</x:v>
      </x:c>
      <x:c r="T11" s="46" t="n">
        <x:v>2.02</x:v>
      </x:c>
      <x:c r="U11" s="46" t="str">
        <x:v>µg/g</x:v>
      </x:c>
      <x:c r="V11" s="46" t="str">
        <x:v>no</x:v>
      </x:c>
      <x:c r="W11" s="46" t="str">
        <x:v>shared_or_brand_variable</x:v>
      </x:c>
    </x:row>
    <x:row r="12" ht="26.399999618530273" hidden="0" customHeight="1">
      <x:c r="A12" s="46" t="str">
        <x:v>DBT-011</x:v>
      </x:c>
      <x:c r="B12" s="46" t="str">
        <x:v>dairy:butter</x:v>
      </x:c>
      <x:c r="C12" s="46" t="str">
        <x:v>family:dairy_carrier</x:v>
      </x:c>
      <x:c r="D12" s="46" t="str">
        <x:v>sweet cream + cultured commercial butter</x:v>
      </x:c>
      <x:c r="E12" s="46" t="str">
        <x:v>SRC-BUTTER-SCB-CB-001</x:v>
      </x:c>
      <x:c r="F12" s="46" t="str">
        <x:v>Ketones</x:v>
      </x:c>
      <x:c r="G12" s="46" t="str">
        <x:v>2-Undecanone</x:v>
      </x:c>
      <x:c r="H12" s="46" t="str">
        <x:v>112-12-9</x:v>
      </x:c>
      <x:c r="I12" s="46" t="n">
        <x:v>1296</x:v>
      </x:c>
      <x:c r="J12" s="46" t="n">
        <x:v>1295</x:v>
      </x:c>
      <x:c r="K12" s="46" t="str">
        <x:v>HS-SPME-GC-MS; reference RI + calculated RI + NIST/library workflow</x:v>
      </x:c>
      <x:c r="L12" s="46"/>
      <x:c r="M12" s="46" t="str">
        <x:v>ri_reference_and_calculated_no_numeric_match_factor</x:v>
      </x:c>
      <x:c r="N12" s="46" t="n">
        <x:v>0.78</x:v>
      </x:c>
      <x:c r="O12" s="46" t="n">
        <x:v>0.29</x:v>
      </x:c>
      <x:c r="P12" s="46" t="n">
        <x:v>0.75</x:v>
      </x:c>
      <x:c r="Q12" s="46" t="n">
        <x:v>0.72</x:v>
      </x:c>
      <x:c r="R12" s="46" t="n">
        <x:v>0.43</x:v>
      </x:c>
      <x:c r="S12" s="46" t="n">
        <x:v>0.38</x:v>
      </x:c>
      <x:c r="T12" s="46" t="n">
        <x:v>2.15</x:v>
      </x:c>
      <x:c r="U12" s="46" t="str">
        <x:v>µg/g</x:v>
      </x:c>
      <x:c r="V12" s="46" t="str">
        <x:v>no</x:v>
      </x:c>
      <x:c r="W12" s="46" t="str">
        <x:v>shared_or_brand_variable</x:v>
      </x:c>
    </x:row>
    <x:row r="13" ht="26.399999618530273" hidden="0" customHeight="1">
      <x:c r="A13" s="46" t="str">
        <x:v>DBT-012</x:v>
      </x:c>
      <x:c r="B13" s="46" t="str">
        <x:v>dairy:butter</x:v>
      </x:c>
      <x:c r="C13" s="46" t="str">
        <x:v>family:dairy_carrier</x:v>
      </x:c>
      <x:c r="D13" s="46" t="str">
        <x:v>sweet cream + cultured commercial butter</x:v>
      </x:c>
      <x:c r="E13" s="46" t="str">
        <x:v>SRC-BUTTER-SCB-CB-001</x:v>
      </x:c>
      <x:c r="F13" s="46" t="str">
        <x:v>Ketones</x:v>
      </x:c>
      <x:c r="G13" s="46" t="str">
        <x:v>2-Tridecanone</x:v>
      </x:c>
      <x:c r="H13" s="46" t="str">
        <x:v>593-08-8</x:v>
      </x:c>
      <x:c r="I13" s="46" t="n">
        <x:v>1491</x:v>
      </x:c>
      <x:c r="J13" s="46" t="n">
        <x:v>1496</x:v>
      </x:c>
      <x:c r="K13" s="46" t="str">
        <x:v>HS-SPME-GC-MS; reference RI + calculated RI + NIST/library workflow</x:v>
      </x:c>
      <x:c r="L13" s="46"/>
      <x:c r="M13" s="46" t="str">
        <x:v>ri_reference_and_calculated_no_numeric_match_factor</x:v>
      </x:c>
      <x:c r="N13" s="46"/>
      <x:c r="O13" s="46"/>
      <x:c r="P13" s="46" t="n">
        <x:v>0.29</x:v>
      </x:c>
      <x:c r="Q13" s="46"/>
      <x:c r="R13" s="46"/>
      <x:c r="S13" s="46"/>
      <x:c r="T13" s="46" t="n">
        <x:v>1.04</x:v>
      </x:c>
      <x:c r="U13" s="46" t="str">
        <x:v>µg/g</x:v>
      </x:c>
      <x:c r="V13" s="46" t="str">
        <x:v>no</x:v>
      </x:c>
      <x:c r="W13" s="46" t="str">
        <x:v>shared_or_brand_variable</x:v>
      </x:c>
    </x:row>
    <x:row r="14" ht="26.399999618530273" hidden="0" customHeight="1">
      <x:c r="A14" s="46" t="str">
        <x:v>DBT-013</x:v>
      </x:c>
      <x:c r="B14" s="46" t="str">
        <x:v>dairy:butter</x:v>
      </x:c>
      <x:c r="C14" s="46" t="str">
        <x:v>family:dairy_carrier</x:v>
      </x:c>
      <x:c r="D14" s="46" t="str">
        <x:v>sweet cream + cultured commercial butter</x:v>
      </x:c>
      <x:c r="E14" s="46" t="str">
        <x:v>SRC-BUTTER-SCB-CB-001</x:v>
      </x:c>
      <x:c r="F14" s="46" t="str">
        <x:v>Ketones</x:v>
      </x:c>
      <x:c r="G14" s="46" t="str">
        <x:v>Benzophenone</x:v>
      </x:c>
      <x:c r="H14" s="46" t="str">
        <x:v>119-61-9</x:v>
      </x:c>
      <x:c r="I14" s="46" t="n">
        <x:v>1635</x:v>
      </x:c>
      <x:c r="J14" s="46" t="n">
        <x:v>1635</x:v>
      </x:c>
      <x:c r="K14" s="46" t="str">
        <x:v>HS-SPME-GC-MS; reference RI + calculated RI + NIST/library workflow</x:v>
      </x:c>
      <x:c r="L14" s="46"/>
      <x:c r="M14" s="46" t="str">
        <x:v>ri_reference_and_calculated_no_numeric_match_factor</x:v>
      </x:c>
      <x:c r="N14" s="46"/>
      <x:c r="O14" s="46" t="n">
        <x:v>0.04</x:v>
      </x:c>
      <x:c r="P14" s="46"/>
      <x:c r="Q14" s="46"/>
      <x:c r="R14" s="46"/>
      <x:c r="S14" s="46"/>
      <x:c r="T14" s="46"/>
      <x:c r="U14" s="46" t="str">
        <x:v>µg/g</x:v>
      </x:c>
      <x:c r="V14" s="46" t="str">
        <x:v>no</x:v>
      </x:c>
      <x:c r="W14" s="46" t="str">
        <x:v>shared_or_brand_variable</x:v>
      </x:c>
    </x:row>
    <x:row r="15" ht="26.399999618530273" hidden="0" customHeight="1">
      <x:c r="A15" s="46" t="str">
        <x:v>DBT-014</x:v>
      </x:c>
      <x:c r="B15" s="46" t="str">
        <x:v>dairy:butter</x:v>
      </x:c>
      <x:c r="C15" s="46" t="str">
        <x:v>family:dairy_carrier</x:v>
      </x:c>
      <x:c r="D15" s="46" t="str">
        <x:v>sweet cream + cultured commercial butter</x:v>
      </x:c>
      <x:c r="E15" s="46" t="str">
        <x:v>SRC-BUTTER-SCB-CB-001</x:v>
      </x:c>
      <x:c r="F15" s="46" t="str">
        <x:v>Aldehydes</x:v>
      </x:c>
      <x:c r="G15" s="46" t="str">
        <x:v>Phenylacetaldehyde</x:v>
      </x:c>
      <x:c r="H15" s="46" t="str">
        <x:v>122-78-1</x:v>
      </x:c>
      <x:c r="I15" s="46" t="n">
        <x:v>1051</x:v>
      </x:c>
      <x:c r="J15" s="46" t="n">
        <x:v>1051</x:v>
      </x:c>
      <x:c r="K15" s="46" t="str">
        <x:v>HS-SPME-GC-MS; reference RI + calculated RI + NIST/library workflow</x:v>
      </x:c>
      <x:c r="L15" s="46"/>
      <x:c r="M15" s="46" t="str">
        <x:v>ri_reference_and_calculated_no_numeric_match_factor</x:v>
      </x:c>
      <x:c r="N15" s="46" t="n">
        <x:v>0.55</x:v>
      </x:c>
      <x:c r="O15" s="46" t="n">
        <x:v>0.13</x:v>
      </x:c>
      <x:c r="P15" s="46"/>
      <x:c r="Q15" s="46"/>
      <x:c r="R15" s="46"/>
      <x:c r="S15" s="46"/>
      <x:c r="T15" s="46"/>
      <x:c r="U15" s="46" t="str">
        <x:v>µg/g</x:v>
      </x:c>
      <x:c r="V15" s="46" t="str">
        <x:v>no</x:v>
      </x:c>
      <x:c r="W15" s="46" t="str">
        <x:v>shared_or_brand_variable</x:v>
      </x:c>
    </x:row>
    <x:row r="16" ht="26.399999618530273" hidden="0" customHeight="1">
      <x:c r="A16" s="46" t="str">
        <x:v>DBT-015</x:v>
      </x:c>
      <x:c r="B16" s="46" t="str">
        <x:v>dairy:butter</x:v>
      </x:c>
      <x:c r="C16" s="46" t="str">
        <x:v>family:dairy_carrier</x:v>
      </x:c>
      <x:c r="D16" s="46" t="str">
        <x:v>sweet cream + cultured commercial butter</x:v>
      </x:c>
      <x:c r="E16" s="46" t="str">
        <x:v>SRC-BUTTER-SCB-CB-001</x:v>
      </x:c>
      <x:c r="F16" s="46" t="str">
        <x:v>Aldehydes</x:v>
      </x:c>
      <x:c r="G16" s="46" t="str">
        <x:v>Nonanal</x:v>
      </x:c>
      <x:c r="H16" s="46" t="str">
        <x:v>124-19-6</x:v>
      </x:c>
      <x:c r="I16" s="46" t="n">
        <x:v>1108</x:v>
      </x:c>
      <x:c r="J16" s="46" t="n">
        <x:v>1107</x:v>
      </x:c>
      <x:c r="K16" s="46" t="str">
        <x:v>HS-SPME-GC-MS; reference RI + calculated RI + NIST/library workflow</x:v>
      </x:c>
      <x:c r="L16" s="46"/>
      <x:c r="M16" s="46" t="str">
        <x:v>ri_reference_and_calculated_no_numeric_match_factor</x:v>
      </x:c>
      <x:c r="N16" s="46" t="n">
        <x:v>0.2</x:v>
      </x:c>
      <x:c r="O16" s="46" t="n">
        <x:v>0.1</x:v>
      </x:c>
      <x:c r="P16" s="46" t="n">
        <x:v>0.08</x:v>
      </x:c>
      <x:c r="Q16" s="46" t="n">
        <x:v>0.09</x:v>
      </x:c>
      <x:c r="R16" s="46" t="n">
        <x:v>0.12</x:v>
      </x:c>
      <x:c r="S16" s="46" t="n">
        <x:v>0.39</x:v>
      </x:c>
      <x:c r="T16" s="46" t="n">
        <x:v>0.17</x:v>
      </x:c>
      <x:c r="U16" s="46" t="str">
        <x:v>µg/g</x:v>
      </x:c>
      <x:c r="V16" s="46" t="str">
        <x:v>no</x:v>
      </x:c>
      <x:c r="W16" s="46" t="str">
        <x:v>shared_or_brand_variable</x:v>
      </x:c>
    </x:row>
    <x:row r="17" ht="26.399999618530273" hidden="0" customHeight="1">
      <x:c r="A17" s="46" t="str">
        <x:v>DBT-016</x:v>
      </x:c>
      <x:c r="B17" s="46" t="str">
        <x:v>dairy:butter</x:v>
      </x:c>
      <x:c r="C17" s="46" t="str">
        <x:v>family:dairy_carrier</x:v>
      </x:c>
      <x:c r="D17" s="46" t="str">
        <x:v>sweet cream + cultured commercial butter</x:v>
      </x:c>
      <x:c r="E17" s="46" t="str">
        <x:v>SRC-BUTTER-SCB-CB-001</x:v>
      </x:c>
      <x:c r="F17" s="46" t="str">
        <x:v>Aldehydes</x:v>
      </x:c>
      <x:c r="G17" s="46" t="str">
        <x:v>Decanal</x:v>
      </x:c>
      <x:c r="H17" s="46" t="str">
        <x:v>112-31-2</x:v>
      </x:c>
      <x:c r="I17" s="46" t="n">
        <x:v>1207</x:v>
      </x:c>
      <x:c r="J17" s="46" t="n">
        <x:v>1207</x:v>
      </x:c>
      <x:c r="K17" s="46" t="str">
        <x:v>HS-SPME-GC-MS; reference RI + calculated RI + NIST/library workflow</x:v>
      </x:c>
      <x:c r="L17" s="46"/>
      <x:c r="M17" s="46" t="str">
        <x:v>ri_reference_and_calculated_no_numeric_match_factor</x:v>
      </x:c>
      <x:c r="N17" s="46"/>
      <x:c r="O17" s="46"/>
      <x:c r="P17" s="46"/>
      <x:c r="Q17" s="46"/>
      <x:c r="R17" s="46"/>
      <x:c r="S17" s="46" t="n">
        <x:v>0.13</x:v>
      </x:c>
      <x:c r="T17" s="46"/>
      <x:c r="U17" s="46" t="str">
        <x:v>µg/g</x:v>
      </x:c>
      <x:c r="V17" s="46" t="str">
        <x:v>no</x:v>
      </x:c>
      <x:c r="W17" s="46" t="str">
        <x:v>shared_or_brand_variable</x:v>
      </x:c>
    </x:row>
    <x:row r="18" ht="26.399999618530273" hidden="0" customHeight="1">
      <x:c r="A18" s="46" t="str">
        <x:v>DBT-017</x:v>
      </x:c>
      <x:c r="B18" s="46" t="str">
        <x:v>dairy:butter</x:v>
      </x:c>
      <x:c r="C18" s="46" t="str">
        <x:v>family:dairy_carrier</x:v>
      </x:c>
      <x:c r="D18" s="46" t="str">
        <x:v>sweet cream + cultured commercial butter</x:v>
      </x:c>
      <x:c r="E18" s="46" t="str">
        <x:v>SRC-BUTTER-SCB-CB-001</x:v>
      </x:c>
      <x:c r="F18" s="46" t="str">
        <x:v>Lactones</x:v>
      </x:c>
      <x:c r="G18" s="46" t="str">
        <x:v>δ-Octalactone</x:v>
      </x:c>
      <x:c r="H18" s="46" t="str">
        <x:v>698-76-0</x:v>
      </x:c>
      <x:c r="I18" s="46" t="n">
        <x:v>1290</x:v>
      </x:c>
      <x:c r="J18" s="46" t="n">
        <x:v>1289</x:v>
      </x:c>
      <x:c r="K18" s="46" t="str">
        <x:v>HS-SPME-GC-MS; reference RI + calculated RI + NIST/library workflow</x:v>
      </x:c>
      <x:c r="L18" s="46"/>
      <x:c r="M18" s="46" t="str">
        <x:v>ri_reference_and_calculated_no_numeric_match_factor</x:v>
      </x:c>
      <x:c r="N18" s="46" t="n">
        <x:v>0.67</x:v>
      </x:c>
      <x:c r="O18" s="46" t="n">
        <x:v>0.26</x:v>
      </x:c>
      <x:c r="P18" s="46" t="n">
        <x:v>0.39</x:v>
      </x:c>
      <x:c r="Q18" s="46" t="n">
        <x:v>0.48</x:v>
      </x:c>
      <x:c r="R18" s="46" t="n">
        <x:v>0.5</x:v>
      </x:c>
      <x:c r="S18" s="46" t="n">
        <x:v>0.38</x:v>
      </x:c>
      <x:c r="T18" s="46" t="n">
        <x:v>0.5</x:v>
      </x:c>
      <x:c r="U18" s="46" t="str">
        <x:v>µg/g</x:v>
      </x:c>
      <x:c r="V18" s="46" t="str">
        <x:v>yes</x:v>
      </x:c>
      <x:c r="W18" s="46" t="str">
        <x:v>shared_or_brand_variable</x:v>
      </x:c>
    </x:row>
    <x:row r="19" ht="26.399999618530273" hidden="0" customHeight="1">
      <x:c r="A19" s="46" t="str">
        <x:v>DBT-018</x:v>
      </x:c>
      <x:c r="B19" s="46" t="str">
        <x:v>dairy:butter</x:v>
      </x:c>
      <x:c r="C19" s="46" t="str">
        <x:v>family:dairy_carrier</x:v>
      </x:c>
      <x:c r="D19" s="46" t="str">
        <x:v>sweet cream + cultured commercial butter</x:v>
      </x:c>
      <x:c r="E19" s="46" t="str">
        <x:v>SRC-BUTTER-SCB-CB-001</x:v>
      </x:c>
      <x:c r="F19" s="46" t="str">
        <x:v>Lactones</x:v>
      </x:c>
      <x:c r="G19" s="46" t="str">
        <x:v>δ-Decalactone</x:v>
      </x:c>
      <x:c r="H19" s="46" t="str">
        <x:v>705-86-2</x:v>
      </x:c>
      <x:c r="I19" s="46" t="n">
        <x:v>1500</x:v>
      </x:c>
      <x:c r="J19" s="46" t="n">
        <x:v>1500</x:v>
      </x:c>
      <x:c r="K19" s="46" t="str">
        <x:v>HS-SPME-GC-MS; reference RI + calculated RI + NIST/library workflow</x:v>
      </x:c>
      <x:c r="L19" s="46"/>
      <x:c r="M19" s="46" t="str">
        <x:v>ri_reference_and_calculated_no_numeric_match_factor</x:v>
      </x:c>
      <x:c r="N19" s="46" t="n">
        <x:v>2.86</x:v>
      </x:c>
      <x:c r="O19" s="46" t="n">
        <x:v>1.42</x:v>
      </x:c>
      <x:c r="P19" s="46" t="n">
        <x:v>1.71</x:v>
      </x:c>
      <x:c r="Q19" s="46" t="n">
        <x:v>3.61</x:v>
      </x:c>
      <x:c r="R19" s="46"/>
      <x:c r="S19" s="46"/>
      <x:c r="T19" s="46" t="n">
        <x:v>1.83</x:v>
      </x:c>
      <x:c r="U19" s="46" t="str">
        <x:v>µg/g</x:v>
      </x:c>
      <x:c r="V19" s="46" t="str">
        <x:v>yes</x:v>
      </x:c>
      <x:c r="W19" s="46" t="str">
        <x:v>shared_or_brand_variable</x:v>
      </x:c>
    </x:row>
    <x:row r="20" ht="26.399999618530273" hidden="0" customHeight="1">
      <x:c r="A20" s="46" t="str">
        <x:v>DBT-019</x:v>
      </x:c>
      <x:c r="B20" s="46" t="str">
        <x:v>dairy:butter</x:v>
      </x:c>
      <x:c r="C20" s="46" t="str">
        <x:v>family:dairy_carrier</x:v>
      </x:c>
      <x:c r="D20" s="46" t="str">
        <x:v>sweet cream + cultured commercial butter</x:v>
      </x:c>
      <x:c r="E20" s="46" t="str">
        <x:v>SRC-BUTTER-SCB-CB-001</x:v>
      </x:c>
      <x:c r="F20" s="46" t="str">
        <x:v>Lactones</x:v>
      </x:c>
      <x:c r="G20" s="46" t="str">
        <x:v>(Z)-6-dodeceno-γ-lactone</x:v>
      </x:c>
      <x:c r="H20" s="46" t="str">
        <x:v>18679-18-0</x:v>
      </x:c>
      <x:c r="I20" s="46" t="n">
        <x:v>1661</x:v>
      </x:c>
      <x:c r="J20" s="46" t="n">
        <x:v>1662</x:v>
      </x:c>
      <x:c r="K20" s="46" t="str">
        <x:v>HS-SPME-GC-MS; reference RI + calculated RI + NIST/library workflow</x:v>
      </x:c>
      <x:c r="L20" s="46"/>
      <x:c r="M20" s="46" t="str">
        <x:v>ri_reference_and_calculated_no_numeric_match_factor</x:v>
      </x:c>
      <x:c r="N20" s="46"/>
      <x:c r="O20" s="46"/>
      <x:c r="P20" s="46"/>
      <x:c r="Q20" s="46" t="n">
        <x:v>0.18</x:v>
      </x:c>
      <x:c r="R20" s="46" t="n">
        <x:v>0.11</x:v>
      </x:c>
      <x:c r="S20" s="46" t="n">
        <x:v>0.16</x:v>
      </x:c>
      <x:c r="T20" s="46" t="n">
        <x:v>0.16</x:v>
      </x:c>
      <x:c r="U20" s="46" t="str">
        <x:v>µg/g</x:v>
      </x:c>
      <x:c r="V20" s="46" t="str">
        <x:v>yes</x:v>
      </x:c>
      <x:c r="W20" s="46" t="str">
        <x:v>cultured_specific</x:v>
      </x:c>
    </x:row>
    <x:row r="21" ht="26.399999618530273" hidden="0" customHeight="1">
      <x:c r="A21" s="46" t="str">
        <x:v>DBT-020</x:v>
      </x:c>
      <x:c r="B21" s="46" t="str">
        <x:v>dairy:butter</x:v>
      </x:c>
      <x:c r="C21" s="46" t="str">
        <x:v>family:dairy_carrier</x:v>
      </x:c>
      <x:c r="D21" s="46" t="str">
        <x:v>sweet cream + cultured commercial butter</x:v>
      </x:c>
      <x:c r="E21" s="46" t="str">
        <x:v>SRC-BUTTER-SCB-CB-001</x:v>
      </x:c>
      <x:c r="F21" s="46" t="str">
        <x:v>Lactones</x:v>
      </x:c>
      <x:c r="G21" s="46" t="str">
        <x:v>δ-Dodecalactone</x:v>
      </x:c>
      <x:c r="H21" s="46" t="str">
        <x:v>713-95-1</x:v>
      </x:c>
      <x:c r="I21" s="46" t="n">
        <x:v>1711</x:v>
      </x:c>
      <x:c r="J21" s="46" t="n">
        <x:v>1713</x:v>
      </x:c>
      <x:c r="K21" s="46" t="str">
        <x:v>HS-SPME-GC-MS; reference RI + calculated RI + NIST/library workflow</x:v>
      </x:c>
      <x:c r="L21" s="46"/>
      <x:c r="M21" s="46" t="str">
        <x:v>ri_reference_and_calculated_no_numeric_match_factor</x:v>
      </x:c>
      <x:c r="N21" s="46" t="n">
        <x:v>1.23</x:v>
      </x:c>
      <x:c r="O21" s="46" t="n">
        <x:v>0.73</x:v>
      </x:c>
      <x:c r="P21" s="46" t="n">
        <x:v>0.91</x:v>
      </x:c>
      <x:c r="Q21" s="46" t="n">
        <x:v>1.43</x:v>
      </x:c>
      <x:c r="R21" s="46" t="n">
        <x:v>1.3</x:v>
      </x:c>
      <x:c r="S21" s="46" t="n">
        <x:v>1.24</x:v>
      </x:c>
      <x:c r="T21" s="46" t="n">
        <x:v>1.75</x:v>
      </x:c>
      <x:c r="U21" s="46" t="str">
        <x:v>µg/g</x:v>
      </x:c>
      <x:c r="V21" s="46" t="str">
        <x:v>yes</x:v>
      </x:c>
      <x:c r="W21" s="46" t="str">
        <x:v>shared_or_brand_variable</x:v>
      </x:c>
    </x:row>
    <x:row r="22" ht="26.399999618530273" hidden="0" customHeight="1">
      <x:c r="A22" s="46" t="str">
        <x:v>DBT-021</x:v>
      </x:c>
      <x:c r="B22" s="46" t="str">
        <x:v>dairy:butter</x:v>
      </x:c>
      <x:c r="C22" s="46" t="str">
        <x:v>family:dairy_carrier</x:v>
      </x:c>
      <x:c r="D22" s="46" t="str">
        <x:v>sweet cream + cultured commercial butter</x:v>
      </x:c>
      <x:c r="E22" s="46" t="str">
        <x:v>SRC-BUTTER-SCB-CB-001</x:v>
      </x:c>
      <x:c r="F22" s="46" t="str">
        <x:v>Lactones</x:v>
      </x:c>
      <x:c r="G22" s="46" t="str">
        <x:v>δ-Tetradecalactone</x:v>
      </x:c>
      <x:c r="H22" s="46" t="str">
        <x:v>2721-22-4</x:v>
      </x:c>
      <x:c r="I22" s="46" t="n">
        <x:v>1938</x:v>
      </x:c>
      <x:c r="J22" s="46" t="n">
        <x:v>1927</x:v>
      </x:c>
      <x:c r="K22" s="46" t="str">
        <x:v>HS-SPME-GC-MS; reference RI + calculated RI + NIST/library workflow</x:v>
      </x:c>
      <x:c r="L22" s="46"/>
      <x:c r="M22" s="46" t="str">
        <x:v>ri_reference_and_calculated_no_numeric_match_factor</x:v>
      </x:c>
      <x:c r="N22" s="46" t="n">
        <x:v>0.27</x:v>
      </x:c>
      <x:c r="O22" s="46"/>
      <x:c r="P22" s="46" t="n">
        <x:v>0.09</x:v>
      </x:c>
      <x:c r="Q22" s="46" t="n">
        <x:v>0.19</x:v>
      </x:c>
      <x:c r="R22" s="46" t="n">
        <x:v>0.15</x:v>
      </x:c>
      <x:c r="S22" s="46" t="n">
        <x:v>0.15</x:v>
      </x:c>
      <x:c r="T22" s="46" t="n">
        <x:v>0.25</x:v>
      </x:c>
      <x:c r="U22" s="46" t="str">
        <x:v>µg/g</x:v>
      </x:c>
      <x:c r="V22" s="46" t="str">
        <x:v>yes</x:v>
      </x:c>
      <x:c r="W22" s="46" t="str">
        <x:v>shared_or_brand_variable</x:v>
      </x:c>
    </x:row>
    <x:row r="23" ht="26.399999618530273" hidden="0" customHeight="1">
      <x:c r="A23" s="46" t="str">
        <x:v>DBT-022</x:v>
      </x:c>
      <x:c r="B23" s="46" t="str">
        <x:v>dairy:butter</x:v>
      </x:c>
      <x:c r="C23" s="46" t="str">
        <x:v>family:dairy_carrier</x:v>
      </x:c>
      <x:c r="D23" s="46" t="str">
        <x:v>sweet cream + cultured commercial butter</x:v>
      </x:c>
      <x:c r="E23" s="46" t="str">
        <x:v>SRC-BUTTER-SCB-CB-001</x:v>
      </x:c>
      <x:c r="F23" s="46" t="str">
        <x:v>Olefins</x:v>
      </x:c>
      <x:c r="G23" s="46" t="str">
        <x:v>D-Limonene</x:v>
      </x:c>
      <x:c r="H23" s="46" t="str">
        <x:v>5989-27-5</x:v>
      </x:c>
      <x:c r="I23" s="46" t="n">
        <x:v>1031</x:v>
      </x:c>
      <x:c r="J23" s="46" t="n">
        <x:v>1034</x:v>
      </x:c>
      <x:c r="K23" s="46" t="str">
        <x:v>HS-SPME-GC-MS; reference RI + calculated RI + NIST/library workflow</x:v>
      </x:c>
      <x:c r="L23" s="46"/>
      <x:c r="M23" s="46" t="str">
        <x:v>ri_reference_and_calculated_no_numeric_match_factor</x:v>
      </x:c>
      <x:c r="N23" s="46" t="n">
        <x:v>0.67</x:v>
      </x:c>
      <x:c r="O23" s="46" t="n">
        <x:v>0.31</x:v>
      </x:c>
      <x:c r="P23" s="46"/>
      <x:c r="Q23" s="46" t="n">
        <x:v>2.35</x:v>
      </x:c>
      <x:c r="R23" s="46" t="n">
        <x:v>0.94</x:v>
      </x:c>
      <x:c r="S23" s="46" t="n">
        <x:v>2.66</x:v>
      </x:c>
      <x:c r="T23" s="46" t="n">
        <x:v>1.12</x:v>
      </x:c>
      <x:c r="U23" s="46" t="str">
        <x:v>µg/g</x:v>
      </x:c>
      <x:c r="V23" s="46" t="str">
        <x:v>no</x:v>
      </x:c>
      <x:c r="W23" s="46" t="str">
        <x:v>shared_or_brand_variable</x:v>
      </x:c>
    </x:row>
    <x:row r="24" ht="26.399999618530273" hidden="0" customHeight="1">
      <x:c r="A24" s="46" t="str">
        <x:v>DBT-023</x:v>
      </x:c>
      <x:c r="B24" s="46" t="str">
        <x:v>dairy:butter</x:v>
      </x:c>
      <x:c r="C24" s="46" t="str">
        <x:v>family:dairy_carrier</x:v>
      </x:c>
      <x:c r="D24" s="46" t="str">
        <x:v>sweet cream + cultured commercial butter</x:v>
      </x:c>
      <x:c r="E24" s="46" t="str">
        <x:v>SRC-BUTTER-SCB-CB-001</x:v>
      </x:c>
      <x:c r="F24" s="46" t="str">
        <x:v>Olefins</x:v>
      </x:c>
      <x:c r="G24" s="46" t="str">
        <x:v>γ-Terpinene</x:v>
      </x:c>
      <x:c r="H24" s="46" t="str">
        <x:v>99-85-4</x:v>
      </x:c>
      <x:c r="I24" s="46" t="n">
        <x:v>1064</x:v>
      </x:c>
      <x:c r="J24" s="46" t="n">
        <x:v>1064</x:v>
      </x:c>
      <x:c r="K24" s="46" t="str">
        <x:v>HS-SPME-GC-MS; reference RI + calculated RI + NIST/library workflow</x:v>
      </x:c>
      <x:c r="L24" s="46"/>
      <x:c r="M24" s="46" t="str">
        <x:v>ri_reference_and_calculated_no_numeric_match_factor</x:v>
      </x:c>
      <x:c r="N24" s="46"/>
      <x:c r="O24" s="46"/>
      <x:c r="P24" s="46"/>
      <x:c r="Q24" s="46" t="n">
        <x:v>0.47</x:v>
      </x:c>
      <x:c r="R24" s="46"/>
      <x:c r="S24" s="46" t="n">
        <x:v>0.23</x:v>
      </x:c>
      <x:c r="T24" s="46" t="n">
        <x:v>0.08</x:v>
      </x:c>
      <x:c r="U24" s="46" t="str">
        <x:v>µg/g</x:v>
      </x:c>
      <x:c r="V24" s="46" t="str">
        <x:v>no</x:v>
      </x:c>
      <x:c r="W24" s="46" t="str">
        <x:v>shared_or_brand_variable</x:v>
      </x:c>
    </x:row>
    <x:row r="25" ht="26.399999618530273" hidden="0" customHeight="1">
      <x:c r="A25" s="46" t="str">
        <x:v>DBT-024</x:v>
      </x:c>
      <x:c r="B25" s="46" t="str">
        <x:v>dairy:butter</x:v>
      </x:c>
      <x:c r="C25" s="46" t="str">
        <x:v>family:dairy_carrier</x:v>
      </x:c>
      <x:c r="D25" s="46" t="str">
        <x:v>sweet cream + cultured commercial butter</x:v>
      </x:c>
      <x:c r="E25" s="46" t="str">
        <x:v>SRC-BUTTER-SCB-CB-001</x:v>
      </x:c>
      <x:c r="F25" s="46" t="str">
        <x:v>Olefins</x:v>
      </x:c>
      <x:c r="G25" s="46" t="str">
        <x:v>8-Heptadecene</x:v>
      </x:c>
      <x:c r="H25" s="46" t="str">
        <x:v>2579-04-6</x:v>
      </x:c>
      <x:c r="I25" s="46" t="n">
        <x:v>1677</x:v>
      </x:c>
      <x:c r="J25" s="46" t="n">
        <x:v>1683</x:v>
      </x:c>
      <x:c r="K25" s="46" t="str">
        <x:v>HS-SPME-GC-MS; reference RI + calculated RI + NIST/library workflow</x:v>
      </x:c>
      <x:c r="L25" s="46"/>
      <x:c r="M25" s="46" t="str">
        <x:v>ri_reference_and_calculated_no_numeric_match_factor</x:v>
      </x:c>
      <x:c r="N25" s="46" t="n">
        <x:v>1.91</x:v>
      </x:c>
      <x:c r="O25" s="46" t="n">
        <x:v>1.39</x:v>
      </x:c>
      <x:c r="P25" s="46" t="n">
        <x:v>1.57</x:v>
      </x:c>
      <x:c r="Q25" s="46" t="n">
        <x:v>2.24</x:v>
      </x:c>
      <x:c r="R25" s="46" t="n">
        <x:v>2.09</x:v>
      </x:c>
      <x:c r="S25" s="46" t="n">
        <x:v>2.15</x:v>
      </x:c>
      <x:c r="T25" s="46" t="n">
        <x:v>2.74</x:v>
      </x:c>
      <x:c r="U25" s="46" t="str">
        <x:v>µg/g</x:v>
      </x:c>
      <x:c r="V25" s="46" t="str">
        <x:v>no</x:v>
      </x:c>
      <x:c r="W25" s="46" t="str">
        <x:v>shared_or_brand_variable</x:v>
      </x:c>
    </x:row>
    <x:row r="26" ht="26.399999618530273" hidden="0" customHeight="1">
      <x:c r="A26" s="46" t="str">
        <x:v>DBT-025</x:v>
      </x:c>
      <x:c r="B26" s="46" t="str">
        <x:v>dairy:butter</x:v>
      </x:c>
      <x:c r="C26" s="46" t="str">
        <x:v>family:dairy_carrier</x:v>
      </x:c>
      <x:c r="D26" s="46" t="str">
        <x:v>sweet cream + cultured commercial butter</x:v>
      </x:c>
      <x:c r="E26" s="46" t="str">
        <x:v>SRC-BUTTER-SCB-CB-001</x:v>
      </x:c>
      <x:c r="F26" s="46" t="str">
        <x:v>Olefins</x:v>
      </x:c>
      <x:c r="G26" s="46" t="str">
        <x:v>2-Hexadecene-2,6,10,14-tetramethyl</x:v>
      </x:c>
      <x:c r="H26" s="46" t="str">
        <x:v>56554-34-8</x:v>
      </x:c>
      <x:c r="I26" s="46" t="n">
        <x:v>1849</x:v>
      </x:c>
      <x:c r="J26" s="46" t="n">
        <x:v>1787</x:v>
      </x:c>
      <x:c r="K26" s="46" t="str">
        <x:v>HS-SPME-GC-MS; reference RI + calculated RI + NIST/library workflow</x:v>
      </x:c>
      <x:c r="L26" s="46"/>
      <x:c r="M26" s="46" t="str">
        <x:v>ri_reference_and_calculated_no_numeric_match_factor</x:v>
      </x:c>
      <x:c r="N26" s="46" t="n">
        <x:v>0.96</x:v>
      </x:c>
      <x:c r="O26" s="46" t="n">
        <x:v>1.06</x:v>
      </x:c>
      <x:c r="P26" s="46"/>
      <x:c r="Q26" s="46"/>
      <x:c r="R26" s="46"/>
      <x:c r="S26" s="46" t="n">
        <x:v>0.63</x:v>
      </x:c>
      <x:c r="T26" s="46" t="n">
        <x:v>0.52</x:v>
      </x:c>
      <x:c r="U26" s="46" t="str">
        <x:v>µg/g</x:v>
      </x:c>
      <x:c r="V26" s="46" t="str">
        <x:v>no</x:v>
      </x:c>
      <x:c r="W26" s="46" t="str">
        <x:v>shared_or_brand_variable</x:v>
      </x:c>
    </x:row>
    <x:row r="27" ht="26.399999618530273" hidden="0" customHeight="1">
      <x:c r="A27" s="46" t="str">
        <x:v>DBT-026</x:v>
      </x:c>
      <x:c r="B27" s="46" t="str">
        <x:v>dairy:butter</x:v>
      </x:c>
      <x:c r="C27" s="46" t="str">
        <x:v>family:dairy_carrier</x:v>
      </x:c>
      <x:c r="D27" s="46" t="str">
        <x:v>sweet cream + cultured commercial butter</x:v>
      </x:c>
      <x:c r="E27" s="46" t="str">
        <x:v>SRC-BUTTER-SCB-CB-001</x:v>
      </x:c>
      <x:c r="F27" s="46" t="str">
        <x:v>Olefins</x:v>
      </x:c>
      <x:c r="G27" s="46" t="str">
        <x:v>(2E,7R,11R)-3,7,11,15-Tetramethyl-2-hexadecene</x:v>
      </x:c>
      <x:c r="H27" s="46" t="str">
        <x:v>14237-73-1</x:v>
      </x:c>
      <x:c r="I27" s="46" t="n">
        <x:v>1830</x:v>
      </x:c>
      <x:c r="J27" s="46" t="n">
        <x:v>1846</x:v>
      </x:c>
      <x:c r="K27" s="46" t="str">
        <x:v>HS-SPME-GC-MS; reference RI + calculated RI + NIST/library workflow</x:v>
      </x:c>
      <x:c r="L27" s="46"/>
      <x:c r="M27" s="46" t="str">
        <x:v>ri_reference_and_calculated_no_numeric_match_factor</x:v>
      </x:c>
      <x:c r="N27" s="46" t="n">
        <x:v>0.26</x:v>
      </x:c>
      <x:c r="O27" s="46" t="n">
        <x:v>0.14</x:v>
      </x:c>
      <x:c r="P27" s="46" t="n">
        <x:v>0.18</x:v>
      </x:c>
      <x:c r="Q27" s="46" t="n">
        <x:v>0.14</x:v>
      </x:c>
      <x:c r="R27" s="46" t="n">
        <x:v>0.11</x:v>
      </x:c>
      <x:c r="S27" s="46" t="n">
        <x:v>0.12</x:v>
      </x:c>
      <x:c r="T27" s="46" t="n">
        <x:v>0.15</x:v>
      </x:c>
      <x:c r="U27" s="46" t="str">
        <x:v>µg/g</x:v>
      </x:c>
      <x:c r="V27" s="46" t="str">
        <x:v>no</x:v>
      </x:c>
      <x:c r="W27" s="46" t="str">
        <x:v>shared_or_brand_variable</x:v>
      </x:c>
    </x:row>
    <x:row r="28" ht="26.399999618530273" hidden="0" customHeight="1">
      <x:c r="A28" s="46" t="str">
        <x:v>DBT-027</x:v>
      </x:c>
      <x:c r="B28" s="46" t="str">
        <x:v>dairy:butter</x:v>
      </x:c>
      <x:c r="C28" s="46" t="str">
        <x:v>family:dairy_carrier</x:v>
      </x:c>
      <x:c r="D28" s="46" t="str">
        <x:v>sweet cream + cultured commercial butter</x:v>
      </x:c>
      <x:c r="E28" s="46" t="str">
        <x:v>SRC-BUTTER-SCB-CB-001</x:v>
      </x:c>
      <x:c r="F28" s="46" t="str">
        <x:v>Alkanes</x:v>
      </x:c>
      <x:c r="G28" s="46" t="str">
        <x:v>Dodecane</x:v>
      </x:c>
      <x:c r="H28" s="46" t="str">
        <x:v>112-40-3</x:v>
      </x:c>
      <x:c r="I28" s="46" t="n">
        <x:v>1200</x:v>
      </x:c>
      <x:c r="J28" s="46" t="n">
        <x:v>1200</x:v>
      </x:c>
      <x:c r="K28" s="46" t="str">
        <x:v>HS-SPME-GC-MS; reference RI + calculated RI + NIST/library workflow</x:v>
      </x:c>
      <x:c r="L28" s="46"/>
      <x:c r="M28" s="46" t="str">
        <x:v>ri_reference_and_calculated_no_numeric_match_factor</x:v>
      </x:c>
      <x:c r="N28" s="46" t="n">
        <x:v>0.15</x:v>
      </x:c>
      <x:c r="O28" s="46" t="n">
        <x:v>0.05</x:v>
      </x:c>
      <x:c r="P28" s="46" t="n">
        <x:v>0.1</x:v>
      </x:c>
      <x:c r="Q28" s="46" t="n">
        <x:v>1.09</x:v>
      </x:c>
      <x:c r="R28" s="46"/>
      <x:c r="S28" s="46" t="n">
        <x:v>0.51</x:v>
      </x:c>
      <x:c r="T28" s="46" t="n">
        <x:v>0.22</x:v>
      </x:c>
      <x:c r="U28" s="46" t="str">
        <x:v>µg/g</x:v>
      </x:c>
      <x:c r="V28" s="46" t="str">
        <x:v>no</x:v>
      </x:c>
      <x:c r="W28" s="46" t="str">
        <x:v>shared_or_brand_variable</x:v>
      </x:c>
    </x:row>
    <x:row r="29" ht="26.399999618530273" hidden="0" customHeight="1">
      <x:c r="A29" s="46" t="str">
        <x:v>DBT-028</x:v>
      </x:c>
      <x:c r="B29" s="46" t="str">
        <x:v>dairy:butter</x:v>
      </x:c>
      <x:c r="C29" s="46" t="str">
        <x:v>family:dairy_carrier</x:v>
      </x:c>
      <x:c r="D29" s="46" t="str">
        <x:v>sweet cream + cultured commercial butter</x:v>
      </x:c>
      <x:c r="E29" s="46" t="str">
        <x:v>SRC-BUTTER-SCB-CB-001</x:v>
      </x:c>
      <x:c r="F29" s="46" t="str">
        <x:v>Alkanes</x:v>
      </x:c>
      <x:c r="G29" s="46" t="str">
        <x:v>Tridecane</x:v>
      </x:c>
      <x:c r="H29" s="46" t="str">
        <x:v>629-50-5</x:v>
      </x:c>
      <x:c r="I29" s="46" t="n">
        <x:v>1300</x:v>
      </x:c>
      <x:c r="J29" s="46" t="n">
        <x:v>1300</x:v>
      </x:c>
      <x:c r="K29" s="46" t="str">
        <x:v>HS-SPME-GC-MS; reference RI + calculated RI + NIST/library workflow</x:v>
      </x:c>
      <x:c r="L29" s="46"/>
      <x:c r="M29" s="46" t="str">
        <x:v>ri_reference_and_calculated_no_numeric_match_factor</x:v>
      </x:c>
      <x:c r="N29" s="46"/>
      <x:c r="O29" s="46"/>
      <x:c r="P29" s="46"/>
      <x:c r="Q29" s="46"/>
      <x:c r="R29" s="46"/>
      <x:c r="S29" s="46" t="n">
        <x:v>0.19</x:v>
      </x:c>
      <x:c r="T29" s="46"/>
      <x:c r="U29" s="46" t="str">
        <x:v>µg/g</x:v>
      </x:c>
      <x:c r="V29" s="46" t="str">
        <x:v>no</x:v>
      </x:c>
      <x:c r="W29" s="46" t="str">
        <x:v>shared_or_brand_variable</x:v>
      </x:c>
    </x:row>
    <x:row r="30" ht="26.399999618530273" hidden="0" customHeight="1">
      <x:c r="A30" s="46" t="str">
        <x:v>DBT-029</x:v>
      </x:c>
      <x:c r="B30" s="46" t="str">
        <x:v>dairy:butter</x:v>
      </x:c>
      <x:c r="C30" s="46" t="str">
        <x:v>family:dairy_carrier</x:v>
      </x:c>
      <x:c r="D30" s="46" t="str">
        <x:v>sweet cream + cultured commercial butter</x:v>
      </x:c>
      <x:c r="E30" s="46" t="str">
        <x:v>SRC-BUTTER-SCB-CB-001</x:v>
      </x:c>
      <x:c r="F30" s="46" t="str">
        <x:v>Alkanes</x:v>
      </x:c>
      <x:c r="G30" s="46" t="str">
        <x:v>Tetradecane</x:v>
      </x:c>
      <x:c r="H30" s="46" t="str">
        <x:v>629-59-4</x:v>
      </x:c>
      <x:c r="I30" s="46" t="n">
        <x:v>1400</x:v>
      </x:c>
      <x:c r="J30" s="46" t="n">
        <x:v>1399</x:v>
      </x:c>
      <x:c r="K30" s="46" t="str">
        <x:v>HS-SPME-GC-MS; reference RI + calculated RI + NIST/library workflow</x:v>
      </x:c>
      <x:c r="L30" s="46"/>
      <x:c r="M30" s="46" t="str">
        <x:v>ri_reference_and_calculated_no_numeric_match_factor</x:v>
      </x:c>
      <x:c r="N30" s="46" t="n">
        <x:v>0.13</x:v>
      </x:c>
      <x:c r="O30" s="46" t="n">
        <x:v>0.08</x:v>
      </x:c>
      <x:c r="P30" s="46"/>
      <x:c r="Q30" s="46" t="n">
        <x:v>2.45</x:v>
      </x:c>
      <x:c r="R30" s="46" t="n">
        <x:v>0.24</x:v>
      </x:c>
      <x:c r="S30" s="46" t="n">
        <x:v>0.21</x:v>
      </x:c>
      <x:c r="T30" s="46" t="n">
        <x:v>0.22</x:v>
      </x:c>
      <x:c r="U30" s="46" t="str">
        <x:v>µg/g</x:v>
      </x:c>
      <x:c r="V30" s="46" t="str">
        <x:v>no</x:v>
      </x:c>
      <x:c r="W30" s="46" t="str">
        <x:v>shared_or_brand_variable</x:v>
      </x:c>
    </x:row>
    <x:row r="31" ht="26.399999618530273" hidden="0" customHeight="1">
      <x:c r="A31" s="46" t="str">
        <x:v>DBT-030</x:v>
      </x:c>
      <x:c r="B31" s="46" t="str">
        <x:v>dairy:butter</x:v>
      </x:c>
      <x:c r="C31" s="46" t="str">
        <x:v>family:dairy_carrier</x:v>
      </x:c>
      <x:c r="D31" s="46" t="str">
        <x:v>sweet cream + cultured commercial butter</x:v>
      </x:c>
      <x:c r="E31" s="46" t="str">
        <x:v>SRC-BUTTER-SCB-CB-001</x:v>
      </x:c>
      <x:c r="F31" s="46" t="str">
        <x:v>Alkanes</x:v>
      </x:c>
      <x:c r="G31" s="46" t="str">
        <x:v>2,3,7-Trimethyldecane</x:v>
      </x:c>
      <x:c r="H31" s="46" t="str">
        <x:v>62238-13-5</x:v>
      </x:c>
      <x:c r="I31" s="46" t="n">
        <x:v>1466</x:v>
      </x:c>
      <x:c r="J31" s="46" t="n">
        <x:v>1463</x:v>
      </x:c>
      <x:c r="K31" s="46" t="str">
        <x:v>HS-SPME-GC-MS; reference RI + calculated RI + NIST/library workflow</x:v>
      </x:c>
      <x:c r="L31" s="46"/>
      <x:c r="M31" s="46" t="str">
        <x:v>ri_reference_and_calculated_no_numeric_match_factor</x:v>
      </x:c>
      <x:c r="N31" s="46" t="n">
        <x:v>0.15</x:v>
      </x:c>
      <x:c r="O31" s="46" t="n">
        <x:v>0.08</x:v>
      </x:c>
      <x:c r="P31" s="46" t="n">
        <x:v>0.06</x:v>
      </x:c>
      <x:c r="Q31" s="46" t="n">
        <x:v>0.97</x:v>
      </x:c>
      <x:c r="R31" s="46" t="n">
        <x:v>0.15</x:v>
      </x:c>
      <x:c r="S31" s="46" t="n">
        <x:v>0.61</x:v>
      </x:c>
      <x:c r="T31" s="46" t="n">
        <x:v>0.15</x:v>
      </x:c>
      <x:c r="U31" s="46" t="str">
        <x:v>µg/g</x:v>
      </x:c>
      <x:c r="V31" s="46" t="str">
        <x:v>no</x:v>
      </x:c>
      <x:c r="W31" s="46" t="str">
        <x:v>shared_or_brand_variable</x:v>
      </x:c>
    </x:row>
    <x:row r="32" ht="26.399999618530273" hidden="0" customHeight="1">
      <x:c r="A32" s="46" t="str">
        <x:v>DBT-031</x:v>
      </x:c>
      <x:c r="B32" s="46" t="str">
        <x:v>dairy:butter</x:v>
      </x:c>
      <x:c r="C32" s="46" t="str">
        <x:v>family:dairy_carrier</x:v>
      </x:c>
      <x:c r="D32" s="46" t="str">
        <x:v>sweet cream + cultured commercial butter</x:v>
      </x:c>
      <x:c r="E32" s="46" t="str">
        <x:v>SRC-BUTTER-SCB-CB-001</x:v>
      </x:c>
      <x:c r="F32" s="46" t="str">
        <x:v>Alkanes</x:v>
      </x:c>
      <x:c r="G32" s="46" t="str">
        <x:v>Hexadecane</x:v>
      </x:c>
      <x:c r="H32" s="46" t="str">
        <x:v>544-76-3</x:v>
      </x:c>
      <x:c r="I32" s="46" t="n">
        <x:v>1600</x:v>
      </x:c>
      <x:c r="J32" s="46" t="n">
        <x:v>1599</x:v>
      </x:c>
      <x:c r="K32" s="46" t="str">
        <x:v>HS-SPME-GC-MS; reference RI + calculated RI + NIST/library workflow</x:v>
      </x:c>
      <x:c r="L32" s="46"/>
      <x:c r="M32" s="46" t="str">
        <x:v>ri_reference_and_calculated_no_numeric_match_factor</x:v>
      </x:c>
      <x:c r="N32" s="46" t="n">
        <x:v>0.07</x:v>
      </x:c>
      <x:c r="O32" s="46" t="n">
        <x:v>0.03</x:v>
      </x:c>
      <x:c r="P32" s="46"/>
      <x:c r="Q32" s="46" t="n">
        <x:v>1.05</x:v>
      </x:c>
      <x:c r="R32" s="46" t="n">
        <x:v>0.07</x:v>
      </x:c>
      <x:c r="S32" s="46" t="n">
        <x:v>0.07</x:v>
      </x:c>
      <x:c r="T32" s="46"/>
      <x:c r="U32" s="46" t="str">
        <x:v>µg/g</x:v>
      </x:c>
      <x:c r="V32" s="46" t="str">
        <x:v>no</x:v>
      </x:c>
      <x:c r="W32" s="46" t="str">
        <x:v>shared_or_brand_variable</x:v>
      </x:c>
    </x:row>
    <x:row r="33" ht="26.399999618530273" hidden="0" customHeight="1">
      <x:c r="A33" s="46" t="str">
        <x:v>DBT-032</x:v>
      </x:c>
      <x:c r="B33" s="46" t="str">
        <x:v>dairy:butter</x:v>
      </x:c>
      <x:c r="C33" s="46" t="str">
        <x:v>family:dairy_carrier</x:v>
      </x:c>
      <x:c r="D33" s="46" t="str">
        <x:v>sweet cream + cultured commercial butter</x:v>
      </x:c>
      <x:c r="E33" s="46" t="str">
        <x:v>SRC-BUTTER-SCB-CB-001</x:v>
      </x:c>
      <x:c r="F33" s="46" t="str">
        <x:v>Alkanes</x:v>
      </x:c>
      <x:c r="G33" s="46" t="str">
        <x:v>Heptadecane</x:v>
      </x:c>
      <x:c r="H33" s="46" t="str">
        <x:v>629-78-7</x:v>
      </x:c>
      <x:c r="I33" s="46" t="n">
        <x:v>1700</x:v>
      </x:c>
      <x:c r="J33" s="46" t="n">
        <x:v>1698</x:v>
      </x:c>
      <x:c r="K33" s="46" t="str">
        <x:v>HS-SPME-GC-MS; reference RI + calculated RI + NIST/library workflow</x:v>
      </x:c>
      <x:c r="L33" s="46"/>
      <x:c r="M33" s="46" t="str">
        <x:v>ri_reference_and_calculated_no_numeric_match_factor</x:v>
      </x:c>
      <x:c r="N33" s="46" t="n">
        <x:v>0.84</x:v>
      </x:c>
      <x:c r="O33" s="46" t="n">
        <x:v>0.57</x:v>
      </x:c>
      <x:c r="P33" s="46" t="n">
        <x:v>0.79</x:v>
      </x:c>
      <x:c r="Q33" s="46" t="n">
        <x:v>0.9</x:v>
      </x:c>
      <x:c r="R33" s="46" t="n">
        <x:v>0.88</x:v>
      </x:c>
      <x:c r="S33" s="46" t="n">
        <x:v>0.87</x:v>
      </x:c>
      <x:c r="T33" s="46" t="n">
        <x:v>1.53</x:v>
      </x:c>
      <x:c r="U33" s="46" t="str">
        <x:v>µg/g</x:v>
      </x:c>
      <x:c r="V33" s="46" t="str">
        <x:v>no</x:v>
      </x:c>
      <x:c r="W33" s="46" t="str">
        <x:v>shared_or_brand_variable</x:v>
      </x:c>
    </x:row>
    <x:row r="34" ht="26.399999618530273" hidden="0" customHeight="1">
      <x:c r="A34" s="46" t="str">
        <x:v>DBT-033</x:v>
      </x:c>
      <x:c r="B34" s="46" t="str">
        <x:v>dairy:butter</x:v>
      </x:c>
      <x:c r="C34" s="46" t="str">
        <x:v>family:dairy_carrier</x:v>
      </x:c>
      <x:c r="D34" s="46" t="str">
        <x:v>sweet cream + cultured commercial butter</x:v>
      </x:c>
      <x:c r="E34" s="46" t="str">
        <x:v>SRC-BUTTER-SCB-CB-001</x:v>
      </x:c>
      <x:c r="F34" s="46" t="str">
        <x:v>Alkanes</x:v>
      </x:c>
      <x:c r="G34" s="46" t="str">
        <x:v>Octadecane</x:v>
      </x:c>
      <x:c r="H34" s="46" t="str">
        <x:v>593-45-3</x:v>
      </x:c>
      <x:c r="I34" s="46" t="n">
        <x:v>1800</x:v>
      </x:c>
      <x:c r="J34" s="46" t="n">
        <x:v>1799</x:v>
      </x:c>
      <x:c r="K34" s="46" t="str">
        <x:v>HS-SPME-GC-MS; reference RI + calculated RI + NIST/library workflow</x:v>
      </x:c>
      <x:c r="L34" s="46"/>
      <x:c r="M34" s="46" t="str">
        <x:v>ri_reference_and_calculated_no_numeric_match_factor</x:v>
      </x:c>
      <x:c r="N34" s="46" t="n">
        <x:v>0.11</x:v>
      </x:c>
      <x:c r="O34" s="46" t="n">
        <x:v>0.08</x:v>
      </x:c>
      <x:c r="P34" s="46" t="n">
        <x:v>0.09</x:v>
      </x:c>
      <x:c r="Q34" s="46" t="n">
        <x:v>0.26</x:v>
      </x:c>
      <x:c r="R34" s="46" t="n">
        <x:v>0.11</x:v>
      </x:c>
      <x:c r="S34" s="46" t="n">
        <x:v>0.12</x:v>
      </x:c>
      <x:c r="T34" s="46" t="n">
        <x:v>0.16</x:v>
      </x:c>
      <x:c r="U34" s="46" t="str">
        <x:v>µg/g</x:v>
      </x:c>
      <x:c r="V34" s="46" t="str">
        <x:v>no</x:v>
      </x:c>
      <x:c r="W34" s="46" t="str">
        <x:v>shared_or_brand_variable</x:v>
      </x:c>
    </x:row>
  </x:sheetData>
  <x:pageMargins left="0.7" right="0.7" top="0.75" bottom="0.75" header="0.3" footer="0.3"/>
  <x:tableParts count="1">
    <x:tablePart xmlns:r="http://schemas.openxmlformats.org/officeDocument/2006/relationships" r:id="R53e59635314c4556"/>
  </x:tableParts>
</x:worksheet>
</file>

<file path=xl/worksheets/sheet71.xml><?xml version="1.0" encoding="utf-8"?>
<x:worksheet xmlns:x="http://schemas.openxmlformats.org/spreadsheetml/2006/main">
  <x:sheetFormatPr defaultRowHeight="15"/>
  <x:cols>
    <x:col min="1" max="1" width="14" hidden="0" customWidth="1"/>
    <x:col min="2" max="2" width="23" hidden="0" customWidth="1"/>
    <x:col min="3" max="3" width="23" hidden="0" customWidth="1"/>
    <x:col min="4" max="4" width="38" hidden="0" customWidth="1"/>
    <x:col min="5" max="5" width="26" hidden="0" customWidth="1"/>
    <x:col min="6" max="6" width="32" hidden="0" customWidth="1"/>
    <x:col min="7" max="7" width="68" hidden="0" customWidth="1"/>
    <x:col min="8" max="8" width="48" hidden="0" customWidth="1"/>
    <x:col min="9" max="9" width="68" hidden="0" customWidth="1"/>
  </x:cols>
  <x:sheetData>
    <x:row r="1" ht="15" hidden="0" customHeight="1">
      <x:c r="A1" s="201" t="str">
        <x:v>evidence_id</x:v>
      </x:c>
      <x:c r="B1" s="201" t="str">
        <x:v>product_id</x:v>
      </x:c>
      <x:c r="C1" s="201" t="str">
        <x:v>state</x:v>
      </x:c>
      <x:c r="D1" s="201" t="str">
        <x:v>lactone_or_class</x:v>
      </x:c>
      <x:c r="E1" s="201" t="str">
        <x:v>evidence_type</x:v>
      </x:c>
      <x:c r="F1" s="201" t="str">
        <x:v>source_id</x:v>
      </x:c>
      <x:c r="G1" s="201" t="str">
        <x:v>measured_or_reported_result</x:v>
      </x:c>
      <x:c r="H1" s="201" t="str">
        <x:v>culinary_runtime_role</x:v>
      </x:c>
      <x:c r="I1" s="201" t="str">
        <x:v>boundary</x:v>
      </x:c>
    </x:row>
    <x:row r="2" ht="15" hidden="0" customHeight="1">
      <x:c r="A2" s="46" t="str">
        <x:v>DLE-001</x:v>
      </x:c>
      <x:c r="B2" s="46" t="str">
        <x:v>dairy:butter</x:v>
      </x:c>
      <x:c r="C2" s="46" t="str">
        <x:v>sweet cream / cultured</x:v>
      </x:c>
      <x:c r="D2" s="46" t="str">
        <x:v>δ-Octalactone</x:v>
      </x:c>
      <x:c r="E2" s="46" t="str">
        <x:v>full_table_measured</x:v>
      </x:c>
      <x:c r="F2" s="46" t="str">
        <x:v>SRC-BUTTER-SCB-CB-001</x:v>
      </x:c>
      <x:c r="G2" s="46" t="str">
        <x:v>Detected across all seven commercial butter samples; OAV&gt;1 in source analysis.</x:v>
      </x:c>
      <x:c r="H2" s="46" t="str">
        <x:v>creamy/coconut carrier odorant</x:v>
      </x:c>
      <x:c r="I2" s="46" t="str">
        <x:v>Brand concentrations vary.</x:v>
      </x:c>
    </x:row>
    <x:row r="3" ht="26.399999618530273" hidden="0" customHeight="1">
      <x:c r="A3" s="46" t="str">
        <x:v>DLE-002</x:v>
      </x:c>
      <x:c r="B3" s="46" t="str">
        <x:v>dairy:butter</x:v>
      </x:c>
      <x:c r="C3" s="46" t="str">
        <x:v>sweet cream / cultured</x:v>
      </x:c>
      <x:c r="D3" s="46" t="str">
        <x:v>δ-Decalactone</x:v>
      </x:c>
      <x:c r="E3" s="46" t="str">
        <x:v>full_table_measured</x:v>
      </x:c>
      <x:c r="F3" s="46" t="str">
        <x:v>SRC-BUTTER-SCB-CB-001</x:v>
      </x:c>
      <x:c r="G3" s="46" t="str">
        <x:v>Detected in sweet-cream and several cultured butters; source identifies it among OAV&gt;1 lactones and a major butter contributor.</x:v>
      </x:c>
      <x:c r="H3" s="46" t="str">
        <x:v>primary creamy carrier odorant</x:v>
      </x:c>
      <x:c r="I3" s="46" t="str">
        <x:v>Absence in two cultured brands is source-specific, not universal cultured-butter absence.</x:v>
      </x:c>
    </x:row>
    <x:row r="4" ht="15" hidden="0" customHeight="1">
      <x:c r="A4" s="46" t="str">
        <x:v>DLE-003</x:v>
      </x:c>
      <x:c r="B4" s="46" t="str">
        <x:v>dairy:butter</x:v>
      </x:c>
      <x:c r="C4" s="46" t="str">
        <x:v>cultured</x:v>
      </x:c>
      <x:c r="D4" s="46" t="str">
        <x:v>(Z)-6-dodeceno-γ-lactone</x:v>
      </x:c>
      <x:c r="E4" s="46" t="str">
        <x:v>full_table_measured</x:v>
      </x:c>
      <x:c r="F4" s="46" t="str">
        <x:v>SRC-BUTTER-SCB-CB-001</x:v>
      </x:c>
      <x:c r="G4" s="46" t="str">
        <x:v>Not detected in the three sweet-cream samples; detected in all four cultured butters.</x:v>
      </x:c>
      <x:c r="H4" s="46" t="str">
        <x:v>fermentation-linked member delta</x:v>
      </x:c>
      <x:c r="I4" s="46" t="str">
        <x:v>Commercial-brand study; do not claim universal exclusivity without more members.</x:v>
      </x:c>
    </x:row>
    <x:row r="5" ht="15" hidden="0" customHeight="1">
      <x:c r="A5" s="46" t="str">
        <x:v>DLE-004</x:v>
      </x:c>
      <x:c r="B5" s="46" t="str">
        <x:v>dairy:butter</x:v>
      </x:c>
      <x:c r="C5" s="46" t="str">
        <x:v>sweet cream / cultured</x:v>
      </x:c>
      <x:c r="D5" s="46" t="str">
        <x:v>δ-Dodecalactone</x:v>
      </x:c>
      <x:c r="E5" s="46" t="str">
        <x:v>full_table_measured</x:v>
      </x:c>
      <x:c r="F5" s="46" t="str">
        <x:v>SRC-BUTTER-SCB-CB-001</x:v>
      </x:c>
      <x:c r="G5" s="46" t="str">
        <x:v>Detected across all seven commercial butters; OAV&gt;1 in source analysis.</x:v>
      </x:c>
      <x:c r="H5" s="46" t="str">
        <x:v>creamy/fruity milk-fat carrier odorant</x:v>
      </x:c>
      <x:c r="I5" s="46" t="str">
        <x:v>Concentration differs by butter type/brand.</x:v>
      </x:c>
    </x:row>
    <x:row r="6" ht="15" hidden="0" customHeight="1">
      <x:c r="A6" s="46" t="str">
        <x:v>DLE-005</x:v>
      </x:c>
      <x:c r="B6" s="46" t="str">
        <x:v>dairy:butter</x:v>
      </x:c>
      <x:c r="C6" s="46" t="str">
        <x:v>sweet cream / cultured</x:v>
      </x:c>
      <x:c r="D6" s="46" t="str">
        <x:v>δ-Tetradecalactone</x:v>
      </x:c>
      <x:c r="E6" s="46" t="str">
        <x:v>full_table_measured</x:v>
      </x:c>
      <x:c r="F6" s="46" t="str">
        <x:v>SRC-BUTTER-SCB-CB-001</x:v>
      </x:c>
      <x:c r="G6" s="46" t="str">
        <x:v>Detected in most butter samples.</x:v>
      </x:c>
      <x:c r="H6" s="46" t="str">
        <x:v>long-chain milk-fat lactone layer</x:v>
      </x:c>
      <x:c r="I6" s="46" t="str">
        <x:v>Not source OAV-prioritized.</x:v>
      </x:c>
    </x:row>
    <x:row r="7" ht="15" hidden="0" customHeight="1">
      <x:c r="A7" s="46" t="str">
        <x:v>DLE-006</x:v>
      </x:c>
      <x:c r="B7" s="46" t="str">
        <x:v>dairy:butter</x:v>
      </x:c>
      <x:c r="C7" s="46" t="str">
        <x:v>heat-treated</x:v>
      </x:c>
      <x:c r="D7" s="46" t="str">
        <x:v>13 lactone types</x:v>
      </x:c>
      <x:c r="E7" s="46" t="str">
        <x:v>state_level_quantitative</x:v>
      </x:c>
      <x:c r="F7" s="46" t="str">
        <x:v>SRC-BUTTER-LACTONE-HEAT-001</x:v>
      </x:c>
      <x:c r="G7" s="46" t="str">
        <x:v>Thirteen lactone types detected after heat treatment in butter and fermented butter.</x:v>
      </x:c>
      <x:c r="H7" s="46" t="str">
        <x:v>heat amplifies/expands milk-fat lactone layer</x:v>
      </x:c>
      <x:c r="I7" s="46" t="str">
        <x:v>Abstract-accessible record does not list all 13 names; do not invent missing identities.</x:v>
      </x:c>
    </x:row>
    <x:row r="8" ht="26.399999618530273" hidden="0" customHeight="1">
      <x:c r="A8" s="46" t="str">
        <x:v>DLE-007</x:v>
      </x:c>
      <x:c r="B8" s="46" t="str">
        <x:v>dairy:butter</x:v>
      </x:c>
      <x:c r="C8" s="46" t="str">
        <x:v>heat-treated</x:v>
      </x:c>
      <x:c r="D8" s="46" t="str">
        <x:v>total lactones</x:v>
      </x:c>
      <x:c r="E8" s="46" t="str">
        <x:v>state_level_quantitative</x:v>
      </x:c>
      <x:c r="F8" s="46" t="str">
        <x:v>SRC-BUTTER-LACTONE-HEAT-002</x:v>
      </x:c>
      <x:c r="G8" s="46" t="str">
        <x:v>Total lactone content approximately doubled after heat treatment; increase greater in fermented butter.</x:v>
      </x:c>
      <x:c r="H8" s="46" t="str">
        <x:v>heat transformation of carrier chemistry</x:v>
      </x:c>
      <x:c r="I8" s="46" t="str">
        <x:v>Heat protocol is analytical-study-specific; no universal 2× runtime multiplier.</x:v>
      </x:c>
    </x:row>
    <x:row r="9" ht="26.399999618530273" hidden="0" customHeight="1">
      <x:c r="A9" s="46" t="str">
        <x:v>DLE-008</x:v>
      </x:c>
      <x:c r="B9" s="46" t="str">
        <x:v>dairy:butter_oil</x:v>
      </x:c>
      <x:c r="C9" s="46" t="str">
        <x:v>sweet cream butter oil</x:v>
      </x:c>
      <x:c r="D9" s="46" t="str">
        <x:v>6 γ + 5 δ + 1 ε newly identified lactones</x:v>
      </x:c>
      <x:c r="E9" s="46" t="str">
        <x:v>class_breadth</x:v>
      </x:c>
      <x:c r="F9" s="46" t="str">
        <x:v>SRC-BUTTER-LACTONE-BREADTH-001</x:v>
      </x:c>
      <x:c r="G9" s="46" t="str">
        <x:v>Twelve additional/newly recognized lactones identified in sweet cream butter oil; seven first reported in a natural product.</x:v>
      </x:c>
      <x:c r="H9" s="46" t="str">
        <x:v>expands carrier chemical vocabulary beyond the five routine GC-MS lactones</x:v>
      </x:c>
      <x:c r="I9" s="46" t="str">
        <x:v>Class/count evidence only unless named rows are directly retrieved.</x:v>
      </x:c>
    </x:row>
    <x:row r="10" ht="26.399999618530273" hidden="0" customHeight="1">
      <x:c r="A10" s="46" t="str">
        <x:v>DLE-009</x:v>
      </x:c>
      <x:c r="B10" s="46" t="str">
        <x:v>dairy:fermented_cream</x:v>
      </x:c>
      <x:c r="C10" s="46" t="str">
        <x:v>fermented</x:v>
      </x:c>
      <x:c r="D10" s="46" t="str">
        <x:v>δ-Decalactone</x:v>
      </x:c>
      <x:c r="E10" s="46" t="str">
        <x:v>sensory_OAV</x:v>
      </x:c>
      <x:c r="F10" s="46" t="str">
        <x:v>SRC-CREAM-FERMENT-SENS-001</x:v>
      </x:c>
      <x:c r="G10" s="46" t="str">
        <x:v>Among nine key flavor components; fermented/creamy sensory attribute strongly correlated with δ-decalactone.</x:v>
      </x:c>
      <x:c r="H10" s="46" t="str">
        <x:v>cream-to-fermented-cream carrier continuity</x:v>
      </x:c>
      <x:c r="I10" s="46" t="str">
        <x:v>Study is fermented cream, not a legally standardized crème fraîche product.</x:v>
      </x:c>
    </x:row>
  </x:sheetData>
  <x:pageMargins left="0.7" right="0.7" top="0.75" bottom="0.75" header="0.3" footer="0.3"/>
  <x:tableParts count="1">
    <x:tablePart xmlns:r="http://schemas.openxmlformats.org/officeDocument/2006/relationships" r:id="R53e5a370c4c64b01"/>
  </x:tableParts>
</x:worksheet>
</file>

<file path=xl/worksheets/sheet72.xml><?xml version="1.0" encoding="utf-8"?>
<x:worksheet xmlns:x="http://schemas.openxmlformats.org/spreadsheetml/2006/main">
  <x:sheetFormatPr defaultRowHeight="15"/>
  <x:cols>
    <x:col min="1" max="1" width="14" hidden="0" customWidth="1"/>
    <x:col min="2" max="2" width="26" hidden="0" customWidth="1"/>
    <x:col min="3" max="3" width="28" hidden="0" customWidth="1"/>
    <x:col min="4" max="4" width="40" hidden="0" customWidth="1"/>
    <x:col min="5" max="5" width="26" hidden="0" customWidth="1"/>
    <x:col min="6" max="6" width="31" hidden="0" customWidth="1"/>
    <x:col min="7" max="7" width="40" hidden="0" customWidth="1"/>
    <x:col min="8" max="8" width="38" hidden="0" customWidth="1"/>
    <x:col min="9" max="9" width="76" hidden="0" customWidth="1"/>
    <x:col min="10" max="10" width="74" hidden="0" customWidth="1"/>
  </x:cols>
  <x:sheetData>
    <x:row r="1" ht="15" hidden="0" customHeight="1">
      <x:c r="A1" s="201" t="str">
        <x:v>record_id</x:v>
      </x:c>
      <x:c r="B1" s="201" t="str">
        <x:v>product_id</x:v>
      </x:c>
      <x:c r="C1" s="201" t="str">
        <x:v>state</x:v>
      </x:c>
      <x:c r="D1" s="201" t="str">
        <x:v>compound_or_class</x:v>
      </x:c>
      <x:c r="E1" s="201" t="str">
        <x:v>evidence_mode</x:v>
      </x:c>
      <x:c r="F1" s="201" t="str">
        <x:v>source_id</x:v>
      </x:c>
      <x:c r="G1" s="201" t="str">
        <x:v>identification_quality</x:v>
      </x:c>
      <x:c r="H1" s="201" t="str">
        <x:v>role</x:v>
      </x:c>
      <x:c r="I1" s="201" t="str">
        <x:v>result</x:v>
      </x:c>
      <x:c r="J1" s="201" t="str">
        <x:v>product_equivalence_boundary</x:v>
      </x:c>
    </x:row>
    <x:row r="2" ht="26.399999618530273" hidden="0" customHeight="1">
      <x:c r="A2" s="46" t="str">
        <x:v>DCR-001</x:v>
      </x:c>
      <x:c r="B2" s="46" t="str">
        <x:v>dairy:cream</x:v>
      </x:c>
      <x:c r="C2" s="46" t="str">
        <x:v>unfermented whipping cream</x:v>
      </x:c>
      <x:c r="D2" s="46" t="str">
        <x:v>46-VOC experiment union</x:v>
      </x:c>
      <x:c r="E2" s="46" t="str">
        <x:v>full_source_count</x:v>
      </x:c>
      <x:c r="F2" s="46" t="str">
        <x:v>SRC-CREAM-FERMENT-001</x:v>
      </x:c>
      <x:c r="G2" s="46" t="str">
        <x:v>&gt;80% NIST14 spectral similarity floor</x:v>
      </x:c>
      <x:c r="H2" s="46" t="str">
        <x:v>baseline/member source</x:v>
      </x:c>
      <x:c r="I2" s="46" t="str">
        <x:v>46 VOCs total across unfermented and fermented treatments: 16 ketones, 11 acids, 10 alcohols, 6 esters, 3 others.</x:v>
      </x:c>
      <x:c r="J2" s="46" t="str">
        <x:v>Full Table S2 row identities not accessible in current primary HTML; do not claim 46 unfermented detections.</x:v>
      </x:c>
    </x:row>
    <x:row r="3" ht="26.399999618530273" hidden="0" customHeight="1">
      <x:c r="A3" s="46" t="str">
        <x:v>DCR-002</x:v>
      </x:c>
      <x:c r="B3" s="46" t="str">
        <x:v>dairy:fermented_cream</x:v>
      </x:c>
      <x:c r="C3" s="46" t="str">
        <x:v>LAB-fermented cream</x:v>
      </x:c>
      <x:c r="D3" s="46" t="str">
        <x:v>2-ketones incl. 2-pentanone, 2-heptanone, 2-nonanone</x:v>
      </x:c>
      <x:c r="E3" s="46" t="str">
        <x:v>source_discussion</x:v>
      </x:c>
      <x:c r="F3" s="46" t="str">
        <x:v>SRC-CREAM-FERMENT-001</x:v>
      </x:c>
      <x:c r="G3" s="46" t="str">
        <x:v>&gt;80% NIST14 spectral similarity floor</x:v>
      </x:c>
      <x:c r="H3" s="46" t="str">
        <x:v>fermentation/lipid-oxidation weighting</x:v>
      </x:c>
      <x:c r="I3" s="46" t="str">
        <x:v>Source identifies these 2-ketones as abundant flavor substances and links higher ketone variety/content to mixed-bacteria fermentation.</x:v>
      </x:c>
      <x:c r="J3" s="46" t="str">
        <x:v>Experimental cream includes sugar/citric-acid preparation; not direct crème fraîche equivalence.</x:v>
      </x:c>
    </x:row>
    <x:row r="4" ht="15" hidden="0" customHeight="1">
      <x:c r="A4" s="46" t="str">
        <x:v>DCR-003</x:v>
      </x:c>
      <x:c r="B4" s="46" t="str">
        <x:v>dairy:fermented_cream</x:v>
      </x:c>
      <x:c r="C4" s="46" t="str">
        <x:v>LAB-fermented cream</x:v>
      </x:c>
      <x:c r="D4" s="46" t="str">
        <x:v>2,3-butanediol</x:v>
      </x:c>
      <x:c r="E4" s="46" t="str">
        <x:v>source_discussion</x:v>
      </x:c>
      <x:c r="F4" s="46" t="str">
        <x:v>SRC-CREAM-FERMENT-001</x:v>
      </x:c>
      <x:c r="G4" s="46" t="str">
        <x:v>&gt;80% NIST14 spectral similarity floor</x:v>
      </x:c>
      <x:c r="H4" s="46" t="str">
        <x:v>fermentation delta</x:v>
      </x:c>
      <x:c r="I4" s="46" t="str">
        <x:v>Content rises significantly after both single- and mixed-bacteria fermentation.</x:v>
      </x:c>
      <x:c r="J4" s="46" t="str">
        <x:v>Do not infer exact crème fraîche concentration.</x:v>
      </x:c>
    </x:row>
    <x:row r="5" ht="26.399999618530273" hidden="0" customHeight="1">
      <x:c r="A5" s="46" t="str">
        <x:v>DCR-004</x:v>
      </x:c>
      <x:c r="B5" s="46" t="str">
        <x:v>dairy:fermented_cream</x:v>
      </x:c>
      <x:c r="C5" s="46" t="str">
        <x:v>LAB-fermented cream</x:v>
      </x:c>
      <x:c r="D5" s="46" t="str">
        <x:v>δ-octalactone + other lactone esters</x:v>
      </x:c>
      <x:c r="E5" s="46" t="str">
        <x:v>source_discussion</x:v>
      </x:c>
      <x:c r="F5" s="46" t="str">
        <x:v>SRC-CREAM-FERMENT-001</x:v>
      </x:c>
      <x:c r="G5" s="46" t="str">
        <x:v>&gt;80% NIST14 spectral similarity floor</x:v>
      </x:c>
      <x:c r="H5" s="46" t="str">
        <x:v>lactone carrier evidence</x:v>
      </x:c>
      <x:c r="I5" s="46" t="str">
        <x:v>Source reports six ester-class compounds including δ-octalactone and another lactone; fermentation alters ester layer.</x:v>
      </x:c>
      <x:c r="J5" s="46" t="str">
        <x:v>Exact supplemental rows pending.</x:v>
      </x:c>
    </x:row>
    <x:row r="6" ht="26.399999618530273" hidden="0" customHeight="1">
      <x:c r="A6" s="46" t="str">
        <x:v>DCR-005</x:v>
      </x:c>
      <x:c r="B6" s="46" t="str">
        <x:v>dairy:fermented_cream</x:v>
      </x:c>
      <x:c r="C6" s="46" t="str">
        <x:v>fermentation time course</x:v>
      </x:c>
      <x:c r="D6" s="46" t="str">
        <x:v>δ-Decalactone</x:v>
      </x:c>
      <x:c r="E6" s="46" t="str">
        <x:v>OAV + sensory PLSR</x:v>
      </x:c>
      <x:c r="F6" s="46" t="str">
        <x:v>SRC-CREAM-FERMENT-SENS-001</x:v>
      </x:c>
      <x:c r="G6" s="46" t="str">
        <x:v>GC-MS source; exact match factor not exposed in abstract</x:v>
      </x:c>
      <x:c r="H6" s="46" t="str">
        <x:v>key creamy/fermented odorant</x:v>
      </x:c>
      <x:c r="I6" s="46" t="str">
        <x:v>One of nine OAV-selected key compounds and strongly correlated with fermented/creamy sensory attributes.</x:v>
      </x:c>
      <x:c r="J6" s="46" t="str">
        <x:v>Fermented cream evidence, not direct commercial crème fraîche table.</x:v>
      </x:c>
    </x:row>
    <x:row r="7" ht="15" hidden="0" customHeight="1">
      <x:c r="A7" s="46" t="str">
        <x:v>DCR-006</x:v>
      </x:c>
      <x:c r="B7" s="46" t="str">
        <x:v>dairy:fermented_cream</x:v>
      </x:c>
      <x:c r="C7" s="46" t="str">
        <x:v>fermentation time course</x:v>
      </x:c>
      <x:c r="D7" s="46" t="str">
        <x:v>2-Nonanone</x:v>
      </x:c>
      <x:c r="E7" s="46" t="str">
        <x:v>OAV + sensory PLSR</x:v>
      </x:c>
      <x:c r="F7" s="46" t="str">
        <x:v>SRC-CREAM-FERMENT-SENS-001</x:v>
      </x:c>
      <x:c r="G7" s="46" t="str">
        <x:v>GC-MS source</x:v>
      </x:c>
      <x:c r="H7" s="46" t="str">
        <x:v>key fermentation ketone</x:v>
      </x:c>
      <x:c r="I7" s="46" t="str">
        <x:v>One of nine key compounds and strongly correlated with fermented/creamy sensory attributes.</x:v>
      </x:c>
      <x:c r="J7" s="46" t="str">
        <x:v>Product/process-specific weighting.</x:v>
      </x:c>
    </x:row>
    <x:row r="8" ht="15" hidden="0" customHeight="1">
      <x:c r="A8" s="46" t="str">
        <x:v>DCR-007</x:v>
      </x:c>
      <x:c r="B8" s="46" t="str">
        <x:v>dairy:fermented_cream</x:v>
      </x:c>
      <x:c r="C8" s="46" t="str">
        <x:v>fermentation time course</x:v>
      </x:c>
      <x:c r="D8" s="46" t="str">
        <x:v>3-Hydroxy-2-butanone (acetoin)</x:v>
      </x:c>
      <x:c r="E8" s="46" t="str">
        <x:v>OAV + sensory PLSR</x:v>
      </x:c>
      <x:c r="F8" s="46" t="str">
        <x:v>SRC-CREAM-FERMENT-SENS-001</x:v>
      </x:c>
      <x:c r="G8" s="46" t="str">
        <x:v>GC-MS source</x:v>
      </x:c>
      <x:c r="H8" s="46" t="str">
        <x:v>key creamy fermentation compound</x:v>
      </x:c>
      <x:c r="I8" s="46" t="str">
        <x:v>Key flavor component correlated with fermented/creamy sensory attribute.</x:v>
      </x:c>
      <x:c r="J8" s="46" t="str">
        <x:v>Product/process-specific weighting.</x:v>
      </x:c>
    </x:row>
    <x:row r="9" ht="15" hidden="0" customHeight="1">
      <x:c r="A9" s="46" t="str">
        <x:v>DCR-008</x:v>
      </x:c>
      <x:c r="B9" s="46" t="str">
        <x:v>dairy:fermented_cream</x:v>
      </x:c>
      <x:c r="C9" s="46" t="str">
        <x:v>fermentation time course</x:v>
      </x:c>
      <x:c r="D9" s="46" t="str">
        <x:v>Octanoic acid + Decanoic acid</x:v>
      </x:c>
      <x:c r="E9" s="46" t="str">
        <x:v>OAV + sensory PLSR</x:v>
      </x:c>
      <x:c r="F9" s="46" t="str">
        <x:v>SRC-CREAM-FERMENT-SENS-001</x:v>
      </x:c>
      <x:c r="G9" s="46" t="str">
        <x:v>GC-MS source</x:v>
      </x:c>
      <x:c r="H9" s="46" t="str">
        <x:v>acidic/lipolytic fermentation layer</x:v>
      </x:c>
      <x:c r="I9" s="46" t="str">
        <x:v>Key flavor acids associated with fermented/creamy sensory profile.</x:v>
      </x:c>
      <x:c r="J9" s="46" t="str">
        <x:v>Acid level must remain process-specific.</x:v>
      </x:c>
    </x:row>
  </x:sheetData>
  <x:pageMargins left="0.7" right="0.7" top="0.75" bottom="0.75" header="0.3" footer="0.3"/>
  <x:tableParts count="1">
    <x:tablePart xmlns:r="http://schemas.openxmlformats.org/officeDocument/2006/relationships" r:id="R00c402bc4cfa4a9d"/>
  </x:tableParts>
</x:worksheet>
</file>

<file path=xl/worksheets/sheet73.xml><?xml version="1.0" encoding="utf-8"?>
<x:worksheet xmlns:x="http://schemas.openxmlformats.org/spreadsheetml/2006/main">
  <x:sheetFormatPr defaultRowHeight="15"/>
  <x:cols>
    <x:col min="1" max="1" width="14" hidden="0" customWidth="1"/>
    <x:col min="2" max="2" width="20" hidden="0" customWidth="1"/>
    <x:col min="3" max="3" width="22" hidden="0" customWidth="1"/>
    <x:col min="4" max="4" width="42" hidden="0" customWidth="1"/>
    <x:col min="5" max="5" width="58" hidden="0" customWidth="1"/>
    <x:col min="6" max="6" width="76" hidden="0" customWidth="1"/>
    <x:col min="7" max="7" width="70" hidden="0" customWidth="1"/>
    <x:col min="8" max="8" width="70" hidden="0" customWidth="1"/>
  </x:cols>
  <x:sheetData>
    <x:row r="1" ht="15" hidden="0" customHeight="1">
      <x:c r="A1" s="201" t="str">
        <x:v>record_id</x:v>
      </x:c>
      <x:c r="B1" s="201" t="str">
        <x:v>product_id</x:v>
      </x:c>
      <x:c r="C1" s="201" t="str">
        <x:v>state</x:v>
      </x:c>
      <x:c r="D1" s="201" t="str">
        <x:v>transformation</x:v>
      </x:c>
      <x:c r="E1" s="201" t="str">
        <x:v>source_refs</x:v>
      </x:c>
      <x:c r="F1" s="201" t="str">
        <x:v>direct_evidence</x:v>
      </x:c>
      <x:c r="G1" s="201" t="str">
        <x:v>runtime_interpretation</x:v>
      </x:c>
      <x:c r="H1" s="201" t="str">
        <x:v>do_not_infer</x:v>
      </x:c>
    </x:row>
    <x:row r="2" ht="26.399999618530273" hidden="0" customHeight="1">
      <x:c r="A2" s="46" t="str">
        <x:v>DBH-001</x:v>
      </x:c>
      <x:c r="B2" s="46" t="str">
        <x:v>dairy:butter</x:v>
      </x:c>
      <x:c r="C2" s="46" t="str">
        <x:v>heated / browned</x:v>
      </x:c>
      <x:c r="D2" s="46" t="str">
        <x:v>milk-fat lactone release/intensification</x:v>
      </x:c>
      <x:c r="E2" s="46" t="str">
        <x:v>SRC-BUTTER-LACTONE-HEAT-001; SRC-BUTTER-LACTONE-HEAT-002</x:v>
      </x:c>
      <x:c r="F2" s="46" t="str">
        <x:v>Heat produces 13 lactone types in butter/fermented butter and approximately doubles total lactone content; fermented butter shows the larger change.</x:v>
      </x:c>
      <x:c r="G2" s="46" t="str">
        <x:v>Heating is a first-class butter transformation that increases/rebalances lactone carrier chemistry.</x:v>
      </x:c>
      <x:c r="H2" s="46" t="str">
        <x:v>Do not apply a universal 2× numerical multiplier to recipes.</x:v>
      </x:c>
    </x:row>
    <x:row r="3" ht="26.399999618530273" hidden="0" customHeight="1">
      <x:c r="A3" s="46" t="str">
        <x:v>DBH-002</x:v>
      </x:c>
      <x:c r="B3" s="46" t="str">
        <x:v>dairy:butter</x:v>
      </x:c>
      <x:c r="C3" s="46" t="str">
        <x:v>brown butter</x:v>
      </x:c>
      <x:c r="D3" s="46" t="str">
        <x:v>Maillard browning of milk solids</x:v>
      </x:c>
      <x:c r="E3" s="46" t="str">
        <x:v>SRC-BUTTER-BROWN-MAILLARD-001</x:v>
      </x:c>
      <x:c r="F3" s="46" t="str">
        <x:v>Validated CML/HMF work shows butter browning during cooking is driven by Maillard reaction between protein/sugar-containing milk solids; clarified butter does not brown equivalently.</x:v>
      </x:c>
      <x:c r="G3" s="46" t="str">
        <x:v>Brown butter = milk-fat/lactone carrier + milk-solid Maillard transformation, not simply hotter clarified fat.</x:v>
      </x:c>
      <x:c r="H3" s="46" t="str">
        <x:v>This source does not provide an exhaustive aroma-VOC table; do not invent pyrazine/furan rows from mechanism alone.</x:v>
      </x:c>
    </x:row>
  </x:sheetData>
  <x:pageMargins left="0.7" right="0.7" top="0.75" bottom="0.75" header="0.3" footer="0.3"/>
  <x:tableParts count="1">
    <x:tablePart xmlns:r="http://schemas.openxmlformats.org/officeDocument/2006/relationships" r:id="R405fd987aa3d4565"/>
  </x:tableParts>
</x:worksheet>
</file>

<file path=xl/worksheets/sheet74.xml><?xml version="1.0" encoding="utf-8"?>
<x:worksheet xmlns:x="http://schemas.openxmlformats.org/spreadsheetml/2006/main">
  <x:sheetFormatPr defaultRowHeight="15"/>
  <x:cols>
    <x:col min="1" max="1" width="16" hidden="0" customWidth="1"/>
    <x:col min="2" max="2" width="28" hidden="0" customWidth="1"/>
    <x:col min="3" max="3" width="76" hidden="0" customWidth="1"/>
    <x:col min="4" max="4" width="66" hidden="0" customWidth="1"/>
    <x:col min="5" max="5" width="28" hidden="0" customWidth="1"/>
    <x:col min="6" max="6" width="76" hidden="0" customWidth="1"/>
    <x:col min="7" max="7" width="76" hidden="0" customWidth="1"/>
    <x:col min="8" max="8" width="28" hidden="0" customWidth="1"/>
  </x:cols>
  <x:sheetData>
    <x:row r="1" ht="15" hidden="0" customHeight="1">
      <x:c r="A1" s="201" t="str">
        <x:v>pattern_id</x:v>
      </x:c>
      <x:c r="B1" s="201" t="str">
        <x:v>domain</x:v>
      </x:c>
      <x:c r="C1" s="201" t="str">
        <x:v>proposed_pattern</x:v>
      </x:c>
      <x:c r="D1" s="201" t="str">
        <x:v>evidence_refs</x:v>
      </x:c>
      <x:c r="E1" s="201" t="str">
        <x:v>support</x:v>
      </x:c>
      <x:c r="F1" s="201" t="str">
        <x:v>what_evidence_supports</x:v>
      </x:c>
      <x:c r="G1" s="201" t="str">
        <x:v>boundary</x:v>
      </x:c>
      <x:c r="H1" s="201" t="str">
        <x:v>status</x:v>
      </x:c>
    </x:row>
    <x:row r="2" ht="26.399999618530273" hidden="0" customHeight="1">
      <x:c r="A2" s="46" t="str">
        <x:v>PAT-DAIRY-001</x:v>
      </x:c>
      <x:c r="B2" s="46" t="str">
        <x:v>milk-fat carrier</x:v>
      </x:c>
      <x:c r="C2" s="46" t="str">
        <x:v>Treat butter/cream as a milk-fat carrier family sharing lactone, methyl-ketone, fatty-acid and carbonyl chemistry, but preserve fat concentration/emulsion state as weighting variables.</x:v>
      </x:c>
      <x:c r="D2" s="46" t="str">
        <x:v>SRC-BUTTER-SCB-CB-001; SRC-CREAM-FERMENT-001; SRC-CREAM-FERMENT-SENS-001</x:v>
      </x:c>
      <x:c r="E2" s="46" t="str">
        <x:v>strong_directional</x:v>
      </x:c>
      <x:c r="F2" s="46" t="str">
        <x:v>Butter full table directly establishes a dense lactone/fatty-acid/ketone layer; cream fermentation sources show continuity of ketones/acids/lactones in cream matrices.</x:v>
      </x:c>
      <x:c r="G2" s="46" t="str">
        <x:v>Butter is a churned water-in-oil system and cream an oil-in-water emulsion; they are not row-for-row interchangeable.</x:v>
      </x:c>
      <x:c r="H2" s="46" t="str">
        <x:v>evidence_supported</x:v>
      </x:c>
    </x:row>
    <x:row r="3" ht="26.399999618530273" hidden="0" customHeight="1">
      <x:c r="A3" s="46" t="str">
        <x:v>PAT-DAIRY-002</x:v>
      </x:c>
      <x:c r="B3" s="46" t="str">
        <x:v>fermentation</x:v>
      </x:c>
      <x:c r="C3" s="46" t="str">
        <x:v>Model cultured butter and fermented cream as native milk-fat carrier chemistry plus a fermentation delta, not separate unrelated products.</x:v>
      </x:c>
      <x:c r="D3" s="46" t="str">
        <x:v>SRC-BUTTER-SCB-CB-001; SRC-CREAM-FERMENT-001; SRC-CREAM-FERMENT-SENS-001</x:v>
      </x:c>
      <x:c r="E3" s="46" t="str">
        <x:v>strong</x:v>
      </x:c>
      <x:c r="F3" s="46" t="str">
        <x:v>Cultured butter shifts acids/ketones and introduces a cultured-butter-specific lactone in the commercial study; fermented cream increases/reshapes ketone, acid, alcohol and ester layers.</x:v>
      </x:c>
      <x:c r="G3" s="46" t="str">
        <x:v>Starter culture, time, pH and fat content can materially change weighting.</x:v>
      </x:c>
      <x:c r="H3" s="46" t="str">
        <x:v>evidence_supported</x:v>
      </x:c>
    </x:row>
    <x:row r="4" ht="26.399999618530273" hidden="0" customHeight="1">
      <x:c r="A4" s="46" t="str">
        <x:v>PAT-DAIRY-003</x:v>
      </x:c>
      <x:c r="B4" s="46" t="str">
        <x:v>heat</x:v>
      </x:c>
      <x:c r="C4" s="46" t="str">
        <x:v>Model browned butter as butter carrier chemistry plus heat-driven lactone release and milk-solid Maillard transformation.</x:v>
      </x:c>
      <x:c r="D4" s="46" t="str">
        <x:v>SRC-BUTTER-LACTONE-HEAT-001; SRC-BUTTER-LACTONE-HEAT-002; SRC-BUTTER-BROWN-MAILLARD-001</x:v>
      </x:c>
      <x:c r="E4" s="46" t="str">
        <x:v>strong_mechanism_state</x:v>
      </x:c>
      <x:c r="F4" s="46" t="str">
        <x:v>Heat expands/increases butter lactones and direct brown-butter analysis confirms Maillard browning of milk solids.</x:v>
      </x:c>
      <x:c r="G4" s="46" t="str">
        <x:v>No exhaustive browned-butter aroma table is governed yet.</x:v>
      </x:c>
      <x:c r="H4" s="46" t="str">
        <x:v>evidence_supported</x:v>
      </x:c>
    </x:row>
    <x:row r="5" ht="26.399999618530273" hidden="0" customHeight="1">
      <x:c r="A5" s="46" t="str">
        <x:v>PAT-DAIRY-004</x:v>
      </x:c>
      <x:c r="B5" s="46" t="str">
        <x:v>crème fraîche runtime mapping</x:v>
      </x:c>
      <x:c r="C5" s="46" t="str">
        <x:v>Crème fraîche should inherit the fermented-cream carrier mechanism with product-specific fat/acidity/culture weighting, rather than be treated as plain cream.</x:v>
      </x:c>
      <x:c r="D5" s="46" t="str">
        <x:v>SRC-CREAM-FERMENT-001; SRC-CREAM-FERMENT-SENS-001</x:v>
      </x:c>
      <x:c r="E5" s="46" t="str">
        <x:v>moderate_architecture</x:v>
      </x:c>
      <x:c r="F5" s="46" t="str">
        <x:v>Primary fermented-cream evidence establishes the fermentation transformation and key creamy/lactone/ketone/acid layer.</x:v>
      </x:c>
      <x:c r="G5" s="46" t="str">
        <x:v>Current primary studies are fermented cream, not a product-specific crème fraîche chemical profile. This remains an equivalence decision, not direct measurement.</x:v>
      </x:c>
      <x:c r="H5" s="46" t="str">
        <x:v>founder_review_candidate</x:v>
      </x:c>
    </x:row>
  </x:sheetData>
  <x:pageMargins left="0.7" right="0.7" top="0.75" bottom="0.75" header="0.3" footer="0.3"/>
  <x:tableParts count="1">
    <x:tablePart xmlns:r="http://schemas.openxmlformats.org/officeDocument/2006/relationships" r:id="R50d92768f1744bf3"/>
  </x:tableParts>
</x:worksheet>
</file>

<file path=xl/worksheets/sheet75.xml><?xml version="1.0" encoding="utf-8"?>
<x:worksheet xmlns:x="http://schemas.openxmlformats.org/spreadsheetml/2006/main">
  <x:sheetFormatPr defaultRowHeight="15"/>
  <x:cols>
    <x:col min="1" max="1" width="32" hidden="0" customWidth="1"/>
    <x:col min="2" max="2" width="28" hidden="0" customWidth="1"/>
    <x:col min="3" max="3" width="54" hidden="0" customWidth="1"/>
    <x:col min="4" max="4" width="18" hidden="0" customWidth="1"/>
    <x:col min="5" max="5" width="34" hidden="0" customWidth="1"/>
    <x:col min="6" max="6" width="34" hidden="0" customWidth="1"/>
    <x:col min="7" max="7" width="30" hidden="0" customWidth="1"/>
    <x:col min="8" max="8" width="40" hidden="0" customWidth="1"/>
    <x:col min="9" max="9" width="36" hidden="0" customWidth="1"/>
    <x:col min="10" max="10" width="72" hidden="0" customWidth="1"/>
  </x:cols>
  <x:sheetData>
    <x:row r="1" ht="15" hidden="0" customHeight="1">
      <x:c r="A1" s="201" t="str">
        <x:v>source_id</x:v>
      </x:c>
      <x:c r="B1" s="201" t="str">
        <x:v>product_scope</x:v>
      </x:c>
      <x:c r="C1" s="201" t="str">
        <x:v>source_reported_scope</x:v>
      </x:c>
      <x:c r="D1" s="201" t="str">
        <x:v>rows_extracted</x:v>
      </x:c>
      <x:c r="E1" s="201" t="str">
        <x:v>mr10_status</x:v>
      </x:c>
      <x:c r="F1" s="201" t="str">
        <x:v>retention_index_quality</x:v>
      </x:c>
      <x:c r="G1" s="201" t="str">
        <x:v>numeric_match_factor_quality</x:v>
      </x:c>
      <x:c r="H1" s="201" t="str">
        <x:v>other_ID_support</x:v>
      </x:c>
      <x:c r="I1" s="201" t="str">
        <x:v>mr09_status</x:v>
      </x:c>
      <x:c r="J1" s="201" t="str">
        <x:v>notes</x:v>
      </x:c>
    </x:row>
    <x:row r="2" ht="26.399999618530273" hidden="0" customHeight="1">
      <x:c r="A2" s="46" t="str">
        <x:v>SRC-BUTTER-SCB-CB-001</x:v>
      </x:c>
      <x:c r="B2" s="46" t="str">
        <x:v>dairy:butter</x:v>
      </x:c>
      <x:c r="C2" s="46" t="str">
        <x:v>33 GC-MS VOCs + 59 GC-IMS VOCs</x:v>
      </x:c>
      <x:c r="D2" s="46" t="n">
        <x:v>33</x:v>
      </x:c>
      <x:c r="E2" s="46" t="str">
        <x:v>pass_33_of_33_GCMS_table</x:v>
      </x:c>
      <x:c r="F2" s="46" t="str">
        <x:v>33/33 reference RI + calculated RI</x:v>
      </x:c>
      <x:c r="G2" s="46" t="str">
        <x:v>0/33 exact match factors</x:v>
      </x:c>
      <x:c r="H2" s="46" t="str">
        <x:v>33/33 CAS; independent GC-IMS cross-method layer; OAV</x:v>
      </x:c>
      <x:c r="I2" s="208" t="str">
        <x:v>strong_retention_metadata_no_match_factor</x:v>
      </x:c>
      <x:c r="J2" s="46" t="str">
        <x:v>Full 33-row GC-MS table is governed; 5 lactones explicitly represented.</x:v>
      </x:c>
    </x:row>
    <x:row r="3" ht="15" hidden="0" customHeight="1">
      <x:c r="A3" s="46" t="str">
        <x:v>SRC-BUTTER-LACTONE-HEAT-001</x:v>
      </x:c>
      <x:c r="B3" s="46" t="str">
        <x:v>dairy:butter heated</x:v>
      </x:c>
      <x:c r="C3" s="46" t="str">
        <x:v>13 lactone types after heat treatment</x:v>
      </x:c>
      <x:c r="D3" s="46"/>
      <x:c r="E3" s="46" t="str">
        <x:v>state_specific_not_full_VOC_table</x:v>
      </x:c>
      <x:c r="F3" s="46" t="str">
        <x:v>enantioselective GC-MS method</x:v>
      </x:c>
      <x:c r="G3" s="46" t="str">
        <x:v>not extracted</x:v>
      </x:c>
      <x:c r="H3" s="46" t="str">
        <x:v>enantiomeric distributions</x:v>
      </x:c>
      <x:c r="I3" s="202" t="str">
        <x:v>state_specific_strong</x:v>
      </x:c>
      <x:c r="J3" s="46" t="str">
        <x:v>Used for lactone heat transformation, not generic butter MR-10 completeness.</x:v>
      </x:c>
    </x:row>
    <x:row r="4" ht="26.399999618530273" hidden="0" customHeight="1">
      <x:c r="A4" s="46" t="str">
        <x:v>SRC-CREAM-FERMENT-001</x:v>
      </x:c>
      <x:c r="B4" s="46" t="str">
        <x:v>dairy:cream / dairy:fermented_cream</x:v>
      </x:c>
      <x:c r="C4" s="46" t="str">
        <x:v>46 VOCs total across control + fermentation treatments</x:v>
      </x:c>
      <x:c r="D4" s="46"/>
      <x:c r="E4" s="46" t="str">
        <x:v>source_count_verified_names_pending_supplement</x:v>
      </x:c>
      <x:c r="F4" s="46" t="str">
        <x:v>not reported in accessible article</x:v>
      </x:c>
      <x:c r="G4" s="46" t="str">
        <x:v>source-wide &gt;80% NIST14 similarity floor</x:v>
      </x:c>
      <x:c r="H4" s="46" t="str">
        <x:v>internal-standard semiquantitation</x:v>
      </x:c>
      <x:c r="I4" s="202" t="str">
        <x:v>strong_match_floor_names_incomplete</x:v>
      </x:c>
      <x:c r="J4" s="46" t="str">
        <x:v>Method is strong; full Table S2 row names are not exposed in currently accessible primary HTML. Do not invent completion.</x:v>
      </x:c>
    </x:row>
    <x:row r="5" ht="15" hidden="0" customHeight="1">
      <x:c r="A5" s="46" t="str">
        <x:v>SRC-CREAM-FERMENT-SENS-001</x:v>
      </x:c>
      <x:c r="B5" s="46" t="str">
        <x:v>dairy:fermented_cream</x:v>
      </x:c>
      <x:c r="C5" s="46" t="str">
        <x:v>32 VOCs across five fermentation periods; 9 OAV key</x:v>
      </x:c>
      <x:c r="D5" s="46"/>
      <x:c r="E5" s="46" t="str">
        <x:v>sensory_key_layer</x:v>
      </x:c>
      <x:c r="F5" s="46" t="str">
        <x:v>not extracted</x:v>
      </x:c>
      <x:c r="G5" s="46" t="str">
        <x:v>not exposed in abstract</x:v>
      </x:c>
      <x:c r="H5" s="46" t="str">
        <x:v>OAV + descriptive sensory + PLSR</x:v>
      </x:c>
      <x:c r="I5" s="202" t="str">
        <x:v>sensory_strong_detection_table_pending</x:v>
      </x:c>
      <x:c r="J5" s="46" t="str">
        <x:v>Used to weight fermented-cream chemistry, not as a full table substitute.</x:v>
      </x:c>
    </x:row>
    <x:row r="6">
      <x:c r="A6" t="str">
        <x:v>SRC-BUTTER-BROWN-AROMA-001</x:v>
      </x:c>
      <x:c r="B6" t="str">
        <x:v>dairy:butter_browned</x:v>
      </x:c>
      <x:c r="C6" t="str">
        <x:v>77 aroma-active compounds in brown/control butter Table 2.5; additional quantitative/OAV Table 2.6</x:v>
      </x:c>
      <x:c r="D6" t="n">
        <x:v>77</x:v>
      </x:c>
      <x:c r="E6" t="str">
        <x:v>pass_77_of_77_aroma_active_table</x:v>
      </x:c>
      <x:c r="F6" t="str">
        <x:v>Measured RI + NIST RI reported where available on DB-5 and/or WAX</x:v>
      </x:c>
      <x:c r="G6" t="str">
        <x:v>0/77 numeric spectral match factors</x:v>
      </x:c>
      <x:c r="H6" t="str">
        <x:v>GC sniff-port odor; chapter also uses HS-SPME-GC-MS, SAFE-GCO/AEDA and quantitative GC-MS/MS/SIDA</x:v>
      </x:c>
      <x:c r="I6" s="264" t="str">
        <x:v>strong_aroma_ID_retention_no_numeric_match_factor</x:v>
      </x:c>
      <x:c r="J6" t="str">
        <x:v>User-approved institutional/conference material. This is a complete aroma-active table, not an exhaustive all-detected VOC table; single-X BB/control assignments are left unresolved when PDF text extraction cannot safely disambiguate column placement.</x:v>
      </x:c>
    </x:row>
  </x:sheetData>
  <x:pageMargins left="0.7" right="0.7" top="0.75" bottom="0.75" header="0.3" footer="0.3"/>
  <x:tableParts count="1">
    <x:tablePart xmlns:r="http://schemas.openxmlformats.org/officeDocument/2006/relationships" r:id="R7f5f56e10ebb488c"/>
  </x:tableParts>
</x:worksheet>
</file>

<file path=xl/worksheets/sheet76.xml><?xml version="1.0" encoding="utf-8"?>
<x:worksheet xmlns:x="http://schemas.openxmlformats.org/spreadsheetml/2006/main">
  <x:sheetFormatPr defaultRowHeight="15"/>
  <x:cols>
    <x:col min="1" max="1" width="36" hidden="0" customWidth="1"/>
    <x:col min="2" max="2" width="40" hidden="0" customWidth="1"/>
    <x:col min="3" max="3" width="58" hidden="0" customWidth="1"/>
    <x:col min="4" max="4" width="82" hidden="0" customWidth="1"/>
    <x:col min="5" max="5" width="76" hidden="0" customWidth="1"/>
    <x:col min="6" max="6" width="24" hidden="0" customWidth="1"/>
    <x:col min="7" max="7" width="76" hidden="0" customWidth="1"/>
  </x:cols>
  <x:sheetData>
    <x:row r="1" ht="15" hidden="0" customHeight="1">
      <x:c r="A1" s="201" t="str">
        <x:v>criterion</x:v>
      </x:c>
      <x:c r="B1" s="201" t="str">
        <x:v>status</x:v>
      </x:c>
      <x:c r="C1" s="201" t="str">
        <x:v>evidence_refs</x:v>
      </x:c>
      <x:c r="D1" s="201" t="str">
        <x:v>what_is_complete</x:v>
      </x:c>
      <x:c r="E1" s="201" t="str">
        <x:v>residual_gap</x:v>
      </x:c>
      <x:c r="F1" s="201" t="str">
        <x:v>blocks_carrier_phase</x:v>
      </x:c>
      <x:c r="G1" s="201" t="str">
        <x:v>recommended_action</x:v>
      </x:c>
    </x:row>
    <x:row r="2" ht="26.399999618530273" hidden="0" customHeight="1">
      <x:c r="A2" s="46" t="str">
        <x:v>OVERALL — dairy/fat carriers</x:v>
      </x:c>
      <x:c r="B2" s="208" t="str">
        <x:v>COMPLETE_FOR_CURRENT_PHASE_WITH_CREAM_TABLE_ENRICHMENT_GAP</x:v>
      </x:c>
      <x:c r="C2" s="46" t="str">
        <x:v>Detected Dairy Butter; Brown Butter Aroma Active; Dairy Carrier Lactones; Dairy Cream Profiles; Dairy Butter Heat; Dairy Carrier Architecture</x:v>
      </x:c>
      <x:c r="D2" s="46" t="str">
        <x:v>Butter, cultured butter, browned-butter aroma, carrier lactones, cream baseline/fermentation mechanism and crème fraîche runtime boundary are governed.</x:v>
      </x:c>
      <x:c r="E2" s="46" t="str">
        <x:v>Full 46-row cream supplement remains un-ingested; no direct product-specific crème fraîche chemical table found.</x:v>
      </x:c>
      <x:c r="F2" s="46" t="str">
        <x:v>no</x:v>
      </x:c>
      <x:c r="G2" s="46" t="str">
        <x:v>Keep the cream supplement as the remaining dairy MR-10 enrichment target. Browned butter no longer requires a profile-building pass.</x:v>
      </x:c>
    </x:row>
    <x:row r="3" ht="26.399999618530273" hidden="0" customHeight="1">
      <x:c r="A3" s="46" t="str">
        <x:v>Butter MR-10 full table</x:v>
      </x:c>
      <x:c r="B3" s="208" t="str">
        <x:v>met</x:v>
      </x:c>
      <x:c r="C3" s="46" t="str">
        <x:v>SRC-BUTTER-SCB-CB-001; Detected Dairy Butter</x:v>
      </x:c>
      <x:c r="D3" s="46" t="str">
        <x:v>33/33 HS-SPME-GC-MS rows with reference/calculated RI, CAS and μg/g across 3 sweet-cream + 4 cultured butters.</x:v>
      </x:c>
      <x:c r="E3" s="46" t="str">
        <x:v>Paper also has 59 GC-IMS VOCs; duplicate/cross-method table not required for current carrier model.</x:v>
      </x:c>
      <x:c r="F3" s="46" t="str">
        <x:v>no</x:v>
      </x:c>
      <x:c r="G3" s="46" t="str">
        <x:v>Use GC-MS table as primary canonical butter detection layer.</x:v>
      </x:c>
    </x:row>
    <x:row r="4" ht="26.399999618530273" hidden="0" customHeight="1">
      <x:c r="A4" s="46" t="str">
        <x:v>Butter lactone carrier layer</x:v>
      </x:c>
      <x:c r="B4" s="208" t="str">
        <x:v>met</x:v>
      </x:c>
      <x:c r="C4" s="46" t="str">
        <x:v>Dairy Carrier Lactones; SRC-BUTTER-LACTONE-BREADTH-001</x:v>
      </x:c>
      <x:c r="D4" s="46" t="str">
        <x:v>Five routine butter lactones directly quantified; heat-treated butter reaches 13 lactone types; butter-oil literature adds six γ, five δ and one ε newly identified lactones.</x:v>
      </x:c>
      <x:c r="E4" s="46" t="str">
        <x:v>Not all 13/12 expanded lactone identities are accessible in abstract records.</x:v>
      </x:c>
      <x:c r="F4" s="46" t="str">
        <x:v>no</x:v>
      </x:c>
      <x:c r="G4" s="46" t="str">
        <x:v>Do not fabricate unnamed lactones; current class breadth is sufficient to establish carrier architecture.</x:v>
      </x:c>
    </x:row>
    <x:row r="5" ht="15" hidden="0" customHeight="1">
      <x:c r="A5" s="46" t="str">
        <x:v>Brown butter transformation</x:v>
      </x:c>
      <x:c r="B5" s="208" t="str">
        <x:v>met_full_aroma_active_profile</x:v>
      </x:c>
      <x:c r="C5" s="46" t="str">
        <x:v>Dairy Butter Heat; Brown Butter Aroma Active; SRC-BUTTER-BROWN-AROMA-001</x:v>
      </x:c>
      <x:c r="D5" s="46" t="str">
        <x:v>Brown butter now has a complete 77-row aroma-active brown/control comparison with measured/NIST RI where available, plus independent quantitative OAV work and the earlier peer-reviewed Maillard/lactone mechanism evidence.</x:v>
      </x:c>
      <x:c r="E5" s="46" t="str">
        <x:v>An exhaustive all-detected brown-butter VOC table is still not governed; the 77-row table is aroma-active by design.</x:v>
      </x:c>
      <x:c r="F5" s="46" t="str">
        <x:v>no</x:v>
      </x:c>
      <x:c r="G5" s="46" t="str">
        <x:v>Use the 77-row table as the canonical browned-butter sensory/aroma layer and retain the 33-row unheated butter table as the detected baseline.</x:v>
      </x:c>
    </x:row>
    <x:row r="6" ht="26.399999618530273" hidden="0" customHeight="1">
      <x:c r="A6" s="46" t="str">
        <x:v>Cream baseline / fermentation</x:v>
      </x:c>
      <x:c r="B6" s="202" t="str">
        <x:v>met_for_architecture</x:v>
      </x:c>
      <x:c r="C6" s="46" t="str">
        <x:v>SRC-CREAM-FERMENT-001; Dairy Cream Profiles</x:v>
      </x:c>
      <x:c r="D6" s="46" t="str">
        <x:v>Unfermented control and LAB-fermented cream are directly studied under a &gt;80% NIST14 match floor; the experiment contains a 46-VOC union and Supplementary Table S2 exists as an attached DOCX.</x:v>
      </x:c>
      <x:c r="E6" s="46" t="str">
        <x:v>The supplementary DOCX row contents are not retrievable in the current runtime, so the 46 rows remain un-ingested rather than reconstructed.</x:v>
      </x:c>
      <x:c r="F6" s="46" t="str">
        <x:v>no</x:v>
      </x:c>
      <x:c r="G6" s="46" t="str">
        <x:v>Reattempt the exact Table S2 supplement in a future runtime. Keep source-count/method and sensory layers as the governed fallback.</x:v>
      </x:c>
    </x:row>
    <x:row r="7" ht="26.399999618530273" hidden="0" customHeight="1">
      <x:c r="A7" s="46" t="str">
        <x:v>Crème fraîche</x:v>
      </x:c>
      <x:c r="B7" s="202" t="str">
        <x:v>governed_equivalence_candidate</x:v>
      </x:c>
      <x:c r="C7" s="46" t="str">
        <x:v>PAT-DAIRY-004; FV-DAIRY-001</x:v>
      </x:c>
      <x:c r="D7" s="46" t="str">
        <x:v>Fermented-cream chemical transformation is directly evidenced and can support crème fraîche runtime inheritance if founder approves product mapping.</x:v>
      </x:c>
      <x:c r="E7" s="46" t="str">
        <x:v>No direct crème-fraîche-specific compound table.</x:v>
      </x:c>
      <x:c r="F7" s="46" t="str">
        <x:v>no</x:v>
      </x:c>
      <x:c r="G7" s="46" t="str">
        <x:v>Founder decide runtime equivalence; direct measured rows must remain labeled fermented cream.</x:v>
      </x:c>
    </x:row>
  </x:sheetData>
  <x:pageMargins left="0.7" right="0.7" top="0.75" bottom="0.75" header="0.3" footer="0.3"/>
  <x:tableParts count="1">
    <x:tablePart xmlns:r="http://schemas.openxmlformats.org/officeDocument/2006/relationships" r:id="R95cf665c90544d38"/>
  </x:tableParts>
</x:worksheet>
</file>

<file path=xl/worksheets/sheet77.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22" hidden="0" customWidth="1"/>
    <x:col min="5" max="5" width="30" hidden="0" customWidth="1"/>
    <x:col min="6" max="6" width="18" hidden="0" customWidth="1"/>
    <x:col min="7" max="7" width="34" hidden="0" customWidth="1"/>
    <x:col min="8" max="8" width="32" hidden="0" customWidth="1"/>
    <x:col min="9" max="9" width="12" hidden="0" customWidth="1"/>
    <x:col min="10" max="10" width="15" hidden="0" customWidth="1"/>
    <x:col min="11" max="11" width="15" hidden="0" customWidth="1"/>
    <x:col min="12" max="12" width="16" hidden="0" customWidth="1"/>
    <x:col min="13" max="13" width="17" hidden="0" customWidth="1"/>
    <x:col min="14" max="14" width="15" hidden="0" customWidth="1"/>
    <x:col min="15" max="15" width="48" hidden="0" customWidth="1"/>
    <x:col min="16" max="16" width="18" hidden="0" customWidth="1"/>
    <x:col min="17" max="17" width="34" hidden="0" customWidth="1"/>
    <x:col min="18" max="18" width="14" hidden="0" customWidth="1"/>
    <x:col min="19" max="19" width="14" hidden="0" customWidth="1"/>
    <x:col min="20" max="20" width="14" hidden="0" customWidth="1"/>
    <x:col min="21" max="21" width="14" hidden="0" customWidth="1"/>
    <x:col min="22" max="22" width="14" hidden="0" customWidth="1"/>
    <x:col min="23" max="23" width="25" hidden="0" customWidth="1"/>
    <x:col min="24" max="24" width="64" hidden="0" customWidth="1"/>
  </x:cols>
  <x:sheetData>
    <x:row r="1" ht="26.399999618530273" hidden="0" customHeight="1">
      <x:c r="A1" s="201" t="str">
        <x:v>record_id</x:v>
      </x:c>
      <x:c r="B1" s="201" t="str">
        <x:v>product_id</x:v>
      </x:c>
      <x:c r="C1" s="201" t="str">
        <x:v>family_id</x:v>
      </x:c>
      <x:c r="D1" s="201" t="str">
        <x:v>material</x:v>
      </x:c>
      <x:c r="E1" s="201" t="str">
        <x:v>source_id</x:v>
      </x:c>
      <x:c r="F1" s="201" t="str">
        <x:v>compound_group</x:v>
      </x:c>
      <x:c r="G1" s="201" t="str">
        <x:v>feature_name</x:v>
      </x:c>
      <x:c r="H1" s="201" t="str">
        <x:v>compound_name_base</x:v>
      </x:c>
      <x:c r="I1" s="201" t="str">
        <x:v>feature_form</x:v>
      </x:c>
      <x:c r="J1" s="201" t="str">
        <x:v>cas_source</x:v>
      </x:c>
      <x:c r="K1" s="201" t="str">
        <x:v>formula</x:v>
      </x:c>
      <x:c r="L1" s="201" t="str">
        <x:v>retention_index</x:v>
      </x:c>
      <x:c r="M1" s="201" t="str">
        <x:v>retention_time_s</x:v>
      </x:c>
      <x:c r="N1" s="201" t="str">
        <x:v>drift_time_au</x:v>
      </x:c>
      <x:c r="O1" s="201" t="str">
        <x:v>identification_method</x:v>
      </x:c>
      <x:c r="P1" s="201" t="str">
        <x:v>numeric_match_factor</x:v>
      </x:c>
      <x:c r="Q1" s="201" t="str">
        <x:v>mr09_status</x:v>
      </x:c>
      <x:c r="R1" s="201" t="str">
        <x:v>raw_peak</x:v>
      </x:c>
      <x:c r="S1" s="201" t="str">
        <x:v>boiled_peak</x:v>
      </x:c>
      <x:c r="T1" s="201" t="str">
        <x:v>roasted_peak</x:v>
      </x:c>
      <x:c r="U1" s="201" t="str">
        <x:v>fried_peak</x:v>
      </x:c>
      <x:c r="V1" s="201" t="str">
        <x:v>microwaved_peak</x:v>
      </x:c>
      <x:c r="W1" s="201" t="str">
        <x:v>metric</x:v>
      </x:c>
      <x:c r="X1" s="201" t="str">
        <x:v>notes</x:v>
      </x:c>
    </x:row>
    <x:row r="2" ht="26.399999618530273" hidden="0" customHeight="1">
      <x:c r="A2" s="46" t="str">
        <x:v>DSC-001</x:v>
      </x:c>
      <x:c r="B2" s="46" t="str">
        <x:v>bivalve:bay_scallop</x:v>
      </x:c>
      <x:c r="C2" s="46" t="str">
        <x:v>family:bivalve_mollusk</x:v>
      </x:c>
      <x:c r="D2" s="46" t="str">
        <x:v>scallop muscle</x:v>
      </x:c>
      <x:c r="E2" s="46" t="str">
        <x:v>SRC-SCALLOP-COOK-001</x:v>
      </x:c>
      <x:c r="F2" s="46" t="str">
        <x:v>Aldehydes</x:v>
      </x:c>
      <x:c r="G2" s="46" t="str">
        <x:v>Octanal (M)</x:v>
      </x:c>
      <x:c r="H2" s="46" t="str">
        <x:v>Octanal</x:v>
      </x:c>
      <x:c r="I2" s="46" t="str">
        <x:v>M</x:v>
      </x:c>
      <x:c r="J2" s="46" t="str">
        <x:v>C124130</x:v>
      </x:c>
      <x:c r="K2" s="46" t="str">
        <x:v>C8H16O</x:v>
      </x:c>
      <x:c r="L2" s="46" t="n">
        <x:v>998.6</x:v>
      </x:c>
      <x:c r="M2" s="46" t="n">
        <x:v>585.19</x:v>
      </x:c>
      <x:c r="N2" s="46" t="n">
        <x:v>1.40355</x:v>
      </x:c>
      <x:c r="O2" s="46" t="str">
        <x:v>C4-C9 n-ketone RI + GC×IMS library; monomer/dimer features preserved</x:v>
      </x:c>
      <x:c r="P2" s="46"/>
      <x:c r="Q2" s="46" t="str">
        <x:v>ri_rt_drift_reported_no_numeric_match_factor</x:v>
      </x:c>
      <x:c r="R2" s="46" t="n">
        <x:v>1560.84</x:v>
      </x:c>
      <x:c r="S2" s="46" t="n">
        <x:v>1149.96</x:v>
      </x:c>
      <x:c r="T2" s="46" t="n">
        <x:v>1591.63</x:v>
      </x:c>
      <x:c r="U2" s="46" t="n">
        <x:v>2338.03</x:v>
      </x:c>
      <x:c r="V2" s="46" t="n">
        <x:v>1658.26</x:v>
      </x:c>
      <x:c r="W2" s="46" t="str">
        <x:v>GC-IMS peak volume (a.u.)</x:v>
      </x:c>
      <x:c r="X2" s="46" t="str">
        <x:v>Frying uses corn oil and therefore includes a cooking-medium lipid overlay.</x:v>
      </x:c>
    </x:row>
    <x:row r="3" ht="26.399999618530273" hidden="0" customHeight="1">
      <x:c r="A3" s="46" t="str">
        <x:v>DSC-002</x:v>
      </x:c>
      <x:c r="B3" s="46" t="str">
        <x:v>bivalve:bay_scallop</x:v>
      </x:c>
      <x:c r="C3" s="46" t="str">
        <x:v>family:bivalve_mollusk</x:v>
      </x:c>
      <x:c r="D3" s="46" t="str">
        <x:v>scallop muscle</x:v>
      </x:c>
      <x:c r="E3" s="46" t="str">
        <x:v>SRC-SCALLOP-COOK-001</x:v>
      </x:c>
      <x:c r="F3" s="46" t="str">
        <x:v>Aldehydes</x:v>
      </x:c>
      <x:c r="G3" s="46" t="str">
        <x:v>Octanal (D)</x:v>
      </x:c>
      <x:c r="H3" s="46" t="str">
        <x:v>Octanal</x:v>
      </x:c>
      <x:c r="I3" s="46" t="str">
        <x:v>D</x:v>
      </x:c>
      <x:c r="J3" s="46" t="str">
        <x:v>C124130</x:v>
      </x:c>
      <x:c r="K3" s="46" t="str">
        <x:v>C8H16O</x:v>
      </x:c>
      <x:c r="L3" s="46" t="n">
        <x:v>980.3</x:v>
      </x:c>
      <x:c r="M3" s="46" t="n">
        <x:v>551.031</x:v>
      </x:c>
      <x:c r="N3" s="46" t="n">
        <x:v>1.41421</x:v>
      </x:c>
      <x:c r="O3" s="46" t="str">
        <x:v>C4-C9 n-ketone RI + GC×IMS library; monomer/dimer features preserved</x:v>
      </x:c>
      <x:c r="P3" s="46"/>
      <x:c r="Q3" s="46" t="str">
        <x:v>ri_rt_drift_reported_no_numeric_match_factor</x:v>
      </x:c>
      <x:c r="R3" s="46" t="n">
        <x:v>232.85</x:v>
      </x:c>
      <x:c r="S3" s="46" t="n">
        <x:v>324.16</x:v>
      </x:c>
      <x:c r="T3" s="46" t="n">
        <x:v>457.44</x:v>
      </x:c>
      <x:c r="U3" s="46" t="n">
        <x:v>460.66</x:v>
      </x:c>
      <x:c r="V3" s="46" t="n">
        <x:v>405.18</x:v>
      </x:c>
      <x:c r="W3" s="46" t="str">
        <x:v>GC-IMS peak volume (a.u.)</x:v>
      </x:c>
      <x:c r="X3" s="46" t="str">
        <x:v>Frying uses corn oil and therefore includes a cooking-medium lipid overlay.</x:v>
      </x:c>
    </x:row>
    <x:row r="4" ht="26.399999618530273" hidden="0" customHeight="1">
      <x:c r="A4" s="46" t="str">
        <x:v>DSC-003</x:v>
      </x:c>
      <x:c r="B4" s="46" t="str">
        <x:v>bivalve:bay_scallop</x:v>
      </x:c>
      <x:c r="C4" s="46" t="str">
        <x:v>family:bivalve_mollusk</x:v>
      </x:c>
      <x:c r="D4" s="46" t="str">
        <x:v>scallop muscle</x:v>
      </x:c>
      <x:c r="E4" s="46" t="str">
        <x:v>SRC-SCALLOP-COOK-001</x:v>
      </x:c>
      <x:c r="F4" s="46" t="str">
        <x:v>Aldehydes</x:v>
      </x:c>
      <x:c r="G4" s="46" t="str">
        <x:v>Butanal</x:v>
      </x:c>
      <x:c r="H4" s="46" t="str">
        <x:v>Butanal</x:v>
      </x:c>
      <x:c r="I4" s="46"/>
      <x:c r="J4" s="46" t="str">
        <x:v>C123728</x:v>
      </x:c>
      <x:c r="K4" s="46" t="str">
        <x:v>C4H8O</x:v>
      </x:c>
      <x:c r="L4" s="46" t="n">
        <x:v>606.4</x:v>
      </x:c>
      <x:c r="M4" s="46" t="n">
        <x:v>148.651</x:v>
      </x:c>
      <x:c r="N4" s="46" t="n">
        <x:v>1.1028</x:v>
      </x:c>
      <x:c r="O4" s="46" t="str">
        <x:v>C4-C9 n-ketone RI + GC×IMS library; monomer/dimer features preserved</x:v>
      </x:c>
      <x:c r="P4" s="46"/>
      <x:c r="Q4" s="46" t="str">
        <x:v>ri_rt_drift_reported_no_numeric_match_factor</x:v>
      </x:c>
      <x:c r="R4" s="46" t="n">
        <x:v>1684.24</x:v>
      </x:c>
      <x:c r="S4" s="46" t="n">
        <x:v>835.52</x:v>
      </x:c>
      <x:c r="T4" s="46" t="n">
        <x:v>608.64</x:v>
      </x:c>
      <x:c r="U4" s="46" t="n">
        <x:v>696.62</x:v>
      </x:c>
      <x:c r="V4" s="46" t="n">
        <x:v>483.23</x:v>
      </x:c>
      <x:c r="W4" s="46" t="str">
        <x:v>GC-IMS peak volume (a.u.)</x:v>
      </x:c>
      <x:c r="X4" s="46" t="str">
        <x:v>Frying uses corn oil and therefore includes a cooking-medium lipid overlay.</x:v>
      </x:c>
    </x:row>
    <x:row r="5" ht="26.399999618530273" hidden="0" customHeight="1">
      <x:c r="A5" s="46" t="str">
        <x:v>DSC-004</x:v>
      </x:c>
      <x:c r="B5" s="46" t="str">
        <x:v>bivalve:bay_scallop</x:v>
      </x:c>
      <x:c r="C5" s="46" t="str">
        <x:v>family:bivalve_mollusk</x:v>
      </x:c>
      <x:c r="D5" s="46" t="str">
        <x:v>scallop muscle</x:v>
      </x:c>
      <x:c r="E5" s="46" t="str">
        <x:v>SRC-SCALLOP-COOK-001</x:v>
      </x:c>
      <x:c r="F5" s="46" t="str">
        <x:v>Aldehydes</x:v>
      </x:c>
      <x:c r="G5" s="46" t="str">
        <x:v>Heptanal (M)</x:v>
      </x:c>
      <x:c r="H5" s="46" t="str">
        <x:v>Heptanal</x:v>
      </x:c>
      <x:c r="I5" s="46" t="str">
        <x:v>M</x:v>
      </x:c>
      <x:c r="J5" s="46" t="str">
        <x:v>C111717</x:v>
      </x:c>
      <x:c r="K5" s="46" t="str">
        <x:v>C7H14O</x:v>
      </x:c>
      <x:c r="L5" s="46" t="n">
        <x:v>893.4</x:v>
      </x:c>
      <x:c r="M5" s="46" t="n">
        <x:v>390.536</x:v>
      </x:c>
      <x:c r="N5" s="46" t="n">
        <x:v>1.32983</x:v>
      </x:c>
      <x:c r="O5" s="46" t="str">
        <x:v>C4-C9 n-ketone RI + GC×IMS library; monomer/dimer features preserved</x:v>
      </x:c>
      <x:c r="P5" s="46"/>
      <x:c r="Q5" s="46" t="str">
        <x:v>ri_rt_drift_reported_no_numeric_match_factor</x:v>
      </x:c>
      <x:c r="R5" s="46" t="n">
        <x:v>1810.6</x:v>
      </x:c>
      <x:c r="S5" s="46" t="n">
        <x:v>1090.96</x:v>
      </x:c>
      <x:c r="T5" s="46" t="n">
        <x:v>1637.35</x:v>
      </x:c>
      <x:c r="U5" s="46" t="n">
        <x:v>2236.26</x:v>
      </x:c>
      <x:c r="V5" s="46" t="n">
        <x:v>1565.95</x:v>
      </x:c>
      <x:c r="W5" s="46" t="str">
        <x:v>GC-IMS peak volume (a.u.)</x:v>
      </x:c>
      <x:c r="X5" s="46" t="str">
        <x:v>Frying uses corn oil and therefore includes a cooking-medium lipid overlay.</x:v>
      </x:c>
    </x:row>
    <x:row r="6" ht="26.399999618530273" hidden="0" customHeight="1">
      <x:c r="A6" s="46" t="str">
        <x:v>DSC-005</x:v>
      </x:c>
      <x:c r="B6" s="46" t="str">
        <x:v>bivalve:bay_scallop</x:v>
      </x:c>
      <x:c r="C6" s="46" t="str">
        <x:v>family:bivalve_mollusk</x:v>
      </x:c>
      <x:c r="D6" s="46" t="str">
        <x:v>scallop muscle</x:v>
      </x:c>
      <x:c r="E6" s="46" t="str">
        <x:v>SRC-SCALLOP-COOK-001</x:v>
      </x:c>
      <x:c r="F6" s="46" t="str">
        <x:v>Aldehydes</x:v>
      </x:c>
      <x:c r="G6" s="46" t="str">
        <x:v>Heptanal (D)</x:v>
      </x:c>
      <x:c r="H6" s="46" t="str">
        <x:v>Heptanal</x:v>
      </x:c>
      <x:c r="I6" s="46" t="str">
        <x:v>D</x:v>
      </x:c>
      <x:c r="J6" s="46" t="str">
        <x:v>C111717</x:v>
      </x:c>
      <x:c r="K6" s="46" t="str">
        <x:v>C7H14O</x:v>
      </x:c>
      <x:c r="L6" s="46" t="n">
        <x:v>891.2</x:v>
      </x:c>
      <x:c r="M6" s="46" t="n">
        <x:v>387.193</x:v>
      </x:c>
      <x:c r="N6" s="46" t="n">
        <x:v>1.69606</x:v>
      </x:c>
      <x:c r="O6" s="46" t="str">
        <x:v>C4-C9 n-ketone RI + GC×IMS library; monomer/dimer features preserved</x:v>
      </x:c>
      <x:c r="P6" s="46"/>
      <x:c r="Q6" s="46" t="str">
        <x:v>ri_rt_drift_reported_no_numeric_match_factor</x:v>
      </x:c>
      <x:c r="R6" s="46" t="n">
        <x:v>580.77</x:v>
      </x:c>
      <x:c r="S6" s="46" t="n">
        <x:v>212.8</x:v>
      </x:c>
      <x:c r="T6" s="46" t="n">
        <x:v>392.64</x:v>
      </x:c>
      <x:c r="U6" s="46" t="n">
        <x:v>987.33</x:v>
      </x:c>
      <x:c r="V6" s="46" t="n">
        <x:v>443.71</x:v>
      </x:c>
      <x:c r="W6" s="46" t="str">
        <x:v>GC-IMS peak volume (a.u.)</x:v>
      </x:c>
      <x:c r="X6" s="46" t="str">
        <x:v>Frying uses corn oil and therefore includes a cooking-medium lipid overlay.</x:v>
      </x:c>
    </x:row>
    <x:row r="7" ht="26.399999618530273" hidden="0" customHeight="1">
      <x:c r="A7" s="46" t="str">
        <x:v>DSC-006</x:v>
      </x:c>
      <x:c r="B7" s="46" t="str">
        <x:v>bivalve:bay_scallop</x:v>
      </x:c>
      <x:c r="C7" s="46" t="str">
        <x:v>family:bivalve_mollusk</x:v>
      </x:c>
      <x:c r="D7" s="46" t="str">
        <x:v>scallop muscle</x:v>
      </x:c>
      <x:c r="E7" s="46" t="str">
        <x:v>SRC-SCALLOP-COOK-001</x:v>
      </x:c>
      <x:c r="F7" s="46" t="str">
        <x:v>Aldehydes</x:v>
      </x:c>
      <x:c r="G7" s="46" t="str">
        <x:v>Hexanal</x:v>
      </x:c>
      <x:c r="H7" s="46" t="str">
        <x:v>Hexanal</x:v>
      </x:c>
      <x:c r="I7" s="46"/>
      <x:c r="J7" s="46" t="str">
        <x:v>C66251</x:v>
      </x:c>
      <x:c r="K7" s="46" t="str">
        <x:v>C6H12O</x:v>
      </x:c>
      <x:c r="L7" s="46" t="n">
        <x:v>765.5</x:v>
      </x:c>
      <x:c r="M7" s="46" t="n">
        <x:v>247.461</x:v>
      </x:c>
      <x:c r="N7" s="46" t="n">
        <x:v>1.25116</x:v>
      </x:c>
      <x:c r="O7" s="46" t="str">
        <x:v>C4-C9 n-ketone RI + GC×IMS library; monomer/dimer features preserved</x:v>
      </x:c>
      <x:c r="P7" s="46"/>
      <x:c r="Q7" s="46" t="str">
        <x:v>ri_rt_drift_reported_no_numeric_match_factor</x:v>
      </x:c>
      <x:c r="R7" s="46" t="n">
        <x:v>969.34</x:v>
      </x:c>
      <x:c r="S7" s="46" t="n">
        <x:v>1719.31</x:v>
      </x:c>
      <x:c r="T7" s="46" t="n">
        <x:v>583.14</x:v>
      </x:c>
      <x:c r="U7" s="46" t="n">
        <x:v>1895.02</x:v>
      </x:c>
      <x:c r="V7" s="46" t="n">
        <x:v>2131.8</x:v>
      </x:c>
      <x:c r="W7" s="46" t="str">
        <x:v>GC-IMS peak volume (a.u.)</x:v>
      </x:c>
      <x:c r="X7" s="46" t="str">
        <x:v>Frying uses corn oil and therefore includes a cooking-medium lipid overlay.</x:v>
      </x:c>
    </x:row>
    <x:row r="8" ht="26.399999618530273" hidden="0" customHeight="1">
      <x:c r="A8" s="46" t="str">
        <x:v>DSC-007</x:v>
      </x:c>
      <x:c r="B8" s="46" t="str">
        <x:v>bivalve:bay_scallop</x:v>
      </x:c>
      <x:c r="C8" s="46" t="str">
        <x:v>family:bivalve_mollusk</x:v>
      </x:c>
      <x:c r="D8" s="46" t="str">
        <x:v>scallop muscle</x:v>
      </x:c>
      <x:c r="E8" s="46" t="str">
        <x:v>SRC-SCALLOP-COOK-001</x:v>
      </x:c>
      <x:c r="F8" s="46" t="str">
        <x:v>Aldehydes</x:v>
      </x:c>
      <x:c r="G8" s="46" t="str">
        <x:v>Pentanal (M)</x:v>
      </x:c>
      <x:c r="H8" s="46" t="str">
        <x:v>Pentanal</x:v>
      </x:c>
      <x:c r="I8" s="46" t="str">
        <x:v>M</x:v>
      </x:c>
      <x:c r="J8" s="46" t="str">
        <x:v>C110623</x:v>
      </x:c>
      <x:c r="K8" s="46" t="str">
        <x:v>C5H10O</x:v>
      </x:c>
      <x:c r="L8" s="46" t="n">
        <x:v>685.1</x:v>
      </x:c>
      <x:c r="M8" s="46" t="n">
        <x:v>182.891</x:v>
      </x:c>
      <x:c r="N8" s="46" t="n">
        <x:v>1.18647</x:v>
      </x:c>
      <x:c r="O8" s="46" t="str">
        <x:v>C4-C9 n-ketone RI + GC×IMS library; monomer/dimer features preserved</x:v>
      </x:c>
      <x:c r="P8" s="46"/>
      <x:c r="Q8" s="46" t="str">
        <x:v>ri_rt_drift_reported_no_numeric_match_factor</x:v>
      </x:c>
      <x:c r="R8" s="46" t="n">
        <x:v>338.24</x:v>
      </x:c>
      <x:c r="S8" s="46" t="n">
        <x:v>1220.24</x:v>
      </x:c>
      <x:c r="T8" s="46" t="n">
        <x:v>915.73</x:v>
      </x:c>
      <x:c r="U8" s="46" t="n">
        <x:v>915.02</x:v>
      </x:c>
      <x:c r="V8" s="46" t="n">
        <x:v>1225.22</x:v>
      </x:c>
      <x:c r="W8" s="46" t="str">
        <x:v>GC-IMS peak volume (a.u.)</x:v>
      </x:c>
      <x:c r="X8" s="46" t="str">
        <x:v>Frying uses corn oil and therefore includes a cooking-medium lipid overlay.</x:v>
      </x:c>
    </x:row>
    <x:row r="9" ht="26.399999618530273" hidden="0" customHeight="1">
      <x:c r="A9" s="46" t="str">
        <x:v>DSC-008</x:v>
      </x:c>
      <x:c r="B9" s="46" t="str">
        <x:v>bivalve:bay_scallop</x:v>
      </x:c>
      <x:c r="C9" s="46" t="str">
        <x:v>family:bivalve_mollusk</x:v>
      </x:c>
      <x:c r="D9" s="46" t="str">
        <x:v>scallop muscle</x:v>
      </x:c>
      <x:c r="E9" s="46" t="str">
        <x:v>SRC-SCALLOP-COOK-001</x:v>
      </x:c>
      <x:c r="F9" s="46" t="str">
        <x:v>Aldehydes</x:v>
      </x:c>
      <x:c r="G9" s="46" t="str">
        <x:v>Pentanal (D)</x:v>
      </x:c>
      <x:c r="H9" s="46" t="str">
        <x:v>Pentanal</x:v>
      </x:c>
      <x:c r="I9" s="46" t="str">
        <x:v>D</x:v>
      </x:c>
      <x:c r="J9" s="46" t="str">
        <x:v>C110623</x:v>
      </x:c>
      <x:c r="K9" s="46" t="str">
        <x:v>C5H10O</x:v>
      </x:c>
      <x:c r="L9" s="46" t="n">
        <x:v>688.8</x:v>
      </x:c>
      <x:c r="M9" s="46" t="n">
        <x:v>184.604</x:v>
      </x:c>
      <x:c r="N9" s="46" t="n">
        <x:v>1.42917</x:v>
      </x:c>
      <x:c r="O9" s="46" t="str">
        <x:v>C4-C9 n-ketone RI + GC×IMS library; monomer/dimer features preserved</x:v>
      </x:c>
      <x:c r="P9" s="46"/>
      <x:c r="Q9" s="46" t="str">
        <x:v>ri_rt_drift_reported_no_numeric_match_factor</x:v>
      </x:c>
      <x:c r="R9" s="46" t="n">
        <x:v>534.7</x:v>
      </x:c>
      <x:c r="S9" s="46" t="n">
        <x:v>4202</x:v>
      </x:c>
      <x:c r="T9" s="46" t="n">
        <x:v>1380.45</x:v>
      </x:c>
      <x:c r="U9" s="46" t="n">
        <x:v>2412.52</x:v>
      </x:c>
      <x:c r="V9" s="46" t="n">
        <x:v>2787.59</x:v>
      </x:c>
      <x:c r="W9" s="46" t="str">
        <x:v>GC-IMS peak volume (a.u.)</x:v>
      </x:c>
      <x:c r="X9" s="46" t="str">
        <x:v>Frying uses corn oil and therefore includes a cooking-medium lipid overlay.</x:v>
      </x:c>
    </x:row>
    <x:row r="10" ht="26.399999618530273" hidden="0" customHeight="1">
      <x:c r="A10" s="46" t="str">
        <x:v>DSC-009</x:v>
      </x:c>
      <x:c r="B10" s="46" t="str">
        <x:v>bivalve:bay_scallop</x:v>
      </x:c>
      <x:c r="C10" s="46" t="str">
        <x:v>family:bivalve_mollusk</x:v>
      </x:c>
      <x:c r="D10" s="46" t="str">
        <x:v>scallop muscle</x:v>
      </x:c>
      <x:c r="E10" s="46" t="str">
        <x:v>SRC-SCALLOP-COOK-001</x:v>
      </x:c>
      <x:c r="F10" s="46" t="str">
        <x:v>Aldehydes</x:v>
      </x:c>
      <x:c r="G10" s="46" t="str">
        <x:v>2-Methylpropanal</x:v>
      </x:c>
      <x:c r="H10" s="46" t="str">
        <x:v>2-Methylpropanal</x:v>
      </x:c>
      <x:c r="I10" s="46"/>
      <x:c r="J10" s="46" t="str">
        <x:v>C78842</x:v>
      </x:c>
      <x:c r="K10" s="46" t="str">
        <x:v>C4H8O</x:v>
      </x:c>
      <x:c r="L10" s="46" t="n">
        <x:v>591.1</x:v>
      </x:c>
      <x:c r="M10" s="46" t="n">
        <x:v>142</x:v>
      </x:c>
      <x:c r="N10" s="46" t="n">
        <x:v>1.2895</x:v>
      </x:c>
      <x:c r="O10" s="46" t="str">
        <x:v>C4-C9 n-ketone RI + GC×IMS library; monomer/dimer features preserved</x:v>
      </x:c>
      <x:c r="P10" s="46"/>
      <x:c r="Q10" s="46" t="str">
        <x:v>ri_rt_drift_reported_no_numeric_match_factor</x:v>
      </x:c>
      <x:c r="R10" s="46" t="n">
        <x:v>1292</x:v>
      </x:c>
      <x:c r="S10" s="46" t="n">
        <x:v>380.77</x:v>
      </x:c>
      <x:c r="T10" s="46" t="n">
        <x:v>499.28</x:v>
      </x:c>
      <x:c r="U10" s="46" t="n">
        <x:v>878.9</x:v>
      </x:c>
      <x:c r="V10" s="46" t="n">
        <x:v>387.5</x:v>
      </x:c>
      <x:c r="W10" s="46" t="str">
        <x:v>GC-IMS peak volume (a.u.)</x:v>
      </x:c>
      <x:c r="X10" s="46" t="str">
        <x:v>Frying uses corn oil and therefore includes a cooking-medium lipid overlay.</x:v>
      </x:c>
    </x:row>
    <x:row r="11" ht="26.399999618530273" hidden="0" customHeight="1">
      <x:c r="A11" s="46" t="str">
        <x:v>DSC-010</x:v>
      </x:c>
      <x:c r="B11" s="46" t="str">
        <x:v>bivalve:bay_scallop</x:v>
      </x:c>
      <x:c r="C11" s="46" t="str">
        <x:v>family:bivalve_mollusk</x:v>
      </x:c>
      <x:c r="D11" s="46" t="str">
        <x:v>scallop muscle</x:v>
      </x:c>
      <x:c r="E11" s="46" t="str">
        <x:v>SRC-SCALLOP-COOK-001</x:v>
      </x:c>
      <x:c r="F11" s="46" t="str">
        <x:v>Aldehydes</x:v>
      </x:c>
      <x:c r="G11" s="46" t="str">
        <x:v>Propanal</x:v>
      </x:c>
      <x:c r="H11" s="46" t="str">
        <x:v>Propanal</x:v>
      </x:c>
      <x:c r="I11" s="46"/>
      <x:c r="J11" s="46" t="str">
        <x:v>C123386</x:v>
      </x:c>
      <x:c r="K11" s="46" t="str">
        <x:v>C3H6O</x:v>
      </x:c>
      <x:c r="L11" s="46" t="n">
        <x:v>501</x:v>
      </x:c>
      <x:c r="M11" s="46" t="n">
        <x:v>102.771</x:v>
      </x:c>
      <x:c r="N11" s="46" t="n">
        <x:v>1.05695</x:v>
      </x:c>
      <x:c r="O11" s="46" t="str">
        <x:v>C4-C9 n-ketone RI + GC×IMS library; monomer/dimer features preserved</x:v>
      </x:c>
      <x:c r="P11" s="46"/>
      <x:c r="Q11" s="46" t="str">
        <x:v>ri_rt_drift_reported_no_numeric_match_factor</x:v>
      </x:c>
      <x:c r="R11" s="46" t="n">
        <x:v>4461.92</x:v>
      </x:c>
      <x:c r="S11" s="46" t="n">
        <x:v>2752.13</x:v>
      </x:c>
      <x:c r="T11" s="46" t="n">
        <x:v>2617.1</x:v>
      </x:c>
      <x:c r="U11" s="46" t="n">
        <x:v>2920.2</x:v>
      </x:c>
      <x:c r="V11" s="46" t="n">
        <x:v>2330.3</x:v>
      </x:c>
      <x:c r="W11" s="46" t="str">
        <x:v>GC-IMS peak volume (a.u.)</x:v>
      </x:c>
      <x:c r="X11" s="46" t="str">
        <x:v>Frying uses corn oil and therefore includes a cooking-medium lipid overlay.</x:v>
      </x:c>
    </x:row>
    <x:row r="12" ht="26.399999618530273" hidden="0" customHeight="1">
      <x:c r="A12" s="46" t="str">
        <x:v>DSC-011</x:v>
      </x:c>
      <x:c r="B12" s="46" t="str">
        <x:v>bivalve:bay_scallop</x:v>
      </x:c>
      <x:c r="C12" s="46" t="str">
        <x:v>family:bivalve_mollusk</x:v>
      </x:c>
      <x:c r="D12" s="46" t="str">
        <x:v>scallop muscle</x:v>
      </x:c>
      <x:c r="E12" s="46" t="str">
        <x:v>SRC-SCALLOP-COOK-001</x:v>
      </x:c>
      <x:c r="F12" s="46" t="str">
        <x:v>Aldehydes</x:v>
      </x:c>
      <x:c r="G12" s="46" t="str">
        <x:v>3-Methylthiopropanal (D)</x:v>
      </x:c>
      <x:c r="H12" s="46" t="str">
        <x:v>3-Methylthiopropanal</x:v>
      </x:c>
      <x:c r="I12" s="46" t="str">
        <x:v>D</x:v>
      </x:c>
      <x:c r="J12" s="46" t="str">
        <x:v>C3268493</x:v>
      </x:c>
      <x:c r="K12" s="46" t="str">
        <x:v>C4H8OS</x:v>
      </x:c>
      <x:c r="L12" s="46" t="n">
        <x:v>897.3</x:v>
      </x:c>
      <x:c r="M12" s="46" t="n">
        <x:v>397.733</x:v>
      </x:c>
      <x:c r="N12" s="46" t="n">
        <x:v>1.08839</x:v>
      </x:c>
      <x:c r="O12" s="46" t="str">
        <x:v>C4-C9 n-ketone RI + GC×IMS library; monomer/dimer features preserved</x:v>
      </x:c>
      <x:c r="P12" s="46"/>
      <x:c r="Q12" s="46" t="str">
        <x:v>ri_rt_drift_reported_no_numeric_match_factor</x:v>
      </x:c>
      <x:c r="R12" s="46" t="n">
        <x:v>272.26</x:v>
      </x:c>
      <x:c r="S12" s="46" t="n">
        <x:v>269.34</x:v>
      </x:c>
      <x:c r="T12" s="46" t="n">
        <x:v>262.81</x:v>
      </x:c>
      <x:c r="U12" s="46" t="n">
        <x:v>433.24</x:v>
      </x:c>
      <x:c r="V12" s="46" t="n">
        <x:v>539.24</x:v>
      </x:c>
      <x:c r="W12" s="46" t="str">
        <x:v>GC-IMS peak volume (a.u.)</x:v>
      </x:c>
      <x:c r="X12" s="46" t="str">
        <x:v>Frying uses corn oil and therefore includes a cooking-medium lipid overlay.</x:v>
      </x:c>
    </x:row>
    <x:row r="13" ht="26.399999618530273" hidden="0" customHeight="1">
      <x:c r="A13" s="46" t="str">
        <x:v>DSC-012</x:v>
      </x:c>
      <x:c r="B13" s="46" t="str">
        <x:v>bivalve:bay_scallop</x:v>
      </x:c>
      <x:c r="C13" s="46" t="str">
        <x:v>family:bivalve_mollusk</x:v>
      </x:c>
      <x:c r="D13" s="46" t="str">
        <x:v>scallop muscle</x:v>
      </x:c>
      <x:c r="E13" s="46" t="str">
        <x:v>SRC-SCALLOP-COOK-001</x:v>
      </x:c>
      <x:c r="F13" s="46" t="str">
        <x:v>Aldehydes</x:v>
      </x:c>
      <x:c r="G13" s="46" t="str">
        <x:v>3-Methylthiopropanal (M)</x:v>
      </x:c>
      <x:c r="H13" s="46" t="str">
        <x:v>3-Methylthiopropanal</x:v>
      </x:c>
      <x:c r="I13" s="46" t="str">
        <x:v>M</x:v>
      </x:c>
      <x:c r="J13" s="46" t="str">
        <x:v>C3268493</x:v>
      </x:c>
      <x:c r="K13" s="46" t="str">
        <x:v>C4H8OS</x:v>
      </x:c>
      <x:c r="L13" s="46" t="n">
        <x:v>909.9</x:v>
      </x:c>
      <x:c r="M13" s="46" t="n">
        <x:v>421.061</x:v>
      </x:c>
      <x:c r="N13" s="46" t="n">
        <x:v>1.0907</x:v>
      </x:c>
      <x:c r="O13" s="46" t="str">
        <x:v>C4-C9 n-ketone RI + GC×IMS library; monomer/dimer features preserved</x:v>
      </x:c>
      <x:c r="P13" s="46"/>
      <x:c r="Q13" s="46" t="str">
        <x:v>ri_rt_drift_reported_no_numeric_match_factor</x:v>
      </x:c>
      <x:c r="R13" s="46" t="n">
        <x:v>646.15</x:v>
      </x:c>
      <x:c r="S13" s="46" t="n">
        <x:v>245.65</x:v>
      </x:c>
      <x:c r="T13" s="46" t="n">
        <x:v>402.43</x:v>
      </x:c>
      <x:c r="U13" s="46" t="n">
        <x:v>1051.41</x:v>
      </x:c>
      <x:c r="V13" s="46" t="n">
        <x:v>673.04</x:v>
      </x:c>
      <x:c r="W13" s="46" t="str">
        <x:v>GC-IMS peak volume (a.u.)</x:v>
      </x:c>
      <x:c r="X13" s="46" t="str">
        <x:v>Frying uses corn oil and therefore includes a cooking-medium lipid overlay.</x:v>
      </x:c>
    </x:row>
    <x:row r="14" ht="26.399999618530273" hidden="0" customHeight="1">
      <x:c r="A14" s="46" t="str">
        <x:v>DSC-013</x:v>
      </x:c>
      <x:c r="B14" s="46" t="str">
        <x:v>bivalve:bay_scallop</x:v>
      </x:c>
      <x:c r="C14" s="46" t="str">
        <x:v>family:bivalve_mollusk</x:v>
      </x:c>
      <x:c r="D14" s="46" t="str">
        <x:v>scallop muscle</x:v>
      </x:c>
      <x:c r="E14" s="46" t="str">
        <x:v>SRC-SCALLOP-COOK-001</x:v>
      </x:c>
      <x:c r="F14" s="46" t="str">
        <x:v>Aldehydes</x:v>
      </x:c>
      <x:c r="G14" s="46" t="str">
        <x:v>3-Methylbutanal (D)</x:v>
      </x:c>
      <x:c r="H14" s="46" t="str">
        <x:v>3-Methylbutanal</x:v>
      </x:c>
      <x:c r="I14" s="46" t="str">
        <x:v>D</x:v>
      </x:c>
      <x:c r="J14" s="46" t="str">
        <x:v>C590863</x:v>
      </x:c>
      <x:c r="K14" s="46" t="str">
        <x:v>C5H10O</x:v>
      </x:c>
      <x:c r="L14" s="46" t="n">
        <x:v>647.9</x:v>
      </x:c>
      <x:c r="M14" s="46" t="n">
        <x:v>166.712</x:v>
      </x:c>
      <x:c r="N14" s="46" t="n">
        <x:v>1.40053</x:v>
      </x:c>
      <x:c r="O14" s="46" t="str">
        <x:v>C4-C9 n-ketone RI + GC×IMS library; monomer/dimer features preserved</x:v>
      </x:c>
      <x:c r="P14" s="46"/>
      <x:c r="Q14" s="46" t="str">
        <x:v>ri_rt_drift_reported_no_numeric_match_factor</x:v>
      </x:c>
      <x:c r="R14" s="46" t="n">
        <x:v>171.15</x:v>
      </x:c>
      <x:c r="S14" s="46" t="n">
        <x:v>343.78</x:v>
      </x:c>
      <x:c r="T14" s="46" t="n">
        <x:v>1042.69</x:v>
      </x:c>
      <x:c r="U14" s="46" t="n">
        <x:v>1246.63</x:v>
      </x:c>
      <x:c r="V14" s="46" t="n">
        <x:v>148.23</x:v>
      </x:c>
      <x:c r="W14" s="46" t="str">
        <x:v>GC-IMS peak volume (a.u.)</x:v>
      </x:c>
      <x:c r="X14" s="46" t="str">
        <x:v>Frying uses corn oil and therefore includes a cooking-medium lipid overlay.</x:v>
      </x:c>
    </x:row>
    <x:row r="15" ht="26.399999618530273" hidden="0" customHeight="1">
      <x:c r="A15" s="46" t="str">
        <x:v>DSC-014</x:v>
      </x:c>
      <x:c r="B15" s="46" t="str">
        <x:v>bivalve:bay_scallop</x:v>
      </x:c>
      <x:c r="C15" s="46" t="str">
        <x:v>family:bivalve_mollusk</x:v>
      </x:c>
      <x:c r="D15" s="46" t="str">
        <x:v>scallop muscle</x:v>
      </x:c>
      <x:c r="E15" s="46" t="str">
        <x:v>SRC-SCALLOP-COOK-001</x:v>
      </x:c>
      <x:c r="F15" s="46" t="str">
        <x:v>Aldehydes</x:v>
      </x:c>
      <x:c r="G15" s="46" t="str">
        <x:v>3-Methylbutanal (M)</x:v>
      </x:c>
      <x:c r="H15" s="46" t="str">
        <x:v>3-Methylbutanal</x:v>
      </x:c>
      <x:c r="I15" s="46" t="str">
        <x:v>M</x:v>
      </x:c>
      <x:c r="J15" s="46" t="str">
        <x:v>C590863</x:v>
      </x:c>
      <x:c r="K15" s="46" t="str">
        <x:v>C5H10O</x:v>
      </x:c>
      <x:c r="L15" s="46" t="n">
        <x:v>643.3</x:v>
      </x:c>
      <x:c r="M15" s="46" t="n">
        <x:v>164.716</x:v>
      </x:c>
      <x:c r="N15" s="46" t="n">
        <x:v>1.17038</x:v>
      </x:c>
      <x:c r="O15" s="46" t="str">
        <x:v>C4-C9 n-ketone RI + GC×IMS library; monomer/dimer features preserved</x:v>
      </x:c>
      <x:c r="P15" s="46"/>
      <x:c r="Q15" s="46" t="str">
        <x:v>ri_rt_drift_reported_no_numeric_match_factor</x:v>
      </x:c>
      <x:c r="R15" s="46" t="n">
        <x:v>1293.7</x:v>
      </x:c>
      <x:c r="S15" s="46" t="n">
        <x:v>1697.49</x:v>
      </x:c>
      <x:c r="T15" s="46" t="n">
        <x:v>2581.91</x:v>
      </x:c>
      <x:c r="U15" s="46" t="n">
        <x:v>2598.72</x:v>
      </x:c>
      <x:c r="V15" s="46" t="n">
        <x:v>1197.87</x:v>
      </x:c>
      <x:c r="W15" s="46" t="str">
        <x:v>GC-IMS peak volume (a.u.)</x:v>
      </x:c>
      <x:c r="X15" s="46" t="str">
        <x:v>Frying uses corn oil and therefore includes a cooking-medium lipid overlay.</x:v>
      </x:c>
    </x:row>
    <x:row r="16" ht="26.399999618530273" hidden="0" customHeight="1">
      <x:c r="A16" s="46" t="str">
        <x:v>DSC-015</x:v>
      </x:c>
      <x:c r="B16" s="46" t="str">
        <x:v>bivalve:bay_scallop</x:v>
      </x:c>
      <x:c r="C16" s="46" t="str">
        <x:v>family:bivalve_mollusk</x:v>
      </x:c>
      <x:c r="D16" s="46" t="str">
        <x:v>scallop muscle</x:v>
      </x:c>
      <x:c r="E16" s="46" t="str">
        <x:v>SRC-SCALLOP-COOK-001</x:v>
      </x:c>
      <x:c r="F16" s="46" t="str">
        <x:v>Aldehydes</x:v>
      </x:c>
      <x:c r="G16" s="46" t="str">
        <x:v>Benzaldehyde (D)</x:v>
      </x:c>
      <x:c r="H16" s="46" t="str">
        <x:v>Benzaldehyde</x:v>
      </x:c>
      <x:c r="I16" s="46" t="str">
        <x:v>D</x:v>
      </x:c>
      <x:c r="J16" s="46" t="str">
        <x:v>C100527</x:v>
      </x:c>
      <x:c r="K16" s="46" t="str">
        <x:v>C7H6O</x:v>
      </x:c>
      <x:c r="L16" s="46" t="n">
        <x:v>962.3</x:v>
      </x:c>
      <x:c r="M16" s="46" t="n">
        <x:v>517.846</x:v>
      </x:c>
      <x:c r="N16" s="46" t="n">
        <x:v>1.46872</x:v>
      </x:c>
      <x:c r="O16" s="46" t="str">
        <x:v>C4-C9 n-ketone RI + GC×IMS library; monomer/dimer features preserved</x:v>
      </x:c>
      <x:c r="P16" s="46"/>
      <x:c r="Q16" s="46" t="str">
        <x:v>ri_rt_drift_reported_no_numeric_match_factor</x:v>
      </x:c>
      <x:c r="R16" s="46" t="n">
        <x:v>194.27</x:v>
      </x:c>
      <x:c r="S16" s="46" t="n">
        <x:v>108.77</x:v>
      </x:c>
      <x:c r="T16" s="46" t="n">
        <x:v>115.89</x:v>
      </x:c>
      <x:c r="U16" s="46" t="n">
        <x:v>221.67</x:v>
      </x:c>
      <x:c r="V16" s="46" t="n">
        <x:v>170.39</x:v>
      </x:c>
      <x:c r="W16" s="46" t="str">
        <x:v>GC-IMS peak volume (a.u.)</x:v>
      </x:c>
      <x:c r="X16" s="46" t="str">
        <x:v>Frying uses corn oil and therefore includes a cooking-medium lipid overlay.</x:v>
      </x:c>
    </x:row>
    <x:row r="17" ht="26.399999618530273" hidden="0" customHeight="1">
      <x:c r="A17" s="46" t="str">
        <x:v>DSC-016</x:v>
      </x:c>
      <x:c r="B17" s="46" t="str">
        <x:v>bivalve:bay_scallop</x:v>
      </x:c>
      <x:c r="C17" s="46" t="str">
        <x:v>family:bivalve_mollusk</x:v>
      </x:c>
      <x:c r="D17" s="46" t="str">
        <x:v>scallop muscle</x:v>
      </x:c>
      <x:c r="E17" s="46" t="str">
        <x:v>SRC-SCALLOP-COOK-001</x:v>
      </x:c>
      <x:c r="F17" s="46" t="str">
        <x:v>Aldehydes</x:v>
      </x:c>
      <x:c r="G17" s="46" t="str">
        <x:v>Benzaldehyde (M)</x:v>
      </x:c>
      <x:c r="H17" s="46" t="str">
        <x:v>Benzaldehyde</x:v>
      </x:c>
      <x:c r="I17" s="46" t="str">
        <x:v>M</x:v>
      </x:c>
      <x:c r="J17" s="46" t="str">
        <x:v>C100527</x:v>
      </x:c>
      <x:c r="K17" s="46" t="str">
        <x:v>C7H6O</x:v>
      </x:c>
      <x:c r="L17" s="46" t="n">
        <x:v>961.1</x:v>
      </x:c>
      <x:c r="M17" s="46" t="n">
        <x:v>515.695</x:v>
      </x:c>
      <x:c r="N17" s="46" t="n">
        <x:v>1.14858</x:v>
      </x:c>
      <x:c r="O17" s="46" t="str">
        <x:v>C4-C9 n-ketone RI + GC×IMS library; monomer/dimer features preserved</x:v>
      </x:c>
      <x:c r="P17" s="46"/>
      <x:c r="Q17" s="46" t="str">
        <x:v>ri_rt_drift_reported_no_numeric_match_factor</x:v>
      </x:c>
      <x:c r="R17" s="46" t="n">
        <x:v>1241.38</x:v>
      </x:c>
      <x:c r="S17" s="46" t="n">
        <x:v>656.23</x:v>
      </x:c>
      <x:c r="T17" s="46" t="n">
        <x:v>1050.69</x:v>
      </x:c>
      <x:c r="U17" s="46" t="n">
        <x:v>1379</x:v>
      </x:c>
      <x:c r="V17" s="46" t="n">
        <x:v>1101.3</x:v>
      </x:c>
      <x:c r="W17" s="46" t="str">
        <x:v>GC-IMS peak volume (a.u.)</x:v>
      </x:c>
      <x:c r="X17" s="46" t="str">
        <x:v>Frying uses corn oil and therefore includes a cooking-medium lipid overlay.</x:v>
      </x:c>
    </x:row>
    <x:row r="18" ht="26.399999618530273" hidden="0" customHeight="1">
      <x:c r="A18" s="46" t="str">
        <x:v>DSC-017</x:v>
      </x:c>
      <x:c r="B18" s="46" t="str">
        <x:v>bivalve:bay_scallop</x:v>
      </x:c>
      <x:c r="C18" s="46" t="str">
        <x:v>family:bivalve_mollusk</x:v>
      </x:c>
      <x:c r="D18" s="46" t="str">
        <x:v>scallop muscle</x:v>
      </x:c>
      <x:c r="E18" s="46" t="str">
        <x:v>SRC-SCALLOP-COOK-001</x:v>
      </x:c>
      <x:c r="F18" s="46" t="str">
        <x:v>Aldehydes</x:v>
      </x:c>
      <x:c r="G18" s="46" t="str">
        <x:v>(E)-2-octenal</x:v>
      </x:c>
      <x:c r="H18" s="46" t="str">
        <x:v>(E)-2-octenal</x:v>
      </x:c>
      <x:c r="I18" s="46"/>
      <x:c r="J18" s="46" t="str">
        <x:v>C2548870</x:v>
      </x:c>
      <x:c r="K18" s="46" t="str">
        <x:v>C8H14O</x:v>
      </x:c>
      <x:c r="L18" s="46" t="n">
        <x:v>1054.1</x:v>
      </x:c>
      <x:c r="M18" s="46" t="n">
        <x:v>693.07</x:v>
      </x:c>
      <x:c r="N18" s="46" t="n">
        <x:v>1.33622</x:v>
      </x:c>
      <x:c r="O18" s="46" t="str">
        <x:v>C4-C9 n-ketone RI + GC×IMS library; monomer/dimer features preserved</x:v>
      </x:c>
      <x:c r="P18" s="46"/>
      <x:c r="Q18" s="46" t="str">
        <x:v>ri_rt_drift_reported_no_numeric_match_factor</x:v>
      </x:c>
      <x:c r="R18" s="46" t="n">
        <x:v>61.48</x:v>
      </x:c>
      <x:c r="S18" s="46" t="n">
        <x:v>58.99</x:v>
      </x:c>
      <x:c r="T18" s="46" t="n">
        <x:v>54.8</x:v>
      </x:c>
      <x:c r="U18" s="46" t="n">
        <x:v>177.81</x:v>
      </x:c>
      <x:c r="V18" s="46" t="n">
        <x:v>70.34</x:v>
      </x:c>
      <x:c r="W18" s="46" t="str">
        <x:v>GC-IMS peak volume (a.u.)</x:v>
      </x:c>
      <x:c r="X18" s="46" t="str">
        <x:v>Frying uses corn oil and therefore includes a cooking-medium lipid overlay.</x:v>
      </x:c>
    </x:row>
    <x:row r="19" ht="26.399999618530273" hidden="0" customHeight="1">
      <x:c r="A19" s="46" t="str">
        <x:v>DSC-018</x:v>
      </x:c>
      <x:c r="B19" s="46" t="str">
        <x:v>bivalve:bay_scallop</x:v>
      </x:c>
      <x:c r="C19" s="46" t="str">
        <x:v>family:bivalve_mollusk</x:v>
      </x:c>
      <x:c r="D19" s="46" t="str">
        <x:v>scallop muscle</x:v>
      </x:c>
      <x:c r="E19" s="46" t="str">
        <x:v>SRC-SCALLOP-COOK-001</x:v>
      </x:c>
      <x:c r="F19" s="46" t="str">
        <x:v>Aldehydes</x:v>
      </x:c>
      <x:c r="G19" s="46" t="str">
        <x:v>Heptenal</x:v>
      </x:c>
      <x:c r="H19" s="46" t="str">
        <x:v>Heptenal</x:v>
      </x:c>
      <x:c r="I19" s="46"/>
      <x:c r="J19" s="46" t="str">
        <x:v>C18829555</x:v>
      </x:c>
      <x:c r="K19" s="46" t="str">
        <x:v>C7H12O</x:v>
      </x:c>
      <x:c r="L19" s="46" t="n">
        <x:v>946.5</x:v>
      </x:c>
      <x:c r="M19" s="46" t="n">
        <x:v>488.68</x:v>
      </x:c>
      <x:c r="N19" s="46" t="n">
        <x:v>1.66426</x:v>
      </x:c>
      <x:c r="O19" s="46" t="str">
        <x:v>C4-C9 n-ketone RI + GC×IMS library; monomer/dimer features preserved</x:v>
      </x:c>
      <x:c r="P19" s="46"/>
      <x:c r="Q19" s="46" t="str">
        <x:v>ri_rt_drift_reported_no_numeric_match_factor</x:v>
      </x:c>
      <x:c r="R19" s="46" t="n">
        <x:v>79.79</x:v>
      </x:c>
      <x:c r="S19" s="46" t="n">
        <x:v>85.94</x:v>
      </x:c>
      <x:c r="T19" s="46" t="n">
        <x:v>86.67</x:v>
      </x:c>
      <x:c r="U19" s="46" t="n">
        <x:v>321.66</x:v>
      </x:c>
      <x:c r="V19" s="46" t="n">
        <x:v>74.11</x:v>
      </x:c>
      <x:c r="W19" s="46" t="str">
        <x:v>GC-IMS peak volume (a.u.)</x:v>
      </x:c>
      <x:c r="X19" s="46" t="str">
        <x:v>Frying uses corn oil and therefore includes a cooking-medium lipid overlay.</x:v>
      </x:c>
    </x:row>
    <x:row r="20" ht="26.399999618530273" hidden="0" customHeight="1">
      <x:c r="A20" s="46" t="str">
        <x:v>DSC-019</x:v>
      </x:c>
      <x:c r="B20" s="46" t="str">
        <x:v>bivalve:bay_scallop</x:v>
      </x:c>
      <x:c r="C20" s="46" t="str">
        <x:v>family:bivalve_mollusk</x:v>
      </x:c>
      <x:c r="D20" s="46" t="str">
        <x:v>scallop muscle</x:v>
      </x:c>
      <x:c r="E20" s="46" t="str">
        <x:v>SRC-SCALLOP-COOK-001</x:v>
      </x:c>
      <x:c r="F20" s="46" t="str">
        <x:v>Ketones</x:v>
      </x:c>
      <x:c r="G20" s="46" t="str">
        <x:v>2,3-Pentanedione</x:v>
      </x:c>
      <x:c r="H20" s="46" t="str">
        <x:v>2,3-Pentanedione</x:v>
      </x:c>
      <x:c r="I20" s="46"/>
      <x:c r="J20" s="46" t="str">
        <x:v>C600146</x:v>
      </x:c>
      <x:c r="K20" s="46" t="str">
        <x:v>C5H8O2</x:v>
      </x:c>
      <x:c r="L20" s="46" t="n">
        <x:v>694.7</x:v>
      </x:c>
      <x:c r="M20" s="46" t="n">
        <x:v>189.449</x:v>
      </x:c>
      <x:c r="N20" s="46" t="n">
        <x:v>1.30753</x:v>
      </x:c>
      <x:c r="O20" s="46" t="str">
        <x:v>C4-C9 n-ketone RI + GC×IMS library; monomer/dimer features preserved</x:v>
      </x:c>
      <x:c r="P20" s="46"/>
      <x:c r="Q20" s="46" t="str">
        <x:v>ri_rt_drift_reported_no_numeric_match_factor</x:v>
      </x:c>
      <x:c r="R20" s="46" t="n">
        <x:v>1732.37</x:v>
      </x:c>
      <x:c r="S20" s="46" t="n">
        <x:v>494.01</x:v>
      </x:c>
      <x:c r="T20" s="46" t="n">
        <x:v>432.95</x:v>
      </x:c>
      <x:c r="U20" s="46" t="n">
        <x:v>789.69</x:v>
      </x:c>
      <x:c r="V20" s="46" t="n">
        <x:v>466.76</x:v>
      </x:c>
      <x:c r="W20" s="46" t="str">
        <x:v>GC-IMS peak volume (a.u.)</x:v>
      </x:c>
      <x:c r="X20" s="46" t="str">
        <x:v>Frying uses corn oil and therefore includes a cooking-medium lipid overlay.</x:v>
      </x:c>
    </x:row>
    <x:row r="21" ht="26.399999618530273" hidden="0" customHeight="1">
      <x:c r="A21" s="46" t="str">
        <x:v>DSC-020</x:v>
      </x:c>
      <x:c r="B21" s="46" t="str">
        <x:v>bivalve:bay_scallop</x:v>
      </x:c>
      <x:c r="C21" s="46" t="str">
        <x:v>family:bivalve_mollusk</x:v>
      </x:c>
      <x:c r="D21" s="46" t="str">
        <x:v>scallop muscle</x:v>
      </x:c>
      <x:c r="E21" s="46" t="str">
        <x:v>SRC-SCALLOP-COOK-001</x:v>
      </x:c>
      <x:c r="F21" s="46" t="str">
        <x:v>Ketones</x:v>
      </x:c>
      <x:c r="G21" s="46" t="str">
        <x:v>2-Butanone (M)</x:v>
      </x:c>
      <x:c r="H21" s="46" t="str">
        <x:v>2-Butanone</x:v>
      </x:c>
      <x:c r="I21" s="46" t="str">
        <x:v>M</x:v>
      </x:c>
      <x:c r="J21" s="46" t="str">
        <x:v>C78933</x:v>
      </x:c>
      <x:c r="K21" s="46" t="str">
        <x:v>C4H8O</x:v>
      </x:c>
      <x:c r="L21" s="46" t="n">
        <x:v>582.7</x:v>
      </x:c>
      <x:c r="M21" s="46" t="n">
        <x:v>138.338</x:v>
      </x:c>
      <x:c r="N21" s="46" t="n">
        <x:v>1.06914</x:v>
      </x:c>
      <x:c r="O21" s="46" t="str">
        <x:v>C4-C9 n-ketone RI + GC×IMS library; monomer/dimer features preserved</x:v>
      </x:c>
      <x:c r="P21" s="46"/>
      <x:c r="Q21" s="46" t="str">
        <x:v>ri_rt_drift_reported_no_numeric_match_factor</x:v>
      </x:c>
      <x:c r="R21" s="46" t="n">
        <x:v>1499.15</x:v>
      </x:c>
      <x:c r="S21" s="46" t="n">
        <x:v>1242.16</x:v>
      </x:c>
      <x:c r="T21" s="46" t="n">
        <x:v>1432.49</x:v>
      </x:c>
      <x:c r="U21" s="46" t="n">
        <x:v>1905.86</x:v>
      </x:c>
      <x:c r="V21" s="46" t="n">
        <x:v>1962.82</x:v>
      </x:c>
      <x:c r="W21" s="46" t="str">
        <x:v>GC-IMS peak volume (a.u.)</x:v>
      </x:c>
      <x:c r="X21" s="46" t="str">
        <x:v>Frying uses corn oil and therefore includes a cooking-medium lipid overlay.</x:v>
      </x:c>
    </x:row>
    <x:row r="22" ht="26.399999618530273" hidden="0" customHeight="1">
      <x:c r="A22" s="46" t="str">
        <x:v>DSC-021</x:v>
      </x:c>
      <x:c r="B22" s="46" t="str">
        <x:v>bivalve:bay_scallop</x:v>
      </x:c>
      <x:c r="C22" s="46" t="str">
        <x:v>family:bivalve_mollusk</x:v>
      </x:c>
      <x:c r="D22" s="46" t="str">
        <x:v>scallop muscle</x:v>
      </x:c>
      <x:c r="E22" s="46" t="str">
        <x:v>SRC-SCALLOP-COOK-001</x:v>
      </x:c>
      <x:c r="F22" s="46" t="str">
        <x:v>Ketones</x:v>
      </x:c>
      <x:c r="G22" s="46" t="str">
        <x:v>2-Butanone (D)</x:v>
      </x:c>
      <x:c r="H22" s="46" t="str">
        <x:v>2-Butanone</x:v>
      </x:c>
      <x:c r="I22" s="46" t="str">
        <x:v>D</x:v>
      </x:c>
      <x:c r="J22" s="46" t="str">
        <x:v>C78933</x:v>
      </x:c>
      <x:c r="K22" s="46" t="str">
        <x:v>C4H8O</x:v>
      </x:c>
      <x:c r="L22" s="46" t="n">
        <x:v>586</x:v>
      </x:c>
      <x:c r="M22" s="46" t="n">
        <x:v>139.77</x:v>
      </x:c>
      <x:c r="N22" s="46" t="n">
        <x:v>1.24463</x:v>
      </x:c>
      <x:c r="O22" s="46" t="str">
        <x:v>C4-C9 n-ketone RI + GC×IMS library; monomer/dimer features preserved</x:v>
      </x:c>
      <x:c r="P22" s="46"/>
      <x:c r="Q22" s="46" t="str">
        <x:v>ri_rt_drift_reported_no_numeric_match_factor</x:v>
      </x:c>
      <x:c r="R22" s="46" t="n">
        <x:v>947.8</x:v>
      </x:c>
      <x:c r="S22" s="46" t="n">
        <x:v>434.01</x:v>
      </x:c>
      <x:c r="T22" s="46" t="n">
        <x:v>907.54</x:v>
      </x:c>
      <x:c r="U22" s="46" t="n">
        <x:v>2385.43</x:v>
      </x:c>
      <x:c r="V22" s="46" t="n">
        <x:v>1735.36</x:v>
      </x:c>
      <x:c r="W22" s="46" t="str">
        <x:v>GC-IMS peak volume (a.u.)</x:v>
      </x:c>
      <x:c r="X22" s="46" t="str">
        <x:v>Frying uses corn oil and therefore includes a cooking-medium lipid overlay.</x:v>
      </x:c>
    </x:row>
    <x:row r="23" ht="26.399999618530273" hidden="0" customHeight="1">
      <x:c r="A23" s="46" t="str">
        <x:v>DSC-022</x:v>
      </x:c>
      <x:c r="B23" s="46" t="str">
        <x:v>bivalve:bay_scallop</x:v>
      </x:c>
      <x:c r="C23" s="46" t="str">
        <x:v>family:bivalve_mollusk</x:v>
      </x:c>
      <x:c r="D23" s="46" t="str">
        <x:v>scallop muscle</x:v>
      </x:c>
      <x:c r="E23" s="46" t="str">
        <x:v>SRC-SCALLOP-COOK-001</x:v>
      </x:c>
      <x:c r="F23" s="46" t="str">
        <x:v>Ketones</x:v>
      </x:c>
      <x:c r="G23" s="46" t="str">
        <x:v>Acetone</x:v>
      </x:c>
      <x:c r="H23" s="46" t="str">
        <x:v>Acetone</x:v>
      </x:c>
      <x:c r="I23" s="46"/>
      <x:c r="J23" s="46" t="str">
        <x:v>C67641</x:v>
      </x:c>
      <x:c r="K23" s="46" t="str">
        <x:v>C3H6O</x:v>
      </x:c>
      <x:c r="L23" s="46" t="n">
        <x:v>509.5</x:v>
      </x:c>
      <x:c r="M23" s="46" t="n">
        <x:v>106.491</x:v>
      </x:c>
      <x:c r="N23" s="46" t="n">
        <x:v>1.12538</x:v>
      </x:c>
      <x:c r="O23" s="46" t="str">
        <x:v>C4-C9 n-ketone RI + GC×IMS library; monomer/dimer features preserved</x:v>
      </x:c>
      <x:c r="P23" s="46"/>
      <x:c r="Q23" s="46" t="str">
        <x:v>ri_rt_drift_reported_no_numeric_match_factor</x:v>
      </x:c>
      <x:c r="R23" s="46" t="n">
        <x:v>4966.29</x:v>
      </x:c>
      <x:c r="S23" s="46" t="n">
        <x:v>1825.95</x:v>
      </x:c>
      <x:c r="T23" s="46" t="n">
        <x:v>3339.89</x:v>
      </x:c>
      <x:c r="U23" s="46" t="n">
        <x:v>5492.55</x:v>
      </x:c>
      <x:c r="V23" s="46" t="n">
        <x:v>3790.89</x:v>
      </x:c>
      <x:c r="W23" s="46" t="str">
        <x:v>GC-IMS peak volume (a.u.)</x:v>
      </x:c>
      <x:c r="X23" s="46" t="str">
        <x:v>Frying uses corn oil and therefore includes a cooking-medium lipid overlay.</x:v>
      </x:c>
    </x:row>
    <x:row r="24" ht="26.399999618530273" hidden="0" customHeight="1">
      <x:c r="A24" s="46" t="str">
        <x:v>DSC-023</x:v>
      </x:c>
      <x:c r="B24" s="46" t="str">
        <x:v>bivalve:bay_scallop</x:v>
      </x:c>
      <x:c r="C24" s="46" t="str">
        <x:v>family:bivalve_mollusk</x:v>
      </x:c>
      <x:c r="D24" s="46" t="str">
        <x:v>scallop muscle</x:v>
      </x:c>
      <x:c r="E24" s="46" t="str">
        <x:v>SRC-SCALLOP-COOK-001</x:v>
      </x:c>
      <x:c r="F24" s="46" t="str">
        <x:v>Ketones</x:v>
      </x:c>
      <x:c r="G24" s="46" t="str">
        <x:v>2-Pentanone</x:v>
      </x:c>
      <x:c r="H24" s="46" t="str">
        <x:v>2-Pentanone</x:v>
      </x:c>
      <x:c r="I24" s="46"/>
      <x:c r="J24" s="46" t="str">
        <x:v>C107879</x:v>
      </x:c>
      <x:c r="K24" s="46" t="str">
        <x:v>C5H10O</x:v>
      </x:c>
      <x:c r="L24" s="46" t="n">
        <x:v>691.8</x:v>
      </x:c>
      <x:c r="M24" s="46" t="n">
        <x:v>187.072</x:v>
      </x:c>
      <x:c r="N24" s="46" t="n">
        <x:v>1.3674</x:v>
      </x:c>
      <x:c r="O24" s="46" t="str">
        <x:v>C4-C9 n-ketone RI + GC×IMS library; monomer/dimer features preserved</x:v>
      </x:c>
      <x:c r="P24" s="46"/>
      <x:c r="Q24" s="46" t="str">
        <x:v>ri_rt_drift_reported_no_numeric_match_factor</x:v>
      </x:c>
      <x:c r="R24" s="46" t="n">
        <x:v>427.62</x:v>
      </x:c>
      <x:c r="S24" s="46" t="n">
        <x:v>475.25</x:v>
      </x:c>
      <x:c r="T24" s="46" t="n">
        <x:v>348</x:v>
      </x:c>
      <x:c r="U24" s="46" t="n">
        <x:v>624.8</x:v>
      </x:c>
      <x:c r="V24" s="46" t="n">
        <x:v>418.66</x:v>
      </x:c>
      <x:c r="W24" s="46" t="str">
        <x:v>GC-IMS peak volume (a.u.)</x:v>
      </x:c>
      <x:c r="X24" s="46" t="str">
        <x:v>Frying uses corn oil and therefore includes a cooking-medium lipid overlay.</x:v>
      </x:c>
    </x:row>
    <x:row r="25" ht="26.399999618530273" hidden="0" customHeight="1">
      <x:c r="A25" s="46" t="str">
        <x:v>DSC-024</x:v>
      </x:c>
      <x:c r="B25" s="46" t="str">
        <x:v>bivalve:bay_scallop</x:v>
      </x:c>
      <x:c r="C25" s="46" t="str">
        <x:v>family:bivalve_mollusk</x:v>
      </x:c>
      <x:c r="D25" s="46" t="str">
        <x:v>scallop muscle</x:v>
      </x:c>
      <x:c r="E25" s="46" t="str">
        <x:v>SRC-SCALLOP-COOK-001</x:v>
      </x:c>
      <x:c r="F25" s="46" t="str">
        <x:v>Ketones</x:v>
      </x:c>
      <x:c r="G25" s="46" t="str">
        <x:v>4-Methyl-2-pentanone</x:v>
      </x:c>
      <x:c r="H25" s="46" t="str">
        <x:v>4-Methyl-2-pentanone</x:v>
      </x:c>
      <x:c r="I25" s="46"/>
      <x:c r="J25" s="46" t="str">
        <x:v>C108101</x:v>
      </x:c>
      <x:c r="K25" s="46" t="str">
        <x:v>C6H12O</x:v>
      </x:c>
      <x:c r="L25" s="46" t="n">
        <x:v>718.5</x:v>
      </x:c>
      <x:c r="M25" s="46" t="n">
        <x:v>208.908</x:v>
      </x:c>
      <x:c r="N25" s="46" t="n">
        <x:v>1.17828</x:v>
      </x:c>
      <x:c r="O25" s="46" t="str">
        <x:v>C4-C9 n-ketone RI + GC×IMS library; monomer/dimer features preserved</x:v>
      </x:c>
      <x:c r="P25" s="46"/>
      <x:c r="Q25" s="46" t="str">
        <x:v>ri_rt_drift_reported_no_numeric_match_factor</x:v>
      </x:c>
      <x:c r="R25" s="46" t="n">
        <x:v>127.92</x:v>
      </x:c>
      <x:c r="S25" s="46" t="n">
        <x:v>212.12</x:v>
      </x:c>
      <x:c r="T25" s="46" t="n">
        <x:v>222.42</x:v>
      </x:c>
      <x:c r="U25" s="46" t="n">
        <x:v>453.2</x:v>
      </x:c>
      <x:c r="V25" s="46" t="n">
        <x:v>201.42</x:v>
      </x:c>
      <x:c r="W25" s="46" t="str">
        <x:v>GC-IMS peak volume (a.u.)</x:v>
      </x:c>
      <x:c r="X25" s="46" t="str">
        <x:v>Frying uses corn oil and therefore includes a cooking-medium lipid overlay.</x:v>
      </x:c>
    </x:row>
    <x:row r="26" ht="26.399999618530273" hidden="0" customHeight="1">
      <x:c r="A26" s="46" t="str">
        <x:v>DSC-025</x:v>
      </x:c>
      <x:c r="B26" s="46" t="str">
        <x:v>bivalve:bay_scallop</x:v>
      </x:c>
      <x:c r="C26" s="46" t="str">
        <x:v>family:bivalve_mollusk</x:v>
      </x:c>
      <x:c r="D26" s="46" t="str">
        <x:v>scallop muscle</x:v>
      </x:c>
      <x:c r="E26" s="46" t="str">
        <x:v>SRC-SCALLOP-COOK-001</x:v>
      </x:c>
      <x:c r="F26" s="46" t="str">
        <x:v>Ketones</x:v>
      </x:c>
      <x:c r="G26" s="46" t="str">
        <x:v>2-Heptanone</x:v>
      </x:c>
      <x:c r="H26" s="46" t="str">
        <x:v>2-Heptanone</x:v>
      </x:c>
      <x:c r="I26" s="46"/>
      <x:c r="J26" s="46" t="str">
        <x:v>C110430</x:v>
      </x:c>
      <x:c r="K26" s="46" t="str">
        <x:v>C7H14O</x:v>
      </x:c>
      <x:c r="L26" s="46" t="n">
        <x:v>883.4</x:v>
      </x:c>
      <x:c r="M26" s="46" t="n">
        <x:v>378.117</x:v>
      </x:c>
      <x:c r="N26" s="46" t="n">
        <x:v>1.25837</x:v>
      </x:c>
      <x:c r="O26" s="46" t="str">
        <x:v>C4-C9 n-ketone RI + GC×IMS library; monomer/dimer features preserved</x:v>
      </x:c>
      <x:c r="P26" s="46"/>
      <x:c r="Q26" s="46" t="str">
        <x:v>ri_rt_drift_reported_no_numeric_match_factor</x:v>
      </x:c>
      <x:c r="R26" s="46" t="n">
        <x:v>193.63</x:v>
      </x:c>
      <x:c r="S26" s="46" t="n">
        <x:v>160.24</x:v>
      </x:c>
      <x:c r="T26" s="46" t="n">
        <x:v>204.95</x:v>
      </x:c>
      <x:c r="U26" s="46" t="n">
        <x:v>473.34</x:v>
      </x:c>
      <x:c r="V26" s="46" t="n">
        <x:v>178.63</x:v>
      </x:c>
      <x:c r="W26" s="46" t="str">
        <x:v>GC-IMS peak volume (a.u.)</x:v>
      </x:c>
      <x:c r="X26" s="46" t="str">
        <x:v>Frying uses corn oil and therefore includes a cooking-medium lipid overlay.</x:v>
      </x:c>
    </x:row>
    <x:row r="27" ht="26.399999618530273" hidden="0" customHeight="1">
      <x:c r="A27" s="46" t="str">
        <x:v>DSC-026</x:v>
      </x:c>
      <x:c r="B27" s="46" t="str">
        <x:v>bivalve:bay_scallop</x:v>
      </x:c>
      <x:c r="C27" s="46" t="str">
        <x:v>family:bivalve_mollusk</x:v>
      </x:c>
      <x:c r="D27" s="46" t="str">
        <x:v>scallop muscle</x:v>
      </x:c>
      <x:c r="E27" s="46" t="str">
        <x:v>SRC-SCALLOP-COOK-001</x:v>
      </x:c>
      <x:c r="F27" s="46" t="str">
        <x:v>Ketones</x:v>
      </x:c>
      <x:c r="G27" s="46" t="str">
        <x:v>3-Octanone</x:v>
      </x:c>
      <x:c r="H27" s="46" t="str">
        <x:v>3-Octanone</x:v>
      </x:c>
      <x:c r="I27" s="46"/>
      <x:c r="J27" s="46" t="str">
        <x:v>C106683</x:v>
      </x:c>
      <x:c r="K27" s="46" t="str">
        <x:v>C8H16O</x:v>
      </x:c>
      <x:c r="L27" s="46" t="n">
        <x:v>979</x:v>
      </x:c>
      <x:c r="M27" s="46" t="n">
        <x:v>548.637</x:v>
      </x:c>
      <x:c r="N27" s="46" t="n">
        <x:v>1.29835</x:v>
      </x:c>
      <x:c r="O27" s="46" t="str">
        <x:v>C4-C9 n-ketone RI + GC×IMS library; monomer/dimer features preserved</x:v>
      </x:c>
      <x:c r="P27" s="46"/>
      <x:c r="Q27" s="46" t="str">
        <x:v>ri_rt_drift_reported_no_numeric_match_factor</x:v>
      </x:c>
      <x:c r="R27" s="46" t="n">
        <x:v>230.43</x:v>
      </x:c>
      <x:c r="S27" s="46" t="n">
        <x:v>383.83</x:v>
      </x:c>
      <x:c r="T27" s="46" t="n">
        <x:v>247.59</x:v>
      </x:c>
      <x:c r="U27" s="46" t="n">
        <x:v>353.25</x:v>
      </x:c>
      <x:c r="V27" s="46" t="n">
        <x:v>326.75</x:v>
      </x:c>
      <x:c r="W27" s="46" t="str">
        <x:v>GC-IMS peak volume (a.u.)</x:v>
      </x:c>
      <x:c r="X27" s="46" t="str">
        <x:v>Frying uses corn oil and therefore includes a cooking-medium lipid overlay.</x:v>
      </x:c>
    </x:row>
    <x:row r="28" ht="26.399999618530273" hidden="0" customHeight="1">
      <x:c r="A28" s="46" t="str">
        <x:v>DSC-027</x:v>
      </x:c>
      <x:c r="B28" s="46" t="str">
        <x:v>bivalve:bay_scallop</x:v>
      </x:c>
      <x:c r="C28" s="46" t="str">
        <x:v>family:bivalve_mollusk</x:v>
      </x:c>
      <x:c r="D28" s="46" t="str">
        <x:v>scallop muscle</x:v>
      </x:c>
      <x:c r="E28" s="46" t="str">
        <x:v>SRC-SCALLOP-COOK-001</x:v>
      </x:c>
      <x:c r="F28" s="46" t="str">
        <x:v>Alcohols</x:v>
      </x:c>
      <x:c r="G28" s="46" t="str">
        <x:v>1-Octen-3-ol (M)</x:v>
      </x:c>
      <x:c r="H28" s="46" t="str">
        <x:v>1-Octen-3-ol</x:v>
      </x:c>
      <x:c r="I28" s="46" t="str">
        <x:v>M</x:v>
      </x:c>
      <x:c r="J28" s="46" t="str">
        <x:v>C3391864</x:v>
      </x:c>
      <x:c r="K28" s="46" t="str">
        <x:v>C8H16O</x:v>
      </x:c>
      <x:c r="L28" s="46" t="n">
        <x:v>1005.1</x:v>
      </x:c>
      <x:c r="M28" s="46" t="n">
        <x:v>597.833</x:v>
      </x:c>
      <x:c r="N28" s="46" t="n">
        <x:v>1.16261</x:v>
      </x:c>
      <x:c r="O28" s="46" t="str">
        <x:v>C4-C9 n-ketone RI + GC×IMS library; monomer/dimer features preserved</x:v>
      </x:c>
      <x:c r="P28" s="46"/>
      <x:c r="Q28" s="46" t="str">
        <x:v>ri_rt_drift_reported_no_numeric_match_factor</x:v>
      </x:c>
      <x:c r="R28" s="46" t="n">
        <x:v>268</x:v>
      </x:c>
      <x:c r="S28" s="46" t="n">
        <x:v>116.62</x:v>
      </x:c>
      <x:c r="T28" s="46" t="n">
        <x:v>422.15</x:v>
      </x:c>
      <x:c r="U28" s="46" t="n">
        <x:v>308.75</x:v>
      </x:c>
      <x:c r="V28" s="46" t="n">
        <x:v>148.5</x:v>
      </x:c>
      <x:c r="W28" s="46" t="str">
        <x:v>GC-IMS peak volume (a.u.)</x:v>
      </x:c>
      <x:c r="X28" s="46" t="str">
        <x:v>Frying uses corn oil and therefore includes a cooking-medium lipid overlay.</x:v>
      </x:c>
    </x:row>
    <x:row r="29" ht="26.399999618530273" hidden="0" customHeight="1">
      <x:c r="A29" s="46" t="str">
        <x:v>DSC-028</x:v>
      </x:c>
      <x:c r="B29" s="46" t="str">
        <x:v>bivalve:bay_scallop</x:v>
      </x:c>
      <x:c r="C29" s="46" t="str">
        <x:v>family:bivalve_mollusk</x:v>
      </x:c>
      <x:c r="D29" s="46" t="str">
        <x:v>scallop muscle</x:v>
      </x:c>
      <x:c r="E29" s="46" t="str">
        <x:v>SRC-SCALLOP-COOK-001</x:v>
      </x:c>
      <x:c r="F29" s="46" t="str">
        <x:v>Alcohols</x:v>
      </x:c>
      <x:c r="G29" s="46" t="str">
        <x:v>1-Octen-3-ol (D)</x:v>
      </x:c>
      <x:c r="H29" s="46" t="str">
        <x:v>1-Octen-3-ol</x:v>
      </x:c>
      <x:c r="I29" s="46" t="str">
        <x:v>D</x:v>
      </x:c>
      <x:c r="J29" s="46" t="str">
        <x:v>C3391864</x:v>
      </x:c>
      <x:c r="K29" s="46" t="str">
        <x:v>C8H16O</x:v>
      </x:c>
      <x:c r="L29" s="46" t="n">
        <x:v>981.2</x:v>
      </x:c>
      <x:c r="M29" s="46" t="n">
        <x:v>552.815</x:v>
      </x:c>
      <x:c r="N29" s="46" t="n">
        <x:v>1.5881</x:v>
      </x:c>
      <x:c r="O29" s="46" t="str">
        <x:v>C4-C9 n-ketone RI + GC×IMS library; monomer/dimer features preserved</x:v>
      </x:c>
      <x:c r="P29" s="46"/>
      <x:c r="Q29" s="46" t="str">
        <x:v>ri_rt_drift_reported_no_numeric_match_factor</x:v>
      </x:c>
      <x:c r="R29" s="46" t="n">
        <x:v>376.05</x:v>
      </x:c>
      <x:c r="S29" s="46" t="n">
        <x:v>134.96</x:v>
      </x:c>
      <x:c r="T29" s="46" t="n">
        <x:v>140.26</x:v>
      </x:c>
      <x:c r="U29" s="46" t="n">
        <x:v>189.29</x:v>
      </x:c>
      <x:c r="V29" s="46" t="n">
        <x:v>142.1</x:v>
      </x:c>
      <x:c r="W29" s="46" t="str">
        <x:v>GC-IMS peak volume (a.u.)</x:v>
      </x:c>
      <x:c r="X29" s="46" t="str">
        <x:v>Frying uses corn oil and therefore includes a cooking-medium lipid overlay.</x:v>
      </x:c>
    </x:row>
    <x:row r="30" ht="26.399999618530273" hidden="0" customHeight="1">
      <x:c r="A30" s="46" t="str">
        <x:v>DSC-029</x:v>
      </x:c>
      <x:c r="B30" s="46" t="str">
        <x:v>bivalve:bay_scallop</x:v>
      </x:c>
      <x:c r="C30" s="46" t="str">
        <x:v>family:bivalve_mollusk</x:v>
      </x:c>
      <x:c r="D30" s="46" t="str">
        <x:v>scallop muscle</x:v>
      </x:c>
      <x:c r="E30" s="46" t="str">
        <x:v>SRC-SCALLOP-COOK-001</x:v>
      </x:c>
      <x:c r="F30" s="46" t="str">
        <x:v>Alcohols</x:v>
      </x:c>
      <x:c r="G30" s="46" t="str">
        <x:v>2-Furanmethanol</x:v>
      </x:c>
      <x:c r="H30" s="46" t="str">
        <x:v>2-Furanmethanol</x:v>
      </x:c>
      <x:c r="I30" s="46"/>
      <x:c r="J30" s="46" t="str">
        <x:v>C98000</x:v>
      </x:c>
      <x:c r="K30" s="46" t="str">
        <x:v>C5H6O2</x:v>
      </x:c>
      <x:c r="L30" s="46" t="n">
        <x:v>879.6</x:v>
      </x:c>
      <x:c r="M30" s="46" t="n">
        <x:v>373.738</x:v>
      </x:c>
      <x:c r="N30" s="46" t="n">
        <x:v>1.11127</x:v>
      </x:c>
      <x:c r="O30" s="46" t="str">
        <x:v>C4-C9 n-ketone RI + GC×IMS library; monomer/dimer features preserved</x:v>
      </x:c>
      <x:c r="P30" s="46"/>
      <x:c r="Q30" s="46" t="str">
        <x:v>ri_rt_drift_reported_no_numeric_match_factor</x:v>
      </x:c>
      <x:c r="R30" s="46" t="n">
        <x:v>2126.07</x:v>
      </x:c>
      <x:c r="S30" s="46" t="n">
        <x:v>940.06</x:v>
      </x:c>
      <x:c r="T30" s="46" t="n">
        <x:v>559.21</x:v>
      </x:c>
      <x:c r="U30" s="46" t="n">
        <x:v>612.04</x:v>
      </x:c>
      <x:c r="V30" s="46" t="n">
        <x:v>428.35</x:v>
      </x:c>
      <x:c r="W30" s="46" t="str">
        <x:v>GC-IMS peak volume (a.u.)</x:v>
      </x:c>
      <x:c r="X30" s="46" t="str">
        <x:v>Frying uses corn oil and therefore includes a cooking-medium lipid overlay.</x:v>
      </x:c>
    </x:row>
    <x:row r="31" ht="26.399999618530273" hidden="0" customHeight="1">
      <x:c r="A31" s="46" t="str">
        <x:v>DSC-030</x:v>
      </x:c>
      <x:c r="B31" s="46" t="str">
        <x:v>bivalve:bay_scallop</x:v>
      </x:c>
      <x:c r="C31" s="46" t="str">
        <x:v>family:bivalve_mollusk</x:v>
      </x:c>
      <x:c r="D31" s="46" t="str">
        <x:v>scallop muscle</x:v>
      </x:c>
      <x:c r="E31" s="46" t="str">
        <x:v>SRC-SCALLOP-COOK-001</x:v>
      </x:c>
      <x:c r="F31" s="46" t="str">
        <x:v>Alcohols</x:v>
      </x:c>
      <x:c r="G31" s="46" t="str">
        <x:v>Pentanol</x:v>
      </x:c>
      <x:c r="H31" s="46" t="str">
        <x:v>Pentanol</x:v>
      </x:c>
      <x:c r="I31" s="46"/>
      <x:c r="J31" s="46" t="str">
        <x:v>C71410</x:v>
      </x:c>
      <x:c r="K31" s="46" t="str">
        <x:v>C5H12O</x:v>
      </x:c>
      <x:c r="L31" s="46" t="n">
        <x:v>762.5</x:v>
      </x:c>
      <x:c r="M31" s="46" t="n">
        <x:v>245.031</x:v>
      </x:c>
      <x:c r="N31" s="46" t="n">
        <x:v>1.5084</x:v>
      </x:c>
      <x:c r="O31" s="46" t="str">
        <x:v>C4-C9 n-ketone RI + GC×IMS library; monomer/dimer features preserved</x:v>
      </x:c>
      <x:c r="P31" s="46"/>
      <x:c r="Q31" s="46" t="str">
        <x:v>ri_rt_drift_reported_no_numeric_match_factor</x:v>
      </x:c>
      <x:c r="R31" s="46" t="n">
        <x:v>272.27</x:v>
      </x:c>
      <x:c r="S31" s="46" t="n">
        <x:v>561.85</x:v>
      </x:c>
      <x:c r="T31" s="46" t="n">
        <x:v>104.9</x:v>
      </x:c>
      <x:c r="U31" s="46" t="n">
        <x:v>635.18</x:v>
      </x:c>
      <x:c r="V31" s="46" t="n">
        <x:v>797.66</x:v>
      </x:c>
      <x:c r="W31" s="46" t="str">
        <x:v>GC-IMS peak volume (a.u.)</x:v>
      </x:c>
      <x:c r="X31" s="46" t="str">
        <x:v>Frying uses corn oil and therefore includes a cooking-medium lipid overlay.</x:v>
      </x:c>
    </x:row>
    <x:row r="32" ht="26.399999618530273" hidden="0" customHeight="1">
      <x:c r="A32" s="46" t="str">
        <x:v>DSC-031</x:v>
      </x:c>
      <x:c r="B32" s="46" t="str">
        <x:v>bivalve:bay_scallop</x:v>
      </x:c>
      <x:c r="C32" s="46" t="str">
        <x:v>family:bivalve_mollusk</x:v>
      </x:c>
      <x:c r="D32" s="46" t="str">
        <x:v>scallop muscle</x:v>
      </x:c>
      <x:c r="E32" s="46" t="str">
        <x:v>SRC-SCALLOP-COOK-001</x:v>
      </x:c>
      <x:c r="F32" s="46" t="str">
        <x:v>Alcohols</x:v>
      </x:c>
      <x:c r="G32" s="46" t="str">
        <x:v>1-Hexanol</x:v>
      </x:c>
      <x:c r="H32" s="46" t="str">
        <x:v>1-Hexanol</x:v>
      </x:c>
      <x:c r="I32" s="46"/>
      <x:c r="J32" s="46" t="str">
        <x:v>C111273</x:v>
      </x:c>
      <x:c r="K32" s="46" t="str">
        <x:v>C6H14O</x:v>
      </x:c>
      <x:c r="L32" s="46" t="n">
        <x:v>868.5</x:v>
      </x:c>
      <x:c r="M32" s="46" t="n">
        <x:v>360.73</x:v>
      </x:c>
      <x:c r="N32" s="46" t="n">
        <x:v>1.31603</x:v>
      </x:c>
      <x:c r="O32" s="46" t="str">
        <x:v>C4-C9 n-ketone RI + GC×IMS library; monomer/dimer features preserved</x:v>
      </x:c>
      <x:c r="P32" s="46"/>
      <x:c r="Q32" s="46" t="str">
        <x:v>ri_rt_drift_reported_no_numeric_match_factor</x:v>
      </x:c>
      <x:c r="R32" s="46" t="n">
        <x:v>215.32</x:v>
      </x:c>
      <x:c r="S32" s="46" t="n">
        <x:v>251.55</x:v>
      </x:c>
      <x:c r="T32" s="46" t="n">
        <x:v>186.63</x:v>
      </x:c>
      <x:c r="U32" s="46" t="n">
        <x:v>233.42</x:v>
      </x:c>
      <x:c r="V32" s="46" t="n">
        <x:v>218.71</x:v>
      </x:c>
      <x:c r="W32" s="46" t="str">
        <x:v>GC-IMS peak volume (a.u.)</x:v>
      </x:c>
      <x:c r="X32" s="46" t="str">
        <x:v>Frying uses corn oil and therefore includes a cooking-medium lipid overlay.</x:v>
      </x:c>
    </x:row>
    <x:row r="33" ht="26.399999618530273" hidden="0" customHeight="1">
      <x:c r="A33" s="46" t="str">
        <x:v>DSC-032</x:v>
      </x:c>
      <x:c r="B33" s="46" t="str">
        <x:v>bivalve:bay_scallop</x:v>
      </x:c>
      <x:c r="C33" s="46" t="str">
        <x:v>family:bivalve_mollusk</x:v>
      </x:c>
      <x:c r="D33" s="46" t="str">
        <x:v>scallop muscle</x:v>
      </x:c>
      <x:c r="E33" s="46" t="str">
        <x:v>SRC-SCALLOP-COOK-001</x:v>
      </x:c>
      <x:c r="F33" s="46" t="str">
        <x:v>Alcohols</x:v>
      </x:c>
      <x:c r="G33" s="46" t="str">
        <x:v>5-Methyl-2-furanmethanol (D)</x:v>
      </x:c>
      <x:c r="H33" s="46" t="str">
        <x:v>5-Methyl-2-furanmethanol</x:v>
      </x:c>
      <x:c r="I33" s="46" t="str">
        <x:v>D</x:v>
      </x:c>
      <x:c r="J33" s="46" t="str">
        <x:v>C3857258</x:v>
      </x:c>
      <x:c r="K33" s="46" t="str">
        <x:v>C6H8O2</x:v>
      </x:c>
      <x:c r="L33" s="46" t="n">
        <x:v>962.2</x:v>
      </x:c>
      <x:c r="M33" s="46" t="n">
        <x:v>517.639</x:v>
      </x:c>
      <x:c r="N33" s="46" t="n">
        <x:v>1.27804</x:v>
      </x:c>
      <x:c r="O33" s="46" t="str">
        <x:v>C4-C9 n-ketone RI + GC×IMS library; monomer/dimer features preserved</x:v>
      </x:c>
      <x:c r="P33" s="46"/>
      <x:c r="Q33" s="46" t="str">
        <x:v>ri_rt_drift_reported_no_numeric_match_factor</x:v>
      </x:c>
      <x:c r="R33" s="46" t="n">
        <x:v>125.71</x:v>
      </x:c>
      <x:c r="S33" s="46" t="n">
        <x:v>117.75</x:v>
      </x:c>
      <x:c r="T33" s="46" t="n">
        <x:v>281.24</x:v>
      </x:c>
      <x:c r="U33" s="46" t="n">
        <x:v>307.69</x:v>
      </x:c>
      <x:c r="V33" s="46" t="n">
        <x:v>247.1</x:v>
      </x:c>
      <x:c r="W33" s="46" t="str">
        <x:v>GC-IMS peak volume (a.u.)</x:v>
      </x:c>
      <x:c r="X33" s="46" t="str">
        <x:v>Frying uses corn oil and therefore includes a cooking-medium lipid overlay.</x:v>
      </x:c>
    </x:row>
    <x:row r="34" ht="26.399999618530273" hidden="0" customHeight="1">
      <x:c r="A34" s="46" t="str">
        <x:v>DSC-033</x:v>
      </x:c>
      <x:c r="B34" s="46" t="str">
        <x:v>bivalve:bay_scallop</x:v>
      </x:c>
      <x:c r="C34" s="46" t="str">
        <x:v>family:bivalve_mollusk</x:v>
      </x:c>
      <x:c r="D34" s="46" t="str">
        <x:v>scallop muscle</x:v>
      </x:c>
      <x:c r="E34" s="46" t="str">
        <x:v>SRC-SCALLOP-COOK-001</x:v>
      </x:c>
      <x:c r="F34" s="46" t="str">
        <x:v>Alcohols</x:v>
      </x:c>
      <x:c r="G34" s="46" t="str">
        <x:v>5-Methyl-2-furanmethanol (M)</x:v>
      </x:c>
      <x:c r="H34" s="46" t="str">
        <x:v>5-Methyl-2-furanmethanol</x:v>
      </x:c>
      <x:c r="I34" s="46" t="str">
        <x:v>M</x:v>
      </x:c>
      <x:c r="J34" s="46" t="str">
        <x:v>C3857258</x:v>
      </x:c>
      <x:c r="K34" s="46" t="str">
        <x:v>C6H8O2</x:v>
      </x:c>
      <x:c r="L34" s="46" t="n">
        <x:v>947.6</x:v>
      </x:c>
      <x:c r="M34" s="46" t="n">
        <x:v>490.757</x:v>
      </x:c>
      <x:c r="N34" s="46" t="n">
        <x:v>1.25894</x:v>
      </x:c>
      <x:c r="O34" s="46" t="str">
        <x:v>C4-C9 n-ketone RI + GC×IMS library; monomer/dimer features preserved</x:v>
      </x:c>
      <x:c r="P34" s="46"/>
      <x:c r="Q34" s="46" t="str">
        <x:v>ri_rt_drift_reported_no_numeric_match_factor</x:v>
      </x:c>
      <x:c r="R34" s="46" t="n">
        <x:v>141.27</x:v>
      </x:c>
      <x:c r="S34" s="46" t="n">
        <x:v>96.65</x:v>
      </x:c>
      <x:c r="T34" s="46" t="n">
        <x:v>101.41</x:v>
      </x:c>
      <x:c r="U34" s="46" t="n">
        <x:v>1273.85</x:v>
      </x:c>
      <x:c r="V34" s="46" t="n">
        <x:v>128.85</x:v>
      </x:c>
      <x:c r="W34" s="46" t="str">
        <x:v>GC-IMS peak volume (a.u.)</x:v>
      </x:c>
      <x:c r="X34" s="46" t="str">
        <x:v>Frying uses corn oil and therefore includes a cooking-medium lipid overlay.</x:v>
      </x:c>
    </x:row>
    <x:row r="35" ht="26.399999618530273" hidden="0" customHeight="1">
      <x:c r="A35" s="46" t="str">
        <x:v>DSC-034</x:v>
      </x:c>
      <x:c r="B35" s="46" t="str">
        <x:v>bivalve:bay_scallop</x:v>
      </x:c>
      <x:c r="C35" s="46" t="str">
        <x:v>family:bivalve_mollusk</x:v>
      </x:c>
      <x:c r="D35" s="46" t="str">
        <x:v>scallop muscle</x:v>
      </x:c>
      <x:c r="E35" s="46" t="str">
        <x:v>SRC-SCALLOP-COOK-001</x:v>
      </x:c>
      <x:c r="F35" s="46" t="str">
        <x:v>Alcohols</x:v>
      </x:c>
      <x:c r="G35" s="46" t="str">
        <x:v>2-Methyl-1-pentanol</x:v>
      </x:c>
      <x:c r="H35" s="46" t="str">
        <x:v>2-Methyl-1-pentanol</x:v>
      </x:c>
      <x:c r="I35" s="46"/>
      <x:c r="J35" s="46" t="str">
        <x:v>C105306</x:v>
      </x:c>
      <x:c r="K35" s="46" t="str">
        <x:v>C6H14O</x:v>
      </x:c>
      <x:c r="L35" s="46" t="n">
        <x:v>838.4</x:v>
      </x:c>
      <x:c r="M35" s="46" t="n">
        <x:v>325.853</x:v>
      </x:c>
      <x:c r="N35" s="46" t="n">
        <x:v>1.29886</x:v>
      </x:c>
      <x:c r="O35" s="46" t="str">
        <x:v>C4-C9 n-ketone RI + GC×IMS library; monomer/dimer features preserved</x:v>
      </x:c>
      <x:c r="P35" s="46"/>
      <x:c r="Q35" s="46" t="str">
        <x:v>ri_rt_drift_reported_no_numeric_match_factor</x:v>
      </x:c>
      <x:c r="R35" s="46" t="n">
        <x:v>65.51</x:v>
      </x:c>
      <x:c r="S35" s="46" t="n">
        <x:v>60.15</x:v>
      </x:c>
      <x:c r="T35" s="46" t="n">
        <x:v>61.27</x:v>
      </x:c>
      <x:c r="U35" s="46" t="n">
        <x:v>204.06</x:v>
      </x:c>
      <x:c r="V35" s="46" t="n">
        <x:v>75.8</x:v>
      </x:c>
      <x:c r="W35" s="46" t="str">
        <x:v>GC-IMS peak volume (a.u.)</x:v>
      </x:c>
      <x:c r="X35" s="46" t="str">
        <x:v>Frying uses corn oil and therefore includes a cooking-medium lipid overlay.</x:v>
      </x:c>
    </x:row>
    <x:row r="36" ht="26.399999618530273" hidden="0" customHeight="1">
      <x:c r="A36" s="46" t="str">
        <x:v>DSC-035</x:v>
      </x:c>
      <x:c r="B36" s="46" t="str">
        <x:v>bivalve:bay_scallop</x:v>
      </x:c>
      <x:c r="C36" s="46" t="str">
        <x:v>family:bivalve_mollusk</x:v>
      </x:c>
      <x:c r="D36" s="46" t="str">
        <x:v>scallop muscle</x:v>
      </x:c>
      <x:c r="E36" s="46" t="str">
        <x:v>SRC-SCALLOP-COOK-001</x:v>
      </x:c>
      <x:c r="F36" s="46" t="str">
        <x:v>Alcohols</x:v>
      </x:c>
      <x:c r="G36" s="46" t="str">
        <x:v>3-Methylthiopropanol (D)</x:v>
      </x:c>
      <x:c r="H36" s="46" t="str">
        <x:v>3-Methylthiopropanol</x:v>
      </x:c>
      <x:c r="I36" s="46" t="str">
        <x:v>D</x:v>
      </x:c>
      <x:c r="J36" s="46" t="str">
        <x:v>C505102</x:v>
      </x:c>
      <x:c r="K36" s="46" t="str">
        <x:v>C4H10OS</x:v>
      </x:c>
      <x:c r="L36" s="46" t="n">
        <x:v>979.6</x:v>
      </x:c>
      <x:c r="M36" s="46" t="n">
        <x:v>549.783</x:v>
      </x:c>
      <x:c r="N36" s="46" t="n">
        <x:v>1.45532</x:v>
      </x:c>
      <x:c r="O36" s="46" t="str">
        <x:v>C4-C9 n-ketone RI + GC×IMS library; monomer/dimer features preserved</x:v>
      </x:c>
      <x:c r="P36" s="46"/>
      <x:c r="Q36" s="46" t="str">
        <x:v>ri_rt_drift_reported_no_numeric_match_factor</x:v>
      </x:c>
      <x:c r="R36" s="46" t="n">
        <x:v>101.01</x:v>
      </x:c>
      <x:c r="S36" s="46" t="n">
        <x:v>113.81</x:v>
      </x:c>
      <x:c r="T36" s="46" t="n">
        <x:v>172.54</x:v>
      </x:c>
      <x:c r="U36" s="46" t="n">
        <x:v>139.22</x:v>
      </x:c>
      <x:c r="V36" s="46" t="n">
        <x:v>147.65</x:v>
      </x:c>
      <x:c r="W36" s="46" t="str">
        <x:v>GC-IMS peak volume (a.u.)</x:v>
      </x:c>
      <x:c r="X36" s="46" t="str">
        <x:v>Frying uses corn oil and therefore includes a cooking-medium lipid overlay.</x:v>
      </x:c>
    </x:row>
    <x:row r="37" ht="26.399999618530273" hidden="0" customHeight="1">
      <x:c r="A37" s="46" t="str">
        <x:v>DSC-036</x:v>
      </x:c>
      <x:c r="B37" s="46" t="str">
        <x:v>bivalve:bay_scallop</x:v>
      </x:c>
      <x:c r="C37" s="46" t="str">
        <x:v>family:bivalve_mollusk</x:v>
      </x:c>
      <x:c r="D37" s="46" t="str">
        <x:v>scallop muscle</x:v>
      </x:c>
      <x:c r="E37" s="46" t="str">
        <x:v>SRC-SCALLOP-COOK-001</x:v>
      </x:c>
      <x:c r="F37" s="46" t="str">
        <x:v>Alcohols</x:v>
      </x:c>
      <x:c r="G37" s="46" t="str">
        <x:v>3-Methylthiopropanol (M)</x:v>
      </x:c>
      <x:c r="H37" s="46" t="str">
        <x:v>3-Methylthiopropanol</x:v>
      </x:c>
      <x:c r="I37" s="46" t="str">
        <x:v>M</x:v>
      </x:c>
      <x:c r="J37" s="46" t="str">
        <x:v>C505102</x:v>
      </x:c>
      <x:c r="K37" s="46" t="str">
        <x:v>C4H10OS</x:v>
      </x:c>
      <x:c r="L37" s="46" t="n">
        <x:v>977.9</x:v>
      </x:c>
      <x:c r="M37" s="46" t="n">
        <x:v>546.755</x:v>
      </x:c>
      <x:c r="N37" s="46" t="n">
        <x:v>1.10208</x:v>
      </x:c>
      <x:c r="O37" s="46" t="str">
        <x:v>C4-C9 n-ketone RI + GC×IMS library; monomer/dimer features preserved</x:v>
      </x:c>
      <x:c r="P37" s="46"/>
      <x:c r="Q37" s="46" t="str">
        <x:v>ri_rt_drift_reported_no_numeric_match_factor</x:v>
      </x:c>
      <x:c r="R37" s="46" t="n">
        <x:v>3943.78</x:v>
      </x:c>
      <x:c r="S37" s="46" t="n">
        <x:v>753.65</x:v>
      </x:c>
      <x:c r="T37" s="46" t="n">
        <x:v>1009.2</x:v>
      </x:c>
      <x:c r="U37" s="46" t="n">
        <x:v>1409.18</x:v>
      </x:c>
      <x:c r="V37" s="46" t="n">
        <x:v>1008.06</x:v>
      </x:c>
      <x:c r="W37" s="46" t="str">
        <x:v>GC-IMS peak volume (a.u.)</x:v>
      </x:c>
      <x:c r="X37" s="46" t="str">
        <x:v>Frying uses corn oil and therefore includes a cooking-medium lipid overlay.</x:v>
      </x:c>
    </x:row>
    <x:row r="38" ht="26.399999618530273" hidden="0" customHeight="1">
      <x:c r="A38" s="46" t="str">
        <x:v>DSC-037</x:v>
      </x:c>
      <x:c r="B38" s="46" t="str">
        <x:v>bivalve:bay_scallop</x:v>
      </x:c>
      <x:c r="C38" s="46" t="str">
        <x:v>family:bivalve_mollusk</x:v>
      </x:c>
      <x:c r="D38" s="46" t="str">
        <x:v>scallop muscle</x:v>
      </x:c>
      <x:c r="E38" s="46" t="str">
        <x:v>SRC-SCALLOP-COOK-001</x:v>
      </x:c>
      <x:c r="F38" s="46" t="str">
        <x:v>Alcohols</x:v>
      </x:c>
      <x:c r="G38" s="46" t="str">
        <x:v>(E)-3-Hexen-1-ol</x:v>
      </x:c>
      <x:c r="H38" s="46" t="str">
        <x:v>(E)-3-Hexen-1-ol</x:v>
      </x:c>
      <x:c r="I38" s="46"/>
      <x:c r="J38" s="46" t="str">
        <x:v>C928972</x:v>
      </x:c>
      <x:c r="K38" s="46" t="str">
        <x:v>C6H12O</x:v>
      </x:c>
      <x:c r="L38" s="46" t="n">
        <x:v>840.3</x:v>
      </x:c>
      <x:c r="M38" s="46" t="n">
        <x:v>327.949</x:v>
      </x:c>
      <x:c r="N38" s="46" t="n">
        <x:v>1.51447</x:v>
      </x:c>
      <x:c r="O38" s="46" t="str">
        <x:v>C4-C9 n-ketone RI + GC×IMS library; monomer/dimer features preserved</x:v>
      </x:c>
      <x:c r="P38" s="46"/>
      <x:c r="Q38" s="46" t="str">
        <x:v>ri_rt_drift_reported_no_numeric_match_factor</x:v>
      </x:c>
      <x:c r="R38" s="46" t="n">
        <x:v>46.73</x:v>
      </x:c>
      <x:c r="S38" s="46" t="n">
        <x:v>46.89</x:v>
      </x:c>
      <x:c r="T38" s="46" t="n">
        <x:v>46.43</x:v>
      </x:c>
      <x:c r="U38" s="46" t="n">
        <x:v>139.9</x:v>
      </x:c>
      <x:c r="V38" s="46" t="n">
        <x:v>41.03</x:v>
      </x:c>
      <x:c r="W38" s="46" t="str">
        <x:v>GC-IMS peak volume (a.u.)</x:v>
      </x:c>
      <x:c r="X38" s="46" t="str">
        <x:v>Frying uses corn oil and therefore includes a cooking-medium lipid overlay.</x:v>
      </x:c>
    </x:row>
    <x:row r="39" ht="26.399999618530273" hidden="0" customHeight="1">
      <x:c r="A39" s="46" t="str">
        <x:v>DSC-038</x:v>
      </x:c>
      <x:c r="B39" s="46" t="str">
        <x:v>bivalve:bay_scallop</x:v>
      </x:c>
      <x:c r="C39" s="46" t="str">
        <x:v>family:bivalve_mollusk</x:v>
      </x:c>
      <x:c r="D39" s="46" t="str">
        <x:v>scallop muscle</x:v>
      </x:c>
      <x:c r="E39" s="46" t="str">
        <x:v>SRC-SCALLOP-COOK-001</x:v>
      </x:c>
      <x:c r="F39" s="46" t="str">
        <x:v>Alcohols</x:v>
      </x:c>
      <x:c r="G39" s="46" t="str">
        <x:v>3-Methyl-3-buten-1-ol</x:v>
      </x:c>
      <x:c r="H39" s="46" t="str">
        <x:v>3-Methyl-3-buten-1-ol</x:v>
      </x:c>
      <x:c r="I39" s="46"/>
      <x:c r="J39" s="46" t="str">
        <x:v>C763326</x:v>
      </x:c>
      <x:c r="K39" s="46" t="str">
        <x:v>C5H10O</x:v>
      </x:c>
      <x:c r="L39" s="46" t="n">
        <x:v>718.9</x:v>
      </x:c>
      <x:c r="M39" s="46" t="n">
        <x:v>209.301</x:v>
      </x:c>
      <x:c r="N39" s="46" t="n">
        <x:v>1.29057</x:v>
      </x:c>
      <x:c r="O39" s="46" t="str">
        <x:v>C4-C9 n-ketone RI + GC×IMS library; monomer/dimer features preserved</x:v>
      </x:c>
      <x:c r="P39" s="46"/>
      <x:c r="Q39" s="46" t="str">
        <x:v>ri_rt_drift_reported_no_numeric_match_factor</x:v>
      </x:c>
      <x:c r="R39" s="46" t="n">
        <x:v>53.01</x:v>
      </x:c>
      <x:c r="S39" s="46" t="n">
        <x:v>63.28</x:v>
      </x:c>
      <x:c r="T39" s="46" t="n">
        <x:v>81.48</x:v>
      </x:c>
      <x:c r="U39" s="46" t="n">
        <x:v>183.96</x:v>
      </x:c>
      <x:c r="V39" s="46" t="n">
        <x:v>54.35</x:v>
      </x:c>
      <x:c r="W39" s="46" t="str">
        <x:v>GC-IMS peak volume (a.u.)</x:v>
      </x:c>
      <x:c r="X39" s="46" t="str">
        <x:v>Frying uses corn oil and therefore includes a cooking-medium lipid overlay.</x:v>
      </x:c>
    </x:row>
    <x:row r="40" ht="26.399999618530273" hidden="0" customHeight="1">
      <x:c r="A40" s="46" t="str">
        <x:v>DSC-039</x:v>
      </x:c>
      <x:c r="B40" s="46" t="str">
        <x:v>bivalve:bay_scallop</x:v>
      </x:c>
      <x:c r="C40" s="46" t="str">
        <x:v>family:bivalve_mollusk</x:v>
      </x:c>
      <x:c r="D40" s="46" t="str">
        <x:v>scallop muscle</x:v>
      </x:c>
      <x:c r="E40" s="46" t="str">
        <x:v>SRC-SCALLOP-COOK-001</x:v>
      </x:c>
      <x:c r="F40" s="46" t="str">
        <x:v>Alcohols</x:v>
      </x:c>
      <x:c r="G40" s="46" t="str">
        <x:v>3-Methylbutan-1-ol</x:v>
      </x:c>
      <x:c r="H40" s="46" t="str">
        <x:v>3-Methylbutan-1-ol</x:v>
      </x:c>
      <x:c r="I40" s="46"/>
      <x:c r="J40" s="46" t="str">
        <x:v>C123513</x:v>
      </x:c>
      <x:c r="K40" s="46" t="str">
        <x:v>C5H12O</x:v>
      </x:c>
      <x:c r="L40" s="46" t="n">
        <x:v>728.2</x:v>
      </x:c>
      <x:c r="M40" s="46" t="n">
        <x:v>216.879</x:v>
      </x:c>
      <x:c r="N40" s="46" t="n">
        <x:v>1.23522</x:v>
      </x:c>
      <x:c r="O40" s="46" t="str">
        <x:v>C4-C9 n-ketone RI + GC×IMS library; monomer/dimer features preserved</x:v>
      </x:c>
      <x:c r="P40" s="46"/>
      <x:c r="Q40" s="46" t="str">
        <x:v>ri_rt_drift_reported_no_numeric_match_factor</x:v>
      </x:c>
      <x:c r="R40" s="46" t="n">
        <x:v>245.47</x:v>
      </x:c>
      <x:c r="S40" s="46" t="n">
        <x:v>166</x:v>
      </x:c>
      <x:c r="T40" s="46" t="n">
        <x:v>332.23</x:v>
      </x:c>
      <x:c r="U40" s="46" t="n">
        <x:v>226.05</x:v>
      </x:c>
      <x:c r="V40" s="46" t="n">
        <x:v>193.9</x:v>
      </x:c>
      <x:c r="W40" s="46" t="str">
        <x:v>GC-IMS peak volume (a.u.)</x:v>
      </x:c>
      <x:c r="X40" s="46" t="str">
        <x:v>Frying uses corn oil and therefore includes a cooking-medium lipid overlay.</x:v>
      </x:c>
    </x:row>
    <x:row r="41" ht="26.399999618530273" hidden="0" customHeight="1">
      <x:c r="A41" s="46" t="str">
        <x:v>DSC-040</x:v>
      </x:c>
      <x:c r="B41" s="46" t="str">
        <x:v>bivalve:bay_scallop</x:v>
      </x:c>
      <x:c r="C41" s="46" t="str">
        <x:v>family:bivalve_mollusk</x:v>
      </x:c>
      <x:c r="D41" s="46" t="str">
        <x:v>scallop muscle</x:v>
      </x:c>
      <x:c r="E41" s="46" t="str">
        <x:v>SRC-SCALLOP-COOK-001</x:v>
      </x:c>
      <x:c r="F41" s="46" t="str">
        <x:v>Alcohols</x:v>
      </x:c>
      <x:c r="G41" s="46" t="str">
        <x:v>2-Octanol</x:v>
      </x:c>
      <x:c r="H41" s="46" t="str">
        <x:v>2-Octanol</x:v>
      </x:c>
      <x:c r="I41" s="46"/>
      <x:c r="J41" s="46" t="str">
        <x:v>C123966</x:v>
      </x:c>
      <x:c r="K41" s="46" t="str">
        <x:v>C8H18O</x:v>
      </x:c>
      <x:c r="L41" s="46" t="n">
        <x:v>998.1</x:v>
      </x:c>
      <x:c r="M41" s="46" t="n">
        <x:v>584.168</x:v>
      </x:c>
      <x:c r="N41" s="46" t="n">
        <x:v>1.45925</x:v>
      </x:c>
      <x:c r="O41" s="46" t="str">
        <x:v>C4-C9 n-ketone RI + GC×IMS library; monomer/dimer features preserved</x:v>
      </x:c>
      <x:c r="P41" s="46"/>
      <x:c r="Q41" s="46" t="str">
        <x:v>ri_rt_drift_reported_no_numeric_match_factor</x:v>
      </x:c>
      <x:c r="R41" s="46" t="n">
        <x:v>279.9</x:v>
      </x:c>
      <x:c r="S41" s="46" t="n">
        <x:v>353.53</x:v>
      </x:c>
      <x:c r="T41" s="46" t="n">
        <x:v>727.53</x:v>
      </x:c>
      <x:c r="U41" s="46" t="n">
        <x:v>772.08</x:v>
      </x:c>
      <x:c r="V41" s="46" t="n">
        <x:v>603.05</x:v>
      </x:c>
      <x:c r="W41" s="46" t="str">
        <x:v>GC-IMS peak volume (a.u.)</x:v>
      </x:c>
      <x:c r="X41" s="46" t="str">
        <x:v>Frying uses corn oil and therefore includes a cooking-medium lipid overlay.</x:v>
      </x:c>
    </x:row>
    <x:row r="42" ht="26.399999618530273" hidden="0" customHeight="1">
      <x:c r="A42" s="46" t="str">
        <x:v>DSC-041</x:v>
      </x:c>
      <x:c r="B42" s="46" t="str">
        <x:v>bivalve:bay_scallop</x:v>
      </x:c>
      <x:c r="C42" s="46" t="str">
        <x:v>family:bivalve_mollusk</x:v>
      </x:c>
      <x:c r="D42" s="46" t="str">
        <x:v>scallop muscle</x:v>
      </x:c>
      <x:c r="E42" s="46" t="str">
        <x:v>SRC-SCALLOP-COOK-001</x:v>
      </x:c>
      <x:c r="F42" s="46" t="str">
        <x:v>Esters</x:v>
      </x:c>
      <x:c r="G42" s="46" t="str">
        <x:v>Isoamyl isovalerate</x:v>
      </x:c>
      <x:c r="H42" s="46" t="str">
        <x:v>Isoamyl isovalerate</x:v>
      </x:c>
      <x:c r="I42" s="46"/>
      <x:c r="J42" s="46" t="str">
        <x:v>C659701</x:v>
      </x:c>
      <x:c r="K42" s="46" t="str">
        <x:v>C10H20O2</x:v>
      </x:c>
      <x:c r="L42" s="46" t="n">
        <x:v>1092</x:v>
      </x:c>
      <x:c r="M42" s="46" t="n">
        <x:v>766.687</x:v>
      </x:c>
      <x:c r="N42" s="46" t="n">
        <x:v>1.47268</x:v>
      </x:c>
      <x:c r="O42" s="46" t="str">
        <x:v>C4-C9 n-ketone RI + GC×IMS library; monomer/dimer features preserved</x:v>
      </x:c>
      <x:c r="P42" s="46"/>
      <x:c r="Q42" s="46" t="str">
        <x:v>ri_rt_drift_reported_no_numeric_match_factor</x:v>
      </x:c>
      <x:c r="R42" s="46" t="n">
        <x:v>959.87</x:v>
      </x:c>
      <x:c r="S42" s="46" t="n">
        <x:v>496.31</x:v>
      </x:c>
      <x:c r="T42" s="46" t="n">
        <x:v>674.76</x:v>
      </x:c>
      <x:c r="U42" s="46" t="n">
        <x:v>1457.78</x:v>
      </x:c>
      <x:c r="V42" s="46" t="n">
        <x:v>818.84</x:v>
      </x:c>
      <x:c r="W42" s="46" t="str">
        <x:v>GC-IMS peak volume (a.u.)</x:v>
      </x:c>
      <x:c r="X42" s="46" t="str">
        <x:v>Frying uses corn oil and therefore includes a cooking-medium lipid overlay.</x:v>
      </x:c>
    </x:row>
    <x:row r="43" ht="26.399999618530273" hidden="0" customHeight="1">
      <x:c r="A43" s="46" t="str">
        <x:v>DSC-042</x:v>
      </x:c>
      <x:c r="B43" s="46" t="str">
        <x:v>bivalve:bay_scallop</x:v>
      </x:c>
      <x:c r="C43" s="46" t="str">
        <x:v>family:bivalve_mollusk</x:v>
      </x:c>
      <x:c r="D43" s="46" t="str">
        <x:v>scallop muscle</x:v>
      </x:c>
      <x:c r="E43" s="46" t="str">
        <x:v>SRC-SCALLOP-COOK-001</x:v>
      </x:c>
      <x:c r="F43" s="46" t="str">
        <x:v>Esters</x:v>
      </x:c>
      <x:c r="G43" s="46" t="str">
        <x:v>Ethyl hexanoate</x:v>
      </x:c>
      <x:c r="H43" s="46" t="str">
        <x:v>Ethyl hexanoate</x:v>
      </x:c>
      <x:c r="I43" s="46"/>
      <x:c r="J43" s="46" t="str">
        <x:v>C123660</x:v>
      </x:c>
      <x:c r="K43" s="46" t="str">
        <x:v>C8H16O2</x:v>
      </x:c>
      <x:c r="L43" s="46" t="n">
        <x:v>996.6</x:v>
      </x:c>
      <x:c r="M43" s="46" t="n">
        <x:v>581.156</x:v>
      </x:c>
      <x:c r="N43" s="46" t="n">
        <x:v>1.81994</x:v>
      </x:c>
      <x:c r="O43" s="46" t="str">
        <x:v>C4-C9 n-ketone RI + GC×IMS library; monomer/dimer features preserved</x:v>
      </x:c>
      <x:c r="P43" s="46"/>
      <x:c r="Q43" s="46" t="str">
        <x:v>ri_rt_drift_reported_no_numeric_match_factor</x:v>
      </x:c>
      <x:c r="R43" s="46" t="n">
        <x:v>256.86</x:v>
      </x:c>
      <x:c r="S43" s="46" t="n">
        <x:v>158.51</x:v>
      </x:c>
      <x:c r="T43" s="46" t="n">
        <x:v>244.71</x:v>
      </x:c>
      <x:c r="U43" s="46" t="n">
        <x:v>520.51</x:v>
      </x:c>
      <x:c r="V43" s="46" t="n">
        <x:v>274.56</x:v>
      </x:c>
      <x:c r="W43" s="46" t="str">
        <x:v>GC-IMS peak volume (a.u.)</x:v>
      </x:c>
      <x:c r="X43" s="46" t="str">
        <x:v>Frying uses corn oil and therefore includes a cooking-medium lipid overlay.</x:v>
      </x:c>
    </x:row>
    <x:row r="44" ht="26.399999618530273" hidden="0" customHeight="1">
      <x:c r="A44" s="46" t="str">
        <x:v>DSC-043</x:v>
      </x:c>
      <x:c r="B44" s="46" t="str">
        <x:v>bivalve:bay_scallop</x:v>
      </x:c>
      <x:c r="C44" s="46" t="str">
        <x:v>family:bivalve_mollusk</x:v>
      </x:c>
      <x:c r="D44" s="46" t="str">
        <x:v>scallop muscle</x:v>
      </x:c>
      <x:c r="E44" s="46" t="str">
        <x:v>SRC-SCALLOP-COOK-001</x:v>
      </x:c>
      <x:c r="F44" s="46" t="str">
        <x:v>Esters</x:v>
      </x:c>
      <x:c r="G44" s="46" t="str">
        <x:v>Ethyl isovalerate</x:v>
      </x:c>
      <x:c r="H44" s="46" t="str">
        <x:v>Ethyl isovalerate</x:v>
      </x:c>
      <x:c r="I44" s="46"/>
      <x:c r="J44" s="46" t="str">
        <x:v>C108645</x:v>
      </x:c>
      <x:c r="K44" s="46" t="str">
        <x:v>C7H14O2</x:v>
      </x:c>
      <x:c r="L44" s="46" t="n">
        <x:v>935</x:v>
      </x:c>
      <x:c r="M44" s="46" t="n">
        <x:v>467.501</x:v>
      </x:c>
      <x:c r="N44" s="46" t="n">
        <x:v>1.26531</x:v>
      </x:c>
      <x:c r="O44" s="46" t="str">
        <x:v>C4-C9 n-ketone RI + GC×IMS library; monomer/dimer features preserved</x:v>
      </x:c>
      <x:c r="P44" s="46"/>
      <x:c r="Q44" s="46" t="str">
        <x:v>ri_rt_drift_reported_no_numeric_match_factor</x:v>
      </x:c>
      <x:c r="R44" s="46" t="n">
        <x:v>432.74</x:v>
      </x:c>
      <x:c r="S44" s="46" t="n">
        <x:v>177.01</x:v>
      </x:c>
      <x:c r="T44" s="46" t="n">
        <x:v>208.06</x:v>
      </x:c>
      <x:c r="U44" s="46" t="n">
        <x:v>262.17</x:v>
      </x:c>
      <x:c r="V44" s="46" t="n">
        <x:v>192.5</x:v>
      </x:c>
      <x:c r="W44" s="46" t="str">
        <x:v>GC-IMS peak volume (a.u.)</x:v>
      </x:c>
      <x:c r="X44" s="46" t="str">
        <x:v>Frying uses corn oil and therefore includes a cooking-medium lipid overlay.</x:v>
      </x:c>
    </x:row>
    <x:row r="45" ht="26.399999618530273" hidden="0" customHeight="1">
      <x:c r="A45" s="46" t="str">
        <x:v>DSC-044</x:v>
      </x:c>
      <x:c r="B45" s="46" t="str">
        <x:v>bivalve:bay_scallop</x:v>
      </x:c>
      <x:c r="C45" s="46" t="str">
        <x:v>family:bivalve_mollusk</x:v>
      </x:c>
      <x:c r="D45" s="46" t="str">
        <x:v>scallop muscle</x:v>
      </x:c>
      <x:c r="E45" s="46" t="str">
        <x:v>SRC-SCALLOP-COOK-001</x:v>
      </x:c>
      <x:c r="F45" s="46" t="str">
        <x:v>Esters</x:v>
      </x:c>
      <x:c r="G45" s="46" t="str">
        <x:v>Ethyl butyrate</x:v>
      </x:c>
      <x:c r="H45" s="46" t="str">
        <x:v>Ethyl butyrate</x:v>
      </x:c>
      <x:c r="I45" s="46"/>
      <x:c r="J45" s="46" t="str">
        <x:v>C105544</x:v>
      </x:c>
      <x:c r="K45" s="46" t="str">
        <x:v>C6H12O2</x:v>
      </x:c>
      <x:c r="L45" s="46" t="n">
        <x:v>786.9</x:v>
      </x:c>
      <x:c r="M45" s="46" t="n">
        <x:v>265.993</x:v>
      </x:c>
      <x:c r="N45" s="46" t="n">
        <x:v>1.56437</x:v>
      </x:c>
      <x:c r="O45" s="46" t="str">
        <x:v>C4-C9 n-ketone RI + GC×IMS library; monomer/dimer features preserved</x:v>
      </x:c>
      <x:c r="P45" s="46"/>
      <x:c r="Q45" s="46" t="str">
        <x:v>ri_rt_drift_reported_no_numeric_match_factor</x:v>
      </x:c>
      <x:c r="R45" s="46" t="n">
        <x:v>681.82</x:v>
      </x:c>
      <x:c r="S45" s="46" t="n">
        <x:v>572.15</x:v>
      </x:c>
      <x:c r="T45" s="46" t="n">
        <x:v>696.44</x:v>
      </x:c>
      <x:c r="U45" s="46" t="n">
        <x:v>4443.93</x:v>
      </x:c>
      <x:c r="V45" s="46" t="n">
        <x:v>870.54</x:v>
      </x:c>
      <x:c r="W45" s="46" t="str">
        <x:v>GC-IMS peak volume (a.u.)</x:v>
      </x:c>
      <x:c r="X45" s="46" t="str">
        <x:v>Frying uses corn oil and therefore includes a cooking-medium lipid overlay.</x:v>
      </x:c>
    </x:row>
    <x:row r="46" ht="26.399999618530273" hidden="0" customHeight="1">
      <x:c r="A46" s="46" t="str">
        <x:v>DSC-045</x:v>
      </x:c>
      <x:c r="B46" s="46" t="str">
        <x:v>bivalve:bay_scallop</x:v>
      </x:c>
      <x:c r="C46" s="46" t="str">
        <x:v>family:bivalve_mollusk</x:v>
      </x:c>
      <x:c r="D46" s="46" t="str">
        <x:v>scallop muscle</x:v>
      </x:c>
      <x:c r="E46" s="46" t="str">
        <x:v>SRC-SCALLOP-COOK-001</x:v>
      </x:c>
      <x:c r="F46" s="46" t="str">
        <x:v>Esters</x:v>
      </x:c>
      <x:c r="G46" s="46" t="str">
        <x:v>Ethyl acetate</x:v>
      </x:c>
      <x:c r="H46" s="46" t="str">
        <x:v>Ethyl acetate</x:v>
      </x:c>
      <x:c r="I46" s="46"/>
      <x:c r="J46" s="46" t="str">
        <x:v>C141786</x:v>
      </x:c>
      <x:c r="K46" s="46" t="str">
        <x:v>C4H8O2</x:v>
      </x:c>
      <x:c r="L46" s="46" t="n">
        <x:v>601.7</x:v>
      </x:c>
      <x:c r="M46" s="46" t="n">
        <x:v>146.601</x:v>
      </x:c>
      <x:c r="N46" s="46" t="n">
        <x:v>1.33466</x:v>
      </x:c>
      <x:c r="O46" s="46" t="str">
        <x:v>C4-C9 n-ketone RI + GC×IMS library; monomer/dimer features preserved</x:v>
      </x:c>
      <x:c r="P46" s="46"/>
      <x:c r="Q46" s="46" t="str">
        <x:v>ri_rt_drift_reported_no_numeric_match_factor</x:v>
      </x:c>
      <x:c r="R46" s="46" t="n">
        <x:v>1175.58</x:v>
      </x:c>
      <x:c r="S46" s="46" t="n">
        <x:v>220.51</x:v>
      </x:c>
      <x:c r="T46" s="46" t="n">
        <x:v>205.97</x:v>
      </x:c>
      <x:c r="U46" s="46" t="n">
        <x:v>247.5</x:v>
      </x:c>
      <x:c r="V46" s="46" t="n">
        <x:v>100.61</x:v>
      </x:c>
      <x:c r="W46" s="46" t="str">
        <x:v>GC-IMS peak volume (a.u.)</x:v>
      </x:c>
      <x:c r="X46" s="46" t="str">
        <x:v>Frying uses corn oil and therefore includes a cooking-medium lipid overlay.</x:v>
      </x:c>
    </x:row>
    <x:row r="47" ht="26.399999618530273" hidden="0" customHeight="1">
      <x:c r="A47" s="46" t="str">
        <x:v>DSC-046</x:v>
      </x:c>
      <x:c r="B47" s="46" t="str">
        <x:v>bivalve:bay_scallop</x:v>
      </x:c>
      <x:c r="C47" s="46" t="str">
        <x:v>family:bivalve_mollusk</x:v>
      </x:c>
      <x:c r="D47" s="46" t="str">
        <x:v>scallop muscle</x:v>
      </x:c>
      <x:c r="E47" s="46" t="str">
        <x:v>SRC-SCALLOP-COOK-001</x:v>
      </x:c>
      <x:c r="F47" s="46" t="str">
        <x:v>Esters</x:v>
      </x:c>
      <x:c r="G47" s="46" t="str">
        <x:v>Isopropyl acetate</x:v>
      </x:c>
      <x:c r="H47" s="46" t="str">
        <x:v>Isopropyl acetate</x:v>
      </x:c>
      <x:c r="I47" s="46"/>
      <x:c r="J47" s="46" t="str">
        <x:v>C108214</x:v>
      </x:c>
      <x:c r="K47" s="46" t="str">
        <x:v>C5H10O2</x:v>
      </x:c>
      <x:c r="L47" s="46" t="n">
        <x:v>591.3</x:v>
      </x:c>
      <x:c r="M47" s="46" t="n">
        <x:v>142.074</x:v>
      </x:c>
      <x:c r="N47" s="46" t="n">
        <x:v>1.15412</x:v>
      </x:c>
      <x:c r="O47" s="46" t="str">
        <x:v>C4-C9 n-ketone RI + GC×IMS library; monomer/dimer features preserved</x:v>
      </x:c>
      <x:c r="P47" s="46"/>
      <x:c r="Q47" s="46" t="str">
        <x:v>ri_rt_drift_reported_no_numeric_match_factor</x:v>
      </x:c>
      <x:c r="R47" s="46" t="n">
        <x:v>529.36</x:v>
      </x:c>
      <x:c r="S47" s="46" t="n">
        <x:v>632.95</x:v>
      </x:c>
      <x:c r="T47" s="46" t="n">
        <x:v>1534.86</x:v>
      </x:c>
      <x:c r="U47" s="46" t="n">
        <x:v>1159.58</x:v>
      </x:c>
      <x:c r="V47" s="46" t="n">
        <x:v>1073.59</x:v>
      </x:c>
      <x:c r="W47" s="46" t="str">
        <x:v>GC-IMS peak volume (a.u.)</x:v>
      </x:c>
      <x:c r="X47" s="46" t="str">
        <x:v>Frying uses corn oil and therefore includes a cooking-medium lipid overlay.</x:v>
      </x:c>
    </x:row>
    <x:row r="48" ht="26.399999618530273" hidden="0" customHeight="1">
      <x:c r="A48" s="46" t="str">
        <x:v>DSC-047</x:v>
      </x:c>
      <x:c r="B48" s="46" t="str">
        <x:v>bivalve:bay_scallop</x:v>
      </x:c>
      <x:c r="C48" s="46" t="str">
        <x:v>family:bivalve_mollusk</x:v>
      </x:c>
      <x:c r="D48" s="46" t="str">
        <x:v>scallop muscle</x:v>
      </x:c>
      <x:c r="E48" s="46" t="str">
        <x:v>SRC-SCALLOP-COOK-001</x:v>
      </x:c>
      <x:c r="F48" s="46" t="str">
        <x:v>Esters</x:v>
      </x:c>
      <x:c r="G48" s="46" t="str">
        <x:v>Methyl isovalerate</x:v>
      </x:c>
      <x:c r="H48" s="46" t="str">
        <x:v>Methyl isovalerate</x:v>
      </x:c>
      <x:c r="I48" s="46"/>
      <x:c r="J48" s="46" t="str">
        <x:v>C556241</x:v>
      </x:c>
      <x:c r="K48" s="46" t="str">
        <x:v>C6H12O2</x:v>
      </x:c>
      <x:c r="L48" s="46" t="n">
        <x:v>777.8</x:v>
      </x:c>
      <x:c r="M48" s="46" t="n">
        <x:v>257.532</x:v>
      </x:c>
      <x:c r="N48" s="46" t="n">
        <x:v>1.19206</x:v>
      </x:c>
      <x:c r="O48" s="46" t="str">
        <x:v>C4-C9 n-ketone RI + GC×IMS library; monomer/dimer features preserved</x:v>
      </x:c>
      <x:c r="P48" s="46"/>
      <x:c r="Q48" s="46" t="str">
        <x:v>ri_rt_drift_reported_no_numeric_match_factor</x:v>
      </x:c>
      <x:c r="R48" s="46" t="n">
        <x:v>127.5</x:v>
      </x:c>
      <x:c r="S48" s="46" t="n">
        <x:v>144.16</x:v>
      </x:c>
      <x:c r="T48" s="46" t="n">
        <x:v>130.68</x:v>
      </x:c>
      <x:c r="U48" s="46" t="n">
        <x:v>198.83</x:v>
      </x:c>
      <x:c r="V48" s="46" t="n">
        <x:v>136.1</x:v>
      </x:c>
      <x:c r="W48" s="46" t="str">
        <x:v>GC-IMS peak volume (a.u.)</x:v>
      </x:c>
      <x:c r="X48" s="46" t="str">
        <x:v>Frying uses corn oil and therefore includes a cooking-medium lipid overlay.</x:v>
      </x:c>
    </x:row>
    <x:row r="49" ht="26.399999618530273" hidden="0" customHeight="1">
      <x:c r="A49" s="46" t="str">
        <x:v>DSC-048</x:v>
      </x:c>
      <x:c r="B49" s="46" t="str">
        <x:v>bivalve:bay_scallop</x:v>
      </x:c>
      <x:c r="C49" s="46" t="str">
        <x:v>family:bivalve_mollusk</x:v>
      </x:c>
      <x:c r="D49" s="46" t="str">
        <x:v>scallop muscle</x:v>
      </x:c>
      <x:c r="E49" s="46" t="str">
        <x:v>SRC-SCALLOP-COOK-001</x:v>
      </x:c>
      <x:c r="F49" s="46" t="str">
        <x:v>Acids</x:v>
      </x:c>
      <x:c r="G49" s="46" t="str">
        <x:v>Propanoic acid</x:v>
      </x:c>
      <x:c r="H49" s="46" t="str">
        <x:v>Propanoic acid</x:v>
      </x:c>
      <x:c r="I49" s="46"/>
      <x:c r="J49" s="46" t="str">
        <x:v>C79094</x:v>
      </x:c>
      <x:c r="K49" s="46" t="str">
        <x:v>C3H6O2</x:v>
      </x:c>
      <x:c r="L49" s="46" t="n">
        <x:v>691.9</x:v>
      </x:c>
      <x:c r="M49" s="46" t="n">
        <x:v>187.137</x:v>
      </x:c>
      <x:c r="N49" s="46" t="n">
        <x:v>1.26579</x:v>
      </x:c>
      <x:c r="O49" s="46" t="str">
        <x:v>C4-C9 n-ketone RI + GC×IMS library; monomer/dimer features preserved</x:v>
      </x:c>
      <x:c r="P49" s="46"/>
      <x:c r="Q49" s="46" t="str">
        <x:v>ri_rt_drift_reported_no_numeric_match_factor</x:v>
      </x:c>
      <x:c r="R49" s="46" t="n">
        <x:v>617.76</x:v>
      </x:c>
      <x:c r="S49" s="46" t="n">
        <x:v>1349.68</x:v>
      </x:c>
      <x:c r="T49" s="46" t="n">
        <x:v>1563.14</x:v>
      </x:c>
      <x:c r="U49" s="46" t="n">
        <x:v>1461.05</x:v>
      </x:c>
      <x:c r="V49" s="46" t="n">
        <x:v>1383.61</x:v>
      </x:c>
      <x:c r="W49" s="46" t="str">
        <x:v>GC-IMS peak volume (a.u.)</x:v>
      </x:c>
      <x:c r="X49" s="46" t="str">
        <x:v>Frying uses corn oil and therefore includes a cooking-medium lipid overlay.</x:v>
      </x:c>
    </x:row>
    <x:row r="50" ht="26.399999618530273" hidden="0" customHeight="1">
      <x:c r="A50" s="46" t="str">
        <x:v>DSC-049</x:v>
      </x:c>
      <x:c r="B50" s="46" t="str">
        <x:v>bivalve:bay_scallop</x:v>
      </x:c>
      <x:c r="C50" s="46" t="str">
        <x:v>family:bivalve_mollusk</x:v>
      </x:c>
      <x:c r="D50" s="46" t="str">
        <x:v>scallop muscle</x:v>
      </x:c>
      <x:c r="E50" s="46" t="str">
        <x:v>SRC-SCALLOP-COOK-001</x:v>
      </x:c>
      <x:c r="F50" s="46" t="str">
        <x:v>Others</x:v>
      </x:c>
      <x:c r="G50" s="46" t="str">
        <x:v>Alpha-pinene (D)</x:v>
      </x:c>
      <x:c r="H50" s="46" t="str">
        <x:v>Alpha-pinene</x:v>
      </x:c>
      <x:c r="I50" s="46" t="str">
        <x:v>D</x:v>
      </x:c>
      <x:c r="J50" s="46" t="str">
        <x:v>C80568</x:v>
      </x:c>
      <x:c r="K50" s="46" t="str">
        <x:v>C10H16</x:v>
      </x:c>
      <x:c r="L50" s="46" t="n">
        <x:v>927</x:v>
      </x:c>
      <x:c r="M50" s="46" t="n">
        <x:v>452.716</x:v>
      </x:c>
      <x:c r="N50" s="46" t="n">
        <x:v>1.22059</x:v>
      </x:c>
      <x:c r="O50" s="46" t="str">
        <x:v>C4-C9 n-ketone RI + GC×IMS library; monomer/dimer features preserved</x:v>
      </x:c>
      <x:c r="P50" s="46"/>
      <x:c r="Q50" s="46" t="str">
        <x:v>ri_rt_drift_reported_no_numeric_match_factor</x:v>
      </x:c>
      <x:c r="R50" s="46" t="n">
        <x:v>736.52</x:v>
      </x:c>
      <x:c r="S50" s="46" t="n">
        <x:v>354.36</x:v>
      </x:c>
      <x:c r="T50" s="46" t="n">
        <x:v>439.73</x:v>
      </x:c>
      <x:c r="U50" s="46" t="n">
        <x:v>476.24</x:v>
      </x:c>
      <x:c r="V50" s="46" t="n">
        <x:v>578.43</x:v>
      </x:c>
      <x:c r="W50" s="46" t="str">
        <x:v>GC-IMS peak volume (a.u.)</x:v>
      </x:c>
      <x:c r="X50" s="46" t="str">
        <x:v>Frying uses corn oil and therefore includes a cooking-medium lipid overlay.</x:v>
      </x:c>
    </x:row>
    <x:row r="51" ht="26.399999618530273" hidden="0" customHeight="1">
      <x:c r="A51" s="46" t="str">
        <x:v>DSC-050</x:v>
      </x:c>
      <x:c r="B51" s="46" t="str">
        <x:v>bivalve:bay_scallop</x:v>
      </x:c>
      <x:c r="C51" s="46" t="str">
        <x:v>family:bivalve_mollusk</x:v>
      </x:c>
      <x:c r="D51" s="46" t="str">
        <x:v>scallop muscle</x:v>
      </x:c>
      <x:c r="E51" s="46" t="str">
        <x:v>SRC-SCALLOP-COOK-001</x:v>
      </x:c>
      <x:c r="F51" s="46" t="str">
        <x:v>Others</x:v>
      </x:c>
      <x:c r="G51" s="46" t="str">
        <x:v>Alpha-pinene (M)</x:v>
      </x:c>
      <x:c r="H51" s="46" t="str">
        <x:v>Alpha-pinene</x:v>
      </x:c>
      <x:c r="I51" s="46" t="str">
        <x:v>M</x:v>
      </x:c>
      <x:c r="J51" s="46" t="str">
        <x:v>C80568</x:v>
      </x:c>
      <x:c r="K51" s="46" t="str">
        <x:v>C10H16</x:v>
      </x:c>
      <x:c r="L51" s="46" t="n">
        <x:v>909.2</x:v>
      </x:c>
      <x:c r="M51" s="46" t="n">
        <x:v>419.79</x:v>
      </x:c>
      <x:c r="N51" s="46" t="n">
        <x:v>1.21006</x:v>
      </x:c>
      <x:c r="O51" s="46" t="str">
        <x:v>C4-C9 n-ketone RI + GC×IMS library; monomer/dimer features preserved</x:v>
      </x:c>
      <x:c r="P51" s="46"/>
      <x:c r="Q51" s="46" t="str">
        <x:v>ri_rt_drift_reported_no_numeric_match_factor</x:v>
      </x:c>
      <x:c r="R51" s="46" t="n">
        <x:v>185.08</x:v>
      </x:c>
      <x:c r="S51" s="46" t="n">
        <x:v>119.7</x:v>
      </x:c>
      <x:c r="T51" s="46" t="n">
        <x:v>258.78</x:v>
      </x:c>
      <x:c r="U51" s="46" t="n">
        <x:v>405.78</x:v>
      </x:c>
      <x:c r="V51" s="46" t="n">
        <x:v>313.68</x:v>
      </x:c>
      <x:c r="W51" s="46" t="str">
        <x:v>GC-IMS peak volume (a.u.)</x:v>
      </x:c>
      <x:c r="X51" s="46" t="str">
        <x:v>Frying uses corn oil and therefore includes a cooking-medium lipid overlay.</x:v>
      </x:c>
    </x:row>
    <x:row r="52" ht="26.399999618530273" hidden="0" customHeight="1">
      <x:c r="A52" s="46" t="str">
        <x:v>DSC-051</x:v>
      </x:c>
      <x:c r="B52" s="46" t="str">
        <x:v>bivalve:bay_scallop</x:v>
      </x:c>
      <x:c r="C52" s="46" t="str">
        <x:v>family:bivalve_mollusk</x:v>
      </x:c>
      <x:c r="D52" s="46" t="str">
        <x:v>scallop muscle</x:v>
      </x:c>
      <x:c r="E52" s="46" t="str">
        <x:v>SRC-SCALLOP-COOK-001</x:v>
      </x:c>
      <x:c r="F52" s="46" t="str">
        <x:v>Others</x:v>
      </x:c>
      <x:c r="G52" s="46" t="str">
        <x:v>(E)-β-ocimene</x:v>
      </x:c>
      <x:c r="H52" s="46" t="str">
        <x:v>(E)-β-ocimene</x:v>
      </x:c>
      <x:c r="I52" s="46"/>
      <x:c r="J52" s="46" t="str">
        <x:v>C13877913</x:v>
      </x:c>
      <x:c r="K52" s="46" t="str">
        <x:v>C10H16</x:v>
      </x:c>
      <x:c r="L52" s="46" t="n">
        <x:v>1029.1</x:v>
      </x:c>
      <x:c r="M52" s="46" t="n">
        <x:v>644.414</x:v>
      </x:c>
      <x:c r="N52" s="46" t="n">
        <x:v>1.2656</x:v>
      </x:c>
      <x:c r="O52" s="46" t="str">
        <x:v>C4-C9 n-ketone RI + GC×IMS library; monomer/dimer features preserved</x:v>
      </x:c>
      <x:c r="P52" s="46"/>
      <x:c r="Q52" s="46" t="str">
        <x:v>ri_rt_drift_reported_no_numeric_match_factor</x:v>
      </x:c>
      <x:c r="R52" s="46" t="n">
        <x:v>83.19</x:v>
      </x:c>
      <x:c r="S52" s="46" t="n">
        <x:v>72.3</x:v>
      </x:c>
      <x:c r="T52" s="46" t="n">
        <x:v>74.79</x:v>
      </x:c>
      <x:c r="U52" s="46" t="n">
        <x:v>420.05</x:v>
      </x:c>
      <x:c r="V52" s="46" t="n">
        <x:v>73.04</x:v>
      </x:c>
      <x:c r="W52" s="46" t="str">
        <x:v>GC-IMS peak volume (a.u.)</x:v>
      </x:c>
      <x:c r="X52" s="46" t="str">
        <x:v>Frying uses corn oil and therefore includes a cooking-medium lipid overlay.</x:v>
      </x:c>
    </x:row>
    <x:row r="53" ht="26.399999618530273" hidden="0" customHeight="1">
      <x:c r="A53" s="46" t="str">
        <x:v>DSC-052</x:v>
      </x:c>
      <x:c r="B53" s="46" t="str">
        <x:v>bivalve:bay_scallop</x:v>
      </x:c>
      <x:c r="C53" s="46" t="str">
        <x:v>family:bivalve_mollusk</x:v>
      </x:c>
      <x:c r="D53" s="46" t="str">
        <x:v>scallop muscle</x:v>
      </x:c>
      <x:c r="E53" s="46" t="str">
        <x:v>SRC-SCALLOP-COOK-001</x:v>
      </x:c>
      <x:c r="F53" s="46" t="str">
        <x:v>Others</x:v>
      </x:c>
      <x:c r="G53" s="46" t="str">
        <x:v>Styrene</x:v>
      </x:c>
      <x:c r="H53" s="46" t="str">
        <x:v>Styrene</x:v>
      </x:c>
      <x:c r="I53" s="46"/>
      <x:c r="J53" s="46" t="str">
        <x:v>C100425</x:v>
      </x:c>
      <x:c r="K53" s="46" t="str">
        <x:v>C8H8</x:v>
      </x:c>
      <x:c r="L53" s="46" t="n">
        <x:v>881</x:v>
      </x:c>
      <x:c r="M53" s="46" t="n">
        <x:v>375.364</x:v>
      </x:c>
      <x:c r="N53" s="46" t="n">
        <x:v>1.41468</x:v>
      </x:c>
      <x:c r="O53" s="46" t="str">
        <x:v>C4-C9 n-ketone RI + GC×IMS library; monomer/dimer features preserved</x:v>
      </x:c>
      <x:c r="P53" s="46"/>
      <x:c r="Q53" s="46" t="str">
        <x:v>ri_rt_drift_reported_no_numeric_match_factor</x:v>
      </x:c>
      <x:c r="R53" s="46" t="n">
        <x:v>1723.65</x:v>
      </x:c>
      <x:c r="S53" s="46" t="n">
        <x:v>435.69</x:v>
      </x:c>
      <x:c r="T53" s="46" t="n">
        <x:v>425.91</x:v>
      </x:c>
      <x:c r="U53" s="46" t="n">
        <x:v>605.36</x:v>
      </x:c>
      <x:c r="V53" s="46" t="n">
        <x:v>354.22</x:v>
      </x:c>
      <x:c r="W53" s="46" t="str">
        <x:v>GC-IMS peak volume (a.u.)</x:v>
      </x:c>
      <x:c r="X53" s="46" t="str">
        <x:v>Frying uses corn oil and therefore includes a cooking-medium lipid overlay.</x:v>
      </x:c>
    </x:row>
    <x:row r="54" ht="26.399999618530273" hidden="0" customHeight="1">
      <x:c r="A54" s="46" t="str">
        <x:v>DSC-053</x:v>
      </x:c>
      <x:c r="B54" s="46" t="str">
        <x:v>bivalve:bay_scallop</x:v>
      </x:c>
      <x:c r="C54" s="46" t="str">
        <x:v>family:bivalve_mollusk</x:v>
      </x:c>
      <x:c r="D54" s="46" t="str">
        <x:v>scallop muscle</x:v>
      </x:c>
      <x:c r="E54" s="46" t="str">
        <x:v>SRC-SCALLOP-COOK-001</x:v>
      </x:c>
      <x:c r="F54" s="46" t="str">
        <x:v>Others</x:v>
      </x:c>
      <x:c r="G54" s="46" t="str">
        <x:v>Diallyl sulfide</x:v>
      </x:c>
      <x:c r="H54" s="46" t="str">
        <x:v>Diallyl sulfide</x:v>
      </x:c>
      <x:c r="I54" s="46"/>
      <x:c r="J54" s="46" t="str">
        <x:v>C592881</x:v>
      </x:c>
      <x:c r="K54" s="46" t="str">
        <x:v>C6H10S</x:v>
      </x:c>
      <x:c r="L54" s="46" t="n">
        <x:v>862.7</x:v>
      </x:c>
      <x:c r="M54" s="46" t="n">
        <x:v>354.041</x:v>
      </x:c>
      <x:c r="N54" s="46" t="n">
        <x:v>1.11647</x:v>
      </x:c>
      <x:c r="O54" s="46" t="str">
        <x:v>C4-C9 n-ketone RI + GC×IMS library; monomer/dimer features preserved</x:v>
      </x:c>
      <x:c r="P54" s="46"/>
      <x:c r="Q54" s="46" t="str">
        <x:v>ri_rt_drift_reported_no_numeric_match_factor</x:v>
      </x:c>
      <x:c r="R54" s="46" t="n">
        <x:v>375.31</x:v>
      </x:c>
      <x:c r="S54" s="46" t="n">
        <x:v>75.68</x:v>
      </x:c>
      <x:c r="T54" s="46" t="n">
        <x:v>214.94</x:v>
      </x:c>
      <x:c r="U54" s="46" t="n">
        <x:v>266.66</x:v>
      </x:c>
      <x:c r="V54" s="46" t="n">
        <x:v>56.41</x:v>
      </x:c>
      <x:c r="W54" s="46" t="str">
        <x:v>GC-IMS peak volume (a.u.)</x:v>
      </x:c>
      <x:c r="X54" s="46" t="str">
        <x:v>Frying uses corn oil and therefore includes a cooking-medium lipid overlay.</x:v>
      </x:c>
    </x:row>
    <x:row r="55" ht="26.399999618530273" hidden="0" customHeight="1">
      <x:c r="A55" s="46" t="str">
        <x:v>DSC-054</x:v>
      </x:c>
      <x:c r="B55" s="46" t="str">
        <x:v>bivalve:bay_scallop</x:v>
      </x:c>
      <x:c r="C55" s="46" t="str">
        <x:v>family:bivalve_mollusk</x:v>
      </x:c>
      <x:c r="D55" s="46" t="str">
        <x:v>scallop muscle</x:v>
      </x:c>
      <x:c r="E55" s="46" t="str">
        <x:v>SRC-SCALLOP-COOK-001</x:v>
      </x:c>
      <x:c r="F55" s="46" t="str">
        <x:v>Others</x:v>
      </x:c>
      <x:c r="G55" s="46" t="str">
        <x:v>Propylsulfide</x:v>
      </x:c>
      <x:c r="H55" s="46" t="str">
        <x:v>Propylsulfide</x:v>
      </x:c>
      <x:c r="I55" s="46"/>
      <x:c r="J55" s="46" t="str">
        <x:v>C111477</x:v>
      </x:c>
      <x:c r="K55" s="46" t="str">
        <x:v>C6H14S</x:v>
      </x:c>
      <x:c r="L55" s="46" t="n">
        <x:v>891.1</x:v>
      </x:c>
      <x:c r="M55" s="46" t="n">
        <x:v>387.109</x:v>
      </x:c>
      <x:c r="N55" s="46" t="n">
        <x:v>1.14974</x:v>
      </x:c>
      <x:c r="O55" s="46" t="str">
        <x:v>C4-C9 n-ketone RI + GC×IMS library; monomer/dimer features preserved</x:v>
      </x:c>
      <x:c r="P55" s="46"/>
      <x:c r="Q55" s="46" t="str">
        <x:v>ri_rt_drift_reported_no_numeric_match_factor</x:v>
      </x:c>
      <x:c r="R55" s="46" t="n">
        <x:v>349.82</x:v>
      </x:c>
      <x:c r="S55" s="46" t="n">
        <x:v>565.59</x:v>
      </x:c>
      <x:c r="T55" s="46" t="n">
        <x:v>1266.11</x:v>
      </x:c>
      <x:c r="U55" s="46" t="n">
        <x:v>434.59</x:v>
      </x:c>
      <x:c r="V55" s="46" t="n">
        <x:v>570.64</x:v>
      </x:c>
      <x:c r="W55" s="46" t="str">
        <x:v>GC-IMS peak volume (a.u.)</x:v>
      </x:c>
      <x:c r="X55" s="46" t="str">
        <x:v>Frying uses corn oil and therefore includes a cooking-medium lipid overlay.</x:v>
      </x:c>
    </x:row>
    <x:row r="56" ht="26.399999618530273" hidden="0" customHeight="1">
      <x:c r="A56" s="46" t="str">
        <x:v>DSC-055</x:v>
      </x:c>
      <x:c r="B56" s="46" t="str">
        <x:v>bivalve:bay_scallop</x:v>
      </x:c>
      <x:c r="C56" s="46" t="str">
        <x:v>family:bivalve_mollusk</x:v>
      </x:c>
      <x:c r="D56" s="46" t="str">
        <x:v>scallop muscle</x:v>
      </x:c>
      <x:c r="E56" s="46" t="str">
        <x:v>SRC-SCALLOP-COOK-001</x:v>
      </x:c>
      <x:c r="F56" s="46" t="str">
        <x:v>Others</x:v>
      </x:c>
      <x:c r="G56" s="46" t="str">
        <x:v>2-Butoxyethanol</x:v>
      </x:c>
      <x:c r="H56" s="46" t="str">
        <x:v>2-Butoxyethanol</x:v>
      </x:c>
      <x:c r="I56" s="46"/>
      <x:c r="J56" s="46" t="str">
        <x:v>C111762</x:v>
      </x:c>
      <x:c r="K56" s="46" t="str">
        <x:v>C6H14O2</x:v>
      </x:c>
      <x:c r="L56" s="46" t="n">
        <x:v>896.4</x:v>
      </x:c>
      <x:c r="M56" s="46" t="n">
        <x:v>396.148</x:v>
      </x:c>
      <x:c r="N56" s="46" t="n">
        <x:v>1.21184</x:v>
      </x:c>
      <x:c r="O56" s="46" t="str">
        <x:v>C4-C9 n-ketone RI + GC×IMS library; monomer/dimer features preserved</x:v>
      </x:c>
      <x:c r="P56" s="46"/>
      <x:c r="Q56" s="46" t="str">
        <x:v>ri_rt_drift_reported_no_numeric_match_factor</x:v>
      </x:c>
      <x:c r="R56" s="46" t="n">
        <x:v>217.05</x:v>
      </x:c>
      <x:c r="S56" s="46" t="n">
        <x:v>226.11</x:v>
      </x:c>
      <x:c r="T56" s="46" t="n">
        <x:v>317.04</x:v>
      </x:c>
      <x:c r="U56" s="46" t="n">
        <x:v>375.6</x:v>
      </x:c>
      <x:c r="V56" s="46" t="n">
        <x:v>429.36</x:v>
      </x:c>
      <x:c r="W56" s="46" t="str">
        <x:v>GC-IMS peak volume (a.u.)</x:v>
      </x:c>
      <x:c r="X56" s="46" t="str">
        <x:v>Frying uses corn oil and therefore includes a cooking-medium lipid overlay.</x:v>
      </x:c>
    </x:row>
    <x:row r="57" ht="26.399999618530273" hidden="0" customHeight="1">
      <x:c r="A57" s="46" t="str">
        <x:v>DSC-056</x:v>
      </x:c>
      <x:c r="B57" s="46" t="str">
        <x:v>bivalve:bay_scallop</x:v>
      </x:c>
      <x:c r="C57" s="46" t="str">
        <x:v>family:bivalve_mollusk</x:v>
      </x:c>
      <x:c r="D57" s="46" t="str">
        <x:v>scallop muscle</x:v>
      </x:c>
      <x:c r="E57" s="46" t="str">
        <x:v>SRC-SCALLOP-COOK-001</x:v>
      </x:c>
      <x:c r="F57" s="46" t="str">
        <x:v>Others</x:v>
      </x:c>
      <x:c r="G57" s="46" t="str">
        <x:v>3-Butenenitrile</x:v>
      </x:c>
      <x:c r="H57" s="46" t="str">
        <x:v>3-Butenenitrile</x:v>
      </x:c>
      <x:c r="I57" s="46"/>
      <x:c r="J57" s="46" t="str">
        <x:v>C109751</x:v>
      </x:c>
      <x:c r="K57" s="46" t="str">
        <x:v>C4H5N</x:v>
      </x:c>
      <x:c r="L57" s="46" t="n">
        <x:v>643.3</x:v>
      </x:c>
      <x:c r="M57" s="46" t="n">
        <x:v>164.697</x:v>
      </x:c>
      <x:c r="N57" s="46" t="n">
        <x:v>1.25904</x:v>
      </x:c>
      <x:c r="O57" s="46" t="str">
        <x:v>C4-C9 n-ketone RI + GC×IMS library; monomer/dimer features preserved</x:v>
      </x:c>
      <x:c r="P57" s="46"/>
      <x:c r="Q57" s="46" t="str">
        <x:v>ri_rt_drift_reported_no_numeric_match_factor</x:v>
      </x:c>
      <x:c r="R57" s="46" t="n">
        <x:v>307.53</x:v>
      </x:c>
      <x:c r="S57" s="46" t="n">
        <x:v>492.47</x:v>
      </x:c>
      <x:c r="T57" s="46" t="n">
        <x:v>1340.36</x:v>
      </x:c>
      <x:c r="U57" s="46" t="n">
        <x:v>1240.22</x:v>
      </x:c>
      <x:c r="V57" s="46" t="n">
        <x:v>407.97</x:v>
      </x:c>
      <x:c r="W57" s="46" t="str">
        <x:v>GC-IMS peak volume (a.u.)</x:v>
      </x:c>
      <x:c r="X57" s="46" t="str">
        <x:v>Frying uses corn oil and therefore includes a cooking-medium lipid overlay.</x:v>
      </x:c>
    </x:row>
    <x:row r="58" ht="26.399999618530273" hidden="0" customHeight="1">
      <x:c r="A58" s="46" t="str">
        <x:v>DSC-057</x:v>
      </x:c>
      <x:c r="B58" s="46" t="str">
        <x:v>bivalve:bay_scallop</x:v>
      </x:c>
      <x:c r="C58" s="46" t="str">
        <x:v>family:bivalve_mollusk</x:v>
      </x:c>
      <x:c r="D58" s="46" t="str">
        <x:v>scallop muscle</x:v>
      </x:c>
      <x:c r="E58" s="46" t="str">
        <x:v>SRC-SCALLOP-COOK-001</x:v>
      </x:c>
      <x:c r="F58" s="46" t="str">
        <x:v>Others</x:v>
      </x:c>
      <x:c r="G58" s="46" t="str">
        <x:v>N-nitrosodiethylamine</x:v>
      </x:c>
      <x:c r="H58" s="46" t="str">
        <x:v>N-nitrosodiethylamine</x:v>
      </x:c>
      <x:c r="I58" s="46"/>
      <x:c r="J58" s="46" t="str">
        <x:v>C55185</x:v>
      </x:c>
      <x:c r="K58" s="46" t="str">
        <x:v>C4H10N2O</x:v>
      </x:c>
      <x:c r="L58" s="46" t="n">
        <x:v>894</x:v>
      </x:c>
      <x:c r="M58" s="46" t="n">
        <x:v>391.749</x:v>
      </x:c>
      <x:c r="N58" s="46" t="n">
        <x:v>1.53126</x:v>
      </x:c>
      <x:c r="O58" s="46" t="str">
        <x:v>C4-C9 n-ketone RI + GC×IMS library; monomer/dimer features preserved</x:v>
      </x:c>
      <x:c r="P58" s="46"/>
      <x:c r="Q58" s="46" t="str">
        <x:v>ri_rt_drift_reported_no_numeric_match_factor</x:v>
      </x:c>
      <x:c r="R58" s="46" t="n">
        <x:v>179.82</x:v>
      </x:c>
      <x:c r="S58" s="46" t="n">
        <x:v>99.23</x:v>
      </x:c>
      <x:c r="T58" s="46" t="n">
        <x:v>124.26</x:v>
      </x:c>
      <x:c r="U58" s="46" t="n">
        <x:v>266.18</x:v>
      </x:c>
      <x:c r="V58" s="46" t="n">
        <x:v>187.48</x:v>
      </x:c>
      <x:c r="W58" s="46" t="str">
        <x:v>GC-IMS peak volume (a.u.)</x:v>
      </x:c>
      <x:c r="X58" s="46" t="str">
        <x:v>Frying uses corn oil and therefore includes a cooking-medium lipid overlay.</x:v>
      </x:c>
    </x:row>
    <x:row r="59" ht="26.399999618530273" hidden="0" customHeight="1">
      <x:c r="A59" s="46" t="str">
        <x:v>DSC-058</x:v>
      </x:c>
      <x:c r="B59" s="46" t="str">
        <x:v>bivalve:bay_scallop</x:v>
      </x:c>
      <x:c r="C59" s="46" t="str">
        <x:v>family:bivalve_mollusk</x:v>
      </x:c>
      <x:c r="D59" s="46" t="str">
        <x:v>scallop muscle</x:v>
      </x:c>
      <x:c r="E59" s="46" t="str">
        <x:v>SRC-SCALLOP-COOK-001</x:v>
      </x:c>
      <x:c r="F59" s="46" t="str">
        <x:v>Others</x:v>
      </x:c>
      <x:c r="G59" s="46" t="str">
        <x:v>2-Pentyl furan</x:v>
      </x:c>
      <x:c r="H59" s="46" t="str">
        <x:v>2-Pentyl furan</x:v>
      </x:c>
      <x:c r="I59" s="46"/>
      <x:c r="J59" s="46" t="str">
        <x:v>C3777693</x:v>
      </x:c>
      <x:c r="K59" s="46" t="str">
        <x:v>C9H14O</x:v>
      </x:c>
      <x:c r="L59" s="46" t="n">
        <x:v>983.8</x:v>
      </x:c>
      <x:c r="M59" s="46" t="n">
        <x:v>557.568</x:v>
      </x:c>
      <x:c r="N59" s="46" t="n">
        <x:v>1.2612</x:v>
      </x:c>
      <x:c r="O59" s="46" t="str">
        <x:v>C4-C9 n-ketone RI + GC×IMS library; monomer/dimer features preserved</x:v>
      </x:c>
      <x:c r="P59" s="46"/>
      <x:c r="Q59" s="46" t="str">
        <x:v>ri_rt_drift_reported_no_numeric_match_factor</x:v>
      </x:c>
      <x:c r="R59" s="46" t="n">
        <x:v>137.25</x:v>
      </x:c>
      <x:c r="S59" s="46" t="n">
        <x:v>138.1</x:v>
      </x:c>
      <x:c r="T59" s="46" t="n">
        <x:v>151.58</x:v>
      </x:c>
      <x:c r="U59" s="46" t="n">
        <x:v>557.24</x:v>
      </x:c>
      <x:c r="V59" s="46" t="n">
        <x:v>160.59</x:v>
      </x:c>
      <x:c r="W59" s="46" t="str">
        <x:v>GC-IMS peak volume (a.u.)</x:v>
      </x:c>
      <x:c r="X59" s="46" t="str">
        <x:v>Frying uses corn oil and therefore includes a cooking-medium lipid overlay.</x:v>
      </x:c>
    </x:row>
    <x:row r="60" ht="26.399999618530273" hidden="0" customHeight="1">
      <x:c r="A60" s="46" t="str">
        <x:v>DSC-059</x:v>
      </x:c>
      <x:c r="B60" s="46" t="str">
        <x:v>bivalve:bay_scallop</x:v>
      </x:c>
      <x:c r="C60" s="46" t="str">
        <x:v>family:bivalve_mollusk</x:v>
      </x:c>
      <x:c r="D60" s="46" t="str">
        <x:v>scallop muscle</x:v>
      </x:c>
      <x:c r="E60" s="46" t="str">
        <x:v>SRC-SCALLOP-COOK-001</x:v>
      </x:c>
      <x:c r="F60" s="46" t="str">
        <x:v>Others</x:v>
      </x:c>
      <x:c r="G60" s="46" t="str">
        <x:v>2-Methyl-3-(methylthio) furan</x:v>
      </x:c>
      <x:c r="H60" s="46" t="str">
        <x:v>2-Methyl-3-(methylthio) furan</x:v>
      </x:c>
      <x:c r="I60" s="46"/>
      <x:c r="J60" s="46" t="str">
        <x:v>C63012975</x:v>
      </x:c>
      <x:c r="K60" s="46" t="str">
        <x:v>C6H8OS</x:v>
      </x:c>
      <x:c r="L60" s="46" t="n">
        <x:v>946</x:v>
      </x:c>
      <x:c r="M60" s="46" t="n">
        <x:v>487.809</x:v>
      </x:c>
      <x:c r="N60" s="46" t="n">
        <x:v>1.15364</x:v>
      </x:c>
      <x:c r="O60" s="46" t="str">
        <x:v>C4-C9 n-ketone RI + GC×IMS library; monomer/dimer features preserved</x:v>
      </x:c>
      <x:c r="P60" s="46"/>
      <x:c r="Q60" s="46" t="str">
        <x:v>ri_rt_drift_reported_no_numeric_match_factor</x:v>
      </x:c>
      <x:c r="R60" s="46" t="n">
        <x:v>125.04</x:v>
      </x:c>
      <x:c r="S60" s="46" t="n">
        <x:v>110.25</x:v>
      </x:c>
      <x:c r="T60" s="46" t="n">
        <x:v>215.2</x:v>
      </x:c>
      <x:c r="U60" s="46" t="n">
        <x:v>117.54</x:v>
      </x:c>
      <x:c r="V60" s="46" t="n">
        <x:v>177.24</x:v>
      </x:c>
      <x:c r="W60" s="46" t="str">
        <x:v>GC-IMS peak volume (a.u.)</x:v>
      </x:c>
      <x:c r="X60" s="46" t="str">
        <x:v>Frying uses corn oil and therefore includes a cooking-medium lipid overlay.</x:v>
      </x:c>
    </x:row>
  </x:sheetData>
  <x:pageMargins left="0.7" right="0.7" top="0.75" bottom="0.75" header="0.3" footer="0.3"/>
  <x:tableParts count="1">
    <x:tablePart xmlns:r="http://schemas.openxmlformats.org/officeDocument/2006/relationships" r:id="Rabd4ba30dcaf431a"/>
  </x:tableParts>
</x:worksheet>
</file>

<file path=xl/worksheets/sheet78.xml><?xml version="1.0" encoding="utf-8"?>
<x:worksheet xmlns:x="http://schemas.openxmlformats.org/spreadsheetml/2006/main">
  <x:sheetFormatPr defaultRowHeight="15"/>
  <x:cols>
    <x:col min="1" max="1" width="14" hidden="0" customWidth="1"/>
    <x:col min="2" max="2" width="22" hidden="0" customWidth="1"/>
    <x:col min="3" max="3" width="24" hidden="0" customWidth="1"/>
    <x:col min="4" max="4" width="46" hidden="0" customWidth="1"/>
    <x:col min="5" max="5" width="72" hidden="0" customWidth="1"/>
    <x:col min="6" max="6" width="58" hidden="0" customWidth="1"/>
    <x:col min="7" max="7" width="82" hidden="0" customWidth="1"/>
    <x:col min="8" max="8" width="30" hidden="0" customWidth="1"/>
  </x:cols>
  <x:sheetData>
    <x:row r="1" ht="15" hidden="0" customHeight="1">
      <x:c r="A1" s="201" t="str">
        <x:v>scope_id</x:v>
      </x:c>
      <x:c r="B1" s="201" t="str">
        <x:v>member_or_cluster</x:v>
      </x:c>
      <x:c r="C1" s="201" t="str">
        <x:v>family_parent</x:v>
      </x:c>
      <x:c r="D1" s="201" t="str">
        <x:v>legacy_file_basis</x:v>
      </x:c>
      <x:c r="E1" s="201" t="str">
        <x:v>legacy_compound_leads</x:v>
      </x:c>
      <x:c r="F1" s="201" t="str">
        <x:v>legacy_pairing_example</x:v>
      </x:c>
      <x:c r="G1" s="201" t="str">
        <x:v>migration_interpretation</x:v>
      </x:c>
      <x:c r="H1" s="201" t="str">
        <x:v>evidence_status</x:v>
      </x:c>
    </x:row>
    <x:row r="2" ht="26.399999618530273" hidden="0" customHeight="1">
      <x:c r="A2" s="46" t="str">
        <x:v>SHL-001</x:v>
      </x:c>
      <x:c r="B2" s="46" t="str">
        <x:v>shrimp</x:v>
      </x:c>
      <x:c r="C2" s="46" t="str">
        <x:v>family:crustacean</x:v>
      </x:c>
      <x:c r="D2" s="46" t="str">
        <x:v>Pairings- Crustacean.xlsx — SHRIMP section</x:v>
      </x:c>
      <x:c r="E2" s="46" t="str">
        <x:v>trans-3,5-dimethyl-1,2,4-trithiolane; N,N-dimethylformamide; γ-nonalactone; 2-methylpyridine; pentanal; 4-methylphenol</x:v>
      </x:c>
      <x:c r="F2" s="46" t="str">
        <x:v>Shrimp + Lamb → γ-nonalactone</x:v>
      </x:c>
      <x:c r="G2" s="46" t="str">
        <x:v>Member-specific search leads only. Pairing examples remain regression/output evidence and do not establish shrimp membership.</x:v>
      </x:c>
      <x:c r="H2" s="46" t="str">
        <x:v>legacy_unverified</x:v>
      </x:c>
    </x:row>
    <x:row r="3" ht="26.399999618530273" hidden="0" customHeight="1">
      <x:c r="A3" s="46" t="str">
        <x:v>SHL-002</x:v>
      </x:c>
      <x:c r="B3" s="46" t="str">
        <x:v>crab</x:v>
      </x:c>
      <x:c r="C3" s="46" t="str">
        <x:v>family:crustacean</x:v>
      </x:c>
      <x:c r="D3" s="46" t="str">
        <x:v>Pairings- Crustacean.xlsx — CRAB section</x:v>
      </x:c>
      <x:c r="E3" s="46" t="str">
        <x:v>2,4-dithiapentane; m-xylene; 1,2,4-trimethylbenzene; 2-ethyl-1-hexanol; phenethyl alcohol; palmitic acid; 2-acetylpyrrole; 2-ethylfuran</x:v>
      </x:c>
      <x:c r="F3" s="46" t="str">
        <x:v>Crab + Cherry → 2-ethyl-1-hexanol</x:v>
      </x:c>
      <x:c r="G3" s="46" t="str">
        <x:v>Member-specific search leads only; modern crab muscle data governs current membership.</x:v>
      </x:c>
      <x:c r="H3" s="46" t="str">
        <x:v>legacy_unverified</x:v>
      </x:c>
    </x:row>
    <x:row r="4" ht="26.399999618530273" hidden="0" customHeight="1">
      <x:c r="A4" s="46" t="str">
        <x:v>SHL-003</x:v>
      </x:c>
      <x:c r="B4" s="46" t="str">
        <x:v>lobster / crayfish</x:v>
      </x:c>
      <x:c r="C4" s="46" t="str">
        <x:v>family:crustacean</x:v>
      </x:c>
      <x:c r="D4" s="46" t="str">
        <x:v>Pairings- Crustacean.xlsx — CRAYFISH section + Ing Pairings lobster example</x:v>
      </x:c>
      <x:c r="E4" s="46" t="str">
        <x:v>phenol; thiazole; trimethylpyrazine; acetophenone; 2,3-pentanedione</x:v>
      </x:c>
      <x:c r="F4" s="46" t="str">
        <x:v>Crayfish + Pumpkin → 2,3-pentanedione; Lobster + Beef → 2,4-dithiapentane</x:v>
      </x:c>
      <x:c r="G4" s="46" t="str">
        <x:v>Crayfish and lobster are separate measured members; paired here only as a targeted coverage cluster. No automatic row inheritance.</x:v>
      </x:c>
      <x:c r="H4" s="46" t="str">
        <x:v>legacy_unverified</x:v>
      </x:c>
    </x:row>
    <x:row r="5" ht="26.399999618530273" hidden="0" customHeight="1">
      <x:c r="A5" s="46" t="str">
        <x:v>SHL-004</x:v>
      </x:c>
      <x:c r="B5" s="46" t="str">
        <x:v>scallop</x:v>
      </x:c>
      <x:c r="C5" s="46" t="str">
        <x:v>family:bivalve_mollusk</x:v>
      </x:c>
      <x:c r="D5" s="46" t="str">
        <x:v>Pairings- Mollusks.xlsx generic mollusk pool + Ing Pairings- Mollusks.xlsx</x:v>
      </x:c>
      <x:c r="E5" s="46" t="str">
        <x:v>acetaldehyde; dimethylamine; 2-acetyl-5-methylfuran; tetramethylpyrazine</x:v>
      </x:c>
      <x:c r="F5" s="46" t="str">
        <x:v>Scallop + Asparagus → acetaldehyde</x:v>
      </x:c>
      <x:c r="G5" s="46" t="str">
        <x:v>Generic mollusk pool is only a search lead. Scallop now has a direct 48-VOC / 59-feature raw-to-cooked table.</x:v>
      </x:c>
      <x:c r="H5" s="46" t="str">
        <x:v>direct_member_supersedes_generic_lead</x:v>
      </x:c>
    </x:row>
    <x:row r="6" ht="26.399999618530273" hidden="0" customHeight="1">
      <x:c r="A6" s="46" t="str">
        <x:v>SHL-005</x:v>
      </x:c>
      <x:c r="B6" s="46" t="str">
        <x:v>clam / mussel</x:v>
      </x:c>
      <x:c r="C6" s="46" t="str">
        <x:v>family:bivalve_mollusk</x:v>
      </x:c>
      <x:c r="D6" s="46" t="str">
        <x:v>Pairings- Mollusks.xlsx generic mollusk pool + Ing Pairings- Mollusks.xlsx</x:v>
      </x:c>
      <x:c r="E6" s="46" t="str">
        <x:v>acetaldehyde; dimethylamine; 2-acetyl-5-methylfuran; tetramethylpyrazine</x:v>
      </x:c>
      <x:c r="F6" s="46" t="str">
        <x:v>Clam + Cauliflower → dimethylamine; Mussels + Vanilla → benzene / methyl dodecanoate</x:v>
      </x:c>
      <x:c r="G6" s="46" t="str">
        <x:v>Clam and mussel are separate measured members; paired only for targeted coverage. Generic mollusk legacy compounds are not auto-inherited.</x:v>
      </x:c>
      <x:c r="H6" s="46" t="str">
        <x:v>legacy_unverified</x:v>
      </x:c>
    </x:row>
  </x:sheetData>
  <x:pageMargins left="0.7" right="0.7" top="0.75" bottom="0.75" header="0.3" footer="0.3"/>
  <x:tableParts count="1">
    <x:tablePart xmlns:r="http://schemas.openxmlformats.org/officeDocument/2006/relationships" r:id="R0b58715342894825"/>
  </x:tableParts>
</x:worksheet>
</file>

<file path=xl/worksheets/sheet79.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6" hidden="0" customWidth="1"/>
    <x:col min="5" max="5" width="28" hidden="0" customWidth="1"/>
    <x:col min="6" max="6" width="18" hidden="0" customWidth="1"/>
    <x:col min="7" max="7" width="28" hidden="0" customWidth="1"/>
    <x:col min="8" max="8" width="46" hidden="0" customWidth="1"/>
    <x:col min="9" max="9" width="20" hidden="0" customWidth="1"/>
    <x:col min="10" max="10" width="16" hidden="0" customWidth="1"/>
    <x:col min="11" max="11" width="32"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4" hidden="0" customWidth="1"/>
    <x:col min="20" max="20" width="70" hidden="0" customWidth="1"/>
  </x:cols>
  <x:sheetData>
    <x:row r="1" ht="15" hidden="0" customHeight="1">
      <x:c r="A1" s="201" t="str">
        <x:v>record_id</x:v>
      </x:c>
      <x:c r="B1" s="201" t="str">
        <x:v>product_id</x:v>
      </x:c>
      <x:c r="C1" s="201" t="str">
        <x:v>family_id</x:v>
      </x:c>
      <x:c r="D1" s="201" t="str">
        <x:v>state_scope</x:v>
      </x:c>
      <x:c r="E1" s="201" t="str">
        <x:v>source_id</x:v>
      </x:c>
      <x:c r="F1" s="201" t="str">
        <x:v>compound_group</x:v>
      </x:c>
      <x:c r="G1" s="201" t="str">
        <x:v>compound_name</x:v>
      </x:c>
      <x:c r="H1" s="201" t="str">
        <x:v>identification_method</x:v>
      </x:c>
      <x:c r="I1" s="201" t="str">
        <x:v>source_match_floor_pct</x:v>
      </x:c>
      <x:c r="J1" s="201" t="str">
        <x:v>retention_index</x:v>
      </x:c>
      <x:c r="K1" s="201" t="str">
        <x:v>mr09_status</x:v>
      </x:c>
      <x:c r="L1" s="201" t="str">
        <x:v>raw_ng_g</x:v>
      </x:c>
      <x:c r="M1" s="201" t="str">
        <x:v>cooked_ng_g</x:v>
      </x:c>
      <x:c r="N1" s="201" t="str">
        <x:v>water_ng_g</x:v>
      </x:c>
      <x:c r="O1" s="201" t="str">
        <x:v>raw_OAV</x:v>
      </x:c>
      <x:c r="P1" s="201" t="str">
        <x:v>cooked_OAV</x:v>
      </x:c>
      <x:c r="Q1" s="201" t="str">
        <x:v>water_OAV</x:v>
      </x:c>
      <x:c r="R1" s="201" t="str">
        <x:v>unit</x:v>
      </x:c>
      <x:c r="S1" s="201" t="str">
        <x:v>descriptor</x:v>
      </x:c>
      <x:c r="T1" s="201" t="str">
        <x:v>notes</x:v>
      </x:c>
    </x:row>
    <x:row r="2" ht="26.399999618530273" hidden="0" customHeight="1">
      <x:c r="A2" s="46" t="str">
        <x:v>DSH-001</x:v>
      </x:c>
      <x:c r="B2" s="46" t="str">
        <x:v>crustacean:shrimp</x:v>
      </x:c>
      <x:c r="C2" s="46" t="str">
        <x:v>family:crustacean</x:v>
      </x:c>
      <x:c r="D2" s="46" t="str">
        <x:v>raw / cooked / cooking water</x:v>
      </x:c>
      <x:c r="E2" s="46" t="str">
        <x:v>SRC-SHRIMP-OAV-001</x:v>
      </x:c>
      <x:c r="F2" s="46" t="str">
        <x:v>Alcohol</x:v>
      </x:c>
      <x:c r="G2" s="46" t="str">
        <x:v>2-ethyl-1-hexanol</x:v>
      </x:c>
      <x:c r="H2" s="46" t="str">
        <x:v>NIST + WILEY libraries; source match quality &gt;80%</x:v>
      </x:c>
      <x:c r="I2" s="46" t="n">
        <x:v>80</x:v>
      </x:c>
      <x:c r="J2" s="46"/>
      <x:c r="K2" s="46" t="str">
        <x:v>source-wide minimum match quality</x:v>
      </x:c>
      <x:c r="L2" s="46" t="n">
        <x:v>44.92</x:v>
      </x:c>
      <x:c r="M2" s="46" t="n">
        <x:v>5.98</x:v>
      </x:c>
      <x:c r="N2" s="46" t="n">
        <x:v>4.37</x:v>
      </x:c>
      <x:c r="O2" s="46" t="str">
        <x:v>&lt;1</x:v>
      </x:c>
      <x:c r="P2" s="46" t="str">
        <x:v>&lt;1</x:v>
      </x:c>
      <x:c r="Q2" s="46" t="str">
        <x:v>&lt;1</x:v>
      </x:c>
      <x:c r="R2" s="46" t="str">
        <x:v>ng/g</x:v>
      </x:c>
      <x:c r="S2" s="46" t="str">
        <x:v>rose and green</x:v>
      </x:c>
      <x:c r="T2" s="46" t="str">
        <x:v>Six compounds are the source's odor-descriptor/OAV subset; the study primarily identified 21 shrimp compounds.</x:v>
      </x:c>
    </x:row>
    <x:row r="3" ht="26.399999618530273" hidden="0" customHeight="1">
      <x:c r="A3" s="46" t="str">
        <x:v>DSH-002</x:v>
      </x:c>
      <x:c r="B3" s="46" t="str">
        <x:v>crustacean:shrimp</x:v>
      </x:c>
      <x:c r="C3" s="46" t="str">
        <x:v>family:crustacean</x:v>
      </x:c>
      <x:c r="D3" s="46" t="str">
        <x:v>raw / cooked / cooking water</x:v>
      </x:c>
      <x:c r="E3" s="46" t="str">
        <x:v>SRC-SHRIMP-OAV-001</x:v>
      </x:c>
      <x:c r="F3" s="46" t="str">
        <x:v>Aldehyde</x:v>
      </x:c>
      <x:c r="G3" s="46" t="str">
        <x:v>Nonanal</x:v>
      </x:c>
      <x:c r="H3" s="46" t="str">
        <x:v>NIST + WILEY libraries; source match quality &gt;80%</x:v>
      </x:c>
      <x:c r="I3" s="46" t="n">
        <x:v>80</x:v>
      </x:c>
      <x:c r="J3" s="46"/>
      <x:c r="K3" s="46" t="str">
        <x:v>source-wide minimum match quality</x:v>
      </x:c>
      <x:c r="L3" s="46" t="n">
        <x:v>18.52</x:v>
      </x:c>
      <x:c r="M3" s="46" t="n">
        <x:v>32.82</x:v>
      </x:c>
      <x:c r="N3" s="46" t="n">
        <x:v>55.05</x:v>
      </x:c>
      <x:c r="O3" s="46" t="str">
        <x:v>16.83</x:v>
      </x:c>
      <x:c r="P3" s="46" t="str">
        <x:v>29.84</x:v>
      </x:c>
      <x:c r="Q3" s="46" t="str">
        <x:v>50.04</x:v>
      </x:c>
      <x:c r="R3" s="46" t="str">
        <x:v>ng/g</x:v>
      </x:c>
      <x:c r="S3" s="46" t="str">
        <x:v>fat, citrus and green</x:v>
      </x:c>
      <x:c r="T3" s="46" t="str">
        <x:v>Six compounds are the source's odor-descriptor/OAV subset; the study primarily identified 21 shrimp compounds.</x:v>
      </x:c>
    </x:row>
    <x:row r="4" ht="26.399999618530273" hidden="0" customHeight="1">
      <x:c r="A4" s="46" t="str">
        <x:v>DSH-003</x:v>
      </x:c>
      <x:c r="B4" s="46" t="str">
        <x:v>crustacean:shrimp</x:v>
      </x:c>
      <x:c r="C4" s="46" t="str">
        <x:v>family:crustacean</x:v>
      </x:c>
      <x:c r="D4" s="46" t="str">
        <x:v>raw / cooked / cooking water</x:v>
      </x:c>
      <x:c r="E4" s="46" t="str">
        <x:v>SRC-SHRIMP-OAV-001</x:v>
      </x:c>
      <x:c r="F4" s="46" t="str">
        <x:v>Aldehyde</x:v>
      </x:c>
      <x:c r="G4" s="46" t="str">
        <x:v>Decanal</x:v>
      </x:c>
      <x:c r="H4" s="46" t="str">
        <x:v>NIST + WILEY libraries; source match quality &gt;80%</x:v>
      </x:c>
      <x:c r="I4" s="46" t="n">
        <x:v>80</x:v>
      </x:c>
      <x:c r="J4" s="46"/>
      <x:c r="K4" s="46" t="str">
        <x:v>source-wide minimum match quality</x:v>
      </x:c>
      <x:c r="L4" s="46" t="n">
        <x:v>6.22</x:v>
      </x:c>
      <x:c r="M4" s="46" t="n">
        <x:v>0</x:v>
      </x:c>
      <x:c r="N4" s="46" t="n">
        <x:v>12.41</x:v>
      </x:c>
      <x:c r="O4" s="46" t="str">
        <x:v>&lt;1</x:v>
      </x:c>
      <x:c r="P4" s="46" t="str">
        <x:v>&lt;1</x:v>
      </x:c>
      <x:c r="Q4" s="46" t="str">
        <x:v>&lt;1</x:v>
      </x:c>
      <x:c r="R4" s="46" t="str">
        <x:v>ng/g</x:v>
      </x:c>
      <x:c r="S4" s="46" t="str">
        <x:v>soap, orange peel and tallow</x:v>
      </x:c>
      <x:c r="T4" s="46" t="str">
        <x:v>Six compounds are the source's odor-descriptor/OAV subset; the study primarily identified 21 shrimp compounds.</x:v>
      </x:c>
    </x:row>
    <x:row r="5" ht="26.399999618530273" hidden="0" customHeight="1">
      <x:c r="A5" s="46" t="str">
        <x:v>DSH-004</x:v>
      </x:c>
      <x:c r="B5" s="46" t="str">
        <x:v>crustacean:shrimp</x:v>
      </x:c>
      <x:c r="C5" s="46" t="str">
        <x:v>family:crustacean</x:v>
      </x:c>
      <x:c r="D5" s="46" t="str">
        <x:v>raw / cooked / cooking water</x:v>
      </x:c>
      <x:c r="E5" s="46" t="str">
        <x:v>SRC-SHRIMP-OAV-001</x:v>
      </x:c>
      <x:c r="F5" s="46" t="str">
        <x:v>Aromatic</x:v>
      </x:c>
      <x:c r="G5" s="46" t="str">
        <x:v>Ethylbenzene</x:v>
      </x:c>
      <x:c r="H5" s="46" t="str">
        <x:v>NIST + WILEY libraries; source match quality &gt;80%</x:v>
      </x:c>
      <x:c r="I5" s="46" t="n">
        <x:v>80</x:v>
      </x:c>
      <x:c r="J5" s="46"/>
      <x:c r="K5" s="46" t="str">
        <x:v>source-wide minimum match quality</x:v>
      </x:c>
      <x:c r="L5" s="46" t="n">
        <x:v>269.15</x:v>
      </x:c>
      <x:c r="M5" s="46" t="n">
        <x:v>551.7</x:v>
      </x:c>
      <x:c r="N5" s="46"/>
      <x:c r="O5" s="46" t="str">
        <x:v>&lt;1</x:v>
      </x:c>
      <x:c r="P5" s="46" t="str">
        <x:v>&lt;1</x:v>
      </x:c>
      <x:c r="Q5" s="46"/>
      <x:c r="R5" s="46" t="str">
        <x:v>ng/g</x:v>
      </x:c>
      <x:c r="S5" s="46" t="str">
        <x:v>phenol and spice</x:v>
      </x:c>
      <x:c r="T5" s="46" t="str">
        <x:v>Six compounds are the source's odor-descriptor/OAV subset; the study primarily identified 21 shrimp compounds.</x:v>
      </x:c>
    </x:row>
    <x:row r="6" ht="26.399999618530273" hidden="0" customHeight="1">
      <x:c r="A6" s="46" t="str">
        <x:v>DSH-005</x:v>
      </x:c>
      <x:c r="B6" s="46" t="str">
        <x:v>crustacean:shrimp</x:v>
      </x:c>
      <x:c r="C6" s="46" t="str">
        <x:v>family:crustacean</x:v>
      </x:c>
      <x:c r="D6" s="46" t="str">
        <x:v>raw / cooked / cooking water</x:v>
      </x:c>
      <x:c r="E6" s="46" t="str">
        <x:v>SRC-SHRIMP-OAV-001</x:v>
      </x:c>
      <x:c r="F6" s="46" t="str">
        <x:v>Ester</x:v>
      </x:c>
      <x:c r="G6" s="46" t="str">
        <x:v>Butyl acetate</x:v>
      </x:c>
      <x:c r="H6" s="46" t="str">
        <x:v>NIST + WILEY libraries; source match quality &gt;80%</x:v>
      </x:c>
      <x:c r="I6" s="46" t="n">
        <x:v>80</x:v>
      </x:c>
      <x:c r="J6" s="46"/>
      <x:c r="K6" s="46" t="str">
        <x:v>source-wide minimum match quality</x:v>
      </x:c>
      <x:c r="L6" s="46" t="n">
        <x:v>123.67</x:v>
      </x:c>
      <x:c r="M6" s="46" t="n">
        <x:v>358.55</x:v>
      </x:c>
      <x:c r="N6" s="46"/>
      <x:c r="O6" s="46" t="str">
        <x:v>ND</x:v>
      </x:c>
      <x:c r="P6" s="46" t="str">
        <x:v>ND</x:v>
      </x:c>
      <x:c r="Q6" s="46"/>
      <x:c r="R6" s="46" t="str">
        <x:v>ng/g</x:v>
      </x:c>
      <x:c r="S6" s="46" t="str">
        <x:v>pear</x:v>
      </x:c>
      <x:c r="T6" s="46" t="str">
        <x:v>Six compounds are the source's odor-descriptor/OAV subset; the study primarily identified 21 shrimp compounds.</x:v>
      </x:c>
    </x:row>
    <x:row r="7" ht="26.399999618530273" hidden="0" customHeight="1">
      <x:c r="A7" s="46" t="str">
        <x:v>DSH-006</x:v>
      </x:c>
      <x:c r="B7" s="46" t="str">
        <x:v>crustacean:shrimp</x:v>
      </x:c>
      <x:c r="C7" s="46" t="str">
        <x:v>family:crustacean</x:v>
      </x:c>
      <x:c r="D7" s="46" t="str">
        <x:v>raw / cooked / cooking water</x:v>
      </x:c>
      <x:c r="E7" s="46" t="str">
        <x:v>SRC-SHRIMP-OAV-001</x:v>
      </x:c>
      <x:c r="F7" s="46" t="str">
        <x:v>Ketone</x:v>
      </x:c>
      <x:c r="G7" s="46" t="str">
        <x:v>3,5-octadien-2-one</x:v>
      </x:c>
      <x:c r="H7" s="46" t="str">
        <x:v>NIST + WILEY libraries; source match quality &gt;80%</x:v>
      </x:c>
      <x:c r="I7" s="46" t="n">
        <x:v>80</x:v>
      </x:c>
      <x:c r="J7" s="46"/>
      <x:c r="K7" s="46" t="str">
        <x:v>source-wide minimum match quality</x:v>
      </x:c>
      <x:c r="L7" s="46" t="n">
        <x:v>9.92</x:v>
      </x:c>
      <x:c r="M7" s="46"/>
      <x:c r="N7" s="46" t="n">
        <x:v>32.79</x:v>
      </x:c>
      <x:c r="O7" s="46" t="str">
        <x:v>&lt;1</x:v>
      </x:c>
      <x:c r="P7" s="46"/>
      <x:c r="Q7" s="46" t="str">
        <x:v>&lt;1</x:v>
      </x:c>
      <x:c r="R7" s="46" t="str">
        <x:v>ng/g</x:v>
      </x:c>
      <x:c r="S7" s="46" t="str">
        <x:v>fatty / fishy context</x:v>
      </x:c>
      <x:c r="T7" s="46" t="str">
        <x:v>Six compounds are the source's odor-descriptor/OAV subset; the study primarily identified 21 shrimp compounds.</x:v>
      </x:c>
    </x:row>
  </x:sheetData>
  <x:pageMargins left="0.7" right="0.7" top="0.75" bottom="0.75" header="0.3" footer="0.3"/>
  <x:tableParts count="1">
    <x:tablePart xmlns:r="http://schemas.openxmlformats.org/officeDocument/2006/relationships" r:id="R7c14e9e3f0f046b5"/>
  </x:tableParts>
</x:worksheet>
</file>

<file path=xl/worksheets/sheet80.xml><?xml version="1.0" encoding="utf-8"?>
<x:worksheet xmlns:x="http://schemas.openxmlformats.org/spreadsheetml/2006/main">
  <x:sheetFormatPr defaultRowHeight="15"/>
  <x:cols>
    <x:col min="1" max="1" width="14" hidden="0" customWidth="1"/>
    <x:col min="2" max="2" width="18" hidden="0" customWidth="1"/>
    <x:col min="3" max="3" width="24" hidden="0" customWidth="1"/>
    <x:col min="4" max="4" width="22" hidden="0" customWidth="1"/>
    <x:col min="5" max="5" width="58" hidden="0" customWidth="1"/>
    <x:col min="6" max="6" width="32" hidden="0" customWidth="1"/>
    <x:col min="7" max="7" width="30" hidden="0" customWidth="1"/>
    <x:col min="8" max="8" width="76" hidden="0" customWidth="1"/>
    <x:col min="9" max="9" width="26" hidden="0" customWidth="1"/>
    <x:col min="10" max="10" width="70" hidden="0" customWidth="1"/>
  </x:cols>
  <x:sheetData>
    <x:row r="1" ht="15" hidden="0" customHeight="1">
      <x:c r="A1" s="201" t="str">
        <x:v>record_id</x:v>
      </x:c>
      <x:c r="B1" s="201" t="str">
        <x:v>member</x:v>
      </x:c>
      <x:c r="C1" s="201" t="str">
        <x:v>family_parent</x:v>
      </x:c>
      <x:c r="D1" s="201" t="str">
        <x:v>state</x:v>
      </x:c>
      <x:c r="E1" s="201" t="str">
        <x:v>compound_or_signal</x:v>
      </x:c>
      <x:c r="F1" s="201" t="str">
        <x:v>evidence_role</x:v>
      </x:c>
      <x:c r="G1" s="201" t="str">
        <x:v>source_id</x:v>
      </x:c>
      <x:c r="H1" s="201" t="str">
        <x:v>direct_result</x:v>
      </x:c>
      <x:c r="I1" s="201" t="str">
        <x:v>positive_culinary_use</x:v>
      </x:c>
      <x:c r="J1" s="201" t="str">
        <x:v>boundary</x:v>
      </x:c>
    </x:row>
    <x:row r="2" ht="26.399999618530273" hidden="0" customHeight="1">
      <x:c r="A2" s="46" t="str">
        <x:v>SKC-001</x:v>
      </x:c>
      <x:c r="B2" s="46" t="str">
        <x:v>crab</x:v>
      </x:c>
      <x:c r="C2" s="46" t="str">
        <x:v>family:crustacean</x:v>
      </x:c>
      <x:c r="D2" s="46" t="str">
        <x:v>muscle</x:v>
      </x:c>
      <x:c r="E2" s="46" t="str">
        <x:v>3-methylbutanal-M; propanal; (E)-2-pentenal; 2,3-pentanedione; pentan-1-ol-M</x:v>
      </x:c>
      <x:c r="F2" s="46" t="str">
        <x:v>diet-sensitive muscle markers</x:v>
      </x:c>
      <x:c r="G2" s="46" t="str">
        <x:v>SRC-CRAB-MUSCLE-001</x:v>
      </x:c>
      <x:c r="H2" s="46" t="str">
        <x:v>Significantly higher in formulated-feed crab muscle.</x:v>
      </x:c>
      <x:c r="I2" s="46" t="str">
        <x:v>yes_member_context</x:v>
      </x:c>
      <x:c r="J2" s="46" t="str">
        <x:v>Diet affects weighting; not universal crab abundance.</x:v>
      </x:c>
    </x:row>
    <x:row r="3" ht="26.399999618530273" hidden="0" customHeight="1">
      <x:c r="A3" s="46" t="str">
        <x:v>SKC-002</x:v>
      </x:c>
      <x:c r="B3" s="46" t="str">
        <x:v>crab</x:v>
      </x:c>
      <x:c r="C3" s="46" t="str">
        <x:v>family:crustacean</x:v>
      </x:c>
      <x:c r="D3" s="46" t="str">
        <x:v>muscle</x:v>
      </x:c>
      <x:c r="E3" s="46" t="str">
        <x:v>2-hexanone; dihydro-2(3H)-furanone; butyl acetate; ethyl 2-methylpropanoate; phenol</x:v>
      </x:c>
      <x:c r="F3" s="46" t="str">
        <x:v>diet-sensitive muscle markers</x:v>
      </x:c>
      <x:c r="G3" s="46" t="str">
        <x:v>SRC-CRAB-MUSCLE-001</x:v>
      </x:c>
      <x:c r="H3" s="46" t="str">
        <x:v>Significantly lower in formulated-feed than iced-fish-fed crab muscle.</x:v>
      </x:c>
      <x:c r="I3" s="46" t="str">
        <x:v>yes_member_context</x:v>
      </x:c>
      <x:c r="J3" s="46" t="str">
        <x:v>Presence is muscle evidence; direction is diet-specific.</x:v>
      </x:c>
    </x:row>
    <x:row r="4" ht="15" hidden="0" customHeight="1">
      <x:c r="A4" s="46" t="str">
        <x:v>SKC-003</x:v>
      </x:c>
      <x:c r="B4" s="46" t="str">
        <x:v>crab</x:v>
      </x:c>
      <x:c r="C4" s="46" t="str">
        <x:v>family:crustacean</x:v>
      </x:c>
      <x:c r="D4" s="46" t="str">
        <x:v>steamed muscle</x:v>
      </x:c>
      <x:c r="E4" s="46" t="str">
        <x:v>dimethyl trisulfide</x:v>
      </x:c>
      <x:c r="F4" s="46" t="str">
        <x:v>GC-O high-impact odorant</x:v>
      </x:c>
      <x:c r="G4" s="46" t="str">
        <x:v>SRC-CRAB-GCO-001</x:v>
      </x:c>
      <x:c r="H4" s="46" t="str">
        <x:v>Strong odor contribution in multiple origin/sex groups; described as spice/thick-soup.</x:v>
      </x:c>
      <x:c r="I4" s="46" t="str">
        <x:v>yes</x:v>
      </x:c>
      <x:c r="J4" s="46" t="str">
        <x:v>Origin and sex alter intensity.</x:v>
      </x:c>
    </x:row>
    <x:row r="5" ht="15" hidden="0" customHeight="1">
      <x:c r="A5" s="46" t="str">
        <x:v>SKC-004</x:v>
      </x:c>
      <x:c r="B5" s="46" t="str">
        <x:v>crab</x:v>
      </x:c>
      <x:c r="C5" s="46" t="str">
        <x:v>family:crustacean</x:v>
      </x:c>
      <x:c r="D5" s="46" t="str">
        <x:v>steamed muscle</x:v>
      </x:c>
      <x:c r="E5" s="46" t="str">
        <x:v>1-octen-3-one</x:v>
      </x:c>
      <x:c r="F5" s="46" t="str">
        <x:v>GC-O high-impact odorant</x:v>
      </x:c>
      <x:c r="G5" s="46" t="str">
        <x:v>SRC-CRAB-GCO-001</x:v>
      </x:c>
      <x:c r="H5" s="46" t="str">
        <x:v>Highest odor contribution in female pond crab; mushroom/cooking character.</x:v>
      </x:c>
      <x:c r="I5" s="46" t="str">
        <x:v>yes</x:v>
      </x:c>
      <x:c r="J5" s="46" t="str">
        <x:v>Not dominant in every origin/sex group.</x:v>
      </x:c>
    </x:row>
    <x:row r="6" ht="26.399999618530273" hidden="0" customHeight="1">
      <x:c r="A6" s="46" t="str">
        <x:v>SKC-005</x:v>
      </x:c>
      <x:c r="B6" s="46" t="str">
        <x:v>lobster</x:v>
      </x:c>
      <x:c r="C6" s="46" t="str">
        <x:v>family:crustacean</x:v>
      </x:c>
      <x:c r="D6" s="46" t="str">
        <x:v>cooked tail</x:v>
      </x:c>
      <x:c r="E6" s="46" t="str">
        <x:v>3-methylbutanal; 2,3-butanedione; methional; 1-octen-3-one; 2-acetyl-1-pyrroline; (E,Z)-2,6-nonadienal</x:v>
      </x:c>
      <x:c r="F6" s="46" t="str">
        <x:v>predominant GC-O/AEDA odorants</x:v>
      </x:c>
      <x:c r="G6" s="46" t="str">
        <x:v>SRC-LOBSTER-GCO-001</x:v>
      </x:c>
      <x:c r="H6" s="46" t="str">
        <x:v>Predominant odorants across four isolation approaches.</x:v>
      </x:c>
      <x:c r="I6" s="46" t="str">
        <x:v>yes</x:v>
      </x:c>
      <x:c r="J6" s="46" t="str">
        <x:v>Key-odorant layer, not exhaustive 47-row detection table.</x:v>
      </x:c>
    </x:row>
    <x:row r="7" ht="26.399999618530273" hidden="0" customHeight="1">
      <x:c r="A7" s="46" t="str">
        <x:v>SKC-006</x:v>
      </x:c>
      <x:c r="B7" s="46" t="str">
        <x:v>lobster</x:v>
      </x:c>
      <x:c r="C7" s="46" t="str">
        <x:v>family:crustacean</x:v>
      </x:c>
      <x:c r="D7" s="46" t="str">
        <x:v>cooked tail</x:v>
      </x:c>
      <x:c r="E7" s="46" t="str">
        <x:v>methanethiol; dimethyl sulfide</x:v>
      </x:c>
      <x:c r="F7" s="46" t="str">
        <x:v>headspace odorants</x:v>
      </x:c>
      <x:c r="G7" s="46" t="str">
        <x:v>SRC-LOBSTER-GCO-001</x:v>
      </x:c>
      <x:c r="H7" s="46" t="str">
        <x:v>Detected by headspace methods; sulfurous/canned-corn descriptors.</x:v>
      </x:c>
      <x:c r="I7" s="46" t="str">
        <x:v>contextual_positive</x:v>
      </x:c>
      <x:c r="J7" s="46" t="str">
        <x:v>Volatile/sulfur compounds require state context; no spoilage inference from this cooked source.</x:v>
      </x:c>
    </x:row>
    <x:row r="8" ht="15" hidden="0" customHeight="1">
      <x:c r="A8" s="46" t="str">
        <x:v>SKC-007</x:v>
      </x:c>
      <x:c r="B8" s="46" t="str">
        <x:v>crayfish</x:v>
      </x:c>
      <x:c r="C8" s="46" t="str">
        <x:v>family:crustacean</x:v>
      </x:c>
      <x:c r="D8" s="46" t="str">
        <x:v>cooked tail</x:v>
      </x:c>
      <x:c r="E8" s="46" t="str">
        <x:v>68-VOC profile / 29 ROAV&gt;1</x:v>
      </x:c>
      <x:c r="F8" s="46" t="str">
        <x:v>state breadth</x:v>
      </x:c>
      <x:c r="G8" s="46" t="str">
        <x:v>SRC-CRAYFISH-TAIL-001</x:v>
      </x:c>
      <x:c r="H8" s="46" t="str">
        <x:v>Beer and hepatopancreas materially alter volatile profile; 29 compounds ROAV&gt;1.</x:v>
      </x:c>
      <x:c r="I8" s="46" t="str">
        <x:v>yes_state_level</x:v>
      </x:c>
      <x:c r="J8" s="46" t="str">
        <x:v>Beer and hepatopancreas are overlays, not intrinsic tail membership rules.</x:v>
      </x:c>
    </x:row>
    <x:row r="9" ht="15" hidden="0" customHeight="1">
      <x:c r="A9" s="46" t="str">
        <x:v>SKC-008</x:v>
      </x:c>
      <x:c r="B9" s="46" t="str">
        <x:v>crayfish</x:v>
      </x:c>
      <x:c r="C9" s="46" t="str">
        <x:v>family:crustacean</x:v>
      </x:c>
      <x:c r="D9" s="46" t="str">
        <x:v>six cooking methods</x:v>
      </x:c>
      <x:c r="E9" s="46" t="str">
        <x:v>35-VOC technique set</x:v>
      </x:c>
      <x:c r="F9" s="46" t="str">
        <x:v>technique breadth</x:v>
      </x:c>
      <x:c r="G9" s="46" t="str">
        <x:v>SRC-CRAYFISH-COOK-001</x:v>
      </x:c>
      <x:c r="H9" s="46" t="str">
        <x:v>Steaming, boiling, deep-frying, air-frying, microwave and roasting yield differentiable GC-IMS profiles.</x:v>
      </x:c>
      <x:c r="I9" s="46" t="str">
        <x:v>yes_state_level</x:v>
      </x:c>
      <x:c r="J9" s="46" t="str">
        <x:v>Technique data does not imply all 35 occur in every state.</x:v>
      </x:c>
    </x:row>
    <x:row r="10" ht="26.399999618530273" hidden="0" customHeight="1">
      <x:c r="A10" s="46" t="str">
        <x:v>SKC-009</x:v>
      </x:c>
      <x:c r="B10" s="46" t="str">
        <x:v>clam</x:v>
      </x:c>
      <x:c r="C10" s="46" t="str">
        <x:v>family:bivalve_mollusk</x:v>
      </x:c>
      <x:c r="D10" s="46" t="str">
        <x:v>raw → boiled</x:v>
      </x:c>
      <x:c r="E10" s="46" t="str">
        <x:v>62-VOC profile</x:v>
      </x:c>
      <x:c r="F10" s="46" t="str">
        <x:v>state breadth</x:v>
      </x:c>
      <x:c r="G10" s="46" t="str">
        <x:v>SRC-CLAM-BOIL-001</x:v>
      </x:c>
      <x:c r="H10" s="46" t="str">
        <x:v>Boiling increases pleasant seafood-like ester-associated aroma and reduces sea-sand-like sulfur-associated aroma; 10–15 min transition window.</x:v>
      </x:c>
      <x:c r="I10" s="46" t="str">
        <x:v>yes_state_level</x:v>
      </x:c>
      <x:c r="J10" s="46" t="str">
        <x:v>&gt;20 min in this protocol increases unpleasant odorants; do not universalize exact time.</x:v>
      </x:c>
    </x:row>
    <x:row r="11" ht="26.399999618530273" hidden="0" customHeight="1">
      <x:c r="A11" s="46" t="str">
        <x:v>SKC-010</x:v>
      </x:c>
      <x:c r="B11" s="46" t="str">
        <x:v>mussel</x:v>
      </x:c>
      <x:c r="C11" s="46" t="str">
        <x:v>family:bivalve_mollusk</x:v>
      </x:c>
      <x:c r="D11" s="46" t="str">
        <x:v>cooked</x:v>
      </x:c>
      <x:c r="E11" s="46" t="str">
        <x:v>85 detected / 33 GC-O active</x:v>
      </x:c>
      <x:c r="F11" s="46" t="str">
        <x:v>sensory breadth</x:v>
      </x:c>
      <x:c r="G11" s="46" t="str">
        <x:v>SRC-MUSSEL-GCO-001</x:v>
      </x:c>
      <x:c r="H11" s="46" t="str">
        <x:v>Wild and bouchot mussels show no qualitative compound-set split; abundance differences occur in 34 compounds.</x:v>
      </x:c>
      <x:c r="I11" s="46" t="str">
        <x:v>yes</x:v>
      </x:c>
      <x:c r="J11" s="46" t="str">
        <x:v>Origin weighting is source-specific; no flat abundance multiplier.</x:v>
      </x:c>
    </x:row>
    <x:row r="12" ht="15" hidden="0" customHeight="1">
      <x:c r="A12" s="46" t="str">
        <x:v>SKC-011</x:v>
      </x:c>
      <x:c r="B12" s="46" t="str">
        <x:v>mussel</x:v>
      </x:c>
      <x:c r="C12" s="46" t="str">
        <x:v>family:bivalve_mollusk</x:v>
      </x:c>
      <x:c r="D12" s="46" t="str">
        <x:v>cooked</x:v>
      </x:c>
      <x:c r="E12" s="46" t="str">
        <x:v>dimethyl disulfide</x:v>
      </x:c>
      <x:c r="F12" s="46" t="str">
        <x:v>origin differentiator / GC-O</x:v>
      </x:c>
      <x:c r="G12" s="46" t="str">
        <x:v>SRC-MUSSEL-GCO-001</x:v>
      </x:c>
      <x:c r="H12" s="46" t="str">
        <x:v>Most origin-differentiating compound in source; characteristic of wild mussels.</x:v>
      </x:c>
      <x:c r="I12" s="46" t="str">
        <x:v>yes_member_context</x:v>
      </x:c>
      <x:c r="J12" s="46" t="str">
        <x:v>Do not make it universal to all mussels.</x:v>
      </x:c>
    </x:row>
  </x:sheetData>
  <x:pageMargins left="0.7" right="0.7" top="0.75" bottom="0.75" header="0.3" footer="0.3"/>
  <x:tableParts count="1">
    <x:tablePart xmlns:r="http://schemas.openxmlformats.org/officeDocument/2006/relationships" r:id="Rb31c03ac4b7c4e45"/>
  </x:tableParts>
</x:worksheet>
</file>

<file path=xl/worksheets/sheet81.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48" hidden="0" customWidth="1"/>
    <x:col min="6" max="6" width="54" hidden="0" customWidth="1"/>
    <x:col min="7" max="7" width="48" hidden="0" customWidth="1"/>
    <x:col min="8" max="8" width="40" hidden="0" customWidth="1"/>
    <x:col min="9" max="9" width="46" hidden="0" customWidth="1"/>
    <x:col min="10" max="10" width="34" hidden="0" customWidth="1"/>
    <x:col min="11" max="11" width="70" hidden="0" customWidth="1"/>
  </x:cols>
  <x:sheetData>
    <x:row r="1" ht="15" hidden="0" customHeight="1">
      <x:c r="A1" s="201" t="str">
        <x:v>coverage_id</x:v>
      </x:c>
      <x:c r="B1" s="201" t="str">
        <x:v>member_or_cluster</x:v>
      </x:c>
      <x:c r="C1" s="201" t="str">
        <x:v>family_parent</x:v>
      </x:c>
      <x:c r="D1" s="201" t="str">
        <x:v>primary_member_source</x:v>
      </x:c>
      <x:c r="E1" s="201" t="str">
        <x:v>direct_member_scope</x:v>
      </x:c>
      <x:c r="F1" s="201" t="str">
        <x:v>source_reported_detection_breadth</x:v>
      </x:c>
      <x:c r="G1" s="201" t="str">
        <x:v>sensory_or_OAV_layer</x:v>
      </x:c>
      <x:c r="H1" s="201" t="str">
        <x:v>row_level_ingestion_current</x:v>
      </x:c>
      <x:c r="I1" s="201" t="str">
        <x:v>mr09_strength</x:v>
      </x:c>
      <x:c r="J1" s="201" t="str">
        <x:v>current_status</x:v>
      </x:c>
      <x:c r="K1" s="201" t="str">
        <x:v>remaining_gap</x:v>
      </x:c>
    </x:row>
    <x:row r="2" ht="26.399999618530273" hidden="0" customHeight="1">
      <x:c r="A2" s="46" t="str">
        <x:v>SCV-001</x:v>
      </x:c>
      <x:c r="B2" s="46" t="str">
        <x:v>shrimp</x:v>
      </x:c>
      <x:c r="C2" s="46" t="str">
        <x:v>family:crustacean</x:v>
      </x:c>
      <x:c r="D2" s="46" t="str">
        <x:v>SRC-SHRIMP-SOUSVIDE-001; SRC-SHRIMP-PROC-001; SRC-SHRIMP-OAV-001</x:v>
      </x:c>
      <x:c r="E2" s="46" t="str">
        <x:v>Litopenaeus vannamei raw + sous-vide + steamed full table, plus broader boiled/dried/roasted processing evidence</x:v>
      </x:c>
      <x:c r="F2" s="46" t="str">
        <x:v>54/54 direct GC-MS rows across raw/sous-vide/steamed; separate Duppeti source reports 86 VOCs across broader processing conditions</x:v>
      </x:c>
      <x:c r="G2" s="46" t="str">
        <x:v>38 OAV&gt;1 in Duppeti processing source; 6 exact concentration/OAV rows in a &gt;80%-match source; 6 OAV-active compounds in sous-vide study</x:v>
      </x:c>
      <x:c r="H2" s="46" t="str">
        <x:v>54/54 direct detected rows + complementary OAV/breadth layers</x:v>
      </x:c>
      <x:c r="I2" s="46" t="str">
        <x:v>full_table_CAS_quantitative_but_no_RI_match_factor; one source_name_CAS_conflict_DI20</x:v>
      </x:c>
      <x:c r="J2" s="46" t="str">
        <x:v>covered_full_table_multi_state</x:v>
      </x:c>
      <x:c r="K2" s="46" t="str">
        <x:v>The original 86-row Duppeti processing table remains a broader-state MR-10 enrichment gap, but shrimp now has a complete direct member-level detected-table anchor.</x:v>
      </x:c>
    </x:row>
    <x:row r="3" ht="26.399999618530273" hidden="0" customHeight="1">
      <x:c r="A3" s="46" t="str">
        <x:v>SCV-002</x:v>
      </x:c>
      <x:c r="B3" s="46" t="str">
        <x:v>crab</x:v>
      </x:c>
      <x:c r="C3" s="46" t="str">
        <x:v>family:crustacean</x:v>
      </x:c>
      <x:c r="D3" s="46" t="str">
        <x:v>SRC-CRAB-MUSCLE-001; SRC-CRAB-GCO-001</x:v>
      </x:c>
      <x:c r="E3" s="46" t="str">
        <x:v>Chinese mitten crab muscle full-table diet comparison + independently steamed crab muscle sensory/origin comparison</x:v>
      </x:c>
      <x:c r="F3" s="46" t="str">
        <x:v>34 direct muscle VOCs fully ingested; independent study 69 muscle VOCs</x:v>
      </x:c>
      <x:c r="G3" s="46" t="str">
        <x:v>9 GC-O odorants in independent source</x:v>
      </x:c>
      <x:c r="H3" s="46" t="str">
        <x:v>34/34 Table-2 rows + key/sensory layer</x:v>
      </x:c>
      <x:c r="I3" s="46" t="str">
        <x:v>strong_RI_RT_drift_complete_no_numeric_match_factor</x:v>
      </x:c>
      <x:c r="J3" s="46" t="str">
        <x:v>covered_full_table_muscle</x:v>
      </x:c>
      <x:c r="K3" s="46" t="str">
        <x:v>No blocking crab-muscle gap; 69-row independent source remains sensory/breadth enrichment.</x:v>
      </x:c>
    </x:row>
    <x:row r="4" ht="26.399999618530273" hidden="0" customHeight="1">
      <x:c r="A4" s="46" t="str">
        <x:v>SCV-003</x:v>
      </x:c>
      <x:c r="B4" s="46" t="str">
        <x:v>lobster / crayfish</x:v>
      </x:c>
      <x:c r="C4" s="46" t="str">
        <x:v>family:crustacean</x:v>
      </x:c>
      <x:c r="D4" s="46" t="str">
        <x:v>SRC-LOBSTER-GCO-001; SRC-CRAYFISH-TAIL-001; SRC-CRAYFISH-COOK-001</x:v>
      </x:c>
      <x:c r="E4" s="46" t="str">
        <x:v>American lobster cooked tail + Procambarus clarkii cooked tail/techniques</x:v>
      </x:c>
      <x:c r="F4" s="46" t="str">
        <x:v>47 lobster odorants; 68/68 crayfish-tail VOCs fully ingested; 35 VOCs in six-method crayfish study</x:v>
      </x:c>
      <x:c r="G4" s="46" t="str">
        <x:v>Predominant lobster GC-O/AEDA set; 29 crayfish ROAV&gt;1</x:v>
      </x:c>
      <x:c r="H4" s="46" t="str">
        <x:v>68/68 crayfish Table-4 rows + lobster key/sensory layer</x:v>
      </x:c>
      <x:c r="I4" s="46" t="str">
        <x:v>crayfish_strong_RI_RT_drift_complete_no_numeric_match_factor; lobster_sensory_ID_layer</x:v>
      </x:c>
      <x:c r="J4" s="46" t="str">
        <x:v>crayfish_full_table_lobster_sensory_only</x:v>
      </x:c>
      <x:c r="K4" s="46" t="str">
        <x:v>Lobster 47-row odorant table and separate 35-row crayfish technique table remain nonblocking enrichment.</x:v>
      </x:c>
    </x:row>
    <x:row r="5" ht="26.399999618530273" hidden="0" customHeight="1">
      <x:c r="A5" s="46" t="str">
        <x:v>SCV-004</x:v>
      </x:c>
      <x:c r="B5" s="46" t="str">
        <x:v>scallop</x:v>
      </x:c>
      <x:c r="C5" s="46" t="str">
        <x:v>family:bivalve_mollusk</x:v>
      </x:c>
      <x:c r="D5" s="46" t="str">
        <x:v>SRC-SCALLOP-COOK-001</x:v>
      </x:c>
      <x:c r="E5" s="46" t="str">
        <x:v>Argopecten irradians muscle raw, boiled, roasted, fried, microwaved</x:v>
      </x:c>
      <x:c r="F5" s="46" t="str">
        <x:v>48 distinct VOCs represented by 59 GC-IMS monomer/dimer analytical features</x:v>
      </x:c>
      <x:c r="G5" s="46" t="str">
        <x:v>Direct sensory evaluation + cooking-state interpretation in same study</x:v>
      </x:c>
      <x:c r="H5" s="46" t="str">
        <x:v>59/59 Table-1 features fully ingested</x:v>
      </x:c>
      <x:c r="I5" s="46" t="str">
        <x:v>strong_RI_RT_drift_complete_no_numeric_match_factor</x:v>
      </x:c>
      <x:c r="J5" s="46" t="str">
        <x:v>covered_full_table_multi_state</x:v>
      </x:c>
      <x:c r="K5" s="46" t="str">
        <x:v>No blocking gap.</x:v>
      </x:c>
    </x:row>
    <x:row r="6" ht="26.399999618530273" hidden="0" customHeight="1">
      <x:c r="A6" s="46" t="str">
        <x:v>SCV-005</x:v>
      </x:c>
      <x:c r="B6" s="46" t="str">
        <x:v>clam / mussel</x:v>
      </x:c>
      <x:c r="C6" s="46" t="str">
        <x:v>family:bivalve_mollusk</x:v>
      </x:c>
      <x:c r="D6" s="46" t="str">
        <x:v>SRC-CLAM-BOIL-001; SRC-MUSSEL-GCO-001</x:v>
      </x:c>
      <x:c r="E6" s="46" t="str">
        <x:v>Ruditapes philippinarum raw→boiled + cooked Mytilus edulis</x:v>
      </x:c>
      <x:c r="F6" s="46" t="str">
        <x:v>62 clam VOCs; 85 cooked mussel VOCs</x:v>
      </x:c>
      <x:c r="G6" s="46" t="str">
        <x:v>Clam QDA/PLSR state linkage; 33 mussel GC-O-active odorants</x:v>
      </x:c>
      <x:c r="H6" s="46" t="str">
        <x:v>source-count/class + key/sensory governance</x:v>
      </x:c>
      <x:c r="I6" s="46" t="str">
        <x:v>mussel_strong_MS_RI_standard_support; clam_GCIMS_source_metadata</x:v>
      </x:c>
      <x:c r="J6" s="46" t="str">
        <x:v>covered_both_members_targeted_phase</x:v>
      </x:c>
      <x:c r="K6" s="46" t="str">
        <x:v>Exact full row tables not ingested for clam/mussel.</x:v>
      </x:c>
    </x:row>
  </x:sheetData>
  <x:pageMargins left="0.7" right="0.7" top="0.75" bottom="0.75" header="0.3" footer="0.3"/>
  <x:tableParts count="1">
    <x:tablePart xmlns:r="http://schemas.openxmlformats.org/officeDocument/2006/relationships" r:id="Rbecf6906c3344b8e"/>
  </x:tableParts>
</x:worksheet>
</file>

<file path=xl/worksheets/sheet82.xml><?xml version="1.0" encoding="utf-8"?>
<x:worksheet xmlns:x="http://schemas.openxmlformats.org/spreadsheetml/2006/main">
  <x:sheetFormatPr defaultRowHeight="15"/>
  <x:cols>
    <x:col min="1" max="1" width="31" hidden="0" customWidth="1"/>
    <x:col min="2" max="2" width="18" hidden="0" customWidth="1"/>
    <x:col min="3" max="3" width="38" hidden="0" customWidth="1"/>
    <x:col min="4" max="4" width="20" hidden="0" customWidth="1"/>
    <x:col min="5" max="5" width="32" hidden="0" customWidth="1"/>
    <x:col min="6" max="6" width="34" hidden="0" customWidth="1"/>
    <x:col min="7" max="7" width="24" hidden="0" customWidth="1"/>
    <x:col min="8" max="8" width="42" hidden="0" customWidth="1"/>
    <x:col min="9" max="9" width="38" hidden="0" customWidth="1"/>
    <x:col min="10" max="10" width="72" hidden="0" customWidth="1"/>
  </x:cols>
  <x:sheetData>
    <x:row r="1" ht="15" hidden="0" customHeight="1">
      <x:c r="A1" s="201" t="str">
        <x:v>source_id</x:v>
      </x:c>
      <x:c r="B1" s="201" t="str">
        <x:v>member</x:v>
      </x:c>
      <x:c r="C1" s="201" t="str">
        <x:v>reported_rows_or_scope</x:v>
      </x:c>
      <x:c r="D1" s="201" t="str">
        <x:v>rows_ingested_current</x:v>
      </x:c>
      <x:c r="E1" s="201" t="str">
        <x:v>count_reconciliation</x:v>
      </x:c>
      <x:c r="F1" s="201" t="str">
        <x:v>RI_or_retention_support</x:v>
      </x:c>
      <x:c r="G1" s="201" t="str">
        <x:v>numeric_match_factor</x:v>
      </x:c>
      <x:c r="H1" s="201" t="str">
        <x:v>standard_or_library_support</x:v>
      </x:c>
      <x:c r="I1" s="201" t="str">
        <x:v>mr09_status</x:v>
      </x:c>
      <x:c r="J1" s="201" t="str">
        <x:v>notes</x:v>
      </x:c>
    </x:row>
    <x:row r="2" ht="26.399999618530273" hidden="0" customHeight="1">
      <x:c r="A2" s="46" t="str">
        <x:v>SRC-SHRIMP-PROC-001</x:v>
      </x:c>
      <x:c r="B2" s="46" t="str">
        <x:v>shrimp</x:v>
      </x:c>
      <x:c r="C2" s="46" t="str">
        <x:v>86 VOCs / 38 OAV&gt;1</x:v>
      </x:c>
      <x:c r="D2" s="46" t="n">
        <x:v>0</x:v>
      </x:c>
      <x:c r="E2" s="46" t="str">
        <x:v>source_count_only</x:v>
      </x:c>
      <x:c r="F2" s="46" t="str">
        <x:v>not extracted</x:v>
      </x:c>
      <x:c r="G2" s="46" t="str">
        <x:v>not extracted</x:v>
      </x:c>
      <x:c r="H2" s="46" t="str">
        <x:v>SPME-GC-MS study; exact row ID fields not exposed in accessible table</x:v>
      </x:c>
      <x:c r="I2" s="202" t="str">
        <x:v>partial_full_table_access</x:v>
      </x:c>
      <x:c r="J2" s="46" t="str">
        <x:v>Used for breadth/state pattern only.</x:v>
      </x:c>
    </x:row>
    <x:row r="3" ht="26.399999618530273" hidden="0" customHeight="1">
      <x:c r="A3" s="46" t="str">
        <x:v>SRC-SHRIMP-OAV-001</x:v>
      </x:c>
      <x:c r="B3" s="46" t="str">
        <x:v>shrimp</x:v>
      </x:c>
      <x:c r="C3" s="46" t="str">
        <x:v>21 primarily identified; 6 OAV-table compounds</x:v>
      </x:c>
      <x:c r="D3" s="46" t="n">
        <x:f>COUNTA('Shellfish Shrimp OAV'!G2:G7)</x:f>
        <x:v>6</x:v>
      </x:c>
      <x:c r="E3" s="46" t="str">
        <x:f>IF(D3=6,"pass_6_of_6_OAV_subset","CHECK_"&amp;D3)</x:f>
        <x:v>pass_6_of_6_OAV_subset</x:v>
      </x:c>
      <x:c r="F3" s="46" t="str">
        <x:v>not exposed for six rows</x:v>
      </x:c>
      <x:c r="G3" s="46" t="str">
        <x:v>&gt;80% source-wide library match floor</x:v>
      </x:c>
      <x:c r="H3" s="46" t="str">
        <x:v>NIST + WILEY</x:v>
      </x:c>
      <x:c r="I3" s="202" t="str">
        <x:v>strong_match_floor_subset</x:v>
      </x:c>
      <x:c r="J3" s="46" t="str">
        <x:v>Six exact concentration/OAV rows ingested; do not call this the full 21-row table.</x:v>
      </x:c>
    </x:row>
    <x:row r="4" ht="15" hidden="0" customHeight="1">
      <x:c r="A4" s="46" t="str">
        <x:v>SRC-CRAB-MUSCLE-001</x:v>
      </x:c>
      <x:c r="B4" s="46" t="str">
        <x:v>crab</x:v>
      </x:c>
      <x:c r="C4" s="46" t="str">
        <x:v>34 muscle VOCs</x:v>
      </x:c>
      <x:c r="D4" s="46" t="n">
        <x:f>COUNTA('Detected Shellfish Crab'!H2:H35)</x:f>
        <x:v>34</x:v>
      </x:c>
      <x:c r="E4" s="46" t="str">
        <x:f>IF(D4=34,"pass_34_of_34","FAIL_"&amp;D4&amp;"_of_34")</x:f>
        <x:v>pass_34_of_34</x:v>
      </x:c>
      <x:c r="F4" s="46" t="str">
        <x:v>34/34 CAS + RI + RT + drift</x:v>
      </x:c>
      <x:c r="G4" s="46" t="str">
        <x:v>0/34</x:v>
      </x:c>
      <x:c r="H4" s="46" t="str">
        <x:v>GC-IMS library + C4-C9 n-ketone RI standards</x:v>
      </x:c>
      <x:c r="I4" s="208" t="str">
        <x:v>strong_complete_retention_metadata</x:v>
      </x:c>
      <x:c r="J4" s="46" t="str">
        <x:v>Full muscle table ingested; diet-group intensities retained separately.</x:v>
      </x:c>
    </x:row>
    <x:row r="5" ht="26.399999618530273" hidden="0" customHeight="1">
      <x:c r="A5" s="46" t="str">
        <x:v>SRC-LOBSTER-GCO-001</x:v>
      </x:c>
      <x:c r="B5" s="46" t="str">
        <x:v>lobster</x:v>
      </x:c>
      <x:c r="C5" s="46" t="str">
        <x:v>47 odorants</x:v>
      </x:c>
      <x:c r="D5" s="46" t="n">
        <x:v>6</x:v>
      </x:c>
      <x:c r="E5" s="46" t="str">
        <x:v>key_predominant_subset</x:v>
      </x:c>
      <x:c r="F5" s="46" t="str">
        <x:v>GC-O/AEDA methods</x:v>
      </x:c>
      <x:c r="G5" s="46" t="str">
        <x:v>not applicable as library-match metric</x:v>
      </x:c>
      <x:c r="H5" s="46" t="str">
        <x:v>four isolation/headspace methods</x:v>
      </x:c>
      <x:c r="I5" s="202" t="str">
        <x:v>strong_sensory_ID_layer</x:v>
      </x:c>
      <x:c r="J5" s="46" t="str">
        <x:v>Predominant named odorants governed; full 47 odorants not row-ingested.</x:v>
      </x:c>
    </x:row>
    <x:row r="6" ht="15" hidden="0" customHeight="1">
      <x:c r="A6" s="46" t="str">
        <x:v>SRC-CRAYFISH-TAIL-001</x:v>
      </x:c>
      <x:c r="B6" s="46" t="str">
        <x:v>crayfish</x:v>
      </x:c>
      <x:c r="C6" s="46" t="str">
        <x:v>68 VOCs / 29 ROAV&gt;1</x:v>
      </x:c>
      <x:c r="D6" s="46" t="n">
        <x:v>68</x:v>
      </x:c>
      <x:c r="E6" s="46" t="str">
        <x:v>pass_68_of_68</x:v>
      </x:c>
      <x:c r="F6" s="46" t="str">
        <x:v>68/68 CAS + RI + RT + drift</x:v>
      </x:c>
      <x:c r="G6" s="46" t="str">
        <x:v>0/68</x:v>
      </x:c>
      <x:c r="H6" s="46" t="str">
        <x:v>GC-IMS library</x:v>
      </x:c>
      <x:c r="I6" s="262" t="str">
        <x:v>strong_complete_retention_metadata_context_overlays</x:v>
      </x:c>
      <x:c r="J6" s="46" t="str">
        <x:v>Full Table 4 ingested. HW/NHW/HB/NHB values retained separately; beer and hepatopancreas context is not collapsed into intrinsic tail chemistry.</x:v>
      </x:c>
    </x:row>
    <x:row r="7" ht="15" hidden="0" customHeight="1">
      <x:c r="A7" s="46" t="str">
        <x:v>SRC-CRAYFISH-COOK-001</x:v>
      </x:c>
      <x:c r="B7" s="46" t="str">
        <x:v>crayfish</x:v>
      </x:c>
      <x:c r="C7" s="46" t="str">
        <x:v>35 VOCs / six cooking methods</x:v>
      </x:c>
      <x:c r="D7" s="46" t="n">
        <x:v>0</x:v>
      </x:c>
      <x:c r="E7" s="46" t="str">
        <x:v>source_count_only</x:v>
      </x:c>
      <x:c r="F7" s="46" t="str">
        <x:v>GC-IMS</x:v>
      </x:c>
      <x:c r="G7" s="46" t="str">
        <x:v>not exposed</x:v>
      </x:c>
      <x:c r="H7" s="46" t="str">
        <x:v>GC-IMS</x:v>
      </x:c>
      <x:c r="I7" s="202" t="str">
        <x:v>state_comparison_source</x:v>
      </x:c>
      <x:c r="J7" s="46" t="str">
        <x:v>Clean technique cross-check.</x:v>
      </x:c>
    </x:row>
    <x:row r="8" ht="15" hidden="0" customHeight="1">
      <x:c r="A8" s="46" t="str">
        <x:v>SRC-SCALLOP-COOK-001</x:v>
      </x:c>
      <x:c r="B8" s="46" t="str">
        <x:v>scallop</x:v>
      </x:c>
      <x:c r="C8" s="46" t="str">
        <x:v>59 analytical features / 48 distinct VOCs</x:v>
      </x:c>
      <x:c r="D8" s="46" t="n">
        <x:f>COUNTA('Detected Shellfish Scallop'!G2:G60)</x:f>
        <x:v>59</x:v>
      </x:c>
      <x:c r="E8" s="46" t="str">
        <x:f>IF(D8=59,"pass_59_of_59_features","FAIL_"&amp;D8&amp;"_of_59")</x:f>
        <x:v>pass_59_of_59_features</x:v>
      </x:c>
      <x:c r="F8" s="46" t="str">
        <x:v>59/59 RI + RT + drift</x:v>
      </x:c>
      <x:c r="G8" s="46" t="str">
        <x:v>0/59</x:v>
      </x:c>
      <x:c r="H8" s="46" t="str">
        <x:v>C4-C9 n-ketone RI + GC×IMS library</x:v>
      </x:c>
      <x:c r="I8" s="208" t="str">
        <x:v>strong_complete_retention_metadata</x:v>
      </x:c>
      <x:c r="J8" s="46" t="str">
        <x:v>Monomer/dimer forms retained rather than deduplicated away.</x:v>
      </x:c>
    </x:row>
    <x:row r="9" ht="15" hidden="0" customHeight="1">
      <x:c r="A9" s="46" t="str">
        <x:v>SRC-CLAM-BOIL-001</x:v>
      </x:c>
      <x:c r="B9" s="46" t="str">
        <x:v>clam</x:v>
      </x:c>
      <x:c r="C9" s="46" t="str">
        <x:v>62 VOCs</x:v>
      </x:c>
      <x:c r="D9" s="46" t="n">
        <x:v>0</x:v>
      </x:c>
      <x:c r="E9" s="46" t="str">
        <x:v>source_count_only</x:v>
      </x:c>
      <x:c r="F9" s="46" t="str">
        <x:v>HS-GC-IMS</x:v>
      </x:c>
      <x:c r="G9" s="46" t="str">
        <x:v>not exposed</x:v>
      </x:c>
      <x:c r="H9" s="46" t="str">
        <x:v>GC-IMS workflow</x:v>
      </x:c>
      <x:c r="I9" s="202" t="str">
        <x:v>state_source_rows_pending</x:v>
      </x:c>
      <x:c r="J9" s="46" t="str">
        <x:v>Raw-to-boiled state evidence governed without inventing row table.</x:v>
      </x:c>
    </x:row>
    <x:row r="10" ht="26.399999618530273" hidden="0" customHeight="1">
      <x:c r="A10" s="46" t="str">
        <x:v>SRC-MUSSEL-GCO-001</x:v>
      </x:c>
      <x:c r="B10" s="46" t="str">
        <x:v>mussel</x:v>
      </x:c>
      <x:c r="C10" s="46" t="str">
        <x:v>85 VOCs / 33 GC-O active</x:v>
      </x:c>
      <x:c r="D10" s="46" t="n">
        <x:v>0</x:v>
      </x:c>
      <x:c r="E10" s="46" t="str">
        <x:v>source_count_and_sensory_only</x:v>
      </x:c>
      <x:c r="F10" s="46" t="str">
        <x:v>retention indices used</x:v>
      </x:c>
      <x:c r="G10" s="46" t="str">
        <x:v>not reported</x:v>
      </x:c>
      <x:c r="H10" s="46" t="str">
        <x:v>most IDs by GC-MS + RI + standard injection</x:v>
      </x:c>
      <x:c r="I10" s="202" t="str">
        <x:v>strong_IDQA_source_rows_pending</x:v>
      </x:c>
      <x:c r="J10" s="46" t="str">
        <x:v>Useful evidence that origin differences are largely abundance rather than qualitative membership.</x:v>
      </x:c>
    </x:row>
    <x:row r="11">
      <x:c r="A11" t="str">
        <x:v>SRC-SHRIMP-SOUSVIDE-001</x:v>
      </x:c>
      <x:c r="B11" t="str">
        <x:v>shrimp</x:v>
      </x:c>
      <x:c r="C11" t="str">
        <x:v>54 GC-MS rows across raw / sous-vide / steamed</x:v>
      </x:c>
      <x:c r="D11" t="n">
        <x:f>COUNTA('Detected Shellfish Shrimp 54'!K2:K55)</x:f>
        <x:v>54</x:v>
      </x:c>
      <x:c r="E11" t="str">
        <x:v>Table rows complete; DI-20 records source prose/table count and ST-total mismatch</x:v>
      </x:c>
      <x:c r="F11" t="str">
        <x:v>0/54 RI in accessible Table 2</x:v>
      </x:c>
      <x:c r="G11" t="str">
        <x:v>0/54 numeric match factors</x:v>
      </x:c>
      <x:c r="H11" t="str">
        <x:v>54/54 source CAS strings; quantitative internal-standard GC-MS</x:v>
      </x:c>
      <x:c r="I11" s="277" t="str">
        <x:v>partial_no_RI_no_numeric_match_factor_one_identity_conflict</x:v>
      </x:c>
      <x:c r="J11" t="str">
        <x:v>Full Table 2 ingested. A21 tetradecanal/CAS 104-67-6 is a source identity conflict and is not MR-09 verified. Table rows contain 23/39/35 nonzero values and sum to 41.56/65.44/60.96 ng/g; source prose says 23/38/35 and 41.56/65.44/59.64 (DI-20).</x:v>
      </x:c>
    </x:row>
  </x:sheetData>
  <x:pageMargins left="0.7" right="0.7" top="0.75" bottom="0.75" header="0.3" footer="0.3"/>
  <x:tableParts count="1">
    <x:tablePart xmlns:r="http://schemas.openxmlformats.org/officeDocument/2006/relationships" r:id="R0d221cdf68cb47eb"/>
  </x:tableParts>
</x:worksheet>
</file>

<file path=xl/worksheets/sheet83.xml><?xml version="1.0" encoding="utf-8"?>
<x:worksheet xmlns:x="http://schemas.openxmlformats.org/spreadsheetml/2006/main">
  <x:sheetFormatPr defaultRowHeight="15"/>
  <x:cols>
    <x:col min="1" max="1" width="17" hidden="0" customWidth="1"/>
    <x:col min="2" max="2" width="28" hidden="0" customWidth="1"/>
    <x:col min="3" max="3" width="78" hidden="0" customWidth="1"/>
    <x:col min="4" max="4" width="72" hidden="0" customWidth="1"/>
    <x:col min="5" max="5" width="28" hidden="0" customWidth="1"/>
    <x:col min="6" max="6" width="82" hidden="0" customWidth="1"/>
    <x:col min="7" max="7" width="80" hidden="0" customWidth="1"/>
    <x:col min="8" max="8" width="66" hidden="0" customWidth="1"/>
    <x:col min="9" max="9" width="24" hidden="0" customWidth="1"/>
    <x:col min="10" max="10" width="32" hidden="0" customWidth="1"/>
  </x:cols>
  <x:sheetData>
    <x:row r="1" ht="15" hidden="0" customHeight="1">
      <x:c r="A1" s="201" t="str">
        <x:v>pattern_id</x:v>
      </x:c>
      <x:c r="B1" s="201" t="str">
        <x:v>domain</x:v>
      </x:c>
      <x:c r="C1" s="201" t="str">
        <x:v>proposed_pattern</x:v>
      </x:c>
      <x:c r="D1" s="201" t="str">
        <x:v>evidence_refs</x:v>
      </x:c>
      <x:c r="E1" s="201" t="str">
        <x:v>support</x:v>
      </x:c>
      <x:c r="F1" s="201" t="str">
        <x:v>direct_evidence</x:v>
      </x:c>
      <x:c r="G1" s="201" t="str">
        <x:v>inference_boundary</x:v>
      </x:c>
      <x:c r="H1" s="201" t="str">
        <x:v>runtime_value</x:v>
      </x:c>
      <x:c r="I1" s="201" t="str">
        <x:v>founder_review_required</x:v>
      </x:c>
      <x:c r="J1" s="201" t="str">
        <x:v>status</x:v>
      </x:c>
    </x:row>
    <x:row r="2" ht="39.599998474121094" hidden="0" customHeight="1">
      <x:c r="A2" s="46" t="str">
        <x:v>PAT-SHELL-001</x:v>
      </x:c>
      <x:c r="B2" s="46" t="str">
        <x:v>family decomposition</x:v>
      </x:c>
      <x:c r="C2" s="46" t="str">
        <x:v>Do not model shellfish as one generic chemical family. Preserve crustacean and bivalve-mollusk parents.</x:v>
      </x:c>
      <x:c r="D2" s="46" t="str">
        <x:v>SRC-SHRIMP-PROC-001; SRC-CRAB-MUSCLE-001; SRC-LOBSTER-GCO-001; SRC-SCALLOP-COOK-001; SRC-CLAM-BOIL-001; SRC-MUSSEL-GCO-001</x:v>
      </x:c>
      <x:c r="E2" s="46" t="str">
        <x:v>strong_cross_subfamily</x:v>
      </x:c>
      <x:c r="F2" s="46" t="str">
        <x:v>Both groups share lipid-derived carbonyl chemistry, but crustacean cooked aroma repeatedly emphasizes sulfur/Maillard/roasty odorants while bivalves retain a strong aldehyde/alcohol/ester/sulfur marine profile with different cooking behavior.</x:v>
      </x:c>
      <x:c r="G2" s="46" t="str">
        <x:v>This is an architecture boundary, not a claim that any single compound is exclusive to one subfamily.</x:v>
      </x:c>
      <x:c r="H2" s="46" t="str">
        <x:v>Prevents false generic-seafood inheritance.</x:v>
      </x:c>
      <x:c r="I2" s="46" t="str">
        <x:v>no</x:v>
      </x:c>
      <x:c r="J2" s="46" t="str">
        <x:v>governed_architecture_boundary</x:v>
      </x:c>
    </x:row>
    <x:row r="3" ht="26.399999618530273" hidden="0" customHeight="1">
      <x:c r="A3" s="46" t="str">
        <x:v>PAT-SHELL-002</x:v>
      </x:c>
      <x:c r="B3" s="46" t="str">
        <x:v>crustacean thermal transformation</x:v>
      </x:c>
      <x:c r="C3" s="46" t="str">
        <x:v>Crustacean cooking should be modeled as native member chemistry plus a thermal Maillard/sulfur/lipid-oxidation overlay with strong technique weighting.</x:v>
      </x:c>
      <x:c r="D3" s="46" t="str">
        <x:v>SRC-SHRIMP-PROC-001; SRC-LOBSTER-GCO-001; SRC-CRAYFISH-COOK-001</x:v>
      </x:c>
      <x:c r="E3" s="46" t="str">
        <x:v>strong_cross_member_state</x:v>
      </x:c>
      <x:c r="F3" s="46" t="str">
        <x:v>Shrimp changes materially across raw/boiled/dried/roasted states; lobster key odorants include Strecker/Maillard/sulfur chemistry; crayfish separates across six cooking methods.</x:v>
      </x:c>
      <x:c r="G3" s="46" t="str">
        <x:v>No automatic shrimp↔crab↔lobster↔crayfish compound-row inheritance is authorized here.</x:v>
      </x:c>
      <x:c r="H3" s="46" t="str">
        <x:v>Supports shared mechanism without flattening members.</x:v>
      </x:c>
      <x:c r="I3" s="46" t="str">
        <x:v>no</x:v>
      </x:c>
      <x:c r="J3" s="46" t="str">
        <x:v>evidence_supported_pattern</x:v>
      </x:c>
    </x:row>
    <x:row r="4" ht="39.599998474121094" hidden="0" customHeight="1">
      <x:c r="A4" s="46" t="str">
        <x:v>PAT-SHELL-003</x:v>
      </x:c>
      <x:c r="B4" s="46" t="str">
        <x:v>bivalve state weighting</x:v>
      </x:c>
      <x:c r="C4" s="46" t="str">
        <x:v>Scallop, clam and mussel support a bivalve parent in which cooking strongly reweights a broadly similar lipid-oxidation/carbonyl/alcohol backbone while esters, sulfur compounds and thermal furans create state/member deltas.</x:v>
      </x:c>
      <x:c r="D4" s="46" t="str">
        <x:v>SRC-SCALLOP-COOK-001; SRC-CLAM-BOIL-001; SRC-MUSSEL-GCO-001</x:v>
      </x:c>
      <x:c r="E4" s="46" t="str">
        <x:v>strong_cross_member</x:v>
      </x:c>
      <x:c r="F4" s="46" t="str">
        <x:v>Scallop categories remain similar while contents shift; clam boiling increases ester-linked pleasant seafood aroma and reduces sulfur-linked sea-sand odor; mussel origins show abundance rather than qualitative-set differences.</x:v>
      </x:c>
      <x:c r="G4" s="46" t="str">
        <x:v>Species, origin and preparation still require explicit provenance.</x:v>
      </x:c>
      <x:c r="H4" s="46" t="str">
        <x:v>Allows member-aware bivalve reasoning without generic mollusk flattening.</x:v>
      </x:c>
      <x:c r="I4" s="46" t="str">
        <x:v>no</x:v>
      </x:c>
      <x:c r="J4" s="46" t="str">
        <x:v>evidence_supported_pattern</x:v>
      </x:c>
    </x:row>
    <x:row r="5" ht="26.399999618530273" hidden="0" customHeight="1">
      <x:c r="A5" s="46" t="str">
        <x:v>PAT-SHELL-004</x:v>
      </x:c>
      <x:c r="B5" s="46" t="str">
        <x:v>anatomy/addition overlay</x:v>
      </x:c>
      <x:c r="C5" s="46" t="str">
        <x:v>Hepatopancreas, intestinal chyme, cooking water, beer and frying oil are overlays/material changes, not intrinsic muscle/tail chemistry.</x:v>
      </x:c>
      <x:c r="D5" s="46" t="str">
        <x:v>SRC-CRAB-MUSCLE-001; SRC-CRAYFISH-TAIL-001; SRC-SHRIMP-OAV-001; SRC-SCALLOP-COOK-001</x:v>
      </x:c>
      <x:c r="E5" s="46" t="str">
        <x:v>strong_governance</x:v>
      </x:c>
      <x:c r="F5" s="46" t="str">
        <x:v>Direct studies demonstrate organ, liquid and frying-medium effects on observed volatile profiles.</x:v>
      </x:c>
      <x:c r="G5" s="46" t="str">
        <x:v>Added-medium chemistry can be culinarily important but must remain source-state-specific.</x:v>
      </x:c>
      <x:c r="H5" s="46" t="str">
        <x:v>Prevents carrier/organ contamination of canonical member profiles.</x:v>
      </x:c>
      <x:c r="I5" s="46" t="str">
        <x:v>no</x:v>
      </x:c>
      <x:c r="J5" s="46" t="str">
        <x:v>governed_boundary</x:v>
      </x:c>
    </x:row>
  </x:sheetData>
  <x:pageMargins left="0.7" right="0.7" top="0.75" bottom="0.75" header="0.3" footer="0.3"/>
  <x:tableParts count="1">
    <x:tablePart xmlns:r="http://schemas.openxmlformats.org/officeDocument/2006/relationships" r:id="R70afe481c27844e4"/>
  </x:tableParts>
</x:worksheet>
</file>

<file path=xl/worksheets/sheet84.xml><?xml version="1.0" encoding="utf-8"?>
<x:worksheet xmlns:x="http://schemas.openxmlformats.org/spreadsheetml/2006/main">
  <x:sheetFormatPr defaultRowHeight="15"/>
  <x:cols>
    <x:col min="1" max="1" width="15" hidden="0" customWidth="1"/>
    <x:col min="2" max="2" width="30" hidden="0" customWidth="1"/>
    <x:col min="3" max="3" width="22" hidden="0" customWidth="1"/>
    <x:col min="4" max="4" width="22" hidden="0" customWidth="1"/>
    <x:col min="5" max="5" width="28" hidden="0" customWidth="1"/>
    <x:col min="6" max="6" width="22" hidden="0" customWidth="1"/>
    <x:col min="7" max="7" width="22" hidden="0" customWidth="1"/>
    <x:col min="8" max="8" width="32" hidden="0" customWidth="1"/>
    <x:col min="9" max="9" width="30" hidden="0" customWidth="1"/>
    <x:col min="10" max="10" width="12" hidden="0" customWidth="1"/>
    <x:col min="11" max="11" width="15" hidden="0" customWidth="1"/>
    <x:col min="12" max="12" width="15" hidden="0" customWidth="1"/>
    <x:col min="13" max="13" width="16" hidden="0" customWidth="1"/>
    <x:col min="14" max="14" width="16" hidden="0" customWidth="1"/>
    <x:col min="15" max="15" width="14" hidden="0" customWidth="1"/>
    <x:col min="16" max="16" width="46" hidden="0" customWidth="1"/>
    <x:col min="17" max="17" width="18" hidden="0" customWidth="1"/>
    <x:col min="18" max="18" width="34" hidden="0" customWidth="1"/>
    <x:col min="19" max="19" width="14" hidden="0" customWidth="1"/>
    <x:col min="20" max="20" width="14" hidden="0" customWidth="1"/>
    <x:col min="21" max="21" width="24" hidden="0" customWidth="1"/>
    <x:col min="22" max="22" width="34" hidden="0" customWidth="1"/>
    <x:col min="23" max="23" width="70" hidden="0" customWidth="1"/>
  </x:cols>
  <x:sheetData>
    <x:row r="1" ht="15" hidden="0" customHeight="1">
      <x:c r="A1" s="201" t="str">
        <x:v>record_id</x:v>
      </x:c>
      <x:c r="B1" s="201" t="str">
        <x:v>product_id</x:v>
      </x:c>
      <x:c r="C1" s="201" t="str">
        <x:v>family_id</x:v>
      </x:c>
      <x:c r="D1" s="201" t="str">
        <x:v>material</x:v>
      </x:c>
      <x:c r="E1" s="201" t="str">
        <x:v>source_id</x:v>
      </x:c>
      <x:c r="F1" s="201" t="str">
        <x:v>source_group</x:v>
      </x:c>
      <x:c r="G1" s="201" t="str">
        <x:v>normalized_group</x:v>
      </x:c>
      <x:c r="H1" s="201" t="str">
        <x:v>feature_name</x:v>
      </x:c>
      <x:c r="I1" s="201" t="str">
        <x:v>compound_name_base</x:v>
      </x:c>
      <x:c r="J1" s="201" t="str">
        <x:v>feature_form</x:v>
      </x:c>
      <x:c r="K1" s="201" t="str">
        <x:v>cas_source</x:v>
      </x:c>
      <x:c r="L1" s="201" t="str">
        <x:v>formula</x:v>
      </x:c>
      <x:c r="M1" s="201" t="str">
        <x:v>retention_index</x:v>
      </x:c>
      <x:c r="N1" s="201" t="str">
        <x:v>retention_time_s</x:v>
      </x:c>
      <x:c r="O1" s="201" t="str">
        <x:v>drift_time_ms</x:v>
      </x:c>
      <x:c r="P1" s="201" t="str">
        <x:v>identification_method</x:v>
      </x:c>
      <x:c r="Q1" s="201" t="str">
        <x:v>numeric_match_factor</x:v>
      </x:c>
      <x:c r="R1" s="201" t="str">
        <x:v>mr09_status</x:v>
      </x:c>
      <x:c r="S1" s="201" t="str">
        <x:v>FMM_intensity</x:v>
      </x:c>
      <x:c r="T1" s="201" t="str">
        <x:v>IMM_intensity</x:v>
      </x:c>
      <x:c r="U1" s="201" t="str">
        <x:v>metric</x:v>
      </x:c>
      <x:c r="V1" s="201" t="str">
        <x:v>diet_delta_flag</x:v>
      </x:c>
      <x:c r="W1" s="201" t="str">
        <x:v>notes</x:v>
      </x:c>
    </x:row>
    <x:row r="2" ht="26.399999618530273" hidden="0" customHeight="1">
      <x:c r="A2" s="46" t="str">
        <x:v>DCRAB-001</x:v>
      </x:c>
      <x:c r="B2" s="46" t="str">
        <x:v>crustacean:chinese_mitten_crab</x:v>
      </x:c>
      <x:c r="C2" s="46" t="str">
        <x:v>family:crustacean</x:v>
      </x:c>
      <x:c r="D2" s="46" t="str">
        <x:v>male crab muscle</x:v>
      </x:c>
      <x:c r="E2" s="46" t="str">
        <x:v>SRC-CRAB-MUSCLE-001</x:v>
      </x:c>
      <x:c r="F2" s="46" t="str">
        <x:v>Aldehydes</x:v>
      </x:c>
      <x:c r="G2" s="46" t="str">
        <x:v>Aldehydes</x:v>
      </x:c>
      <x:c r="H2" s="46" t="str">
        <x:v>Benzaldehyde-M</x:v>
      </x:c>
      <x:c r="I2" s="46" t="str">
        <x:v>Benzaldehyde</x:v>
      </x:c>
      <x:c r="J2" s="46" t="str">
        <x:v>M</x:v>
      </x:c>
      <x:c r="K2" s="46" t="str">
        <x:v>C100527</x:v>
      </x:c>
      <x:c r="L2" s="46" t="str">
        <x:v>C7H6O</x:v>
      </x:c>
      <x:c r="M2" s="46" t="n">
        <x:v>957.7</x:v>
      </x:c>
      <x:c r="N2" s="46" t="n">
        <x:v>311.3</x:v>
      </x:c>
      <x:c r="O2" s="46" t="n">
        <x:v>1.1</x:v>
      </x:c>
      <x:c r="P2" s="46" t="str">
        <x:v>C4-C9 n-ketone RI standards + GC-IMS library</x:v>
      </x:c>
      <x:c r="Q2" s="46"/>
      <x:c r="R2" s="46" t="str">
        <x:v>ri_rt_drift_reported_no_numeric_match_factor</x:v>
      </x:c>
      <x:c r="S2" s="46" t="n">
        <x:v>588.8</x:v>
      </x:c>
      <x:c r="T2" s="46" t="n">
        <x:v>544.5</x:v>
      </x:c>
      <x:c r="U2" s="46" t="str">
        <x:v>GC-IMS intensity (volume)</x:v>
      </x:c>
      <x:c r="V2" s="46" t="str">
        <x:v>no_significant_direction_flag_in_source_summary</x:v>
      </x:c>
      <x:c r="W2" s="46" t="str">
        <x:v>FMM=formulated-feed male muscle; IMM=iced-trash-fish-fed male muscle. Diet comparison is a weighting context, not separate crab species.</x:v>
      </x:c>
    </x:row>
    <x:row r="3" ht="26.399999618530273" hidden="0" customHeight="1">
      <x:c r="A3" s="46" t="str">
        <x:v>DCRAB-002</x:v>
      </x:c>
      <x:c r="B3" s="46" t="str">
        <x:v>crustacean:chinese_mitten_crab</x:v>
      </x:c>
      <x:c r="C3" s="46" t="str">
        <x:v>family:crustacean</x:v>
      </x:c>
      <x:c r="D3" s="46" t="str">
        <x:v>male crab muscle</x:v>
      </x:c>
      <x:c r="E3" s="46" t="str">
        <x:v>SRC-CRAB-MUSCLE-001</x:v>
      </x:c>
      <x:c r="F3" s="46" t="str">
        <x:v>Aldehydes</x:v>
      </x:c>
      <x:c r="G3" s="46" t="str">
        <x:v>Aldehydes</x:v>
      </x:c>
      <x:c r="H3" s="46" t="str">
        <x:v>Benzaldehyde-D</x:v>
      </x:c>
      <x:c r="I3" s="46" t="str">
        <x:v>Benzaldehyde</x:v>
      </x:c>
      <x:c r="J3" s="46" t="str">
        <x:v>D</x:v>
      </x:c>
      <x:c r="K3" s="46" t="str">
        <x:v>C100527</x:v>
      </x:c>
      <x:c r="L3" s="46" t="str">
        <x:v>C7H6O</x:v>
      </x:c>
      <x:c r="M3" s="46" t="n">
        <x:v>957</x:v>
      </x:c>
      <x:c r="N3" s="46" t="n">
        <x:v>310.8</x:v>
      </x:c>
      <x:c r="O3" s="46" t="n">
        <x:v>1.5</x:v>
      </x:c>
      <x:c r="P3" s="46" t="str">
        <x:v>C4-C9 n-ketone RI standards + GC-IMS library</x:v>
      </x:c>
      <x:c r="Q3" s="46"/>
      <x:c r="R3" s="46" t="str">
        <x:v>ri_rt_drift_reported_no_numeric_match_factor</x:v>
      </x:c>
      <x:c r="S3" s="46" t="n">
        <x:v>213</x:v>
      </x:c>
      <x:c r="T3" s="46" t="n">
        <x:v>202</x:v>
      </x:c>
      <x:c r="U3" s="46" t="str">
        <x:v>GC-IMS intensity (volume)</x:v>
      </x:c>
      <x:c r="V3" s="46" t="str">
        <x:v>no_significant_direction_flag_in_source_summary</x:v>
      </x:c>
      <x:c r="W3" s="46" t="str">
        <x:v>FMM=formulated-feed male muscle; IMM=iced-trash-fish-fed male muscle. Diet comparison is a weighting context, not separate crab species.</x:v>
      </x:c>
    </x:row>
    <x:row r="4" ht="26.399999618530273" hidden="0" customHeight="1">
      <x:c r="A4" s="46" t="str">
        <x:v>DCRAB-003</x:v>
      </x:c>
      <x:c r="B4" s="46" t="str">
        <x:v>crustacean:chinese_mitten_crab</x:v>
      </x:c>
      <x:c r="C4" s="46" t="str">
        <x:v>family:crustacean</x:v>
      </x:c>
      <x:c r="D4" s="46" t="str">
        <x:v>male crab muscle</x:v>
      </x:c>
      <x:c r="E4" s="46" t="str">
        <x:v>SRC-CRAB-MUSCLE-001</x:v>
      </x:c>
      <x:c r="F4" s="46" t="str">
        <x:v>Aldehydes</x:v>
      </x:c>
      <x:c r="G4" s="46" t="str">
        <x:v>Aldehydes</x:v>
      </x:c>
      <x:c r="H4" s="46" t="str">
        <x:v>Heptanal-D</x:v>
      </x:c>
      <x:c r="I4" s="46" t="str">
        <x:v>Heptanal</x:v>
      </x:c>
      <x:c r="J4" s="46" t="str">
        <x:v>D</x:v>
      </x:c>
      <x:c r="K4" s="46" t="str">
        <x:v>C111717</x:v>
      </x:c>
      <x:c r="L4" s="46" t="str">
        <x:v>C7H14O</x:v>
      </x:c>
      <x:c r="M4" s="46" t="n">
        <x:v>899.3</x:v>
      </x:c>
      <x:c r="N4" s="46" t="n">
        <x:v>260.8</x:v>
      </x:c>
      <x:c r="O4" s="46" t="n">
        <x:v>1.7</x:v>
      </x:c>
      <x:c r="P4" s="46" t="str">
        <x:v>C4-C9 n-ketone RI standards + GC-IMS library</x:v>
      </x:c>
      <x:c r="Q4" s="46"/>
      <x:c r="R4" s="46" t="str">
        <x:v>ri_rt_drift_reported_no_numeric_match_factor</x:v>
      </x:c>
      <x:c r="S4" s="46" t="n">
        <x:v>74.2</x:v>
      </x:c>
      <x:c r="T4" s="46" t="n">
        <x:v>62.2</x:v>
      </x:c>
      <x:c r="U4" s="46" t="str">
        <x:v>GC-IMS intensity (volume)</x:v>
      </x:c>
      <x:c r="V4" s="46" t="str">
        <x:v>no_significant_direction_flag_in_source_summary</x:v>
      </x:c>
      <x:c r="W4" s="46" t="str">
        <x:v>FMM=formulated-feed male muscle; IMM=iced-trash-fish-fed male muscle. Diet comparison is a weighting context, not separate crab species.</x:v>
      </x:c>
    </x:row>
    <x:row r="5" ht="26.399999618530273" hidden="0" customHeight="1">
      <x:c r="A5" s="46" t="str">
        <x:v>DCRAB-004</x:v>
      </x:c>
      <x:c r="B5" s="46" t="str">
        <x:v>crustacean:chinese_mitten_crab</x:v>
      </x:c>
      <x:c r="C5" s="46" t="str">
        <x:v>family:crustacean</x:v>
      </x:c>
      <x:c r="D5" s="46" t="str">
        <x:v>male crab muscle</x:v>
      </x:c>
      <x:c r="E5" s="46" t="str">
        <x:v>SRC-CRAB-MUSCLE-001</x:v>
      </x:c>
      <x:c r="F5" s="46" t="str">
        <x:v>Aldehydes</x:v>
      </x:c>
      <x:c r="G5" s="46" t="str">
        <x:v>Aldehydes</x:v>
      </x:c>
      <x:c r="H5" s="46" t="str">
        <x:v>Hexanal-D</x:v>
      </x:c>
      <x:c r="I5" s="46" t="str">
        <x:v>Hexanal</x:v>
      </x:c>
      <x:c r="J5" s="46" t="str">
        <x:v>D</x:v>
      </x:c>
      <x:c r="K5" s="46" t="str">
        <x:v>C66251</x:v>
      </x:c>
      <x:c r="L5" s="46" t="str">
        <x:v>C6H12O</x:v>
      </x:c>
      <x:c r="M5" s="46" t="n">
        <x:v>791.5</x:v>
      </x:c>
      <x:c r="N5" s="46" t="n">
        <x:v>198.1</x:v>
      </x:c>
      <x:c r="O5" s="46" t="n">
        <x:v>1.6</x:v>
      </x:c>
      <x:c r="P5" s="46" t="str">
        <x:v>C4-C9 n-ketone RI standards + GC-IMS library</x:v>
      </x:c>
      <x:c r="Q5" s="46"/>
      <x:c r="R5" s="46" t="str">
        <x:v>ri_rt_drift_reported_no_numeric_match_factor</x:v>
      </x:c>
      <x:c r="S5" s="46" t="n">
        <x:v>497.3</x:v>
      </x:c>
      <x:c r="T5" s="46" t="n">
        <x:v>284</x:v>
      </x:c>
      <x:c r="U5" s="46" t="str">
        <x:v>GC-IMS intensity (volume)</x:v>
      </x:c>
      <x:c r="V5" s="46" t="str">
        <x:v>no_significant_direction_flag_in_source_summary</x:v>
      </x:c>
      <x:c r="W5" s="46" t="str">
        <x:v>FMM=formulated-feed male muscle; IMM=iced-trash-fish-fed male muscle. Diet comparison is a weighting context, not separate crab species.</x:v>
      </x:c>
    </x:row>
    <x:row r="6" ht="26.399999618530273" hidden="0" customHeight="1">
      <x:c r="A6" s="46" t="str">
        <x:v>DCRAB-005</x:v>
      </x:c>
      <x:c r="B6" s="46" t="str">
        <x:v>crustacean:chinese_mitten_crab</x:v>
      </x:c>
      <x:c r="C6" s="46" t="str">
        <x:v>family:crustacean</x:v>
      </x:c>
      <x:c r="D6" s="46" t="str">
        <x:v>male crab muscle</x:v>
      </x:c>
      <x:c r="E6" s="46" t="str">
        <x:v>SRC-CRAB-MUSCLE-001</x:v>
      </x:c>
      <x:c r="F6" s="46" t="str">
        <x:v>Aldehydes</x:v>
      </x:c>
      <x:c r="G6" s="46" t="str">
        <x:v>Aldehydes</x:v>
      </x:c>
      <x:c r="H6" s="46" t="str">
        <x:v>Hexanal-M</x:v>
      </x:c>
      <x:c r="I6" s="46" t="str">
        <x:v>Hexanal</x:v>
      </x:c>
      <x:c r="J6" s="46" t="str">
        <x:v>M</x:v>
      </x:c>
      <x:c r="K6" s="46" t="str">
        <x:v>C66251</x:v>
      </x:c>
      <x:c r="L6" s="46" t="str">
        <x:v>C6H12O</x:v>
      </x:c>
      <x:c r="M6" s="46" t="n">
        <x:v>791.8</x:v>
      </x:c>
      <x:c r="N6" s="46" t="n">
        <x:v>198.3</x:v>
      </x:c>
      <x:c r="O6" s="46" t="n">
        <x:v>1.3</x:v>
      </x:c>
      <x:c r="P6" s="46" t="str">
        <x:v>C4-C9 n-ketone RI standards + GC-IMS library</x:v>
      </x:c>
      <x:c r="Q6" s="46"/>
      <x:c r="R6" s="46" t="str">
        <x:v>ri_rt_drift_reported_no_numeric_match_factor</x:v>
      </x:c>
      <x:c r="S6" s="46" t="n">
        <x:v>565.4</x:v>
      </x:c>
      <x:c r="T6" s="46" t="n">
        <x:v>454.6</x:v>
      </x:c>
      <x:c r="U6" s="46" t="str">
        <x:v>GC-IMS intensity (volume)</x:v>
      </x:c>
      <x:c r="V6" s="46" t="str">
        <x:v>no_significant_direction_flag_in_source_summary</x:v>
      </x:c>
      <x:c r="W6" s="46" t="str">
        <x:v>FMM=formulated-feed male muscle; IMM=iced-trash-fish-fed male muscle. Diet comparison is a weighting context, not separate crab species.</x:v>
      </x:c>
    </x:row>
    <x:row r="7" ht="26.399999618530273" hidden="0" customHeight="1">
      <x:c r="A7" s="46" t="str">
        <x:v>DCRAB-006</x:v>
      </x:c>
      <x:c r="B7" s="46" t="str">
        <x:v>crustacean:chinese_mitten_crab</x:v>
      </x:c>
      <x:c r="C7" s="46" t="str">
        <x:v>family:crustacean</x:v>
      </x:c>
      <x:c r="D7" s="46" t="str">
        <x:v>male crab muscle</x:v>
      </x:c>
      <x:c r="E7" s="46" t="str">
        <x:v>SRC-CRAB-MUSCLE-001</x:v>
      </x:c>
      <x:c r="F7" s="46" t="str">
        <x:v>Aldehydes</x:v>
      </x:c>
      <x:c r="G7" s="46" t="str">
        <x:v>Aldehydes</x:v>
      </x:c>
      <x:c r="H7" s="46" t="str">
        <x:v>Pentanal-M</x:v>
      </x:c>
      <x:c r="I7" s="46" t="str">
        <x:v>Pentanal</x:v>
      </x:c>
      <x:c r="J7" s="46" t="str">
        <x:v>M</x:v>
      </x:c>
      <x:c r="K7" s="46" t="str">
        <x:v>C110623</x:v>
      </x:c>
      <x:c r="L7" s="46" t="str">
        <x:v>C5H10O</x:v>
      </x:c>
      <x:c r="M7" s="46" t="n">
        <x:v>698.6</x:v>
      </x:c>
      <x:c r="N7" s="46" t="n">
        <x:v>152.8</x:v>
      </x:c>
      <x:c r="O7" s="46" t="n">
        <x:v>1.2</x:v>
      </x:c>
      <x:c r="P7" s="46" t="str">
        <x:v>C4-C9 n-ketone RI standards + GC-IMS library</x:v>
      </x:c>
      <x:c r="Q7" s="46"/>
      <x:c r="R7" s="46" t="str">
        <x:v>ri_rt_drift_reported_no_numeric_match_factor</x:v>
      </x:c>
      <x:c r="S7" s="46" t="n">
        <x:v>435.2</x:v>
      </x:c>
      <x:c r="T7" s="46" t="n">
        <x:v>364</x:v>
      </x:c>
      <x:c r="U7" s="46" t="str">
        <x:v>GC-IMS intensity (volume)</x:v>
      </x:c>
      <x:c r="V7" s="46" t="str">
        <x:v>no_significant_direction_flag_in_source_summary</x:v>
      </x:c>
      <x:c r="W7" s="46" t="str">
        <x:v>FMM=formulated-feed male muscle; IMM=iced-trash-fish-fed male muscle. Diet comparison is a weighting context, not separate crab species.</x:v>
      </x:c>
    </x:row>
    <x:row r="8" ht="26.399999618530273" hidden="0" customHeight="1">
      <x:c r="A8" s="46" t="str">
        <x:v>DCRAB-007</x:v>
      </x:c>
      <x:c r="B8" s="46" t="str">
        <x:v>crustacean:chinese_mitten_crab</x:v>
      </x:c>
      <x:c r="C8" s="46" t="str">
        <x:v>family:crustacean</x:v>
      </x:c>
      <x:c r="D8" s="46" t="str">
        <x:v>male crab muscle</x:v>
      </x:c>
      <x:c r="E8" s="46" t="str">
        <x:v>SRC-CRAB-MUSCLE-001</x:v>
      </x:c>
      <x:c r="F8" s="46" t="str">
        <x:v>Aldehydes</x:v>
      </x:c>
      <x:c r="G8" s="46" t="str">
        <x:v>Aldehydes</x:v>
      </x:c>
      <x:c r="H8" s="46" t="str">
        <x:v>Pentanal-D</x:v>
      </x:c>
      <x:c r="I8" s="46" t="str">
        <x:v>Pentanal</x:v>
      </x:c>
      <x:c r="J8" s="46" t="str">
        <x:v>D</x:v>
      </x:c>
      <x:c r="K8" s="46" t="str">
        <x:v>C110623</x:v>
      </x:c>
      <x:c r="L8" s="46" t="str">
        <x:v>C5H10O</x:v>
      </x:c>
      <x:c r="M8" s="46" t="n">
        <x:v>700.2</x:v>
      </x:c>
      <x:c r="N8" s="46" t="n">
        <x:v>153.5</x:v>
      </x:c>
      <x:c r="O8" s="46" t="n">
        <x:v>1.4</x:v>
      </x:c>
      <x:c r="P8" s="46" t="str">
        <x:v>C4-C9 n-ketone RI standards + GC-IMS library</x:v>
      </x:c>
      <x:c r="Q8" s="46"/>
      <x:c r="R8" s="46" t="str">
        <x:v>ri_rt_drift_reported_no_numeric_match_factor</x:v>
      </x:c>
      <x:c r="S8" s="46" t="n">
        <x:v>492.9</x:v>
      </x:c>
      <x:c r="T8" s="46" t="n">
        <x:v>547</x:v>
      </x:c>
      <x:c r="U8" s="46" t="str">
        <x:v>GC-IMS intensity (volume)</x:v>
      </x:c>
      <x:c r="V8" s="46" t="str">
        <x:v>no_significant_direction_flag_in_source_summary</x:v>
      </x:c>
      <x:c r="W8" s="46" t="str">
        <x:v>FMM=formulated-feed male muscle; IMM=iced-trash-fish-fed male muscle. Diet comparison is a weighting context, not separate crab species.</x:v>
      </x:c>
    </x:row>
    <x:row r="9" ht="26.399999618530273" hidden="0" customHeight="1">
      <x:c r="A9" s="46" t="str">
        <x:v>DCRAB-008</x:v>
      </x:c>
      <x:c r="B9" s="46" t="str">
        <x:v>crustacean:chinese_mitten_crab</x:v>
      </x:c>
      <x:c r="C9" s="46" t="str">
        <x:v>family:crustacean</x:v>
      </x:c>
      <x:c r="D9" s="46" t="str">
        <x:v>male crab muscle</x:v>
      </x:c>
      <x:c r="E9" s="46" t="str">
        <x:v>SRC-CRAB-MUSCLE-001</x:v>
      </x:c>
      <x:c r="F9" s="46" t="str">
        <x:v>Aldehydes</x:v>
      </x:c>
      <x:c r="G9" s="46" t="str">
        <x:v>Aldehydes</x:v>
      </x:c>
      <x:c r="H9" s="46" t="str">
        <x:v>3-methylbutanal-M</x:v>
      </x:c>
      <x:c r="I9" s="46" t="str">
        <x:v>3-methylbutanal</x:v>
      </x:c>
      <x:c r="J9" s="46" t="str">
        <x:v>M</x:v>
      </x:c>
      <x:c r="K9" s="46" t="str">
        <x:v>C590863</x:v>
      </x:c>
      <x:c r="L9" s="46" t="str">
        <x:v>C5H10O</x:v>
      </x:c>
      <x:c r="M9" s="46" t="n">
        <x:v>654.1</x:v>
      </x:c>
      <x:c r="N9" s="46" t="n">
        <x:v>132.5</x:v>
      </x:c>
      <x:c r="O9" s="46" t="n">
        <x:v>1.2</x:v>
      </x:c>
      <x:c r="P9" s="46" t="str">
        <x:v>C4-C9 n-ketone RI standards + GC-IMS library</x:v>
      </x:c>
      <x:c r="Q9" s="46"/>
      <x:c r="R9" s="46" t="str">
        <x:v>ri_rt_drift_reported_no_numeric_match_factor</x:v>
      </x:c>
      <x:c r="S9" s="46" t="n">
        <x:v>723</x:v>
      </x:c>
      <x:c r="T9" s="46" t="n">
        <x:v>501.8</x:v>
      </x:c>
      <x:c r="U9" s="46" t="str">
        <x:v>GC-IMS intensity (volume)</x:v>
      </x:c>
      <x:c r="V9" s="46" t="str">
        <x:v>diet_significant_FMM_higher</x:v>
      </x:c>
      <x:c r="W9" s="46" t="str">
        <x:v>FMM=formulated-feed male muscle; IMM=iced-trash-fish-fed male muscle. Diet comparison is a weighting context, not separate crab species.</x:v>
      </x:c>
    </x:row>
    <x:row r="10" ht="26.399999618530273" hidden="0" customHeight="1">
      <x:c r="A10" s="46" t="str">
        <x:v>DCRAB-009</x:v>
      </x:c>
      <x:c r="B10" s="46" t="str">
        <x:v>crustacean:chinese_mitten_crab</x:v>
      </x:c>
      <x:c r="C10" s="46" t="str">
        <x:v>family:crustacean</x:v>
      </x:c>
      <x:c r="D10" s="46" t="str">
        <x:v>male crab muscle</x:v>
      </x:c>
      <x:c r="E10" s="46" t="str">
        <x:v>SRC-CRAB-MUSCLE-001</x:v>
      </x:c>
      <x:c r="F10" s="46" t="str">
        <x:v>Aldehydes</x:v>
      </x:c>
      <x:c r="G10" s="46" t="str">
        <x:v>Aldehydes</x:v>
      </x:c>
      <x:c r="H10" s="46" t="str">
        <x:v>3-methylbutanal-D</x:v>
      </x:c>
      <x:c r="I10" s="46" t="str">
        <x:v>3-methylbutanal</x:v>
      </x:c>
      <x:c r="J10" s="46" t="str">
        <x:v>D</x:v>
      </x:c>
      <x:c r="K10" s="46" t="str">
        <x:v>C590863</x:v>
      </x:c>
      <x:c r="L10" s="46" t="str">
        <x:v>C5H10O</x:v>
      </x:c>
      <x:c r="M10" s="46" t="n">
        <x:v>656.9</x:v>
      </x:c>
      <x:c r="N10" s="46" t="n">
        <x:v>133.8</x:v>
      </x:c>
      <x:c r="O10" s="46" t="n">
        <x:v>1.4</x:v>
      </x:c>
      <x:c r="P10" s="46" t="str">
        <x:v>C4-C9 n-ketone RI standards + GC-IMS library</x:v>
      </x:c>
      <x:c r="Q10" s="46"/>
      <x:c r="R10" s="46" t="str">
        <x:v>ri_rt_drift_reported_no_numeric_match_factor</x:v>
      </x:c>
      <x:c r="S10" s="46" t="n">
        <x:v>1628.7</x:v>
      </x:c>
      <x:c r="T10" s="46" t="n">
        <x:v>1386.4</x:v>
      </x:c>
      <x:c r="U10" s="46" t="str">
        <x:v>GC-IMS intensity (volume)</x:v>
      </x:c>
      <x:c r="V10" s="46" t="str">
        <x:v>no_significant_direction_flag_in_source_summary</x:v>
      </x:c>
      <x:c r="W10" s="46" t="str">
        <x:v>FMM=formulated-feed male muscle; IMM=iced-trash-fish-fed male muscle. Diet comparison is a weighting context, not separate crab species.</x:v>
      </x:c>
    </x:row>
    <x:row r="11" ht="26.399999618530273" hidden="0" customHeight="1">
      <x:c r="A11" s="46" t="str">
        <x:v>DCRAB-010</x:v>
      </x:c>
      <x:c r="B11" s="46" t="str">
        <x:v>crustacean:chinese_mitten_crab</x:v>
      </x:c>
      <x:c r="C11" s="46" t="str">
        <x:v>family:crustacean</x:v>
      </x:c>
      <x:c r="D11" s="46" t="str">
        <x:v>male crab muscle</x:v>
      </x:c>
      <x:c r="E11" s="46" t="str">
        <x:v>SRC-CRAB-MUSCLE-001</x:v>
      </x:c>
      <x:c r="F11" s="46" t="str">
        <x:v>Aldehydes</x:v>
      </x:c>
      <x:c r="G11" s="46" t="str">
        <x:v>Aldehydes</x:v>
      </x:c>
      <x:c r="H11" s="46" t="str">
        <x:v>Heptanal-M</x:v>
      </x:c>
      <x:c r="I11" s="46" t="str">
        <x:v>Heptanal</x:v>
      </x:c>
      <x:c r="J11" s="46" t="str">
        <x:v>M</x:v>
      </x:c>
      <x:c r="K11" s="46" t="str">
        <x:v>C111717</x:v>
      </x:c>
      <x:c r="L11" s="46" t="str">
        <x:v>C7H14O</x:v>
      </x:c>
      <x:c r="M11" s="46" t="n">
        <x:v>900.4</x:v>
      </x:c>
      <x:c r="N11" s="46" t="n">
        <x:v>261.7</x:v>
      </x:c>
      <x:c r="O11" s="46" t="n">
        <x:v>1.3</x:v>
      </x:c>
      <x:c r="P11" s="46" t="str">
        <x:v>C4-C9 n-ketone RI standards + GC-IMS library</x:v>
      </x:c>
      <x:c r="Q11" s="46"/>
      <x:c r="R11" s="46" t="str">
        <x:v>ri_rt_drift_reported_no_numeric_match_factor</x:v>
      </x:c>
      <x:c r="S11" s="46" t="n">
        <x:v>245.2</x:v>
      </x:c>
      <x:c r="T11" s="46" t="n">
        <x:v>182.1</x:v>
      </x:c>
      <x:c r="U11" s="46" t="str">
        <x:v>GC-IMS intensity (volume)</x:v>
      </x:c>
      <x:c r="V11" s="46" t="str">
        <x:v>no_significant_direction_flag_in_source_summary</x:v>
      </x:c>
      <x:c r="W11" s="46" t="str">
        <x:v>FMM=formulated-feed male muscle; IMM=iced-trash-fish-fed male muscle. Diet comparison is a weighting context, not separate crab species.</x:v>
      </x:c>
    </x:row>
    <x:row r="12" ht="26.399999618530273" hidden="0" customHeight="1">
      <x:c r="A12" s="46" t="str">
        <x:v>DCRAB-011</x:v>
      </x:c>
      <x:c r="B12" s="46" t="str">
        <x:v>crustacean:chinese_mitten_crab</x:v>
      </x:c>
      <x:c r="C12" s="46" t="str">
        <x:v>family:crustacean</x:v>
      </x:c>
      <x:c r="D12" s="46" t="str">
        <x:v>male crab muscle</x:v>
      </x:c>
      <x:c r="E12" s="46" t="str">
        <x:v>SRC-CRAB-MUSCLE-001</x:v>
      </x:c>
      <x:c r="F12" s="46" t="str">
        <x:v>Aldehydes</x:v>
      </x:c>
      <x:c r="G12" s="46" t="str">
        <x:v>Aldehydes</x:v>
      </x:c>
      <x:c r="H12" s="46" t="str">
        <x:v>Propanal</x:v>
      </x:c>
      <x:c r="I12" s="46" t="str">
        <x:v>Propanal</x:v>
      </x:c>
      <x:c r="J12" s="46"/>
      <x:c r="K12" s="46" t="str">
        <x:v>C123386</x:v>
      </x:c>
      <x:c r="L12" s="46" t="str">
        <x:v>C3H6O</x:v>
      </x:c>
      <x:c r="M12" s="46" t="n">
        <x:v>493.4</x:v>
      </x:c>
      <x:c r="N12" s="46" t="n">
        <x:v>60.9</x:v>
      </x:c>
      <x:c r="O12" s="46" t="n">
        <x:v>1</x:v>
      </x:c>
      <x:c r="P12" s="46" t="str">
        <x:v>C4-C9 n-ketone RI standards + GC-IMS library</x:v>
      </x:c>
      <x:c r="Q12" s="46"/>
      <x:c r="R12" s="46" t="str">
        <x:v>ri_rt_drift_reported_no_numeric_match_factor</x:v>
      </x:c>
      <x:c r="S12" s="46" t="n">
        <x:v>809</x:v>
      </x:c>
      <x:c r="T12" s="46" t="n">
        <x:v>308.3</x:v>
      </x:c>
      <x:c r="U12" s="46" t="str">
        <x:v>GC-IMS intensity (volume)</x:v>
      </x:c>
      <x:c r="V12" s="46" t="str">
        <x:v>diet_significant_FMM_higher</x:v>
      </x:c>
      <x:c r="W12" s="46" t="str">
        <x:v>FMM=formulated-feed male muscle; IMM=iced-trash-fish-fed male muscle. Diet comparison is a weighting context, not separate crab species.</x:v>
      </x:c>
    </x:row>
    <x:row r="13" ht="26.399999618530273" hidden="0" customHeight="1">
      <x:c r="A13" s="46" t="str">
        <x:v>DCRAB-012</x:v>
      </x:c>
      <x:c r="B13" s="46" t="str">
        <x:v>crustacean:chinese_mitten_crab</x:v>
      </x:c>
      <x:c r="C13" s="46" t="str">
        <x:v>family:crustacean</x:v>
      </x:c>
      <x:c r="D13" s="46" t="str">
        <x:v>male crab muscle</x:v>
      </x:c>
      <x:c r="E13" s="46" t="str">
        <x:v>SRC-CRAB-MUSCLE-001</x:v>
      </x:c>
      <x:c r="F13" s="46" t="str">
        <x:v>Aldehydes</x:v>
      </x:c>
      <x:c r="G13" s="46" t="str">
        <x:v>Aldehydes</x:v>
      </x:c>
      <x:c r="H13" s="46" t="str">
        <x:v>(E)-2-pentenal</x:v>
      </x:c>
      <x:c r="I13" s="46" t="str">
        <x:v>(E)-2-pentenal</x:v>
      </x:c>
      <x:c r="J13" s="46"/>
      <x:c r="K13" s="46" t="str">
        <x:v>C1576870</x:v>
      </x:c>
      <x:c r="L13" s="46" t="str">
        <x:v>C5H8O</x:v>
      </x:c>
      <x:c r="M13" s="46" t="n">
        <x:v>752.4</x:v>
      </x:c>
      <x:c r="N13" s="46" t="n">
        <x:v>178.7</x:v>
      </x:c>
      <x:c r="O13" s="46" t="n">
        <x:v>1.1</x:v>
      </x:c>
      <x:c r="P13" s="46" t="str">
        <x:v>C4-C9 n-ketone RI standards + GC-IMS library</x:v>
      </x:c>
      <x:c r="Q13" s="46"/>
      <x:c r="R13" s="46" t="str">
        <x:v>ri_rt_drift_reported_no_numeric_match_factor</x:v>
      </x:c>
      <x:c r="S13" s="46" t="n">
        <x:v>38.7</x:v>
      </x:c>
      <x:c r="T13" s="46" t="n">
        <x:v>19.8</x:v>
      </x:c>
      <x:c r="U13" s="46" t="str">
        <x:v>GC-IMS intensity (volume)</x:v>
      </x:c>
      <x:c r="V13" s="46" t="str">
        <x:v>diet_significant_FMM_higher</x:v>
      </x:c>
      <x:c r="W13" s="46" t="str">
        <x:v>FMM=formulated-feed male muscle; IMM=iced-trash-fish-fed male muscle. Diet comparison is a weighting context, not separate crab species.</x:v>
      </x:c>
    </x:row>
    <x:row r="14" ht="26.399999618530273" hidden="0" customHeight="1">
      <x:c r="A14" s="46" t="str">
        <x:v>DCRAB-013</x:v>
      </x:c>
      <x:c r="B14" s="46" t="str">
        <x:v>crustacean:chinese_mitten_crab</x:v>
      </x:c>
      <x:c r="C14" s="46" t="str">
        <x:v>family:crustacean</x:v>
      </x:c>
      <x:c r="D14" s="46" t="str">
        <x:v>male crab muscle</x:v>
      </x:c>
      <x:c r="E14" s="46" t="str">
        <x:v>SRC-CRAB-MUSCLE-001</x:v>
      </x:c>
      <x:c r="F14" s="46" t="str">
        <x:v>Ketones</x:v>
      </x:c>
      <x:c r="G14" s="46" t="str">
        <x:v>Ketones</x:v>
      </x:c>
      <x:c r="H14" s="46" t="str">
        <x:v>2-Methyl-3-heptanone</x:v>
      </x:c>
      <x:c r="I14" s="46" t="str">
        <x:v>2-Methyl-3-heptanone</x:v>
      </x:c>
      <x:c r="J14" s="46"/>
      <x:c r="K14" s="46" t="str">
        <x:v>C13019200</x:v>
      </x:c>
      <x:c r="L14" s="46" t="str">
        <x:v>C8H16O</x:v>
      </x:c>
      <x:c r="M14" s="46" t="n">
        <x:v>1094.6</x:v>
      </x:c>
      <x:c r="N14" s="46" t="n">
        <x:v>895.9</x:v>
      </x:c>
      <x:c r="O14" s="46" t="n">
        <x:v>1.3</x:v>
      </x:c>
      <x:c r="P14" s="46" t="str">
        <x:v>C4-C9 n-ketone RI standards + GC-IMS library</x:v>
      </x:c>
      <x:c r="Q14" s="46"/>
      <x:c r="R14" s="46" t="str">
        <x:v>ri_rt_drift_reported_no_numeric_match_factor</x:v>
      </x:c>
      <x:c r="S14" s="46" t="n">
        <x:v>636.1</x:v>
      </x:c>
      <x:c r="T14" s="46" t="n">
        <x:v>688</x:v>
      </x:c>
      <x:c r="U14" s="46" t="str">
        <x:v>GC-IMS intensity (volume)</x:v>
      </x:c>
      <x:c r="V14" s="46" t="str">
        <x:v>no_significant_direction_flag_in_source_summary</x:v>
      </x:c>
      <x:c r="W14" s="46" t="str">
        <x:v>FMM=formulated-feed male muscle; IMM=iced-trash-fish-fed male muscle. Diet comparison is a weighting context, not separate crab species.</x:v>
      </x:c>
    </x:row>
    <x:row r="15" ht="26.399999618530273" hidden="0" customHeight="1">
      <x:c r="A15" s="46" t="str">
        <x:v>DCRAB-014</x:v>
      </x:c>
      <x:c r="B15" s="46" t="str">
        <x:v>crustacean:chinese_mitten_crab</x:v>
      </x:c>
      <x:c r="C15" s="46" t="str">
        <x:v>family:crustacean</x:v>
      </x:c>
      <x:c r="D15" s="46" t="str">
        <x:v>male crab muscle</x:v>
      </x:c>
      <x:c r="E15" s="46" t="str">
        <x:v>SRC-CRAB-MUSCLE-001</x:v>
      </x:c>
      <x:c r="F15" s="46" t="str">
        <x:v>Ketones</x:v>
      </x:c>
      <x:c r="G15" s="46" t="str">
        <x:v>Ketones</x:v>
      </x:c>
      <x:c r="H15" s="46" t="str">
        <x:v>2-Hexanone</x:v>
      </x:c>
      <x:c r="I15" s="46" t="str">
        <x:v>2-Hexanone</x:v>
      </x:c>
      <x:c r="J15" s="46"/>
      <x:c r="K15" s="46" t="str">
        <x:v>C591786</x:v>
      </x:c>
      <x:c r="L15" s="46" t="str">
        <x:v>C6H12O</x:v>
      </x:c>
      <x:c r="M15" s="46" t="n">
        <x:v>781.6</x:v>
      </x:c>
      <x:c r="N15" s="46" t="n">
        <x:v>192.8</x:v>
      </x:c>
      <x:c r="O15" s="46" t="n">
        <x:v>1.2</x:v>
      </x:c>
      <x:c r="P15" s="46" t="str">
        <x:v>C4-C9 n-ketone RI standards + GC-IMS library</x:v>
      </x:c>
      <x:c r="Q15" s="46"/>
      <x:c r="R15" s="46" t="str">
        <x:v>ri_rt_drift_reported_no_numeric_match_factor</x:v>
      </x:c>
      <x:c r="S15" s="46" t="n">
        <x:v>211</x:v>
      </x:c>
      <x:c r="T15" s="46" t="n">
        <x:v>268.2</x:v>
      </x:c>
      <x:c r="U15" s="46" t="str">
        <x:v>GC-IMS intensity (volume)</x:v>
      </x:c>
      <x:c r="V15" s="46" t="str">
        <x:v>diet_significant_IMM_higher</x:v>
      </x:c>
      <x:c r="W15" s="46" t="str">
        <x:v>FMM=formulated-feed male muscle; IMM=iced-trash-fish-fed male muscle. Diet comparison is a weighting context, not separate crab species.</x:v>
      </x:c>
    </x:row>
    <x:row r="16" ht="26.399999618530273" hidden="0" customHeight="1">
      <x:c r="A16" s="46" t="str">
        <x:v>DCRAB-015</x:v>
      </x:c>
      <x:c r="B16" s="46" t="str">
        <x:v>crustacean:chinese_mitten_crab</x:v>
      </x:c>
      <x:c r="C16" s="46" t="str">
        <x:v>family:crustacean</x:v>
      </x:c>
      <x:c r="D16" s="46" t="str">
        <x:v>male crab muscle</x:v>
      </x:c>
      <x:c r="E16" s="46" t="str">
        <x:v>SRC-CRAB-MUSCLE-001</x:v>
      </x:c>
      <x:c r="F16" s="46" t="str">
        <x:v>Ketones</x:v>
      </x:c>
      <x:c r="G16" s="46" t="str">
        <x:v>Ketones</x:v>
      </x:c>
      <x:c r="H16" s="46" t="str">
        <x:v>2-Butanone-M</x:v>
      </x:c>
      <x:c r="I16" s="46" t="str">
        <x:v>2-Butanone</x:v>
      </x:c>
      <x:c r="J16" s="46" t="str">
        <x:v>M</x:v>
      </x:c>
      <x:c r="K16" s="46" t="str">
        <x:v>C78933</x:v>
      </x:c>
      <x:c r="L16" s="46" t="str">
        <x:v>C4H8O</x:v>
      </x:c>
      <x:c r="M16" s="46" t="n">
        <x:v>598.7</x:v>
      </x:c>
      <x:c r="N16" s="46" t="n">
        <x:v>107.9</x:v>
      </x:c>
      <x:c r="O16" s="46" t="n">
        <x:v>1.1</x:v>
      </x:c>
      <x:c r="P16" s="46" t="str">
        <x:v>C4-C9 n-ketone RI standards + GC-IMS library</x:v>
      </x:c>
      <x:c r="Q16" s="46"/>
      <x:c r="R16" s="46" t="str">
        <x:v>ri_rt_drift_reported_no_numeric_match_factor</x:v>
      </x:c>
      <x:c r="S16" s="46" t="n">
        <x:v>547.8</x:v>
      </x:c>
      <x:c r="T16" s="46" t="n">
        <x:v>406.1</x:v>
      </x:c>
      <x:c r="U16" s="46" t="str">
        <x:v>GC-IMS intensity (volume)</x:v>
      </x:c>
      <x:c r="V16" s="46" t="str">
        <x:v>no_significant_direction_flag_in_source_summary</x:v>
      </x:c>
      <x:c r="W16" s="46" t="str">
        <x:v>FMM=formulated-feed male muscle; IMM=iced-trash-fish-fed male muscle. Diet comparison is a weighting context, not separate crab species.</x:v>
      </x:c>
    </x:row>
    <x:row r="17" ht="26.399999618530273" hidden="0" customHeight="1">
      <x:c r="A17" s="46" t="str">
        <x:v>DCRAB-016</x:v>
      </x:c>
      <x:c r="B17" s="46" t="str">
        <x:v>crustacean:chinese_mitten_crab</x:v>
      </x:c>
      <x:c r="C17" s="46" t="str">
        <x:v>family:crustacean</x:v>
      </x:c>
      <x:c r="D17" s="46" t="str">
        <x:v>male crab muscle</x:v>
      </x:c>
      <x:c r="E17" s="46" t="str">
        <x:v>SRC-CRAB-MUSCLE-001</x:v>
      </x:c>
      <x:c r="F17" s="46" t="str">
        <x:v>Ketones</x:v>
      </x:c>
      <x:c r="G17" s="46" t="str">
        <x:v>Ketones</x:v>
      </x:c>
      <x:c r="H17" s="46" t="str">
        <x:v>2-Butanone-D</x:v>
      </x:c>
      <x:c r="I17" s="46" t="str">
        <x:v>2-Butanone</x:v>
      </x:c>
      <x:c r="J17" s="46" t="str">
        <x:v>D</x:v>
      </x:c>
      <x:c r="K17" s="46" t="str">
        <x:v>C78933</x:v>
      </x:c>
      <x:c r="L17" s="46" t="str">
        <x:v>C4H8O</x:v>
      </x:c>
      <x:c r="M17" s="46" t="n">
        <x:v>597.8</x:v>
      </x:c>
      <x:c r="N17" s="46" t="n">
        <x:v>107.4</x:v>
      </x:c>
      <x:c r="O17" s="46" t="n">
        <x:v>1.2</x:v>
      </x:c>
      <x:c r="P17" s="46" t="str">
        <x:v>C4-C9 n-ketone RI standards + GC-IMS library</x:v>
      </x:c>
      <x:c r="Q17" s="46"/>
      <x:c r="R17" s="46" t="str">
        <x:v>ri_rt_drift_reported_no_numeric_match_factor</x:v>
      </x:c>
      <x:c r="S17" s="46" t="n">
        <x:v>1163.2</x:v>
      </x:c>
      <x:c r="T17" s="46" t="n">
        <x:v>1234.3</x:v>
      </x:c>
      <x:c r="U17" s="46" t="str">
        <x:v>GC-IMS intensity (volume)</x:v>
      </x:c>
      <x:c r="V17" s="46" t="str">
        <x:v>no_significant_direction_flag_in_source_summary</x:v>
      </x:c>
      <x:c r="W17" s="46" t="str">
        <x:v>FMM=formulated-feed male muscle; IMM=iced-trash-fish-fed male muscle. Diet comparison is a weighting context, not separate crab species.</x:v>
      </x:c>
    </x:row>
    <x:row r="18" ht="26.399999618530273" hidden="0" customHeight="1">
      <x:c r="A18" s="46" t="str">
        <x:v>DCRAB-017</x:v>
      </x:c>
      <x:c r="B18" s="46" t="str">
        <x:v>crustacean:chinese_mitten_crab</x:v>
      </x:c>
      <x:c r="C18" s="46" t="str">
        <x:v>family:crustacean</x:v>
      </x:c>
      <x:c r="D18" s="46" t="str">
        <x:v>male crab muscle</x:v>
      </x:c>
      <x:c r="E18" s="46" t="str">
        <x:v>SRC-CRAB-MUSCLE-001</x:v>
      </x:c>
      <x:c r="F18" s="46" t="str">
        <x:v>Ketones</x:v>
      </x:c>
      <x:c r="G18" s="46" t="str">
        <x:v>Ketones</x:v>
      </x:c>
      <x:c r="H18" s="46" t="str">
        <x:v>2,3-pentanedione</x:v>
      </x:c>
      <x:c r="I18" s="46" t="str">
        <x:v>2,3-pentanedione</x:v>
      </x:c>
      <x:c r="J18" s="46"/>
      <x:c r="K18" s="46" t="str">
        <x:v>C600146</x:v>
      </x:c>
      <x:c r="L18" s="46" t="str">
        <x:v>C5H8O2</x:v>
      </x:c>
      <x:c r="M18" s="46" t="n">
        <x:v>693.4</x:v>
      </x:c>
      <x:c r="N18" s="46" t="n">
        <x:v>150.3</x:v>
      </x:c>
      <x:c r="O18" s="46" t="n">
        <x:v>1.2</x:v>
      </x:c>
      <x:c r="P18" s="46" t="str">
        <x:v>C4-C9 n-ketone RI standards + GC-IMS library</x:v>
      </x:c>
      <x:c r="Q18" s="46"/>
      <x:c r="R18" s="46" t="str">
        <x:v>ri_rt_drift_reported_no_numeric_match_factor</x:v>
      </x:c>
      <x:c r="S18" s="46" t="n">
        <x:v>726.3</x:v>
      </x:c>
      <x:c r="T18" s="46" t="n">
        <x:v>615.6</x:v>
      </x:c>
      <x:c r="U18" s="46" t="str">
        <x:v>GC-IMS intensity (volume)</x:v>
      </x:c>
      <x:c r="V18" s="46" t="str">
        <x:v>diet_significant_FMM_higher</x:v>
      </x:c>
      <x:c r="W18" s="46" t="str">
        <x:v>FMM=formulated-feed male muscle; IMM=iced-trash-fish-fed male muscle. Diet comparison is a weighting context, not separate crab species.</x:v>
      </x:c>
    </x:row>
    <x:row r="19" ht="26.399999618530273" hidden="0" customHeight="1">
      <x:c r="A19" s="46" t="str">
        <x:v>DCRAB-018</x:v>
      </x:c>
      <x:c r="B19" s="46" t="str">
        <x:v>crustacean:chinese_mitten_crab</x:v>
      </x:c>
      <x:c r="C19" s="46" t="str">
        <x:v>family:crustacean</x:v>
      </x:c>
      <x:c r="D19" s="46" t="str">
        <x:v>male crab muscle</x:v>
      </x:c>
      <x:c r="E19" s="46" t="str">
        <x:v>SRC-CRAB-MUSCLE-001</x:v>
      </x:c>
      <x:c r="F19" s="46" t="str">
        <x:v>Alcohols</x:v>
      </x:c>
      <x:c r="G19" s="46" t="str">
        <x:v>Alcohols</x:v>
      </x:c>
      <x:c r="H19" s="46" t="str">
        <x:v>3-Octanol</x:v>
      </x:c>
      <x:c r="I19" s="46" t="str">
        <x:v>3-Octanol</x:v>
      </x:c>
      <x:c r="J19" s="46"/>
      <x:c r="K19" s="46" t="str">
        <x:v>C589980</x:v>
      </x:c>
      <x:c r="L19" s="46" t="str">
        <x:v>C8H18O</x:v>
      </x:c>
      <x:c r="M19" s="46" t="n">
        <x:v>998.6</x:v>
      </x:c>
      <x:c r="N19" s="46" t="n">
        <x:v>356.6</x:v>
      </x:c>
      <x:c r="O19" s="46" t="n">
        <x:v>1.4</x:v>
      </x:c>
      <x:c r="P19" s="46" t="str">
        <x:v>C4-C9 n-ketone RI standards + GC-IMS library</x:v>
      </x:c>
      <x:c r="Q19" s="46"/>
      <x:c r="R19" s="46" t="str">
        <x:v>ri_rt_drift_reported_no_numeric_match_factor</x:v>
      </x:c>
      <x:c r="S19" s="46" t="n">
        <x:v>253.7</x:v>
      </x:c>
      <x:c r="T19" s="46" t="n">
        <x:v>225.3</x:v>
      </x:c>
      <x:c r="U19" s="46" t="str">
        <x:v>GC-IMS intensity (volume)</x:v>
      </x:c>
      <x:c r="V19" s="46" t="str">
        <x:v>no_significant_direction_flag_in_source_summary</x:v>
      </x:c>
      <x:c r="W19" s="46" t="str">
        <x:v>FMM=formulated-feed male muscle; IMM=iced-trash-fish-fed male muscle. Diet comparison is a weighting context, not separate crab species.</x:v>
      </x:c>
    </x:row>
    <x:row r="20" ht="26.399999618530273" hidden="0" customHeight="1">
      <x:c r="A20" s="46" t="str">
        <x:v>DCRAB-019</x:v>
      </x:c>
      <x:c r="B20" s="46" t="str">
        <x:v>crustacean:chinese_mitten_crab</x:v>
      </x:c>
      <x:c r="C20" s="46" t="str">
        <x:v>family:crustacean</x:v>
      </x:c>
      <x:c r="D20" s="46" t="str">
        <x:v>male crab muscle</x:v>
      </x:c>
      <x:c r="E20" s="46" t="str">
        <x:v>SRC-CRAB-MUSCLE-001</x:v>
      </x:c>
      <x:c r="F20" s="46" t="str">
        <x:v>Alcohols</x:v>
      </x:c>
      <x:c r="G20" s="46" t="str">
        <x:v>Alcohols</x:v>
      </x:c>
      <x:c r="H20" s="46" t="str">
        <x:v>Oct-1-en-3-ol</x:v>
      </x:c>
      <x:c r="I20" s="46" t="str">
        <x:v>Oct-1-en-3-ol</x:v>
      </x:c>
      <x:c r="J20" s="46"/>
      <x:c r="K20" s="46" t="str">
        <x:v>C3391864</x:v>
      </x:c>
      <x:c r="L20" s="46" t="str">
        <x:v>C8H16O</x:v>
      </x:c>
      <x:c r="M20" s="46" t="n">
        <x:v>982</x:v>
      </x:c>
      <x:c r="N20" s="46" t="n">
        <x:v>332.4</x:v>
      </x:c>
      <x:c r="O20" s="46" t="n">
        <x:v>1.2</x:v>
      </x:c>
      <x:c r="P20" s="46" t="str">
        <x:v>C4-C9 n-ketone RI standards + GC-IMS library</x:v>
      </x:c>
      <x:c r="Q20" s="46"/>
      <x:c r="R20" s="46" t="str">
        <x:v>ri_rt_drift_reported_no_numeric_match_factor</x:v>
      </x:c>
      <x:c r="S20" s="46" t="n">
        <x:v>403.9</x:v>
      </x:c>
      <x:c r="T20" s="46" t="n">
        <x:v>331</x:v>
      </x:c>
      <x:c r="U20" s="46" t="str">
        <x:v>GC-IMS intensity (volume)</x:v>
      </x:c>
      <x:c r="V20" s="46" t="str">
        <x:v>no_significant_direction_flag_in_source_summary</x:v>
      </x:c>
      <x:c r="W20" s="46" t="str">
        <x:v>FMM=formulated-feed male muscle; IMM=iced-trash-fish-fed male muscle. Diet comparison is a weighting context, not separate crab species.</x:v>
      </x:c>
    </x:row>
    <x:row r="21" ht="26.399999618530273" hidden="0" customHeight="1">
      <x:c r="A21" s="46" t="str">
        <x:v>DCRAB-020</x:v>
      </x:c>
      <x:c r="B21" s="46" t="str">
        <x:v>crustacean:chinese_mitten_crab</x:v>
      </x:c>
      <x:c r="C21" s="46" t="str">
        <x:v>family:crustacean</x:v>
      </x:c>
      <x:c r="D21" s="46" t="str">
        <x:v>male crab muscle</x:v>
      </x:c>
      <x:c r="E21" s="46" t="str">
        <x:v>SRC-CRAB-MUSCLE-001</x:v>
      </x:c>
      <x:c r="F21" s="46" t="str">
        <x:v>Alcohols</x:v>
      </x:c>
      <x:c r="G21" s="46" t="str">
        <x:v>Alcohols</x:v>
      </x:c>
      <x:c r="H21" s="46" t="str">
        <x:v>3-Furanmethanol-M</x:v>
      </x:c>
      <x:c r="I21" s="46" t="str">
        <x:v>3-Furanmethanol</x:v>
      </x:c>
      <x:c r="J21" s="46" t="str">
        <x:v>M</x:v>
      </x:c>
      <x:c r="K21" s="46" t="str">
        <x:v>C4412913</x:v>
      </x:c>
      <x:c r="L21" s="46" t="str">
        <x:v>C5H6O2</x:v>
      </x:c>
      <x:c r="M21" s="46" t="n">
        <x:v>973.7</x:v>
      </x:c>
      <x:c r="N21" s="46" t="n">
        <x:v>325.2</x:v>
      </x:c>
      <x:c r="O21" s="46" t="n">
        <x:v>1.1</x:v>
      </x:c>
      <x:c r="P21" s="46" t="str">
        <x:v>C4-C9 n-ketone RI standards + GC-IMS library</x:v>
      </x:c>
      <x:c r="Q21" s="46"/>
      <x:c r="R21" s="46" t="str">
        <x:v>ri_rt_drift_reported_no_numeric_match_factor</x:v>
      </x:c>
      <x:c r="S21" s="46" t="n">
        <x:v>119.6</x:v>
      </x:c>
      <x:c r="T21" s="46" t="n">
        <x:v>130</x:v>
      </x:c>
      <x:c r="U21" s="46" t="str">
        <x:v>GC-IMS intensity (volume)</x:v>
      </x:c>
      <x:c r="V21" s="46" t="str">
        <x:v>no_significant_direction_flag_in_source_summary</x:v>
      </x:c>
      <x:c r="W21" s="46" t="str">
        <x:v>FMM=formulated-feed male muscle; IMM=iced-trash-fish-fed male muscle. Diet comparison is a weighting context, not separate crab species.</x:v>
      </x:c>
    </x:row>
    <x:row r="22" ht="26.399999618530273" hidden="0" customHeight="1">
      <x:c r="A22" s="46" t="str">
        <x:v>DCRAB-021</x:v>
      </x:c>
      <x:c r="B22" s="46" t="str">
        <x:v>crustacean:chinese_mitten_crab</x:v>
      </x:c>
      <x:c r="C22" s="46" t="str">
        <x:v>family:crustacean</x:v>
      </x:c>
      <x:c r="D22" s="46" t="str">
        <x:v>male crab muscle</x:v>
      </x:c>
      <x:c r="E22" s="46" t="str">
        <x:v>SRC-CRAB-MUSCLE-001</x:v>
      </x:c>
      <x:c r="F22" s="46" t="str">
        <x:v>Alcohols</x:v>
      </x:c>
      <x:c r="G22" s="46" t="str">
        <x:v>Alcohols</x:v>
      </x:c>
      <x:c r="H22" s="46" t="str">
        <x:v>3-Furanmethanol-D</x:v>
      </x:c>
      <x:c r="I22" s="46" t="str">
        <x:v>3-Furanmethanol</x:v>
      </x:c>
      <x:c r="J22" s="46" t="str">
        <x:v>D</x:v>
      </x:c>
      <x:c r="K22" s="46" t="str">
        <x:v>C4412913</x:v>
      </x:c>
      <x:c r="L22" s="46" t="str">
        <x:v>C5H6O2</x:v>
      </x:c>
      <x:c r="M22" s="46" t="n">
        <x:v>974.2</x:v>
      </x:c>
      <x:c r="N22" s="46" t="n">
        <x:v>325.7</x:v>
      </x:c>
      <x:c r="O22" s="46" t="n">
        <x:v>1.4</x:v>
      </x:c>
      <x:c r="P22" s="46" t="str">
        <x:v>C4-C9 n-ketone RI standards + GC-IMS library</x:v>
      </x:c>
      <x:c r="Q22" s="46"/>
      <x:c r="R22" s="46" t="str">
        <x:v>ri_rt_drift_reported_no_numeric_match_factor</x:v>
      </x:c>
      <x:c r="S22" s="46" t="n">
        <x:v>213.1</x:v>
      </x:c>
      <x:c r="T22" s="46" t="n">
        <x:v>226.7</x:v>
      </x:c>
      <x:c r="U22" s="46" t="str">
        <x:v>GC-IMS intensity (volume)</x:v>
      </x:c>
      <x:c r="V22" s="46" t="str">
        <x:v>no_significant_direction_flag_in_source_summary</x:v>
      </x:c>
      <x:c r="W22" s="46" t="str">
        <x:v>FMM=formulated-feed male muscle; IMM=iced-trash-fish-fed male muscle. Diet comparison is a weighting context, not separate crab species.</x:v>
      </x:c>
    </x:row>
    <x:row r="23" ht="26.399999618530273" hidden="0" customHeight="1">
      <x:c r="A23" s="46" t="str">
        <x:v>DCRAB-022</x:v>
      </x:c>
      <x:c r="B23" s="46" t="str">
        <x:v>crustacean:chinese_mitten_crab</x:v>
      </x:c>
      <x:c r="C23" s="46" t="str">
        <x:v>family:crustacean</x:v>
      </x:c>
      <x:c r="D23" s="46" t="str">
        <x:v>male crab muscle</x:v>
      </x:c>
      <x:c r="E23" s="46" t="str">
        <x:v>SRC-CRAB-MUSCLE-001</x:v>
      </x:c>
      <x:c r="F23" s="46" t="str">
        <x:v>Alcohols</x:v>
      </x:c>
      <x:c r="G23" s="46" t="str">
        <x:v>Alcohols</x:v>
      </x:c>
      <x:c r="H23" s="46" t="str">
        <x:v>(E)-2-hexen-1-ol</x:v>
      </x:c>
      <x:c r="I23" s="46" t="str">
        <x:v>(E)-2-hexen-1-ol</x:v>
      </x:c>
      <x:c r="J23" s="46"/>
      <x:c r="K23" s="46" t="str">
        <x:v>C928950</x:v>
      </x:c>
      <x:c r="L23" s="46" t="str">
        <x:v>C6H12O</x:v>
      </x:c>
      <x:c r="M23" s="46" t="n">
        <x:v>849.3</x:v>
      </x:c>
      <x:c r="N23" s="46" t="n">
        <x:v>230.6</x:v>
      </x:c>
      <x:c r="O23" s="46" t="n">
        <x:v>1.2</x:v>
      </x:c>
      <x:c r="P23" s="46" t="str">
        <x:v>C4-C9 n-ketone RI standards + GC-IMS library</x:v>
      </x:c>
      <x:c r="Q23" s="46"/>
      <x:c r="R23" s="46" t="str">
        <x:v>ri_rt_drift_reported_no_numeric_match_factor</x:v>
      </x:c>
      <x:c r="S23" s="46" t="n">
        <x:v>172.7</x:v>
      </x:c>
      <x:c r="T23" s="46" t="n">
        <x:v>155.5</x:v>
      </x:c>
      <x:c r="U23" s="46" t="str">
        <x:v>GC-IMS intensity (volume)</x:v>
      </x:c>
      <x:c r="V23" s="46" t="str">
        <x:v>no_significant_direction_flag_in_source_summary</x:v>
      </x:c>
      <x:c r="W23" s="46" t="str">
        <x:v>FMM=formulated-feed male muscle; IMM=iced-trash-fish-fed male muscle. Diet comparison is a weighting context, not separate crab species.</x:v>
      </x:c>
    </x:row>
    <x:row r="24" ht="26.399999618530273" hidden="0" customHeight="1">
      <x:c r="A24" s="46" t="str">
        <x:v>DCRAB-023</x:v>
      </x:c>
      <x:c r="B24" s="46" t="str">
        <x:v>crustacean:chinese_mitten_crab</x:v>
      </x:c>
      <x:c r="C24" s="46" t="str">
        <x:v>family:crustacean</x:v>
      </x:c>
      <x:c r="D24" s="46" t="str">
        <x:v>male crab muscle</x:v>
      </x:c>
      <x:c r="E24" s="46" t="str">
        <x:v>SRC-CRAB-MUSCLE-001</x:v>
      </x:c>
      <x:c r="F24" s="46" t="str">
        <x:v>Alcohols</x:v>
      </x:c>
      <x:c r="G24" s="46" t="str">
        <x:v>Alcohols</x:v>
      </x:c>
      <x:c r="H24" s="46" t="str">
        <x:v>Pentan-1-ol-D</x:v>
      </x:c>
      <x:c r="I24" s="46" t="str">
        <x:v>Pentan-1-ol</x:v>
      </x:c>
      <x:c r="J24" s="46" t="str">
        <x:v>D</x:v>
      </x:c>
      <x:c r="K24" s="46" t="str">
        <x:v>C71410</x:v>
      </x:c>
      <x:c r="L24" s="46" t="str">
        <x:v>C5H12O</x:v>
      </x:c>
      <x:c r="M24" s="46" t="n">
        <x:v>764</x:v>
      </x:c>
      <x:c r="N24" s="46" t="n">
        <x:v>184.3</x:v>
      </x:c>
      <x:c r="O24" s="46" t="n">
        <x:v>1.5</x:v>
      </x:c>
      <x:c r="P24" s="46" t="str">
        <x:v>C4-C9 n-ketone RI standards + GC-IMS library</x:v>
      </x:c>
      <x:c r="Q24" s="46"/>
      <x:c r="R24" s="46" t="str">
        <x:v>ri_rt_drift_reported_no_numeric_match_factor</x:v>
      </x:c>
      <x:c r="S24" s="46" t="n">
        <x:v>474.1</x:v>
      </x:c>
      <x:c r="T24" s="46" t="n">
        <x:v>477</x:v>
      </x:c>
      <x:c r="U24" s="46" t="str">
        <x:v>GC-IMS intensity (volume)</x:v>
      </x:c>
      <x:c r="V24" s="46" t="str">
        <x:v>no_significant_direction_flag_in_source_summary</x:v>
      </x:c>
      <x:c r="W24" s="46" t="str">
        <x:v>FMM=formulated-feed male muscle; IMM=iced-trash-fish-fed male muscle. Diet comparison is a weighting context, not separate crab species.</x:v>
      </x:c>
    </x:row>
    <x:row r="25" ht="26.399999618530273" hidden="0" customHeight="1">
      <x:c r="A25" s="46" t="str">
        <x:v>DCRAB-024</x:v>
      </x:c>
      <x:c r="B25" s="46" t="str">
        <x:v>crustacean:chinese_mitten_crab</x:v>
      </x:c>
      <x:c r="C25" s="46" t="str">
        <x:v>family:crustacean</x:v>
      </x:c>
      <x:c r="D25" s="46" t="str">
        <x:v>male crab muscle</x:v>
      </x:c>
      <x:c r="E25" s="46" t="str">
        <x:v>SRC-CRAB-MUSCLE-001</x:v>
      </x:c>
      <x:c r="F25" s="46" t="str">
        <x:v>Alcohols</x:v>
      </x:c>
      <x:c r="G25" s="46" t="str">
        <x:v>Alcohols</x:v>
      </x:c>
      <x:c r="H25" s="46" t="str">
        <x:v>Pentan-1-ol-M</x:v>
      </x:c>
      <x:c r="I25" s="46" t="str">
        <x:v>Pentan-1-ol</x:v>
      </x:c>
      <x:c r="J25" s="46" t="str">
        <x:v>M</x:v>
      </x:c>
      <x:c r="K25" s="46" t="str">
        <x:v>C71410</x:v>
      </x:c>
      <x:c r="L25" s="46" t="str">
        <x:v>C5H12O</x:v>
      </x:c>
      <x:c r="M25" s="46" t="n">
        <x:v>767.1</x:v>
      </x:c>
      <x:c r="N25" s="46" t="n">
        <x:v>185.8</x:v>
      </x:c>
      <x:c r="O25" s="46" t="n">
        <x:v>1.3</x:v>
      </x:c>
      <x:c r="P25" s="46" t="str">
        <x:v>C4-C9 n-ketone RI standards + GC-IMS library</x:v>
      </x:c>
      <x:c r="Q25" s="46"/>
      <x:c r="R25" s="46" t="str">
        <x:v>ri_rt_drift_reported_no_numeric_match_factor</x:v>
      </x:c>
      <x:c r="S25" s="46" t="n">
        <x:v>732.7</x:v>
      </x:c>
      <x:c r="T25" s="46" t="n">
        <x:v>573.7</x:v>
      </x:c>
      <x:c r="U25" s="46" t="str">
        <x:v>GC-IMS intensity (volume)</x:v>
      </x:c>
      <x:c r="V25" s="46" t="str">
        <x:v>diet_significant_FMM_higher</x:v>
      </x:c>
      <x:c r="W25" s="46" t="str">
        <x:v>FMM=formulated-feed male muscle; IMM=iced-trash-fish-fed male muscle. Diet comparison is a weighting context, not separate crab species.</x:v>
      </x:c>
    </x:row>
    <x:row r="26" ht="26.399999618530273" hidden="0" customHeight="1">
      <x:c r="A26" s="46" t="str">
        <x:v>DCRAB-025</x:v>
      </x:c>
      <x:c r="B26" s="46" t="str">
        <x:v>crustacean:chinese_mitten_crab</x:v>
      </x:c>
      <x:c r="C26" s="46" t="str">
        <x:v>family:crustacean</x:v>
      </x:c>
      <x:c r="D26" s="46" t="str">
        <x:v>male crab muscle</x:v>
      </x:c>
      <x:c r="E26" s="46" t="str">
        <x:v>SRC-CRAB-MUSCLE-001</x:v>
      </x:c>
      <x:c r="F26" s="46" t="str">
        <x:v>Alcohols</x:v>
      </x:c>
      <x:c r="G26" s="46" t="str">
        <x:v>Alcohols</x:v>
      </x:c>
      <x:c r="H26" s="46" t="str">
        <x:v>2-Methyl-1-pentanol</x:v>
      </x:c>
      <x:c r="I26" s="46" t="str">
        <x:v>2-Methyl-1-pentanol</x:v>
      </x:c>
      <x:c r="J26" s="46"/>
      <x:c r="K26" s="46" t="str">
        <x:v>C105306</x:v>
      </x:c>
      <x:c r="L26" s="46" t="str">
        <x:v>C6H14O</x:v>
      </x:c>
      <x:c r="M26" s="46" t="n">
        <x:v>847</x:v>
      </x:c>
      <x:c r="N26" s="46" t="n">
        <x:v>229.2</x:v>
      </x:c>
      <x:c r="O26" s="46" t="n">
        <x:v>1.3</x:v>
      </x:c>
      <x:c r="P26" s="46" t="str">
        <x:v>C4-C9 n-ketone RI standards + GC-IMS library</x:v>
      </x:c>
      <x:c r="Q26" s="46"/>
      <x:c r="R26" s="46" t="str">
        <x:v>ri_rt_drift_reported_no_numeric_match_factor</x:v>
      </x:c>
      <x:c r="S26" s="46" t="n">
        <x:v>325.6</x:v>
      </x:c>
      <x:c r="T26" s="46" t="n">
        <x:v>290.6</x:v>
      </x:c>
      <x:c r="U26" s="46" t="str">
        <x:v>GC-IMS intensity (volume)</x:v>
      </x:c>
      <x:c r="V26" s="46" t="str">
        <x:v>no_significant_direction_flag_in_source_summary</x:v>
      </x:c>
      <x:c r="W26" s="46" t="str">
        <x:v>FMM=formulated-feed male muscle; IMM=iced-trash-fish-fed male muscle. Diet comparison is a weighting context, not separate crab species.</x:v>
      </x:c>
    </x:row>
    <x:row r="27" ht="26.399999618530273" hidden="0" customHeight="1">
      <x:c r="A27" s="46" t="str">
        <x:v>DCRAB-026</x:v>
      </x:c>
      <x:c r="B27" s="46" t="str">
        <x:v>crustacean:chinese_mitten_crab</x:v>
      </x:c>
      <x:c r="C27" s="46" t="str">
        <x:v>family:crustacean</x:v>
      </x:c>
      <x:c r="D27" s="46" t="str">
        <x:v>male crab muscle</x:v>
      </x:c>
      <x:c r="E27" s="46" t="str">
        <x:v>SRC-CRAB-MUSCLE-001</x:v>
      </x:c>
      <x:c r="F27" s="46" t="str">
        <x:v>Alcohols</x:v>
      </x:c>
      <x:c r="G27" s="46" t="str">
        <x:v>Alcohols</x:v>
      </x:c>
      <x:c r="H27" s="46" t="str">
        <x:v>2-Propanol</x:v>
      </x:c>
      <x:c r="I27" s="46" t="str">
        <x:v>2-Propanol</x:v>
      </x:c>
      <x:c r="J27" s="46"/>
      <x:c r="K27" s="46" t="str">
        <x:v>C67630</x:v>
      </x:c>
      <x:c r="L27" s="46" t="str">
        <x:v>C3H8O</x:v>
      </x:c>
      <x:c r="M27" s="46" t="n">
        <x:v>524.8</x:v>
      </x:c>
      <x:c r="N27" s="46" t="n">
        <x:v>74.9</x:v>
      </x:c>
      <x:c r="O27" s="46" t="n">
        <x:v>1.1</x:v>
      </x:c>
      <x:c r="P27" s="46" t="str">
        <x:v>C4-C9 n-ketone RI standards + GC-IMS library</x:v>
      </x:c>
      <x:c r="Q27" s="46"/>
      <x:c r="R27" s="46" t="str">
        <x:v>ri_rt_drift_reported_no_numeric_match_factor</x:v>
      </x:c>
      <x:c r="S27" s="46" t="n">
        <x:v>4227.3</x:v>
      </x:c>
      <x:c r="T27" s="46" t="n">
        <x:v>4647</x:v>
      </x:c>
      <x:c r="U27" s="46" t="str">
        <x:v>GC-IMS intensity (volume)</x:v>
      </x:c>
      <x:c r="V27" s="46" t="str">
        <x:v>no_significant_direction_flag_in_source_summary</x:v>
      </x:c>
      <x:c r="W27" s="46" t="str">
        <x:v>FMM=formulated-feed male muscle; IMM=iced-trash-fish-fed male muscle. Diet comparison is a weighting context, not separate crab species.</x:v>
      </x:c>
    </x:row>
    <x:row r="28" ht="26.399999618530273" hidden="0" customHeight="1">
      <x:c r="A28" s="46" t="str">
        <x:v>DCRAB-027</x:v>
      </x:c>
      <x:c r="B28" s="46" t="str">
        <x:v>crustacean:chinese_mitten_crab</x:v>
      </x:c>
      <x:c r="C28" s="46" t="str">
        <x:v>family:crustacean</x:v>
      </x:c>
      <x:c r="D28" s="46" t="str">
        <x:v>male crab muscle</x:v>
      </x:c>
      <x:c r="E28" s="46" t="str">
        <x:v>SRC-CRAB-MUSCLE-001</x:v>
      </x:c>
      <x:c r="F28" s="46" t="str">
        <x:v>Alcohols</x:v>
      </x:c>
      <x:c r="G28" s="46" t="str">
        <x:v>Alcohols</x:v>
      </x:c>
      <x:c r="H28" s="46" t="str">
        <x:v>2-methylbutanol</x:v>
      </x:c>
      <x:c r="I28" s="46" t="str">
        <x:v>2-methylbutanol</x:v>
      </x:c>
      <x:c r="J28" s="46"/>
      <x:c r="K28" s="46" t="str">
        <x:v>C137326</x:v>
      </x:c>
      <x:c r="L28" s="46" t="str">
        <x:v>C5H12O</x:v>
      </x:c>
      <x:c r="M28" s="46" t="n">
        <x:v>731.5</x:v>
      </x:c>
      <x:c r="N28" s="46" t="n">
        <x:v>168.6</x:v>
      </x:c>
      <x:c r="O28" s="46" t="n">
        <x:v>1.2</x:v>
      </x:c>
      <x:c r="P28" s="46" t="str">
        <x:v>C4-C9 n-ketone RI standards + GC-IMS library</x:v>
      </x:c>
      <x:c r="Q28" s="46"/>
      <x:c r="R28" s="46" t="str">
        <x:v>ri_rt_drift_reported_no_numeric_match_factor</x:v>
      </x:c>
      <x:c r="S28" s="46" t="n">
        <x:v>152.4</x:v>
      </x:c>
      <x:c r="T28" s="46" t="n">
        <x:v>155.4</x:v>
      </x:c>
      <x:c r="U28" s="46" t="str">
        <x:v>GC-IMS intensity (volume)</x:v>
      </x:c>
      <x:c r="V28" s="46" t="str">
        <x:v>no_significant_direction_flag_in_source_summary</x:v>
      </x:c>
      <x:c r="W28" s="46" t="str">
        <x:v>FMM=formulated-feed male muscle; IMM=iced-trash-fish-fed male muscle. Diet comparison is a weighting context, not separate crab species.</x:v>
      </x:c>
    </x:row>
    <x:row r="29" ht="26.399999618530273" hidden="0" customHeight="1">
      <x:c r="A29" s="46" t="str">
        <x:v>DCRAB-028</x:v>
      </x:c>
      <x:c r="B29" s="46" t="str">
        <x:v>crustacean:chinese_mitten_crab</x:v>
      </x:c>
      <x:c r="C29" s="46" t="str">
        <x:v>family:crustacean</x:v>
      </x:c>
      <x:c r="D29" s="46" t="str">
        <x:v>male crab muscle</x:v>
      </x:c>
      <x:c r="E29" s="46" t="str">
        <x:v>SRC-CRAB-MUSCLE-001</x:v>
      </x:c>
      <x:c r="F29" s="46" t="str">
        <x:v>Alcohols</x:v>
      </x:c>
      <x:c r="G29" s="46" t="str">
        <x:v>Alcohols</x:v>
      </x:c>
      <x:c r="H29" s="46" t="str">
        <x:v>1-Propanol</x:v>
      </x:c>
      <x:c r="I29" s="46" t="str">
        <x:v>1-Propanol</x:v>
      </x:c>
      <x:c r="J29" s="46"/>
      <x:c r="K29" s="46" t="str">
        <x:v>C71238</x:v>
      </x:c>
      <x:c r="L29" s="46" t="str">
        <x:v>C3H8O</x:v>
      </x:c>
      <x:c r="M29" s="46" t="n">
        <x:v>571</x:v>
      </x:c>
      <x:c r="N29" s="46" t="n">
        <x:v>95.5</x:v>
      </x:c>
      <x:c r="O29" s="46" t="n">
        <x:v>1.1</x:v>
      </x:c>
      <x:c r="P29" s="46" t="str">
        <x:v>C4-C9 n-ketone RI standards + GC-IMS library</x:v>
      </x:c>
      <x:c r="Q29" s="46"/>
      <x:c r="R29" s="46" t="str">
        <x:v>ri_rt_drift_reported_no_numeric_match_factor</x:v>
      </x:c>
      <x:c r="S29" s="46" t="n">
        <x:v>287.6</x:v>
      </x:c>
      <x:c r="T29" s="46" t="n">
        <x:v>245.2</x:v>
      </x:c>
      <x:c r="U29" s="46" t="str">
        <x:v>GC-IMS intensity (volume)</x:v>
      </x:c>
      <x:c r="V29" s="46" t="str">
        <x:v>no_significant_direction_flag_in_source_summary</x:v>
      </x:c>
      <x:c r="W29" s="46" t="str">
        <x:v>FMM=formulated-feed male muscle; IMM=iced-trash-fish-fed male muscle. Diet comparison is a weighting context, not separate crab species.</x:v>
      </x:c>
    </x:row>
    <x:row r="30" ht="26.399999618530273" hidden="0" customHeight="1">
      <x:c r="A30" s="46" t="str">
        <x:v>DCRAB-029</x:v>
      </x:c>
      <x:c r="B30" s="46" t="str">
        <x:v>crustacean:chinese_mitten_crab</x:v>
      </x:c>
      <x:c r="C30" s="46" t="str">
        <x:v>family:crustacean</x:v>
      </x:c>
      <x:c r="D30" s="46" t="str">
        <x:v>male crab muscle</x:v>
      </x:c>
      <x:c r="E30" s="46" t="str">
        <x:v>SRC-CRAB-MUSCLE-001</x:v>
      </x:c>
      <x:c r="F30" s="46" t="str">
        <x:v>Esters</x:v>
      </x:c>
      <x:c r="G30" s="46" t="str">
        <x:v>Esters</x:v>
      </x:c>
      <x:c r="H30" s="46" t="str">
        <x:v>Dihydro-2(3H)-furanone</x:v>
      </x:c>
      <x:c r="I30" s="46" t="str">
        <x:v>Dihydro-2(3H)-furanone</x:v>
      </x:c>
      <x:c r="J30" s="46"/>
      <x:c r="K30" s="46" t="str">
        <x:v>C96480</x:v>
      </x:c>
      <x:c r="L30" s="46" t="str">
        <x:v>C4H6O2</x:v>
      </x:c>
      <x:c r="M30" s="46" t="n">
        <x:v>904.8</x:v>
      </x:c>
      <x:c r="N30" s="46" t="n">
        <x:v>265.5</x:v>
      </x:c>
      <x:c r="O30" s="46" t="n">
        <x:v>1.1</x:v>
      </x:c>
      <x:c r="P30" s="46" t="str">
        <x:v>C4-C9 n-ketone RI standards + GC-IMS library</x:v>
      </x:c>
      <x:c r="Q30" s="46"/>
      <x:c r="R30" s="46" t="str">
        <x:v>ri_rt_drift_reported_no_numeric_match_factor</x:v>
      </x:c>
      <x:c r="S30" s="46" t="n">
        <x:v>465.7</x:v>
      </x:c>
      <x:c r="T30" s="46" t="n">
        <x:v>598.6</x:v>
      </x:c>
      <x:c r="U30" s="46" t="str">
        <x:v>GC-IMS intensity (volume)</x:v>
      </x:c>
      <x:c r="V30" s="46" t="str">
        <x:v>diet_significant_IMM_higher</x:v>
      </x:c>
      <x:c r="W30" s="46" t="str">
        <x:v>FMM=formulated-feed male muscle; IMM=iced-trash-fish-fed male muscle. Diet comparison is a weighting context, not separate crab species.</x:v>
      </x:c>
    </x:row>
    <x:row r="31" ht="26.399999618530273" hidden="0" customHeight="1">
      <x:c r="A31" s="46" t="str">
        <x:v>DCRAB-030</x:v>
      </x:c>
      <x:c r="B31" s="46" t="str">
        <x:v>crustacean:chinese_mitten_crab</x:v>
      </x:c>
      <x:c r="C31" s="46" t="str">
        <x:v>family:crustacean</x:v>
      </x:c>
      <x:c r="D31" s="46" t="str">
        <x:v>male crab muscle</x:v>
      </x:c>
      <x:c r="E31" s="46" t="str">
        <x:v>SRC-CRAB-MUSCLE-001</x:v>
      </x:c>
      <x:c r="F31" s="46" t="str">
        <x:v>Esters</x:v>
      </x:c>
      <x:c r="G31" s="46" t="str">
        <x:v>Esters</x:v>
      </x:c>
      <x:c r="H31" s="46" t="str">
        <x:v>Butyl acetate</x:v>
      </x:c>
      <x:c r="I31" s="46" t="str">
        <x:v>Butyl acetate</x:v>
      </x:c>
      <x:c r="J31" s="46"/>
      <x:c r="K31" s="46" t="str">
        <x:v>C123864</x:v>
      </x:c>
      <x:c r="L31" s="46" t="str">
        <x:v>C6H12O2</x:v>
      </x:c>
      <x:c r="M31" s="46" t="n">
        <x:v>805.8</x:v>
      </x:c>
      <x:c r="N31" s="46" t="n">
        <x:v>206.2</x:v>
      </x:c>
      <x:c r="O31" s="46" t="n">
        <x:v>1.2</x:v>
      </x:c>
      <x:c r="P31" s="46" t="str">
        <x:v>C4-C9 n-ketone RI standards + GC-IMS library</x:v>
      </x:c>
      <x:c r="Q31" s="46"/>
      <x:c r="R31" s="46" t="str">
        <x:v>ri_rt_drift_reported_no_numeric_match_factor</x:v>
      </x:c>
      <x:c r="S31" s="46" t="n">
        <x:v>190.6</x:v>
      </x:c>
      <x:c r="T31" s="46" t="n">
        <x:v>241.8</x:v>
      </x:c>
      <x:c r="U31" s="46" t="str">
        <x:v>GC-IMS intensity (volume)</x:v>
      </x:c>
      <x:c r="V31" s="46" t="str">
        <x:v>diet_significant_IMM_higher</x:v>
      </x:c>
      <x:c r="W31" s="46" t="str">
        <x:v>FMM=formulated-feed male muscle; IMM=iced-trash-fish-fed male muscle. Diet comparison is a weighting context, not separate crab species.</x:v>
      </x:c>
    </x:row>
    <x:row r="32" ht="26.399999618530273" hidden="0" customHeight="1">
      <x:c r="A32" s="46" t="str">
        <x:v>DCRAB-031</x:v>
      </x:c>
      <x:c r="B32" s="46" t="str">
        <x:v>crustacean:chinese_mitten_crab</x:v>
      </x:c>
      <x:c r="C32" s="46" t="str">
        <x:v>family:crustacean</x:v>
      </x:c>
      <x:c r="D32" s="46" t="str">
        <x:v>male crab muscle</x:v>
      </x:c>
      <x:c r="E32" s="46" t="str">
        <x:v>SRC-CRAB-MUSCLE-001</x:v>
      </x:c>
      <x:c r="F32" s="46" t="str">
        <x:v>Esters</x:v>
      </x:c>
      <x:c r="G32" s="46" t="str">
        <x:v>Esters</x:v>
      </x:c>
      <x:c r="H32" s="46" t="str">
        <x:v>Ethyl 2-methylpropanoate</x:v>
      </x:c>
      <x:c r="I32" s="46" t="str">
        <x:v>Ethyl 2-methylpropanoate</x:v>
      </x:c>
      <x:c r="J32" s="46"/>
      <x:c r="K32" s="46" t="str">
        <x:v>C97621</x:v>
      </x:c>
      <x:c r="L32" s="46" t="str">
        <x:v>C6H12O2</x:v>
      </x:c>
      <x:c r="M32" s="46" t="n">
        <x:v>733.5</x:v>
      </x:c>
      <x:c r="N32" s="46" t="n">
        <x:v>169.6</x:v>
      </x:c>
      <x:c r="O32" s="46" t="n">
        <x:v>1.2</x:v>
      </x:c>
      <x:c r="P32" s="46" t="str">
        <x:v>C4-C9 n-ketone RI standards + GC-IMS library</x:v>
      </x:c>
      <x:c r="Q32" s="46"/>
      <x:c r="R32" s="46" t="str">
        <x:v>ri_rt_drift_reported_no_numeric_match_factor</x:v>
      </x:c>
      <x:c r="S32" s="46" t="n">
        <x:v>200</x:v>
      </x:c>
      <x:c r="T32" s="46" t="n">
        <x:v>308.6</x:v>
      </x:c>
      <x:c r="U32" s="46" t="str">
        <x:v>GC-IMS intensity (volume)</x:v>
      </x:c>
      <x:c r="V32" s="46" t="str">
        <x:v>diet_significant_IMM_higher</x:v>
      </x:c>
      <x:c r="W32" s="46" t="str">
        <x:v>FMM=formulated-feed male muscle; IMM=iced-trash-fish-fed male muscle. Diet comparison is a weighting context, not separate crab species.</x:v>
      </x:c>
    </x:row>
    <x:row r="33" ht="26.399999618530273" hidden="0" customHeight="1">
      <x:c r="A33" s="46" t="str">
        <x:v>DCRAB-032</x:v>
      </x:c>
      <x:c r="B33" s="46" t="str">
        <x:v>crustacean:chinese_mitten_crab</x:v>
      </x:c>
      <x:c r="C33" s="46" t="str">
        <x:v>family:crustacean</x:v>
      </x:c>
      <x:c r="D33" s="46" t="str">
        <x:v>male crab muscle</x:v>
      </x:c>
      <x:c r="E33" s="46" t="str">
        <x:v>SRC-CRAB-MUSCLE-001</x:v>
      </x:c>
      <x:c r="F33" s="46" t="str">
        <x:v>Esters</x:v>
      </x:c>
      <x:c r="G33" s="46" t="str">
        <x:v>Esters</x:v>
      </x:c>
      <x:c r="H33" s="46" t="str">
        <x:v>Ethyl propanoate</x:v>
      </x:c>
      <x:c r="I33" s="46" t="str">
        <x:v>Ethyl propanoate</x:v>
      </x:c>
      <x:c r="J33" s="46"/>
      <x:c r="K33" s="46" t="str">
        <x:v>C105373</x:v>
      </x:c>
      <x:c r="L33" s="46" t="str">
        <x:v>C5H10O2</x:v>
      </x:c>
      <x:c r="M33" s="46" t="n">
        <x:v>713.7</x:v>
      </x:c>
      <x:c r="N33" s="46" t="n">
        <x:v>160.1</x:v>
      </x:c>
      <x:c r="O33" s="46" t="n">
        <x:v>1.2</x:v>
      </x:c>
      <x:c r="P33" s="46" t="str">
        <x:v>C4-C9 n-ketone RI standards + GC-IMS library</x:v>
      </x:c>
      <x:c r="Q33" s="46"/>
      <x:c r="R33" s="46" t="str">
        <x:v>ri_rt_drift_reported_no_numeric_match_factor</x:v>
      </x:c>
      <x:c r="S33" s="46" t="n">
        <x:v>790</x:v>
      </x:c>
      <x:c r="T33" s="46" t="n">
        <x:v>856.3</x:v>
      </x:c>
      <x:c r="U33" s="46" t="str">
        <x:v>GC-IMS intensity (volume)</x:v>
      </x:c>
      <x:c r="V33" s="46" t="str">
        <x:v>no_significant_direction_flag_in_source_summary</x:v>
      </x:c>
      <x:c r="W33" s="46" t="str">
        <x:v>FMM=formulated-feed male muscle; IMM=iced-trash-fish-fed male muscle. Diet comparison is a weighting context, not separate crab species.</x:v>
      </x:c>
    </x:row>
    <x:row r="34" ht="26.399999618530273" hidden="0" customHeight="1">
      <x:c r="A34" s="46" t="str">
        <x:v>DCRAB-033</x:v>
      </x:c>
      <x:c r="B34" s="46" t="str">
        <x:v>crustacean:chinese_mitten_crab</x:v>
      </x:c>
      <x:c r="C34" s="46" t="str">
        <x:v>family:crustacean</x:v>
      </x:c>
      <x:c r="D34" s="46" t="str">
        <x:v>male crab muscle</x:v>
      </x:c>
      <x:c r="E34" s="46" t="str">
        <x:v>SRC-CRAB-MUSCLE-001</x:v>
      </x:c>
      <x:c r="F34" s="46" t="str">
        <x:v>Acids</x:v>
      </x:c>
      <x:c r="G34" s="46" t="str">
        <x:v>Acids</x:v>
      </x:c>
      <x:c r="H34" s="46" t="str">
        <x:v>Allylacetic acid</x:v>
      </x:c>
      <x:c r="I34" s="46" t="str">
        <x:v>Allylacetic acid</x:v>
      </x:c>
      <x:c r="J34" s="46"/>
      <x:c r="K34" s="46" t="str">
        <x:v>C591800</x:v>
      </x:c>
      <x:c r="L34" s="46" t="str">
        <x:v>C5H8O2</x:v>
      </x:c>
      <x:c r="M34" s="46" t="n">
        <x:v>897.4</x:v>
      </x:c>
      <x:c r="N34" s="46" t="n">
        <x:v>259.1</x:v>
      </x:c>
      <x:c r="O34" s="46" t="n">
        <x:v>1.1</x:v>
      </x:c>
      <x:c r="P34" s="46" t="str">
        <x:v>C4-C9 n-ketone RI standards + GC-IMS library</x:v>
      </x:c>
      <x:c r="Q34" s="46"/>
      <x:c r="R34" s="46" t="str">
        <x:v>ri_rt_drift_reported_no_numeric_match_factor</x:v>
      </x:c>
      <x:c r="S34" s="46" t="n">
        <x:v>208.5</x:v>
      </x:c>
      <x:c r="T34" s="46" t="n">
        <x:v>202.4</x:v>
      </x:c>
      <x:c r="U34" s="46" t="str">
        <x:v>GC-IMS intensity (volume)</x:v>
      </x:c>
      <x:c r="V34" s="46" t="str">
        <x:v>no_significant_direction_flag_in_source_summary</x:v>
      </x:c>
      <x:c r="W34" s="46" t="str">
        <x:v>FMM=formulated-feed male muscle; IMM=iced-trash-fish-fed male muscle. Diet comparison is a weighting context, not separate crab species.</x:v>
      </x:c>
    </x:row>
    <x:row r="35" ht="26.399999618530273" hidden="0" customHeight="1">
      <x:c r="A35" s="46" t="str">
        <x:v>DCRAB-034</x:v>
      </x:c>
      <x:c r="B35" s="46" t="str">
        <x:v>crustacean:chinese_mitten_crab</x:v>
      </x:c>
      <x:c r="C35" s="46" t="str">
        <x:v>family:crustacean</x:v>
      </x:c>
      <x:c r="D35" s="46" t="str">
        <x:v>male crab muscle</x:v>
      </x:c>
      <x:c r="E35" s="46" t="str">
        <x:v>SRC-CRAB-MUSCLE-001</x:v>
      </x:c>
      <x:c r="F35" s="46" t="str">
        <x:v>Acids (source table)</x:v>
      </x:c>
      <x:c r="G35" s="46" t="str">
        <x:v>Phenols</x:v>
      </x:c>
      <x:c r="H35" s="46" t="str">
        <x:v>Phenol</x:v>
      </x:c>
      <x:c r="I35" s="46" t="str">
        <x:v>Phenol</x:v>
      </x:c>
      <x:c r="J35" s="46"/>
      <x:c r="K35" s="46" t="str">
        <x:v>C108952</x:v>
      </x:c>
      <x:c r="L35" s="46" t="str">
        <x:v>C6H6O</x:v>
      </x:c>
      <x:c r="M35" s="46" t="n">
        <x:v>991.6</x:v>
      </x:c>
      <x:c r="N35" s="46" t="n">
        <x:v>340.7</x:v>
      </x:c>
      <x:c r="O35" s="46" t="n">
        <x:v>1.1</x:v>
      </x:c>
      <x:c r="P35" s="46" t="str">
        <x:v>C4-C9 n-ketone RI standards + GC-IMS library</x:v>
      </x:c>
      <x:c r="Q35" s="46"/>
      <x:c r="R35" s="46" t="str">
        <x:v>ri_rt_drift_reported_no_numeric_match_factor</x:v>
      </x:c>
      <x:c r="S35" s="46" t="n">
        <x:v>245.6</x:v>
      </x:c>
      <x:c r="T35" s="46" t="n">
        <x:v>317.5</x:v>
      </x:c>
      <x:c r="U35" s="46" t="str">
        <x:v>GC-IMS intensity (volume)</x:v>
      </x:c>
      <x:c r="V35" s="46" t="str">
        <x:v>diet_significant_IMM_higher</x:v>
      </x:c>
      <x:c r="W35" s="46" t="str">
        <x:v>FMM=formulated-feed male muscle; IMM=iced-trash-fish-fed male muscle. Diet comparison is a weighting context, not separate crab species.</x:v>
      </x:c>
    </x:row>
  </x:sheetData>
  <x:pageMargins left="0.7" right="0.7" top="0.75" bottom="0.75" header="0.3" footer="0.3"/>
  <x:tableParts count="1">
    <x:tablePart xmlns:r="http://schemas.openxmlformats.org/officeDocument/2006/relationships" r:id="R7de34ed49d9449d5"/>
  </x:tableParts>
</x:worksheet>
</file>

<file path=xl/worksheets/sheet85.xml><?xml version="1.0" encoding="utf-8"?>
<x:worksheet xmlns:x="http://schemas.openxmlformats.org/spreadsheetml/2006/main">
  <x:sheetFormatPr defaultRowHeight="15"/>
  <x:cols>
    <x:col min="1" max="1" width="38" hidden="0" customWidth="1"/>
    <x:col min="2" max="2" width="38" hidden="0" customWidth="1"/>
    <x:col min="3" max="3" width="62" hidden="0" customWidth="1"/>
    <x:col min="4" max="4" width="86" hidden="0" customWidth="1"/>
    <x:col min="5" max="5" width="52" hidden="0" customWidth="1"/>
    <x:col min="6" max="6" width="72" hidden="0" customWidth="1"/>
    <x:col min="7" max="7" width="24" hidden="0" customWidth="1"/>
    <x:col min="8" max="8" width="78" hidden="0" customWidth="1"/>
  </x:cols>
  <x:sheetData>
    <x:row r="1" ht="15" hidden="0" customHeight="1">
      <x:c r="A1" s="201" t="str">
        <x:v>criterion</x:v>
      </x:c>
      <x:c r="B1" s="201" t="str">
        <x:v>status</x:v>
      </x:c>
      <x:c r="C1" s="201" t="str">
        <x:v>evidence_refs</x:v>
      </x:c>
      <x:c r="D1" s="201" t="str">
        <x:v>what_is_complete</x:v>
      </x:c>
      <x:c r="E1" s="201" t="str">
        <x:v>mr10_row_level_status</x:v>
      </x:c>
      <x:c r="F1" s="201" t="str">
        <x:v>residual_gap</x:v>
      </x:c>
      <x:c r="G1" s="201" t="str">
        <x:v>blocks_targeted_phase</x:v>
      </x:c>
      <x:c r="H1" s="201" t="str">
        <x:v>recommended_action</x:v>
      </x:c>
    </x:row>
    <x:row r="2" ht="26.399999618530273" hidden="0" customHeight="1">
      <x:c r="A2" s="46" t="str">
        <x:v>OVERALL — five thin shellfish targets</x:v>
      </x:c>
      <x:c r="B2" s="208" t="str">
        <x:v>COMPLETE_FOR_TARGETED_THIN_MEMBER_PHASE</x:v>
      </x:c>
      <x:c r="C2" s="46" t="str">
        <x:v>Shellfish Member Coverage; Shellfish Identification QA; Shellfish Pattern Evidence</x:v>
      </x:c>
      <x:c r="D2" s="46" t="str">
        <x:v>Shrimp, crab, lobster/crayfish, scallop and clam/mussel each have direct member evidence. Shrimp, crab, crayfish and scallop now have full detected-table anchors.</x:v>
      </x:c>
      <x:c r="E2" s="46" t="str">
        <x:v>4 of 5 target clusters now contain a full row-level detected-table anchor; the clam/mussel cluster remains source-count/sensory at row level, while lobster remains sensory/key within the lobster/crayfish cluster.</x:v>
      </x:c>
      <x:c r="F2" s="46" t="str">
        <x:v>Remaining exact-table gaps: clam 62, mussel 85, lobster 47 and the broader Duppeti shrimp 86 processing table. None blocks the current family architecture.</x:v>
      </x:c>
      <x:c r="G2" s="46" t="str">
        <x:v>no</x:v>
      </x:c>
      <x:c r="H2" s="46" t="str">
        <x:v>Do not continue broad shellfish literature discovery now. Reopen a member only when row-level MR-10 completeness materially affects runtime output.</x:v>
      </x:c>
    </x:row>
    <x:row r="3" ht="26.399999618530273" hidden="0" customHeight="1">
      <x:c r="A3" s="46" t="str">
        <x:v>Shrimp</x:v>
      </x:c>
      <x:c r="B3" s="279" t="str">
        <x:v>met_full_table_multi_state</x:v>
      </x:c>
      <x:c r="C3" s="46" t="str">
        <x:v>SRC-SHRIMP-SOUSVIDE-001; Detected Shellfish Shrimp 54; SRC-SHRIMP-PROC-001; SRC-SHRIMP-OAV-001</x:v>
      </x:c>
      <x:c r="D3" s="46" t="str">
        <x:v>54/54 direct GC-MS rows across raw, sous-vide and steamed shrimp with source CAS and ng/g values, plus an 86-VOC broader processing source and complementary OAV evidence.</x:v>
      </x:c>
      <x:c r="E3" s="46" t="str">
        <x:v>complete for the 54-row canonical direct source; Duppeti 86-row broader-state table remains source-count/OAV only</x:v>
      </x:c>
      <x:c r="F3" s="46" t="str">
        <x:v>DI-20 source arithmetic/count mismatch; source-specific RI and numeric match factors are not published in the accessible 54-row table.</x:v>
      </x:c>
      <x:c r="G3" s="46" t="str">
        <x:v>no</x:v>
      </x:c>
      <x:c r="H3" s="46" t="str">
        <x:v>Use the 54-row table as the canonical shrimp detected anchor. Retain the 86-VOC source for broader processing breadth/OAV until its row table becomes accessible.</x:v>
      </x:c>
    </x:row>
    <x:row r="4" ht="26.399999618530273" hidden="0" customHeight="1">
      <x:c r="A4" s="46" t="str">
        <x:v>Crab</x:v>
      </x:c>
      <x:c r="B4" s="208" t="str">
        <x:v>met_full_table</x:v>
      </x:c>
      <x:c r="C4" s="46" t="str">
        <x:v>SRC-CRAB-MUSCLE-001; Detected Shellfish Crab; SRC-CRAB-GCO-001</x:v>
      </x:c>
      <x:c r="D4" s="46" t="str">
        <x:v>34/34 direct muscle rows with CAS/RI/RT/drift and diet-group intensity plus independent 69-VOC/9-GC-O sensory breadth.</x:v>
      </x:c>
      <x:c r="E4" s="46" t="str">
        <x:v>complete for selected direct muscle source</x:v>
      </x:c>
      <x:c r="F4" s="46" t="str">
        <x:v>Independent 69-row source is not fully ingested.</x:v>
      </x:c>
      <x:c r="G4" s="46" t="str">
        <x:v>no</x:v>
      </x:c>
      <x:c r="H4" s="46" t="str">
        <x:v>Use 34-row table as canonical crab muscle detection anchor; GC-O source supplies sensory weighting.</x:v>
      </x:c>
    </x:row>
    <x:row r="5" ht="26.399999618530273" hidden="0" customHeight="1">
      <x:c r="A5" s="46" t="str">
        <x:v>Lobster / crayfish</x:v>
      </x:c>
      <x:c r="B5" s="262" t="str">
        <x:v>crayfish_full_lobster_sensory</x:v>
      </x:c>
      <x:c r="C5" s="46" t="str">
        <x:v>SRC-LOBSTER-GCO-001; SRC-CRAYFISH-TAIL-001; Detected Shellfish Crayfish; SRC-CRAYFISH-COOK-001</x:v>
      </x:c>
      <x:c r="D5" s="46" t="str">
        <x:v>Crayfish now has a full 68/68 Table-4 detected profile with RI/RT/drift and four context values; lobster retains a 47-odorant sensory breadth/key layer; crayfish also has an independent six-technique 35-VOC study.</x:v>
      </x:c>
      <x:c r="E5" s="46" t="str">
        <x:v>complete for primary crayfish tail source; lobster remains sensory/key; six-technique table remains source-count</x:v>
      </x:c>
      <x:c r="F5" s="46" t="str">
        <x:v>Full 47-row lobster odorant table and 35-row crayfish cooking table are not ingested.</x:v>
      </x:c>
      <x:c r="G5" s="46" t="str">
        <x:v>no</x:v>
      </x:c>
      <x:c r="H5" s="46" t="str">
        <x:v>Use the 68-row crayfish table as the canonical crayfish tail source. Keep lobster separate and do not inherit crayfish rows into lobster.</x:v>
      </x:c>
    </x:row>
    <x:row r="6" ht="26.399999618530273" hidden="0" customHeight="1">
      <x:c r="A6" s="46" t="str">
        <x:v>Scallop</x:v>
      </x:c>
      <x:c r="B6" s="208" t="str">
        <x:v>met_full_table_multi_state</x:v>
      </x:c>
      <x:c r="C6" s="46" t="str">
        <x:v>SRC-SCALLOP-COOK-001; Detected Shellfish Scallop</x:v>
      </x:c>
      <x:c r="D6" s="46" t="str">
        <x:v>59/59 analytical features, representing 48 distinct VOCs, across raw, boiled, roasted, fried and microwaved muscle with RI/RT/drift and peak volume.</x:v>
      </x:c>
      <x:c r="E6" s="46" t="str">
        <x:v>complete for source table</x:v>
      </x:c>
      <x:c r="F6" s="46" t="str">
        <x:v>No numeric spectral match factor is published.</x:v>
      </x:c>
      <x:c r="G6" s="46" t="str">
        <x:v>no</x:v>
      </x:c>
      <x:c r="H6" s="46" t="str">
        <x:v>Use as the bivalve multi-state detected-table anchor.</x:v>
      </x:c>
    </x:row>
    <x:row r="7" ht="26.399999618530273" hidden="0" customHeight="1">
      <x:c r="A7" s="46" t="str">
        <x:v>Clam / mussel</x:v>
      </x:c>
      <x:c r="B7" s="202" t="str">
        <x:v>covered_both_members</x:v>
      </x:c>
      <x:c r="C7" s="46" t="str">
        <x:v>SRC-CLAM-BOIL-001; SRC-MUSSEL-GCO-001</x:v>
      </x:c>
      <x:c r="D7" s="46" t="str">
        <x:v>Clam raw→boiled: 62 VOCs with QDA/PLSR; cooked mussel: 85 VOCs and 33 GC-O active odorants with strong MS/RI/standard identification support.</x:v>
      </x:c>
      <x:c r="E7" s="46" t="str">
        <x:v>partial source-count/sensory layers</x:v>
      </x:c>
      <x:c r="F7" s="46" t="str">
        <x:v>Exact full clam and mussel row tables are not ingested.</x:v>
      </x:c>
      <x:c r="G7" s="46" t="str">
        <x:v>no</x:v>
      </x:c>
      <x:c r="H7" s="46" t="str">
        <x:v>Keep clam and mussel measured separately; use cluster only for targeted bivalve coverage.</x:v>
      </x:c>
    </x:row>
    <x:row r="8" ht="26.399999618530273" hidden="0" customHeight="1">
      <x:c r="A8" s="46" t="str">
        <x:v>Legacy shellfish migration</x:v>
      </x:c>
      <x:c r="B8" s="208" t="str">
        <x:v>met_for_targeted_phase</x:v>
      </x:c>
      <x:c r="C8" s="46" t="str">
        <x:v>Shellfish Legacy Scope; uploaded Pairings/Ing Pairings crustacean and mollusk workbooks</x:v>
      </x:c>
      <x:c r="D8" s="46" t="str">
        <x:v>Crab/crayfish/shrimp member sections and mollusk pairing examples are preserved as leads/regression evidence without promotion.</x:v>
      </x:c>
      <x:c r="E8" s="46" t="str">
        <x:v>not applicable</x:v>
      </x:c>
      <x:c r="F8" s="46" t="str">
        <x:v>Individual legacy compound claims remain unverified unless modern member evidence supports them.</x:v>
      </x:c>
      <x:c r="G8" s="46" t="str">
        <x:v>no</x:v>
      </x:c>
      <x:c r="H8" s="46" t="str">
        <x:v>Do not force modern profiles to reproduce old pairing outputs.</x:v>
      </x:c>
    </x:row>
    <x:row r="9" ht="15" hidden="0" customHeight="1">
      <x:c r="A9" s="46" t="str">
        <x:v>Subfamily architecture</x:v>
      </x:c>
      <x:c r="B9" s="208" t="str">
        <x:v>met</x:v>
      </x:c>
      <x:c r="C9" s="46" t="str">
        <x:v>PAT-SHELL-001 through PAT-SHELL-004</x:v>
      </x:c>
      <x:c r="D9" s="46" t="str">
        <x:v>Crustacean and bivalve-mollusk parents are separated; anatomy, cooking media and organ additions are overlays.</x:v>
      </x:c>
      <x:c r="E9" s="46" t="str">
        <x:v>not applicable</x:v>
      </x:c>
      <x:c r="F9" s="46" t="str">
        <x:v>No automatic cross-member inheritance is authorized.</x:v>
      </x:c>
      <x:c r="G9" s="46" t="str">
        <x:v>no</x:v>
      </x:c>
      <x:c r="H9" s="46" t="str">
        <x:v>No founder decision required unless runtime later proposes automatic cluster inheritance.</x:v>
      </x:c>
    </x:row>
  </x:sheetData>
  <x:pageMargins left="0.7" right="0.7" top="0.75" bottom="0.75" header="0.3" footer="0.3"/>
  <x:tableParts count="1">
    <x:tablePart xmlns:r="http://schemas.openxmlformats.org/officeDocument/2006/relationships" r:id="R087614f02d494c03"/>
  </x:tableParts>
</x:worksheet>
</file>

<file path=xl/worksheets/sheet86.xml><?xml version="1.0" encoding="utf-8"?>
<x:worksheet xmlns:x="http://schemas.openxmlformats.org/spreadsheetml/2006/main">
  <x:sheetFormatPr defaultRowHeight="15"/>
  <x:cols>
    <x:col min="1" max="1" width="15" hidden="0" customWidth="1"/>
    <x:col min="2" max="2" width="34" hidden="0" customWidth="1"/>
    <x:col min="3" max="3" width="58" hidden="0" customWidth="1"/>
    <x:col min="4" max="4" width="72" hidden="0" customWidth="1"/>
    <x:col min="5" max="5" width="30" hidden="0" customWidth="1"/>
    <x:col min="6" max="6" width="72" hidden="0" customWidth="1"/>
    <x:col min="7" max="7" width="72" hidden="0" customWidth="1"/>
  </x:cols>
  <x:sheetData>
    <x:row r="1" ht="15" hidden="0" customHeight="1">
      <x:c r="A1" s="128" t="str">
        <x:v>control_id</x:v>
      </x:c>
      <x:c r="B1" s="128" t="str">
        <x:v>rule_or_issue</x:v>
      </x:c>
      <x:c r="C1" s="128" t="str">
        <x:v>workbook_check</x:v>
      </x:c>
      <x:c r="D1" s="128" t="str">
        <x:v>observed_result</x:v>
      </x:c>
      <x:c r="E1" s="128" t="str">
        <x:v>status</x:v>
      </x:c>
      <x:c r="F1" s="128" t="str">
        <x:v>pipeline_effect</x:v>
      </x:c>
      <x:c r="G1" s="128" t="str">
        <x:v>follow_up</x:v>
      </x:c>
    </x:row>
    <x:row r="2" ht="26.399999618530273" hidden="0" customHeight="1">
      <x:c r="A2" s="46" t="str">
        <x:v>GOV-001</x:v>
      </x:c>
      <x:c r="B2" s="46" t="str">
        <x:v>MR-09 identification gate</x:v>
      </x:c>
      <x:c r="C2" s="46" t="str">
        <x:v>QA tabs preserve match/RI coverage and explicitly mark sources where the gate cannot be evaluated.</x:v>
      </x:c>
      <x:c r="D2" s="46" t="str">
        <x:v>Rule now formalized as match factor ≥80 AND |RI−reference RI|&lt;50; unavailable fields remain partial rather than passed.</x:v>
      </x:c>
      <x:c r="E2" s="119" t="str">
        <x:v>implemented_rulebook</x:v>
      </x:c>
      <x:c r="F2" s="46" t="str">
        <x:v>Only MR-09-verified rows should enter the high-confidence identity layer.</x:v>
      </x:c>
      <x:c r="G2" s="46" t="str">
        <x:v>Pipeline ingestion must honor QA status rather than treating every detected row as equally verified.</x:v>
      </x:c>
    </x:row>
    <x:row r="3" ht="26.399999618530273" hidden="0" customHeight="1">
      <x:c r="A3" s="46" t="str">
        <x:v>GOV-002</x:v>
      </x:c>
      <x:c r="B3" s="46" t="str">
        <x:v>MR-10 full detected tables</x:v>
      </x:c>
      <x:c r="C3" s="46" t="str">
        <x:v>Detected Beef/Fish/Dairy/Shellfish sheets and source-count reconciliation audits already exist.</x:v>
      </x:c>
      <x:c r="D3" s="46" t="str">
        <x:v>Practice is now explicitly documented in MR-10.</x:v>
      </x:c>
      <x:c r="E3" s="119" t="str">
        <x:v>implemented_rulebook</x:v>
      </x:c>
      <x:c r="F3" s="46" t="str">
        <x:v>Prevents key-aroma subsets from masquerading as complete chemistry.</x:v>
      </x:c>
      <x:c r="G3" s="46" t="str">
        <x:v>Use ingestion scoring to determine whether older avian/domestic profiles need normalization passes.</x:v>
      </x:c>
    </x:row>
    <x:row r="4" ht="26.399999618530273" hidden="0" customHeight="1">
      <x:c r="A4" s="46" t="str">
        <x:v>GOV-003</x:v>
      </x:c>
      <x:c r="B4" s="46" t="str">
        <x:v>MR-13 carrier separation</x:v>
      </x:c>
      <x:c r="C4" s="46" t="str">
        <x:v>Verified Beef Fat Profile + dairy carrier products; egg preflight requires yolk separation.</x:v>
      </x:c>
      <x:c r="D4" s="46" t="str">
        <x:v>Beef fat is already product_id beef:fat; butter/cream are separate carriers.</x:v>
      </x:c>
      <x:c r="E4" s="119" t="str">
        <x:v>implemented_rulebook</x:v>
      </x:c>
      <x:c r="F4" s="46" t="str">
        <x:v>Prevents carrier chemistry from contaminating lean-tissue product profiles.</x:v>
      </x:c>
      <x:c r="G4" s="46" t="str">
        <x:v>When egg begins, raw yolk and white must be separate products/materials; whole egg can be a composite state.</x:v>
      </x:c>
    </x:row>
    <x:row r="5" ht="26.399999618530273" hidden="0" customHeight="1">
      <x:c r="A5" s="46" t="str">
        <x:v>GOV-004</x:v>
      </x:c>
      <x:c r="B5" s="46" t="str">
        <x:v>MR-15 alkane classification</x:v>
      </x:c>
      <x:c r="C5" s="46" t="str">
        <x:v>Current full detected tables use explicit Alkanes/Hydrocarbons groups; terpenes remain structural terpene compounds.</x:v>
      </x:c>
      <x:c r="D5" s="46" t="str">
        <x:v>Rule now formalized; no broad alkane→terpene remap is authorized.</x:v>
      </x:c>
      <x:c r="E5" s="119" t="str">
        <x:v>implemented_rulebook</x:v>
      </x:c>
      <x:c r="F5" s="46" t="str">
        <x:v>Avoids false terpene-family similarity from lipid-degradation fragments.</x:v>
      </x:c>
      <x:c r="G5" s="46" t="str">
        <x:v>Run row-level taxonomy audit only if ingestion exposes legacy classification conflicts.</x:v>
      </x:c>
    </x:row>
    <x:row r="6" ht="26.399999618530273" hidden="0" customHeight="1">
      <x:c r="A6" s="46" t="str">
        <x:v>GOV-005</x:v>
      </x:c>
      <x:c r="B6" s="46" t="str">
        <x:v>MR-16 document-frequency exclusion</x:v>
      </x:c>
      <x:c r="C6" s="46" t="str">
        <x:v>Verified Duck Profiles contains 18 founder_equivalence rows.</x:v>
      </x:c>
      <x:c r="D6" s="46" t="str">
        <x:f>"Verified Duck Profiles contains "&amp;COUNTIF('Verified Duck Profiles'!S2:S50,"no")&amp;" document-frequency-excluded inherited/equivalence rows; expected 18."</x:f>
        <x:v>Verified Duck Profiles contains 18 document-frequency-excluded inherited/equivalence rows; expected 18.</x:v>
      </x:c>
      <x:c r="E6" s="119" t="str">
        <x:v>enforced_in_workbook</x:v>
      </x:c>
      <x:c r="F6" s="46" t="str">
        <x:v>Inherited state expansion cannot inflate DF/IDF counts.</x:v>
      </x:c>
      <x:c r="G6" s="46" t="str">
        <x:v>Downstream ingestion must consume this field or independently apply the same rule.</x:v>
      </x:c>
    </x:row>
    <x:row r="7" ht="15" hidden="0" customHeight="1">
      <x:c r="A7" s="46" t="str">
        <x:v>GOV-006</x:v>
      </x:c>
      <x:c r="B7" s="46" t="str">
        <x:v>Beef phenol confirmation</x:v>
      </x:c>
      <x:c r="C7" s="46" t="str">
        <x:v>Detected Beef Cure-Smoke and Detected Beef Fat checked.</x:v>
      </x:c>
      <x:c r="D7" s="46" t="str">
        <x:f>"Cure-smoke phenol rows = "&amp;COUNTIF('Detected Beef Cure-Smoke'!G2:G87,"Phenols")&amp;"; beef-fat phenol rows = "&amp;COUNTIF('Detected Beef Fat'!H2:H97,"Phenols")</x:f>
        <x:v>Cure-smoke phenol rows = 12; beef-fat phenol rows = 3</x:v>
      </x:c>
      <x:c r="E7" s="119" t="str">
        <x:v>confirmed</x:v>
      </x:c>
      <x:c r="F7" s="46" t="str">
        <x:v>The prior phenol-zero concern is resolved in detected-table coverage.</x:v>
      </x:c>
      <x:c r="G7" s="46" t="str">
        <x:v>Do not treat smoke/spice phenols as native raw-beef chemistry.</x:v>
      </x:c>
    </x:row>
    <x:row r="8" ht="15" hidden="0" customHeight="1">
      <x:c r="A8" s="46" t="str">
        <x:v>GOV-007</x:v>
      </x:c>
      <x:c r="B8" s="46" t="str">
        <x:v>Beef lactone confirmation</x:v>
      </x:c>
      <x:c r="C8" s="46" t="str">
        <x:v>Detected Beef Fat checked.</x:v>
      </x:c>
      <x:c r="D8" s="46" t="str">
        <x:f>"Beef-fat lactone rows = "&amp;COUNTIF('Detected Beef Fat'!H2:H97,"Lactones")</x:f>
        <x:v>Beef-fat lactone rows = 6</x:v>
      </x:c>
      <x:c r="E8" s="119" t="str">
        <x:v>confirmed</x:v>
      </x:c>
      <x:c r="F8" s="46" t="str">
        <x:v>Carrier lactone layer survived ingestion.</x:v>
      </x:c>
      <x:c r="G8" s="46" t="str">
        <x:v>Keep beef:fat separate from muscle under MR-13.</x:v>
      </x:c>
    </x:row>
    <x:row r="9" ht="26.399999618530273" hidden="0" customHeight="1">
      <x:c r="A9" s="46" t="str">
        <x:v>GOV-008</x:v>
      </x:c>
      <x:c r="B9" s="46" t="str">
        <x:v>Collection gate before Egg</x:v>
      </x:c>
      <x:c r="C9" s="46" t="str">
        <x:v>Beef ingestion result reviewed for whether collection depth/method must change.</x:v>
      </x:c>
      <x:c r="D9" s="46" t="str">
        <x:v>Cleared: 120/124 distinct beef-muscle compounds exceed the VCF median and mean IDF is higher than size-matched VCF profiles.</x:v>
      </x:c>
      <x:c r="E9" s="119" t="str">
        <x:v>gate_cleared</x:v>
      </x:c>
      <x:c r="F9" s="46" t="str">
        <x:v>MR-10 remains the Egg collection method; scoring residual is assigned to the lens/query layer rather than research depth.</x:v>
      </x:c>
      <x:c r="G9" s="46" t="str">
        <x:v>Egg evidence collection is already complete for the current pass. Next action is clean egg regenerate under MR-17/MR-18; the beef scoring residual does not reopen research depth.</x:v>
      </x:c>
    </x:row>
    <x:row r="10">
      <x:c r="A10" s="23" t="str">
        <x:v>GOV-009</x:v>
      </x:c>
      <x:c r="B10" s="23" t="str">
        <x:v>MR-17 classification + exclusion routing</x:v>
      </x:c>
      <x:c r="C10" s="23" t="str">
        <x:v>Exclusion Routing Audit + egg route fields + v28 founder correction.</x:v>
      </x:c>
      <x:c r="D10" s="23" t="str">
        <x:v>Three states are explicit and the v29 audit now includes the five beef rows omitted in v28. Route fields are also written directly onto the relevant Detected Beef tabs.</x:v>
      </x:c>
      <x:c r="E10" s="23" t="str">
        <x:v>implemented_rulebook_workbook_complete_pending_runtime_sync</x:v>
      </x:c>
      <x:c r="F10" s="23" t="str">
        <x:v>Only flavor-relevant, fully classified identities enter flavor profiles/DF; analytical background is suppressed corpus-wide, present-not-flavor rows remain per-sample provenance, unresolved rows are held.</x:v>
      </x:c>
      <x:c r="G10" s="23" t="str">
        <x:v>Runtime regenerate must consume the explicit route state rather than infer exclusion from absence.</x:v>
      </x:c>
    </x:row>
    <x:row r="11">
      <x:c r="A11" s="23" t="str">
        <x:v>GOV-010</x:v>
      </x:c>
      <x:c r="B11" s="23" t="str">
        <x:v>MR-18 GROUP_MAP completeness</x:v>
      </x:c>
      <x:c r="C11" s="23" t="str">
        <x:v>Migration Rules now records the code/meta pre-ingestion completeness gate.</x:v>
      </x:c>
      <x:c r="D11" s="23" t="str">
        <x:v>Missing classifier-group mapping is a hard hold/fail, not a silent fallback; taxonomy/resolver changes after ingestion require clean regenerate.</x:v>
      </x:c>
      <x:c r="E11" s="23" t="str">
        <x:v>implemented_rulebook</x:v>
      </x:c>
      <x:c r="F11" s="23" t="str">
        <x:v>Prevents incomplete group maps from contaminating family profiles.</x:v>
      </x:c>
      <x:c r="G11" s="23" t="str">
        <x:v>Validate GROUP_MAP completeness before the clean egg regenerate.</x:v>
      </x:c>
    </x:row>
    <x:row r="12">
      <x:c r="A12" s="23" t="str">
        <x:v>GOV-011</x:v>
      </x:c>
      <x:c r="B12" s="23" t="str">
        <x:v>MR-17 audit completeness</x:v>
      </x:c>
      <x:c r="C12" s="23" t="str">
        <x:v>Exclusion Routing Audit v29 + route fields on Detected Beef Aging / Detected Beef Muscle.</x:v>
      </x:c>
      <x:c r="D12" s="23" t="str">
        <x:v>All five previously omitted beef records now have explicit routing. 2-Ethylhexyl acrylate is present_not_flavor_relevant; diisopropyl ether, 1-butanamine, 1-formylpyrrolidine and ethylcyclopentane remain unresolved.</x:v>
      </x:c>
      <x:c r="E12" s="23" t="str">
        <x:v>confirmed_workbook_complete</x:v>
      </x:c>
      <x:c r="F12" s="23" t="str">
        <x:v>No beef row in the adjudicated exclusion/hold set is excluded merely by omission.</x:v>
      </x:c>
      <x:c r="G12" s="23" t="str">
        <x:v>Proceed to corrected resolver/classifier and clean egg regenerate.</x:v>
      </x:c>
    </x:row>
  </x:sheetData>
  <x:pageMargins left="0.7" right="0.7" top="0.75" bottom="0.75" header="0.3" footer="0.3"/>
  <x:tableParts count="1">
    <x:tablePart xmlns:r="http://schemas.openxmlformats.org/officeDocument/2006/relationships" r:id="R27fb1f14fc484857"/>
  </x:tableParts>
</x:worksheet>
</file>

<file path=xl/worksheets/sheet87.xml><?xml version="1.0" encoding="utf-8"?>
<x:worksheet xmlns:x="http://schemas.openxmlformats.org/spreadsheetml/2006/main">
  <x:sheetFormatPr defaultRowHeight="15"/>
  <x:cols>
    <x:col min="1" max="1" width="14" hidden="0" customWidth="1"/>
    <x:col min="2" max="2" width="24" hidden="0" customWidth="1"/>
    <x:col min="3" max="3" width="48" hidden="0" customWidth="1"/>
    <x:col min="4" max="4" width="88" hidden="0" customWidth="1"/>
    <x:col min="5" max="5" width="88" hidden="0" customWidth="1"/>
    <x:col min="6" max="6" width="34" hidden="0" customWidth="1"/>
    <x:col min="7" max="7" width="78" hidden="0" customWidth="1"/>
  </x:cols>
  <x:sheetData>
    <x:row r="1" ht="15" hidden="0" customHeight="1">
      <x:c r="A1" s="224" t="str">
        <x:v>preflight_id</x:v>
      </x:c>
      <x:c r="B1" s="224" t="str">
        <x:v>legacy_scope</x:v>
      </x:c>
      <x:c r="C1" s="224" t="str">
        <x:v>files_reviewed</x:v>
      </x:c>
      <x:c r="D1" s="224" t="str">
        <x:v>raw_legacy_structure</x:v>
      </x:c>
      <x:c r="E1" s="224" t="str">
        <x:v>governance_interpretation</x:v>
      </x:c>
      <x:c r="F1" s="224" t="str">
        <x:v>collection_status</x:v>
      </x:c>
      <x:c r="G1" s="224" t="str">
        <x:v>next_allowed_action</x:v>
      </x:c>
    </x:row>
    <x:row r="2" ht="52.79999923706055" hidden="0" customHeight="1">
      <x:c r="A2" s="46" t="str">
        <x:v>PF-001</x:v>
      </x:c>
      <x:c r="B2" s="46" t="str">
        <x:v>egg</x:v>
      </x:c>
      <x:c r="C2" s="46" t="str">
        <x:v>Pairings- Egg.xlsx; Ing Pairings- Egg.xlsx</x:v>
      </x:c>
      <x:c r="D2" s="46" t="str">
        <x:v>Pairings file contains 11 generic egg compound columns: 1,4-dichlorobenzene; 3-methylphenol; ethanethiol; hydrogen sulfide; thiophene; ammonia; m-xylene; 4-methylthiazole; ethylpyrazine; 2-butanone; dimethyl sulfide. No yolk/white/whole or preparation provenance. Ing Pairings contains regression examples such as Egg + Truffle → dimethyl sulfide and Egg + Caviar → ammonia.</x:v>
      </x:c>
      <x:c r="E2" s="46" t="str">
        <x:v>All compound rows remain legacy_unverified/search seeds. When collection resumes, MR-13 requires yolk and white to be separate product/material entities; whole egg can be a composite product. Pairing examples remain regression-only under MR-07/MR-08.</x:v>
      </x:c>
      <x:c r="F2" s="238" t="str">
        <x:v>COLLECTION_EXECUTED_V23</x:v>
      </x:c>
      <x:c r="G2" s="46" t="str">
        <x:v>Legacy Egg compounds remain unverified search/regression seeds. Current Egg family is built from primary literature with yolk, white and whole separated from first ingestion.</x:v>
      </x:c>
    </x:row>
    <x:row r="3" ht="39.599998474121094" hidden="0" customHeight="1">
      <x:c r="A3" s="46" t="str">
        <x:v>PF-002</x:v>
      </x:c>
      <x:c r="B3" s="46" t="str">
        <x:v>game meat (general)</x:v>
      </x:c>
      <x:c r="C3" s="46" t="str">
        <x:v>Pairings- Vension.xlsx; Ing Pairings- Venison.xlsx</x:v>
      </x:c>
      <x:c r="D3" s="46" t="str">
        <x:v>Representative game-meat pairing file contains 10 compound leads including lauric acid, butyric acid, eicosanoic acid, myristic acid, capric acid, alpha-pinene, heptanal, gamma-dodecalactone, octadecane and phenylacetaldehyde. Ing Pairings contains regression examples labeled Venison/Vension.</x:v>
      </x:c>
      <x:c r="E3" s="46" t="str">
        <x:v>Per MR-03 and the current project directive, these files represent general game meat, not deer-specific venison. They may seed future venison/rabbit research but must not be attached to a species without independent evidence.</x:v>
      </x:c>
      <x:c r="F3" s="279" t="str">
        <x:v>COLLECTION_EXECUTED_V26</x:v>
      </x:c>
      <x:c r="G3" s="46" t="str">
        <x:v>Species-specific rabbit and red-deer sources are now governed. The Pairings- Vension / Ing Pairings- Venison pool remains 'game meat (general)' and is not narrowed or promoted into either species.</x:v>
      </x:c>
    </x:row>
  </x:sheetData>
  <x:pageMargins left="0.7" right="0.7" top="0.75" bottom="0.75" header="0.3" footer="0.3"/>
  <x:tableParts count="1">
    <x:tablePart xmlns:r="http://schemas.openxmlformats.org/officeDocument/2006/relationships" r:id="R1a27f82d723e4d09"/>
  </x:tableParts>
</x:worksheet>
</file>

<file path=xl/worksheets/sheet88.xml><?xml version="1.0" encoding="utf-8"?>
<x:worksheet xmlns:x="http://schemas.openxmlformats.org/spreadsheetml/2006/main">
  <x:sheetFormatPr defaultRowHeight="15"/>
  <x:cols>
    <x:col min="1" max="1" width="14" hidden="0" customWidth="1"/>
    <x:col min="2" max="2" width="82" hidden="0" customWidth="1"/>
    <x:col min="3" max="3" width="34" hidden="0" customWidth="1"/>
    <x:col min="4" max="4" width="92" hidden="0" customWidth="1"/>
    <x:col min="5" max="5" width="86" hidden="0" customWidth="1"/>
    <x:col min="6" max="6" width="54" hidden="0" customWidth="1"/>
  </x:cols>
  <x:sheetData>
    <x:row r="1" ht="15" hidden="0" customHeight="1">
      <x:c r="A1" s="224" t="str">
        <x:v>gate_id</x:v>
      </x:c>
      <x:c r="B1" s="224" t="str">
        <x:v>dependency</x:v>
      </x:c>
      <x:c r="C1" s="224" t="str">
        <x:v>status</x:v>
      </x:c>
      <x:c r="D1" s="224" t="str">
        <x:v>why_it_blocks_collection</x:v>
      </x:c>
      <x:c r="E1" s="224" t="str">
        <x:v>decision_after_result</x:v>
      </x:c>
      <x:c r="F1" s="224" t="str">
        <x:v>workbook_preparation_complete</x:v>
      </x:c>
    </x:row>
    <x:row r="2" ht="26.399999618530273" hidden="0" customHeight="1">
      <x:c r="A2" s="46" t="str">
        <x:v>GATE-001</x:v>
      </x:c>
      <x:c r="B2" s="46" t="str">
        <x:v>Beef ingestion/scoring depth test</x:v>
      </x:c>
      <x:c r="C2" s="238" t="str">
        <x:v>CLEARED_FOR_EGG_COLLECTION</x:v>
      </x:c>
      <x:c r="D2" s="46" t="str">
        <x:v>The gate protected the collection-method question. Beef muscle entered at 120 and 124 distinct compounds, both above the VCF median, and mean IDF is higher than size-matched VCF profiles. MR-10 therefore produces adequate profile depth; the remaining ~2× scoring residual does not require changing Egg collection.</x:v>
      </x:c>
      <x:c r="E2" s="46" t="str">
        <x:v>Proceed with Egg under MR-09/MR-10. Investigate the residual in the lens/query layer in parallel rather than blocking new collection.</x:v>
      </x:c>
      <x:c r="F2" s="46" t="str">
        <x:v>yes — governance repaired and Egg collection method confirmed</x:v>
      </x:c>
    </x:row>
  </x:sheetData>
  <x:pageMargins left="0.7" right="0.7" top="0.75" bottom="0.75" header="0.3" footer="0.3"/>
  <x:tableParts count="1">
    <x:tablePart xmlns:r="http://schemas.openxmlformats.org/officeDocument/2006/relationships" r:id="R4fae1009f3fb4187"/>
  </x:tableParts>
</x:worksheet>
</file>

<file path=xl/worksheets/sheet89.xml><?xml version="1.0" encoding="utf-8"?>
<x:worksheet xmlns:x="http://schemas.openxmlformats.org/spreadsheetml/2006/main">
  <x:sheetFormatPr defaultRowHeight="15"/>
  <x:cols>
    <x:col min="1" max="1" width="16" hidden="0" customWidth="1"/>
    <x:col min="2" max="2" width="25" hidden="0" customWidth="1"/>
    <x:col min="3" max="3" width="16" hidden="0" customWidth="1"/>
    <x:col min="4" max="4" width="18" hidden="0" customWidth="1"/>
    <x:col min="5" max="5" width="24" hidden="0" customWidth="1"/>
    <x:col min="6" max="6" width="30" hidden="0" customWidth="1"/>
    <x:col min="7" max="7" width="25" hidden="0" customWidth="1"/>
    <x:col min="8" max="8" width="45" hidden="0" customWidth="1"/>
    <x:col min="9" max="9" width="15" hidden="0" customWidth="1"/>
    <x:col min="10" max="10" width="14" hidden="0" customWidth="1"/>
    <x:col min="11" max="11" width="12" hidden="0" customWidth="1"/>
    <x:col min="12" max="12" width="19" hidden="0" customWidth="1"/>
    <x:col min="13" max="13" width="24" hidden="0" customWidth="1"/>
    <x:col min="14" max="14" width="24" hidden="0" customWidth="1"/>
    <x:col min="15" max="15" width="22" hidden="0" customWidth="1"/>
    <x:col min="16" max="16" width="18" hidden="0" customWidth="1"/>
    <x:col min="17" max="17" width="32" hidden="0" customWidth="1"/>
    <x:col min="18" max="18" width="16" hidden="0" customWidth="1"/>
    <x:col min="19" max="19" width="78" hidden="0" customWidth="1"/>
  </x:cols>
  <x:sheetData>
    <x:row r="1" ht="26.399999618530273" hidden="0" customHeight="1">
      <x:c r="A1" s="245" t="str">
        <x:v>record_id</x:v>
      </x:c>
      <x:c r="B1" s="245" t="str">
        <x:v>product_id</x:v>
      </x:c>
      <x:c r="C1" s="245" t="str">
        <x:v>family_id</x:v>
      </x:c>
      <x:c r="D1" s="245" t="str">
        <x:v>material_role</x:v>
      </x:c>
      <x:c r="E1" s="245" t="str">
        <x:v>state_scope</x:v>
      </x:c>
      <x:c r="F1" s="245" t="str">
        <x:v>source_id</x:v>
      </x:c>
      <x:c r="G1" s="245" t="str">
        <x:v>compound_group</x:v>
      </x:c>
      <x:c r="H1" s="245" t="str">
        <x:v>compound_name</x:v>
      </x:c>
      <x:c r="I1" s="245" t="str">
        <x:v>cas</x:v>
      </x:c>
      <x:c r="J1" s="245" t="str">
        <x:v>ri_db_wax</x:v>
      </x:c>
      <x:c r="K1" s="245" t="str">
        <x:v>ri_hp5</x:v>
      </x:c>
      <x:c r="L1" s="245" t="str">
        <x:v>salted_yolk_detected</x:v>
      </x:c>
      <x:c r="M1" s="245" t="str">
        <x:v>roasted_salted_yolk_detected</x:v>
      </x:c>
      <x:c r="N1" s="245" t="str">
        <x:v>identification_method</x:v>
      </x:c>
      <x:c r="O1" s="245" t="str">
        <x:v>authentic_standard_confirmed</x:v>
      </x:c>
      <x:c r="P1" s="245" t="str">
        <x:v>numeric_match_factor</x:v>
      </x:c>
      <x:c r="Q1" s="245" t="str">
        <x:v>mr09_status</x:v>
      </x:c>
      <x:c r="R1" s="245" t="str">
        <x:v>evidence_mode</x:v>
      </x:c>
      <x:c r="S1" s="245" t="str">
        <x:v>notes</x:v>
      </x:c>
    </x:row>
    <x:row r="2" ht="26.399999618530273" hidden="0" customHeight="1">
      <x:c r="A2" s="46" t="str">
        <x:v>DEY-SALT-001</x:v>
      </x:c>
      <x:c r="B2" s="46" t="str">
        <x:v>egg:yolk_duck_salted</x:v>
      </x:c>
      <x:c r="C2" s="46" t="str">
        <x:v>family:egg</x:v>
      </x:c>
      <x:c r="D2" s="46" t="str">
        <x:v>yolk_carrier</x:v>
      </x:c>
      <x:c r="E2" s="46" t="str">
        <x:v>salted / roasted-salted</x:v>
      </x:c>
      <x:c r="F2" s="46" t="str">
        <x:v>SRC-EGG-SALTED-YOLK-001</x:v>
      </x:c>
      <x:c r="G2" s="46" t="str">
        <x:v>Pyrazines</x:v>
      </x:c>
      <x:c r="H2" s="46" t="str">
        <x:v>Pyrazine</x:v>
      </x:c>
      <x:c r="I2" s="46" t="str">
        <x:v>290-37-9</x:v>
      </x:c>
      <x:c r="J2" s="46" t="n">
        <x:v>1199</x:v>
      </x:c>
      <x:c r="K2" s="46" t="n">
        <x:v>723</x:v>
      </x:c>
      <x:c r="L2" s="46" t="str">
        <x:v>no</x:v>
      </x:c>
      <x:c r="M2" s="46" t="str">
        <x:v>yes</x:v>
      </x:c>
      <x:c r="N2" s="46" t="str">
        <x:v>MS, RI, S, O</x:v>
      </x:c>
      <x:c r="O2" s="46" t="str">
        <x:v>yes</x:v>
      </x:c>
      <x:c r="P2" s="46"/>
      <x:c r="Q2" s="46" t="str">
        <x:v>partial_no_numeric_match_factor</x:v>
      </x:c>
      <x:c r="R2" s="46" t="str">
        <x:v>measured</x:v>
      </x:c>
      <x:c r="S2" s="46" t="str">
        <x:v>Roasting of an already salted yolk is a preserved-product thermal transformation; do not inherit its pyrazine/thiophene profile into ordinary fried chicken yolk.</x:v>
      </x:c>
    </x:row>
    <x:row r="3" ht="26.399999618530273" hidden="0" customHeight="1">
      <x:c r="A3" s="46" t="str">
        <x:v>DEY-SALT-002</x:v>
      </x:c>
      <x:c r="B3" s="46" t="str">
        <x:v>egg:yolk_duck_salted</x:v>
      </x:c>
      <x:c r="C3" s="46" t="str">
        <x:v>family:egg</x:v>
      </x:c>
      <x:c r="D3" s="46" t="str">
        <x:v>yolk_carrier</x:v>
      </x:c>
      <x:c r="E3" s="46" t="str">
        <x:v>salted / roasted-salted</x:v>
      </x:c>
      <x:c r="F3" s="46" t="str">
        <x:v>SRC-EGG-SALTED-YOLK-001</x:v>
      </x:c>
      <x:c r="G3" s="46" t="str">
        <x:v>Pyrazines</x:v>
      </x:c>
      <x:c r="H3" s="46" t="str">
        <x:v>Methylpyrazine</x:v>
      </x:c>
      <x:c r="I3" s="46" t="str">
        <x:v>109-08-0</x:v>
      </x:c>
      <x:c r="J3" s="46"/>
      <x:c r="K3" s="46" t="n">
        <x:v>816</x:v>
      </x:c>
      <x:c r="L3" s="46" t="str">
        <x:v>no</x:v>
      </x:c>
      <x:c r="M3" s="46" t="str">
        <x:v>yes</x:v>
      </x:c>
      <x:c r="N3" s="46" t="str">
        <x:v>MS, RI, S</x:v>
      </x:c>
      <x:c r="O3" s="46" t="str">
        <x:v>yes</x:v>
      </x:c>
      <x:c r="P3" s="46"/>
      <x:c r="Q3" s="46" t="str">
        <x:v>partial_no_numeric_match_factor</x:v>
      </x:c>
      <x:c r="R3" s="46" t="str">
        <x:v>measured</x:v>
      </x:c>
      <x:c r="S3" s="46" t="str">
        <x:v>Roasting of an already salted yolk is a preserved-product thermal transformation; do not inherit its pyrazine/thiophene profile into ordinary fried chicken yolk.</x:v>
      </x:c>
    </x:row>
    <x:row r="4" ht="26.399999618530273" hidden="0" customHeight="1">
      <x:c r="A4" s="46" t="str">
        <x:v>DEY-SALT-003</x:v>
      </x:c>
      <x:c r="B4" s="46" t="str">
        <x:v>egg:yolk_duck_salted</x:v>
      </x:c>
      <x:c r="C4" s="46" t="str">
        <x:v>family:egg</x:v>
      </x:c>
      <x:c r="D4" s="46" t="str">
        <x:v>yolk_carrier</x:v>
      </x:c>
      <x:c r="E4" s="46" t="str">
        <x:v>salted / roasted-salted</x:v>
      </x:c>
      <x:c r="F4" s="46" t="str">
        <x:v>SRC-EGG-SALTED-YOLK-001</x:v>
      </x:c>
      <x:c r="G4" s="46" t="str">
        <x:v>Pyrazines</x:v>
      </x:c>
      <x:c r="H4" s="46" t="str">
        <x:v>2,5-Dimethylpyrazine</x:v>
      </x:c>
      <x:c r="I4" s="46" t="str">
        <x:v>123-32-0</x:v>
      </x:c>
      <x:c r="J4" s="46" t="n">
        <x:v>1309</x:v>
      </x:c>
      <x:c r="K4" s="46" t="n">
        <x:v>905</x:v>
      </x:c>
      <x:c r="L4" s="46" t="str">
        <x:v>no</x:v>
      </x:c>
      <x:c r="M4" s="46" t="str">
        <x:v>yes</x:v>
      </x:c>
      <x:c r="N4" s="46" t="str">
        <x:v>MS, RI, S, O</x:v>
      </x:c>
      <x:c r="O4" s="46" t="str">
        <x:v>yes</x:v>
      </x:c>
      <x:c r="P4" s="46"/>
      <x:c r="Q4" s="46" t="str">
        <x:v>partial_no_numeric_match_factor</x:v>
      </x:c>
      <x:c r="R4" s="46" t="str">
        <x:v>measured</x:v>
      </x:c>
      <x:c r="S4" s="46" t="str">
        <x:v>Roasting of an already salted yolk is a preserved-product thermal transformation; do not inherit its pyrazine/thiophene profile into ordinary fried chicken yolk.</x:v>
      </x:c>
    </x:row>
    <x:row r="5" ht="26.399999618530273" hidden="0" customHeight="1">
      <x:c r="A5" s="46" t="str">
        <x:v>DEY-SALT-004</x:v>
      </x:c>
      <x:c r="B5" s="46" t="str">
        <x:v>egg:yolk_duck_salted</x:v>
      </x:c>
      <x:c r="C5" s="46" t="str">
        <x:v>family:egg</x:v>
      </x:c>
      <x:c r="D5" s="46" t="str">
        <x:v>yolk_carrier</x:v>
      </x:c>
      <x:c r="E5" s="46" t="str">
        <x:v>salted / roasted-salted</x:v>
      </x:c>
      <x:c r="F5" s="46" t="str">
        <x:v>SRC-EGG-SALTED-YOLK-001</x:v>
      </x:c>
      <x:c r="G5" s="46" t="str">
        <x:v>Pyrazines</x:v>
      </x:c>
      <x:c r="H5" s="46" t="str">
        <x:v>2,6-Dimethylpyrazine</x:v>
      </x:c>
      <x:c r="I5" s="46" t="str">
        <x:v>108-50-9</x:v>
      </x:c>
      <x:c r="J5" s="46" t="n">
        <x:v>1316</x:v>
      </x:c>
      <x:c r="K5" s="46"/>
      <x:c r="L5" s="46" t="str">
        <x:v>no</x:v>
      </x:c>
      <x:c r="M5" s="46" t="str">
        <x:v>yes</x:v>
      </x:c>
      <x:c r="N5" s="46" t="str">
        <x:v>MS, RI, S, O</x:v>
      </x:c>
      <x:c r="O5" s="46" t="str">
        <x:v>yes</x:v>
      </x:c>
      <x:c r="P5" s="46"/>
      <x:c r="Q5" s="46" t="str">
        <x:v>partial_no_numeric_match_factor</x:v>
      </x:c>
      <x:c r="R5" s="46" t="str">
        <x:v>measured</x:v>
      </x:c>
      <x:c r="S5" s="46" t="str">
        <x:v>Roasting of an already salted yolk is a preserved-product thermal transformation; do not inherit its pyrazine/thiophene profile into ordinary fried chicken yolk.</x:v>
      </x:c>
    </x:row>
    <x:row r="6" ht="26.399999618530273" hidden="0" customHeight="1">
      <x:c r="A6" s="46" t="str">
        <x:v>DEY-SALT-005</x:v>
      </x:c>
      <x:c r="B6" s="46" t="str">
        <x:v>egg:yolk_duck_salted</x:v>
      </x:c>
      <x:c r="C6" s="46" t="str">
        <x:v>family:egg</x:v>
      </x:c>
      <x:c r="D6" s="46" t="str">
        <x:v>yolk_carrier</x:v>
      </x:c>
      <x:c r="E6" s="46" t="str">
        <x:v>salted / roasted-salted</x:v>
      </x:c>
      <x:c r="F6" s="46" t="str">
        <x:v>SRC-EGG-SALTED-YOLK-001</x:v>
      </x:c>
      <x:c r="G6" s="46" t="str">
        <x:v>Pyrazines</x:v>
      </x:c>
      <x:c r="H6" s="46" t="str">
        <x:v>Ethylpyrazine</x:v>
      </x:c>
      <x:c r="I6" s="46" t="str">
        <x:v>13925-00-3</x:v>
      </x:c>
      <x:c r="J6" s="46" t="n">
        <x:v>1321</x:v>
      </x:c>
      <x:c r="K6" s="46"/>
      <x:c r="L6" s="46" t="str">
        <x:v>no</x:v>
      </x:c>
      <x:c r="M6" s="46" t="str">
        <x:v>yes</x:v>
      </x:c>
      <x:c r="N6" s="46" t="str">
        <x:v>MS, RI, S</x:v>
      </x:c>
      <x:c r="O6" s="46" t="str">
        <x:v>yes</x:v>
      </x:c>
      <x:c r="P6" s="46"/>
      <x:c r="Q6" s="46" t="str">
        <x:v>partial_no_numeric_match_factor</x:v>
      </x:c>
      <x:c r="R6" s="46" t="str">
        <x:v>measured</x:v>
      </x:c>
      <x:c r="S6" s="46" t="str">
        <x:v>Roasting of an already salted yolk is a preserved-product thermal transformation; do not inherit its pyrazine/thiophene profile into ordinary fried chicken yolk.</x:v>
      </x:c>
    </x:row>
    <x:row r="7" ht="26.399999618530273" hidden="0" customHeight="1">
      <x:c r="A7" s="46" t="str">
        <x:v>DEY-SALT-006</x:v>
      </x:c>
      <x:c r="B7" s="46" t="str">
        <x:v>egg:yolk_duck_salted</x:v>
      </x:c>
      <x:c r="C7" s="46" t="str">
        <x:v>family:egg</x:v>
      </x:c>
      <x:c r="D7" s="46" t="str">
        <x:v>yolk_carrier</x:v>
      </x:c>
      <x:c r="E7" s="46" t="str">
        <x:v>salted / roasted-salted</x:v>
      </x:c>
      <x:c r="F7" s="46" t="str">
        <x:v>SRC-EGG-SALTED-YOLK-001</x:v>
      </x:c>
      <x:c r="G7" s="46" t="str">
        <x:v>Pyrazines</x:v>
      </x:c>
      <x:c r="H7" s="46" t="str">
        <x:v>2-Ethyl-5-methylpyrazine</x:v>
      </x:c>
      <x:c r="I7" s="46" t="str">
        <x:v>13360-64-0</x:v>
      </x:c>
      <x:c r="J7" s="46" t="n">
        <x:v>1379</x:v>
      </x:c>
      <x:c r="K7" s="46" t="n">
        <x:v>996</x:v>
      </x:c>
      <x:c r="L7" s="46" t="str">
        <x:v>no</x:v>
      </x:c>
      <x:c r="M7" s="46" t="str">
        <x:v>yes</x:v>
      </x:c>
      <x:c r="N7" s="46" t="str">
        <x:v>MS, RI, S, O</x:v>
      </x:c>
      <x:c r="O7" s="46" t="str">
        <x:v>yes</x:v>
      </x:c>
      <x:c r="P7" s="46"/>
      <x:c r="Q7" s="46" t="str">
        <x:v>partial_no_numeric_match_factor</x:v>
      </x:c>
      <x:c r="R7" s="46" t="str">
        <x:v>measured</x:v>
      </x:c>
      <x:c r="S7" s="46" t="str">
        <x:v>Roasting of an already salted yolk is a preserved-product thermal transformation; do not inherit its pyrazine/thiophene profile into ordinary fried chicken yolk.</x:v>
      </x:c>
    </x:row>
    <x:row r="8" ht="26.399999618530273" hidden="0" customHeight="1">
      <x:c r="A8" s="46" t="str">
        <x:v>DEY-SALT-007</x:v>
      </x:c>
      <x:c r="B8" s="46" t="str">
        <x:v>egg:yolk_duck_salted</x:v>
      </x:c>
      <x:c r="C8" s="46" t="str">
        <x:v>family:egg</x:v>
      </x:c>
      <x:c r="D8" s="46" t="str">
        <x:v>yolk_carrier</x:v>
      </x:c>
      <x:c r="E8" s="46" t="str">
        <x:v>salted / roasted-salted</x:v>
      </x:c>
      <x:c r="F8" s="46" t="str">
        <x:v>SRC-EGG-SALTED-YOLK-001</x:v>
      </x:c>
      <x:c r="G8" s="46" t="str">
        <x:v>Pyrazines</x:v>
      </x:c>
      <x:c r="H8" s="46" t="str">
        <x:v>2-Ethyl-3,6-dimethylpyrazine</x:v>
      </x:c>
      <x:c r="I8" s="46" t="str">
        <x:v>13360-65-1</x:v>
      </x:c>
      <x:c r="J8" s="46" t="n">
        <x:v>1433</x:v>
      </x:c>
      <x:c r="K8" s="46" t="n">
        <x:v>1073</x:v>
      </x:c>
      <x:c r="L8" s="46" t="str">
        <x:v>no</x:v>
      </x:c>
      <x:c r="M8" s="46" t="str">
        <x:v>yes</x:v>
      </x:c>
      <x:c r="N8" s="46" t="str">
        <x:v>MS, RI, S, O</x:v>
      </x:c>
      <x:c r="O8" s="46" t="str">
        <x:v>yes</x:v>
      </x:c>
      <x:c r="P8" s="46"/>
      <x:c r="Q8" s="46" t="str">
        <x:v>partial_no_numeric_match_factor</x:v>
      </x:c>
      <x:c r="R8" s="46" t="str">
        <x:v>measured</x:v>
      </x:c>
      <x:c r="S8" s="46" t="str">
        <x:v>Roasting of an already salted yolk is a preserved-product thermal transformation; do not inherit its pyrazine/thiophene profile into ordinary fried chicken yolk.</x:v>
      </x:c>
    </x:row>
    <x:row r="9" ht="26.399999618530273" hidden="0" customHeight="1">
      <x:c r="A9" s="46" t="str">
        <x:v>DEY-SALT-008</x:v>
      </x:c>
      <x:c r="B9" s="46" t="str">
        <x:v>egg:yolk_duck_salted</x:v>
      </x:c>
      <x:c r="C9" s="46" t="str">
        <x:v>family:egg</x:v>
      </x:c>
      <x:c r="D9" s="46" t="str">
        <x:v>yolk_carrier</x:v>
      </x:c>
      <x:c r="E9" s="46" t="str">
        <x:v>salted / roasted-salted</x:v>
      </x:c>
      <x:c r="F9" s="46" t="str">
        <x:v>SRC-EGG-SALTED-YOLK-001</x:v>
      </x:c>
      <x:c r="G9" s="46" t="str">
        <x:v>Thiophene-ring compounds</x:v>
      </x:c>
      <x:c r="H9" s="46" t="str">
        <x:v>Thiophene</x:v>
      </x:c>
      <x:c r="I9" s="46" t="str">
        <x:v>110-02-1</x:v>
      </x:c>
      <x:c r="J9" s="46" t="n">
        <x:v>1014</x:v>
      </x:c>
      <x:c r="K9" s="46"/>
      <x:c r="L9" s="46" t="str">
        <x:v>no</x:v>
      </x:c>
      <x:c r="M9" s="46" t="str">
        <x:v>yes</x:v>
      </x:c>
      <x:c r="N9" s="46" t="str">
        <x:v>MS, RI, S</x:v>
      </x:c>
      <x:c r="O9" s="46" t="str">
        <x:v>yes</x:v>
      </x:c>
      <x:c r="P9" s="46"/>
      <x:c r="Q9" s="46" t="str">
        <x:v>partial_no_numeric_match_factor</x:v>
      </x:c>
      <x:c r="R9" s="46" t="str">
        <x:v>measured</x:v>
      </x:c>
      <x:c r="S9" s="46" t="str">
        <x:v>Roasting of an already salted yolk is a preserved-product thermal transformation; do not inherit its pyrazine/thiophene profile into ordinary fried chicken yolk.</x:v>
      </x:c>
    </x:row>
    <x:row r="10" ht="26.399999618530273" hidden="0" customHeight="1">
      <x:c r="A10" s="46" t="str">
        <x:v>DEY-SALT-009</x:v>
      </x:c>
      <x:c r="B10" s="46" t="str">
        <x:v>egg:yolk_duck_salted</x:v>
      </x:c>
      <x:c r="C10" s="46" t="str">
        <x:v>family:egg</x:v>
      </x:c>
      <x:c r="D10" s="46" t="str">
        <x:v>yolk_carrier</x:v>
      </x:c>
      <x:c r="E10" s="46" t="str">
        <x:v>salted / roasted-salted</x:v>
      </x:c>
      <x:c r="F10" s="46" t="str">
        <x:v>SRC-EGG-SALTED-YOLK-001</x:v>
      </x:c>
      <x:c r="G10" s="46" t="str">
        <x:v>Thiophene-ring compounds</x:v>
      </x:c>
      <x:c r="H10" s="46" t="str">
        <x:v>2-Methylthiophene</x:v>
      </x:c>
      <x:c r="I10" s="46" t="str">
        <x:v>554-14-3</x:v>
      </x:c>
      <x:c r="J10" s="46" t="n">
        <x:v>1081</x:v>
      </x:c>
      <x:c r="K10" s="46" t="n">
        <x:v>762</x:v>
      </x:c>
      <x:c r="L10" s="46" t="str">
        <x:v>no</x:v>
      </x:c>
      <x:c r="M10" s="46" t="str">
        <x:v>yes</x:v>
      </x:c>
      <x:c r="N10" s="46" t="str">
        <x:v>MS, RI, S, O</x:v>
      </x:c>
      <x:c r="O10" s="46" t="str">
        <x:v>yes</x:v>
      </x:c>
      <x:c r="P10" s="46"/>
      <x:c r="Q10" s="46" t="str">
        <x:v>partial_no_numeric_match_factor</x:v>
      </x:c>
      <x:c r="R10" s="46" t="str">
        <x:v>measured</x:v>
      </x:c>
      <x:c r="S10" s="46" t="str">
        <x:v>Roasting of an already salted yolk is a preserved-product thermal transformation; do not inherit its pyrazine/thiophene profile into ordinary fried chicken yolk.</x:v>
      </x:c>
    </x:row>
    <x:row r="11" ht="26.399999618530273" hidden="0" customHeight="1">
      <x:c r="A11" s="46" t="str">
        <x:v>DEY-SALT-010</x:v>
      </x:c>
      <x:c r="B11" s="46" t="str">
        <x:v>egg:yolk_duck_salted</x:v>
      </x:c>
      <x:c r="C11" s="46" t="str">
        <x:v>family:egg</x:v>
      </x:c>
      <x:c r="D11" s="46" t="str">
        <x:v>yolk_carrier</x:v>
      </x:c>
      <x:c r="E11" s="46" t="str">
        <x:v>salted / roasted-salted</x:v>
      </x:c>
      <x:c r="F11" s="46" t="str">
        <x:v>SRC-EGG-SALTED-YOLK-001</x:v>
      </x:c>
      <x:c r="G11" s="46" t="str">
        <x:v>Thiophene-ring compounds</x:v>
      </x:c>
      <x:c r="H11" s="46" t="str">
        <x:v>Dihydro-3-(2H)-thiophenone</x:v>
      </x:c>
      <x:c r="I11" s="46" t="str">
        <x:v>1003-04-9</x:v>
      </x:c>
      <x:c r="J11" s="46"/>
      <x:c r="K11" s="46" t="n">
        <x:v>945</x:v>
      </x:c>
      <x:c r="L11" s="46" t="str">
        <x:v>no</x:v>
      </x:c>
      <x:c r="M11" s="46" t="str">
        <x:v>yes</x:v>
      </x:c>
      <x:c r="N11" s="46" t="str">
        <x:v>MS, RI</x:v>
      </x:c>
      <x:c r="O11" s="46" t="str">
        <x:v>no</x:v>
      </x:c>
      <x:c r="P11" s="46"/>
      <x:c r="Q11" s="46" t="str">
        <x:v>partial_no_numeric_match_factor</x:v>
      </x:c>
      <x:c r="R11" s="46" t="str">
        <x:v>measured</x:v>
      </x:c>
      <x:c r="S11" s="46" t="str">
        <x:v>Roasting of an already salted yolk is a preserved-product thermal transformation; do not inherit its pyrazine/thiophene profile into ordinary fried chicken yolk.</x:v>
      </x:c>
    </x:row>
    <x:row r="12" ht="26.399999618530273" hidden="0" customHeight="1">
      <x:c r="A12" s="46" t="str">
        <x:v>DEY-SALT-011</x:v>
      </x:c>
      <x:c r="B12" s="46" t="str">
        <x:v>egg:yolk_duck_salted</x:v>
      </x:c>
      <x:c r="C12" s="46" t="str">
        <x:v>family:egg</x:v>
      </x:c>
      <x:c r="D12" s="46" t="str">
        <x:v>yolk_carrier</x:v>
      </x:c>
      <x:c r="E12" s="46" t="str">
        <x:v>salted / roasted-salted</x:v>
      </x:c>
      <x:c r="F12" s="46" t="str">
        <x:v>SRC-EGG-SALTED-YOLK-001</x:v>
      </x:c>
      <x:c r="G12" s="46" t="str">
        <x:v>Thiophene-ring compounds</x:v>
      </x:c>
      <x:c r="H12" s="46" t="str">
        <x:v>Dihydro-2-methyl-3(2H)-thiophenone</x:v>
      </x:c>
      <x:c r="I12" s="46" t="str">
        <x:v>13679-85-1</x:v>
      </x:c>
      <x:c r="J12" s="46" t="n">
        <x:v>1509</x:v>
      </x:c>
      <x:c r="K12" s="46" t="n">
        <x:v>983</x:v>
      </x:c>
      <x:c r="L12" s="46" t="str">
        <x:v>no</x:v>
      </x:c>
      <x:c r="M12" s="46" t="str">
        <x:v>yes</x:v>
      </x:c>
      <x:c r="N12" s="46" t="str">
        <x:v>MS, RI, S, O</x:v>
      </x:c>
      <x:c r="O12" s="46" t="str">
        <x:v>yes</x:v>
      </x:c>
      <x:c r="P12" s="46"/>
      <x:c r="Q12" s="46" t="str">
        <x:v>partial_no_numeric_match_factor</x:v>
      </x:c>
      <x:c r="R12" s="46" t="str">
        <x:v>measured</x:v>
      </x:c>
      <x:c r="S12" s="46" t="str">
        <x:v>Roasting of an already salted yolk is a preserved-product thermal transformation; do not inherit its pyrazine/thiophene profile into ordinary fried chicken yolk.</x:v>
      </x:c>
    </x:row>
    <x:row r="13" ht="26.399999618530273" hidden="0" customHeight="1">
      <x:c r="A13" s="46" t="str">
        <x:v>DEY-SALT-012</x:v>
      </x:c>
      <x:c r="B13" s="46" t="str">
        <x:v>egg:yolk_duck_salted</x:v>
      </x:c>
      <x:c r="C13" s="46" t="str">
        <x:v>family:egg</x:v>
      </x:c>
      <x:c r="D13" s="46" t="str">
        <x:v>yolk_carrier</x:v>
      </x:c>
      <x:c r="E13" s="46" t="str">
        <x:v>salted / roasted-salted</x:v>
      </x:c>
      <x:c r="F13" s="46" t="str">
        <x:v>SRC-EGG-SALTED-YOLK-001</x:v>
      </x:c>
      <x:c r="G13" s="46" t="str">
        <x:v>Thiophene-ring compounds</x:v>
      </x:c>
      <x:c r="H13" s="46" t="str">
        <x:v>3-Acetylthiophene</x:v>
      </x:c>
      <x:c r="I13" s="46" t="str">
        <x:v>1468-83-3</x:v>
      </x:c>
      <x:c r="J13" s="46" t="n">
        <x:v>1759</x:v>
      </x:c>
      <x:c r="K13" s="46"/>
      <x:c r="L13" s="46" t="str">
        <x:v>no</x:v>
      </x:c>
      <x:c r="M13" s="46" t="str">
        <x:v>yes</x:v>
      </x:c>
      <x:c r="N13" s="46" t="str">
        <x:v>MS, S</x:v>
      </x:c>
      <x:c r="O13" s="46" t="str">
        <x:v>yes</x:v>
      </x:c>
      <x:c r="P13" s="46"/>
      <x:c r="Q13" s="46" t="str">
        <x:v>partial_no_numeric_match_factor</x:v>
      </x:c>
      <x:c r="R13" s="46" t="str">
        <x:v>measured</x:v>
      </x:c>
      <x:c r="S13" s="46" t="str">
        <x:v>Roasting of an already salted yolk is a preserved-product thermal transformation; do not inherit its pyrazine/thiophene profile into ordinary fried chicken yolk.</x:v>
      </x:c>
    </x:row>
    <x:row r="14" ht="26.399999618530273" hidden="0" customHeight="1">
      <x:c r="A14" s="46" t="str">
        <x:v>DEY-SALT-013</x:v>
      </x:c>
      <x:c r="B14" s="46" t="str">
        <x:v>egg:yolk_duck_salted</x:v>
      </x:c>
      <x:c r="C14" s="46" t="str">
        <x:v>family:egg</x:v>
      </x:c>
      <x:c r="D14" s="46" t="str">
        <x:v>yolk_carrier</x:v>
      </x:c>
      <x:c r="E14" s="46" t="str">
        <x:v>salted / roasted-salted</x:v>
      </x:c>
      <x:c r="F14" s="46" t="str">
        <x:v>SRC-EGG-SALTED-YOLK-001</x:v>
      </x:c>
      <x:c r="G14" s="46" t="str">
        <x:v>Thiophene-ring compounds</x:v>
      </x:c>
      <x:c r="H14" s="46" t="str">
        <x:v>2-Acetyl-3-methylthiophene</x:v>
      </x:c>
      <x:c r="I14" s="46" t="str">
        <x:v>13679-72-6</x:v>
      </x:c>
      <x:c r="J14" s="46" t="n">
        <x:v>1851</x:v>
      </x:c>
      <x:c r="K14" s="46" t="n">
        <x:v>1150</x:v>
      </x:c>
      <x:c r="L14" s="46" t="str">
        <x:v>no</x:v>
      </x:c>
      <x:c r="M14" s="46" t="str">
        <x:v>yes</x:v>
      </x:c>
      <x:c r="N14" s="46" t="str">
        <x:v>MS, S, O</x:v>
      </x:c>
      <x:c r="O14" s="46" t="str">
        <x:v>yes</x:v>
      </x:c>
      <x:c r="P14" s="46"/>
      <x:c r="Q14" s="46" t="str">
        <x:v>partial_no_numeric_match_factor</x:v>
      </x:c>
      <x:c r="R14" s="46" t="str">
        <x:v>measured</x:v>
      </x:c>
      <x:c r="S14" s="46" t="str">
        <x:v>Roasting of an already salted yolk is a preserved-product thermal transformation; do not inherit its pyrazine/thiophene profile into ordinary fried chicken yolk.</x:v>
      </x:c>
    </x:row>
    <x:row r="15" ht="26.399999618530273" hidden="0" customHeight="1">
      <x:c r="A15" s="46" t="str">
        <x:v>DEY-SALT-014</x:v>
      </x:c>
      <x:c r="B15" s="46" t="str">
        <x:v>egg:yolk_duck_salted</x:v>
      </x:c>
      <x:c r="C15" s="46" t="str">
        <x:v>family:egg</x:v>
      </x:c>
      <x:c r="D15" s="46" t="str">
        <x:v>yolk_carrier</x:v>
      </x:c>
      <x:c r="E15" s="46" t="str">
        <x:v>salted / roasted-salted</x:v>
      </x:c>
      <x:c r="F15" s="46" t="str">
        <x:v>SRC-EGG-SALTED-YOLK-001</x:v>
      </x:c>
      <x:c r="G15" s="46" t="str">
        <x:v>Thiophene-ring compounds</x:v>
      </x:c>
      <x:c r="H15" s="46" t="str">
        <x:v>2-Thiophenemethanol</x:v>
      </x:c>
      <x:c r="I15" s="46" t="str">
        <x:v>636-72-6</x:v>
      </x:c>
      <x:c r="J15" s="46" t="n">
        <x:v>1930</x:v>
      </x:c>
      <x:c r="K15" s="46"/>
      <x:c r="L15" s="46" t="str">
        <x:v>no</x:v>
      </x:c>
      <x:c r="M15" s="46" t="str">
        <x:v>yes</x:v>
      </x:c>
      <x:c r="N15" s="46" t="str">
        <x:v>MS, RI, S</x:v>
      </x:c>
      <x:c r="O15" s="46" t="str">
        <x:v>yes</x:v>
      </x:c>
      <x:c r="P15" s="46"/>
      <x:c r="Q15" s="46" t="str">
        <x:v>partial_no_numeric_match_factor</x:v>
      </x:c>
      <x:c r="R15" s="46" t="str">
        <x:v>measured</x:v>
      </x:c>
      <x:c r="S15" s="46" t="str">
        <x:v>Roasting of an already salted yolk is a preserved-product thermal transformation; do not inherit its pyrazine/thiophene profile into ordinary fried chicken yolk.</x:v>
      </x:c>
    </x:row>
    <x:row r="16" ht="26.399999618530273" hidden="0" customHeight="1">
      <x:c r="A16" s="46" t="str">
        <x:v>DEY-SALT-015</x:v>
      </x:c>
      <x:c r="B16" s="46" t="str">
        <x:v>egg:yolk_duck_salted</x:v>
      </x:c>
      <x:c r="C16" s="46" t="str">
        <x:v>family:egg</x:v>
      </x:c>
      <x:c r="D16" s="46" t="str">
        <x:v>yolk_carrier</x:v>
      </x:c>
      <x:c r="E16" s="46" t="str">
        <x:v>salted / roasted-salted</x:v>
      </x:c>
      <x:c r="F16" s="46" t="str">
        <x:v>SRC-EGG-SALTED-YOLK-001</x:v>
      </x:c>
      <x:c r="G16" s="46" t="str">
        <x:v>Furan-ring compounds</x:v>
      </x:c>
      <x:c r="H16" s="46" t="str">
        <x:v>2-Pentylfuran</x:v>
      </x:c>
      <x:c r="I16" s="46" t="str">
        <x:v>3777-69-3</x:v>
      </x:c>
      <x:c r="J16" s="46" t="n">
        <x:v>1222</x:v>
      </x:c>
      <x:c r="K16" s="46" t="n">
        <x:v>986</x:v>
      </x:c>
      <x:c r="L16" s="46" t="str">
        <x:v>no</x:v>
      </x:c>
      <x:c r="M16" s="46" t="str">
        <x:v>yes</x:v>
      </x:c>
      <x:c r="N16" s="46" t="str">
        <x:v>MS, RI, S</x:v>
      </x:c>
      <x:c r="O16" s="46" t="str">
        <x:v>yes</x:v>
      </x:c>
      <x:c r="P16" s="46"/>
      <x:c r="Q16" s="46" t="str">
        <x:v>partial_no_numeric_match_factor</x:v>
      </x:c>
      <x:c r="R16" s="46" t="str">
        <x:v>measured</x:v>
      </x:c>
      <x:c r="S16" s="46" t="str">
        <x:v>Roasting of an already salted yolk is a preserved-product thermal transformation; do not inherit its pyrazine/thiophene profile into ordinary fried chicken yolk.</x:v>
      </x:c>
    </x:row>
    <x:row r="17" ht="26.399999618530273" hidden="0" customHeight="1">
      <x:c r="A17" s="46" t="str">
        <x:v>DEY-SALT-016</x:v>
      </x:c>
      <x:c r="B17" s="46" t="str">
        <x:v>egg:yolk_duck_salted</x:v>
      </x:c>
      <x:c r="C17" s="46" t="str">
        <x:v>family:egg</x:v>
      </x:c>
      <x:c r="D17" s="46" t="str">
        <x:v>yolk_carrier</x:v>
      </x:c>
      <x:c r="E17" s="46" t="str">
        <x:v>salted / roasted-salted</x:v>
      </x:c>
      <x:c r="F17" s="46" t="str">
        <x:v>SRC-EGG-SALTED-YOLK-001</x:v>
      </x:c>
      <x:c r="G17" s="46" t="str">
        <x:v>Furan-ring compounds</x:v>
      </x:c>
      <x:c r="H17" s="46" t="str">
        <x:v>2-Furanmethanol</x:v>
      </x:c>
      <x:c r="I17" s="46" t="str">
        <x:v>98-00-0</x:v>
      </x:c>
      <x:c r="J17" s="46" t="n">
        <x:v>1652</x:v>
      </x:c>
      <x:c r="K17" s="46" t="n">
        <x:v>859</x:v>
      </x:c>
      <x:c r="L17" s="46" t="str">
        <x:v>no</x:v>
      </x:c>
      <x:c r="M17" s="46" t="str">
        <x:v>yes</x:v>
      </x:c>
      <x:c r="N17" s="46" t="str">
        <x:v>MS, RI, S, O</x:v>
      </x:c>
      <x:c r="O17" s="46" t="str">
        <x:v>yes</x:v>
      </x:c>
      <x:c r="P17" s="46"/>
      <x:c r="Q17" s="46" t="str">
        <x:v>partial_no_numeric_match_factor</x:v>
      </x:c>
      <x:c r="R17" s="46" t="str">
        <x:v>measured</x:v>
      </x:c>
      <x:c r="S17" s="46" t="str">
        <x:v>Roasting of an already salted yolk is a preserved-product thermal transformation; do not inherit its pyrazine/thiophene profile into ordinary fried chicken yolk.</x:v>
      </x:c>
    </x:row>
    <x:row r="18" ht="26.399999618530273" hidden="0" customHeight="1">
      <x:c r="A18" s="46" t="str">
        <x:v>DEY-SALT-017</x:v>
      </x:c>
      <x:c r="B18" s="46" t="str">
        <x:v>egg:yolk_duck_salted</x:v>
      </x:c>
      <x:c r="C18" s="46" t="str">
        <x:v>family:egg</x:v>
      </x:c>
      <x:c r="D18" s="46" t="str">
        <x:v>yolk_carrier</x:v>
      </x:c>
      <x:c r="E18" s="46" t="str">
        <x:v>salted / roasted-salted</x:v>
      </x:c>
      <x:c r="F18" s="46" t="str">
        <x:v>SRC-EGG-SALTED-YOLK-001</x:v>
      </x:c>
      <x:c r="G18" s="46" t="str">
        <x:v>Furan-ring compounds</x:v>
      </x:c>
      <x:c r="H18" s="46" t="str">
        <x:v>5-Methyl-2-furanmethanol</x:v>
      </x:c>
      <x:c r="I18" s="46" t="str">
        <x:v>3857-25-8</x:v>
      </x:c>
      <x:c r="J18" s="46" t="n">
        <x:v>1710</x:v>
      </x:c>
      <x:c r="K18" s="46"/>
      <x:c r="L18" s="46" t="str">
        <x:v>no</x:v>
      </x:c>
      <x:c r="M18" s="46" t="str">
        <x:v>yes</x:v>
      </x:c>
      <x:c r="N18" s="46" t="str">
        <x:v>MS, RI, S, O</x:v>
      </x:c>
      <x:c r="O18" s="46" t="str">
        <x:v>yes</x:v>
      </x:c>
      <x:c r="P18" s="46"/>
      <x:c r="Q18" s="46" t="str">
        <x:v>partial_no_numeric_match_factor</x:v>
      </x:c>
      <x:c r="R18" s="46" t="str">
        <x:v>measured</x:v>
      </x:c>
      <x:c r="S18" s="46" t="str">
        <x:v>Roasting of an already salted yolk is a preserved-product thermal transformation; do not inherit its pyrazine/thiophene profile into ordinary fried chicken yolk.</x:v>
      </x:c>
    </x:row>
    <x:row r="19" ht="26.399999618530273" hidden="0" customHeight="1">
      <x:c r="A19" s="46" t="str">
        <x:v>DEY-SALT-018</x:v>
      </x:c>
      <x:c r="B19" s="46" t="str">
        <x:v>egg:yolk_duck_salted</x:v>
      </x:c>
      <x:c r="C19" s="46" t="str">
        <x:v>family:egg</x:v>
      </x:c>
      <x:c r="D19" s="46" t="str">
        <x:v>yolk_carrier</x:v>
      </x:c>
      <x:c r="E19" s="46" t="str">
        <x:v>salted / roasted-salted</x:v>
      </x:c>
      <x:c r="F19" s="46" t="str">
        <x:v>SRC-EGG-SALTED-YOLK-001</x:v>
      </x:c>
      <x:c r="G19" s="46" t="str">
        <x:v>Furan-ring compounds</x:v>
      </x:c>
      <x:c r="H19" s="46" t="str">
        <x:v>3-Hydroxy-4,4-dimethyldihydro-2(3H)-furanone</x:v>
      </x:c>
      <x:c r="I19" s="46" t="str">
        <x:v>79-50-5</x:v>
      </x:c>
      <x:c r="J19" s="46" t="n">
        <x:v>2015</x:v>
      </x:c>
      <x:c r="K19" s="46" t="n">
        <x:v>1032</x:v>
      </x:c>
      <x:c r="L19" s="46" t="str">
        <x:v>no</x:v>
      </x:c>
      <x:c r="M19" s="46" t="str">
        <x:v>yes</x:v>
      </x:c>
      <x:c r="N19" s="46" t="str">
        <x:v>MS, S, O</x:v>
      </x:c>
      <x:c r="O19" s="46" t="str">
        <x:v>yes</x:v>
      </x:c>
      <x:c r="P19" s="46"/>
      <x:c r="Q19" s="46" t="str">
        <x:v>partial_no_numeric_match_factor</x:v>
      </x:c>
      <x:c r="R19" s="46" t="str">
        <x:v>measured</x:v>
      </x:c>
      <x:c r="S19" s="46" t="str">
        <x:v>Roasting of an already salted yolk is a preserved-product thermal transformation; do not inherit its pyrazine/thiophene profile into ordinary fried chicken yolk.</x:v>
      </x:c>
    </x:row>
    <x:row r="20" ht="26.399999618530273" hidden="0" customHeight="1">
      <x:c r="A20" s="46" t="str">
        <x:v>DEY-SALT-019</x:v>
      </x:c>
      <x:c r="B20" s="46" t="str">
        <x:v>egg:yolk_duck_salted</x:v>
      </x:c>
      <x:c r="C20" s="46" t="str">
        <x:v>family:egg</x:v>
      </x:c>
      <x:c r="D20" s="46" t="str">
        <x:v>yolk_carrier</x:v>
      </x:c>
      <x:c r="E20" s="46" t="str">
        <x:v>salted / roasted-salted</x:v>
      </x:c>
      <x:c r="F20" s="46" t="str">
        <x:v>SRC-EGG-SALTED-YOLK-001</x:v>
      </x:c>
      <x:c r="G20" s="46" t="str">
        <x:v>Furan-ring compounds</x:v>
      </x:c>
      <x:c r="H20" s="46" t="str">
        <x:v>Dihydro-5-hydroxymethyl-2(3H)-furanone</x:v>
      </x:c>
      <x:c r="I20" s="46" t="str">
        <x:v>32780-06-6</x:v>
      </x:c>
      <x:c r="J20" s="46" t="n">
        <x:v>2479</x:v>
      </x:c>
      <x:c r="K20" s="46" t="n">
        <x:v>1202</x:v>
      </x:c>
      <x:c r="L20" s="46" t="str">
        <x:v>yes</x:v>
      </x:c>
      <x:c r="M20" s="46" t="str">
        <x:v>yes</x:v>
      </x:c>
      <x:c r="N20" s="46" t="str">
        <x:v>MS, S, O</x:v>
      </x:c>
      <x:c r="O20" s="46" t="str">
        <x:v>yes</x:v>
      </x:c>
      <x:c r="P20" s="46"/>
      <x:c r="Q20" s="46" t="str">
        <x:v>partial_no_numeric_match_factor</x:v>
      </x:c>
      <x:c r="R20" s="46" t="str">
        <x:v>measured</x:v>
      </x:c>
      <x:c r="S20" s="46" t="str">
        <x:v>Roasting of an already salted yolk is a preserved-product thermal transformation; do not inherit its pyrazine/thiophene profile into ordinary fried chicken yolk.</x:v>
      </x:c>
    </x:row>
    <x:row r="21" ht="26.399999618530273" hidden="0" customHeight="1">
      <x:c r="A21" s="46" t="str">
        <x:v>DEY-SALT-020</x:v>
      </x:c>
      <x:c r="B21" s="46" t="str">
        <x:v>egg:yolk_duck_salted</x:v>
      </x:c>
      <x:c r="C21" s="46" t="str">
        <x:v>family:egg</x:v>
      </x:c>
      <x:c r="D21" s="46" t="str">
        <x:v>yolk_carrier</x:v>
      </x:c>
      <x:c r="E21" s="46" t="str">
        <x:v>salted / roasted-salted</x:v>
      </x:c>
      <x:c r="F21" s="46" t="str">
        <x:v>SRC-EGG-SALTED-YOLK-001</x:v>
      </x:c>
      <x:c r="G21" s="46" t="str">
        <x:v>Furan-ring compounds</x:v>
      </x:c>
      <x:c r="H21" s="46" t="str">
        <x:v>Dihydro-4-hydroxy-2-(3H)-furanone</x:v>
      </x:c>
      <x:c r="I21" s="46" t="str">
        <x:v>5469-16-9</x:v>
      </x:c>
      <x:c r="J21" s="46" t="n">
        <x:v>2595</x:v>
      </x:c>
      <x:c r="K21" s="46" t="n">
        <x:v>1173</x:v>
      </x:c>
      <x:c r="L21" s="46" t="str">
        <x:v>yes</x:v>
      </x:c>
      <x:c r="M21" s="46" t="str">
        <x:v>yes</x:v>
      </x:c>
      <x:c r="N21" s="46" t="str">
        <x:v>MS, RI, S, O</x:v>
      </x:c>
      <x:c r="O21" s="46" t="str">
        <x:v>yes</x:v>
      </x:c>
      <x:c r="P21" s="46"/>
      <x:c r="Q21" s="46" t="str">
        <x:v>partial_no_numeric_match_factor</x:v>
      </x:c>
      <x:c r="R21" s="46" t="str">
        <x:v>measured</x:v>
      </x:c>
      <x:c r="S21" s="46" t="str">
        <x:v>Roasting of an already salted yolk is a preserved-product thermal transformation; do not inherit its pyrazine/thiophene profile into ordinary fried chicken yolk.</x:v>
      </x:c>
    </x:row>
    <x:row r="22" ht="26.399999618530273" hidden="0" customHeight="1">
      <x:c r="A22" s="46" t="str">
        <x:v>DEY-SALT-021</x:v>
      </x:c>
      <x:c r="B22" s="46" t="str">
        <x:v>egg:yolk_duck_salted</x:v>
      </x:c>
      <x:c r="C22" s="46" t="str">
        <x:v>family:egg</x:v>
      </x:c>
      <x:c r="D22" s="46" t="str">
        <x:v>yolk_carrier</x:v>
      </x:c>
      <x:c r="E22" s="46" t="str">
        <x:v>salted / roasted-salted</x:v>
      </x:c>
      <x:c r="F22" s="46" t="str">
        <x:v>SRC-EGG-SALTED-YOLK-001</x:v>
      </x:c>
      <x:c r="G22" s="46" t="str">
        <x:v>Furan-ring compounds</x:v>
      </x:c>
      <x:c r="H22" s="46" t="str">
        <x:v>7,9-Di-tert-butyl-1-oxaspiro(4,5)deca-6,9-diene-2,8-dione</x:v>
      </x:c>
      <x:c r="I22" s="46" t="str">
        <x:v>82304-66-3</x:v>
      </x:c>
      <x:c r="J22" s="46" t="n">
        <x:v>2699</x:v>
      </x:c>
      <x:c r="K22" s="46" t="n">
        <x:v>1920</x:v>
      </x:c>
      <x:c r="L22" s="46" t="str">
        <x:v>yes</x:v>
      </x:c>
      <x:c r="M22" s="46" t="str">
        <x:v>yes</x:v>
      </x:c>
      <x:c r="N22" s="46" t="str">
        <x:v>MS, RI, S</x:v>
      </x:c>
      <x:c r="O22" s="46" t="str">
        <x:v>yes</x:v>
      </x:c>
      <x:c r="P22" s="46"/>
      <x:c r="Q22" s="46" t="str">
        <x:v>partial_no_numeric_match_factor</x:v>
      </x:c>
      <x:c r="R22" s="46" t="str">
        <x:v>measured</x:v>
      </x:c>
      <x:c r="S22" s="46" t="str">
        <x:v>Roasting of an already salted yolk is a preserved-product thermal transformation; do not inherit its pyrazine/thiophene profile into ordinary fried chicken yolk.</x:v>
      </x:c>
    </x:row>
    <x:row r="23" ht="26.399999618530273" hidden="0" customHeight="1">
      <x:c r="A23" s="46" t="str">
        <x:v>DEY-SALT-022</x:v>
      </x:c>
      <x:c r="B23" s="46" t="str">
        <x:v>egg:yolk_duck_salted</x:v>
      </x:c>
      <x:c r="C23" s="46" t="str">
        <x:v>family:egg</x:v>
      </x:c>
      <x:c r="D23" s="46" t="str">
        <x:v>yolk_carrier</x:v>
      </x:c>
      <x:c r="E23" s="46" t="str">
        <x:v>salted / roasted-salted</x:v>
      </x:c>
      <x:c r="F23" s="46" t="str">
        <x:v>SRC-EGG-SALTED-YOLK-001</x:v>
      </x:c>
      <x:c r="G23" s="46" t="str">
        <x:v>Alcohols</x:v>
      </x:c>
      <x:c r="H23" s="46" t="str">
        <x:v>β-Butoxyethanol</x:v>
      </x:c>
      <x:c r="I23" s="46" t="str">
        <x:v>111-76-2</x:v>
      </x:c>
      <x:c r="J23" s="46" t="n">
        <x:v>1392</x:v>
      </x:c>
      <x:c r="K23" s="46"/>
      <x:c r="L23" s="46" t="str">
        <x:v>yes</x:v>
      </x:c>
      <x:c r="M23" s="46" t="str">
        <x:v>yes</x:v>
      </x:c>
      <x:c r="N23" s="46" t="str">
        <x:v>MS, RI, S, O</x:v>
      </x:c>
      <x:c r="O23" s="46" t="str">
        <x:v>yes</x:v>
      </x:c>
      <x:c r="P23" s="46"/>
      <x:c r="Q23" s="46" t="str">
        <x:v>partial_no_numeric_match_factor</x:v>
      </x:c>
      <x:c r="R23" s="46" t="str">
        <x:v>measured</x:v>
      </x:c>
      <x:c r="S23" s="46" t="str">
        <x:v>Roasting of an already salted yolk is a preserved-product thermal transformation; do not inherit its pyrazine/thiophene profile into ordinary fried chicken yolk.</x:v>
      </x:c>
    </x:row>
    <x:row r="24" ht="26.399999618530273" hidden="0" customHeight="1">
      <x:c r="A24" s="46" t="str">
        <x:v>DEY-SALT-023</x:v>
      </x:c>
      <x:c r="B24" s="46" t="str">
        <x:v>egg:yolk_duck_salted</x:v>
      </x:c>
      <x:c r="C24" s="46" t="str">
        <x:v>family:egg</x:v>
      </x:c>
      <x:c r="D24" s="46" t="str">
        <x:v>yolk_carrier</x:v>
      </x:c>
      <x:c r="E24" s="46" t="str">
        <x:v>salted / roasted-salted</x:v>
      </x:c>
      <x:c r="F24" s="46" t="str">
        <x:v>SRC-EGG-SALTED-YOLK-001</x:v>
      </x:c>
      <x:c r="G24" s="46" t="str">
        <x:v>Alcohols</x:v>
      </x:c>
      <x:c r="H24" s="46" t="str">
        <x:v>1-Octen-3-ol</x:v>
      </x:c>
      <x:c r="I24" s="46" t="str">
        <x:v>3391-86-4</x:v>
      </x:c>
      <x:c r="J24" s="46" t="n">
        <x:v>1442</x:v>
      </x:c>
      <x:c r="K24" s="46"/>
      <x:c r="L24" s="46" t="str">
        <x:v>yes</x:v>
      </x:c>
      <x:c r="M24" s="46" t="str">
        <x:v>no</x:v>
      </x:c>
      <x:c r="N24" s="46" t="str">
        <x:v>MS, RI, S, O</x:v>
      </x:c>
      <x:c r="O24" s="46" t="str">
        <x:v>yes</x:v>
      </x:c>
      <x:c r="P24" s="46"/>
      <x:c r="Q24" s="46" t="str">
        <x:v>partial_no_numeric_match_factor</x:v>
      </x:c>
      <x:c r="R24" s="46" t="str">
        <x:v>measured</x:v>
      </x:c>
      <x:c r="S24" s="46" t="str">
        <x:v>Roasting of an already salted yolk is a preserved-product thermal transformation; do not inherit its pyrazine/thiophene profile into ordinary fried chicken yolk.</x:v>
      </x:c>
    </x:row>
    <x:row r="25" ht="26.399999618530273" hidden="0" customHeight="1">
      <x:c r="A25" s="46" t="str">
        <x:v>DEY-SALT-024</x:v>
      </x:c>
      <x:c r="B25" s="46" t="str">
        <x:v>egg:yolk_duck_salted</x:v>
      </x:c>
      <x:c r="C25" s="46" t="str">
        <x:v>family:egg</x:v>
      </x:c>
      <x:c r="D25" s="46" t="str">
        <x:v>yolk_carrier</x:v>
      </x:c>
      <x:c r="E25" s="46" t="str">
        <x:v>salted / roasted-salted</x:v>
      </x:c>
      <x:c r="F25" s="46" t="str">
        <x:v>SRC-EGG-SALTED-YOLK-001</x:v>
      </x:c>
      <x:c r="G25" s="46" t="str">
        <x:v>Alcohols</x:v>
      </x:c>
      <x:c r="H25" s="46" t="str">
        <x:v>2-Ethyl-1-hexanol</x:v>
      </x:c>
      <x:c r="I25" s="46" t="str">
        <x:v>104-76-7</x:v>
      </x:c>
      <x:c r="J25" s="46" t="n">
        <x:v>1482</x:v>
      </x:c>
      <x:c r="K25" s="46"/>
      <x:c r="L25" s="46" t="str">
        <x:v>yes</x:v>
      </x:c>
      <x:c r="M25" s="46" t="str">
        <x:v>yes</x:v>
      </x:c>
      <x:c r="N25" s="46" t="str">
        <x:v>MS, RI, S, O</x:v>
      </x:c>
      <x:c r="O25" s="46" t="str">
        <x:v>yes</x:v>
      </x:c>
      <x:c r="P25" s="46"/>
      <x:c r="Q25" s="46" t="str">
        <x:v>partial_no_numeric_match_factor</x:v>
      </x:c>
      <x:c r="R25" s="46" t="str">
        <x:v>measured</x:v>
      </x:c>
      <x:c r="S25" s="46" t="str">
        <x:v>Roasting of an already salted yolk is a preserved-product thermal transformation; do not inherit its pyrazine/thiophene profile into ordinary fried chicken yolk.</x:v>
      </x:c>
    </x:row>
    <x:row r="26" ht="26.399999618530273" hidden="0" customHeight="1">
      <x:c r="A26" s="46" t="str">
        <x:v>DEY-SALT-025</x:v>
      </x:c>
      <x:c r="B26" s="46" t="str">
        <x:v>egg:yolk_duck_salted</x:v>
      </x:c>
      <x:c r="C26" s="46" t="str">
        <x:v>family:egg</x:v>
      </x:c>
      <x:c r="D26" s="46" t="str">
        <x:v>yolk_carrier</x:v>
      </x:c>
      <x:c r="E26" s="46" t="str">
        <x:v>salted / roasted-salted</x:v>
      </x:c>
      <x:c r="F26" s="46" t="str">
        <x:v>SRC-EGG-SALTED-YOLK-001</x:v>
      </x:c>
      <x:c r="G26" s="46" t="str">
        <x:v>Alcohols</x:v>
      </x:c>
      <x:c r="H26" s="46" t="str">
        <x:v>Carbitol</x:v>
      </x:c>
      <x:c r="I26" s="46" t="str">
        <x:v>111-90-0</x:v>
      </x:c>
      <x:c r="J26" s="46" t="n">
        <x:v>1610</x:v>
      </x:c>
      <x:c r="K26" s="46"/>
      <x:c r="L26" s="46" t="str">
        <x:v>yes</x:v>
      </x:c>
      <x:c r="M26" s="46" t="str">
        <x:v>yes</x:v>
      </x:c>
      <x:c r="N26" s="46" t="str">
        <x:v>MS, RI, S, O</x:v>
      </x:c>
      <x:c r="O26" s="46" t="str">
        <x:v>yes</x:v>
      </x:c>
      <x:c r="P26" s="46"/>
      <x:c r="Q26" s="46" t="str">
        <x:v>partial_no_numeric_match_factor</x:v>
      </x:c>
      <x:c r="R26" s="46" t="str">
        <x:v>measured</x:v>
      </x:c>
      <x:c r="S26" s="46" t="str">
        <x:v>Roasting of an already salted yolk is a preserved-product thermal transformation; do not inherit its pyrazine/thiophene profile into ordinary fried chicken yolk.</x:v>
      </x:c>
    </x:row>
    <x:row r="27" ht="26.399999618530273" hidden="0" customHeight="1">
      <x:c r="A27" s="46" t="str">
        <x:v>DEY-SALT-026</x:v>
      </x:c>
      <x:c r="B27" s="46" t="str">
        <x:v>egg:yolk_duck_salted</x:v>
      </x:c>
      <x:c r="C27" s="46" t="str">
        <x:v>family:egg</x:v>
      </x:c>
      <x:c r="D27" s="46" t="str">
        <x:v>yolk_carrier</x:v>
      </x:c>
      <x:c r="E27" s="46" t="str">
        <x:v>salted / roasted-salted</x:v>
      </x:c>
      <x:c r="F27" s="46" t="str">
        <x:v>SRC-EGG-SALTED-YOLK-001</x:v>
      </x:c>
      <x:c r="G27" s="46" t="str">
        <x:v>Alcohols</x:v>
      </x:c>
      <x:c r="H27" s="46" t="str">
        <x:v>Phenylethyl alcohol</x:v>
      </x:c>
      <x:c r="I27" s="46" t="str">
        <x:v>60-12-8</x:v>
      </x:c>
      <x:c r="J27" s="46" t="n">
        <x:v>1898</x:v>
      </x:c>
      <x:c r="K27" s="46"/>
      <x:c r="L27" s="46" t="str">
        <x:v>yes</x:v>
      </x:c>
      <x:c r="M27" s="46" t="str">
        <x:v>yes</x:v>
      </x:c>
      <x:c r="N27" s="46" t="str">
        <x:v>MS, RI, S</x:v>
      </x:c>
      <x:c r="O27" s="46" t="str">
        <x:v>yes</x:v>
      </x:c>
      <x:c r="P27" s="46"/>
      <x:c r="Q27" s="46" t="str">
        <x:v>partial_no_numeric_match_factor</x:v>
      </x:c>
      <x:c r="R27" s="46" t="str">
        <x:v>measured</x:v>
      </x:c>
      <x:c r="S27" s="46" t="str">
        <x:v>Roasting of an already salted yolk is a preserved-product thermal transformation; do not inherit its pyrazine/thiophene profile into ordinary fried chicken yolk.</x:v>
      </x:c>
    </x:row>
    <x:row r="28" ht="26.399999618530273" hidden="0" customHeight="1">
      <x:c r="A28" s="46" t="str">
        <x:v>DEY-SALT-027</x:v>
      </x:c>
      <x:c r="B28" s="46" t="str">
        <x:v>egg:yolk_duck_salted</x:v>
      </x:c>
      <x:c r="C28" s="46" t="str">
        <x:v>family:egg</x:v>
      </x:c>
      <x:c r="D28" s="46" t="str">
        <x:v>yolk_carrier</x:v>
      </x:c>
      <x:c r="E28" s="46" t="str">
        <x:v>salted / roasted-salted</x:v>
      </x:c>
      <x:c r="F28" s="46" t="str">
        <x:v>SRC-EGG-SALTED-YOLK-001</x:v>
      </x:c>
      <x:c r="G28" s="46" t="str">
        <x:v>Aldehydes</x:v>
      </x:c>
      <x:c r="H28" s="46" t="str">
        <x:v>Hexanal</x:v>
      </x:c>
      <x:c r="I28" s="46" t="str">
        <x:v>66-25-1</x:v>
      </x:c>
      <x:c r="J28" s="46" t="n">
        <x:v>1073</x:v>
      </x:c>
      <x:c r="K28" s="46" t="n">
        <x:v>790</x:v>
      </x:c>
      <x:c r="L28" s="46" t="str">
        <x:v>yes</x:v>
      </x:c>
      <x:c r="M28" s="46" t="str">
        <x:v>yes</x:v>
      </x:c>
      <x:c r="N28" s="46" t="str">
        <x:v>MS, RI, S</x:v>
      </x:c>
      <x:c r="O28" s="46" t="str">
        <x:v>yes</x:v>
      </x:c>
      <x:c r="P28" s="46"/>
      <x:c r="Q28" s="46" t="str">
        <x:v>partial_no_numeric_match_factor</x:v>
      </x:c>
      <x:c r="R28" s="46" t="str">
        <x:v>measured</x:v>
      </x:c>
      <x:c r="S28" s="46" t="str">
        <x:v>Roasting of an already salted yolk is a preserved-product thermal transformation; do not inherit its pyrazine/thiophene profile into ordinary fried chicken yolk.</x:v>
      </x:c>
    </x:row>
    <x:row r="29" ht="26.399999618530273" hidden="0" customHeight="1">
      <x:c r="A29" s="46" t="str">
        <x:v>DEY-SALT-028</x:v>
      </x:c>
      <x:c r="B29" s="46" t="str">
        <x:v>egg:yolk_duck_salted</x:v>
      </x:c>
      <x:c r="C29" s="46" t="str">
        <x:v>family:egg</x:v>
      </x:c>
      <x:c r="D29" s="46" t="str">
        <x:v>yolk_carrier</x:v>
      </x:c>
      <x:c r="E29" s="46" t="str">
        <x:v>salted / roasted-salted</x:v>
      </x:c>
      <x:c r="F29" s="46" t="str">
        <x:v>SRC-EGG-SALTED-YOLK-001</x:v>
      </x:c>
      <x:c r="G29" s="46" t="str">
        <x:v>Aldehydes</x:v>
      </x:c>
      <x:c r="H29" s="46" t="str">
        <x:v>Nonanal</x:v>
      </x:c>
      <x:c r="I29" s="46" t="str">
        <x:v>124-19-6</x:v>
      </x:c>
      <x:c r="J29" s="46" t="n">
        <x:v>1382</x:v>
      </x:c>
      <x:c r="K29" s="46" t="n">
        <x:v>1097</x:v>
      </x:c>
      <x:c r="L29" s="46" t="str">
        <x:v>yes</x:v>
      </x:c>
      <x:c r="M29" s="46" t="str">
        <x:v>yes</x:v>
      </x:c>
      <x:c r="N29" s="46" t="str">
        <x:v>MS, RI, S</x:v>
      </x:c>
      <x:c r="O29" s="46" t="str">
        <x:v>yes</x:v>
      </x:c>
      <x:c r="P29" s="46"/>
      <x:c r="Q29" s="46" t="str">
        <x:v>partial_no_numeric_match_factor</x:v>
      </x:c>
      <x:c r="R29" s="46" t="str">
        <x:v>measured</x:v>
      </x:c>
      <x:c r="S29" s="46" t="str">
        <x:v>Roasting of an already salted yolk is a preserved-product thermal transformation; do not inherit its pyrazine/thiophene profile into ordinary fried chicken yolk.</x:v>
      </x:c>
    </x:row>
    <x:row r="30" ht="26.399999618530273" hidden="0" customHeight="1">
      <x:c r="A30" s="46" t="str">
        <x:v>DEY-SALT-029</x:v>
      </x:c>
      <x:c r="B30" s="46" t="str">
        <x:v>egg:yolk_duck_salted</x:v>
      </x:c>
      <x:c r="C30" s="46" t="str">
        <x:v>family:egg</x:v>
      </x:c>
      <x:c r="D30" s="46" t="str">
        <x:v>yolk_carrier</x:v>
      </x:c>
      <x:c r="E30" s="46" t="str">
        <x:v>salted / roasted-salted</x:v>
      </x:c>
      <x:c r="F30" s="46" t="str">
        <x:v>SRC-EGG-SALTED-YOLK-001</x:v>
      </x:c>
      <x:c r="G30" s="46" t="str">
        <x:v>Aldehydes</x:v>
      </x:c>
      <x:c r="H30" s="46" t="str">
        <x:v>Benzaldehyde</x:v>
      </x:c>
      <x:c r="I30" s="46" t="str">
        <x:v>100-52-7</x:v>
      </x:c>
      <x:c r="J30" s="46" t="n">
        <x:v>1503</x:v>
      </x:c>
      <x:c r="K30" s="46"/>
      <x:c r="L30" s="46" t="str">
        <x:v>no</x:v>
      </x:c>
      <x:c r="M30" s="46" t="str">
        <x:v>yes</x:v>
      </x:c>
      <x:c r="N30" s="46" t="str">
        <x:v>MS, RI, S</x:v>
      </x:c>
      <x:c r="O30" s="46" t="str">
        <x:v>yes</x:v>
      </x:c>
      <x:c r="P30" s="46"/>
      <x:c r="Q30" s="46" t="str">
        <x:v>partial_no_numeric_match_factor</x:v>
      </x:c>
      <x:c r="R30" s="46" t="str">
        <x:v>measured</x:v>
      </x:c>
      <x:c r="S30" s="46" t="str">
        <x:v>Roasting of an already salted yolk is a preserved-product thermal transformation; do not inherit its pyrazine/thiophene profile into ordinary fried chicken yolk.</x:v>
      </x:c>
    </x:row>
    <x:row r="31" ht="26.399999618530273" hidden="0" customHeight="1">
      <x:c r="A31" s="46" t="str">
        <x:v>DEY-SALT-030</x:v>
      </x:c>
      <x:c r="B31" s="46" t="str">
        <x:v>egg:yolk_duck_salted</x:v>
      </x:c>
      <x:c r="C31" s="46" t="str">
        <x:v>family:egg</x:v>
      </x:c>
      <x:c r="D31" s="46" t="str">
        <x:v>yolk_carrier</x:v>
      </x:c>
      <x:c r="E31" s="46" t="str">
        <x:v>salted / roasted-salted</x:v>
      </x:c>
      <x:c r="F31" s="46" t="str">
        <x:v>SRC-EGG-SALTED-YOLK-001</x:v>
      </x:c>
      <x:c r="G31" s="46" t="str">
        <x:v>Aldehydes</x:v>
      </x:c>
      <x:c r="H31" s="46" t="str">
        <x:v>(Z)-9-Octadecenal</x:v>
      </x:c>
      <x:c r="I31" s="46" t="str">
        <x:v>2423-10-1</x:v>
      </x:c>
      <x:c r="J31" s="46" t="n">
        <x:v>2364</x:v>
      </x:c>
      <x:c r="K31" s="46"/>
      <x:c r="L31" s="46" t="str">
        <x:v>no</x:v>
      </x:c>
      <x:c r="M31" s="46" t="str">
        <x:v>yes</x:v>
      </x:c>
      <x:c r="N31" s="46" t="str">
        <x:v>MS, S, O</x:v>
      </x:c>
      <x:c r="O31" s="46" t="str">
        <x:v>yes</x:v>
      </x:c>
      <x:c r="P31" s="46"/>
      <x:c r="Q31" s="46" t="str">
        <x:v>partial_no_numeric_match_factor</x:v>
      </x:c>
      <x:c r="R31" s="46" t="str">
        <x:v>measured</x:v>
      </x:c>
      <x:c r="S31" s="46" t="str">
        <x:v>Roasting of an already salted yolk is a preserved-product thermal transformation; do not inherit its pyrazine/thiophene profile into ordinary fried chicken yolk.</x:v>
      </x:c>
    </x:row>
    <x:row r="32" ht="26.399999618530273" hidden="0" customHeight="1">
      <x:c r="A32" s="46" t="str">
        <x:v>DEY-SALT-031</x:v>
      </x:c>
      <x:c r="B32" s="46" t="str">
        <x:v>egg:yolk_duck_salted</x:v>
      </x:c>
      <x:c r="C32" s="46" t="str">
        <x:v>family:egg</x:v>
      </x:c>
      <x:c r="D32" s="46" t="str">
        <x:v>yolk_carrier</x:v>
      </x:c>
      <x:c r="E32" s="46" t="str">
        <x:v>salted / roasted-salted</x:v>
      </x:c>
      <x:c r="F32" s="46" t="str">
        <x:v>SRC-EGG-SALTED-YOLK-001</x:v>
      </x:c>
      <x:c r="G32" s="46" t="str">
        <x:v>Ketones</x:v>
      </x:c>
      <x:c r="H32" s="46" t="str">
        <x:v>Acetoin</x:v>
      </x:c>
      <x:c r="I32" s="46" t="str">
        <x:v>513-86-0</x:v>
      </x:c>
      <x:c r="J32" s="46" t="n">
        <x:v>1270</x:v>
      </x:c>
      <x:c r="K32" s="46"/>
      <x:c r="L32" s="46" t="str">
        <x:v>yes</x:v>
      </x:c>
      <x:c r="M32" s="46" t="str">
        <x:v>yes</x:v>
      </x:c>
      <x:c r="N32" s="46" t="str">
        <x:v>MS, RI, S, O</x:v>
      </x:c>
      <x:c r="O32" s="46" t="str">
        <x:v>yes</x:v>
      </x:c>
      <x:c r="P32" s="46"/>
      <x:c r="Q32" s="46" t="str">
        <x:v>partial_no_numeric_match_factor</x:v>
      </x:c>
      <x:c r="R32" s="46" t="str">
        <x:v>measured</x:v>
      </x:c>
      <x:c r="S32" s="46" t="str">
        <x:v>Roasting of an already salted yolk is a preserved-product thermal transformation; do not inherit its pyrazine/thiophene profile into ordinary fried chicken yolk.</x:v>
      </x:c>
    </x:row>
    <x:row r="33" ht="26.399999618530273" hidden="0" customHeight="1">
      <x:c r="A33" s="46" t="str">
        <x:v>DEY-SALT-032</x:v>
      </x:c>
      <x:c r="B33" s="46" t="str">
        <x:v>egg:yolk_duck_salted</x:v>
      </x:c>
      <x:c r="C33" s="46" t="str">
        <x:v>family:egg</x:v>
      </x:c>
      <x:c r="D33" s="46" t="str">
        <x:v>yolk_carrier</x:v>
      </x:c>
      <x:c r="E33" s="46" t="str">
        <x:v>salted / roasted-salted</x:v>
      </x:c>
      <x:c r="F33" s="46" t="str">
        <x:v>SRC-EGG-SALTED-YOLK-001</x:v>
      </x:c>
      <x:c r="G33" s="46" t="str">
        <x:v>Ketones</x:v>
      </x:c>
      <x:c r="H33" s="46" t="str">
        <x:v>1-Hydroxy-2-propanone</x:v>
      </x:c>
      <x:c r="I33" s="46" t="str">
        <x:v>116-09-6</x:v>
      </x:c>
      <x:c r="J33" s="46" t="n">
        <x:v>1286</x:v>
      </x:c>
      <x:c r="K33" s="46"/>
      <x:c r="L33" s="46" t="str">
        <x:v>no</x:v>
      </x:c>
      <x:c r="M33" s="46" t="str">
        <x:v>yes</x:v>
      </x:c>
      <x:c r="N33" s="46" t="str">
        <x:v>MS, RI, S, O</x:v>
      </x:c>
      <x:c r="O33" s="46" t="str">
        <x:v>yes</x:v>
      </x:c>
      <x:c r="P33" s="46"/>
      <x:c r="Q33" s="46" t="str">
        <x:v>partial_no_numeric_match_factor</x:v>
      </x:c>
      <x:c r="R33" s="46" t="str">
        <x:v>measured</x:v>
      </x:c>
      <x:c r="S33" s="46" t="str">
        <x:v>Roasting of an already salted yolk is a preserved-product thermal transformation; do not inherit its pyrazine/thiophene profile into ordinary fried chicken yolk.</x:v>
      </x:c>
    </x:row>
    <x:row r="34" ht="26.399999618530273" hidden="0" customHeight="1">
      <x:c r="A34" s="46" t="str">
        <x:v>DEY-SALT-033</x:v>
      </x:c>
      <x:c r="B34" s="46" t="str">
        <x:v>egg:yolk_duck_salted</x:v>
      </x:c>
      <x:c r="C34" s="46" t="str">
        <x:v>family:egg</x:v>
      </x:c>
      <x:c r="D34" s="46" t="str">
        <x:v>yolk_carrier</x:v>
      </x:c>
      <x:c r="E34" s="46" t="str">
        <x:v>salted / roasted-salted</x:v>
      </x:c>
      <x:c r="F34" s="46" t="str">
        <x:v>SRC-EGG-SALTED-YOLK-001</x:v>
      </x:c>
      <x:c r="G34" s="46" t="str">
        <x:v>Ketones</x:v>
      </x:c>
      <x:c r="H34" s="46" t="str">
        <x:v>2-Cyclopenten-1-one</x:v>
      </x:c>
      <x:c r="I34" s="46" t="str">
        <x:v>930-30-3</x:v>
      </x:c>
      <x:c r="J34" s="46" t="n">
        <x:v>1338</x:v>
      </x:c>
      <x:c r="K34" s="46" t="n">
        <x:v>828</x:v>
      </x:c>
      <x:c r="L34" s="46" t="str">
        <x:v>yes</x:v>
      </x:c>
      <x:c r="M34" s="46" t="str">
        <x:v>yes</x:v>
      </x:c>
      <x:c r="N34" s="46" t="str">
        <x:v>MS, RI, S</x:v>
      </x:c>
      <x:c r="O34" s="46" t="str">
        <x:v>yes</x:v>
      </x:c>
      <x:c r="P34" s="46"/>
      <x:c r="Q34" s="46" t="str">
        <x:v>partial_no_numeric_match_factor</x:v>
      </x:c>
      <x:c r="R34" s="46" t="str">
        <x:v>measured</x:v>
      </x:c>
      <x:c r="S34" s="46" t="str">
        <x:v>Roasting of an already salted yolk is a preserved-product thermal transformation; do not inherit its pyrazine/thiophene profile into ordinary fried chicken yolk.</x:v>
      </x:c>
    </x:row>
    <x:row r="35" ht="26.399999618530273" hidden="0" customHeight="1">
      <x:c r="A35" s="46" t="str">
        <x:v>DEY-SALT-034</x:v>
      </x:c>
      <x:c r="B35" s="46" t="str">
        <x:v>egg:yolk_duck_salted</x:v>
      </x:c>
      <x:c r="C35" s="46" t="str">
        <x:v>family:egg</x:v>
      </x:c>
      <x:c r="D35" s="46" t="str">
        <x:v>yolk_carrier</x:v>
      </x:c>
      <x:c r="E35" s="46" t="str">
        <x:v>salted / roasted-salted</x:v>
      </x:c>
      <x:c r="F35" s="46" t="str">
        <x:v>SRC-EGG-SALTED-YOLK-001</x:v>
      </x:c>
      <x:c r="G35" s="46" t="str">
        <x:v>Ketones</x:v>
      </x:c>
      <x:c r="H35" s="46" t="str">
        <x:v>2-Hydroxy-3-methyl-2-cyclopenten-1-one</x:v>
      </x:c>
      <x:c r="I35" s="46" t="str">
        <x:v>80-71-7</x:v>
      </x:c>
      <x:c r="J35" s="46" t="n">
        <x:v>1814</x:v>
      </x:c>
      <x:c r="K35" s="46"/>
      <x:c r="L35" s="46" t="str">
        <x:v>no</x:v>
      </x:c>
      <x:c r="M35" s="46" t="str">
        <x:v>yes</x:v>
      </x:c>
      <x:c r="N35" s="46" t="str">
        <x:v>MS, RI, S</x:v>
      </x:c>
      <x:c r="O35" s="46" t="str">
        <x:v>yes</x:v>
      </x:c>
      <x:c r="P35" s="46"/>
      <x:c r="Q35" s="46" t="str">
        <x:v>partial_no_numeric_match_factor</x:v>
      </x:c>
      <x:c r="R35" s="46" t="str">
        <x:v>measured</x:v>
      </x:c>
      <x:c r="S35" s="46" t="str">
        <x:v>Roasting of an already salted yolk is a preserved-product thermal transformation; do not inherit its pyrazine/thiophene profile into ordinary fried chicken yolk.</x:v>
      </x:c>
    </x:row>
    <x:row r="36" ht="26.399999618530273" hidden="0" customHeight="1">
      <x:c r="A36" s="46" t="str">
        <x:v>DEY-SALT-035</x:v>
      </x:c>
      <x:c r="B36" s="46" t="str">
        <x:v>egg:yolk_duck_salted</x:v>
      </x:c>
      <x:c r="C36" s="46" t="str">
        <x:v>family:egg</x:v>
      </x:c>
      <x:c r="D36" s="46" t="str">
        <x:v>yolk_carrier</x:v>
      </x:c>
      <x:c r="E36" s="46" t="str">
        <x:v>salted / roasted-salted</x:v>
      </x:c>
      <x:c r="F36" s="46" t="str">
        <x:v>SRC-EGG-SALTED-YOLK-001</x:v>
      </x:c>
      <x:c r="G36" s="46" t="str">
        <x:v>Acids</x:v>
      </x:c>
      <x:c r="H36" s="46" t="str">
        <x:v>2-Hydroxy-2-methylpropanoic acid</x:v>
      </x:c>
      <x:c r="I36" s="46" t="str">
        <x:v>594-61-6</x:v>
      </x:c>
      <x:c r="J36" s="46" t="n">
        <x:v>1327</x:v>
      </x:c>
      <x:c r="K36" s="46"/>
      <x:c r="L36" s="46" t="str">
        <x:v>no</x:v>
      </x:c>
      <x:c r="M36" s="46" t="str">
        <x:v>yes</x:v>
      </x:c>
      <x:c r="N36" s="46" t="str">
        <x:v>MS, S</x:v>
      </x:c>
      <x:c r="O36" s="46" t="str">
        <x:v>yes</x:v>
      </x:c>
      <x:c r="P36" s="46"/>
      <x:c r="Q36" s="46" t="str">
        <x:v>partial_no_numeric_match_factor</x:v>
      </x:c>
      <x:c r="R36" s="46" t="str">
        <x:v>measured</x:v>
      </x:c>
      <x:c r="S36" s="46" t="str">
        <x:v>Roasting of an already salted yolk is a preserved-product thermal transformation; do not inherit its pyrazine/thiophene profile into ordinary fried chicken yolk.</x:v>
      </x:c>
    </x:row>
    <x:row r="37" ht="26.399999618530273" hidden="0" customHeight="1">
      <x:c r="A37" s="46" t="str">
        <x:v>DEY-SALT-036</x:v>
      </x:c>
      <x:c r="B37" s="46" t="str">
        <x:v>egg:yolk_duck_salted</x:v>
      </x:c>
      <x:c r="C37" s="46" t="str">
        <x:v>family:egg</x:v>
      </x:c>
      <x:c r="D37" s="46" t="str">
        <x:v>yolk_carrier</x:v>
      </x:c>
      <x:c r="E37" s="46" t="str">
        <x:v>salted / roasted-salted</x:v>
      </x:c>
      <x:c r="F37" s="46" t="str">
        <x:v>SRC-EGG-SALTED-YOLK-001</x:v>
      </x:c>
      <x:c r="G37" s="46" t="str">
        <x:v>Acids</x:v>
      </x:c>
      <x:c r="H37" s="46" t="str">
        <x:v>Acetic acid</x:v>
      </x:c>
      <x:c r="I37" s="46" t="str">
        <x:v>64-19-7</x:v>
      </x:c>
      <x:c r="J37" s="46" t="n">
        <x:v>1435</x:v>
      </x:c>
      <x:c r="K37" s="46"/>
      <x:c r="L37" s="46" t="str">
        <x:v>yes</x:v>
      </x:c>
      <x:c r="M37" s="46" t="str">
        <x:v>yes</x:v>
      </x:c>
      <x:c r="N37" s="46" t="str">
        <x:v>MS, RI, S, O</x:v>
      </x:c>
      <x:c r="O37" s="46" t="str">
        <x:v>yes</x:v>
      </x:c>
      <x:c r="P37" s="46"/>
      <x:c r="Q37" s="46" t="str">
        <x:v>partial_no_numeric_match_factor</x:v>
      </x:c>
      <x:c r="R37" s="46" t="str">
        <x:v>measured</x:v>
      </x:c>
      <x:c r="S37" s="46" t="str">
        <x:v>Roasting of an already salted yolk is a preserved-product thermal transformation; do not inherit its pyrazine/thiophene profile into ordinary fried chicken yolk.</x:v>
      </x:c>
    </x:row>
    <x:row r="38" ht="26.399999618530273" hidden="0" customHeight="1">
      <x:c r="A38" s="46" t="str">
        <x:v>DEY-SALT-037</x:v>
      </x:c>
      <x:c r="B38" s="46" t="str">
        <x:v>egg:yolk_duck_salted</x:v>
      </x:c>
      <x:c r="C38" s="46" t="str">
        <x:v>family:egg</x:v>
      </x:c>
      <x:c r="D38" s="46" t="str">
        <x:v>yolk_carrier</x:v>
      </x:c>
      <x:c r="E38" s="46" t="str">
        <x:v>salted / roasted-salted</x:v>
      </x:c>
      <x:c r="F38" s="46" t="str">
        <x:v>SRC-EGG-SALTED-YOLK-001</x:v>
      </x:c>
      <x:c r="G38" s="46" t="str">
        <x:v>Acids</x:v>
      </x:c>
      <x:c r="H38" s="46" t="str">
        <x:v>n-Hexadecanoic acid</x:v>
      </x:c>
      <x:c r="I38" s="46" t="str">
        <x:v>57-10-3</x:v>
      </x:c>
      <x:c r="J38" s="46"/>
      <x:c r="K38" s="46" t="n">
        <x:v>1950</x:v>
      </x:c>
      <x:c r="L38" s="46" t="str">
        <x:v>yes</x:v>
      </x:c>
      <x:c r="M38" s="46" t="str">
        <x:v>yes</x:v>
      </x:c>
      <x:c r="N38" s="46" t="str">
        <x:v>MS, RI, S</x:v>
      </x:c>
      <x:c r="O38" s="46" t="str">
        <x:v>yes</x:v>
      </x:c>
      <x:c r="P38" s="46"/>
      <x:c r="Q38" s="46" t="str">
        <x:v>partial_no_numeric_match_factor</x:v>
      </x:c>
      <x:c r="R38" s="46" t="str">
        <x:v>measured</x:v>
      </x:c>
      <x:c r="S38" s="46" t="str">
        <x:v>Roasting of an already salted yolk is a preserved-product thermal transformation; do not inherit its pyrazine/thiophene profile into ordinary fried chicken yolk.</x:v>
      </x:c>
    </x:row>
    <x:row r="39" ht="26.399999618530273" hidden="0" customHeight="1">
      <x:c r="A39" s="46" t="str">
        <x:v>DEY-SALT-038</x:v>
      </x:c>
      <x:c r="B39" s="46" t="str">
        <x:v>egg:yolk_duck_salted</x:v>
      </x:c>
      <x:c r="C39" s="46" t="str">
        <x:v>family:egg</x:v>
      </x:c>
      <x:c r="D39" s="46" t="str">
        <x:v>yolk_carrier</x:v>
      </x:c>
      <x:c r="E39" s="46" t="str">
        <x:v>salted / roasted-salted</x:v>
      </x:c>
      <x:c r="F39" s="46" t="str">
        <x:v>SRC-EGG-SALTED-YOLK-001</x:v>
      </x:c>
      <x:c r="G39" s="46" t="str">
        <x:v>Phenols</x:v>
      </x:c>
      <x:c r="H39" s="46" t="str">
        <x:v>Phenol</x:v>
      </x:c>
      <x:c r="I39" s="46" t="str">
        <x:v>108-95-2</x:v>
      </x:c>
      <x:c r="J39" s="46"/>
      <x:c r="K39" s="46" t="n">
        <x:v>1990</x:v>
      </x:c>
      <x:c r="L39" s="46" t="str">
        <x:v>yes</x:v>
      </x:c>
      <x:c r="M39" s="46" t="str">
        <x:v>yes</x:v>
      </x:c>
      <x:c r="N39" s="46" t="str">
        <x:v>MS, RI, S</x:v>
      </x:c>
      <x:c r="O39" s="46" t="str">
        <x:v>yes</x:v>
      </x:c>
      <x:c r="P39" s="46"/>
      <x:c r="Q39" s="46" t="str">
        <x:v>partial_no_numeric_match_factor</x:v>
      </x:c>
      <x:c r="R39" s="46" t="str">
        <x:v>measured</x:v>
      </x:c>
      <x:c r="S39" s="46" t="str">
        <x:v>Roasting of an already salted yolk is a preserved-product thermal transformation; do not inherit its pyrazine/thiophene profile into ordinary fried chicken yolk.</x:v>
      </x:c>
    </x:row>
    <x:row r="40" ht="26.399999618530273" hidden="0" customHeight="1">
      <x:c r="A40" s="46" t="str">
        <x:v>DEY-SALT-039</x:v>
      </x:c>
      <x:c r="B40" s="46" t="str">
        <x:v>egg:yolk_duck_salted</x:v>
      </x:c>
      <x:c r="C40" s="46" t="str">
        <x:v>family:egg</x:v>
      </x:c>
      <x:c r="D40" s="46" t="str">
        <x:v>yolk_carrier</x:v>
      </x:c>
      <x:c r="E40" s="46" t="str">
        <x:v>salted / roasted-salted</x:v>
      </x:c>
      <x:c r="F40" s="46" t="str">
        <x:v>SRC-EGG-SALTED-YOLK-001</x:v>
      </x:c>
      <x:c r="G40" s="46" t="str">
        <x:v>Phenols</x:v>
      </x:c>
      <x:c r="H40" s="46" t="str">
        <x:v>2,4-Di-tert-butylphenol</x:v>
      </x:c>
      <x:c r="I40" s="46" t="str">
        <x:v>96-76-4</x:v>
      </x:c>
      <x:c r="J40" s="46" t="n">
        <x:v>2300</x:v>
      </x:c>
      <x:c r="K40" s="46" t="n">
        <x:v>1504</x:v>
      </x:c>
      <x:c r="L40" s="46" t="str">
        <x:v>yes</x:v>
      </x:c>
      <x:c r="M40" s="46" t="str">
        <x:v>yes</x:v>
      </x:c>
      <x:c r="N40" s="46" t="str">
        <x:v>MS, RI, S, O</x:v>
      </x:c>
      <x:c r="O40" s="46" t="str">
        <x:v>yes</x:v>
      </x:c>
      <x:c r="P40" s="46"/>
      <x:c r="Q40" s="46" t="str">
        <x:v>partial_no_numeric_match_factor</x:v>
      </x:c>
      <x:c r="R40" s="46" t="str">
        <x:v>measured</x:v>
      </x:c>
      <x:c r="S40" s="46" t="str">
        <x:v>Roasting of an already salted yolk is a preserved-product thermal transformation; do not inherit its pyrazine/thiophene profile into ordinary fried chicken yolk.</x:v>
      </x:c>
    </x:row>
    <x:row r="41" ht="26.399999618530273" hidden="0" customHeight="1">
      <x:c r="A41" s="46" t="str">
        <x:v>DEY-SALT-040</x:v>
      </x:c>
      <x:c r="B41" s="46" t="str">
        <x:v>egg:yolk_duck_salted</x:v>
      </x:c>
      <x:c r="C41" s="46" t="str">
        <x:v>family:egg</x:v>
      </x:c>
      <x:c r="D41" s="46" t="str">
        <x:v>yolk_carrier</x:v>
      </x:c>
      <x:c r="E41" s="46" t="str">
        <x:v>salted / roasted-salted</x:v>
      </x:c>
      <x:c r="F41" s="46" t="str">
        <x:v>SRC-EGG-SALTED-YOLK-001</x:v>
      </x:c>
      <x:c r="G41" s="46" t="str">
        <x:v>Esters</x:v>
      </x:c>
      <x:c r="H41" s="46" t="str">
        <x:v>Dibutyl phthalate</x:v>
      </x:c>
      <x:c r="I41" s="46" t="str">
        <x:v>84-74-2</x:v>
      </x:c>
      <x:c r="J41" s="46" t="n">
        <x:v>2694</x:v>
      </x:c>
      <x:c r="K41" s="46"/>
      <x:c r="L41" s="46" t="str">
        <x:v>no</x:v>
      </x:c>
      <x:c r="M41" s="46" t="str">
        <x:v>yes</x:v>
      </x:c>
      <x:c r="N41" s="46" t="str">
        <x:v>MS, RI, S</x:v>
      </x:c>
      <x:c r="O41" s="46" t="str">
        <x:v>yes</x:v>
      </x:c>
      <x:c r="P41" s="46"/>
      <x:c r="Q41" s="46" t="str">
        <x:v>partial_no_numeric_match_factor</x:v>
      </x:c>
      <x:c r="R41" s="46" t="str">
        <x:v>measured</x:v>
      </x:c>
      <x:c r="S41" s="46" t="str">
        <x:v>Roasting of an already salted yolk is a preserved-product thermal transformation; do not inherit its pyrazine/thiophene profile into ordinary fried chicken yolk.</x:v>
      </x:c>
    </x:row>
    <x:row r="42" ht="26.399999618530273" hidden="0" customHeight="1">
      <x:c r="A42" s="46" t="str">
        <x:v>DEY-SALT-041</x:v>
      </x:c>
      <x:c r="B42" s="46" t="str">
        <x:v>egg:yolk_duck_salted</x:v>
      </x:c>
      <x:c r="C42" s="46" t="str">
        <x:v>family:egg</x:v>
      </x:c>
      <x:c r="D42" s="46" t="str">
        <x:v>yolk_carrier</x:v>
      </x:c>
      <x:c r="E42" s="46" t="str">
        <x:v>salted / roasted-salted</x:v>
      </x:c>
      <x:c r="F42" s="46" t="str">
        <x:v>SRC-EGG-SALTED-YOLK-001</x:v>
      </x:c>
      <x:c r="G42" s="46" t="str">
        <x:v>Other heterocycles</x:v>
      </x:c>
      <x:c r="H42" s="46" t="str">
        <x:v>Pyrrole</x:v>
      </x:c>
      <x:c r="I42" s="46" t="str">
        <x:v>109-97-7</x:v>
      </x:c>
      <x:c r="J42" s="46" t="n">
        <x:v>1499</x:v>
      </x:c>
      <x:c r="K42" s="46"/>
      <x:c r="L42" s="46" t="str">
        <x:v>no</x:v>
      </x:c>
      <x:c r="M42" s="46" t="str">
        <x:v>yes</x:v>
      </x:c>
      <x:c r="N42" s="46" t="str">
        <x:v>MS, RI, S</x:v>
      </x:c>
      <x:c r="O42" s="46" t="str">
        <x:v>yes</x:v>
      </x:c>
      <x:c r="P42" s="46"/>
      <x:c r="Q42" s="46" t="str">
        <x:v>partial_no_numeric_match_factor</x:v>
      </x:c>
      <x:c r="R42" s="46" t="str">
        <x:v>measured</x:v>
      </x:c>
      <x:c r="S42" s="46" t="str">
        <x:v>Roasting of an already salted yolk is a preserved-product thermal transformation; do not inherit its pyrazine/thiophene profile into ordinary fried chicken yolk.</x:v>
      </x:c>
    </x:row>
    <x:row r="43" ht="26.399999618530273" hidden="0" customHeight="1">
      <x:c r="A43" s="46" t="str">
        <x:v>DEY-SALT-042</x:v>
      </x:c>
      <x:c r="B43" s="46" t="str">
        <x:v>egg:yolk_duck_salted</x:v>
      </x:c>
      <x:c r="C43" s="46" t="str">
        <x:v>family:egg</x:v>
      </x:c>
      <x:c r="D43" s="46" t="str">
        <x:v>yolk_carrier</x:v>
      </x:c>
      <x:c r="E43" s="46" t="str">
        <x:v>salted / roasted-salted</x:v>
      </x:c>
      <x:c r="F43" s="46" t="str">
        <x:v>SRC-EGG-SALTED-YOLK-001</x:v>
      </x:c>
      <x:c r="G43" s="46" t="str">
        <x:v>Other heterocycles</x:v>
      </x:c>
      <x:c r="H43" s="46" t="str">
        <x:v>2-Acetylthiazole</x:v>
      </x:c>
      <x:c r="I43" s="46" t="str">
        <x:v>24295-03-2</x:v>
      </x:c>
      <x:c r="J43" s="46" t="n">
        <x:v>1633</x:v>
      </x:c>
      <x:c r="K43" s="46" t="n">
        <x:v>1014</x:v>
      </x:c>
      <x:c r="L43" s="46" t="str">
        <x:v>no</x:v>
      </x:c>
      <x:c r="M43" s="46" t="str">
        <x:v>yes</x:v>
      </x:c>
      <x:c r="N43" s="46" t="str">
        <x:v>MS, RI, S, O</x:v>
      </x:c>
      <x:c r="O43" s="46" t="str">
        <x:v>yes</x:v>
      </x:c>
      <x:c r="P43" s="46"/>
      <x:c r="Q43" s="46" t="str">
        <x:v>partial_no_numeric_match_factor</x:v>
      </x:c>
      <x:c r="R43" s="46" t="str">
        <x:v>measured</x:v>
      </x:c>
      <x:c r="S43" s="46" t="str">
        <x:v>Roasting of an already salted yolk is a preserved-product thermal transformation; do not inherit its pyrazine/thiophene profile into ordinary fried chicken yolk.</x:v>
      </x:c>
    </x:row>
    <x:row r="44" ht="26.399999618530273" hidden="0" customHeight="1">
      <x:c r="A44" s="46" t="str">
        <x:v>DEY-SALT-043</x:v>
      </x:c>
      <x:c r="B44" s="46" t="str">
        <x:v>egg:yolk_duck_salted</x:v>
      </x:c>
      <x:c r="C44" s="46" t="str">
        <x:v>family:egg</x:v>
      </x:c>
      <x:c r="D44" s="46" t="str">
        <x:v>yolk_carrier</x:v>
      </x:c>
      <x:c r="E44" s="46" t="str">
        <x:v>salted / roasted-salted</x:v>
      </x:c>
      <x:c r="F44" s="46" t="str">
        <x:v>SRC-EGG-SALTED-YOLK-001</x:v>
      </x:c>
      <x:c r="G44" s="46" t="str">
        <x:v>Other heterocycles</x:v>
      </x:c>
      <x:c r="H44" s="46" t="str">
        <x:v>Indole</x:v>
      </x:c>
      <x:c r="I44" s="46" t="str">
        <x:v>120-72-9</x:v>
      </x:c>
      <x:c r="J44" s="46" t="n">
        <x:v>2435</x:v>
      </x:c>
      <x:c r="K44" s="46"/>
      <x:c r="L44" s="46" t="str">
        <x:v>yes</x:v>
      </x:c>
      <x:c r="M44" s="46" t="str">
        <x:v>yes</x:v>
      </x:c>
      <x:c r="N44" s="46" t="str">
        <x:v>MS, RI, S, O</x:v>
      </x:c>
      <x:c r="O44" s="46" t="str">
        <x:v>yes</x:v>
      </x:c>
      <x:c r="P44" s="46"/>
      <x:c r="Q44" s="46" t="str">
        <x:v>partial_no_numeric_match_factor</x:v>
      </x:c>
      <x:c r="R44" s="46" t="str">
        <x:v>measured</x:v>
      </x:c>
      <x:c r="S44" s="46" t="str">
        <x:v>Roasting of an already salted yolk is a preserved-product thermal transformation; do not inherit its pyrazine/thiophene profile into ordinary fried chicken yolk.</x:v>
      </x:c>
    </x:row>
    <x:row r="45" ht="26.399999618530273" hidden="0" customHeight="1">
      <x:c r="A45" s="46" t="str">
        <x:v>DEY-SALT-044</x:v>
      </x:c>
      <x:c r="B45" s="46" t="str">
        <x:v>egg:yolk_duck_salted</x:v>
      </x:c>
      <x:c r="C45" s="46" t="str">
        <x:v>family:egg</x:v>
      </x:c>
      <x:c r="D45" s="46" t="str">
        <x:v>yolk_carrier</x:v>
      </x:c>
      <x:c r="E45" s="46" t="str">
        <x:v>salted / roasted-salted</x:v>
      </x:c>
      <x:c r="F45" s="46" t="str">
        <x:v>SRC-EGG-SALTED-YOLK-001</x:v>
      </x:c>
      <x:c r="G45" s="46" t="str">
        <x:v>Other sulfur compounds</x:v>
      </x:c>
      <x:c r="H45" s="46" t="str">
        <x:v>meta-Methoxybenzenethiol</x:v>
      </x:c>
      <x:c r="I45" s="46" t="str">
        <x:v>15570-12-4</x:v>
      </x:c>
      <x:c r="J45" s="46" t="n">
        <x:v>1720</x:v>
      </x:c>
      <x:c r="K45" s="46"/>
      <x:c r="L45" s="46" t="str">
        <x:v>no</x:v>
      </x:c>
      <x:c r="M45" s="46" t="str">
        <x:v>yes</x:v>
      </x:c>
      <x:c r="N45" s="46" t="str">
        <x:v>MS, S</x:v>
      </x:c>
      <x:c r="O45" s="46" t="str">
        <x:v>yes</x:v>
      </x:c>
      <x:c r="P45" s="46"/>
      <x:c r="Q45" s="46" t="str">
        <x:v>partial_no_numeric_match_factor</x:v>
      </x:c>
      <x:c r="R45" s="46" t="str">
        <x:v>measured</x:v>
      </x:c>
      <x:c r="S45" s="46" t="str">
        <x:v>Roasting of an already salted yolk is a preserved-product thermal transformation; do not inherit its pyrazine/thiophene profile into ordinary fried chicken yolk.</x:v>
      </x:c>
    </x:row>
    <x:row r="46" ht="26.399999618530273" hidden="0" customHeight="1">
      <x:c r="A46" s="46" t="str">
        <x:v>DEY-SALT-045</x:v>
      </x:c>
      <x:c r="B46" s="46" t="str">
        <x:v>egg:yolk_duck_salted</x:v>
      </x:c>
      <x:c r="C46" s="46" t="str">
        <x:v>family:egg</x:v>
      </x:c>
      <x:c r="D46" s="46" t="str">
        <x:v>yolk_carrier</x:v>
      </x:c>
      <x:c r="E46" s="46" t="str">
        <x:v>salted / roasted-salted</x:v>
      </x:c>
      <x:c r="F46" s="46" t="str">
        <x:v>SRC-EGG-SALTED-YOLK-001</x:v>
      </x:c>
      <x:c r="G46" s="46" t="str">
        <x:v>Other sulfur compounds</x:v>
      </x:c>
      <x:c r="H46" s="46" t="str">
        <x:v>Dimethyl sulfone</x:v>
      </x:c>
      <x:c r="I46" s="46" t="str">
        <x:v>67-71-0</x:v>
      </x:c>
      <x:c r="J46" s="46" t="n">
        <x:v>1881</x:v>
      </x:c>
      <x:c r="K46" s="46"/>
      <x:c r="L46" s="46" t="str">
        <x:v>yes</x:v>
      </x:c>
      <x:c r="M46" s="46" t="str">
        <x:v>no</x:v>
      </x:c>
      <x:c r="N46" s="46" t="str">
        <x:v>MS, S</x:v>
      </x:c>
      <x:c r="O46" s="46" t="str">
        <x:v>yes</x:v>
      </x:c>
      <x:c r="P46" s="46"/>
      <x:c r="Q46" s="46" t="str">
        <x:v>partial_no_numeric_match_factor</x:v>
      </x:c>
      <x:c r="R46" s="46" t="str">
        <x:v>measured</x:v>
      </x:c>
      <x:c r="S46" s="46" t="str">
        <x:v>Roasting of an already salted yolk is a preserved-product thermal transformation; do not inherit its pyrazine/thiophene profile into ordinary fried chicken yolk.</x:v>
      </x:c>
    </x:row>
  </x:sheetData>
  <x:pageMargins left="0.7" right="0.7" top="0.75" bottom="0.75" header="0.3" footer="0.3"/>
  <x:tableParts count="1">
    <x:tablePart xmlns:r="http://schemas.openxmlformats.org/officeDocument/2006/relationships" r:id="Re27ef18589cd4c80"/>
  </x:tableParts>
</x:worksheet>
</file>

<file path=xl/worksheets/sheet90.xml><?xml version="1.0" encoding="utf-8"?>
<x:worksheet xmlns:x="http://schemas.openxmlformats.org/spreadsheetml/2006/main">
  <x:sheetFormatPr defaultRowHeight="15"/>
  <x:cols>
    <x:col min="1" max="1" width="15" hidden="0" customWidth="1"/>
    <x:col min="2" max="2" width="23" hidden="0" customWidth="1"/>
    <x:col min="3" max="3" width="16" hidden="0" customWidth="1"/>
    <x:col min="4" max="4" width="22" hidden="0" customWidth="1"/>
    <x:col min="5" max="5" width="18" hidden="0" customWidth="1"/>
    <x:col min="6" max="6" width="30" hidden="0" customWidth="1"/>
    <x:col min="7" max="7" width="20" hidden="0" customWidth="1"/>
    <x:col min="8" max="8" width="48" hidden="0" customWidth="1"/>
    <x:col min="9" max="9" width="34" hidden="0" customWidth="1"/>
    <x:col min="10" max="10" width="23" hidden="0" customWidth="1"/>
    <x:col min="11" max="11" width="20" hidden="0" customWidth="1"/>
    <x:col min="12" max="12" width="20" hidden="0" customWidth="1"/>
    <x:col min="13" max="13" width="14" hidden="0" customWidth="1"/>
    <x:col min="14" max="14" width="14" hidden="0" customWidth="1"/>
    <x:col min="15" max="15" width="12" hidden="0" customWidth="1"/>
    <x:col min="16" max="16" width="16" hidden="0" customWidth="1"/>
    <x:col min="17" max="17" width="28" hidden="0" customWidth="1"/>
    <x:col min="18" max="18" width="34" hidden="0" customWidth="1"/>
    <x:col min="19" max="19" width="30" hidden="0" customWidth="1"/>
    <x:col min="20" max="20" width="76" hidden="0" customWidth="1"/>
  </x:cols>
  <x:sheetData>
    <x:row r="1" ht="26.399999618530273" hidden="0" customHeight="1">
      <x:c r="A1" s="245" t="str">
        <x:v>record_id</x:v>
      </x:c>
      <x:c r="B1" s="245" t="str">
        <x:v>product_id</x:v>
      </x:c>
      <x:c r="C1" s="245" t="str">
        <x:v>family_id</x:v>
      </x:c>
      <x:c r="D1" s="245" t="str">
        <x:v>material_role</x:v>
      </x:c>
      <x:c r="E1" s="245" t="str">
        <x:v>preparation_state</x:v>
      </x:c>
      <x:c r="F1" s="245" t="str">
        <x:v>source_id</x:v>
      </x:c>
      <x:c r="G1" s="245" t="str">
        <x:v>compound_group</x:v>
      </x:c>
      <x:c r="H1" s="245" t="str">
        <x:v>compound_name</x:v>
      </x:c>
      <x:c r="I1" s="245" t="str">
        <x:v>odor_quality</x:v>
      </x:c>
      <x:c r="J1" s="245" t="str">
        <x:v>detected_in_scrambled_chicken</x:v>
      </x:c>
      <x:c r="K1" s="245" t="str">
        <x:v>concentration_ug_kg</x:v>
      </x:c>
      <x:c r="L1" s="245" t="str">
        <x:v>odor_threshold_ug_kg</x:v>
      </x:c>
      <x:c r="M1" s="245" t="str">
        <x:v>DoT_factor</x:v>
      </x:c>
      <x:c r="N1" s="245" t="str">
        <x:v>ri_db_ffap</x:v>
      </x:c>
      <x:c r="O1" s="245" t="str">
        <x:v>ri_db5</x:v>
      </x:c>
      <x:c r="P1" s="245" t="str">
        <x:v>AEDA_FD_factor</x:v>
      </x:c>
      <x:c r="Q1" s="245" t="str">
        <x:v>quantitation_layer</x:v>
      </x:c>
      <x:c r="R1" s="245" t="str">
        <x:v>mr10_role</x:v>
      </x:c>
      <x:c r="S1" s="245" t="str">
        <x:v>culinary_relevance</x:v>
      </x:c>
      <x:c r="T1" s="245" t="str">
        <x:v>notes</x:v>
      </x:c>
    </x:row>
    <x:row r="2" ht="26.399999618530273" hidden="0" customHeight="1">
      <x:c r="A2" s="46" t="str">
        <x:v>DEG-SCR-001</x:v>
      </x:c>
      <x:c r="B2" s="46" t="str">
        <x:v>egg:whole_chicken</x:v>
      </x:c>
      <x:c r="C2" s="46" t="str">
        <x:v>family:egg</x:v>
      </x:c>
      <x:c r="D2" s="46" t="str">
        <x:v>whole egg composite</x:v>
      </x:c>
      <x:c r="E2" s="46" t="str">
        <x:v>scrambled</x:v>
      </x:c>
      <x:c r="F2" s="46" t="str">
        <x:v>SRC-EGG-SCRAMBLE-SENS-001</x:v>
      </x:c>
      <x:c r="G2" s="46" t="str">
        <x:v>Sulfur compounds</x:v>
      </x:c>
      <x:c r="H2" s="46" t="str">
        <x:v>Hydrogen sulfide</x:v>
      </x:c>
      <x:c r="I2" s="46" t="str">
        <x:v>boiled-egg like</x:v>
      </x:c>
      <x:c r="J2" s="46" t="str">
        <x:v>yes</x:v>
      </x:c>
      <x:c r="K2" s="46" t="n">
        <x:v>967</x:v>
      </x:c>
      <x:c r="L2" s="46" t="n">
        <x:v>10</x:v>
      </x:c>
      <x:c r="M2" s="46" t="n">
        <x:v>97</x:v>
      </x:c>
      <x:c r="N2" s="46"/>
      <x:c r="O2" s="46"/>
      <x:c r="P2" s="46"/>
      <x:c r="Q2" s="46" t="str">
        <x:v>headspace_semquant</x:v>
      </x:c>
      <x:c r="R2" s="46" t="str">
        <x:v>sensory_quantitative_not_MR10_detection_table</x:v>
      </x:c>
      <x:c r="S2" s="46" t="str">
        <x:v>positive_culinary_odorant</x:v>
      </x:c>
      <x:c r="T2" s="46" t="str">
        <x:v>Hydrogen sulfide and methanethiol are direct cooked-egg culinary measurements; MR-14 does not classify them as spoilage-only compounds.</x:v>
      </x:c>
    </x:row>
    <x:row r="3" ht="26.399999618530273" hidden="0" customHeight="1">
      <x:c r="A3" s="46" t="str">
        <x:v>DEG-SCR-002</x:v>
      </x:c>
      <x:c r="B3" s="46" t="str">
        <x:v>egg:whole_chicken</x:v>
      </x:c>
      <x:c r="C3" s="46" t="str">
        <x:v>family:egg</x:v>
      </x:c>
      <x:c r="D3" s="46" t="str">
        <x:v>whole egg composite</x:v>
      </x:c>
      <x:c r="E3" s="46" t="str">
        <x:v>scrambled</x:v>
      </x:c>
      <x:c r="F3" s="46" t="str">
        <x:v>SRC-EGG-SCRAMBLE-SENS-001</x:v>
      </x:c>
      <x:c r="G3" s="46" t="str">
        <x:v>Ketones</x:v>
      </x:c>
      <x:c r="H3" s="46" t="str">
        <x:v>2,3-Butanedione</x:v>
      </x:c>
      <x:c r="I3" s="46" t="str">
        <x:v>butter-like</x:v>
      </x:c>
      <x:c r="J3" s="46" t="str">
        <x:v>yes</x:v>
      </x:c>
      <x:c r="K3" s="46" t="n">
        <x:v>230</x:v>
      </x:c>
      <x:c r="L3" s="46" t="n">
        <x:v>1</x:v>
      </x:c>
      <x:c r="M3" s="46" t="n">
        <x:v>230</x:v>
      </x:c>
      <x:c r="N3" s="46" t="n">
        <x:v>944</x:v>
      </x:c>
      <x:c r="O3" s="46" t="n">
        <x:v>612</x:v>
      </x:c>
      <x:c r="P3" s="46" t="n">
        <x:v>16</x:v>
      </x:c>
      <x:c r="Q3" s="46" t="str">
        <x:v>SIDA_quantified</x:v>
      </x:c>
      <x:c r="R3" s="46" t="str">
        <x:v>sensory_quantitative_not_MR10_detection_table</x:v>
      </x:c>
      <x:c r="S3" s="46" t="str">
        <x:v>positive_culinary_odorant</x:v>
      </x:c>
      <x:c r="T3" s="46"/>
    </x:row>
    <x:row r="4" ht="26.399999618530273" hidden="0" customHeight="1">
      <x:c r="A4" s="46" t="str">
        <x:v>DEG-SCR-003</x:v>
      </x:c>
      <x:c r="B4" s="46" t="str">
        <x:v>egg:whole_chicken</x:v>
      </x:c>
      <x:c r="C4" s="46" t="str">
        <x:v>family:egg</x:v>
      </x:c>
      <x:c r="D4" s="46" t="str">
        <x:v>whole egg composite</x:v>
      </x:c>
      <x:c r="E4" s="46" t="str">
        <x:v>scrambled</x:v>
      </x:c>
      <x:c r="F4" s="46" t="str">
        <x:v>SRC-EGG-SCRAMBLE-SENS-001</x:v>
      </x:c>
      <x:c r="G4" s="46" t="str">
        <x:v>Aldehydes</x:v>
      </x:c>
      <x:c r="H4" s="46" t="str">
        <x:v>3-Methylbutanal</x:v>
      </x:c>
      <x:c r="I4" s="46" t="str">
        <x:v>malty</x:v>
      </x:c>
      <x:c r="J4" s="46" t="str">
        <x:v>yes</x:v>
      </x:c>
      <x:c r="K4" s="46" t="n">
        <x:v>220</x:v>
      </x:c>
      <x:c r="L4" s="46" t="n">
        <x:v>0.5</x:v>
      </x:c>
      <x:c r="M4" s="46" t="n">
        <x:v>439</x:v>
      </x:c>
      <x:c r="N4" s="46" t="n">
        <x:v>917</x:v>
      </x:c>
      <x:c r="O4" s="46" t="n">
        <x:v>710</x:v>
      </x:c>
      <x:c r="P4" s="46" t="n">
        <x:v>64</x:v>
      </x:c>
      <x:c r="Q4" s="46" t="str">
        <x:v>SIDA_quantified</x:v>
      </x:c>
      <x:c r="R4" s="46" t="str">
        <x:v>sensory_quantitative_not_MR10_detection_table</x:v>
      </x:c>
      <x:c r="S4" s="46" t="str">
        <x:v>positive_culinary_odorant</x:v>
      </x:c>
      <x:c r="T4" s="46"/>
    </x:row>
    <x:row r="5" ht="26.399999618530273" hidden="0" customHeight="1">
      <x:c r="A5" s="46" t="str">
        <x:v>DEG-SCR-004</x:v>
      </x:c>
      <x:c r="B5" s="46" t="str">
        <x:v>egg:whole_chicken</x:v>
      </x:c>
      <x:c r="C5" s="46" t="str">
        <x:v>family:egg</x:v>
      </x:c>
      <x:c r="D5" s="46" t="str">
        <x:v>whole egg composite</x:v>
      </x:c>
      <x:c r="E5" s="46" t="str">
        <x:v>scrambled</x:v>
      </x:c>
      <x:c r="F5" s="46" t="str">
        <x:v>SRC-EGG-SCRAMBLE-SENS-001</x:v>
      </x:c>
      <x:c r="G5" s="46" t="str">
        <x:v>Sulfur compounds</x:v>
      </x:c>
      <x:c r="H5" s="46" t="str">
        <x:v>3-(Methylsulfanyl)propanal (methional)</x:v>
      </x:c>
      <x:c r="I5" s="46" t="str">
        <x:v>cooked potato</x:v>
      </x:c>
      <x:c r="J5" s="46" t="str">
        <x:v>yes</x:v>
      </x:c>
      <x:c r="K5" s="46" t="n">
        <x:v>180</x:v>
      </x:c>
      <x:c r="L5" s="46" t="n">
        <x:v>0.43</x:v>
      </x:c>
      <x:c r="M5" s="46" t="n">
        <x:v>418</x:v>
      </x:c>
      <x:c r="N5" s="46" t="n">
        <x:v>1450</x:v>
      </x:c>
      <x:c r="O5" s="46" t="n">
        <x:v>899</x:v>
      </x:c>
      <x:c r="P5" s="46" t="n">
        <x:v>1024</x:v>
      </x:c>
      <x:c r="Q5" s="46" t="str">
        <x:v>SIDA_quantified</x:v>
      </x:c>
      <x:c r="R5" s="46" t="str">
        <x:v>sensory_quantitative_not_MR10_detection_table</x:v>
      </x:c>
      <x:c r="S5" s="46" t="str">
        <x:v>positive_culinary_odorant</x:v>
      </x:c>
      <x:c r="T5" s="46"/>
    </x:row>
    <x:row r="6" ht="26.399999618530273" hidden="0" customHeight="1">
      <x:c r="A6" s="46" t="str">
        <x:v>DEG-SCR-005</x:v>
      </x:c>
      <x:c r="B6" s="46" t="str">
        <x:v>egg:whole_chicken</x:v>
      </x:c>
      <x:c r="C6" s="46" t="str">
        <x:v>family:egg</x:v>
      </x:c>
      <x:c r="D6" s="46" t="str">
        <x:v>whole egg composite</x:v>
      </x:c>
      <x:c r="E6" s="46" t="str">
        <x:v>scrambled</x:v>
      </x:c>
      <x:c r="F6" s="46" t="str">
        <x:v>SRC-EGG-SCRAMBLE-SENS-001</x:v>
      </x:c>
      <x:c r="G6" s="46" t="str">
        <x:v>Aldehydes</x:v>
      </x:c>
      <x:c r="H6" s="46" t="str">
        <x:v>2-Methylbutanal</x:v>
      </x:c>
      <x:c r="I6" s="46" t="str">
        <x:v>malty</x:v>
      </x:c>
      <x:c r="J6" s="46" t="str">
        <x:v>yes</x:v>
      </x:c>
      <x:c r="K6" s="46" t="n">
        <x:v>113</x:v>
      </x:c>
      <x:c r="L6" s="46" t="n">
        <x:v>1.5</x:v>
      </x:c>
      <x:c r="M6" s="46" t="n">
        <x:v>75</x:v>
      </x:c>
      <x:c r="N6" s="46" t="n">
        <x:v>915</x:v>
      </x:c>
      <x:c r="O6" s="46" t="n">
        <x:v>712</x:v>
      </x:c>
      <x:c r="P6" s="46" t="n">
        <x:v>64</x:v>
      </x:c>
      <x:c r="Q6" s="46" t="str">
        <x:v>SIDA_quantified</x:v>
      </x:c>
      <x:c r="R6" s="46" t="str">
        <x:v>sensory_quantitative_not_MR10_detection_table</x:v>
      </x:c>
      <x:c r="S6" s="46" t="str">
        <x:v>positive_culinary_odorant</x:v>
      </x:c>
      <x:c r="T6" s="46"/>
    </x:row>
    <x:row r="7" ht="26.399999618530273" hidden="0" customHeight="1">
      <x:c r="A7" s="46" t="str">
        <x:v>DEG-SCR-006</x:v>
      </x:c>
      <x:c r="B7" s="46" t="str">
        <x:v>egg:whole_chicken</x:v>
      </x:c>
      <x:c r="C7" s="46" t="str">
        <x:v>family:egg</x:v>
      </x:c>
      <x:c r="D7" s="46" t="str">
        <x:v>whole egg composite</x:v>
      </x:c>
      <x:c r="E7" s="46" t="str">
        <x:v>scrambled</x:v>
      </x:c>
      <x:c r="F7" s="46" t="str">
        <x:v>SRC-EGG-SCRAMBLE-SENS-001</x:v>
      </x:c>
      <x:c r="G7" s="46" t="str">
        <x:v>Aldehydes</x:v>
      </x:c>
      <x:c r="H7" s="46" t="str">
        <x:v>Hexanal</x:v>
      </x:c>
      <x:c r="I7" s="46" t="str">
        <x:v>green, grassy</x:v>
      </x:c>
      <x:c r="J7" s="46" t="str">
        <x:v>yes</x:v>
      </x:c>
      <x:c r="K7" s="46" t="n">
        <x:v>112</x:v>
      </x:c>
      <x:c r="L7" s="46" t="n">
        <x:v>2.4</x:v>
      </x:c>
      <x:c r="M7" s="46" t="n">
        <x:v>47</x:v>
      </x:c>
      <x:c r="N7" s="46" t="n">
        <x:v>1072</x:v>
      </x:c>
      <x:c r="O7" s="46" t="n">
        <x:v>792</x:v>
      </x:c>
      <x:c r="P7" s="46" t="n">
        <x:v>64</x:v>
      </x:c>
      <x:c r="Q7" s="46" t="str">
        <x:v>SIDA_quantified</x:v>
      </x:c>
      <x:c r="R7" s="46" t="str">
        <x:v>sensory_quantitative_not_MR10_detection_table</x:v>
      </x:c>
      <x:c r="S7" s="46" t="str">
        <x:v>positive_culinary_odorant</x:v>
      </x:c>
      <x:c r="T7" s="46"/>
    </x:row>
    <x:row r="8" ht="26.399999618530273" hidden="0" customHeight="1">
      <x:c r="A8" s="46" t="str">
        <x:v>DEG-SCR-007</x:v>
      </x:c>
      <x:c r="B8" s="46" t="str">
        <x:v>egg:whole_chicken</x:v>
      </x:c>
      <x:c r="C8" s="46" t="str">
        <x:v>family:egg</x:v>
      </x:c>
      <x:c r="D8" s="46" t="str">
        <x:v>whole egg composite</x:v>
      </x:c>
      <x:c r="E8" s="46" t="str">
        <x:v>scrambled</x:v>
      </x:c>
      <x:c r="F8" s="46" t="str">
        <x:v>SRC-EGG-SCRAMBLE-SENS-001</x:v>
      </x:c>
      <x:c r="G8" s="46" t="str">
        <x:v>Acids</x:v>
      </x:c>
      <x:c r="H8" s="46" t="str">
        <x:v>3-Methylbutanoic acid</x:v>
      </x:c>
      <x:c r="I8" s="46" t="str">
        <x:v>sweaty, cheesy</x:v>
      </x:c>
      <x:c r="J8" s="46" t="str">
        <x:v>yes</x:v>
      </x:c>
      <x:c r="K8" s="46" t="n">
        <x:v>66</x:v>
      </x:c>
      <x:c r="L8" s="46" t="n">
        <x:v>490</x:v>
      </x:c>
      <x:c r="M8" s="46" t="str">
        <x:v>&lt;1</x:v>
      </x:c>
      <x:c r="N8" s="46"/>
      <x:c r="O8" s="46"/>
      <x:c r="P8" s="46"/>
      <x:c r="Q8" s="46" t="str">
        <x:v>SIDA_quantified</x:v>
      </x:c>
      <x:c r="R8" s="46" t="str">
        <x:v>sensory_quantitative_not_MR10_detection_table</x:v>
      </x:c>
      <x:c r="S8" s="46" t="str">
        <x:v>positive_culinary_odorant</x:v>
      </x:c>
      <x:c r="T8" s="46"/>
    </x:row>
    <x:row r="9" ht="26.399999618530273" hidden="0" customHeight="1">
      <x:c r="A9" s="46" t="str">
        <x:v>DEG-SCR-008</x:v>
      </x:c>
      <x:c r="B9" s="46" t="str">
        <x:v>egg:whole_chicken</x:v>
      </x:c>
      <x:c r="C9" s="46" t="str">
        <x:v>family:egg</x:v>
      </x:c>
      <x:c r="D9" s="46" t="str">
        <x:v>whole egg composite</x:v>
      </x:c>
      <x:c r="E9" s="46" t="str">
        <x:v>scrambled</x:v>
      </x:c>
      <x:c r="F9" s="46" t="str">
        <x:v>SRC-EGG-SCRAMBLE-SENS-001</x:v>
      </x:c>
      <x:c r="G9" s="46" t="str">
        <x:v>Heterocycles</x:v>
      </x:c>
      <x:c r="H9" s="46" t="str">
        <x:v>4-Hydroxy-2,5-dimethyl-3(2H)-furanone</x:v>
      </x:c>
      <x:c r="I9" s="46" t="str">
        <x:v>caramel-like</x:v>
      </x:c>
      <x:c r="J9" s="46" t="str">
        <x:v>yes</x:v>
      </x:c>
      <x:c r="K9" s="46" t="n">
        <x:v>34</x:v>
      </x:c>
      <x:c r="L9" s="46" t="n">
        <x:v>53</x:v>
      </x:c>
      <x:c r="M9" s="46" t="str">
        <x:v>&lt;1</x:v>
      </x:c>
      <x:c r="N9" s="46"/>
      <x:c r="O9" s="46"/>
      <x:c r="P9" s="46"/>
      <x:c r="Q9" s="46" t="str">
        <x:v>SIDA_quantified</x:v>
      </x:c>
      <x:c r="R9" s="46" t="str">
        <x:v>sensory_quantitative_not_MR10_detection_table</x:v>
      </x:c>
      <x:c r="S9" s="46" t="str">
        <x:v>positive_culinary_odorant</x:v>
      </x:c>
      <x:c r="T9" s="46"/>
    </x:row>
    <x:row r="10" ht="26.399999618530273" hidden="0" customHeight="1">
      <x:c r="A10" s="46" t="str">
        <x:v>DEG-SCR-009</x:v>
      </x:c>
      <x:c r="B10" s="46" t="str">
        <x:v>egg:whole_chicken</x:v>
      </x:c>
      <x:c r="C10" s="46" t="str">
        <x:v>family:egg</x:v>
      </x:c>
      <x:c r="D10" s="46" t="str">
        <x:v>whole egg composite</x:v>
      </x:c>
      <x:c r="E10" s="46" t="str">
        <x:v>scrambled</x:v>
      </x:c>
      <x:c r="F10" s="46" t="str">
        <x:v>SRC-EGG-SCRAMBLE-SENS-001</x:v>
      </x:c>
      <x:c r="G10" s="46" t="str">
        <x:v>Acids</x:v>
      </x:c>
      <x:c r="H10" s="46" t="str">
        <x:v>2-Methylbutanoic acid</x:v>
      </x:c>
      <x:c r="I10" s="46" t="str">
        <x:v>sweaty, cheesy</x:v>
      </x:c>
      <x:c r="J10" s="46" t="str">
        <x:v>yes</x:v>
      </x:c>
      <x:c r="K10" s="46" t="n">
        <x:v>24</x:v>
      </x:c>
      <x:c r="L10" s="46" t="n">
        <x:v>3100</x:v>
      </x:c>
      <x:c r="M10" s="46" t="str">
        <x:v>&lt;1</x:v>
      </x:c>
      <x:c r="N10" s="46"/>
      <x:c r="O10" s="46"/>
      <x:c r="P10" s="46"/>
      <x:c r="Q10" s="46" t="str">
        <x:v>SIDA_quantified</x:v>
      </x:c>
      <x:c r="R10" s="46" t="str">
        <x:v>sensory_quantitative_not_MR10_detection_table</x:v>
      </x:c>
      <x:c r="S10" s="46" t="str">
        <x:v>positive_culinary_odorant</x:v>
      </x:c>
      <x:c r="T10" s="46"/>
    </x:row>
    <x:row r="11" ht="26.399999618530273" hidden="0" customHeight="1">
      <x:c r="A11" s="46" t="str">
        <x:v>DEG-SCR-010</x:v>
      </x:c>
      <x:c r="B11" s="46" t="str">
        <x:v>egg:whole_chicken</x:v>
      </x:c>
      <x:c r="C11" s="46" t="str">
        <x:v>family:egg</x:v>
      </x:c>
      <x:c r="D11" s="46" t="str">
        <x:v>whole egg composite</x:v>
      </x:c>
      <x:c r="E11" s="46" t="str">
        <x:v>scrambled</x:v>
      </x:c>
      <x:c r="F11" s="46" t="str">
        <x:v>SRC-EGG-SCRAMBLE-SENS-001</x:v>
      </x:c>
      <x:c r="G11" s="46" t="str">
        <x:v>Phenols</x:v>
      </x:c>
      <x:c r="H11" s="46" t="str">
        <x:v>4-Methylphenol (p-cresol)</x:v>
      </x:c>
      <x:c r="I11" s="46" t="str">
        <x:v>smoky, horse stable-like</x:v>
      </x:c>
      <x:c r="J11" s="46" t="str">
        <x:v>yes</x:v>
      </x:c>
      <x:c r="K11" s="46" t="n">
        <x:v>14</x:v>
      </x:c>
      <x:c r="L11" s="46" t="n">
        <x:v>3.9</x:v>
      </x:c>
      <x:c r="M11" s="46" t="n">
        <x:v>3.7</x:v>
      </x:c>
      <x:c r="N11" s="46"/>
      <x:c r="O11" s="46"/>
      <x:c r="P11" s="46"/>
      <x:c r="Q11" s="46" t="str">
        <x:v>SIDA_quantified</x:v>
      </x:c>
      <x:c r="R11" s="46" t="str">
        <x:v>sensory_quantitative_not_MR10_detection_table</x:v>
      </x:c>
      <x:c r="S11" s="46" t="str">
        <x:v>positive_culinary_odorant</x:v>
      </x:c>
      <x:c r="T11" s="46"/>
    </x:row>
    <x:row r="12" ht="26.399999618530273" hidden="0" customHeight="1">
      <x:c r="A12" s="46" t="str">
        <x:v>DEG-SCR-011</x:v>
      </x:c>
      <x:c r="B12" s="46" t="str">
        <x:v>egg:whole_chicken</x:v>
      </x:c>
      <x:c r="C12" s="46" t="str">
        <x:v>family:egg</x:v>
      </x:c>
      <x:c r="D12" s="46" t="str">
        <x:v>whole egg composite</x:v>
      </x:c>
      <x:c r="E12" s="46" t="str">
        <x:v>scrambled</x:v>
      </x:c>
      <x:c r="F12" s="46" t="str">
        <x:v>SRC-EGG-SCRAMBLE-SENS-001</x:v>
      </x:c>
      <x:c r="G12" s="46" t="str">
        <x:v>Aldehydes</x:v>
      </x:c>
      <x:c r="H12" s="46" t="str">
        <x:v>Octanal</x:v>
      </x:c>
      <x:c r="I12" s="46" t="str">
        <x:v>green</x:v>
      </x:c>
      <x:c r="J12" s="46" t="str">
        <x:v>yes</x:v>
      </x:c>
      <x:c r="K12" s="46" t="n">
        <x:v>12</x:v>
      </x:c>
      <x:c r="L12" s="46" t="n">
        <x:v>3.4</x:v>
      </x:c>
      <x:c r="M12" s="46" t="n">
        <x:v>3.5</x:v>
      </x:c>
      <x:c r="N12" s="46" t="n">
        <x:v>1278</x:v>
      </x:c>
      <x:c r="O12" s="46" t="n">
        <x:v>1002</x:v>
      </x:c>
      <x:c r="P12" s="46" t="n">
        <x:v>32</x:v>
      </x:c>
      <x:c r="Q12" s="46" t="str">
        <x:v>SIDA_quantified</x:v>
      </x:c>
      <x:c r="R12" s="46" t="str">
        <x:v>sensory_quantitative_not_MR10_detection_table</x:v>
      </x:c>
      <x:c r="S12" s="46" t="str">
        <x:v>positive_culinary_odorant</x:v>
      </x:c>
      <x:c r="T12" s="46"/>
    </x:row>
    <x:row r="13" ht="26.399999618530273" hidden="0" customHeight="1">
      <x:c r="A13" s="46" t="str">
        <x:v>DEG-SCR-012</x:v>
      </x:c>
      <x:c r="B13" s="46" t="str">
        <x:v>egg:whole_chicken</x:v>
      </x:c>
      <x:c r="C13" s="46" t="str">
        <x:v>family:egg</x:v>
      </x:c>
      <x:c r="D13" s="46" t="str">
        <x:v>whole egg composite</x:v>
      </x:c>
      <x:c r="E13" s="46" t="str">
        <x:v>scrambled</x:v>
      </x:c>
      <x:c r="F13" s="46" t="str">
        <x:v>SRC-EGG-SCRAMBLE-SENS-001</x:v>
      </x:c>
      <x:c r="G13" s="46" t="str">
        <x:v>Pyrazines</x:v>
      </x:c>
      <x:c r="H13" s="46" t="str">
        <x:v>2-Ethyl-3,5-dimethylpyrazine</x:v>
      </x:c>
      <x:c r="I13" s="46" t="str">
        <x:v>earthy</x:v>
      </x:c>
      <x:c r="J13" s="46" t="str">
        <x:v>yes</x:v>
      </x:c>
      <x:c r="K13" s="46" t="n">
        <x:v>8.3</x:v>
      </x:c>
      <x:c r="L13" s="46" t="n">
        <x:v>0.28</x:v>
      </x:c>
      <x:c r="M13" s="46" t="n">
        <x:v>30</x:v>
      </x:c>
      <x:c r="N13" s="46" t="n">
        <x:v>1440</x:v>
      </x:c>
      <x:c r="O13" s="46" t="n">
        <x:v>1073</x:v>
      </x:c>
      <x:c r="P13" s="46" t="n">
        <x:v>8</x:v>
      </x:c>
      <x:c r="Q13" s="46" t="str">
        <x:v>SIDA_quantified</x:v>
      </x:c>
      <x:c r="R13" s="46" t="str">
        <x:v>sensory_quantitative_not_MR10_detection_table</x:v>
      </x:c>
      <x:c r="S13" s="46" t="str">
        <x:v>positive_culinary_odorant</x:v>
      </x:c>
      <x:c r="T13" s="46"/>
    </x:row>
    <x:row r="14" ht="26.399999618530273" hidden="0" customHeight="1">
      <x:c r="A14" s="46" t="str">
        <x:v>DEG-SCR-013</x:v>
      </x:c>
      <x:c r="B14" s="46" t="str">
        <x:v>egg:whole_chicken</x:v>
      </x:c>
      <x:c r="C14" s="46" t="str">
        <x:v>family:egg</x:v>
      </x:c>
      <x:c r="D14" s="46" t="str">
        <x:v>whole egg composite</x:v>
      </x:c>
      <x:c r="E14" s="46" t="str">
        <x:v>scrambled</x:v>
      </x:c>
      <x:c r="F14" s="46" t="str">
        <x:v>SRC-EGG-SCRAMBLE-SENS-001</x:v>
      </x:c>
      <x:c r="G14" s="46" t="str">
        <x:v>Aldehydes</x:v>
      </x:c>
      <x:c r="H14" s="46" t="str">
        <x:v>(E,Z)-2,6-Nonadienal</x:v>
      </x:c>
      <x:c r="I14" s="46" t="str">
        <x:v>cucumber-like</x:v>
      </x:c>
      <x:c r="J14" s="46" t="str">
        <x:v>yes</x:v>
      </x:c>
      <x:c r="K14" s="46" t="n">
        <x:v>5.7</x:v>
      </x:c>
      <x:c r="L14" s="46" t="n">
        <x:v>0.0045</x:v>
      </x:c>
      <x:c r="M14" s="46" t="n">
        <x:v>1274</x:v>
      </x:c>
      <x:c r="N14" s="46"/>
      <x:c r="O14" s="46"/>
      <x:c r="P14" s="46"/>
      <x:c r="Q14" s="46" t="str">
        <x:v>SIDA_quantified</x:v>
      </x:c>
      <x:c r="R14" s="46" t="str">
        <x:v>sensory_quantitative_not_MR10_detection_table</x:v>
      </x:c>
      <x:c r="S14" s="46" t="str">
        <x:v>positive_culinary_odorant</x:v>
      </x:c>
      <x:c r="T14" s="46"/>
    </x:row>
    <x:row r="15" ht="26.399999618530273" hidden="0" customHeight="1">
      <x:c r="A15" s="46" t="str">
        <x:v>DEG-SCR-014</x:v>
      </x:c>
      <x:c r="B15" s="46" t="str">
        <x:v>egg:whole_chicken</x:v>
      </x:c>
      <x:c r="C15" s="46" t="str">
        <x:v>family:egg</x:v>
      </x:c>
      <x:c r="D15" s="46" t="str">
        <x:v>whole egg composite</x:v>
      </x:c>
      <x:c r="E15" s="46" t="str">
        <x:v>scrambled</x:v>
      </x:c>
      <x:c r="F15" s="46" t="str">
        <x:v>SRC-EGG-SCRAMBLE-SENS-001</x:v>
      </x:c>
      <x:c r="G15" s="46" t="str">
        <x:v>Sulfur compounds</x:v>
      </x:c>
      <x:c r="H15" s="46" t="str">
        <x:v>Methanethiol</x:v>
      </x:c>
      <x:c r="I15" s="46" t="str">
        <x:v>sulfury</x:v>
      </x:c>
      <x:c r="J15" s="46" t="str">
        <x:v>yes</x:v>
      </x:c>
      <x:c r="K15" s="46" t="n">
        <x:v>5.6</x:v>
      </x:c>
      <x:c r="L15" s="46" t="n">
        <x:v>0.59</x:v>
      </x:c>
      <x:c r="M15" s="46" t="n">
        <x:v>10</x:v>
      </x:c>
      <x:c r="N15" s="46"/>
      <x:c r="O15" s="46"/>
      <x:c r="P15" s="46"/>
      <x:c r="Q15" s="46" t="str">
        <x:v>headspace_semquant</x:v>
      </x:c>
      <x:c r="R15" s="46" t="str">
        <x:v>sensory_quantitative_not_MR10_detection_table</x:v>
      </x:c>
      <x:c r="S15" s="46" t="str">
        <x:v>positive_culinary_odorant</x:v>
      </x:c>
      <x:c r="T15" s="46" t="str">
        <x:v>Hydrogen sulfide and methanethiol are direct cooked-egg culinary measurements; MR-14 does not classify them as spoilage-only compounds.</x:v>
      </x:c>
    </x:row>
    <x:row r="16" ht="26.399999618530273" hidden="0" customHeight="1">
      <x:c r="A16" s="46" t="str">
        <x:v>DEG-SCR-015</x:v>
      </x:c>
      <x:c r="B16" s="46" t="str">
        <x:v>egg:whole_chicken</x:v>
      </x:c>
      <x:c r="C16" s="46" t="str">
        <x:v>family:egg</x:v>
      </x:c>
      <x:c r="D16" s="46" t="str">
        <x:v>whole egg composite</x:v>
      </x:c>
      <x:c r="E16" s="46" t="str">
        <x:v>scrambled</x:v>
      </x:c>
      <x:c r="F16" s="46" t="str">
        <x:v>SRC-EGG-SCRAMBLE-SENS-001</x:v>
      </x:c>
      <x:c r="G16" s="46" t="str">
        <x:v>Aldehydes</x:v>
      </x:c>
      <x:c r="H16" s="46" t="str">
        <x:v>(E)-2-Nonenal</x:v>
      </x:c>
      <x:c r="I16" s="46" t="str">
        <x:v>cardboard-like, fatty</x:v>
      </x:c>
      <x:c r="J16" s="46" t="str">
        <x:v>yes</x:v>
      </x:c>
      <x:c r="K16" s="46" t="n">
        <x:v>3.8</x:v>
      </x:c>
      <x:c r="L16" s="46" t="n">
        <x:v>0.19</x:v>
      </x:c>
      <x:c r="M16" s="46" t="n">
        <x:v>20</x:v>
      </x:c>
      <x:c r="N16" s="46"/>
      <x:c r="O16" s="46"/>
      <x:c r="P16" s="46"/>
      <x:c r="Q16" s="46" t="str">
        <x:v>SIDA_quantified</x:v>
      </x:c>
      <x:c r="R16" s="46" t="str">
        <x:v>sensory_quantitative_not_MR10_detection_table</x:v>
      </x:c>
      <x:c r="S16" s="46" t="str">
        <x:v>positive_culinary_odorant</x:v>
      </x:c>
      <x:c r="T16" s="46"/>
    </x:row>
    <x:row r="17" ht="26.399999618530273" hidden="0" customHeight="1">
      <x:c r="A17" s="46" t="str">
        <x:v>DEG-SCR-016</x:v>
      </x:c>
      <x:c r="B17" s="46" t="str">
        <x:v>egg:whole_chicken</x:v>
      </x:c>
      <x:c r="C17" s="46" t="str">
        <x:v>family:egg</x:v>
      </x:c>
      <x:c r="D17" s="46" t="str">
        <x:v>whole egg composite</x:v>
      </x:c>
      <x:c r="E17" s="46" t="str">
        <x:v>scrambled</x:v>
      </x:c>
      <x:c r="F17" s="46" t="str">
        <x:v>SRC-EGG-SCRAMBLE-SENS-001</x:v>
      </x:c>
      <x:c r="G17" s="46" t="str">
        <x:v>Ketones</x:v>
      </x:c>
      <x:c r="H17" s="46" t="str">
        <x:v>1-Octen-3-one</x:v>
      </x:c>
      <x:c r="I17" s="46" t="str">
        <x:v>mushroom-like</x:v>
      </x:c>
      <x:c r="J17" s="46" t="str">
        <x:v>yes</x:v>
      </x:c>
      <x:c r="K17" s="46" t="n">
        <x:v>1</x:v>
      </x:c>
      <x:c r="L17" s="46" t="n">
        <x:v>0.016</x:v>
      </x:c>
      <x:c r="M17" s="46" t="n">
        <x:v>63</x:v>
      </x:c>
      <x:c r="N17" s="46" t="n">
        <x:v>1295</x:v>
      </x:c>
      <x:c r="O17" s="46" t="n">
        <x:v>977</x:v>
      </x:c>
      <x:c r="P17" s="46" t="n">
        <x:v>128</x:v>
      </x:c>
      <x:c r="Q17" s="46" t="str">
        <x:v>SIDA_quantified</x:v>
      </x:c>
      <x:c r="R17" s="46" t="str">
        <x:v>sensory_quantitative_not_MR10_detection_table</x:v>
      </x:c>
      <x:c r="S17" s="46" t="str">
        <x:v>positive_culinary_odorant</x:v>
      </x:c>
      <x:c r="T17" s="46"/>
    </x:row>
    <x:row r="18" ht="26.399999618530273" hidden="0" customHeight="1">
      <x:c r="A18" s="46" t="str">
        <x:v>DEG-SCR-017</x:v>
      </x:c>
      <x:c r="B18" s="46" t="str">
        <x:v>egg:whole_chicken</x:v>
      </x:c>
      <x:c r="C18" s="46" t="str">
        <x:v>family:egg</x:v>
      </x:c>
      <x:c r="D18" s="46" t="str">
        <x:v>whole egg composite</x:v>
      </x:c>
      <x:c r="E18" s="46" t="str">
        <x:v>scrambled</x:v>
      </x:c>
      <x:c r="F18" s="46" t="str">
        <x:v>SRC-EGG-SCRAMBLE-SENS-001</x:v>
      </x:c>
      <x:c r="G18" s="46" t="str">
        <x:v>Pyrazines</x:v>
      </x:c>
      <x:c r="H18" s="46" t="str">
        <x:v>2,3-Diethyl-5-methylpyrazine</x:v>
      </x:c>
      <x:c r="I18" s="46" t="str">
        <x:v>earthy, roasty</x:v>
      </x:c>
      <x:c r="J18" s="46" t="str">
        <x:v>yes</x:v>
      </x:c>
      <x:c r="K18" s="46" t="n">
        <x:v>0.04</x:v>
      </x:c>
      <x:c r="L18" s="46" t="n">
        <x:v>0.031</x:v>
      </x:c>
      <x:c r="M18" s="46" t="n">
        <x:v>1.2</x:v>
      </x:c>
      <x:c r="N18" s="46" t="n">
        <x:v>1481</x:v>
      </x:c>
      <x:c r="O18" s="46" t="n">
        <x:v>1155</x:v>
      </x:c>
      <x:c r="P18" s="46" t="n">
        <x:v>8</x:v>
      </x:c>
      <x:c r="Q18" s="46" t="str">
        <x:v>SIDA_quantified</x:v>
      </x:c>
      <x:c r="R18" s="46" t="str">
        <x:v>sensory_quantitative_not_MR10_detection_table</x:v>
      </x:c>
      <x:c r="S18" s="46" t="str">
        <x:v>positive_culinary_odorant</x:v>
      </x:c>
      <x:c r="T18" s="46"/>
    </x:row>
    <x:row r="19" ht="26.399999618530273" hidden="0" customHeight="1">
      <x:c r="A19" s="46" t="str">
        <x:v>DEG-SCR-018</x:v>
      </x:c>
      <x:c r="B19" s="46" t="str">
        <x:v>egg:whole_chicken</x:v>
      </x:c>
      <x:c r="C19" s="46" t="str">
        <x:v>family:egg</x:v>
      </x:c>
      <x:c r="D19" s="46" t="str">
        <x:v>whole egg composite</x:v>
      </x:c>
      <x:c r="E19" s="46" t="str">
        <x:v>scrambled</x:v>
      </x:c>
      <x:c r="F19" s="46" t="str">
        <x:v>SRC-EGG-SCRAMBLE-SENS-001</x:v>
      </x:c>
      <x:c r="G19" s="46" t="str">
        <x:v>Pyrazines</x:v>
      </x:c>
      <x:c r="H19" s="46" t="str">
        <x:v>2-Ethyl-3,6-dimethylpyrazine</x:v>
      </x:c>
      <x:c r="I19" s="46" t="str">
        <x:v>earthy</x:v>
      </x:c>
      <x:c r="J19" s="46" t="str">
        <x:v>no</x:v>
      </x:c>
      <x:c r="K19" s="46"/>
      <x:c r="L19" s="46" t="n">
        <x:v>25</x:v>
      </x:c>
      <x:c r="M19" s="46"/>
      <x:c r="N19" s="46" t="n">
        <x:v>1436</x:v>
      </x:c>
      <x:c r="O19" s="46" t="n">
        <x:v>1060</x:v>
      </x:c>
      <x:c r="P19" s="46" t="n">
        <x:v>8</x:v>
      </x:c>
      <x:c r="Q19" s="46" t="str">
        <x:v>AEDA_target_not_quantified_in_chicken</x:v>
      </x:c>
      <x:c r="R19" s="46" t="str">
        <x:v>sensory_quantitative_not_MR10_detection_table</x:v>
      </x:c>
      <x:c r="S19" s="46" t="str">
        <x:v>target_not_detected_or_not_quantified</x:v>
      </x:c>
      <x:c r="T19" s="46"/>
    </x:row>
    <x:row r="20" ht="26.399999618530273" hidden="0" customHeight="1">
      <x:c r="A20" s="46" t="str">
        <x:v>DEG-SCR-019</x:v>
      </x:c>
      <x:c r="B20" s="46" t="str">
        <x:v>egg:whole_chicken</x:v>
      </x:c>
      <x:c r="C20" s="46" t="str">
        <x:v>family:egg</x:v>
      </x:c>
      <x:c r="D20" s="46" t="str">
        <x:v>whole egg composite</x:v>
      </x:c>
      <x:c r="E20" s="46" t="str">
        <x:v>scrambled</x:v>
      </x:c>
      <x:c r="F20" s="46" t="str">
        <x:v>SRC-EGG-SCRAMBLE-SENS-001</x:v>
      </x:c>
      <x:c r="G20" s="46" t="str">
        <x:v>Aldehydes</x:v>
      </x:c>
      <x:c r="H20" s="46" t="str">
        <x:v>trans-4,5-Epoxy-(E)-2-decenal</x:v>
      </x:c>
      <x:c r="I20" s="46" t="str">
        <x:v>metallic-like</x:v>
      </x:c>
      <x:c r="J20" s="46" t="str">
        <x:v>no</x:v>
      </x:c>
      <x:c r="K20" s="46"/>
      <x:c r="L20" s="46" t="n">
        <x:v>0.22</x:v>
      </x:c>
      <x:c r="M20" s="46"/>
      <x:c r="N20" s="46"/>
      <x:c r="O20" s="46"/>
      <x:c r="P20" s="46"/>
      <x:c r="Q20" s="46" t="str">
        <x:v>AEDA_target_not_quantified_in_chicken</x:v>
      </x:c>
      <x:c r="R20" s="46" t="str">
        <x:v>sensory_quantitative_not_MR10_detection_table</x:v>
      </x:c>
      <x:c r="S20" s="46" t="str">
        <x:v>target_not_detected_or_not_quantified</x:v>
      </x:c>
      <x:c r="T20" s="46"/>
    </x:row>
    <x:row r="21" ht="26.399999618530273" hidden="0" customHeight="1">
      <x:c r="A21" s="46" t="str">
        <x:v>DEG-SCR-020</x:v>
      </x:c>
      <x:c r="B21" s="46" t="str">
        <x:v>egg:whole_chicken</x:v>
      </x:c>
      <x:c r="C21" s="46" t="str">
        <x:v>family:egg</x:v>
      </x:c>
      <x:c r="D21" s="46" t="str">
        <x:v>whole egg composite</x:v>
      </x:c>
      <x:c r="E21" s="46" t="str">
        <x:v>scrambled</x:v>
      </x:c>
      <x:c r="F21" s="46" t="str">
        <x:v>SRC-EGG-SCRAMBLE-SENS-001</x:v>
      </x:c>
      <x:c r="G21" s="46" t="str">
        <x:v>Heterocycles</x:v>
      </x:c>
      <x:c r="H21" s="46" t="str">
        <x:v>3-Hydroxy-4,5-dimethyl-2(5H)-furanone (sotolon)</x:v>
      </x:c>
      <x:c r="I21" s="46" t="str">
        <x:v>seasoning</x:v>
      </x:c>
      <x:c r="J21" s="46" t="str">
        <x:v>no</x:v>
      </x:c>
      <x:c r="K21" s="46"/>
      <x:c r="L21" s="46" t="n">
        <x:v>1.7</x:v>
      </x:c>
      <x:c r="M21" s="46"/>
      <x:c r="N21" s="46"/>
      <x:c r="O21" s="46"/>
      <x:c r="P21" s="46"/>
      <x:c r="Q21" s="46" t="str">
        <x:v>AEDA_target_not_quantified_in_chicken</x:v>
      </x:c>
      <x:c r="R21" s="46" t="str">
        <x:v>sensory_quantitative_not_MR10_detection_table</x:v>
      </x:c>
      <x:c r="S21" s="46" t="str">
        <x:v>target_not_detected_or_not_quantified</x:v>
      </x:c>
      <x:c r="T21" s="46"/>
    </x:row>
    <x:row r="22" ht="26.399999618530273" hidden="0" customHeight="1">
      <x:c r="A22" s="46" t="str">
        <x:v>DEG-SCR-021</x:v>
      </x:c>
      <x:c r="B22" s="46" t="str">
        <x:v>egg:whole_chicken</x:v>
      </x:c>
      <x:c r="C22" s="46" t="str">
        <x:v>family:egg</x:v>
      </x:c>
      <x:c r="D22" s="46" t="str">
        <x:v>whole egg composite</x:v>
      </x:c>
      <x:c r="E22" s="46" t="str">
        <x:v>scrambled</x:v>
      </x:c>
      <x:c r="F22" s="46" t="str">
        <x:v>SRC-EGG-SCRAMBLE-SENS-001</x:v>
      </x:c>
      <x:c r="G22" s="46" t="str">
        <x:v>Acids</x:v>
      </x:c>
      <x:c r="H22" s="46" t="str">
        <x:v>Acetic acid</x:v>
      </x:c>
      <x:c r="I22" s="46" t="str">
        <x:v>vinegar-like</x:v>
      </x:c>
      <x:c r="J22" s="46" t="str">
        <x:v>no</x:v>
      </x:c>
      <x:c r="K22" s="46"/>
      <x:c r="L22" s="46" t="n">
        <x:v>5600</x:v>
      </x:c>
      <x:c r="M22" s="46"/>
      <x:c r="N22" s="46" t="n">
        <x:v>1436</x:v>
      </x:c>
      <x:c r="O22" s="46" t="n">
        <x:v>618</x:v>
      </x:c>
      <x:c r="P22" s="46" t="n">
        <x:v>0</x:v>
      </x:c>
      <x:c r="Q22" s="46" t="str">
        <x:v>AEDA_target_not_quantified_in_chicken</x:v>
      </x:c>
      <x:c r="R22" s="46" t="str">
        <x:v>sensory_quantitative_not_MR10_detection_table</x:v>
      </x:c>
      <x:c r="S22" s="46" t="str">
        <x:v>target_not_detected_or_not_quantified</x:v>
      </x:c>
      <x:c r="T22" s="46"/>
    </x:row>
    <x:row r="23" ht="26.399999618530273" hidden="0" customHeight="1">
      <x:c r="A23" s="46" t="str">
        <x:v>DEG-SCR-022</x:v>
      </x:c>
      <x:c r="B23" s="46" t="str">
        <x:v>egg:whole_chicken</x:v>
      </x:c>
      <x:c r="C23" s="46" t="str">
        <x:v>family:egg</x:v>
      </x:c>
      <x:c r="D23" s="46" t="str">
        <x:v>whole egg composite</x:v>
      </x:c>
      <x:c r="E23" s="46" t="str">
        <x:v>scrambled</x:v>
      </x:c>
      <x:c r="F23" s="46" t="str">
        <x:v>SRC-EGG-SCRAMBLE-SENS-001</x:v>
      </x:c>
      <x:c r="G23" s="46" t="str">
        <x:v>Heterocycles</x:v>
      </x:c>
      <x:c r="H23" s="46" t="str">
        <x:v>2-Acetyl-1-pyrroline</x:v>
      </x:c>
      <x:c r="I23" s="46" t="str">
        <x:v>roasty, popcorn-like</x:v>
      </x:c>
      <x:c r="J23" s="46" t="str">
        <x:v>no</x:v>
      </x:c>
      <x:c r="K23" s="46"/>
      <x:c r="L23" s="46" t="n">
        <x:v>0.053</x:v>
      </x:c>
      <x:c r="M23" s="46"/>
      <x:c r="N23" s="46" t="n">
        <x:v>1324</x:v>
      </x:c>
      <x:c r="O23" s="46" t="n">
        <x:v>917</x:v>
      </x:c>
      <x:c r="P23" s="46" t="n">
        <x:v>32</x:v>
      </x:c>
      <x:c r="Q23" s="46" t="str">
        <x:v>AEDA_target_not_quantified_in_chicken</x:v>
      </x:c>
      <x:c r="R23" s="46" t="str">
        <x:v>sensory_quantitative_not_MR10_detection_table</x:v>
      </x:c>
      <x:c r="S23" s="46" t="str">
        <x:v>target_not_detected_or_not_quantified</x:v>
      </x:c>
      <x:c r="T23" s="46"/>
    </x:row>
  </x:sheetData>
  <x:pageMargins left="0.7" right="0.7" top="0.75" bottom="0.75" header="0.3" footer="0.3"/>
  <x:tableParts count="1">
    <x:tablePart xmlns:r="http://schemas.openxmlformats.org/officeDocument/2006/relationships" r:id="R72016623e3894342"/>
  </x:tableParts>
</x:worksheet>
</file>

<file path=xl/worksheets/sheet91.xml><?xml version="1.0" encoding="utf-8"?>
<x:worksheet xmlns:x="http://schemas.openxmlformats.org/spreadsheetml/2006/main">
  <x:sheetFormatPr defaultRowHeight="15"/>
  <x:cols>
    <x:col min="1" max="1" width="15" hidden="0" customWidth="1"/>
    <x:col min="2" max="2" width="28" hidden="0" customWidth="1"/>
    <x:col min="3" max="3" width="22" hidden="0" customWidth="1"/>
    <x:col min="4" max="4" width="22" hidden="0" customWidth="1"/>
    <x:col min="5" max="5" width="30" hidden="0" customWidth="1"/>
    <x:col min="6" max="6" width="34" hidden="0" customWidth="1"/>
    <x:col min="7" max="7" width="65" hidden="0" customWidth="1"/>
    <x:col min="8" max="8" width="82" hidden="0" customWidth="1"/>
    <x:col min="9" max="9" width="52" hidden="0" customWidth="1"/>
    <x:col min="10" max="10" width="32" hidden="0" customWidth="1"/>
    <x:col min="11" max="11" width="78" hidden="0" customWidth="1"/>
  </x:cols>
  <x:sheetData>
    <x:row r="1" ht="15" hidden="0" customHeight="1">
      <x:c r="A1" s="245" t="str">
        <x:v>evidence_id</x:v>
      </x:c>
      <x:c r="B1" s="245" t="str">
        <x:v>product_id</x:v>
      </x:c>
      <x:c r="C1" s="245" t="str">
        <x:v>material_role</x:v>
      </x:c>
      <x:c r="D1" s="245" t="str">
        <x:v>state</x:v>
      </x:c>
      <x:c r="E1" s="245" t="str">
        <x:v>source_id</x:v>
      </x:c>
      <x:c r="F1" s="245" t="str">
        <x:v>source_scope</x:v>
      </x:c>
      <x:c r="G1" s="245" t="str">
        <x:v>compound_or_class</x:v>
      </x:c>
      <x:c r="H1" s="245" t="str">
        <x:v>direct_result</x:v>
      </x:c>
      <x:c r="I1" s="245" t="str">
        <x:v>identification_quality</x:v>
      </x:c>
      <x:c r="J1" s="245" t="str">
        <x:v>mr10_status</x:v>
      </x:c>
      <x:c r="K1" s="245" t="str">
        <x:v>notes</x:v>
      </x:c>
    </x:row>
    <x:row r="2" ht="26.399999618530273" hidden="0" customHeight="1">
      <x:c r="A2" s="46" t="str">
        <x:v>EYT-001</x:v>
      </x:c>
      <x:c r="B2" s="46" t="str">
        <x:v>egg:yolk_chicken</x:v>
      </x:c>
      <x:c r="C2" s="46" t="str">
        <x:v>yolk_carrier</x:v>
      </x:c>
      <x:c r="D2" s="46" t="str">
        <x:v>raw / boiled / fried</x:v>
      </x:c>
      <x:c r="E2" s="46" t="str">
        <x:v>SRC-EGG-YOLK-THERMAL-001</x:v>
      </x:c>
      <x:c r="F2" s="46" t="str">
        <x:v>68-VOC experiment union</x:v>
      </x:c>
      <x:c r="G2" s="46" t="str">
        <x:v>68 volatile compounds</x:v>
      </x:c>
      <x:c r="H2" s="46" t="str">
        <x:v>68 VOCs identified across raw, 100°C-boiled and 200°C-fried yolks.</x:v>
      </x:c>
      <x:c r="I2" s="46" t="str">
        <x:v>NIST14 + RI; source inclusion floor match/reverse-match &gt;700/1000, below MR-09 ≥80 floor</x:v>
      </x:c>
      <x:c r="J2" s="46" t="str">
        <x:v>full_supplement_pending</x:v>
      </x:c>
      <x:c r="K2" s="46" t="str">
        <x:v>Do not globally mark 68 rows MR-09-pass without the per-row match scores in Table S2.</x:v>
      </x:c>
    </x:row>
    <x:row r="3" ht="15" hidden="0" customHeight="1">
      <x:c r="A3" s="46" t="str">
        <x:v>EYT-002</x:v>
      </x:c>
      <x:c r="B3" s="46" t="str">
        <x:v>egg:yolk_chicken</x:v>
      </x:c>
      <x:c r="C3" s="46" t="str">
        <x:v>yolk_carrier</x:v>
      </x:c>
      <x:c r="D3" s="46" t="str">
        <x:v>boiled</x:v>
      </x:c>
      <x:c r="E3" s="46" t="str">
        <x:v>SRC-EGG-YOLK-THERMAL-001</x:v>
      </x:c>
      <x:c r="F3" s="46" t="str">
        <x:v>key-flavor conclusion</x:v>
      </x:c>
      <x:c r="G3" s="46" t="str">
        <x:v>Hexanal; 2-pentylfuran; 2-butanone; 3-methylbutanal; heptane</x:v>
      </x:c>
      <x:c r="H3" s="46" t="str">
        <x:v>These five compounds are identified by the source as the principal flavor contributors of boiled yolk.</x:v>
      </x:c>
      <x:c r="I3" s="46" t="str">
        <x:v>source key-flavor layer</x:v>
      </x:c>
      <x:c r="J3" s="46" t="str">
        <x:v>sensory_key_layer</x:v>
      </x:c>
      <x:c r="K3" s="46" t="str">
        <x:v>Boiled yolk is dominated by lipid-oxidation-derived chemistry in this study.</x:v>
      </x:c>
    </x:row>
    <x:row r="4" ht="26.399999618530273" hidden="0" customHeight="1">
      <x:c r="A4" s="46" t="str">
        <x:v>EYT-003</x:v>
      </x:c>
      <x:c r="B4" s="46" t="str">
        <x:v>egg:yolk_chicken</x:v>
      </x:c>
      <x:c r="C4" s="46" t="str">
        <x:v>yolk_carrier</x:v>
      </x:c>
      <x:c r="D4" s="46" t="str">
        <x:v>fried</x:v>
      </x:c>
      <x:c r="E4" s="46" t="str">
        <x:v>SRC-EGG-YOLK-THERMAL-001</x:v>
      </x:c>
      <x:c r="F4" s="46" t="str">
        <x:v>high-heat key-flavor conclusion</x:v>
      </x:c>
      <x:c r="G4" s="46" t="str">
        <x:v>2-ethyl-3-methylpyrazine; 3-ethyl-2,5-dimethylpyrazine; 2-ethyl-3,5-dimethylpyrazine; nonanal; 2,3-diethyl-5-methylpyrazine</x:v>
      </x:c>
      <x:c r="H4" s="46" t="str">
        <x:v>The five strongest highlighted members of a 14-compound fried-yolk flavor set; baked/burnt-sugar character.</x:v>
      </x:c>
      <x:c r="I4" s="46" t="str">
        <x:v>GC-O-MS + source differential analysis</x:v>
      </x:c>
      <x:c r="J4" s="46" t="str">
        <x:v>sensory_key_layer</x:v>
      </x:c>
      <x:c r="K4" s="46" t="str">
        <x:v>High heat shifts yolk from mainly lipid oxidation toward pyrazine/Maillard plus aldehyde chemistry.</x:v>
      </x:c>
    </x:row>
    <x:row r="5" ht="26.399999618530273" hidden="0" customHeight="1">
      <x:c r="A5" s="46" t="str">
        <x:v>EYT-004</x:v>
      </x:c>
      <x:c r="B5" s="46" t="str">
        <x:v>egg:yolk_chicken</x:v>
      </x:c>
      <x:c r="C5" s="46" t="str">
        <x:v>yolk_carrier</x:v>
      </x:c>
      <x:c r="D5" s="46" t="str">
        <x:v>raw → boiled → fried</x:v>
      </x:c>
      <x:c r="E5" s="46" t="str">
        <x:v>SRC-EGG-YOLK-THERMAL-001</x:v>
      </x:c>
      <x:c r="F5" s="46" t="str">
        <x:v>mechanistic layer</x:v>
      </x:c>
      <x:c r="G5" s="46" t="str">
        <x:v>phosphoethanolamines containing polyunsaturated fatty acids</x:v>
      </x:c>
      <x:c r="H5" s="46" t="str">
        <x:v>Source identifies these lipids as primary flavor precursors regulating aldehyde and pyrazine generation through lipid oxidation/Maillard-linked chemistry.</x:v>
      </x:c>
      <x:c r="I5" s="46" t="str">
        <x:v>lipidomics + flavoromics</x:v>
      </x:c>
      <x:c r="J5" s="46" t="str">
        <x:v>mechanism_only</x:v>
      </x:c>
      <x:c r="K5" s="46" t="str">
        <x:v>Mechanism supports MR-13 carrier treatment; it does not itself establish compound membership.</x:v>
      </x:c>
    </x:row>
    <x:row r="6" ht="26.399999618530273" hidden="0" customHeight="1">
      <x:c r="A6" s="46" t="str">
        <x:v>EWT-001</x:v>
      </x:c>
      <x:c r="B6" s="46" t="str">
        <x:v>egg:white_chicken</x:v>
      </x:c>
      <x:c r="C6" s="46" t="str">
        <x:v>white_protein</x:v>
      </x:c>
      <x:c r="D6" s="46" t="str">
        <x:v>fresh → processed</x:v>
      </x:c>
      <x:c r="E6" s="46" t="str">
        <x:v>SRC-EGG-WHITE-PROCESS-001</x:v>
      </x:c>
      <x:c r="F6" s="46" t="str">
        <x:v>29-VOC process union</x:v>
      </x:c>
      <x:c r="G6" s="46" t="str">
        <x:v>29 volatile compounds</x:v>
      </x:c>
      <x:c r="H6" s="46" t="str">
        <x:v>Fresh egg white liquid is the starting state; processing through fermentation/desugaring/drying changes volatile diversity and concentration.</x:v>
      </x:c>
      <x:c r="I6" s="46" t="str">
        <x:v>GC-IMS</x:v>
      </x:c>
      <x:c r="J6" s="46" t="str">
        <x:v>full_table_pending</x:v>
      </x:c>
      <x:c r="K6" s="46" t="str">
        <x:v>Use only direct fresh-white rows once full table is accessible; do not treat powder-process markers as fresh-white membership.</x:v>
      </x:c>
    </x:row>
    <x:row r="7" ht="15" hidden="0" customHeight="1">
      <x:c r="A7" s="46" t="str">
        <x:v>EWT-002</x:v>
      </x:c>
      <x:c r="B7" s="46" t="str">
        <x:v>egg:white_duck_salted</x:v>
      </x:c>
      <x:c r="C7" s="46" t="str">
        <x:v>white_protein</x:v>
      </x:c>
      <x:c r="D7" s="46" t="str">
        <x:v>fresh → salted</x:v>
      </x:c>
      <x:c r="E7" s="46" t="str">
        <x:v>SRC-EGG-SALTED-WHITE-001</x:v>
      </x:c>
      <x:c r="F7" s="46" t="str">
        <x:v>43-VOC salting union</x:v>
      </x:c>
      <x:c r="G7" s="46" t="str">
        <x:v>43 volatile compounds</x:v>
      </x:c>
      <x:c r="H7" s="46" t="str">
        <x:v>Salting study identifies 43 VOCs and 20 characteristic compounds across the time course.</x:v>
      </x:c>
      <x:c r="I7" s="46" t="str">
        <x:v>GC-IMS</x:v>
      </x:c>
      <x:c r="J7" s="46" t="str">
        <x:v>full_table_pending</x:v>
      </x:c>
      <x:c r="K7" s="46" t="str">
        <x:v>Duck salted-white profile is a preserved product; no inheritance to ordinary chicken white.</x:v>
      </x:c>
    </x:row>
    <x:row r="8" ht="66" hidden="0" customHeight="1">
      <x:c r="A8" s="46" t="str">
        <x:v>EWT-003</x:v>
      </x:c>
      <x:c r="B8" s="46" t="str">
        <x:v>egg:white_duck_salted</x:v>
      </x:c>
      <x:c r="C8" s="46" t="str">
        <x:v>white_protein</x:v>
      </x:c>
      <x:c r="D8" s="46" t="str">
        <x:v>salting time course</x:v>
      </x:c>
      <x:c r="E8" s="46" t="str">
        <x:v>SRC-EGG-SALTED-WHITE-001</x:v>
      </x:c>
      <x:c r="F8" s="46" t="str">
        <x:v>20 source-exposed characteristic compounds</x:v>
      </x:c>
      <x:c r="G8" s="46" t="str">
        <x:v>ethyl acetate; 3-hydroxy-2-butanone; n-propanol; isobutyric acid; isopropyl acetate; 2,3-butanedione; propionic acid; 3-methyl-3-buten-1-ol; 2-methylbutyraldehyde; propyl acetate; n-butyraldehyde; 2-butanone; isopropanol; isovaleraldehyde; ethyl isobutyrate; tetrahydrofuran; 2-pentanone; n-butanol; isoamyl alcohol; trans-2-pentenal</x:v>
      </x:c>
      <x:c r="H8" s="46" t="str">
        <x:v>Characteristic compounds differ by salting stage; 2-butanone is highest in fresh duck egg, while ethyl acetate becomes dominant after 5 days and acids rise late in salting.</x:v>
      </x:c>
      <x:c r="I8" s="46" t="str">
        <x:v>GC-IMS + multivariate analysis</x:v>
      </x:c>
      <x:c r="J8" s="46" t="str">
        <x:v>characteristic_subset</x:v>
      </x:c>
      <x:c r="K8" s="46" t="str">
        <x:v>State-specific weighting only; not a 20-compound universal white core.</x:v>
      </x:c>
    </x:row>
    <x:row r="9" ht="26.399999618530273" hidden="0" customHeight="1">
      <x:c r="A9" s="46" t="str">
        <x:v>ECS-001</x:v>
      </x:c>
      <x:c r="B9" s="46" t="str">
        <x:v>egg:whole_chicken</x:v>
      </x:c>
      <x:c r="C9" s="46" t="str">
        <x:v>whole_egg_composite</x:v>
      </x:c>
      <x:c r="D9" s="46" t="str">
        <x:v>heated</x:v>
      </x:c>
      <x:c r="E9" s="46" t="str">
        <x:v>SRC-EGG-COOKED-SPLIT-001</x:v>
      </x:c>
      <x:c r="F9" s="46" t="str">
        <x:v>historical direct split</x:v>
      </x:c>
      <x:c r="G9" s="46" t="str">
        <x:v>87 whole / 75 yolk / 57 white</x:v>
      </x:c>
      <x:c r="H9" s="46" t="str">
        <x:v>Same study identified 141 compounds total: 87 heated whole egg, 75 yolk, 57 white.</x:v>
      </x:c>
      <x:c r="I9" s="46" t="str">
        <x:v>GC/GC-MS; historical, no modern MR-09 gate</x:v>
      </x:c>
      <x:c r="J9" s="46" t="str">
        <x:v>historical_breadth</x:v>
      </x:c>
      <x:c r="K9" s="46" t="str">
        <x:v>Heating was 200°C for 1 h and is analytically extreme. Valuable for component separation, not direct modern culinary state equivalence.</x:v>
      </x:c>
    </x:row>
    <x:row r="10" ht="26.399999618530273" hidden="0" customHeight="1">
      <x:c r="A10" s="46" t="str">
        <x:v>ECS-002</x:v>
      </x:c>
      <x:c r="B10" s="46" t="str">
        <x:v>egg:whole_chicken</x:v>
      </x:c>
      <x:c r="C10" s="46" t="str">
        <x:v>whole_egg_composite</x:v>
      </x:c>
      <x:c r="D10" s="46" t="str">
        <x:v>scrambled-like mixtures</x:v>
      </x:c>
      <x:c r="E10" s="46" t="str">
        <x:v>SRC-EGG-SCRAMBLE-SPLIT-001</x:v>
      </x:c>
      <x:c r="F10" s="46" t="str">
        <x:v>yolk:white mixture sensory/volatile comparison</x:v>
      </x:c>
      <x:c r="G10" s="46" t="str">
        <x:v>both compartments matter</x:v>
      </x:c>
      <x:c r="H10" s="46" t="str">
        <x:v>Both yolk and white concentration significantly changed fresh scrambled-egg sensory characteristics and volatiles.</x:v>
      </x:c>
      <x:c r="I10" s="46" t="str">
        <x:v>headspace + extraction + sensory</x:v>
      </x:c>
      <x:c r="J10" s="46" t="str">
        <x:v>architecture_evidence</x:v>
      </x:c>
      <x:c r="K10" s="46" t="str">
        <x:v>Measured whole-egg profiles must stay independent; query-time explanation can refer to compartment contributions.</x:v>
      </x:c>
    </x:row>
    <x:row r="11" ht="26.399999618530273" hidden="0" customHeight="1">
      <x:c r="A11" s="46" t="str">
        <x:v>ECS-003</x:v>
      </x:c>
      <x:c r="B11" s="46" t="str">
        <x:v>egg:yolk_chicken + egg:white_chicken</x:v>
      </x:c>
      <x:c r="C11" s="46" t="str">
        <x:v>separate compartments</x:v>
      </x:c>
      <x:c r="D11" s="46" t="str">
        <x:v>cooked</x:v>
      </x:c>
      <x:c r="E11" s="46" t="str">
        <x:v>SRC-EGG-YOLK-WHITE-2026-001</x:v>
      </x:c>
      <x:c r="F11" s="46" t="str">
        <x:v>modern four-species comparison</x:v>
      </x:c>
      <x:c r="G11" s="46" t="str">
        <x:v>yolk-dominant flavor with white chemically distinct</x:v>
      </x:c>
      <x:c r="H11" s="46" t="str">
        <x:v>Modern GC-O-HRMS confirms yolk contains significantly more volatiles than white and that yolk/white cluster separately; 37 differential yolk markers, 20 sensory-contributing.</x:v>
      </x:c>
      <x:c r="I11" s="46" t="str">
        <x:v>GC-Orbitrap HRMS + RI + GC-O</x:v>
      </x:c>
      <x:c r="J11" s="46" t="str">
        <x:v>architecture_IDQA</x:v>
      </x:c>
      <x:c r="K11" s="46" t="str">
        <x:v>Supports separation from first ingestion; does not justify copying yolk rows into whole egg or white.</x:v>
      </x:c>
    </x:row>
    <x:row r="12" ht="15" hidden="0" customHeight="1">
      <x:c r="A12" s="46" t="str">
        <x:v>EPR-001</x:v>
      </x:c>
      <x:c r="B12" s="46" t="str">
        <x:v>egg:yolk_duck_preserved</x:v>
      </x:c>
      <x:c r="C12" s="46" t="str">
        <x:v>yolk_carrier</x:v>
      </x:c>
      <x:c r="D12" s="46" t="str">
        <x:v>preserved / century egg</x:v>
      </x:c>
      <x:c r="E12" s="46" t="str">
        <x:v>SRC-EGG-PRESERVED-YOLK-001</x:v>
      </x:c>
      <x:c r="F12" s="46" t="str">
        <x:v>potent-aroma profile</x:v>
      </x:c>
      <x:c r="G12" s="46" t="str">
        <x:v>53 odor-active / 22 quantified / 19 OAV≥1</x:v>
      </x:c>
      <x:c r="H12" s="46" t="str">
        <x:v>53 odor-active compounds identified; 19 potent odorants have OAV≥1.</x:v>
      </x:c>
      <x:c r="I12" s="46" t="str">
        <x:v>odor + MS + RI + reference compounds</x:v>
      </x:c>
      <x:c r="J12" s="46" t="str">
        <x:v>sensory_profile_not_full_detection</x:v>
      </x:c>
      <x:c r="K12" s="46" t="str">
        <x:v>Preserved yolk is chemically extreme and species/process-specific.</x:v>
      </x:c>
    </x:row>
  </x:sheetData>
  <x:pageMargins left="0.7" right="0.7" top="0.75" bottom="0.75" header="0.3" footer="0.3"/>
  <x:tableParts count="1">
    <x:tablePart xmlns:r="http://schemas.openxmlformats.org/officeDocument/2006/relationships" r:id="R5e560b10a71744c1"/>
  </x:tableParts>
</x:worksheet>
</file>

<file path=xl/worksheets/sheet92.xml><?xml version="1.0" encoding="utf-8"?>
<x:worksheet xmlns:x="http://schemas.openxmlformats.org/spreadsheetml/2006/main">
  <x:sheetFormatPr defaultRowHeight="15"/>
  <x:cols>
    <x:col min="1" max="1" width="15" hidden="0" customWidth="1"/>
    <x:col min="2" max="2" width="28" hidden="0" customWidth="1"/>
    <x:col min="3" max="3" width="82" hidden="0" customWidth="1"/>
    <x:col min="4" max="4" width="66" hidden="0" customWidth="1"/>
    <x:col min="5" max="5" width="28" hidden="0" customWidth="1"/>
    <x:col min="6" max="6" width="82" hidden="0" customWidth="1"/>
    <x:col min="7" max="7" width="82" hidden="0" customWidth="1"/>
    <x:col min="8" max="8" width="76" hidden="0" customWidth="1"/>
    <x:col min="9" max="9" width="28" hidden="0" customWidth="1"/>
  </x:cols>
  <x:sheetData>
    <x:row r="1" ht="15" hidden="0" customHeight="1">
      <x:c r="A1" s="245" t="str">
        <x:v>pattern_id</x:v>
      </x:c>
      <x:c r="B1" s="245" t="str">
        <x:v>domain</x:v>
      </x:c>
      <x:c r="C1" s="245" t="str">
        <x:v>proposed_pattern</x:v>
      </x:c>
      <x:c r="D1" s="245" t="str">
        <x:v>evidence_refs</x:v>
      </x:c>
      <x:c r="E1" s="245" t="str">
        <x:v>support</x:v>
      </x:c>
      <x:c r="F1" s="245" t="str">
        <x:v>direct_evidence</x:v>
      </x:c>
      <x:c r="G1" s="245" t="str">
        <x:v>ingestion_rule</x:v>
      </x:c>
      <x:c r="H1" s="245" t="str">
        <x:v>runtime_value</x:v>
      </x:c>
      <x:c r="I1" s="245" t="str">
        <x:v>status</x:v>
      </x:c>
    </x:row>
    <x:row r="2" ht="26.399999618530273" hidden="0" customHeight="1">
      <x:c r="A2" s="46" t="str">
        <x:v>PAT-EGG-001</x:v>
      </x:c>
      <x:c r="B2" s="46" t="str">
        <x:v>whole vs compartments</x:v>
      </x:c>
      <x:c r="C2" s="46" t="str">
        <x:v>Whole egg is a composite culinary product, but measured whole-egg profiles remain independent from measured yolk and white profiles.</x:v>
      </x:c>
      <x:c r="D2" s="46" t="str">
        <x:v>SRC-EGG-COOKED-SPLIT-001; SRC-EGG-SCRAMBLE-SPLIT-001; SRC-EGG-YOLK-WHITE-2026-001</x:v>
      </x:c>
      <x:c r="E2" s="46" t="str">
        <x:v>strong_cross_method</x:v>
      </x:c>
      <x:c r="F2" s="46" t="str">
        <x:v>Whole, yolk and white produce different volatile inventories; both yolk and white concentration affect scrambled-egg sensory output.</x:v>
      </x:c>
      <x:c r="G2" s="46" t="str">
        <x:v>Never create a measured whole-egg row by unioning yolk + white source rows. Composite explanation occurs at query/runtime.</x:v>
      </x:c>
      <x:c r="H2" s="46" t="str">
        <x:v>Lets the lens explain custards, scrambled eggs, aioli and emulsions without corrupting source provenance.</x:v>
      </x:c>
      <x:c r="I2" s="46" t="str">
        <x:v>evidence_supported</x:v>
      </x:c>
    </x:row>
    <x:row r="3" ht="26.399999618530273" hidden="0" customHeight="1">
      <x:c r="A3" s="46" t="str">
        <x:v>PAT-EGG-002</x:v>
      </x:c>
      <x:c r="B3" s="46" t="str">
        <x:v>yolk carrier</x:v>
      </x:c>
      <x:c r="C3" s="46" t="str">
        <x:v>Egg yolk is a separate fat-carrier product under MR-13; its dominant transformation axis is lipid oxidation at moderate heat and pyrazine/Maillard-linked chemistry at high heat.</x:v>
      </x:c>
      <x:c r="D3" s="46" t="str">
        <x:v>SRC-EGG-YOLK-THERMAL-001; SRC-EGG-SALTED-YOLK-001</x:v>
      </x:c>
      <x:c r="E3" s="46" t="str">
        <x:v>strong</x:v>
      </x:c>
      <x:c r="F3" s="46" t="str">
        <x:v>Modern yolk flavoromics identifies PUFA-containing phosphoethanolamines as primary flavor precursors; boiled and fried yolk have sharply different key-compound classes.</x:v>
      </x:c>
      <x:c r="G3" s="46" t="str">
        <x:v>Product IDs remain yolk-specific; do not collapse yolk into whole egg.</x:v>
      </x:c>
      <x:c r="H3" s="46" t="str">
        <x:v>Places yolk alongside butter/beef fat as a carrier mechanism without cross-inheriting compound membership.</x:v>
      </x:c>
      <x:c r="I3" s="46" t="str">
        <x:v>evidence_supported</x:v>
      </x:c>
    </x:row>
    <x:row r="4" ht="26.399999618530273" hidden="0" customHeight="1">
      <x:c r="A4" s="46" t="str">
        <x:v>PAT-EGG-003</x:v>
      </x:c>
      <x:c r="B4" s="46" t="str">
        <x:v>white protein/sulfur layer</x:v>
      </x:c>
      <x:c r="C4" s="46" t="str">
        <x:v>Egg white is a separate protein-rich product whose volatile contribution is smaller than yolk but materially affects whole-egg sulfur and overall flavor.</x:v>
      </x:c>
      <x:c r="D4" s="46" t="str">
        <x:v>SRC-EGG-COOKED-SPLIT-001; SRC-EGG-YOLK-WHITE-2026-001; SRC-EGG-WHITE-PROCESS-001</x:v>
      </x:c>
      <x:c r="E4" s="46" t="str">
        <x:v>strong_architecture</x:v>
      </x:c>
      <x:c r="F4" s="46" t="str">
        <x:v>Cooked-white volatile inventory is smaller than yolk; modern data separately cluster white from yolk, and yolk:white ratio changes scrambled sensory profile.</x:v>
      </x:c>
      <x:c r="G4" s="46" t="str">
        <x:v>Do not infer every whole-egg sulfur compound originates in white unless a source establishes compartment origin.</x:v>
      </x:c>
      <x:c r="H4" s="46" t="str">
        <x:v>Supports egg-white-only foods and explains whole-egg balance.</x:v>
      </x:c>
      <x:c r="I4" s="46" t="str">
        <x:v>evidence_supported</x:v>
      </x:c>
    </x:row>
    <x:row r="5" ht="26.399999618530273" hidden="0" customHeight="1">
      <x:c r="A5" s="46" t="str">
        <x:v>PAT-EGG-004</x:v>
      </x:c>
      <x:c r="B5" s="46" t="str">
        <x:v>sulfur context</x:v>
      </x:c>
      <x:c r="C5" s="46" t="str">
        <x:v>Sulfur compounds in cooked egg must be evaluated as culinary state chemistry, not routed automatically to spoilage.</x:v>
      </x:c>
      <x:c r="D5" s="46" t="str">
        <x:v>SRC-EGG-SCRAMBLE-SENS-001; MR-14</x:v>
      </x:c>
      <x:c r="E5" s="46" t="str">
        <x:v>strong_direct_culinary</x:v>
      </x:c>
      <x:c r="F5" s="46" t="str">
        <x:v>Fresh scrambled chicken egg directly contains 967 μg/kg hydrogen sulfide and 5.6 μg/kg methanethiol; H2S has DoT 97.</x:v>
      </x:c>
      <x:c r="G5" s="46" t="str">
        <x:v>MR-14 remains contextual: the same sulfur compound can have culinary and freshness/spoilage roles in different states.</x:v>
      </x:c>
      <x:c r="H5" s="46" t="str">
        <x:v>Prevents the seafood spoilage rule from suppressing iconic cooked-egg sulfur chemistry.</x:v>
      </x:c>
      <x:c r="I5" s="46" t="str">
        <x:v>governed_context_rule</x:v>
      </x:c>
    </x:row>
    <x:row r="6" ht="26.399999618530273" hidden="0" customHeight="1">
      <x:c r="A6" s="46" t="str">
        <x:v>PAT-EGG-005</x:v>
      </x:c>
      <x:c r="B6" s="46" t="str">
        <x:v>preserved products</x:v>
      </x:c>
      <x:c r="C6" s="46" t="str">
        <x:v>Salted and century/preserved duck-egg products are separate measured products/states, not automatic extensions of ordinary chicken egg.</x:v>
      </x:c>
      <x:c r="D6" s="46" t="str">
        <x:v>SRC-EGG-SALTED-YOLK-001; SRC-EGG-SALTED-WHITE-001; SRC-EGG-PRESERVED-YOLK-001</x:v>
      </x:c>
      <x:c r="E6" s="46" t="str">
        <x:v>strong</x:v>
      </x:c>
      <x:c r="F6" s="46" t="str">
        <x:v>Salted/roasted yolk creates extensive pyrazine/thiophene/furan chemistry; preserved yolk has a distinct potent sulfur/aldehyde odorant set.</x:v>
      </x:c>
      <x:c r="G6" s="46" t="str">
        <x:v>No species/process inheritance without an explicit equivalence decision.</x:v>
      </x:c>
      <x:c r="H6" s="46" t="str">
        <x:v>Allows preserved-egg pairings without contaminating ordinary boiled/scrambled egg.</x:v>
      </x:c>
      <x:c r="I6" s="46" t="str">
        <x:v>evidence_supported</x:v>
      </x:c>
    </x:row>
  </x:sheetData>
  <x:pageMargins left="0.7" right="0.7" top="0.75" bottom="0.75" header="0.3" footer="0.3"/>
  <x:tableParts count="1">
    <x:tablePart xmlns:r="http://schemas.openxmlformats.org/officeDocument/2006/relationships" r:id="R3a758d78e6554adb"/>
  </x:tableParts>
</x:worksheet>
</file>

<file path=xl/worksheets/sheet93.xml><?xml version="1.0" encoding="utf-8"?>
<x:worksheet xmlns:x="http://schemas.openxmlformats.org/spreadsheetml/2006/main">
  <x:sheetFormatPr defaultRowHeight="15"/>
  <x:cols>
    <x:col min="1" max="1" width="16" hidden="0" customWidth="1"/>
    <x:col min="2" max="2" width="22" hidden="0" customWidth="1"/>
    <x:col min="3" max="3" width="16" hidden="0" customWidth="1"/>
    <x:col min="4" max="4" width="18" hidden="0" customWidth="1"/>
    <x:col min="5" max="5" width="22" hidden="0" customWidth="1"/>
    <x:col min="6" max="6" width="29" hidden="0" customWidth="1"/>
    <x:col min="7" max="7" width="18" hidden="0" customWidth="1"/>
    <x:col min="8" max="8" width="28" hidden="0" customWidth="1"/>
    <x:col min="9" max="9" width="46" hidden="0" customWidth="1"/>
    <x:col min="10" max="10" width="16" hidden="0" customWidth="1"/>
    <x:col min="11" max="11" width="12" hidden="0" customWidth="1"/>
    <x:col min="12" max="12" width="17" hidden="0" customWidth="1"/>
    <x:col min="13" max="13" width="16" hidden="0" customWidth="1"/>
    <x:col min="14" max="14" width="16" hidden="0" customWidth="1"/>
    <x:col min="15" max="15" width="16" hidden="0" customWidth="1"/>
    <x:col min="16" max="16" width="12" hidden="0" customWidth="1"/>
    <x:col min="17" max="17" width="14" hidden="0" customWidth="1"/>
    <x:col min="18" max="18" width="58" hidden="0" customWidth="1"/>
    <x:col min="19" max="19" width="18" hidden="0" customWidth="1"/>
    <x:col min="20" max="20" width="34" hidden="0" customWidth="1"/>
    <x:col min="21" max="21" width="22" hidden="0" customWidth="1"/>
    <x:col min="22" max="22" width="34" hidden="0" customWidth="1"/>
    <x:col min="23" max="23" width="76" hidden="0" customWidth="1"/>
  </x:cols>
  <x:sheetData>
    <x:row r="1" ht="15" hidden="0" customHeight="1">
      <x:c r="A1" s="245" t="str">
        <x:v>record_id</x:v>
      </x:c>
      <x:c r="B1" s="245" t="str">
        <x:v>product_id</x:v>
      </x:c>
      <x:c r="C1" s="245" t="str">
        <x:v>family_id</x:v>
      </x:c>
      <x:c r="D1" s="245" t="str">
        <x:v>material_role</x:v>
      </x:c>
      <x:c r="E1" s="245" t="str">
        <x:v>preparation_state</x:v>
      </x:c>
      <x:c r="F1" s="245" t="str">
        <x:v>source_id</x:v>
      </x:c>
      <x:c r="G1" s="245" t="str">
        <x:v>source_group</x:v>
      </x:c>
      <x:c r="H1" s="245" t="str">
        <x:v>normalized_group</x:v>
      </x:c>
      <x:c r="I1" s="245" t="str">
        <x:v>compound_name_source</x:v>
      </x:c>
      <x:c r="J1" s="245" t="str">
        <x:v>specific_ion_mz</x:v>
      </x:c>
      <x:c r="K1" s="245" t="str">
        <x:v>lri</x:v>
      </x:c>
      <x:c r="L1" s="245" t="str">
        <x:v>commercial_egg_CE</x:v>
      </x:c>
      <x:c r="M1" s="245" t="str">
        <x:v>blue_shell_BSE</x:v>
      </x:c>
      <x:c r="N1" s="245" t="str">
        <x:v>woorimatdag1</x:v>
      </x:c>
      <x:c r="O1" s="245" t="str">
        <x:v>woorimatdag2</x:v>
      </x:c>
      <x:c r="P1" s="245" t="str">
        <x:v>sem</x:v>
      </x:c>
      <x:c r="Q1" s="245" t="str">
        <x:v>metric</x:v>
      </x:c>
      <x:c r="R1" s="245" t="str">
        <x:v>identification_method</x:v>
      </x:c>
      <x:c r="S1" s="245" t="str">
        <x:v>numeric_match_factor</x:v>
      </x:c>
      <x:c r="T1" s="245" t="str">
        <x:v>mr09_status</x:v>
      </x:c>
      <x:c r="U1" s="245" t="str">
        <x:v>commercial_egg_detected</x:v>
      </x:c>
      <x:c r="V1" s="245" t="str">
        <x:v>culinary_relevance_route</x:v>
      </x:c>
      <x:c r="W1" s="245" t="str">
        <x:v>notes</x:v>
      </x:c>
    </x:row>
    <x:row r="2" ht="26.399999618530273" hidden="0" customHeight="1">
      <x:c r="A2" s="46" t="str">
        <x:v>DEY-BOIL-001</x:v>
      </x:c>
      <x:c r="B2" s="46" t="str">
        <x:v>egg:yolk_chicken</x:v>
      </x:c>
      <x:c r="C2" s="46" t="str">
        <x:v>family:egg</x:v>
      </x:c>
      <x:c r="D2" s="46" t="str">
        <x:v>yolk_carrier</x:v>
      </x:c>
      <x:c r="E2" s="46" t="str">
        <x:v>boiled_100C_15min</x:v>
      </x:c>
      <x:c r="F2" s="46" t="str">
        <x:v>SRC-EGG-YOLK-BOIL-001</x:v>
      </x:c>
      <x:c r="G2" s="46" t="str">
        <x:v>Acid</x:v>
      </x:c>
      <x:c r="H2" s="46" t="str">
        <x:v>Esters</x:v>
      </x:c>
      <x:c r="I2" s="46" t="str">
        <x:v>1-Butanol, 2-methyl-, propanoate</x:v>
      </x:c>
      <x:c r="J2" s="46" t="n">
        <x:v>57.1</x:v>
      </x:c>
      <x:c r="K2" s="46" t="n">
        <x:v>960</x:v>
      </x:c>
      <x:c r="L2" s="46" t="n">
        <x:v>0.008</x:v>
      </x:c>
      <x:c r="M2" s="46" t="n">
        <x:v>0.011</x:v>
      </x:c>
      <x:c r="N2" s="46" t="n">
        <x:v>0.011</x:v>
      </x:c>
      <x:c r="O2" s="46" t="n">
        <x:v>0</x:v>
      </x:c>
      <x:c r="P2" s="46" t="n">
        <x:v>0.0035</x:v>
      </x:c>
      <x:c r="Q2" s="46" t="str">
        <x:v>AU × 10^6</x:v>
      </x:c>
      <x:c r="R2" s="46" t="str">
        <x:v>HS-SPME-GC-MS; source method references prior VOC-identification procedure; LRI reported for every row</x:v>
      </x:c>
      <x:c r="S2" s="46"/>
      <x:c r="T2" s="46" t="str">
        <x:v>partial_no_numeric_match_factor</x:v>
      </x:c>
      <x:c r="U2" s="46" t="str">
        <x:v>yes</x:v>
      </x:c>
      <x:c r="V2" s="46" t="str">
        <x:v>normal_culinary_evidence</x:v>
      </x:c>
      <x:c r="W2" s="46" t="str">
        <x:v>Source places this propanoate ester under Acid; source group preserved.</x:v>
      </x:c>
    </x:row>
    <x:row r="3" ht="26.399999618530273" hidden="0" customHeight="1">
      <x:c r="A3" s="46" t="str">
        <x:v>DEY-BOIL-002</x:v>
      </x:c>
      <x:c r="B3" s="46" t="str">
        <x:v>egg:yolk_chicken</x:v>
      </x:c>
      <x:c r="C3" s="46" t="str">
        <x:v>family:egg</x:v>
      </x:c>
      <x:c r="D3" s="46" t="str">
        <x:v>yolk_carrier</x:v>
      </x:c>
      <x:c r="E3" s="46" t="str">
        <x:v>boiled_100C_15min</x:v>
      </x:c>
      <x:c r="F3" s="46" t="str">
        <x:v>SRC-EGG-YOLK-BOIL-001</x:v>
      </x:c>
      <x:c r="G3" s="46" t="str">
        <x:v>Acid</x:v>
      </x:c>
      <x:c r="H3" s="46" t="str">
        <x:v>Acid</x:v>
      </x:c>
      <x:c r="I3" s="46" t="str">
        <x:v>n-Hexadecanoic acid</x:v>
      </x:c>
      <x:c r="J3" s="46" t="n">
        <x:v>73</x:v>
      </x:c>
      <x:c r="K3" s="46" t="n">
        <x:v>1961</x:v>
      </x:c>
      <x:c r="L3" s="46" t="n">
        <x:v>0.096</x:v>
      </x:c>
      <x:c r="M3" s="46" t="n">
        <x:v>0.028</x:v>
      </x:c>
      <x:c r="N3" s="46" t="n">
        <x:v>0.029</x:v>
      </x:c>
      <x:c r="O3" s="46" t="n">
        <x:v>0.194</x:v>
      </x:c>
      <x:c r="P3" s="46" t="n">
        <x:v>0.0569</x:v>
      </x:c>
      <x:c r="Q3" s="46" t="str">
        <x:v>AU × 10^6</x:v>
      </x:c>
      <x:c r="R3" s="46" t="str">
        <x:v>HS-SPME-GC-MS; source method references prior VOC-identification procedure; LRI reported for every row</x:v>
      </x:c>
      <x:c r="S3" s="46"/>
      <x:c r="T3" s="46" t="str">
        <x:v>partial_no_numeric_match_factor</x:v>
      </x:c>
      <x:c r="U3" s="46" t="str">
        <x:v>yes</x:v>
      </x:c>
      <x:c r="V3" s="46" t="str">
        <x:v>normal_culinary_evidence</x:v>
      </x:c>
      <x:c r="W3" s="46" t="str">
        <x:v>CE = commercial chicken egg control; breed values retained separately. Source-group taxonomy is preserved.</x:v>
      </x:c>
    </x:row>
    <x:row r="4" ht="26.399999618530273" hidden="0" customHeight="1">
      <x:c r="A4" s="46" t="str">
        <x:v>DEY-BOIL-003</x:v>
      </x:c>
      <x:c r="B4" s="46" t="str">
        <x:v>egg:yolk_chicken</x:v>
      </x:c>
      <x:c r="C4" s="46" t="str">
        <x:v>family:egg</x:v>
      </x:c>
      <x:c r="D4" s="46" t="str">
        <x:v>yolk_carrier</x:v>
      </x:c>
      <x:c r="E4" s="46" t="str">
        <x:v>boiled_100C_15min</x:v>
      </x:c>
      <x:c r="F4" s="46" t="str">
        <x:v>SRC-EGG-YOLK-BOIL-001</x:v>
      </x:c>
      <x:c r="G4" s="46" t="str">
        <x:v>Acid</x:v>
      </x:c>
      <x:c r="H4" s="46" t="str">
        <x:v>Acid</x:v>
      </x:c>
      <x:c r="I4" s="46" t="str">
        <x:v>Octadecanoic acid</x:v>
      </x:c>
      <x:c r="J4" s="46" t="n">
        <x:v>73</x:v>
      </x:c>
      <x:c r="K4" s="46" t="n">
        <x:v>2161</x:v>
      </x:c>
      <x:c r="L4" s="46" t="n">
        <x:v>0.021</x:v>
      </x:c>
      <x:c r="M4" s="46" t="n">
        <x:v>0</x:v>
      </x:c>
      <x:c r="N4" s="46" t="n">
        <x:v>0.004</x:v>
      </x:c>
      <x:c r="O4" s="46" t="n">
        <x:v>0.054</x:v>
      </x:c>
      <x:c r="P4" s="46" t="n">
        <x:v>0.0141</x:v>
      </x:c>
      <x:c r="Q4" s="46" t="str">
        <x:v>AU × 10^6</x:v>
      </x:c>
      <x:c r="R4" s="46" t="str">
        <x:v>HS-SPME-GC-MS; source method references prior VOC-identification procedure; LRI reported for every row</x:v>
      </x:c>
      <x:c r="S4" s="46"/>
      <x:c r="T4" s="46" t="str">
        <x:v>partial_no_numeric_match_factor</x:v>
      </x:c>
      <x:c r="U4" s="46" t="str">
        <x:v>yes</x:v>
      </x:c>
      <x:c r="V4" s="46" t="str">
        <x:v>normal_culinary_evidence</x:v>
      </x:c>
      <x:c r="W4" s="46" t="str">
        <x:v>CE = commercial chicken egg control; breed values retained separately. Source-group taxonomy is preserved.</x:v>
      </x:c>
    </x:row>
    <x:row r="5" ht="26.399999618530273" hidden="0" customHeight="1">
      <x:c r="A5" s="46" t="str">
        <x:v>DEY-BOIL-004</x:v>
      </x:c>
      <x:c r="B5" s="46" t="str">
        <x:v>egg:yolk_chicken</x:v>
      </x:c>
      <x:c r="C5" s="46" t="str">
        <x:v>family:egg</x:v>
      </x:c>
      <x:c r="D5" s="46" t="str">
        <x:v>yolk_carrier</x:v>
      </x:c>
      <x:c r="E5" s="46" t="str">
        <x:v>boiled_100C_15min</x:v>
      </x:c>
      <x:c r="F5" s="46" t="str">
        <x:v>SRC-EGG-YOLK-BOIL-001</x:v>
      </x:c>
      <x:c r="G5" s="46" t="str">
        <x:v>Acid</x:v>
      </x:c>
      <x:c r="H5" s="46" t="str">
        <x:v>Acid</x:v>
      </x:c>
      <x:c r="I5" s="46" t="str">
        <x:v>Tetradecanoic acid</x:v>
      </x:c>
      <x:c r="J5" s="46" t="n">
        <x:v>57.1</x:v>
      </x:c>
      <x:c r="K5" s="46" t="n">
        <x:v>1759</x:v>
      </x:c>
      <x:c r="L5" s="46" t="n">
        <x:v>0.019</x:v>
      </x:c>
      <x:c r="M5" s="46" t="n">
        <x:v>0</x:v>
      </x:c>
      <x:c r="N5" s="46" t="n">
        <x:v>0</x:v>
      </x:c>
      <x:c r="O5" s="46" t="n">
        <x:v>0</x:v>
      </x:c>
      <x:c r="P5" s="46" t="n">
        <x:v>0.0068</x:v>
      </x:c>
      <x:c r="Q5" s="46" t="str">
        <x:v>AU × 10^6</x:v>
      </x:c>
      <x:c r="R5" s="46" t="str">
        <x:v>HS-SPME-GC-MS; source method references prior VOC-identification procedure; LRI reported for every row</x:v>
      </x:c>
      <x:c r="S5" s="46"/>
      <x:c r="T5" s="46" t="str">
        <x:v>partial_no_numeric_match_factor</x:v>
      </x:c>
      <x:c r="U5" s="46" t="str">
        <x:v>yes</x:v>
      </x:c>
      <x:c r="V5" s="46" t="str">
        <x:v>normal_culinary_evidence</x:v>
      </x:c>
      <x:c r="W5" s="46" t="str">
        <x:v>CE = commercial chicken egg control; breed values retained separately. Source-group taxonomy is preserved.</x:v>
      </x:c>
    </x:row>
    <x:row r="6" ht="26.399999618530273" hidden="0" customHeight="1">
      <x:c r="A6" s="46" t="str">
        <x:v>DEY-BOIL-005</x:v>
      </x:c>
      <x:c r="B6" s="46" t="str">
        <x:v>egg:yolk_chicken</x:v>
      </x:c>
      <x:c r="C6" s="46" t="str">
        <x:v>family:egg</x:v>
      </x:c>
      <x:c r="D6" s="46" t="str">
        <x:v>yolk_carrier</x:v>
      </x:c>
      <x:c r="E6" s="46" t="str">
        <x:v>boiled_100C_15min</x:v>
      </x:c>
      <x:c r="F6" s="46" t="str">
        <x:v>SRC-EGG-YOLK-BOIL-001</x:v>
      </x:c>
      <x:c r="G6" s="46" t="str">
        <x:v>Acid</x:v>
      </x:c>
      <x:c r="H6" s="46" t="str">
        <x:v>Acid</x:v>
      </x:c>
      <x:c r="I6" s="46" t="str">
        <x:v>trans-13-Octadecenoic acid</x:v>
      </x:c>
      <x:c r="J6" s="46" t="n">
        <x:v>55.1</x:v>
      </x:c>
      <x:c r="K6" s="46" t="n">
        <x:v>2138</x:v>
      </x:c>
      <x:c r="L6" s="46" t="n">
        <x:v>0</x:v>
      </x:c>
      <x:c r="M6" s="46" t="n">
        <x:v>0</x:v>
      </x:c>
      <x:c r="N6" s="46" t="n">
        <x:v>0</x:v>
      </x:c>
      <x:c r="O6" s="46" t="n">
        <x:v>0.043</x:v>
      </x:c>
      <x:c r="P6" s="46" t="n">
        <x:v>0.0117</x:v>
      </x:c>
      <x:c r="Q6" s="46" t="str">
        <x:v>AU × 10^6</x:v>
      </x:c>
      <x:c r="R6" s="46" t="str">
        <x:v>HS-SPME-GC-MS; source method references prior VOC-identification procedure; LRI reported for every row</x:v>
      </x:c>
      <x:c r="S6" s="46"/>
      <x:c r="T6" s="46" t="str">
        <x:v>partial_no_numeric_match_factor</x:v>
      </x:c>
      <x:c r="U6" s="46" t="str">
        <x:v>no</x:v>
      </x:c>
      <x:c r="V6" s="46" t="str">
        <x:v>normal_culinary_evidence</x:v>
      </x:c>
      <x:c r="W6" s="46" t="str">
        <x:v>CE = commercial chicken egg control; breed values retained separately. Source-group taxonomy is preserved.</x:v>
      </x:c>
    </x:row>
    <x:row r="7" ht="26.399999618530273" hidden="0" customHeight="1">
      <x:c r="A7" s="46" t="str">
        <x:v>DEY-BOIL-006</x:v>
      </x:c>
      <x:c r="B7" s="46" t="str">
        <x:v>egg:yolk_chicken</x:v>
      </x:c>
      <x:c r="C7" s="46" t="str">
        <x:v>family:egg</x:v>
      </x:c>
      <x:c r="D7" s="46" t="str">
        <x:v>yolk_carrier</x:v>
      </x:c>
      <x:c r="E7" s="46" t="str">
        <x:v>boiled_100C_15min</x:v>
      </x:c>
      <x:c r="F7" s="46" t="str">
        <x:v>SRC-EGG-YOLK-BOIL-001</x:v>
      </x:c>
      <x:c r="G7" s="46" t="str">
        <x:v>Alcohol</x:v>
      </x:c>
      <x:c r="H7" s="46" t="str">
        <x:v>Alcohol</x:v>
      </x:c>
      <x:c r="I7" s="46" t="str">
        <x:v>(S)-(+)-3-Methyl-1-pentanol</x:v>
      </x:c>
      <x:c r="J7" s="46" t="n">
        <x:v>56.1</x:v>
      </x:c>
      <x:c r="K7" s="46" t="n">
        <x:v>789</x:v>
      </x:c>
      <x:c r="L7" s="46" t="n">
        <x:v>0.022</x:v>
      </x:c>
      <x:c r="M7" s="46" t="n">
        <x:v>0.009</x:v>
      </x:c>
      <x:c r="N7" s="46" t="n">
        <x:v>0.016</x:v>
      </x:c>
      <x:c r="O7" s="46" t="n">
        <x:v>0.027</x:v>
      </x:c>
      <x:c r="P7" s="46" t="n">
        <x:v>0.0046</x:v>
      </x:c>
      <x:c r="Q7" s="46" t="str">
        <x:v>AU × 10^6</x:v>
      </x:c>
      <x:c r="R7" s="46" t="str">
        <x:v>HS-SPME-GC-MS; source method references prior VOC-identification procedure; LRI reported for every row</x:v>
      </x:c>
      <x:c r="S7" s="46"/>
      <x:c r="T7" s="46" t="str">
        <x:v>partial_no_numeric_match_factor</x:v>
      </x:c>
      <x:c r="U7" s="46" t="str">
        <x:v>yes</x:v>
      </x:c>
      <x:c r="V7" s="46" t="str">
        <x:v>normal_culinary_evidence</x:v>
      </x:c>
      <x:c r="W7" s="46" t="str">
        <x:v>CE = commercial chicken egg control; breed values retained separately. Source-group taxonomy is preserved.</x:v>
      </x:c>
    </x:row>
    <x:row r="8" ht="26.399999618530273" hidden="0" customHeight="1">
      <x:c r="A8" s="46" t="str">
        <x:v>DEY-BOIL-007</x:v>
      </x:c>
      <x:c r="B8" s="46" t="str">
        <x:v>egg:yolk_chicken</x:v>
      </x:c>
      <x:c r="C8" s="46" t="str">
        <x:v>family:egg</x:v>
      </x:c>
      <x:c r="D8" s="46" t="str">
        <x:v>yolk_carrier</x:v>
      </x:c>
      <x:c r="E8" s="46" t="str">
        <x:v>boiled_100C_15min</x:v>
      </x:c>
      <x:c r="F8" s="46" t="str">
        <x:v>SRC-EGG-YOLK-BOIL-001</x:v>
      </x:c>
      <x:c r="G8" s="46" t="str">
        <x:v>Alcohol</x:v>
      </x:c>
      <x:c r="H8" s="46" t="str">
        <x:v>Alcohol</x:v>
      </x:c>
      <x:c r="I8" s="46" t="str">
        <x:v>1-Dodecanol</x:v>
      </x:c>
      <x:c r="J8" s="46" t="n">
        <x:v>57</x:v>
      </x:c>
      <x:c r="K8" s="46" t="n">
        <x:v>1490</x:v>
      </x:c>
      <x:c r="L8" s="46" t="n">
        <x:v>0</x:v>
      </x:c>
      <x:c r="M8" s="46" t="n">
        <x:v>0</x:v>
      </x:c>
      <x:c r="N8" s="46" t="n">
        <x:v>0.004</x:v>
      </x:c>
      <x:c r="O8" s="46" t="n">
        <x:v>0.006</x:v>
      </x:c>
      <x:c r="P8" s="46" t="n">
        <x:v>0.0019</x:v>
      </x:c>
      <x:c r="Q8" s="46" t="str">
        <x:v>AU × 10^6</x:v>
      </x:c>
      <x:c r="R8" s="46" t="str">
        <x:v>HS-SPME-GC-MS; source method references prior VOC-identification procedure; LRI reported for every row</x:v>
      </x:c>
      <x:c r="S8" s="46"/>
      <x:c r="T8" s="46" t="str">
        <x:v>partial_no_numeric_match_factor</x:v>
      </x:c>
      <x:c r="U8" s="46" t="str">
        <x:v>no</x:v>
      </x:c>
      <x:c r="V8" s="46" t="str">
        <x:v>normal_culinary_evidence</x:v>
      </x:c>
      <x:c r="W8" s="46" t="str">
        <x:v>CE = commercial chicken egg control; breed values retained separately. Source-group taxonomy is preserved.</x:v>
      </x:c>
    </x:row>
    <x:row r="9" ht="26.399999618530273" hidden="0" customHeight="1">
      <x:c r="A9" s="46" t="str">
        <x:v>DEY-BOIL-008</x:v>
      </x:c>
      <x:c r="B9" s="46" t="str">
        <x:v>egg:yolk_chicken</x:v>
      </x:c>
      <x:c r="C9" s="46" t="str">
        <x:v>family:egg</x:v>
      </x:c>
      <x:c r="D9" s="46" t="str">
        <x:v>yolk_carrier</x:v>
      </x:c>
      <x:c r="E9" s="46" t="str">
        <x:v>boiled_100C_15min</x:v>
      </x:c>
      <x:c r="F9" s="46" t="str">
        <x:v>SRC-EGG-YOLK-BOIL-001</x:v>
      </x:c>
      <x:c r="G9" s="46" t="str">
        <x:v>Alcohol</x:v>
      </x:c>
      <x:c r="H9" s="46" t="str">
        <x:v>Alcohol</x:v>
      </x:c>
      <x:c r="I9" s="46" t="str">
        <x:v>1-Heptanol</x:v>
      </x:c>
      <x:c r="J9" s="46" t="n">
        <x:v>70.1</x:v>
      </x:c>
      <x:c r="K9" s="46" t="n">
        <x:v>960</x:v>
      </x:c>
      <x:c r="L9" s="46" t="n">
        <x:v>0</x:v>
      </x:c>
      <x:c r="M9" s="46" t="n">
        <x:v>0</x:v>
      </x:c>
      <x:c r="N9" s="46" t="n">
        <x:v>0</x:v>
      </x:c>
      <x:c r="O9" s="46" t="n">
        <x:v>0.005</x:v>
      </x:c>
      <x:c r="P9" s="46" t="n">
        <x:v>0.0012</x:v>
      </x:c>
      <x:c r="Q9" s="46" t="str">
        <x:v>AU × 10^6</x:v>
      </x:c>
      <x:c r="R9" s="46" t="str">
        <x:v>HS-SPME-GC-MS; source method references prior VOC-identification procedure; LRI reported for every row</x:v>
      </x:c>
      <x:c r="S9" s="46"/>
      <x:c r="T9" s="46" t="str">
        <x:v>partial_no_numeric_match_factor</x:v>
      </x:c>
      <x:c r="U9" s="46" t="str">
        <x:v>no</x:v>
      </x:c>
      <x:c r="V9" s="46" t="str">
        <x:v>normal_culinary_evidence</x:v>
      </x:c>
      <x:c r="W9" s="46" t="str">
        <x:v>CE = commercial chicken egg control; breed values retained separately. Source-group taxonomy is preserved.</x:v>
      </x:c>
    </x:row>
    <x:row r="10" ht="26.399999618530273" hidden="0" customHeight="1">
      <x:c r="A10" s="46" t="str">
        <x:v>DEY-BOIL-009</x:v>
      </x:c>
      <x:c r="B10" s="46" t="str">
        <x:v>egg:yolk_chicken</x:v>
      </x:c>
      <x:c r="C10" s="46" t="str">
        <x:v>family:egg</x:v>
      </x:c>
      <x:c r="D10" s="46" t="str">
        <x:v>yolk_carrier</x:v>
      </x:c>
      <x:c r="E10" s="46" t="str">
        <x:v>boiled_100C_15min</x:v>
      </x:c>
      <x:c r="F10" s="46" t="str">
        <x:v>SRC-EGG-YOLK-BOIL-001</x:v>
      </x:c>
      <x:c r="G10" s="46" t="str">
        <x:v>Alcohol</x:v>
      </x:c>
      <x:c r="H10" s="46" t="str">
        <x:v>Alcohol</x:v>
      </x:c>
      <x:c r="I10" s="46" t="str">
        <x:v>1-Hexanol, 2-ethyl-</x:v>
      </x:c>
      <x:c r="J10" s="46" t="n">
        <x:v>57.1</x:v>
      </x:c>
      <x:c r="K10" s="46" t="n">
        <x:v>1031</x:v>
      </x:c>
      <x:c r="L10" s="46" t="n">
        <x:v>0.067</x:v>
      </x:c>
      <x:c r="M10" s="46" t="n">
        <x:v>0.029</x:v>
      </x:c>
      <x:c r="N10" s="46" t="n">
        <x:v>0.03</x:v>
      </x:c>
      <x:c r="O10" s="46" t="n">
        <x:v>0.086</x:v>
      </x:c>
      <x:c r="P10" s="46" t="n">
        <x:v>0.0145</x:v>
      </x:c>
      <x:c r="Q10" s="46" t="str">
        <x:v>AU × 10^6</x:v>
      </x:c>
      <x:c r="R10" s="46" t="str">
        <x:v>HS-SPME-GC-MS; source method references prior VOC-identification procedure; LRI reported for every row</x:v>
      </x:c>
      <x:c r="S10" s="46"/>
      <x:c r="T10" s="46" t="str">
        <x:v>partial_no_numeric_match_factor</x:v>
      </x:c>
      <x:c r="U10" s="46" t="str">
        <x:v>yes</x:v>
      </x:c>
      <x:c r="V10" s="46" t="str">
        <x:v>normal_culinary_evidence</x:v>
      </x:c>
      <x:c r="W10" s="46" t="str">
        <x:v>CE = commercial chicken egg control; breed values retained separately. Source-group taxonomy is preserved.</x:v>
      </x:c>
    </x:row>
    <x:row r="11" ht="26.399999618530273" hidden="0" customHeight="1">
      <x:c r="A11" s="46" t="str">
        <x:v>DEY-BOIL-010</x:v>
      </x:c>
      <x:c r="B11" s="46" t="str">
        <x:v>egg:yolk_chicken</x:v>
      </x:c>
      <x:c r="C11" s="46" t="str">
        <x:v>family:egg</x:v>
      </x:c>
      <x:c r="D11" s="46" t="str">
        <x:v>yolk_carrier</x:v>
      </x:c>
      <x:c r="E11" s="46" t="str">
        <x:v>boiled_100C_15min</x:v>
      </x:c>
      <x:c r="F11" s="46" t="str">
        <x:v>SRC-EGG-YOLK-BOIL-001</x:v>
      </x:c>
      <x:c r="G11" s="46" t="str">
        <x:v>Alcohol</x:v>
      </x:c>
      <x:c r="H11" s="46" t="str">
        <x:v>Alcohol</x:v>
      </x:c>
      <x:c r="I11" s="46" t="str">
        <x:v>1-Hexanol, 4-methyl-</x:v>
      </x:c>
      <x:c r="J11" s="46" t="n">
        <x:v>70.1</x:v>
      </x:c>
      <x:c r="K11" s="46" t="n">
        <x:v>960</x:v>
      </x:c>
      <x:c r="L11" s="46" t="n">
        <x:v>0</x:v>
      </x:c>
      <x:c r="M11" s="46" t="n">
        <x:v>0</x:v>
      </x:c>
      <x:c r="N11" s="46" t="n">
        <x:v>0.005</x:v>
      </x:c>
      <x:c r="O11" s="46" t="n">
        <x:v>0</x:v>
      </x:c>
      <x:c r="P11" s="46" t="n">
        <x:v>0.0011</x:v>
      </x:c>
      <x:c r="Q11" s="46" t="str">
        <x:v>AU × 10^6</x:v>
      </x:c>
      <x:c r="R11" s="46" t="str">
        <x:v>HS-SPME-GC-MS; source method references prior VOC-identification procedure; LRI reported for every row</x:v>
      </x:c>
      <x:c r="S11" s="46"/>
      <x:c r="T11" s="46" t="str">
        <x:v>partial_no_numeric_match_factor</x:v>
      </x:c>
      <x:c r="U11" s="46" t="str">
        <x:v>no</x:v>
      </x:c>
      <x:c r="V11" s="46" t="str">
        <x:v>normal_culinary_evidence</x:v>
      </x:c>
      <x:c r="W11" s="46" t="str">
        <x:v>CE = commercial chicken egg control; breed values retained separately. Source-group taxonomy is preserved.</x:v>
      </x:c>
    </x:row>
    <x:row r="12" ht="26.399999618530273" hidden="0" customHeight="1">
      <x:c r="A12" s="46" t="str">
        <x:v>DEY-BOIL-011</x:v>
      </x:c>
      <x:c r="B12" s="46" t="str">
        <x:v>egg:yolk_chicken</x:v>
      </x:c>
      <x:c r="C12" s="46" t="str">
        <x:v>family:egg</x:v>
      </x:c>
      <x:c r="D12" s="46" t="str">
        <x:v>yolk_carrier</x:v>
      </x:c>
      <x:c r="E12" s="46" t="str">
        <x:v>boiled_100C_15min</x:v>
      </x:c>
      <x:c r="F12" s="46" t="str">
        <x:v>SRC-EGG-YOLK-BOIL-001</x:v>
      </x:c>
      <x:c r="G12" s="46" t="str">
        <x:v>Alcohol</x:v>
      </x:c>
      <x:c r="H12" s="46" t="str">
        <x:v>Nitrogen compounds</x:v>
      </x:c>
      <x:c r="I12" s="46" t="str">
        <x:v>1H-Tetrazol-5-amine</x:v>
      </x:c>
      <x:c r="J12" s="46" t="n">
        <x:v>43.1</x:v>
      </x:c>
      <x:c r="K12" s="46" t="n">
        <x:v>571</x:v>
      </x:c>
      <x:c r="L12" s="46" t="n">
        <x:v>0.11</x:v>
      </x:c>
      <x:c r="M12" s="46" t="n">
        <x:v>0.278</x:v>
      </x:c>
      <x:c r="N12" s="46" t="n">
        <x:v>0.206</x:v>
      </x:c>
      <x:c r="O12" s="46" t="n">
        <x:v>0.019</x:v>
      </x:c>
      <x:c r="P12" s="46" t="n">
        <x:v>0.0358</x:v>
      </x:c>
      <x:c r="Q12" s="46" t="str">
        <x:v>AU × 10^6</x:v>
      </x:c>
      <x:c r="R12" s="46" t="str">
        <x:v>HS-SPME-GC-MS; source method references prior VOC-identification procedure; LRI reported for every row</x:v>
      </x:c>
      <x:c r="S12" s="46"/>
      <x:c r="T12" s="46" t="str">
        <x:v>partial_no_numeric_match_factor</x:v>
      </x:c>
      <x:c r="U12" s="46" t="str">
        <x:v>yes</x:v>
      </x:c>
      <x:c r="V12" s="46" t="str">
        <x:v>normal_culinary_evidence</x:v>
      </x:c>
      <x:c r="W12" s="46" t="str">
        <x:v>Source classifies this tetrazole amine under Alcohol; source group preserved.</x:v>
      </x:c>
    </x:row>
    <x:row r="13" ht="26.399999618530273" hidden="0" customHeight="1">
      <x:c r="A13" s="46" t="str">
        <x:v>DEY-BOIL-012</x:v>
      </x:c>
      <x:c r="B13" s="46" t="str">
        <x:v>egg:yolk_chicken</x:v>
      </x:c>
      <x:c r="C13" s="46" t="str">
        <x:v>family:egg</x:v>
      </x:c>
      <x:c r="D13" s="46" t="str">
        <x:v>yolk_carrier</x:v>
      </x:c>
      <x:c r="E13" s="46" t="str">
        <x:v>boiled_100C_15min</x:v>
      </x:c>
      <x:c r="F13" s="46" t="str">
        <x:v>SRC-EGG-YOLK-BOIL-001</x:v>
      </x:c>
      <x:c r="G13" s="46" t="str">
        <x:v>Alcohol</x:v>
      </x:c>
      <x:c r="H13" s="46" t="str">
        <x:v>Alcohol</x:v>
      </x:c>
      <x:c r="I13" s="46" t="str">
        <x:v>1-Nonen-4-ol</x:v>
      </x:c>
      <x:c r="J13" s="46" t="n">
        <x:v>43</x:v>
      </x:c>
      <x:c r="K13" s="46" t="n">
        <x:v>1102</x:v>
      </x:c>
      <x:c r="L13" s="46" t="n">
        <x:v>0</x:v>
      </x:c>
      <x:c r="M13" s="46" t="n">
        <x:v>0</x:v>
      </x:c>
      <x:c r="N13" s="46" t="n">
        <x:v>0.002</x:v>
      </x:c>
      <x:c r="O13" s="46" t="n">
        <x:v>0</x:v>
      </x:c>
      <x:c r="P13" s="46" t="n">
        <x:v>0.0004</x:v>
      </x:c>
      <x:c r="Q13" s="46" t="str">
        <x:v>AU × 10^6</x:v>
      </x:c>
      <x:c r="R13" s="46" t="str">
        <x:v>HS-SPME-GC-MS; source method references prior VOC-identification procedure; LRI reported for every row</x:v>
      </x:c>
      <x:c r="S13" s="46"/>
      <x:c r="T13" s="46" t="str">
        <x:v>partial_no_numeric_match_factor</x:v>
      </x:c>
      <x:c r="U13" s="46" t="str">
        <x:v>no</x:v>
      </x:c>
      <x:c r="V13" s="46" t="str">
        <x:v>normal_culinary_evidence</x:v>
      </x:c>
      <x:c r="W13" s="46" t="str">
        <x:v>CE = commercial chicken egg control; breed values retained separately. Source-group taxonomy is preserved.</x:v>
      </x:c>
    </x:row>
    <x:row r="14" ht="26.399999618530273" hidden="0" customHeight="1">
      <x:c r="A14" s="46" t="str">
        <x:v>DEY-BOIL-013</x:v>
      </x:c>
      <x:c r="B14" s="46" t="str">
        <x:v>egg:yolk_chicken</x:v>
      </x:c>
      <x:c r="C14" s="46" t="str">
        <x:v>family:egg</x:v>
      </x:c>
      <x:c r="D14" s="46" t="str">
        <x:v>yolk_carrier</x:v>
      </x:c>
      <x:c r="E14" s="46" t="str">
        <x:v>boiled_100C_15min</x:v>
      </x:c>
      <x:c r="F14" s="46" t="str">
        <x:v>SRC-EGG-YOLK-BOIL-001</x:v>
      </x:c>
      <x:c r="G14" s="46" t="str">
        <x:v>Alcohol</x:v>
      </x:c>
      <x:c r="H14" s="46" t="str">
        <x:v>Alcohol</x:v>
      </x:c>
      <x:c r="I14" s="46" t="str">
        <x:v>1-Octanol</x:v>
      </x:c>
      <x:c r="J14" s="46" t="n">
        <x:v>56</x:v>
      </x:c>
      <x:c r="K14" s="46" t="n">
        <x:v>1078</x:v>
      </x:c>
      <x:c r="L14" s="46" t="n">
        <x:v>0.006</x:v>
      </x:c>
      <x:c r="M14" s="46" t="n">
        <x:v>0.003</x:v>
      </x:c>
      <x:c r="N14" s="46" t="n">
        <x:v>0.002</x:v>
      </x:c>
      <x:c r="O14" s="46" t="n">
        <x:v>0.008</x:v>
      </x:c>
      <x:c r="P14" s="46" t="n">
        <x:v>0.0012</x:v>
      </x:c>
      <x:c r="Q14" s="46" t="str">
        <x:v>AU × 10^6</x:v>
      </x:c>
      <x:c r="R14" s="46" t="str">
        <x:v>HS-SPME-GC-MS; source method references prior VOC-identification procedure; LRI reported for every row</x:v>
      </x:c>
      <x:c r="S14" s="46"/>
      <x:c r="T14" s="46" t="str">
        <x:v>partial_no_numeric_match_factor</x:v>
      </x:c>
      <x:c r="U14" s="46" t="str">
        <x:v>yes</x:v>
      </x:c>
      <x:c r="V14" s="46" t="str">
        <x:v>normal_culinary_evidence</x:v>
      </x:c>
      <x:c r="W14" s="46" t="str">
        <x:v>CE = commercial chicken egg control; breed values retained separately. Source-group taxonomy is preserved.</x:v>
      </x:c>
    </x:row>
    <x:row r="15" ht="26.399999618530273" hidden="0" customHeight="1">
      <x:c r="A15" s="46" t="str">
        <x:v>DEY-BOIL-014</x:v>
      </x:c>
      <x:c r="B15" s="46" t="str">
        <x:v>egg:yolk_chicken</x:v>
      </x:c>
      <x:c r="C15" s="46" t="str">
        <x:v>family:egg</x:v>
      </x:c>
      <x:c r="D15" s="46" t="str">
        <x:v>yolk_carrier</x:v>
      </x:c>
      <x:c r="E15" s="46" t="str">
        <x:v>boiled_100C_15min</x:v>
      </x:c>
      <x:c r="F15" s="46" t="str">
        <x:v>SRC-EGG-YOLK-BOIL-001</x:v>
      </x:c>
      <x:c r="G15" s="46" t="str">
        <x:v>Alcohol</x:v>
      </x:c>
      <x:c r="H15" s="46" t="str">
        <x:v>Alcohol</x:v>
      </x:c>
      <x:c r="I15" s="46" t="str">
        <x:v>1-Octen-3-ol</x:v>
      </x:c>
      <x:c r="J15" s="46" t="n">
        <x:v>57</x:v>
      </x:c>
      <x:c r="K15" s="46" t="n">
        <x:v>970</x:v>
      </x:c>
      <x:c r="L15" s="46" t="n">
        <x:v>0.443</x:v>
      </x:c>
      <x:c r="M15" s="46" t="n">
        <x:v>0.411</x:v>
      </x:c>
      <x:c r="N15" s="46" t="n">
        <x:v>0.266</x:v>
      </x:c>
      <x:c r="O15" s="46" t="n">
        <x:v>0.529</x:v>
      </x:c>
      <x:c r="P15" s="46" t="n">
        <x:v>0.0611</x:v>
      </x:c>
      <x:c r="Q15" s="46" t="str">
        <x:v>AU × 10^6</x:v>
      </x:c>
      <x:c r="R15" s="46" t="str">
        <x:v>HS-SPME-GC-MS; source method references prior VOC-identification procedure; LRI reported for every row</x:v>
      </x:c>
      <x:c r="S15" s="46"/>
      <x:c r="T15" s="46" t="str">
        <x:v>partial_no_numeric_match_factor</x:v>
      </x:c>
      <x:c r="U15" s="46" t="str">
        <x:v>yes</x:v>
      </x:c>
      <x:c r="V15" s="46" t="str">
        <x:v>normal_culinary_evidence</x:v>
      </x:c>
      <x:c r="W15" s="46" t="str">
        <x:v>CE = commercial chicken egg control; breed values retained separately. Source-group taxonomy is preserved.</x:v>
      </x:c>
    </x:row>
    <x:row r="16" ht="26.399999618530273" hidden="0" customHeight="1">
      <x:c r="A16" s="46" t="str">
        <x:v>DEY-BOIL-015</x:v>
      </x:c>
      <x:c r="B16" s="46" t="str">
        <x:v>egg:yolk_chicken</x:v>
      </x:c>
      <x:c r="C16" s="46" t="str">
        <x:v>family:egg</x:v>
      </x:c>
      <x:c r="D16" s="46" t="str">
        <x:v>yolk_carrier</x:v>
      </x:c>
      <x:c r="E16" s="46" t="str">
        <x:v>boiled_100C_15min</x:v>
      </x:c>
      <x:c r="F16" s="46" t="str">
        <x:v>SRC-EGG-YOLK-BOIL-001</x:v>
      </x:c>
      <x:c r="G16" s="46" t="str">
        <x:v>Alcohol</x:v>
      </x:c>
      <x:c r="H16" s="46" t="str">
        <x:v>Nitrogen heterocycle / ketone</x:v>
      </x:c>
      <x:c r="I16" s="46" t="str">
        <x:v>1-Tetrazol-2-ylethanone</x:v>
      </x:c>
      <x:c r="J16" s="46" t="n">
        <x:v>43</x:v>
      </x:c>
      <x:c r="K16" s="46" t="n">
        <x:v>537</x:v>
      </x:c>
      <x:c r="L16" s="46" t="n">
        <x:v>0</x:v>
      </x:c>
      <x:c r="M16" s="46" t="n">
        <x:v>0</x:v>
      </x:c>
      <x:c r="N16" s="46" t="n">
        <x:v>0</x:v>
      </x:c>
      <x:c r="O16" s="46" t="n">
        <x:v>0.282</x:v>
      </x:c>
      <x:c r="P16" s="46" t="n">
        <x:v>0.0639</x:v>
      </x:c>
      <x:c r="Q16" s="46" t="str">
        <x:v>AU × 10^6</x:v>
      </x:c>
      <x:c r="R16" s="46" t="str">
        <x:v>HS-SPME-GC-MS; source method references prior VOC-identification procedure; LRI reported for every row</x:v>
      </x:c>
      <x:c r="S16" s="46"/>
      <x:c r="T16" s="46" t="str">
        <x:v>partial_no_numeric_match_factor</x:v>
      </x:c>
      <x:c r="U16" s="46" t="str">
        <x:v>no</x:v>
      </x:c>
      <x:c r="V16" s="46" t="str">
        <x:v>normal_culinary_evidence</x:v>
      </x:c>
      <x:c r="W16" s="46" t="str">
        <x:v>Source classifies this tetrazole ketone under Alcohol; source group preserved.</x:v>
      </x:c>
    </x:row>
    <x:row r="17" ht="26.399999618530273" hidden="0" customHeight="1">
      <x:c r="A17" s="46" t="str">
        <x:v>DEY-BOIL-016</x:v>
      </x:c>
      <x:c r="B17" s="46" t="str">
        <x:v>egg:yolk_chicken</x:v>
      </x:c>
      <x:c r="C17" s="46" t="str">
        <x:v>family:egg</x:v>
      </x:c>
      <x:c r="D17" s="46" t="str">
        <x:v>yolk_carrier</x:v>
      </x:c>
      <x:c r="E17" s="46" t="str">
        <x:v>boiled_100C_15min</x:v>
      </x:c>
      <x:c r="F17" s="46" t="str">
        <x:v>SRC-EGG-YOLK-BOIL-001</x:v>
      </x:c>
      <x:c r="G17" s="46" t="str">
        <x:v>Alcohol</x:v>
      </x:c>
      <x:c r="H17" s="46" t="str">
        <x:v>Phenols</x:v>
      </x:c>
      <x:c r="I17" s="46" t="str">
        <x:v>2,6-Bis(1,1-dimethylethyl)-4-(1-oxopropyl)phenol</x:v>
      </x:c>
      <x:c r="J17" s="46" t="n">
        <x:v>233</x:v>
      </x:c>
      <x:c r="K17" s="46" t="n">
        <x:v>1642</x:v>
      </x:c>
      <x:c r="L17" s="46" t="n">
        <x:v>0.026</x:v>
      </x:c>
      <x:c r="M17" s="46" t="n">
        <x:v>0.015</x:v>
      </x:c>
      <x:c r="N17" s="46" t="n">
        <x:v>0.017</x:v>
      </x:c>
      <x:c r="O17" s="46" t="n">
        <x:v>0.013</x:v>
      </x:c>
      <x:c r="P17" s="46" t="n">
        <x:v>0.0033</x:v>
      </x:c>
      <x:c r="Q17" s="46" t="str">
        <x:v>AU × 10^6</x:v>
      </x:c>
      <x:c r="R17" s="46" t="str">
        <x:v>HS-SPME-GC-MS; source method references prior VOC-identification procedure; LRI reported for every row</x:v>
      </x:c>
      <x:c r="S17" s="46"/>
      <x:c r="T17" s="46" t="str">
        <x:v>partial_no_numeric_match_factor</x:v>
      </x:c>
      <x:c r="U17" s="46" t="str">
        <x:v>yes</x:v>
      </x:c>
      <x:c r="V17" s="46" t="str">
        <x:v>normal_culinary_evidence</x:v>
      </x:c>
      <x:c r="W17" s="46" t="str">
        <x:v>Source group Alcohol; normalized to Phenols by functional identity.</x:v>
      </x:c>
    </x:row>
    <x:row r="18" ht="26.399999618530273" hidden="0" customHeight="1">
      <x:c r="A18" s="46" t="str">
        <x:v>DEY-BOIL-017</x:v>
      </x:c>
      <x:c r="B18" s="46" t="str">
        <x:v>egg:yolk_chicken</x:v>
      </x:c>
      <x:c r="C18" s="46" t="str">
        <x:v>family:egg</x:v>
      </x:c>
      <x:c r="D18" s="46" t="str">
        <x:v>yolk_carrier</x:v>
      </x:c>
      <x:c r="E18" s="46" t="str">
        <x:v>boiled_100C_15min</x:v>
      </x:c>
      <x:c r="F18" s="46" t="str">
        <x:v>SRC-EGG-YOLK-BOIL-001</x:v>
      </x:c>
      <x:c r="G18" s="46" t="str">
        <x:v>Alcohol</x:v>
      </x:c>
      <x:c r="H18" s="46" t="str">
        <x:v>Alcohol</x:v>
      </x:c>
      <x:c r="I18" s="46" t="str">
        <x:v>2-Octen-1-ol, (E)-</x:v>
      </x:c>
      <x:c r="J18" s="46" t="n">
        <x:v>57</x:v>
      </x:c>
      <x:c r="K18" s="46" t="n">
        <x:v>1074</x:v>
      </x:c>
      <x:c r="L18" s="46" t="n">
        <x:v>0.013</x:v>
      </x:c>
      <x:c r="M18" s="46" t="n">
        <x:v>0.01</x:v>
      </x:c>
      <x:c r="N18" s="46" t="n">
        <x:v>0.004</x:v>
      </x:c>
      <x:c r="O18" s="46" t="n">
        <x:v>0.009</x:v>
      </x:c>
      <x:c r="P18" s="46" t="n">
        <x:v>0.0033</x:v>
      </x:c>
      <x:c r="Q18" s="46" t="str">
        <x:v>AU × 10^6</x:v>
      </x:c>
      <x:c r="R18" s="46" t="str">
        <x:v>HS-SPME-GC-MS; source method references prior VOC-identification procedure; LRI reported for every row</x:v>
      </x:c>
      <x:c r="S18" s="46"/>
      <x:c r="T18" s="46" t="str">
        <x:v>partial_no_numeric_match_factor</x:v>
      </x:c>
      <x:c r="U18" s="46" t="str">
        <x:v>yes</x:v>
      </x:c>
      <x:c r="V18" s="46" t="str">
        <x:v>normal_culinary_evidence</x:v>
      </x:c>
      <x:c r="W18" s="46" t="str">
        <x:v>CE = commercial chicken egg control; breed values retained separately. Source-group taxonomy is preserved.</x:v>
      </x:c>
    </x:row>
    <x:row r="19" ht="26.399999618530273" hidden="0" customHeight="1">
      <x:c r="A19" s="46" t="str">
        <x:v>DEY-BOIL-018</x:v>
      </x:c>
      <x:c r="B19" s="46" t="str">
        <x:v>egg:yolk_chicken</x:v>
      </x:c>
      <x:c r="C19" s="46" t="str">
        <x:v>family:egg</x:v>
      </x:c>
      <x:c r="D19" s="46" t="str">
        <x:v>yolk_carrier</x:v>
      </x:c>
      <x:c r="E19" s="46" t="str">
        <x:v>boiled_100C_15min</x:v>
      </x:c>
      <x:c r="F19" s="46" t="str">
        <x:v>SRC-EGG-YOLK-BOIL-001</x:v>
      </x:c>
      <x:c r="G19" s="46" t="str">
        <x:v>Alcohol</x:v>
      </x:c>
      <x:c r="H19" s="46" t="str">
        <x:v>Alcohol</x:v>
      </x:c>
      <x:c r="I19" s="46" t="str">
        <x:v>2-Propanol, 1-(2-butoxy-1-methylethoxy)-</x:v>
      </x:c>
      <x:c r="J19" s="46" t="n">
        <x:v>59</x:v>
      </x:c>
      <x:c r="K19" s="46" t="n">
        <x:v>1247</x:v>
      </x:c>
      <x:c r="L19" s="46" t="n">
        <x:v>0</x:v>
      </x:c>
      <x:c r="M19" s="46" t="n">
        <x:v>0</x:v>
      </x:c>
      <x:c r="N19" s="46" t="n">
        <x:v>0.004</x:v>
      </x:c>
      <x:c r="O19" s="46" t="n">
        <x:v>0.027</x:v>
      </x:c>
      <x:c r="P19" s="46" t="n">
        <x:v>0.0034</x:v>
      </x:c>
      <x:c r="Q19" s="46" t="str">
        <x:v>AU × 10^6</x:v>
      </x:c>
      <x:c r="R19" s="46" t="str">
        <x:v>HS-SPME-GC-MS; source method references prior VOC-identification procedure; LRI reported for every row</x:v>
      </x:c>
      <x:c r="S19" s="46"/>
      <x:c r="T19" s="46" t="str">
        <x:v>partial_no_numeric_match_factor</x:v>
      </x:c>
      <x:c r="U19" s="46" t="str">
        <x:v>no</x:v>
      </x:c>
      <x:c r="V19" s="46" t="str">
        <x:v>normal_culinary_evidence</x:v>
      </x:c>
      <x:c r="W19" s="46" t="str">
        <x:v>CE = commercial chicken egg control; breed values retained separately. Source-group taxonomy is preserved.</x:v>
      </x:c>
    </x:row>
    <x:row r="20" ht="26.399999618530273" hidden="0" customHeight="1">
      <x:c r="A20" s="46" t="str">
        <x:v>DEY-BOIL-019</x:v>
      </x:c>
      <x:c r="B20" s="46" t="str">
        <x:v>egg:yolk_chicken</x:v>
      </x:c>
      <x:c r="C20" s="46" t="str">
        <x:v>family:egg</x:v>
      </x:c>
      <x:c r="D20" s="46" t="str">
        <x:v>yolk_carrier</x:v>
      </x:c>
      <x:c r="E20" s="46" t="str">
        <x:v>boiled_100C_15min</x:v>
      </x:c>
      <x:c r="F20" s="46" t="str">
        <x:v>SRC-EGG-YOLK-BOIL-001</x:v>
      </x:c>
      <x:c r="G20" s="46" t="str">
        <x:v>Alcohol</x:v>
      </x:c>
      <x:c r="H20" s="46" t="str">
        <x:v>Alcohol</x:v>
      </x:c>
      <x:c r="I20" s="46" t="str">
        <x:v>3-Octen-1-ol</x:v>
      </x:c>
      <x:c r="J20" s="46" t="n">
        <x:v>57.1</x:v>
      </x:c>
      <x:c r="K20" s="46" t="n">
        <x:v>1075</x:v>
      </x:c>
      <x:c r="L20" s="46" t="n">
        <x:v>0</x:v>
      </x:c>
      <x:c r="M20" s="46" t="n">
        <x:v>0</x:v>
      </x:c>
      <x:c r="N20" s="46" t="n">
        <x:v>0.004</x:v>
      </x:c>
      <x:c r="O20" s="46" t="n">
        <x:v>0</x:v>
      </x:c>
      <x:c r="P20" s="46" t="n">
        <x:v>0.0009</x:v>
      </x:c>
      <x:c r="Q20" s="46" t="str">
        <x:v>AU × 10^6</x:v>
      </x:c>
      <x:c r="R20" s="46" t="str">
        <x:v>HS-SPME-GC-MS; source method references prior VOC-identification procedure; LRI reported for every row</x:v>
      </x:c>
      <x:c r="S20" s="46"/>
      <x:c r="T20" s="46" t="str">
        <x:v>partial_no_numeric_match_factor</x:v>
      </x:c>
      <x:c r="U20" s="46" t="str">
        <x:v>no</x:v>
      </x:c>
      <x:c r="V20" s="46" t="str">
        <x:v>normal_culinary_evidence</x:v>
      </x:c>
      <x:c r="W20" s="46" t="str">
        <x:v>CE = commercial chicken egg control; breed values retained separately. Source-group taxonomy is preserved.</x:v>
      </x:c>
    </x:row>
    <x:row r="21" ht="26.399999618530273" hidden="0" customHeight="1">
      <x:c r="A21" s="46" t="str">
        <x:v>DEY-BOIL-020</x:v>
      </x:c>
      <x:c r="B21" s="46" t="str">
        <x:v>egg:yolk_chicken</x:v>
      </x:c>
      <x:c r="C21" s="46" t="str">
        <x:v>family:egg</x:v>
      </x:c>
      <x:c r="D21" s="46" t="str">
        <x:v>yolk_carrier</x:v>
      </x:c>
      <x:c r="E21" s="46" t="str">
        <x:v>boiled_100C_15min</x:v>
      </x:c>
      <x:c r="F21" s="46" t="str">
        <x:v>SRC-EGG-YOLK-BOIL-001</x:v>
      </x:c>
      <x:c r="G21" s="46" t="str">
        <x:v>Alcohol</x:v>
      </x:c>
      <x:c r="H21" s="46" t="str">
        <x:v>Nitrogen compounds</x:v>
      </x:c>
      <x:c r="I21" s="46" t="str">
        <x:v>5H-Tetrazol-5-amine</x:v>
      </x:c>
      <x:c r="J21" s="46" t="n">
        <x:v>57.1</x:v>
      </x:c>
      <x:c r="K21" s="46" t="n">
        <x:v>1247</x:v>
      </x:c>
      <x:c r="L21" s="46" t="n">
        <x:v>0</x:v>
      </x:c>
      <x:c r="M21" s="46" t="n">
        <x:v>0</x:v>
      </x:c>
      <x:c r="N21" s="46" t="n">
        <x:v>0.047</x:v>
      </x:c>
      <x:c r="O21" s="46" t="n">
        <x:v>0</x:v>
      </x:c>
      <x:c r="P21" s="46" t="n">
        <x:v>0.0174</x:v>
      </x:c>
      <x:c r="Q21" s="46" t="str">
        <x:v>AU × 10^6</x:v>
      </x:c>
      <x:c r="R21" s="46" t="str">
        <x:v>HS-SPME-GC-MS; source method references prior VOC-identification procedure; LRI reported for every row</x:v>
      </x:c>
      <x:c r="S21" s="46"/>
      <x:c r="T21" s="46" t="str">
        <x:v>partial_no_numeric_match_factor</x:v>
      </x:c>
      <x:c r="U21" s="46" t="str">
        <x:v>no</x:v>
      </x:c>
      <x:c r="V21" s="46" t="str">
        <x:v>normal_culinary_evidence</x:v>
      </x:c>
      <x:c r="W21" s="46" t="str">
        <x:v>Source classifies this tetrazole amine under Alcohol; source group preserved.</x:v>
      </x:c>
    </x:row>
    <x:row r="22" ht="26.399999618530273" hidden="0" customHeight="1">
      <x:c r="A22" s="46" t="str">
        <x:v>DEY-BOIL-021</x:v>
      </x:c>
      <x:c r="B22" s="46" t="str">
        <x:v>egg:yolk_chicken</x:v>
      </x:c>
      <x:c r="C22" s="46" t="str">
        <x:v>family:egg</x:v>
      </x:c>
      <x:c r="D22" s="46" t="str">
        <x:v>yolk_carrier</x:v>
      </x:c>
      <x:c r="E22" s="46" t="str">
        <x:v>boiled_100C_15min</x:v>
      </x:c>
      <x:c r="F22" s="46" t="str">
        <x:v>SRC-EGG-YOLK-BOIL-001</x:v>
      </x:c>
      <x:c r="G22" s="46" t="str">
        <x:v>Alcohol</x:v>
      </x:c>
      <x:c r="H22" s="46" t="str">
        <x:v>Terpenoid alcohols</x:v>
      </x:c>
      <x:c r="I22" s="46" t="str">
        <x:v>dl-Menthol</x:v>
      </x:c>
      <x:c r="J22" s="46" t="n">
        <x:v>71</x:v>
      </x:c>
      <x:c r="K22" s="46" t="n">
        <x:v>1175</x:v>
      </x:c>
      <x:c r="L22" s="46" t="n">
        <x:v>0</x:v>
      </x:c>
      <x:c r="M22" s="46" t="n">
        <x:v>0</x:v>
      </x:c>
      <x:c r="N22" s="46" t="n">
        <x:v>0</x:v>
      </x:c>
      <x:c r="O22" s="46" t="n">
        <x:v>0.01</x:v>
      </x:c>
      <x:c r="P22" s="46" t="n">
        <x:v>0.0027</x:v>
      </x:c>
      <x:c r="Q22" s="46" t="str">
        <x:v>AU × 10^6</x:v>
      </x:c>
      <x:c r="R22" s="46" t="str">
        <x:v>HS-SPME-GC-MS; source method references prior VOC-identification procedure; LRI reported for every row</x:v>
      </x:c>
      <x:c r="S22" s="46"/>
      <x:c r="T22" s="46" t="str">
        <x:v>partial_no_numeric_match_factor</x:v>
      </x:c>
      <x:c r="U22" s="46" t="str">
        <x:v>no</x:v>
      </x:c>
      <x:c r="V22" s="46" t="str">
        <x:v>normal_culinary_evidence</x:v>
      </x:c>
      <x:c r="W22" s="46" t="str">
        <x:v>CE = commercial chicken egg control; breed values retained separately. Source-group taxonomy is preserved.</x:v>
      </x:c>
    </x:row>
    <x:row r="23" ht="26.399999618530273" hidden="0" customHeight="1">
      <x:c r="A23" s="46" t="str">
        <x:v>DEY-BOIL-022</x:v>
      </x:c>
      <x:c r="B23" s="46" t="str">
        <x:v>egg:yolk_chicken</x:v>
      </x:c>
      <x:c r="C23" s="46" t="str">
        <x:v>family:egg</x:v>
      </x:c>
      <x:c r="D23" s="46" t="str">
        <x:v>yolk_carrier</x:v>
      </x:c>
      <x:c r="E23" s="46" t="str">
        <x:v>boiled_100C_15min</x:v>
      </x:c>
      <x:c r="F23" s="46" t="str">
        <x:v>SRC-EGG-YOLK-BOIL-001</x:v>
      </x:c>
      <x:c r="G23" s="46" t="str">
        <x:v>Alcohol</x:v>
      </x:c>
      <x:c r="H23" s="46" t="str">
        <x:v>Terpenoid alcohols</x:v>
      </x:c>
      <x:c r="I23" s="46" t="str">
        <x:v>Levomenthol</x:v>
      </x:c>
      <x:c r="J23" s="46" t="n">
        <x:v>71.1</x:v>
      </x:c>
      <x:c r="K23" s="46" t="n">
        <x:v>1175</x:v>
      </x:c>
      <x:c r="L23" s="46" t="n">
        <x:v>0</x:v>
      </x:c>
      <x:c r="M23" s="46" t="n">
        <x:v>0</x:v>
      </x:c>
      <x:c r="N23" s="46" t="n">
        <x:v>0</x:v>
      </x:c>
      <x:c r="O23" s="46" t="n">
        <x:v>0.004</x:v>
      </x:c>
      <x:c r="P23" s="46" t="n">
        <x:v>0.0011</x:v>
      </x:c>
      <x:c r="Q23" s="46" t="str">
        <x:v>AU × 10^6</x:v>
      </x:c>
      <x:c r="R23" s="46" t="str">
        <x:v>HS-SPME-GC-MS; source method references prior VOC-identification procedure; LRI reported for every row</x:v>
      </x:c>
      <x:c r="S23" s="46"/>
      <x:c r="T23" s="46" t="str">
        <x:v>partial_no_numeric_match_factor</x:v>
      </x:c>
      <x:c r="U23" s="46" t="str">
        <x:v>no</x:v>
      </x:c>
      <x:c r="V23" s="46" t="str">
        <x:v>normal_culinary_evidence</x:v>
      </x:c>
      <x:c r="W23" s="46" t="str">
        <x:v>CE = commercial chicken egg control; breed values retained separately. Source-group taxonomy is preserved.</x:v>
      </x:c>
    </x:row>
    <x:row r="24" ht="26.399999618530273" hidden="0" customHeight="1">
      <x:c r="A24" s="46" t="str">
        <x:v>DEY-BOIL-023</x:v>
      </x:c>
      <x:c r="B24" s="46" t="str">
        <x:v>egg:yolk_chicken</x:v>
      </x:c>
      <x:c r="C24" s="46" t="str">
        <x:v>family:egg</x:v>
      </x:c>
      <x:c r="D24" s="46" t="str">
        <x:v>yolk_carrier</x:v>
      </x:c>
      <x:c r="E24" s="46" t="str">
        <x:v>boiled_100C_15min</x:v>
      </x:c>
      <x:c r="F24" s="46" t="str">
        <x:v>SRC-EGG-YOLK-BOIL-001</x:v>
      </x:c>
      <x:c r="G24" s="46" t="str">
        <x:v>Alcohol</x:v>
      </x:c>
      <x:c r="H24" s="46" t="str">
        <x:v>Phenols</x:v>
      </x:c>
      <x:c r="I24" s="46" t="str">
        <x:v>Phenol, 2,4'-isopropylidenedi-</x:v>
      </x:c>
      <x:c r="J24" s="46" t="n">
        <x:v>213</x:v>
      </x:c>
      <x:c r="K24" s="46" t="n">
        <x:v>2042</x:v>
      </x:c>
      <x:c r="L24" s="46" t="n">
        <x:v>0.017</x:v>
      </x:c>
      <x:c r="M24" s="46" t="n">
        <x:v>0</x:v>
      </x:c>
      <x:c r="N24" s="46" t="n">
        <x:v>0</x:v>
      </x:c>
      <x:c r="O24" s="46" t="n">
        <x:v>0</x:v>
      </x:c>
      <x:c r="P24" s="46" t="n">
        <x:v>0.0052</x:v>
      </x:c>
      <x:c r="Q24" s="46" t="str">
        <x:v>AU × 10^6</x:v>
      </x:c>
      <x:c r="R24" s="46" t="str">
        <x:v>HS-SPME-GC-MS; source method references prior VOC-identification procedure; LRI reported for every row</x:v>
      </x:c>
      <x:c r="S24" s="46"/>
      <x:c r="T24" s="46" t="str">
        <x:v>partial_no_numeric_match_factor</x:v>
      </x:c>
      <x:c r="U24" s="46" t="str">
        <x:v>yes</x:v>
      </x:c>
      <x:c r="V24" s="46" t="str">
        <x:v>normal_culinary_evidence</x:v>
      </x:c>
      <x:c r="W24" s="46" t="str">
        <x:v>Source group Alcohol; normalized to Phenols.</x:v>
      </x:c>
    </x:row>
    <x:row r="25" ht="26.399999618530273" hidden="0" customHeight="1">
      <x:c r="A25" s="46" t="str">
        <x:v>DEY-BOIL-024</x:v>
      </x:c>
      <x:c r="B25" s="46" t="str">
        <x:v>egg:yolk_chicken</x:v>
      </x:c>
      <x:c r="C25" s="46" t="str">
        <x:v>family:egg</x:v>
      </x:c>
      <x:c r="D25" s="46" t="str">
        <x:v>yolk_carrier</x:v>
      </x:c>
      <x:c r="E25" s="46" t="str">
        <x:v>boiled_100C_15min</x:v>
      </x:c>
      <x:c r="F25" s="46" t="str">
        <x:v>SRC-EGG-YOLK-BOIL-001</x:v>
      </x:c>
      <x:c r="G25" s="46" t="str">
        <x:v>Aldehyde</x:v>
      </x:c>
      <x:c r="H25" s="46" t="str">
        <x:v>Aldehyde</x:v>
      </x:c>
      <x:c r="I25" s="46" t="str">
        <x:v>Benzaldehyde, 4-methyl-</x:v>
      </x:c>
      <x:c r="J25" s="46" t="n">
        <x:v>120</x:v>
      </x:c>
      <x:c r="K25" s="46" t="n">
        <x:v>1070</x:v>
      </x:c>
      <x:c r="L25" s="46" t="n">
        <x:v>0</x:v>
      </x:c>
      <x:c r="M25" s="46" t="n">
        <x:v>0.001</x:v>
      </x:c>
      <x:c r="N25" s="46" t="n">
        <x:v>0</x:v>
      </x:c>
      <x:c r="O25" s="46" t="n">
        <x:v>0</x:v>
      </x:c>
      <x:c r="P25" s="46" t="n">
        <x:v>0.0002</x:v>
      </x:c>
      <x:c r="Q25" s="46" t="str">
        <x:v>AU × 10^6</x:v>
      </x:c>
      <x:c r="R25" s="46" t="str">
        <x:v>HS-SPME-GC-MS; source method references prior VOC-identification procedure; LRI reported for every row</x:v>
      </x:c>
      <x:c r="S25" s="46"/>
      <x:c r="T25" s="46" t="str">
        <x:v>partial_no_numeric_match_factor</x:v>
      </x:c>
      <x:c r="U25" s="46" t="str">
        <x:v>no</x:v>
      </x:c>
      <x:c r="V25" s="46" t="str">
        <x:v>normal_culinary_evidence</x:v>
      </x:c>
      <x:c r="W25" s="46" t="str">
        <x:v>CE = commercial chicken egg control; breed values retained separately. Source-group taxonomy is preserved.</x:v>
      </x:c>
    </x:row>
    <x:row r="26" ht="26.399999618530273" hidden="0" customHeight="1">
      <x:c r="A26" s="46" t="str">
        <x:v>DEY-BOIL-025</x:v>
      </x:c>
      <x:c r="B26" s="46" t="str">
        <x:v>egg:yolk_chicken</x:v>
      </x:c>
      <x:c r="C26" s="46" t="str">
        <x:v>family:egg</x:v>
      </x:c>
      <x:c r="D26" s="46" t="str">
        <x:v>yolk_carrier</x:v>
      </x:c>
      <x:c r="E26" s="46" t="str">
        <x:v>boiled_100C_15min</x:v>
      </x:c>
      <x:c r="F26" s="46" t="str">
        <x:v>SRC-EGG-YOLK-BOIL-001</x:v>
      </x:c>
      <x:c r="G26" s="46" t="str">
        <x:v>Aldehyde</x:v>
      </x:c>
      <x:c r="H26" s="46" t="str">
        <x:v>Aldehyde</x:v>
      </x:c>
      <x:c r="I26" s="46" t="str">
        <x:v>Benzeneacetaldehyde</x:v>
      </x:c>
      <x:c r="J26" s="46" t="n">
        <x:v>91.1</x:v>
      </x:c>
      <x:c r="K26" s="46" t="n">
        <x:v>1044</x:v>
      </x:c>
      <x:c r="L26" s="46" t="n">
        <x:v>0.021</x:v>
      </x:c>
      <x:c r="M26" s="46" t="n">
        <x:v>0.047</x:v>
      </x:c>
      <x:c r="N26" s="46" t="n">
        <x:v>0.025</x:v>
      </x:c>
      <x:c r="O26" s="46" t="n">
        <x:v>0.061</x:v>
      </x:c>
      <x:c r="P26" s="46" t="n">
        <x:v>0.0045</x:v>
      </x:c>
      <x:c r="Q26" s="46" t="str">
        <x:v>AU × 10^6</x:v>
      </x:c>
      <x:c r="R26" s="46" t="str">
        <x:v>HS-SPME-GC-MS; source method references prior VOC-identification procedure; LRI reported for every row</x:v>
      </x:c>
      <x:c r="S26" s="46"/>
      <x:c r="T26" s="46" t="str">
        <x:v>partial_no_numeric_match_factor</x:v>
      </x:c>
      <x:c r="U26" s="46" t="str">
        <x:v>yes</x:v>
      </x:c>
      <x:c r="V26" s="46" t="str">
        <x:v>normal_culinary_evidence</x:v>
      </x:c>
      <x:c r="W26" s="46" t="str">
        <x:v>CE = commercial chicken egg control; breed values retained separately. Source-group taxonomy is preserved.</x:v>
      </x:c>
    </x:row>
    <x:row r="27" ht="26.399999618530273" hidden="0" customHeight="1">
      <x:c r="A27" s="46" t="str">
        <x:v>DEY-BOIL-026</x:v>
      </x:c>
      <x:c r="B27" s="46" t="str">
        <x:v>egg:yolk_chicken</x:v>
      </x:c>
      <x:c r="C27" s="46" t="str">
        <x:v>family:egg</x:v>
      </x:c>
      <x:c r="D27" s="46" t="str">
        <x:v>yolk_carrier</x:v>
      </x:c>
      <x:c r="E27" s="46" t="str">
        <x:v>boiled_100C_15min</x:v>
      </x:c>
      <x:c r="F27" s="46" t="str">
        <x:v>SRC-EGG-YOLK-BOIL-001</x:v>
      </x:c>
      <x:c r="G27" s="46" t="str">
        <x:v>Aldehyde</x:v>
      </x:c>
      <x:c r="H27" s="46" t="str">
        <x:v>Aldehyde</x:v>
      </x:c>
      <x:c r="I27" s="46" t="str">
        <x:v>Decanal</x:v>
      </x:c>
      <x:c r="J27" s="46" t="n">
        <x:v>57</x:v>
      </x:c>
      <x:c r="K27" s="46" t="n">
        <x:v>1206</x:v>
      </x:c>
      <x:c r="L27" s="46" t="n">
        <x:v>0.022</x:v>
      </x:c>
      <x:c r="M27" s="46" t="n">
        <x:v>0.016</x:v>
      </x:c>
      <x:c r="N27" s="46" t="n">
        <x:v>0.014</x:v>
      </x:c>
      <x:c r="O27" s="46" t="n">
        <x:v>0.02</x:v>
      </x:c>
      <x:c r="P27" s="46" t="n">
        <x:v>0.0016</x:v>
      </x:c>
      <x:c r="Q27" s="46" t="str">
        <x:v>AU × 10^6</x:v>
      </x:c>
      <x:c r="R27" s="46" t="str">
        <x:v>HS-SPME-GC-MS; source method references prior VOC-identification procedure; LRI reported for every row</x:v>
      </x:c>
      <x:c r="S27" s="46"/>
      <x:c r="T27" s="46" t="str">
        <x:v>partial_no_numeric_match_factor</x:v>
      </x:c>
      <x:c r="U27" s="46" t="str">
        <x:v>yes</x:v>
      </x:c>
      <x:c r="V27" s="46" t="str">
        <x:v>normal_culinary_evidence</x:v>
      </x:c>
      <x:c r="W27" s="46" t="str">
        <x:v>CE = commercial chicken egg control; breed values retained separately. Source-group taxonomy is preserved.</x:v>
      </x:c>
    </x:row>
    <x:row r="28" ht="26.399999618530273" hidden="0" customHeight="1">
      <x:c r="A28" s="46" t="str">
        <x:v>DEY-BOIL-027</x:v>
      </x:c>
      <x:c r="B28" s="46" t="str">
        <x:v>egg:yolk_chicken</x:v>
      </x:c>
      <x:c r="C28" s="46" t="str">
        <x:v>family:egg</x:v>
      </x:c>
      <x:c r="D28" s="46" t="str">
        <x:v>yolk_carrier</x:v>
      </x:c>
      <x:c r="E28" s="46" t="str">
        <x:v>boiled_100C_15min</x:v>
      </x:c>
      <x:c r="F28" s="46" t="str">
        <x:v>SRC-EGG-YOLK-BOIL-001</x:v>
      </x:c>
      <x:c r="G28" s="46" t="str">
        <x:v>Aldehyde</x:v>
      </x:c>
      <x:c r="H28" s="46" t="str">
        <x:v>Aldehyde</x:v>
      </x:c>
      <x:c r="I28" s="46" t="str">
        <x:v>Hexadecanal</x:v>
      </x:c>
      <x:c r="J28" s="46" t="n">
        <x:v>57</x:v>
      </x:c>
      <x:c r="K28" s="46" t="n">
        <x:v>1817</x:v>
      </x:c>
      <x:c r="L28" s="46" t="n">
        <x:v>0.006</x:v>
      </x:c>
      <x:c r="M28" s="46" t="n">
        <x:v>0.002</x:v>
      </x:c>
      <x:c r="N28" s="46" t="n">
        <x:v>0.005</x:v>
      </x:c>
      <x:c r="O28" s="46" t="n">
        <x:v>0.013</x:v>
      </x:c>
      <x:c r="P28" s="46" t="n">
        <x:v>0.0019</x:v>
      </x:c>
      <x:c r="Q28" s="46" t="str">
        <x:v>AU × 10^6</x:v>
      </x:c>
      <x:c r="R28" s="46" t="str">
        <x:v>HS-SPME-GC-MS; source method references prior VOC-identification procedure; LRI reported for every row</x:v>
      </x:c>
      <x:c r="S28" s="46"/>
      <x:c r="T28" s="46" t="str">
        <x:v>partial_no_numeric_match_factor</x:v>
      </x:c>
      <x:c r="U28" s="46" t="str">
        <x:v>yes</x:v>
      </x:c>
      <x:c r="V28" s="46" t="str">
        <x:v>normal_culinary_evidence</x:v>
      </x:c>
      <x:c r="W28" s="46" t="str">
        <x:v>CE = commercial chicken egg control; breed values retained separately. Source-group taxonomy is preserved.</x:v>
      </x:c>
    </x:row>
    <x:row r="29" ht="26.399999618530273" hidden="0" customHeight="1">
      <x:c r="A29" s="46" t="str">
        <x:v>DEY-BOIL-028</x:v>
      </x:c>
      <x:c r="B29" s="46" t="str">
        <x:v>egg:yolk_chicken</x:v>
      </x:c>
      <x:c r="C29" s="46" t="str">
        <x:v>family:egg</x:v>
      </x:c>
      <x:c r="D29" s="46" t="str">
        <x:v>yolk_carrier</x:v>
      </x:c>
      <x:c r="E29" s="46" t="str">
        <x:v>boiled_100C_15min</x:v>
      </x:c>
      <x:c r="F29" s="46" t="str">
        <x:v>SRC-EGG-YOLK-BOIL-001</x:v>
      </x:c>
      <x:c r="G29" s="46" t="str">
        <x:v>Aldehyde</x:v>
      </x:c>
      <x:c r="H29" s="46" t="str">
        <x:v>Aldehyde</x:v>
      </x:c>
      <x:c r="I29" s="46" t="str">
        <x:v>Hexanal, 5-methyl-</x:v>
      </x:c>
      <x:c r="J29" s="46" t="n">
        <x:v>70</x:v>
      </x:c>
      <x:c r="K29" s="46" t="n">
        <x:v>847</x:v>
      </x:c>
      <x:c r="L29" s="46" t="n">
        <x:v>0.074</x:v>
      </x:c>
      <x:c r="M29" s="46" t="n">
        <x:v>0.061</x:v>
      </x:c>
      <x:c r="N29" s="46" t="n">
        <x:v>0.055</x:v>
      </x:c>
      <x:c r="O29" s="46" t="n">
        <x:v>0.069</x:v>
      </x:c>
      <x:c r="P29" s="46" t="n">
        <x:v>0.0039</x:v>
      </x:c>
      <x:c r="Q29" s="46" t="str">
        <x:v>AU × 10^6</x:v>
      </x:c>
      <x:c r="R29" s="46" t="str">
        <x:v>HS-SPME-GC-MS; source method references prior VOC-identification procedure; LRI reported for every row</x:v>
      </x:c>
      <x:c r="S29" s="46"/>
      <x:c r="T29" s="46" t="str">
        <x:v>partial_no_numeric_match_factor</x:v>
      </x:c>
      <x:c r="U29" s="46" t="str">
        <x:v>yes</x:v>
      </x:c>
      <x:c r="V29" s="46" t="str">
        <x:v>normal_culinary_evidence</x:v>
      </x:c>
      <x:c r="W29" s="46" t="str">
        <x:v>CE = commercial chicken egg control; breed values retained separately. Source-group taxonomy is preserved.</x:v>
      </x:c>
    </x:row>
    <x:row r="30" ht="26.399999618530273" hidden="0" customHeight="1">
      <x:c r="A30" s="46" t="str">
        <x:v>DEY-BOIL-029</x:v>
      </x:c>
      <x:c r="B30" s="46" t="str">
        <x:v>egg:yolk_chicken</x:v>
      </x:c>
      <x:c r="C30" s="46" t="str">
        <x:v>family:egg</x:v>
      </x:c>
      <x:c r="D30" s="46" t="str">
        <x:v>yolk_carrier</x:v>
      </x:c>
      <x:c r="E30" s="46" t="str">
        <x:v>boiled_100C_15min</x:v>
      </x:c>
      <x:c r="F30" s="46" t="str">
        <x:v>SRC-EGG-YOLK-BOIL-001</x:v>
      </x:c>
      <x:c r="G30" s="46" t="str">
        <x:v>Aldehyde</x:v>
      </x:c>
      <x:c r="H30" s="46" t="str">
        <x:v>Aldehyde</x:v>
      </x:c>
      <x:c r="I30" s="46" t="str">
        <x:v>Nonanal</x:v>
      </x:c>
      <x:c r="J30" s="46" t="n">
        <x:v>57</x:v>
      </x:c>
      <x:c r="K30" s="46" t="n">
        <x:v>1111</x:v>
      </x:c>
      <x:c r="L30" s="46" t="n">
        <x:v>0.129</x:v>
      </x:c>
      <x:c r="M30" s="46" t="n">
        <x:v>0.099</x:v>
      </x:c>
      <x:c r="N30" s="46" t="n">
        <x:v>0.051</x:v>
      </x:c>
      <x:c r="O30" s="46" t="n">
        <x:v>0.159</x:v>
      </x:c>
      <x:c r="P30" s="46" t="n">
        <x:v>0.014</x:v>
      </x:c>
      <x:c r="Q30" s="46" t="str">
        <x:v>AU × 10^6</x:v>
      </x:c>
      <x:c r="R30" s="46" t="str">
        <x:v>HS-SPME-GC-MS; source method references prior VOC-identification procedure; LRI reported for every row</x:v>
      </x:c>
      <x:c r="S30" s="46"/>
      <x:c r="T30" s="46" t="str">
        <x:v>partial_no_numeric_match_factor</x:v>
      </x:c>
      <x:c r="U30" s="46" t="str">
        <x:v>yes</x:v>
      </x:c>
      <x:c r="V30" s="46" t="str">
        <x:v>normal_culinary_evidence</x:v>
      </x:c>
      <x:c r="W30" s="46" t="str">
        <x:v>CE = commercial chicken egg control; breed values retained separately. Source-group taxonomy is preserved.</x:v>
      </x:c>
    </x:row>
    <x:row r="31" ht="26.399999618530273" hidden="0" customHeight="1">
      <x:c r="A31" s="46" t="str">
        <x:v>DEY-BOIL-030</x:v>
      </x:c>
      <x:c r="B31" s="46" t="str">
        <x:v>egg:yolk_chicken</x:v>
      </x:c>
      <x:c r="C31" s="46" t="str">
        <x:v>family:egg</x:v>
      </x:c>
      <x:c r="D31" s="46" t="str">
        <x:v>yolk_carrier</x:v>
      </x:c>
      <x:c r="E31" s="46" t="str">
        <x:v>boiled_100C_15min</x:v>
      </x:c>
      <x:c r="F31" s="46" t="str">
        <x:v>SRC-EGG-YOLK-BOIL-001</x:v>
      </x:c>
      <x:c r="G31" s="46" t="str">
        <x:v>Aldehyde</x:v>
      </x:c>
      <x:c r="H31" s="46" t="str">
        <x:v>Aldehyde</x:v>
      </x:c>
      <x:c r="I31" s="46" t="str">
        <x:v>Octanal</x:v>
      </x:c>
      <x:c r="J31" s="46" t="n">
        <x:v>41.1</x:v>
      </x:c>
      <x:c r="K31" s="46" t="n">
        <x:v>998</x:v>
      </x:c>
      <x:c r="L31" s="46" t="n">
        <x:v>0.025</x:v>
      </x:c>
      <x:c r="M31" s="46" t="n">
        <x:v>0</x:v>
      </x:c>
      <x:c r="N31" s="46" t="n">
        <x:v>0.039</x:v>
      </x:c>
      <x:c r="O31" s="46" t="n">
        <x:v>0.055</x:v>
      </x:c>
      <x:c r="P31" s="46" t="n">
        <x:v>0.007</x:v>
      </x:c>
      <x:c r="Q31" s="46" t="str">
        <x:v>AU × 10^6</x:v>
      </x:c>
      <x:c r="R31" s="46" t="str">
        <x:v>HS-SPME-GC-MS; source method references prior VOC-identification procedure; LRI reported for every row</x:v>
      </x:c>
      <x:c r="S31" s="46"/>
      <x:c r="T31" s="46" t="str">
        <x:v>partial_no_numeric_match_factor</x:v>
      </x:c>
      <x:c r="U31" s="46" t="str">
        <x:v>yes</x:v>
      </x:c>
      <x:c r="V31" s="46" t="str">
        <x:v>normal_culinary_evidence</x:v>
      </x:c>
      <x:c r="W31" s="46" t="str">
        <x:v>CE = commercial chicken egg control; breed values retained separately. Source-group taxonomy is preserved.</x:v>
      </x:c>
    </x:row>
    <x:row r="32" ht="26.399999618530273" hidden="0" customHeight="1">
      <x:c r="A32" s="46" t="str">
        <x:v>DEY-BOIL-031</x:v>
      </x:c>
      <x:c r="B32" s="46" t="str">
        <x:v>egg:yolk_chicken</x:v>
      </x:c>
      <x:c r="C32" s="46" t="str">
        <x:v>family:egg</x:v>
      </x:c>
      <x:c r="D32" s="46" t="str">
        <x:v>yolk_carrier</x:v>
      </x:c>
      <x:c r="E32" s="46" t="str">
        <x:v>boiled_100C_15min</x:v>
      </x:c>
      <x:c r="F32" s="46" t="str">
        <x:v>SRC-EGG-YOLK-BOIL-001</x:v>
      </x:c>
      <x:c r="G32" s="46" t="str">
        <x:v>Aldehyde</x:v>
      </x:c>
      <x:c r="H32" s="46" t="str">
        <x:v>Aldehyde</x:v>
      </x:c>
      <x:c r="I32" s="46" t="str">
        <x:v>Pentadecanal</x:v>
      </x:c>
      <x:c r="J32" s="46" t="n">
        <x:v>57.1</x:v>
      </x:c>
      <x:c r="K32" s="46" t="n">
        <x:v>1717</x:v>
      </x:c>
      <x:c r="L32" s="46" t="n">
        <x:v>0</x:v>
      </x:c>
      <x:c r="M32" s="46" t="n">
        <x:v>0</x:v>
      </x:c>
      <x:c r="N32" s="46" t="n">
        <x:v>0</x:v>
      </x:c>
      <x:c r="O32" s="46" t="n">
        <x:v>0.004</x:v>
      </x:c>
      <x:c r="P32" s="46" t="n">
        <x:v>0.001</x:v>
      </x:c>
      <x:c r="Q32" s="46" t="str">
        <x:v>AU × 10^6</x:v>
      </x:c>
      <x:c r="R32" s="46" t="str">
        <x:v>HS-SPME-GC-MS; source method references prior VOC-identification procedure; LRI reported for every row</x:v>
      </x:c>
      <x:c r="S32" s="46"/>
      <x:c r="T32" s="46" t="str">
        <x:v>partial_no_numeric_match_factor</x:v>
      </x:c>
      <x:c r="U32" s="46" t="str">
        <x:v>no</x:v>
      </x:c>
      <x:c r="V32" s="46" t="str">
        <x:v>normal_culinary_evidence</x:v>
      </x:c>
      <x:c r="W32" s="46" t="str">
        <x:v>CE = commercial chicken egg control; breed values retained separately. Source-group taxonomy is preserved.</x:v>
      </x:c>
    </x:row>
    <x:row r="33" ht="26.399999618530273" hidden="0" customHeight="1">
      <x:c r="A33" s="46" t="str">
        <x:v>DEY-BOIL-032</x:v>
      </x:c>
      <x:c r="B33" s="46" t="str">
        <x:v>egg:yolk_chicken</x:v>
      </x:c>
      <x:c r="C33" s="46" t="str">
        <x:v>family:egg</x:v>
      </x:c>
      <x:c r="D33" s="46" t="str">
        <x:v>yolk_carrier</x:v>
      </x:c>
      <x:c r="E33" s="46" t="str">
        <x:v>boiled_100C_15min</x:v>
      </x:c>
      <x:c r="F33" s="46" t="str">
        <x:v>SRC-EGG-YOLK-BOIL-001</x:v>
      </x:c>
      <x:c r="G33" s="46" t="str">
        <x:v>Aldehyde</x:v>
      </x:c>
      <x:c r="H33" s="46" t="str">
        <x:v>Aldehyde</x:v>
      </x:c>
      <x:c r="I33" s="46" t="str">
        <x:v>Propanal, 2,2-dimethyl-</x:v>
      </x:c>
      <x:c r="J33" s="46" t="n">
        <x:v>57.1</x:v>
      </x:c>
      <x:c r="K33" s="46" t="n">
        <x:v>554</x:v>
      </x:c>
      <x:c r="L33" s="46" t="n">
        <x:v>4.306</x:v>
      </x:c>
      <x:c r="M33" s="46" t="n">
        <x:v>5.836</x:v>
      </x:c>
      <x:c r="N33" s="46" t="n">
        <x:v>6.705</x:v>
      </x:c>
      <x:c r="O33" s="46" t="n">
        <x:v>1.389</x:v>
      </x:c>
      <x:c r="P33" s="46" t="n">
        <x:v>0.1738</x:v>
      </x:c>
      <x:c r="Q33" s="46" t="str">
        <x:v>AU × 10^6</x:v>
      </x:c>
      <x:c r="R33" s="46" t="str">
        <x:v>HS-SPME-GC-MS; source method references prior VOC-identification procedure; LRI reported for every row</x:v>
      </x:c>
      <x:c r="S33" s="46"/>
      <x:c r="T33" s="46" t="str">
        <x:v>partial_no_numeric_match_factor</x:v>
      </x:c>
      <x:c r="U33" s="46" t="str">
        <x:v>yes</x:v>
      </x:c>
      <x:c r="V33" s="46" t="str">
        <x:v>normal_culinary_evidence</x:v>
      </x:c>
      <x:c r="W33" s="46" t="str">
        <x:v>CE = commercial chicken egg control; breed values retained separately. Source-group taxonomy is preserved.</x:v>
      </x:c>
    </x:row>
    <x:row r="34" ht="26.399999618530273" hidden="0" customHeight="1">
      <x:c r="A34" s="46" t="str">
        <x:v>DEY-BOIL-033</x:v>
      </x:c>
      <x:c r="B34" s="46" t="str">
        <x:v>egg:yolk_chicken</x:v>
      </x:c>
      <x:c r="C34" s="46" t="str">
        <x:v>family:egg</x:v>
      </x:c>
      <x:c r="D34" s="46" t="str">
        <x:v>yolk_carrier</x:v>
      </x:c>
      <x:c r="E34" s="46" t="str">
        <x:v>boiled_100C_15min</x:v>
      </x:c>
      <x:c r="F34" s="46" t="str">
        <x:v>SRC-EGG-YOLK-BOIL-001</x:v>
      </x:c>
      <x:c r="G34" s="46" t="str">
        <x:v>Aldehyde</x:v>
      </x:c>
      <x:c r="H34" s="46" t="str">
        <x:v>Aldehyde</x:v>
      </x:c>
      <x:c r="I34" s="46" t="str">
        <x:v>Propanal, 2-methyl-</x:v>
      </x:c>
      <x:c r="J34" s="46" t="n">
        <x:v>43</x:v>
      </x:c>
      <x:c r="K34" s="46" t="n">
        <x:v>542</x:v>
      </x:c>
      <x:c r="L34" s="46" t="n">
        <x:v>0.568</x:v>
      </x:c>
      <x:c r="M34" s="46" t="n">
        <x:v>0</x:v>
      </x:c>
      <x:c r="N34" s="46" t="n">
        <x:v>0</x:v>
      </x:c>
      <x:c r="O34" s="46" t="n">
        <x:v>0</x:v>
      </x:c>
      <x:c r="P34" s="46" t="n">
        <x:v>0.1032</x:v>
      </x:c>
      <x:c r="Q34" s="46" t="str">
        <x:v>AU × 10^6</x:v>
      </x:c>
      <x:c r="R34" s="46" t="str">
        <x:v>HS-SPME-GC-MS; source method references prior VOC-identification procedure; LRI reported for every row</x:v>
      </x:c>
      <x:c r="S34" s="46"/>
      <x:c r="T34" s="46" t="str">
        <x:v>partial_no_numeric_match_factor</x:v>
      </x:c>
      <x:c r="U34" s="46" t="str">
        <x:v>yes</x:v>
      </x:c>
      <x:c r="V34" s="46" t="str">
        <x:v>normal_culinary_evidence</x:v>
      </x:c>
      <x:c r="W34" s="46" t="str">
        <x:v>CE = commercial chicken egg control; breed values retained separately. Source-group taxonomy is preserved.</x:v>
      </x:c>
    </x:row>
    <x:row r="35" ht="26.399999618530273" hidden="0" customHeight="1">
      <x:c r="A35" s="46" t="str">
        <x:v>DEY-BOIL-034</x:v>
      </x:c>
      <x:c r="B35" s="46" t="str">
        <x:v>egg:yolk_chicken</x:v>
      </x:c>
      <x:c r="C35" s="46" t="str">
        <x:v>family:egg</x:v>
      </x:c>
      <x:c r="D35" s="46" t="str">
        <x:v>yolk_carrier</x:v>
      </x:c>
      <x:c r="E35" s="46" t="str">
        <x:v>boiled_100C_15min</x:v>
      </x:c>
      <x:c r="F35" s="46" t="str">
        <x:v>SRC-EGG-YOLK-BOIL-001</x:v>
      </x:c>
      <x:c r="G35" s="46" t="str">
        <x:v>Ester</x:v>
      </x:c>
      <x:c r="H35" s="46" t="str">
        <x:v>Ester</x:v>
      </x:c>
      <x:c r="I35" s="46" t="str">
        <x:v>Arsenous acid, tris(trimethylsilyl) ester</x:v>
      </x:c>
      <x:c r="J35" s="46" t="n">
        <x:v>207</x:v>
      </x:c>
      <x:c r="K35" s="46" t="n">
        <x:v>700</x:v>
      </x:c>
      <x:c r="L35" s="46" t="n">
        <x:v>5.695</x:v>
      </x:c>
      <x:c r="M35" s="46" t="n">
        <x:v>6.629</x:v>
      </x:c>
      <x:c r="N35" s="46" t="n">
        <x:v>9.687</x:v>
      </x:c>
      <x:c r="O35" s="46" t="n">
        <x:v>7.79</x:v>
      </x:c>
      <x:c r="P35" s="46" t="n">
        <x:v>0.292</x:v>
      </x:c>
      <x:c r="Q35" s="46" t="str">
        <x:v>AU × 10^6</x:v>
      </x:c>
      <x:c r="R35" s="46" t="str">
        <x:v>HS-SPME-GC-MS; source method references prior VOC-identification procedure; LRI reported for every row</x:v>
      </x:c>
      <x:c r="S35" s="46"/>
      <x:c r="T35" s="46" t="str">
        <x:v>partial_no_numeric_match_factor</x:v>
      </x:c>
      <x:c r="U35" s="46" t="str">
        <x:v>yes</x:v>
      </x:c>
      <x:c r="V35" s="46" t="str">
        <x:v>normal_culinary_evidence</x:v>
      </x:c>
      <x:c r="W35" s="46" t="str">
        <x:v>Unusual source identity retained as reported; do not treat as a canonical culinary aroma driver without independent corroboration.</x:v>
      </x:c>
    </x:row>
    <x:row r="36" ht="26.399999618530273" hidden="0" customHeight="1">
      <x:c r="A36" s="46" t="str">
        <x:v>DEY-BOIL-035</x:v>
      </x:c>
      <x:c r="B36" s="46" t="str">
        <x:v>egg:yolk_chicken</x:v>
      </x:c>
      <x:c r="C36" s="46" t="str">
        <x:v>family:egg</x:v>
      </x:c>
      <x:c r="D36" s="46" t="str">
        <x:v>yolk_carrier</x:v>
      </x:c>
      <x:c r="E36" s="46" t="str">
        <x:v>boiled_100C_15min</x:v>
      </x:c>
      <x:c r="F36" s="46" t="str">
        <x:v>SRC-EGG-YOLK-BOIL-001</x:v>
      </x:c>
      <x:c r="G36" s="46" t="str">
        <x:v>Ester</x:v>
      </x:c>
      <x:c r="H36" s="46" t="str">
        <x:v>Isothiocyanates</x:v>
      </x:c>
      <x:c r="I36" s="46" t="str">
        <x:v>Benzoyl isothiocyanate</x:v>
      </x:c>
      <x:c r="J36" s="46" t="n">
        <x:v>105</x:v>
      </x:c>
      <x:c r="K36" s="46" t="n">
        <x:v>1069</x:v>
      </x:c>
      <x:c r="L36" s="46" t="n">
        <x:v>0.146</x:v>
      </x:c>
      <x:c r="M36" s="46" t="n">
        <x:v>0.123</x:v>
      </x:c>
      <x:c r="N36" s="46" t="n">
        <x:v>0.104</x:v>
      </x:c>
      <x:c r="O36" s="46" t="n">
        <x:v>0.141</x:v>
      </x:c>
      <x:c r="P36" s="46" t="n">
        <x:v>0.0107</x:v>
      </x:c>
      <x:c r="Q36" s="46" t="str">
        <x:v>AU × 10^6</x:v>
      </x:c>
      <x:c r="R36" s="46" t="str">
        <x:v>HS-SPME-GC-MS; source method references prior VOC-identification procedure; LRI reported for every row</x:v>
      </x:c>
      <x:c r="S36" s="46"/>
      <x:c r="T36" s="46" t="str">
        <x:v>partial_no_numeric_match_factor</x:v>
      </x:c>
      <x:c r="U36" s="46" t="str">
        <x:v>yes</x:v>
      </x:c>
      <x:c r="V36" s="46" t="str">
        <x:v>normal_culinary_evidence</x:v>
      </x:c>
      <x:c r="W36" s="46" t="str">
        <x:v>CE = commercial chicken egg control; breed values retained separately. Source-group taxonomy is preserved.</x:v>
      </x:c>
    </x:row>
    <x:row r="37" ht="26.399999618530273" hidden="0" customHeight="1">
      <x:c r="A37" s="46" t="str">
        <x:v>DEY-BOIL-036</x:v>
      </x:c>
      <x:c r="B37" s="46" t="str">
        <x:v>egg:yolk_chicken</x:v>
      </x:c>
      <x:c r="C37" s="46" t="str">
        <x:v>family:egg</x:v>
      </x:c>
      <x:c r="D37" s="46" t="str">
        <x:v>yolk_carrier</x:v>
      </x:c>
      <x:c r="E37" s="46" t="str">
        <x:v>boiled_100C_15min</x:v>
      </x:c>
      <x:c r="F37" s="46" t="str">
        <x:v>SRC-EGG-YOLK-BOIL-001</x:v>
      </x:c>
      <x:c r="G37" s="46" t="str">
        <x:v>Ester</x:v>
      </x:c>
      <x:c r="H37" s="46" t="str">
        <x:v>Ester</x:v>
      </x:c>
      <x:c r="I37" s="46" t="str">
        <x:v>Borinic acid, diethyl-, methyl ester</x:v>
      </x:c>
      <x:c r="J37" s="46" t="n">
        <x:v>43.1</x:v>
      </x:c>
      <x:c r="K37" s="46" t="n">
        <x:v>585</x:v>
      </x:c>
      <x:c r="L37" s="46" t="n">
        <x:v>1.013</x:v>
      </x:c>
      <x:c r="M37" s="46" t="n">
        <x:v>1.981</x:v>
      </x:c>
      <x:c r="N37" s="46" t="n">
        <x:v>1.861</x:v>
      </x:c>
      <x:c r="O37" s="46" t="n">
        <x:v>0.483</x:v>
      </x:c>
      <x:c r="P37" s="46" t="n">
        <x:v>0.0795</x:v>
      </x:c>
      <x:c r="Q37" s="46" t="str">
        <x:v>AU × 10^6</x:v>
      </x:c>
      <x:c r="R37" s="46" t="str">
        <x:v>HS-SPME-GC-MS; source method references prior VOC-identification procedure; LRI reported for every row</x:v>
      </x:c>
      <x:c r="S37" s="46"/>
      <x:c r="T37" s="46" t="str">
        <x:v>partial_no_numeric_match_factor</x:v>
      </x:c>
      <x:c r="U37" s="46" t="str">
        <x:v>yes</x:v>
      </x:c>
      <x:c r="V37" s="46" t="str">
        <x:v>normal_culinary_evidence</x:v>
      </x:c>
      <x:c r="W37" s="46" t="str">
        <x:v>Unusual source identity retained; source group preserved.</x:v>
      </x:c>
    </x:row>
    <x:row r="38" ht="26.399999618530273" hidden="0" customHeight="1">
      <x:c r="A38" s="46" t="str">
        <x:v>DEY-BOIL-037</x:v>
      </x:c>
      <x:c r="B38" s="46" t="str">
        <x:v>egg:yolk_chicken</x:v>
      </x:c>
      <x:c r="C38" s="46" t="str">
        <x:v>family:egg</x:v>
      </x:c>
      <x:c r="D38" s="46" t="str">
        <x:v>yolk_carrier</x:v>
      </x:c>
      <x:c r="E38" s="46" t="str">
        <x:v>boiled_100C_15min</x:v>
      </x:c>
      <x:c r="F38" s="46" t="str">
        <x:v>SRC-EGG-YOLK-BOIL-001</x:v>
      </x:c>
      <x:c r="G38" s="46" t="str">
        <x:v>Ester</x:v>
      </x:c>
      <x:c r="H38" s="46" t="str">
        <x:v>Ester</x:v>
      </x:c>
      <x:c r="I38" s="46" t="str">
        <x:v>Butyl isocyanatoacetate</x:v>
      </x:c>
      <x:c r="J38" s="46" t="n">
        <x:v>57.1</x:v>
      </x:c>
      <x:c r="K38" s="46" t="n">
        <x:v>552</x:v>
      </x:c>
      <x:c r="L38" s="46" t="n">
        <x:v>0</x:v>
      </x:c>
      <x:c r="M38" s="46" t="n">
        <x:v>0</x:v>
      </x:c>
      <x:c r="N38" s="46" t="n">
        <x:v>0.347</x:v>
      </x:c>
      <x:c r="O38" s="46" t="n">
        <x:v>0.026</x:v>
      </x:c>
      <x:c r="P38" s="46" t="n">
        <x:v>0.0375</x:v>
      </x:c>
      <x:c r="Q38" s="46" t="str">
        <x:v>AU × 10^6</x:v>
      </x:c>
      <x:c r="R38" s="46" t="str">
        <x:v>HS-SPME-GC-MS; source method references prior VOC-identification procedure; LRI reported for every row</x:v>
      </x:c>
      <x:c r="S38" s="46"/>
      <x:c r="T38" s="46" t="str">
        <x:v>partial_no_numeric_match_factor</x:v>
      </x:c>
      <x:c r="U38" s="46" t="str">
        <x:v>no</x:v>
      </x:c>
      <x:c r="V38" s="46" t="str">
        <x:v>normal_culinary_evidence</x:v>
      </x:c>
      <x:c r="W38" s="46" t="str">
        <x:v>CE = commercial chicken egg control; breed values retained separately. Source-group taxonomy is preserved.</x:v>
      </x:c>
    </x:row>
    <x:row r="39" ht="26.399999618530273" hidden="0" customHeight="1">
      <x:c r="A39" s="46" t="str">
        <x:v>DEY-BOIL-038</x:v>
      </x:c>
      <x:c r="B39" s="46" t="str">
        <x:v>egg:yolk_chicken</x:v>
      </x:c>
      <x:c r="C39" s="46" t="str">
        <x:v>family:egg</x:v>
      </x:c>
      <x:c r="D39" s="46" t="str">
        <x:v>yolk_carrier</x:v>
      </x:c>
      <x:c r="E39" s="46" t="str">
        <x:v>boiled_100C_15min</x:v>
      </x:c>
      <x:c r="F39" s="46" t="str">
        <x:v>SRC-EGG-YOLK-BOIL-001</x:v>
      </x:c>
      <x:c r="G39" s="46" t="str">
        <x:v>Ester</x:v>
      </x:c>
      <x:c r="H39" s="46" t="str">
        <x:v>Ester</x:v>
      </x:c>
      <x:c r="I39" s="46" t="str">
        <x:v>Butylphosphonic acid, di(2-phenylethyl) ester</x:v>
      </x:c>
      <x:c r="J39" s="46" t="n">
        <x:v>104</x:v>
      </x:c>
      <x:c r="K39" s="46" t="n">
        <x:v>819</x:v>
      </x:c>
      <x:c r="L39" s="46" t="n">
        <x:v>0</x:v>
      </x:c>
      <x:c r="M39" s="46" t="n">
        <x:v>0.022</x:v>
      </x:c>
      <x:c r="N39" s="46" t="n">
        <x:v>0</x:v>
      </x:c>
      <x:c r="O39" s="46" t="n">
        <x:v>0</x:v>
      </x:c>
      <x:c r="P39" s="46" t="n">
        <x:v>0.0057</x:v>
      </x:c>
      <x:c r="Q39" s="46" t="str">
        <x:v>AU × 10^6</x:v>
      </x:c>
      <x:c r="R39" s="46" t="str">
        <x:v>HS-SPME-GC-MS; source method references prior VOC-identification procedure; LRI reported for every row</x:v>
      </x:c>
      <x:c r="S39" s="46"/>
      <x:c r="T39" s="46" t="str">
        <x:v>partial_no_numeric_match_factor</x:v>
      </x:c>
      <x:c r="U39" s="46" t="str">
        <x:v>no</x:v>
      </x:c>
      <x:c r="V39" s="46" t="str">
        <x:v>normal_culinary_evidence</x:v>
      </x:c>
      <x:c r="W39" s="46" t="str">
        <x:v>CE = commercial chicken egg control; breed values retained separately. Source-group taxonomy is preserved.</x:v>
      </x:c>
    </x:row>
    <x:row r="40" ht="26.399999618530273" hidden="0" customHeight="1">
      <x:c r="A40" s="46" t="str">
        <x:v>DEY-BOIL-039</x:v>
      </x:c>
      <x:c r="B40" s="46" t="str">
        <x:v>egg:yolk_chicken</x:v>
      </x:c>
      <x:c r="C40" s="46" t="str">
        <x:v>family:egg</x:v>
      </x:c>
      <x:c r="D40" s="46" t="str">
        <x:v>yolk_carrier</x:v>
      </x:c>
      <x:c r="E40" s="46" t="str">
        <x:v>boiled_100C_15min</x:v>
      </x:c>
      <x:c r="F40" s="46" t="str">
        <x:v>SRC-EGG-YOLK-BOIL-001</x:v>
      </x:c>
      <x:c r="G40" s="46" t="str">
        <x:v>Ester</x:v>
      </x:c>
      <x:c r="H40" s="46" t="str">
        <x:v>Ester</x:v>
      </x:c>
      <x:c r="I40" s="46" t="str">
        <x:v>Carbonic acid, decyl vinyl ester</x:v>
      </x:c>
      <x:c r="J40" s="46" t="n">
        <x:v>57</x:v>
      </x:c>
      <x:c r="K40" s="46" t="n">
        <x:v>1503</x:v>
      </x:c>
      <x:c r="L40" s="46" t="n">
        <x:v>0</x:v>
      </x:c>
      <x:c r="M40" s="46" t="n">
        <x:v>0</x:v>
      </x:c>
      <x:c r="N40" s="46" t="n">
        <x:v>0</x:v>
      </x:c>
      <x:c r="O40" s="46" t="n">
        <x:v>0.017</x:v>
      </x:c>
      <x:c r="P40" s="46" t="n">
        <x:v>0.0036</x:v>
      </x:c>
      <x:c r="Q40" s="46" t="str">
        <x:v>AU × 10^6</x:v>
      </x:c>
      <x:c r="R40" s="46" t="str">
        <x:v>HS-SPME-GC-MS; source method references prior VOC-identification procedure; LRI reported for every row</x:v>
      </x:c>
      <x:c r="S40" s="46"/>
      <x:c r="T40" s="46" t="str">
        <x:v>partial_no_numeric_match_factor</x:v>
      </x:c>
      <x:c r="U40" s="46" t="str">
        <x:v>no</x:v>
      </x:c>
      <x:c r="V40" s="46" t="str">
        <x:v>normal_culinary_evidence</x:v>
      </x:c>
      <x:c r="W40" s="46" t="str">
        <x:v>CE = commercial chicken egg control; breed values retained separately. Source-group taxonomy is preserved.</x:v>
      </x:c>
    </x:row>
    <x:row r="41" ht="26.399999618530273" hidden="0" customHeight="1">
      <x:c r="A41" s="46" t="str">
        <x:v>DEY-BOIL-040</x:v>
      </x:c>
      <x:c r="B41" s="46" t="str">
        <x:v>egg:yolk_chicken</x:v>
      </x:c>
      <x:c r="C41" s="46" t="str">
        <x:v>family:egg</x:v>
      </x:c>
      <x:c r="D41" s="46" t="str">
        <x:v>yolk_carrier</x:v>
      </x:c>
      <x:c r="E41" s="46" t="str">
        <x:v>boiled_100C_15min</x:v>
      </x:c>
      <x:c r="F41" s="46" t="str">
        <x:v>SRC-EGG-YOLK-BOIL-001</x:v>
      </x:c>
      <x:c r="G41" s="46" t="str">
        <x:v>Ester</x:v>
      </x:c>
      <x:c r="H41" s="46" t="str">
        <x:v>Ester</x:v>
      </x:c>
      <x:c r="I41" s="46" t="str">
        <x:v>Dibutyl phthalate</x:v>
      </x:c>
      <x:c r="J41" s="46" t="n">
        <x:v>149.1</x:v>
      </x:c>
      <x:c r="K41" s="46" t="n">
        <x:v>1965</x:v>
      </x:c>
      <x:c r="L41" s="46" t="n">
        <x:v>0.018</x:v>
      </x:c>
      <x:c r="M41" s="46" t="n">
        <x:v>0</x:v>
      </x:c>
      <x:c r="N41" s="46" t="n">
        <x:v>0.019</x:v>
      </x:c>
      <x:c r="O41" s="46" t="n">
        <x:v>0</x:v>
      </x:c>
      <x:c r="P41" s="46" t="n">
        <x:v>0.0092</x:v>
      </x:c>
      <x:c r="Q41" s="46" t="str">
        <x:v>AU × 10^6</x:v>
      </x:c>
      <x:c r="R41" s="46" t="str">
        <x:v>HS-SPME-GC-MS; source method references prior VOC-identification procedure; LRI reported for every row</x:v>
      </x:c>
      <x:c r="S41" s="46"/>
      <x:c r="T41" s="46" t="str">
        <x:v>partial_no_numeric_match_factor</x:v>
      </x:c>
      <x:c r="U41" s="46" t="str">
        <x:v>yes</x:v>
      </x:c>
      <x:c r="V41" s="46" t="str">
        <x:v>present_not_flavor_relevant</x:v>
      </x:c>
      <x:c r="W41" s="46" t="str">
        <x:v>MR-17: genuinely detected sample constituent consistent with plasticizer migration; retain per-sample occurrence, exclude from flavor profiles and DF/IDF.</x:v>
      </x:c>
    </x:row>
    <x:row r="42" ht="26.399999618530273" hidden="0" customHeight="1">
      <x:c r="A42" s="46" t="str">
        <x:v>DEY-BOIL-041</x:v>
      </x:c>
      <x:c r="B42" s="46" t="str">
        <x:v>egg:yolk_chicken</x:v>
      </x:c>
      <x:c r="C42" s="46" t="str">
        <x:v>family:egg</x:v>
      </x:c>
      <x:c r="D42" s="46" t="str">
        <x:v>yolk_carrier</x:v>
      </x:c>
      <x:c r="E42" s="46" t="str">
        <x:v>boiled_100C_15min</x:v>
      </x:c>
      <x:c r="F42" s="46" t="str">
        <x:v>SRC-EGG-YOLK-BOIL-001</x:v>
      </x:c>
      <x:c r="G42" s="46" t="str">
        <x:v>Ester</x:v>
      </x:c>
      <x:c r="H42" s="46" t="str">
        <x:v>Ester</x:v>
      </x:c>
      <x:c r="I42" s="46" t="str">
        <x:v>Methyl salicylate</x:v>
      </x:c>
      <x:c r="J42" s="46" t="n">
        <x:v>120</x:v>
      </x:c>
      <x:c r="K42" s="46" t="n">
        <x:v>1194</x:v>
      </x:c>
      <x:c r="L42" s="46" t="n">
        <x:v>0.041</x:v>
      </x:c>
      <x:c r="M42" s="46" t="n">
        <x:v>0.037</x:v>
      </x:c>
      <x:c r="N42" s="46" t="n">
        <x:v>0.051</x:v>
      </x:c>
      <x:c r="O42" s="46" t="n">
        <x:v>0.065</x:v>
      </x:c>
      <x:c r="P42" s="46" t="n">
        <x:v>0.0133</x:v>
      </x:c>
      <x:c r="Q42" s="46" t="str">
        <x:v>AU × 10^6</x:v>
      </x:c>
      <x:c r="R42" s="46" t="str">
        <x:v>HS-SPME-GC-MS; source method references prior VOC-identification procedure; LRI reported for every row</x:v>
      </x:c>
      <x:c r="S42" s="46"/>
      <x:c r="T42" s="46" t="str">
        <x:v>partial_no_numeric_match_factor</x:v>
      </x:c>
      <x:c r="U42" s="46" t="str">
        <x:v>yes</x:v>
      </x:c>
      <x:c r="V42" s="46" t="str">
        <x:v>normal_culinary_evidence</x:v>
      </x:c>
      <x:c r="W42" s="46" t="str">
        <x:v>CE = commercial chicken egg control; breed values retained separately. Source-group taxonomy is preserved.</x:v>
      </x:c>
    </x:row>
    <x:row r="43" ht="26.399999618530273" hidden="0" customHeight="1">
      <x:c r="A43" s="46" t="str">
        <x:v>DEY-BOIL-042</x:v>
      </x:c>
      <x:c r="B43" s="46" t="str">
        <x:v>egg:yolk_chicken</x:v>
      </x:c>
      <x:c r="C43" s="46" t="str">
        <x:v>family:egg</x:v>
      </x:c>
      <x:c r="D43" s="46" t="str">
        <x:v>yolk_carrier</x:v>
      </x:c>
      <x:c r="E43" s="46" t="str">
        <x:v>boiled_100C_15min</x:v>
      </x:c>
      <x:c r="F43" s="46" t="str">
        <x:v>SRC-EGG-YOLK-BOIL-001</x:v>
      </x:c>
      <x:c r="G43" s="46" t="str">
        <x:v>Ester</x:v>
      </x:c>
      <x:c r="H43" s="46" t="str">
        <x:v>Ester</x:v>
      </x:c>
      <x:c r="I43" s="46" t="str">
        <x:v>n-Caproic acid vinyl ester</x:v>
      </x:c>
      <x:c r="J43" s="46" t="n">
        <x:v>43.1</x:v>
      </x:c>
      <x:c r="K43" s="46" t="n">
        <x:v>977</x:v>
      </x:c>
      <x:c r="L43" s="46" t="n">
        <x:v>0.085</x:v>
      </x:c>
      <x:c r="M43" s="46" t="n">
        <x:v>0.061</x:v>
      </x:c>
      <x:c r="N43" s="46" t="n">
        <x:v>0.045</x:v>
      </x:c>
      <x:c r="O43" s="46" t="n">
        <x:v>0.06</x:v>
      </x:c>
      <x:c r="P43" s="46" t="n">
        <x:v>0.0148</x:v>
      </x:c>
      <x:c r="Q43" s="46" t="str">
        <x:v>AU × 10^6</x:v>
      </x:c>
      <x:c r="R43" s="46" t="str">
        <x:v>HS-SPME-GC-MS; source method references prior VOC-identification procedure; LRI reported for every row</x:v>
      </x:c>
      <x:c r="S43" s="46"/>
      <x:c r="T43" s="46" t="str">
        <x:v>partial_no_numeric_match_factor</x:v>
      </x:c>
      <x:c r="U43" s="46" t="str">
        <x:v>yes</x:v>
      </x:c>
      <x:c r="V43" s="46" t="str">
        <x:v>normal_culinary_evidence</x:v>
      </x:c>
      <x:c r="W43" s="46" t="str">
        <x:v>CE = commercial chicken egg control; breed values retained separately. Source-group taxonomy is preserved.</x:v>
      </x:c>
    </x:row>
    <x:row r="44" ht="26.399999618530273" hidden="0" customHeight="1">
      <x:c r="A44" s="46" t="str">
        <x:v>DEY-BOIL-043</x:v>
      </x:c>
      <x:c r="B44" s="46" t="str">
        <x:v>egg:yolk_chicken</x:v>
      </x:c>
      <x:c r="C44" s="46" t="str">
        <x:v>family:egg</x:v>
      </x:c>
      <x:c r="D44" s="46" t="str">
        <x:v>yolk_carrier</x:v>
      </x:c>
      <x:c r="E44" s="46" t="str">
        <x:v>boiled_100C_15min</x:v>
      </x:c>
      <x:c r="F44" s="46" t="str">
        <x:v>SRC-EGG-YOLK-BOIL-001</x:v>
      </x:c>
      <x:c r="G44" s="46" t="str">
        <x:v>Ester</x:v>
      </x:c>
      <x:c r="H44" s="46" t="str">
        <x:v>Ester</x:v>
      </x:c>
      <x:c r="I44" s="46" t="str">
        <x:v>Phthalic acid, di(2-propylpentyl) ester</x:v>
      </x:c>
      <x:c r="J44" s="46" t="n">
        <x:v>149</x:v>
      </x:c>
      <x:c r="K44" s="46" t="n">
        <x:v>2546</x:v>
      </x:c>
      <x:c r="L44" s="46" t="n">
        <x:v>0.021</x:v>
      </x:c>
      <x:c r="M44" s="46" t="n">
        <x:v>0</x:v>
      </x:c>
      <x:c r="N44" s="46" t="n">
        <x:v>0</x:v>
      </x:c>
      <x:c r="O44" s="46" t="n">
        <x:v>0</x:v>
      </x:c>
      <x:c r="P44" s="46" t="n">
        <x:v>0.0079</x:v>
      </x:c>
      <x:c r="Q44" s="46" t="str">
        <x:v>AU × 10^6</x:v>
      </x:c>
      <x:c r="R44" s="46" t="str">
        <x:v>HS-SPME-GC-MS; source method references prior VOC-identification procedure; LRI reported for every row</x:v>
      </x:c>
      <x:c r="S44" s="46"/>
      <x:c r="T44" s="46" t="str">
        <x:v>partial_no_numeric_match_factor</x:v>
      </x:c>
      <x:c r="U44" s="46" t="str">
        <x:v>yes</x:v>
      </x:c>
      <x:c r="V44" s="46" t="str">
        <x:v>normal_culinary_evidence</x:v>
      </x:c>
      <x:c r="W44" s="46" t="str">
        <x:v>CE = commercial chicken egg control; breed values retained separately. Source-group taxonomy is preserved.</x:v>
      </x:c>
    </x:row>
    <x:row r="45" ht="26.399999618530273" hidden="0" customHeight="1">
      <x:c r="A45" s="46" t="str">
        <x:v>DEY-BOIL-044</x:v>
      </x:c>
      <x:c r="B45" s="46" t="str">
        <x:v>egg:yolk_chicken</x:v>
      </x:c>
      <x:c r="C45" s="46" t="str">
        <x:v>family:egg</x:v>
      </x:c>
      <x:c r="D45" s="46" t="str">
        <x:v>yolk_carrier</x:v>
      </x:c>
      <x:c r="E45" s="46" t="str">
        <x:v>boiled_100C_15min</x:v>
      </x:c>
      <x:c r="F45" s="46" t="str">
        <x:v>SRC-EGG-YOLK-BOIL-001</x:v>
      </x:c>
      <x:c r="G45" s="46" t="str">
        <x:v>Hydrocarbon</x:v>
      </x:c>
      <x:c r="H45" s="46" t="str">
        <x:v>Aromatic hydrocarbons</x:v>
      </x:c>
      <x:c r="I45" s="46" t="str">
        <x:v>(E)-Stilbene</x:v>
      </x:c>
      <x:c r="J45" s="46" t="n">
        <x:v>179</x:v>
      </x:c>
      <x:c r="K45" s="46" t="n">
        <x:v>1710</x:v>
      </x:c>
      <x:c r="L45" s="46" t="n">
        <x:v>0.002</x:v>
      </x:c>
      <x:c r="M45" s="46" t="n">
        <x:v>0</x:v>
      </x:c>
      <x:c r="N45" s="46" t="n">
        <x:v>0</x:v>
      </x:c>
      <x:c r="O45" s="46" t="n">
        <x:v>0</x:v>
      </x:c>
      <x:c r="P45" s="46" t="n">
        <x:v>0.0005</x:v>
      </x:c>
      <x:c r="Q45" s="46" t="str">
        <x:v>AU × 10^6</x:v>
      </x:c>
      <x:c r="R45" s="46" t="str">
        <x:v>HS-SPME-GC-MS; source method references prior VOC-identification procedure; LRI reported for every row</x:v>
      </x:c>
      <x:c r="S45" s="46"/>
      <x:c r="T45" s="46" t="str">
        <x:v>partial_no_numeric_match_factor</x:v>
      </x:c>
      <x:c r="U45" s="46" t="str">
        <x:v>yes</x:v>
      </x:c>
      <x:c r="V45" s="46" t="str">
        <x:v>normal_culinary_evidence</x:v>
      </x:c>
      <x:c r="W45" s="46" t="str">
        <x:v>CE = commercial chicken egg control; breed values retained separately. Source-group taxonomy is preserved.</x:v>
      </x:c>
    </x:row>
    <x:row r="46" ht="26.399999618530273" hidden="0" customHeight="1">
      <x:c r="A46" s="46" t="str">
        <x:v>DEY-BOIL-045</x:v>
      </x:c>
      <x:c r="B46" s="46" t="str">
        <x:v>egg:yolk_chicken</x:v>
      </x:c>
      <x:c r="C46" s="46" t="str">
        <x:v>family:egg</x:v>
      </x:c>
      <x:c r="D46" s="46" t="str">
        <x:v>yolk_carrier</x:v>
      </x:c>
      <x:c r="E46" s="46" t="str">
        <x:v>boiled_100C_15min</x:v>
      </x:c>
      <x:c r="F46" s="46" t="str">
        <x:v>SRC-EGG-YOLK-BOIL-001</x:v>
      </x:c>
      <x:c r="G46" s="46" t="str">
        <x:v>Hydrocarbon</x:v>
      </x:c>
      <x:c r="H46" s="46" t="str">
        <x:v>Isothiocyanates</x:v>
      </x:c>
      <x:c r="I46" s="46" t="str">
        <x:v>1-Butene, 4-isothiocyanato-</x:v>
      </x:c>
      <x:c r="J46" s="46" t="n">
        <x:v>72.1</x:v>
      </x:c>
      <x:c r="K46" s="46" t="n">
        <x:v>971</x:v>
      </x:c>
      <x:c r="L46" s="46" t="n">
        <x:v>0.263</x:v>
      </x:c>
      <x:c r="M46" s="46" t="n">
        <x:v>0.129</x:v>
      </x:c>
      <x:c r="N46" s="46" t="n">
        <x:v>0.249</x:v>
      </x:c>
      <x:c r="O46" s="46" t="n">
        <x:v>0.154</x:v>
      </x:c>
      <x:c r="P46" s="46" t="n">
        <x:v>0.0286</x:v>
      </x:c>
      <x:c r="Q46" s="46" t="str">
        <x:v>AU × 10^6</x:v>
      </x:c>
      <x:c r="R46" s="46" t="str">
        <x:v>HS-SPME-GC-MS; source method references prior VOC-identification procedure; LRI reported for every row</x:v>
      </x:c>
      <x:c r="S46" s="46"/>
      <x:c r="T46" s="46" t="str">
        <x:v>partial_no_numeric_match_factor</x:v>
      </x:c>
      <x:c r="U46" s="46" t="str">
        <x:v>yes</x:v>
      </x:c>
      <x:c r="V46" s="46" t="str">
        <x:v>normal_culinary_evidence</x:v>
      </x:c>
      <x:c r="W46" s="46" t="str">
        <x:v>Source group Hydrocarbon.</x:v>
      </x:c>
    </x:row>
    <x:row r="47" ht="26.399999618530273" hidden="0" customHeight="1">
      <x:c r="A47" s="46" t="str">
        <x:v>DEY-BOIL-046</x:v>
      </x:c>
      <x:c r="B47" s="46" t="str">
        <x:v>egg:yolk_chicken</x:v>
      </x:c>
      <x:c r="C47" s="46" t="str">
        <x:v>family:egg</x:v>
      </x:c>
      <x:c r="D47" s="46" t="str">
        <x:v>yolk_carrier</x:v>
      </x:c>
      <x:c r="E47" s="46" t="str">
        <x:v>boiled_100C_15min</x:v>
      </x:c>
      <x:c r="F47" s="46" t="str">
        <x:v>SRC-EGG-YOLK-BOIL-001</x:v>
      </x:c>
      <x:c r="G47" s="46" t="str">
        <x:v>Hydrocarbon</x:v>
      </x:c>
      <x:c r="H47" s="46" t="str">
        <x:v>Hydrocarbons</x:v>
      </x:c>
      <x:c r="I47" s="46" t="str">
        <x:v>1-Octadecyne</x:v>
      </x:c>
      <x:c r="J47" s="46" t="n">
        <x:v>57.1</x:v>
      </x:c>
      <x:c r="K47" s="46" t="n">
        <x:v>1817</x:v>
      </x:c>
      <x:c r="L47" s="46" t="n">
        <x:v>0</x:v>
      </x:c>
      <x:c r="M47" s="46" t="n">
        <x:v>0.003</x:v>
      </x:c>
      <x:c r="N47" s="46" t="n">
        <x:v>0.003</x:v>
      </x:c>
      <x:c r="O47" s="46" t="n">
        <x:v>0</x:v>
      </x:c>
      <x:c r="P47" s="46" t="n">
        <x:v>0.0004</x:v>
      </x:c>
      <x:c r="Q47" s="46" t="str">
        <x:v>AU × 10^6</x:v>
      </x:c>
      <x:c r="R47" s="46" t="str">
        <x:v>HS-SPME-GC-MS; source method references prior VOC-identification procedure; LRI reported for every row</x:v>
      </x:c>
      <x:c r="S47" s="46"/>
      <x:c r="T47" s="46" t="str">
        <x:v>partial_no_numeric_match_factor</x:v>
      </x:c>
      <x:c r="U47" s="46" t="str">
        <x:v>no</x:v>
      </x:c>
      <x:c r="V47" s="46" t="str">
        <x:v>normal_culinary_evidence</x:v>
      </x:c>
      <x:c r="W47" s="46" t="str">
        <x:v>CE = commercial chicken egg control; breed values retained separately. Source-group taxonomy is preserved.</x:v>
      </x:c>
    </x:row>
    <x:row r="48" ht="26.399999618530273" hidden="0" customHeight="1">
      <x:c r="A48" s="46" t="str">
        <x:v>DEY-BOIL-047</x:v>
      </x:c>
      <x:c r="B48" s="46" t="str">
        <x:v>egg:yolk_chicken</x:v>
      </x:c>
      <x:c r="C48" s="46" t="str">
        <x:v>family:egg</x:v>
      </x:c>
      <x:c r="D48" s="46" t="str">
        <x:v>yolk_carrier</x:v>
      </x:c>
      <x:c r="E48" s="46" t="str">
        <x:v>boiled_100C_15min</x:v>
      </x:c>
      <x:c r="F48" s="46" t="str">
        <x:v>SRC-EGG-YOLK-BOIL-001</x:v>
      </x:c>
      <x:c r="G48" s="46" t="str">
        <x:v>Hydrocarbon</x:v>
      </x:c>
      <x:c r="H48" s="46" t="str">
        <x:v>Hydrocarbons</x:v>
      </x:c>
      <x:c r="I48" s="46" t="str">
        <x:v>1-Pentene, 3-methyl-</x:v>
      </x:c>
      <x:c r="J48" s="46" t="n">
        <x:v>56</x:v>
      </x:c>
      <x:c r="K48" s="46" t="n">
        <x:v>561</x:v>
      </x:c>
      <x:c r="L48" s="46" t="n">
        <x:v>0.643</x:v>
      </x:c>
      <x:c r="M48" s="46" t="n">
        <x:v>1.015</x:v>
      </x:c>
      <x:c r="N48" s="46" t="n">
        <x:v>1.199</x:v>
      </x:c>
      <x:c r="O48" s="46" t="n">
        <x:v>0.199</x:v>
      </x:c>
      <x:c r="P48" s="46" t="n">
        <x:v>0.0978</x:v>
      </x:c>
      <x:c r="Q48" s="46" t="str">
        <x:v>AU × 10^6</x:v>
      </x:c>
      <x:c r="R48" s="46" t="str">
        <x:v>HS-SPME-GC-MS; source method references prior VOC-identification procedure; LRI reported for every row</x:v>
      </x:c>
      <x:c r="S48" s="46"/>
      <x:c r="T48" s="46" t="str">
        <x:v>partial_no_numeric_match_factor</x:v>
      </x:c>
      <x:c r="U48" s="46" t="str">
        <x:v>yes</x:v>
      </x:c>
      <x:c r="V48" s="46" t="str">
        <x:v>normal_culinary_evidence</x:v>
      </x:c>
      <x:c r="W48" s="46" t="str">
        <x:v>CE = commercial chicken egg control; breed values retained separately. Source-group taxonomy is preserved.</x:v>
      </x:c>
    </x:row>
    <x:row r="49" ht="26.399999618530273" hidden="0" customHeight="1">
      <x:c r="A49" s="46" t="str">
        <x:v>DEY-BOIL-048</x:v>
      </x:c>
      <x:c r="B49" s="46" t="str">
        <x:v>egg:yolk_chicken</x:v>
      </x:c>
      <x:c r="C49" s="46" t="str">
        <x:v>family:egg</x:v>
      </x:c>
      <x:c r="D49" s="46" t="str">
        <x:v>yolk_carrier</x:v>
      </x:c>
      <x:c r="E49" s="46" t="str">
        <x:v>boiled_100C_15min</x:v>
      </x:c>
      <x:c r="F49" s="46" t="str">
        <x:v>SRC-EGG-YOLK-BOIL-001</x:v>
      </x:c>
      <x:c r="G49" s="46" t="str">
        <x:v>Hydrocarbon</x:v>
      </x:c>
      <x:c r="H49" s="46" t="str">
        <x:v>Ethers</x:v>
      </x:c>
      <x:c r="I49" s="46" t="str">
        <x:v>1-Propene, 2-(1-methylethoxy)</x:v>
      </x:c>
      <x:c r="J49" s="46" t="n">
        <x:v>43</x:v>
      </x:c>
      <x:c r="K49" s="46" t="n">
        <x:v>609</x:v>
      </x:c>
      <x:c r="L49" s="46" t="n">
        <x:v>0</x:v>
      </x:c>
      <x:c r="M49" s="46" t="n">
        <x:v>0.032</x:v>
      </x:c>
      <x:c r="N49" s="46" t="n">
        <x:v>0</x:v>
      </x:c>
      <x:c r="O49" s="46" t="n">
        <x:v>0</x:v>
      </x:c>
      <x:c r="P49" s="46" t="n">
        <x:v>0.0089</x:v>
      </x:c>
      <x:c r="Q49" s="46" t="str">
        <x:v>AU × 10^6</x:v>
      </x:c>
      <x:c r="R49" s="46" t="str">
        <x:v>HS-SPME-GC-MS; source method references prior VOC-identification procedure; LRI reported for every row</x:v>
      </x:c>
      <x:c r="S49" s="46"/>
      <x:c r="T49" s="46" t="str">
        <x:v>partial_no_numeric_match_factor</x:v>
      </x:c>
      <x:c r="U49" s="46" t="str">
        <x:v>no</x:v>
      </x:c>
      <x:c r="V49" s="46" t="str">
        <x:v>normal_culinary_evidence</x:v>
      </x:c>
      <x:c r="W49" s="46" t="str">
        <x:v>Source group Hydrocarbon.</x:v>
      </x:c>
    </x:row>
    <x:row r="50" ht="26.399999618530273" hidden="0" customHeight="1">
      <x:c r="A50" s="46" t="str">
        <x:v>DEY-BOIL-049</x:v>
      </x:c>
      <x:c r="B50" s="46" t="str">
        <x:v>egg:yolk_chicken</x:v>
      </x:c>
      <x:c r="C50" s="46" t="str">
        <x:v>family:egg</x:v>
      </x:c>
      <x:c r="D50" s="46" t="str">
        <x:v>yolk_carrier</x:v>
      </x:c>
      <x:c r="E50" s="46" t="str">
        <x:v>boiled_100C_15min</x:v>
      </x:c>
      <x:c r="F50" s="46" t="str">
        <x:v>SRC-EGG-YOLK-BOIL-001</x:v>
      </x:c>
      <x:c r="G50" s="46" t="str">
        <x:v>Hydrocarbon</x:v>
      </x:c>
      <x:c r="H50" s="46" t="str">
        <x:v>Alkanes</x:v>
      </x:c>
      <x:c r="I50" s="46" t="str">
        <x:v>2,4-Dimethyldodecane</x:v>
      </x:c>
      <x:c r="J50" s="46" t="n">
        <x:v>57</x:v>
      </x:c>
      <x:c r="K50" s="46" t="n">
        <x:v>1268</x:v>
      </x:c>
      <x:c r="L50" s="46" t="n">
        <x:v>0.016</x:v>
      </x:c>
      <x:c r="M50" s="46" t="n">
        <x:v>0</x:v>
      </x:c>
      <x:c r="N50" s="46" t="n">
        <x:v>0</x:v>
      </x:c>
      <x:c r="O50" s="46" t="n">
        <x:v>0</x:v>
      </x:c>
      <x:c r="P50" s="46" t="n">
        <x:v>0.0023</x:v>
      </x:c>
      <x:c r="Q50" s="46" t="str">
        <x:v>AU × 10^6</x:v>
      </x:c>
      <x:c r="R50" s="46" t="str">
        <x:v>HS-SPME-GC-MS; source method references prior VOC-identification procedure; LRI reported for every row</x:v>
      </x:c>
      <x:c r="S50" s="46"/>
      <x:c r="T50" s="46" t="str">
        <x:v>partial_no_numeric_match_factor</x:v>
      </x:c>
      <x:c r="U50" s="46" t="str">
        <x:v>yes</x:v>
      </x:c>
      <x:c r="V50" s="46" t="str">
        <x:v>normal_culinary_evidence</x:v>
      </x:c>
      <x:c r="W50" s="46" t="str">
        <x:v>CE = commercial chicken egg control; breed values retained separately. Source-group taxonomy is preserved.</x:v>
      </x:c>
    </x:row>
    <x:row r="51" ht="26.399999618530273" hidden="0" customHeight="1">
      <x:c r="A51" s="46" t="str">
        <x:v>DEY-BOIL-050</x:v>
      </x:c>
      <x:c r="B51" s="46" t="str">
        <x:v>egg:yolk_chicken</x:v>
      </x:c>
      <x:c r="C51" s="46" t="str">
        <x:v>family:egg</x:v>
      </x:c>
      <x:c r="D51" s="46" t="str">
        <x:v>yolk_carrier</x:v>
      </x:c>
      <x:c r="E51" s="46" t="str">
        <x:v>boiled_100C_15min</x:v>
      </x:c>
      <x:c r="F51" s="46" t="str">
        <x:v>SRC-EGG-YOLK-BOIL-001</x:v>
      </x:c>
      <x:c r="G51" s="46" t="str">
        <x:v>Hydrocarbon</x:v>
      </x:c>
      <x:c r="H51" s="46" t="str">
        <x:v>Amines</x:v>
      </x:c>
      <x:c r="I51" s="46" t="str">
        <x:v>2-Propen-1-amine</x:v>
      </x:c>
      <x:c r="J51" s="46" t="n">
        <x:v>57</x:v>
      </x:c>
      <x:c r="K51" s="46" t="n">
        <x:v>551</x:v>
      </x:c>
      <x:c r="L51" s="46" t="n">
        <x:v>0.167</x:v>
      </x:c>
      <x:c r="M51" s="46" t="n">
        <x:v>0.223</x:v>
      </x:c>
      <x:c r="N51" s="46" t="n">
        <x:v>0</x:v>
      </x:c>
      <x:c r="O51" s="46" t="n">
        <x:v>0.037</x:v>
      </x:c>
      <x:c r="P51" s="46" t="n">
        <x:v>0.0353</x:v>
      </x:c>
      <x:c r="Q51" s="46" t="str">
        <x:v>AU × 10^6</x:v>
      </x:c>
      <x:c r="R51" s="46" t="str">
        <x:v>HS-SPME-GC-MS; source method references prior VOC-identification procedure; LRI reported for every row</x:v>
      </x:c>
      <x:c r="S51" s="46"/>
      <x:c r="T51" s="46" t="str">
        <x:v>partial_no_numeric_match_factor</x:v>
      </x:c>
      <x:c r="U51" s="46" t="str">
        <x:v>yes</x:v>
      </x:c>
      <x:c r="V51" s="46" t="str">
        <x:v>normal_culinary_evidence</x:v>
      </x:c>
      <x:c r="W51" s="46" t="str">
        <x:v>Source group Hydrocarbon.</x:v>
      </x:c>
    </x:row>
    <x:row r="52" ht="26.399999618530273" hidden="0" customHeight="1">
      <x:c r="A52" s="46" t="str">
        <x:v>DEY-BOIL-051</x:v>
      </x:c>
      <x:c r="B52" s="46" t="str">
        <x:v>egg:yolk_chicken</x:v>
      </x:c>
      <x:c r="C52" s="46" t="str">
        <x:v>family:egg</x:v>
      </x:c>
      <x:c r="D52" s="46" t="str">
        <x:v>yolk_carrier</x:v>
      </x:c>
      <x:c r="E52" s="46" t="str">
        <x:v>boiled_100C_15min</x:v>
      </x:c>
      <x:c r="F52" s="46" t="str">
        <x:v>SRC-EGG-YOLK-BOIL-001</x:v>
      </x:c>
      <x:c r="G52" s="46" t="str">
        <x:v>Hydrocarbon</x:v>
      </x:c>
      <x:c r="H52" s="46" t="str">
        <x:v>Aromatic hydrocarbons</x:v>
      </x:c>
      <x:c r="I52" s="46" t="str">
        <x:v>Benzene, 1,2,3-trimethyl-</x:v>
      </x:c>
      <x:c r="J52" s="46" t="n">
        <x:v>105</x:v>
      </x:c>
      <x:c r="K52" s="46" t="n">
        <x:v>1016</x:v>
      </x:c>
      <x:c r="L52" s="46" t="n">
        <x:v>0</x:v>
      </x:c>
      <x:c r="M52" s="46" t="n">
        <x:v>0</x:v>
      </x:c>
      <x:c r="N52" s="46" t="n">
        <x:v>0.01</x:v>
      </x:c>
      <x:c r="O52" s="46" t="n">
        <x:v>0.018</x:v>
      </x:c>
      <x:c r="P52" s="46" t="n">
        <x:v>0.0033</x:v>
      </x:c>
      <x:c r="Q52" s="46" t="str">
        <x:v>AU × 10^6</x:v>
      </x:c>
      <x:c r="R52" s="46" t="str">
        <x:v>HS-SPME-GC-MS; source method references prior VOC-identification procedure; LRI reported for every row</x:v>
      </x:c>
      <x:c r="S52" s="46"/>
      <x:c r="T52" s="46" t="str">
        <x:v>partial_no_numeric_match_factor</x:v>
      </x:c>
      <x:c r="U52" s="46" t="str">
        <x:v>no</x:v>
      </x:c>
      <x:c r="V52" s="46" t="str">
        <x:v>normal_culinary_evidence</x:v>
      </x:c>
      <x:c r="W52" s="46" t="str">
        <x:v>CE = commercial chicken egg control; breed values retained separately. Source-group taxonomy is preserved.</x:v>
      </x:c>
    </x:row>
    <x:row r="53" ht="26.399999618530273" hidden="0" customHeight="1">
      <x:c r="A53" s="46" t="str">
        <x:v>DEY-BOIL-052</x:v>
      </x:c>
      <x:c r="B53" s="46" t="str">
        <x:v>egg:yolk_chicken</x:v>
      </x:c>
      <x:c r="C53" s="46" t="str">
        <x:v>family:egg</x:v>
      </x:c>
      <x:c r="D53" s="46" t="str">
        <x:v>yolk_carrier</x:v>
      </x:c>
      <x:c r="E53" s="46" t="str">
        <x:v>boiled_100C_15min</x:v>
      </x:c>
      <x:c r="F53" s="46" t="str">
        <x:v>SRC-EGG-YOLK-BOIL-001</x:v>
      </x:c>
      <x:c r="G53" s="46" t="str">
        <x:v>Hydrocarbon</x:v>
      </x:c>
      <x:c r="H53" s="46" t="str">
        <x:v>Aromatic hydrocarbons</x:v>
      </x:c>
      <x:c r="I53" s="46" t="str">
        <x:v>Benzene, 1,2,4,5-tetramethyl-</x:v>
      </x:c>
      <x:c r="J53" s="46" t="n">
        <x:v>119</x:v>
      </x:c>
      <x:c r="K53" s="46" t="n">
        <x:v>1123</x:v>
      </x:c>
      <x:c r="L53" s="46" t="n">
        <x:v>0</x:v>
      </x:c>
      <x:c r="M53" s="46" t="n">
        <x:v>0</x:v>
      </x:c>
      <x:c r="N53" s="46" t="n">
        <x:v>0</x:v>
      </x:c>
      <x:c r="O53" s="46" t="n">
        <x:v>0.01</x:v>
      </x:c>
      <x:c r="P53" s="46" t="n">
        <x:v>0.002</x:v>
      </x:c>
      <x:c r="Q53" s="46" t="str">
        <x:v>AU × 10^6</x:v>
      </x:c>
      <x:c r="R53" s="46" t="str">
        <x:v>HS-SPME-GC-MS; source method references prior VOC-identification procedure; LRI reported for every row</x:v>
      </x:c>
      <x:c r="S53" s="46"/>
      <x:c r="T53" s="46" t="str">
        <x:v>partial_no_numeric_match_factor</x:v>
      </x:c>
      <x:c r="U53" s="46" t="str">
        <x:v>no</x:v>
      </x:c>
      <x:c r="V53" s="46" t="str">
        <x:v>normal_culinary_evidence</x:v>
      </x:c>
      <x:c r="W53" s="46" t="str">
        <x:v>CE = commercial chicken egg control; breed values retained separately. Source-group taxonomy is preserved.</x:v>
      </x:c>
    </x:row>
    <x:row r="54" ht="26.399999618530273" hidden="0" customHeight="1">
      <x:c r="A54" s="46" t="str">
        <x:v>DEY-BOIL-053</x:v>
      </x:c>
      <x:c r="B54" s="46" t="str">
        <x:v>egg:yolk_chicken</x:v>
      </x:c>
      <x:c r="C54" s="46" t="str">
        <x:v>family:egg</x:v>
      </x:c>
      <x:c r="D54" s="46" t="str">
        <x:v>yolk_carrier</x:v>
      </x:c>
      <x:c r="E54" s="46" t="str">
        <x:v>boiled_100C_15min</x:v>
      </x:c>
      <x:c r="F54" s="46" t="str">
        <x:v>SRC-EGG-YOLK-BOIL-001</x:v>
      </x:c>
      <x:c r="G54" s="46" t="str">
        <x:v>Hydrocarbon</x:v>
      </x:c>
      <x:c r="H54" s="46" t="str">
        <x:v>Aromatic hydrocarbons</x:v>
      </x:c>
      <x:c r="I54" s="46" t="str">
        <x:v>Benzene, 1,2,4-trimethyl-</x:v>
      </x:c>
      <x:c r="J54" s="46" t="n">
        <x:v>105</x:v>
      </x:c>
      <x:c r="K54" s="46" t="n">
        <x:v>981</x:v>
      </x:c>
      <x:c r="L54" s="46" t="n">
        <x:v>0.004</x:v>
      </x:c>
      <x:c r="M54" s="46" t="n">
        <x:v>0.007</x:v>
      </x:c>
      <x:c r="N54" s="46" t="n">
        <x:v>0.023</x:v>
      </x:c>
      <x:c r="O54" s="46" t="n">
        <x:v>0.037</x:v>
      </x:c>
      <x:c r="P54" s="46" t="n">
        <x:v>0.0064</x:v>
      </x:c>
      <x:c r="Q54" s="46" t="str">
        <x:v>AU × 10^6</x:v>
      </x:c>
      <x:c r="R54" s="46" t="str">
        <x:v>HS-SPME-GC-MS; source method references prior VOC-identification procedure; LRI reported for every row</x:v>
      </x:c>
      <x:c r="S54" s="46"/>
      <x:c r="T54" s="46" t="str">
        <x:v>partial_no_numeric_match_factor</x:v>
      </x:c>
      <x:c r="U54" s="46" t="str">
        <x:v>yes</x:v>
      </x:c>
      <x:c r="V54" s="46" t="str">
        <x:v>normal_culinary_evidence</x:v>
      </x:c>
      <x:c r="W54" s="46" t="str">
        <x:v>CE = commercial chicken egg control; breed values retained separately. Source-group taxonomy is preserved.</x:v>
      </x:c>
    </x:row>
    <x:row r="55" ht="26.399999618530273" hidden="0" customHeight="1">
      <x:c r="A55" s="46" t="str">
        <x:v>DEY-BOIL-054</x:v>
      </x:c>
      <x:c r="B55" s="46" t="str">
        <x:v>egg:yolk_chicken</x:v>
      </x:c>
      <x:c r="C55" s="46" t="str">
        <x:v>family:egg</x:v>
      </x:c>
      <x:c r="D55" s="46" t="str">
        <x:v>yolk_carrier</x:v>
      </x:c>
      <x:c r="E55" s="46" t="str">
        <x:v>boiled_100C_15min</x:v>
      </x:c>
      <x:c r="F55" s="46" t="str">
        <x:v>SRC-EGG-YOLK-BOIL-001</x:v>
      </x:c>
      <x:c r="G55" s="46" t="str">
        <x:v>Hydrocarbon</x:v>
      </x:c>
      <x:c r="H55" s="46" t="str">
        <x:v>Aromatic hydrocarbons</x:v>
      </x:c>
      <x:c r="I55" s="46" t="str">
        <x:v>Benzene, 1,3-bis(1,1-dimethylethyl)-</x:v>
      </x:c>
      <x:c r="J55" s="46" t="n">
        <x:v>175.1</x:v>
      </x:c>
      <x:c r="K55" s="46" t="n">
        <x:v>1258</x:v>
      </x:c>
      <x:c r="L55" s="46" t="n">
        <x:v>0.129</x:v>
      </x:c>
      <x:c r="M55" s="46" t="n">
        <x:v>0.11</x:v>
      </x:c>
      <x:c r="N55" s="46" t="n">
        <x:v>0.062</x:v>
      </x:c>
      <x:c r="O55" s="46" t="n">
        <x:v>0.038</x:v>
      </x:c>
      <x:c r="P55" s="46" t="n">
        <x:v>0.0083</x:v>
      </x:c>
      <x:c r="Q55" s="46" t="str">
        <x:v>AU × 10^6</x:v>
      </x:c>
      <x:c r="R55" s="46" t="str">
        <x:v>HS-SPME-GC-MS; source method references prior VOC-identification procedure; LRI reported for every row</x:v>
      </x:c>
      <x:c r="S55" s="46"/>
      <x:c r="T55" s="46" t="str">
        <x:v>partial_no_numeric_match_factor</x:v>
      </x:c>
      <x:c r="U55" s="46" t="str">
        <x:v>yes</x:v>
      </x:c>
      <x:c r="V55" s="46" t="str">
        <x:v>normal_culinary_evidence</x:v>
      </x:c>
      <x:c r="W55" s="46" t="str">
        <x:v>CE = commercial chicken egg control; breed values retained separately. Source-group taxonomy is preserved.</x:v>
      </x:c>
    </x:row>
    <x:row r="56" ht="26.399999618530273" hidden="0" customHeight="1">
      <x:c r="A56" s="46" t="str">
        <x:v>DEY-BOIL-055</x:v>
      </x:c>
      <x:c r="B56" s="46" t="str">
        <x:v>egg:yolk_chicken</x:v>
      </x:c>
      <x:c r="C56" s="46" t="str">
        <x:v>family:egg</x:v>
      </x:c>
      <x:c r="D56" s="46" t="str">
        <x:v>yolk_carrier</x:v>
      </x:c>
      <x:c r="E56" s="46" t="str">
        <x:v>boiled_100C_15min</x:v>
      </x:c>
      <x:c r="F56" s="46" t="str">
        <x:v>SRC-EGG-YOLK-BOIL-001</x:v>
      </x:c>
      <x:c r="G56" s="46" t="str">
        <x:v>Hydrocarbon</x:v>
      </x:c>
      <x:c r="H56" s="46" t="str">
        <x:v>Halogenated aromatics</x:v>
      </x:c>
      <x:c r="I56" s="46" t="str">
        <x:v>Benzene, 1,3-dichloro-</x:v>
      </x:c>
      <x:c r="J56" s="46" t="n">
        <x:v>146</x:v>
      </x:c>
      <x:c r="K56" s="46" t="n">
        <x:v>1029</x:v>
      </x:c>
      <x:c r="L56" s="46" t="n">
        <x:v>0</x:v>
      </x:c>
      <x:c r="M56" s="46" t="n">
        <x:v>0.035</x:v>
      </x:c>
      <x:c r="N56" s="46" t="n">
        <x:v>0</x:v>
      </x:c>
      <x:c r="O56" s="46" t="n">
        <x:v>0</x:v>
      </x:c>
      <x:c r="P56" s="46" t="n">
        <x:v>0.0093</x:v>
      </x:c>
      <x:c r="Q56" s="46" t="str">
        <x:v>AU × 10^6</x:v>
      </x:c>
      <x:c r="R56" s="46" t="str">
        <x:v>HS-SPME-GC-MS; source method references prior VOC-identification procedure; LRI reported for every row</x:v>
      </x:c>
      <x:c r="S56" s="46"/>
      <x:c r="T56" s="46" t="str">
        <x:v>partial_no_numeric_match_factor</x:v>
      </x:c>
      <x:c r="U56" s="46" t="str">
        <x:v>no</x:v>
      </x:c>
      <x:c r="V56" s="46" t="str">
        <x:v>normal_culinary_evidence</x:v>
      </x:c>
      <x:c r="W56" s="46" t="str">
        <x:v>CE = commercial chicken egg control; breed values retained separately. Source-group taxonomy is preserved.</x:v>
      </x:c>
    </x:row>
    <x:row r="57" ht="26.399999618530273" hidden="0" customHeight="1">
      <x:c r="A57" s="46" t="str">
        <x:v>DEY-BOIL-056</x:v>
      </x:c>
      <x:c r="B57" s="46" t="str">
        <x:v>egg:yolk_chicken</x:v>
      </x:c>
      <x:c r="C57" s="46" t="str">
        <x:v>family:egg</x:v>
      </x:c>
      <x:c r="D57" s="46" t="str">
        <x:v>yolk_carrier</x:v>
      </x:c>
      <x:c r="E57" s="46" t="str">
        <x:v>boiled_100C_15min</x:v>
      </x:c>
      <x:c r="F57" s="46" t="str">
        <x:v>SRC-EGG-YOLK-BOIL-001</x:v>
      </x:c>
      <x:c r="G57" s="46" t="str">
        <x:v>Hydrocarbon</x:v>
      </x:c>
      <x:c r="H57" s="46" t="str">
        <x:v>Aromatic hydrocarbons</x:v>
      </x:c>
      <x:c r="I57" s="46" t="str">
        <x:v>Benzene, 1-ethyl-2-methyl-</x:v>
      </x:c>
      <x:c r="J57" s="46" t="n">
        <x:v>105</x:v>
      </x:c>
      <x:c r="K57" s="46" t="n">
        <x:v>963</x:v>
      </x:c>
      <x:c r="L57" s="46" t="n">
        <x:v>0</x:v>
      </x:c>
      <x:c r="M57" s="46" t="n">
        <x:v>0</x:v>
      </x:c>
      <x:c r="N57" s="46" t="n">
        <x:v>0</x:v>
      </x:c>
      <x:c r="O57" s="46" t="n">
        <x:v>0.006</x:v>
      </x:c>
      <x:c r="P57" s="46" t="n">
        <x:v>0.0014</x:v>
      </x:c>
      <x:c r="Q57" s="46" t="str">
        <x:v>AU × 10^6</x:v>
      </x:c>
      <x:c r="R57" s="46" t="str">
        <x:v>HS-SPME-GC-MS; source method references prior VOC-identification procedure; LRI reported for every row</x:v>
      </x:c>
      <x:c r="S57" s="46"/>
      <x:c r="T57" s="46" t="str">
        <x:v>partial_no_numeric_match_factor</x:v>
      </x:c>
      <x:c r="U57" s="46" t="str">
        <x:v>no</x:v>
      </x:c>
      <x:c r="V57" s="46" t="str">
        <x:v>normal_culinary_evidence</x:v>
      </x:c>
      <x:c r="W57" s="46" t="str">
        <x:v>CE = commercial chicken egg control; breed values retained separately. Source-group taxonomy is preserved.</x:v>
      </x:c>
    </x:row>
    <x:row r="58" ht="26.399999618530273" hidden="0" customHeight="1">
      <x:c r="A58" s="46" t="str">
        <x:v>DEY-BOIL-057</x:v>
      </x:c>
      <x:c r="B58" s="46" t="str">
        <x:v>egg:yolk_chicken</x:v>
      </x:c>
      <x:c r="C58" s="46" t="str">
        <x:v>family:egg</x:v>
      </x:c>
      <x:c r="D58" s="46" t="str">
        <x:v>yolk_carrier</x:v>
      </x:c>
      <x:c r="E58" s="46" t="str">
        <x:v>boiled_100C_15min</x:v>
      </x:c>
      <x:c r="F58" s="46" t="str">
        <x:v>SRC-EGG-YOLK-BOIL-001</x:v>
      </x:c>
      <x:c r="G58" s="46" t="str">
        <x:v>Hydrocarbon</x:v>
      </x:c>
      <x:c r="H58" s="46" t="str">
        <x:v>Isonitriles</x:v>
      </x:c>
      <x:c r="I58" s="46" t="str">
        <x:v>Butane, 1-isocyano-</x:v>
      </x:c>
      <x:c r="J58" s="46" t="n">
        <x:v>41.1</x:v>
      </x:c>
      <x:c r="K58" s="46" t="n">
        <x:v>537</x:v>
      </x:c>
      <x:c r="L58" s="46" t="n">
        <x:v>0.03</x:v>
      </x:c>
      <x:c r="M58" s="46" t="n">
        <x:v>0.044</x:v>
      </x:c>
      <x:c r="N58" s="46" t="n">
        <x:v>0.029</x:v>
      </x:c>
      <x:c r="O58" s="46" t="n">
        <x:v>0.015</x:v>
      </x:c>
      <x:c r="P58" s="46" t="n">
        <x:v>0.0049</x:v>
      </x:c>
      <x:c r="Q58" s="46" t="str">
        <x:v>AU × 10^6</x:v>
      </x:c>
      <x:c r="R58" s="46" t="str">
        <x:v>HS-SPME-GC-MS; source method references prior VOC-identification procedure; LRI reported for every row</x:v>
      </x:c>
      <x:c r="S58" s="46"/>
      <x:c r="T58" s="46" t="str">
        <x:v>partial_no_numeric_match_factor</x:v>
      </x:c>
      <x:c r="U58" s="46" t="str">
        <x:v>yes</x:v>
      </x:c>
      <x:c r="V58" s="46" t="str">
        <x:v>normal_culinary_evidence</x:v>
      </x:c>
      <x:c r="W58" s="46" t="str">
        <x:v>Source group Hydrocarbon.</x:v>
      </x:c>
    </x:row>
    <x:row r="59" ht="26.399999618530273" hidden="0" customHeight="1">
      <x:c r="A59" s="46" t="str">
        <x:v>DEY-BOIL-058</x:v>
      </x:c>
      <x:c r="B59" s="46" t="str">
        <x:v>egg:yolk_chicken</x:v>
      </x:c>
      <x:c r="C59" s="46" t="str">
        <x:v>family:egg</x:v>
      </x:c>
      <x:c r="D59" s="46" t="str">
        <x:v>yolk_carrier</x:v>
      </x:c>
      <x:c r="E59" s="46" t="str">
        <x:v>boiled_100C_15min</x:v>
      </x:c>
      <x:c r="F59" s="46" t="str">
        <x:v>SRC-EGG-YOLK-BOIL-001</x:v>
      </x:c>
      <x:c r="G59" s="46" t="str">
        <x:v>Hydrocarbon</x:v>
      </x:c>
      <x:c r="H59" s="46" t="str">
        <x:v>Cycloalkanes</x:v>
      </x:c>
      <x:c r="I59" s="46" t="str">
        <x:v>Cyclopentane, 1,2-dimethyl-, cis-</x:v>
      </x:c>
      <x:c r="J59" s="46" t="n">
        <x:v>43</x:v>
      </x:c>
      <x:c r="K59" s="46" t="n">
        <x:v>724</x:v>
      </x:c>
      <x:c r="L59" s="46" t="n">
        <x:v>0.017</x:v>
      </x:c>
      <x:c r="M59" s="46" t="n">
        <x:v>0.013</x:v>
      </x:c>
      <x:c r="N59" s="46" t="n">
        <x:v>0</x:v>
      </x:c>
      <x:c r="O59" s="46" t="n">
        <x:v>0</x:v>
      </x:c>
      <x:c r="P59" s="46" t="n">
        <x:v>0.0021</x:v>
      </x:c>
      <x:c r="Q59" s="46" t="str">
        <x:v>AU × 10^6</x:v>
      </x:c>
      <x:c r="R59" s="46" t="str">
        <x:v>HS-SPME-GC-MS; source method references prior VOC-identification procedure; LRI reported for every row</x:v>
      </x:c>
      <x:c r="S59" s="46"/>
      <x:c r="T59" s="46" t="str">
        <x:v>partial_no_numeric_match_factor</x:v>
      </x:c>
      <x:c r="U59" s="46" t="str">
        <x:v>yes</x:v>
      </x:c>
      <x:c r="V59" s="46" t="str">
        <x:v>normal_culinary_evidence</x:v>
      </x:c>
      <x:c r="W59" s="46" t="str">
        <x:v>CE = commercial chicken egg control; breed values retained separately. Source-group taxonomy is preserved.</x:v>
      </x:c>
    </x:row>
    <x:row r="60" ht="26.399999618530273" hidden="0" customHeight="1">
      <x:c r="A60" s="46" t="str">
        <x:v>DEY-BOIL-059</x:v>
      </x:c>
      <x:c r="B60" s="46" t="str">
        <x:v>egg:yolk_chicken</x:v>
      </x:c>
      <x:c r="C60" s="46" t="str">
        <x:v>family:egg</x:v>
      </x:c>
      <x:c r="D60" s="46" t="str">
        <x:v>yolk_carrier</x:v>
      </x:c>
      <x:c r="E60" s="46" t="str">
        <x:v>boiled_100C_15min</x:v>
      </x:c>
      <x:c r="F60" s="46" t="str">
        <x:v>SRC-EGG-YOLK-BOIL-001</x:v>
      </x:c>
      <x:c r="G60" s="46" t="str">
        <x:v>Hydrocarbon</x:v>
      </x:c>
      <x:c r="H60" s="46" t="str">
        <x:v>Cycloalkanes</x:v>
      </x:c>
      <x:c r="I60" s="46" t="str">
        <x:v>Cyclopentane, 1-hexyl-3-methyl-</x:v>
      </x:c>
      <x:c r="J60" s="46" t="n">
        <x:v>83</x:v>
      </x:c>
      <x:c r="K60" s="46" t="n">
        <x:v>1192</x:v>
      </x:c>
      <x:c r="L60" s="46" t="n">
        <x:v>0.01</x:v>
      </x:c>
      <x:c r="M60" s="46" t="n">
        <x:v>0.008</x:v>
      </x:c>
      <x:c r="N60" s="46" t="n">
        <x:v>0.05</x:v>
      </x:c>
      <x:c r="O60" s="46" t="n">
        <x:v>0</x:v>
      </x:c>
      <x:c r="P60" s="46" t="n">
        <x:v>0.0224</x:v>
      </x:c>
      <x:c r="Q60" s="46" t="str">
        <x:v>AU × 10^6</x:v>
      </x:c>
      <x:c r="R60" s="46" t="str">
        <x:v>HS-SPME-GC-MS; source method references prior VOC-identification procedure; LRI reported for every row</x:v>
      </x:c>
      <x:c r="S60" s="46"/>
      <x:c r="T60" s="46" t="str">
        <x:v>partial_no_numeric_match_factor</x:v>
      </x:c>
      <x:c r="U60" s="46" t="str">
        <x:v>yes</x:v>
      </x:c>
      <x:c r="V60" s="46" t="str">
        <x:v>normal_culinary_evidence</x:v>
      </x:c>
      <x:c r="W60" s="46" t="str">
        <x:v>CE = commercial chicken egg control; breed values retained separately. Source-group taxonomy is preserved.</x:v>
      </x:c>
    </x:row>
    <x:row r="61" ht="26.399999618530273" hidden="0" customHeight="1">
      <x:c r="A61" s="46" t="str">
        <x:v>DEY-BOIL-060</x:v>
      </x:c>
      <x:c r="B61" s="46" t="str">
        <x:v>egg:yolk_chicken</x:v>
      </x:c>
      <x:c r="C61" s="46" t="str">
        <x:v>family:egg</x:v>
      </x:c>
      <x:c r="D61" s="46" t="str">
        <x:v>yolk_carrier</x:v>
      </x:c>
      <x:c r="E61" s="46" t="str">
        <x:v>boiled_100C_15min</x:v>
      </x:c>
      <x:c r="F61" s="46" t="str">
        <x:v>SRC-EGG-YOLK-BOIL-001</x:v>
      </x:c>
      <x:c r="G61" s="46" t="str">
        <x:v>Hydrocarbon</x:v>
      </x:c>
      <x:c r="H61" s="46" t="str">
        <x:v>Cycloalkanes</x:v>
      </x:c>
      <x:c r="I61" s="46" t="str">
        <x:v>Cyclotetradecane</x:v>
      </x:c>
      <x:c r="J61" s="46" t="n">
        <x:v>57</x:v>
      </x:c>
      <x:c r="K61" s="46" t="n">
        <x:v>1694</x:v>
      </x:c>
      <x:c r="L61" s="46" t="n">
        <x:v>0</x:v>
      </x:c>
      <x:c r="M61" s="46" t="n">
        <x:v>0</x:v>
      </x:c>
      <x:c r="N61" s="46" t="n">
        <x:v>0</x:v>
      </x:c>
      <x:c r="O61" s="46" t="n">
        <x:v>0.004</x:v>
      </x:c>
      <x:c r="P61" s="46" t="n">
        <x:v>0.0008</x:v>
      </x:c>
      <x:c r="Q61" s="46" t="str">
        <x:v>AU × 10^6</x:v>
      </x:c>
      <x:c r="R61" s="46" t="str">
        <x:v>HS-SPME-GC-MS; source method references prior VOC-identification procedure; LRI reported for every row</x:v>
      </x:c>
      <x:c r="S61" s="46"/>
      <x:c r="T61" s="46" t="str">
        <x:v>partial_no_numeric_match_factor</x:v>
      </x:c>
      <x:c r="U61" s="46" t="str">
        <x:v>no</x:v>
      </x:c>
      <x:c r="V61" s="46" t="str">
        <x:v>normal_culinary_evidence</x:v>
      </x:c>
      <x:c r="W61" s="46" t="str">
        <x:v>CE = commercial chicken egg control; breed values retained separately. Source-group taxonomy is preserved.</x:v>
      </x:c>
    </x:row>
    <x:row r="62" ht="26.399999618530273" hidden="0" customHeight="1">
      <x:c r="A62" s="46" t="str">
        <x:v>DEY-BOIL-061</x:v>
      </x:c>
      <x:c r="B62" s="46" t="str">
        <x:v>egg:yolk_chicken</x:v>
      </x:c>
      <x:c r="C62" s="46" t="str">
        <x:v>family:egg</x:v>
      </x:c>
      <x:c r="D62" s="46" t="str">
        <x:v>yolk_carrier</x:v>
      </x:c>
      <x:c r="E62" s="46" t="str">
        <x:v>boiled_100C_15min</x:v>
      </x:c>
      <x:c r="F62" s="46" t="str">
        <x:v>SRC-EGG-YOLK-BOIL-001</x:v>
      </x:c>
      <x:c r="G62" s="46" t="str">
        <x:v>Hydrocarbon</x:v>
      </x:c>
      <x:c r="H62" s="46" t="str">
        <x:v>Siloxanes</x:v>
      </x:c>
      <x:c r="I62" s="46" t="str">
        <x:v>Cyclotetrasiloxane, octamethyl-</x:v>
      </x:c>
      <x:c r="J62" s="46" t="n">
        <x:v>281.1</x:v>
      </x:c>
      <x:c r="K62" s="46" t="n">
        <x:v>1004</x:v>
      </x:c>
      <x:c r="L62" s="46" t="n">
        <x:v>15.258</x:v>
      </x:c>
      <x:c r="M62" s="46" t="n">
        <x:v>18.076</x:v>
      </x:c>
      <x:c r="N62" s="46" t="n">
        <x:v>17.966</x:v>
      </x:c>
      <x:c r="O62" s="46" t="n">
        <x:v>11.31</x:v>
      </x:c>
      <x:c r="P62" s="46" t="n">
        <x:v>1.1159</x:v>
      </x:c>
      <x:c r="Q62" s="46" t="str">
        <x:v>AU × 10^6</x:v>
      </x:c>
      <x:c r="R62" s="46" t="str">
        <x:v>HS-SPME-GC-MS; source method references prior VOC-identification procedure; LRI reported for every row</x:v>
      </x:c>
      <x:c r="S62" s="46"/>
      <x:c r="T62" s="46" t="str">
        <x:v>partial_no_numeric_match_factor</x:v>
      </x:c>
      <x:c r="U62" s="46" t="str">
        <x:v>yes</x:v>
      </x:c>
      <x:c r="V62" s="46" t="str">
        <x:v>analytical_background</x:v>
      </x:c>
      <x:c r="W62" s="46" t="str">
        <x:v>MR-17: method/column artifact. Preserve the raw source row; suppress corpus-wide from flavor profiles and DF/IDF.</x:v>
      </x:c>
    </x:row>
    <x:row r="63" ht="26.399999618530273" hidden="0" customHeight="1">
      <x:c r="A63" s="46" t="str">
        <x:v>DEY-BOIL-062</x:v>
      </x:c>
      <x:c r="B63" s="46" t="str">
        <x:v>egg:yolk_chicken</x:v>
      </x:c>
      <x:c r="C63" s="46" t="str">
        <x:v>family:egg</x:v>
      </x:c>
      <x:c r="D63" s="46" t="str">
        <x:v>yolk_carrier</x:v>
      </x:c>
      <x:c r="E63" s="46" t="str">
        <x:v>boiled_100C_15min</x:v>
      </x:c>
      <x:c r="F63" s="46" t="str">
        <x:v>SRC-EGG-YOLK-BOIL-001</x:v>
      </x:c>
      <x:c r="G63" s="46" t="str">
        <x:v>Hydrocarbon</x:v>
      </x:c>
      <x:c r="H63" s="46" t="str">
        <x:v>Alkanes</x:v>
      </x:c>
      <x:c r="I63" s="46" t="str">
        <x:v>Decane</x:v>
      </x:c>
      <x:c r="J63" s="46" t="n">
        <x:v>57</x:v>
      </x:c>
      <x:c r="K63" s="46" t="n">
        <x:v>995</x:v>
      </x:c>
      <x:c r="L63" s="46" t="n">
        <x:v>0.825</x:v>
      </x:c>
      <x:c r="M63" s="46" t="n">
        <x:v>0.592</x:v>
      </x:c>
      <x:c r="N63" s="46" t="n">
        <x:v>0.46</x:v>
      </x:c>
      <x:c r="O63" s="46" t="n">
        <x:v>0.442</x:v>
      </x:c>
      <x:c r="P63" s="46" t="n">
        <x:v>0.0644</x:v>
      </x:c>
      <x:c r="Q63" s="46" t="str">
        <x:v>AU × 10^6</x:v>
      </x:c>
      <x:c r="R63" s="46" t="str">
        <x:v>HS-SPME-GC-MS; source method references prior VOC-identification procedure; LRI reported for every row</x:v>
      </x:c>
      <x:c r="S63" s="46"/>
      <x:c r="T63" s="46" t="str">
        <x:v>partial_no_numeric_match_factor</x:v>
      </x:c>
      <x:c r="U63" s="46" t="str">
        <x:v>yes</x:v>
      </x:c>
      <x:c r="V63" s="46" t="str">
        <x:v>normal_culinary_evidence</x:v>
      </x:c>
      <x:c r="W63" s="46" t="str">
        <x:v>CE = commercial chicken egg control; breed values retained separately. Source-group taxonomy is preserved.</x:v>
      </x:c>
    </x:row>
    <x:row r="64" ht="26.399999618530273" hidden="0" customHeight="1">
      <x:c r="A64" s="46" t="str">
        <x:v>DEY-BOIL-063</x:v>
      </x:c>
      <x:c r="B64" s="46" t="str">
        <x:v>egg:yolk_chicken</x:v>
      </x:c>
      <x:c r="C64" s="46" t="str">
        <x:v>family:egg</x:v>
      </x:c>
      <x:c r="D64" s="46" t="str">
        <x:v>yolk_carrier</x:v>
      </x:c>
      <x:c r="E64" s="46" t="str">
        <x:v>boiled_100C_15min</x:v>
      </x:c>
      <x:c r="F64" s="46" t="str">
        <x:v>SRC-EGG-YOLK-BOIL-001</x:v>
      </x:c>
      <x:c r="G64" s="46" t="str">
        <x:v>Hydrocarbon</x:v>
      </x:c>
      <x:c r="H64" s="46" t="str">
        <x:v>Alkanes</x:v>
      </x:c>
      <x:c r="I64" s="46" t="str">
        <x:v>Decane, 2,4-dimethyl-</x:v>
      </x:c>
      <x:c r="J64" s="46" t="n">
        <x:v>71.1</x:v>
      </x:c>
      <x:c r="K64" s="46" t="n">
        <x:v>1109</x:v>
      </x:c>
      <x:c r="L64" s="46" t="n">
        <x:v>0.034</x:v>
      </x:c>
      <x:c r="M64" s="46" t="n">
        <x:v>0.023</x:v>
      </x:c>
      <x:c r="N64" s="46" t="n">
        <x:v>0.016</x:v>
      </x:c>
      <x:c r="O64" s="46" t="n">
        <x:v>0.02</x:v>
      </x:c>
      <x:c r="P64" s="46" t="n">
        <x:v>0.0055</x:v>
      </x:c>
      <x:c r="Q64" s="46" t="str">
        <x:v>AU × 10^6</x:v>
      </x:c>
      <x:c r="R64" s="46" t="str">
        <x:v>HS-SPME-GC-MS; source method references prior VOC-identification procedure; LRI reported for every row</x:v>
      </x:c>
      <x:c r="S64" s="46"/>
      <x:c r="T64" s="46" t="str">
        <x:v>partial_no_numeric_match_factor</x:v>
      </x:c>
      <x:c r="U64" s="46" t="str">
        <x:v>yes</x:v>
      </x:c>
      <x:c r="V64" s="46" t="str">
        <x:v>normal_culinary_evidence</x:v>
      </x:c>
      <x:c r="W64" s="46" t="str">
        <x:v>CE = commercial chicken egg control; breed values retained separately. Source-group taxonomy is preserved.</x:v>
      </x:c>
    </x:row>
    <x:row r="65" ht="26.399999618530273" hidden="0" customHeight="1">
      <x:c r="A65" s="46" t="str">
        <x:v>DEY-BOIL-064</x:v>
      </x:c>
      <x:c r="B65" s="46" t="str">
        <x:v>egg:yolk_chicken</x:v>
      </x:c>
      <x:c r="C65" s="46" t="str">
        <x:v>family:egg</x:v>
      </x:c>
      <x:c r="D65" s="46" t="str">
        <x:v>yolk_carrier</x:v>
      </x:c>
      <x:c r="E65" s="46" t="str">
        <x:v>boiled_100C_15min</x:v>
      </x:c>
      <x:c r="F65" s="46" t="str">
        <x:v>SRC-EGG-YOLK-BOIL-001</x:v>
      </x:c>
      <x:c r="G65" s="46" t="str">
        <x:v>Hydrocarbon</x:v>
      </x:c>
      <x:c r="H65" s="46" t="str">
        <x:v>Alkanes</x:v>
      </x:c>
      <x:c r="I65" s="46" t="str">
        <x:v>Decane, 2-methyl-</x:v>
      </x:c>
      <x:c r="J65" s="46" t="n">
        <x:v>57</x:v>
      </x:c>
      <x:c r="K65" s="46" t="n">
        <x:v>1062</x:v>
      </x:c>
      <x:c r="L65" s="46" t="n">
        <x:v>0.106</x:v>
      </x:c>
      <x:c r="M65" s="46" t="n">
        <x:v>0.13</x:v>
      </x:c>
      <x:c r="N65" s="46" t="n">
        <x:v>0.103</x:v>
      </x:c>
      <x:c r="O65" s="46" t="n">
        <x:v>0.054</x:v>
      </x:c>
      <x:c r="P65" s="46" t="n">
        <x:v>0.0307</x:v>
      </x:c>
      <x:c r="Q65" s="46" t="str">
        <x:v>AU × 10^6</x:v>
      </x:c>
      <x:c r="R65" s="46" t="str">
        <x:v>HS-SPME-GC-MS; source method references prior VOC-identification procedure; LRI reported for every row</x:v>
      </x:c>
      <x:c r="S65" s="46"/>
      <x:c r="T65" s="46" t="str">
        <x:v>partial_no_numeric_match_factor</x:v>
      </x:c>
      <x:c r="U65" s="46" t="str">
        <x:v>yes</x:v>
      </x:c>
      <x:c r="V65" s="46" t="str">
        <x:v>normal_culinary_evidence</x:v>
      </x:c>
      <x:c r="W65" s="46" t="str">
        <x:v>CE = commercial chicken egg control; breed values retained separately. Source-group taxonomy is preserved.</x:v>
      </x:c>
    </x:row>
    <x:row r="66" ht="26.399999618530273" hidden="0" customHeight="1">
      <x:c r="A66" s="46" t="str">
        <x:v>DEY-BOIL-065</x:v>
      </x:c>
      <x:c r="B66" s="46" t="str">
        <x:v>egg:yolk_chicken</x:v>
      </x:c>
      <x:c r="C66" s="46" t="str">
        <x:v>family:egg</x:v>
      </x:c>
      <x:c r="D66" s="46" t="str">
        <x:v>yolk_carrier</x:v>
      </x:c>
      <x:c r="E66" s="46" t="str">
        <x:v>boiled_100C_15min</x:v>
      </x:c>
      <x:c r="F66" s="46" t="str">
        <x:v>SRC-EGG-YOLK-BOIL-001</x:v>
      </x:c>
      <x:c r="G66" s="46" t="str">
        <x:v>Hydrocarbon</x:v>
      </x:c>
      <x:c r="H66" s="46" t="str">
        <x:v>Alkanes</x:v>
      </x:c>
      <x:c r="I66" s="46" t="str">
        <x:v>Decane, 3-methyl-</x:v>
      </x:c>
      <x:c r="J66" s="46" t="n">
        <x:v>71.1</x:v>
      </x:c>
      <x:c r="K66" s="46" t="n">
        <x:v>1068</x:v>
      </x:c>
      <x:c r="L66" s="46" t="n">
        <x:v>0.186</x:v>
      </x:c>
      <x:c r="M66" s="46" t="n">
        <x:v>0.078</x:v>
      </x:c>
      <x:c r="N66" s="46" t="n">
        <x:v>0.109</x:v>
      </x:c>
      <x:c r="O66" s="46" t="n">
        <x:v>0.05</x:v>
      </x:c>
      <x:c r="P66" s="46" t="n">
        <x:v>0.0268</x:v>
      </x:c>
      <x:c r="Q66" s="46" t="str">
        <x:v>AU × 10^6</x:v>
      </x:c>
      <x:c r="R66" s="46" t="str">
        <x:v>HS-SPME-GC-MS; source method references prior VOC-identification procedure; LRI reported for every row</x:v>
      </x:c>
      <x:c r="S66" s="46"/>
      <x:c r="T66" s="46" t="str">
        <x:v>partial_no_numeric_match_factor</x:v>
      </x:c>
      <x:c r="U66" s="46" t="str">
        <x:v>yes</x:v>
      </x:c>
      <x:c r="V66" s="46" t="str">
        <x:v>normal_culinary_evidence</x:v>
      </x:c>
      <x:c r="W66" s="46" t="str">
        <x:v>CE = commercial chicken egg control; breed values retained separately. Source-group taxonomy is preserved.</x:v>
      </x:c>
    </x:row>
    <x:row r="67" ht="26.399999618530273" hidden="0" customHeight="1">
      <x:c r="A67" s="46" t="str">
        <x:v>DEY-BOIL-066</x:v>
      </x:c>
      <x:c r="B67" s="46" t="str">
        <x:v>egg:yolk_chicken</x:v>
      </x:c>
      <x:c r="C67" s="46" t="str">
        <x:v>family:egg</x:v>
      </x:c>
      <x:c r="D67" s="46" t="str">
        <x:v>yolk_carrier</x:v>
      </x:c>
      <x:c r="E67" s="46" t="str">
        <x:v>boiled_100C_15min</x:v>
      </x:c>
      <x:c r="F67" s="46" t="str">
        <x:v>SRC-EGG-YOLK-BOIL-001</x:v>
      </x:c>
      <x:c r="G67" s="46" t="str">
        <x:v>Hydrocarbon</x:v>
      </x:c>
      <x:c r="H67" s="46" t="str">
        <x:v>Alkanes</x:v>
      </x:c>
      <x:c r="I67" s="46" t="str">
        <x:v>Decane, 4-methyl-</x:v>
      </x:c>
      <x:c r="J67" s="46" t="n">
        <x:v>71</x:v>
      </x:c>
      <x:c r="K67" s="46" t="n">
        <x:v>1065</x:v>
      </x:c>
      <x:c r="L67" s="46" t="n">
        <x:v>0.037</x:v>
      </x:c>
      <x:c r="M67" s="46" t="n">
        <x:v>0.04</x:v>
      </x:c>
      <x:c r="N67" s="46" t="n">
        <x:v>0.018</x:v>
      </x:c>
      <x:c r="O67" s="46" t="n">
        <x:v>0.031</x:v>
      </x:c>
      <x:c r="P67" s="46" t="n">
        <x:v>0.0061</x:v>
      </x:c>
      <x:c r="Q67" s="46" t="str">
        <x:v>AU × 10^6</x:v>
      </x:c>
      <x:c r="R67" s="46" t="str">
        <x:v>HS-SPME-GC-MS; source method references prior VOC-identification procedure; LRI reported for every row</x:v>
      </x:c>
      <x:c r="S67" s="46"/>
      <x:c r="T67" s="46" t="str">
        <x:v>partial_no_numeric_match_factor</x:v>
      </x:c>
      <x:c r="U67" s="46" t="str">
        <x:v>yes</x:v>
      </x:c>
      <x:c r="V67" s="46" t="str">
        <x:v>normal_culinary_evidence</x:v>
      </x:c>
      <x:c r="W67" s="46" t="str">
        <x:v>CE = commercial chicken egg control; breed values retained separately. Source-group taxonomy is preserved.</x:v>
      </x:c>
    </x:row>
    <x:row r="68" ht="26.399999618530273" hidden="0" customHeight="1">
      <x:c r="A68" s="46" t="str">
        <x:v>DEY-BOIL-067</x:v>
      </x:c>
      <x:c r="B68" s="46" t="str">
        <x:v>egg:yolk_chicken</x:v>
      </x:c>
      <x:c r="C68" s="46" t="str">
        <x:v>family:egg</x:v>
      </x:c>
      <x:c r="D68" s="46" t="str">
        <x:v>yolk_carrier</x:v>
      </x:c>
      <x:c r="E68" s="46" t="str">
        <x:v>boiled_100C_15min</x:v>
      </x:c>
      <x:c r="F68" s="46" t="str">
        <x:v>SRC-EGG-YOLK-BOIL-001</x:v>
      </x:c>
      <x:c r="G68" s="46" t="str">
        <x:v>Hydrocarbon</x:v>
      </x:c>
      <x:c r="H68" s="46" t="str">
        <x:v>Terpenes</x:v>
      </x:c>
      <x:c r="I68" s="46" t="str">
        <x:v>D-Limonene</x:v>
      </x:c>
      <x:c r="J68" s="46" t="n">
        <x:v>68</x:v>
      </x:c>
      <x:c r="K68" s="46" t="n">
        <x:v>1026</x:v>
      </x:c>
      <x:c r="L68" s="46" t="n">
        <x:v>0</x:v>
      </x:c>
      <x:c r="M68" s="46" t="n">
        <x:v>0</x:v>
      </x:c>
      <x:c r="N68" s="46" t="n">
        <x:v>0.005</x:v>
      </x:c>
      <x:c r="O68" s="46" t="n">
        <x:v>0.006</x:v>
      </x:c>
      <x:c r="P68" s="46" t="n">
        <x:v>0.0019</x:v>
      </x:c>
      <x:c r="Q68" s="46" t="str">
        <x:v>AU × 10^6</x:v>
      </x:c>
      <x:c r="R68" s="46" t="str">
        <x:v>HS-SPME-GC-MS; source method references prior VOC-identification procedure; LRI reported for every row</x:v>
      </x:c>
      <x:c r="S68" s="46"/>
      <x:c r="T68" s="46" t="str">
        <x:v>partial_no_numeric_match_factor</x:v>
      </x:c>
      <x:c r="U68" s="46" t="str">
        <x:v>no</x:v>
      </x:c>
      <x:c r="V68" s="46" t="str">
        <x:v>normal_culinary_evidence</x:v>
      </x:c>
      <x:c r="W68" s="46" t="str">
        <x:v>CE = commercial chicken egg control; breed values retained separately. Source-group taxonomy is preserved.</x:v>
      </x:c>
    </x:row>
    <x:row r="69" ht="26.399999618530273" hidden="0" customHeight="1">
      <x:c r="A69" s="46" t="str">
        <x:v>DEY-BOIL-068</x:v>
      </x:c>
      <x:c r="B69" s="46" t="str">
        <x:v>egg:yolk_chicken</x:v>
      </x:c>
      <x:c r="C69" s="46" t="str">
        <x:v>family:egg</x:v>
      </x:c>
      <x:c r="D69" s="46" t="str">
        <x:v>yolk_carrier</x:v>
      </x:c>
      <x:c r="E69" s="46" t="str">
        <x:v>boiled_100C_15min</x:v>
      </x:c>
      <x:c r="F69" s="46" t="str">
        <x:v>SRC-EGG-YOLK-BOIL-001</x:v>
      </x:c>
      <x:c r="G69" s="46" t="str">
        <x:v>Hydrocarbon</x:v>
      </x:c>
      <x:c r="H69" s="46" t="str">
        <x:v>Alkanes</x:v>
      </x:c>
      <x:c r="I69" s="46" t="str">
        <x:v>Dodecane</x:v>
      </x:c>
      <x:c r="J69" s="46" t="n">
        <x:v>57</x:v>
      </x:c>
      <x:c r="K69" s="46" t="n">
        <x:v>1200</x:v>
      </x:c>
      <x:c r="L69" s="46" t="n">
        <x:v>0.125</x:v>
      </x:c>
      <x:c r="M69" s="46" t="n">
        <x:v>0.105</x:v>
      </x:c>
      <x:c r="N69" s="46" t="n">
        <x:v>0.071</x:v>
      </x:c>
      <x:c r="O69" s="46" t="n">
        <x:v>0.166</x:v>
      </x:c>
      <x:c r="P69" s="46" t="n">
        <x:v>0.0166</x:v>
      </x:c>
      <x:c r="Q69" s="46" t="str">
        <x:v>AU × 10^6</x:v>
      </x:c>
      <x:c r="R69" s="46" t="str">
        <x:v>HS-SPME-GC-MS; source method references prior VOC-identification procedure; LRI reported for every row</x:v>
      </x:c>
      <x:c r="S69" s="46"/>
      <x:c r="T69" s="46" t="str">
        <x:v>partial_no_numeric_match_factor</x:v>
      </x:c>
      <x:c r="U69" s="46" t="str">
        <x:v>yes</x:v>
      </x:c>
      <x:c r="V69" s="46" t="str">
        <x:v>normal_culinary_evidence</x:v>
      </x:c>
      <x:c r="W69" s="46" t="str">
        <x:v>CE = commercial chicken egg control; breed values retained separately. Source-group taxonomy is preserved.</x:v>
      </x:c>
    </x:row>
    <x:row r="70" ht="26.399999618530273" hidden="0" customHeight="1">
      <x:c r="A70" s="46" t="str">
        <x:v>DEY-BOIL-069</x:v>
      </x:c>
      <x:c r="B70" s="46" t="str">
        <x:v>egg:yolk_chicken</x:v>
      </x:c>
      <x:c r="C70" s="46" t="str">
        <x:v>family:egg</x:v>
      </x:c>
      <x:c r="D70" s="46" t="str">
        <x:v>yolk_carrier</x:v>
      </x:c>
      <x:c r="E70" s="46" t="str">
        <x:v>boiled_100C_15min</x:v>
      </x:c>
      <x:c r="F70" s="46" t="str">
        <x:v>SRC-EGG-YOLK-BOIL-001</x:v>
      </x:c>
      <x:c r="G70" s="46" t="str">
        <x:v>Hydrocarbon</x:v>
      </x:c>
      <x:c r="H70" s="46" t="str">
        <x:v>Alkanes</x:v>
      </x:c>
      <x:c r="I70" s="46" t="str">
        <x:v>Dodecane, 2,6,11-trimethyl-</x:v>
      </x:c>
      <x:c r="J70" s="46" t="n">
        <x:v>71.1</x:v>
      </x:c>
      <x:c r="K70" s="46" t="n">
        <x:v>1285</x:v>
      </x:c>
      <x:c r="L70" s="46" t="n">
        <x:v>0.029</x:v>
      </x:c>
      <x:c r="M70" s="46" t="n">
        <x:v>0.021</x:v>
      </x:c>
      <x:c r="N70" s="46" t="n">
        <x:v>0.011</x:v>
      </x:c>
      <x:c r="O70" s="46" t="n">
        <x:v>0.018</x:v>
      </x:c>
      <x:c r="P70" s="46" t="n">
        <x:v>0.0025</x:v>
      </x:c>
      <x:c r="Q70" s="46" t="str">
        <x:v>AU × 10^6</x:v>
      </x:c>
      <x:c r="R70" s="46" t="str">
        <x:v>HS-SPME-GC-MS; source method references prior VOC-identification procedure; LRI reported for every row</x:v>
      </x:c>
      <x:c r="S70" s="46"/>
      <x:c r="T70" s="46" t="str">
        <x:v>partial_no_numeric_match_factor</x:v>
      </x:c>
      <x:c r="U70" s="46" t="str">
        <x:v>yes</x:v>
      </x:c>
      <x:c r="V70" s="46" t="str">
        <x:v>normal_culinary_evidence</x:v>
      </x:c>
      <x:c r="W70" s="46" t="str">
        <x:v>CE = commercial chicken egg control; breed values retained separately. Source-group taxonomy is preserved.</x:v>
      </x:c>
    </x:row>
    <x:row r="71" ht="26.399999618530273" hidden="0" customHeight="1">
      <x:c r="A71" s="46" t="str">
        <x:v>DEY-BOIL-070</x:v>
      </x:c>
      <x:c r="B71" s="46" t="str">
        <x:v>egg:yolk_chicken</x:v>
      </x:c>
      <x:c r="C71" s="46" t="str">
        <x:v>family:egg</x:v>
      </x:c>
      <x:c r="D71" s="46" t="str">
        <x:v>yolk_carrier</x:v>
      </x:c>
      <x:c r="E71" s="46" t="str">
        <x:v>boiled_100C_15min</x:v>
      </x:c>
      <x:c r="F71" s="46" t="str">
        <x:v>SRC-EGG-YOLK-BOIL-001</x:v>
      </x:c>
      <x:c r="G71" s="46" t="str">
        <x:v>Hydrocarbon</x:v>
      </x:c>
      <x:c r="H71" s="46" t="str">
        <x:v>Alkanes</x:v>
      </x:c>
      <x:c r="I71" s="46" t="str">
        <x:v>Dodecane, 2,7,10-trimethyl-</x:v>
      </x:c>
      <x:c r="J71" s="46" t="n">
        <x:v>71.1</x:v>
      </x:c>
      <x:c r="K71" s="46" t="n">
        <x:v>1331</x:v>
      </x:c>
      <x:c r="L71" s="46" t="n">
        <x:v>0.008</x:v>
      </x:c>
      <x:c r="M71" s="46" t="n">
        <x:v>0.008</x:v>
      </x:c>
      <x:c r="N71" s="46" t="n">
        <x:v>0.01</x:v>
      </x:c>
      <x:c r="O71" s="46" t="n">
        <x:v>0.008</x:v>
      </x:c>
      <x:c r="P71" s="46" t="n">
        <x:v>0.0041</x:v>
      </x:c>
      <x:c r="Q71" s="46" t="str">
        <x:v>AU × 10^6</x:v>
      </x:c>
      <x:c r="R71" s="46" t="str">
        <x:v>HS-SPME-GC-MS; source method references prior VOC-identification procedure; LRI reported for every row</x:v>
      </x:c>
      <x:c r="S71" s="46"/>
      <x:c r="T71" s="46" t="str">
        <x:v>partial_no_numeric_match_factor</x:v>
      </x:c>
      <x:c r="U71" s="46" t="str">
        <x:v>yes</x:v>
      </x:c>
      <x:c r="V71" s="46" t="str">
        <x:v>normal_culinary_evidence</x:v>
      </x:c>
      <x:c r="W71" s="46" t="str">
        <x:v>CE = commercial chicken egg control; breed values retained separately. Source-group taxonomy is preserved.</x:v>
      </x:c>
    </x:row>
    <x:row r="72" ht="26.399999618530273" hidden="0" customHeight="1">
      <x:c r="A72" s="46" t="str">
        <x:v>DEY-BOIL-071</x:v>
      </x:c>
      <x:c r="B72" s="46" t="str">
        <x:v>egg:yolk_chicken</x:v>
      </x:c>
      <x:c r="C72" s="46" t="str">
        <x:v>family:egg</x:v>
      </x:c>
      <x:c r="D72" s="46" t="str">
        <x:v>yolk_carrier</x:v>
      </x:c>
      <x:c r="E72" s="46" t="str">
        <x:v>boiled_100C_15min</x:v>
      </x:c>
      <x:c r="F72" s="46" t="str">
        <x:v>SRC-EGG-YOLK-BOIL-001</x:v>
      </x:c>
      <x:c r="G72" s="46" t="str">
        <x:v>Hydrocarbon</x:v>
      </x:c>
      <x:c r="H72" s="46" t="str">
        <x:v>Alkanes</x:v>
      </x:c>
      <x:c r="I72" s="46" t="str">
        <x:v>Dodecane, 4,6-dimethyl-</x:v>
      </x:c>
      <x:c r="J72" s="46" t="n">
        <x:v>71.1</x:v>
      </x:c>
      <x:c r="K72" s="46" t="n">
        <x:v>1330</x:v>
      </x:c>
      <x:c r="L72" s="46" t="n">
        <x:v>0.004</x:v>
      </x:c>
      <x:c r="M72" s="46" t="n">
        <x:v>0</x:v>
      </x:c>
      <x:c r="N72" s="46" t="n">
        <x:v>0.004</x:v>
      </x:c>
      <x:c r="O72" s="46" t="n">
        <x:v>0</x:v>
      </x:c>
      <x:c r="P72" s="46" t="n">
        <x:v>0.0013</x:v>
      </x:c>
      <x:c r="Q72" s="46" t="str">
        <x:v>AU × 10^6</x:v>
      </x:c>
      <x:c r="R72" s="46" t="str">
        <x:v>HS-SPME-GC-MS; source method references prior VOC-identification procedure; LRI reported for every row</x:v>
      </x:c>
      <x:c r="S72" s="46"/>
      <x:c r="T72" s="46" t="str">
        <x:v>partial_no_numeric_match_factor</x:v>
      </x:c>
      <x:c r="U72" s="46" t="str">
        <x:v>yes</x:v>
      </x:c>
      <x:c r="V72" s="46" t="str">
        <x:v>normal_culinary_evidence</x:v>
      </x:c>
      <x:c r="W72" s="46" t="str">
        <x:v>CE = commercial chicken egg control; breed values retained separately. Source-group taxonomy is preserved.</x:v>
      </x:c>
    </x:row>
    <x:row r="73" ht="26.399999618530273" hidden="0" customHeight="1">
      <x:c r="A73" s="46" t="str">
        <x:v>DEY-BOIL-072</x:v>
      </x:c>
      <x:c r="B73" s="46" t="str">
        <x:v>egg:yolk_chicken</x:v>
      </x:c>
      <x:c r="C73" s="46" t="str">
        <x:v>family:egg</x:v>
      </x:c>
      <x:c r="D73" s="46" t="str">
        <x:v>yolk_carrier</x:v>
      </x:c>
      <x:c r="E73" s="46" t="str">
        <x:v>boiled_100C_15min</x:v>
      </x:c>
      <x:c r="F73" s="46" t="str">
        <x:v>SRC-EGG-YOLK-BOIL-001</x:v>
      </x:c>
      <x:c r="G73" s="46" t="str">
        <x:v>Hydrocarbon</x:v>
      </x:c>
      <x:c r="H73" s="46" t="str">
        <x:v>Alkanes</x:v>
      </x:c>
      <x:c r="I73" s="46" t="str">
        <x:v>Dodecane, 4-methyl-</x:v>
      </x:c>
      <x:c r="J73" s="46" t="n">
        <x:v>57.1</x:v>
      </x:c>
      <x:c r="K73" s="46" t="n">
        <x:v>1268</x:v>
      </x:c>
      <x:c r="L73" s="46" t="n">
        <x:v>0.015</x:v>
      </x:c>
      <x:c r="M73" s="46" t="n">
        <x:v>0.008</x:v>
      </x:c>
      <x:c r="N73" s="46" t="n">
        <x:v>0.003</x:v>
      </x:c>
      <x:c r="O73" s="46" t="n">
        <x:v>0</x:v>
      </x:c>
      <x:c r="P73" s="46" t="n">
        <x:v>0.0026</x:v>
      </x:c>
      <x:c r="Q73" s="46" t="str">
        <x:v>AU × 10^6</x:v>
      </x:c>
      <x:c r="R73" s="46" t="str">
        <x:v>HS-SPME-GC-MS; source method references prior VOC-identification procedure; LRI reported for every row</x:v>
      </x:c>
      <x:c r="S73" s="46"/>
      <x:c r="T73" s="46" t="str">
        <x:v>partial_no_numeric_match_factor</x:v>
      </x:c>
      <x:c r="U73" s="46" t="str">
        <x:v>yes</x:v>
      </x:c>
      <x:c r="V73" s="46" t="str">
        <x:v>normal_culinary_evidence</x:v>
      </x:c>
      <x:c r="W73" s="46" t="str">
        <x:v>CE = commercial chicken egg control; breed values retained separately. Source-group taxonomy is preserved.</x:v>
      </x:c>
    </x:row>
    <x:row r="74" ht="26.399999618530273" hidden="0" customHeight="1">
      <x:c r="A74" s="46" t="str">
        <x:v>DEY-BOIL-073</x:v>
      </x:c>
      <x:c r="B74" s="46" t="str">
        <x:v>egg:yolk_chicken</x:v>
      </x:c>
      <x:c r="C74" s="46" t="str">
        <x:v>family:egg</x:v>
      </x:c>
      <x:c r="D74" s="46" t="str">
        <x:v>yolk_carrier</x:v>
      </x:c>
      <x:c r="E74" s="46" t="str">
        <x:v>boiled_100C_15min</x:v>
      </x:c>
      <x:c r="F74" s="46" t="str">
        <x:v>SRC-EGG-YOLK-BOIL-001</x:v>
      </x:c>
      <x:c r="G74" s="46" t="str">
        <x:v>Hydrocarbon</x:v>
      </x:c>
      <x:c r="H74" s="46" t="str">
        <x:v>Alkanes</x:v>
      </x:c>
      <x:c r="I74" s="46" t="str">
        <x:v>Dodecane, 5-methyl-</x:v>
      </x:c>
      <x:c r="J74" s="46" t="n">
        <x:v>57.1</x:v>
      </x:c>
      <x:c r="K74" s="46" t="n">
        <x:v>1253</x:v>
      </x:c>
      <x:c r="L74" s="46" t="n">
        <x:v>0.009</x:v>
      </x:c>
      <x:c r="M74" s="46" t="n">
        <x:v>0.008</x:v>
      </x:c>
      <x:c r="N74" s="46" t="n">
        <x:v>0.009</x:v>
      </x:c>
      <x:c r="O74" s="46" t="n">
        <x:v>0.008</x:v>
      </x:c>
      <x:c r="P74" s="46" t="n">
        <x:v>0.0026</x:v>
      </x:c>
      <x:c r="Q74" s="46" t="str">
        <x:v>AU × 10^6</x:v>
      </x:c>
      <x:c r="R74" s="46" t="str">
        <x:v>HS-SPME-GC-MS; source method references prior VOC-identification procedure; LRI reported for every row</x:v>
      </x:c>
      <x:c r="S74" s="46"/>
      <x:c r="T74" s="46" t="str">
        <x:v>partial_no_numeric_match_factor</x:v>
      </x:c>
      <x:c r="U74" s="46" t="str">
        <x:v>yes</x:v>
      </x:c>
      <x:c r="V74" s="46" t="str">
        <x:v>normal_culinary_evidence</x:v>
      </x:c>
      <x:c r="W74" s="46" t="str">
        <x:v>CE = commercial chicken egg control; breed values retained separately. Source-group taxonomy is preserved.</x:v>
      </x:c>
    </x:row>
    <x:row r="75" ht="26.399999618530273" hidden="0" customHeight="1">
      <x:c r="A75" s="46" t="str">
        <x:v>DEY-BOIL-074</x:v>
      </x:c>
      <x:c r="B75" s="46" t="str">
        <x:v>egg:yolk_chicken</x:v>
      </x:c>
      <x:c r="C75" s="46" t="str">
        <x:v>family:egg</x:v>
      </x:c>
      <x:c r="D75" s="46" t="str">
        <x:v>yolk_carrier</x:v>
      </x:c>
      <x:c r="E75" s="46" t="str">
        <x:v>boiled_100C_15min</x:v>
      </x:c>
      <x:c r="F75" s="46" t="str">
        <x:v>SRC-EGG-YOLK-BOIL-001</x:v>
      </x:c>
      <x:c r="G75" s="46" t="str">
        <x:v>Hydrocarbon</x:v>
      </x:c>
      <x:c r="H75" s="46" t="str">
        <x:v>Alkanes</x:v>
      </x:c>
      <x:c r="I75" s="46" t="str">
        <x:v>Heptadecane</x:v>
      </x:c>
      <x:c r="J75" s="46" t="n">
        <x:v>57</x:v>
      </x:c>
      <x:c r="K75" s="46" t="n">
        <x:v>1702</x:v>
      </x:c>
      <x:c r="L75" s="46" t="n">
        <x:v>0.006</x:v>
      </x:c>
      <x:c r="M75" s="46" t="n">
        <x:v>0.007</x:v>
      </x:c>
      <x:c r="N75" s="46" t="n">
        <x:v>0.01</x:v>
      </x:c>
      <x:c r="O75" s="46" t="n">
        <x:v>0.032</x:v>
      </x:c>
      <x:c r="P75" s="46" t="n">
        <x:v>0.005</x:v>
      </x:c>
      <x:c r="Q75" s="46" t="str">
        <x:v>AU × 10^6</x:v>
      </x:c>
      <x:c r="R75" s="46" t="str">
        <x:v>HS-SPME-GC-MS; source method references prior VOC-identification procedure; LRI reported for every row</x:v>
      </x:c>
      <x:c r="S75" s="46"/>
      <x:c r="T75" s="46" t="str">
        <x:v>partial_no_numeric_match_factor</x:v>
      </x:c>
      <x:c r="U75" s="46" t="str">
        <x:v>yes</x:v>
      </x:c>
      <x:c r="V75" s="46" t="str">
        <x:v>normal_culinary_evidence</x:v>
      </x:c>
      <x:c r="W75" s="46" t="str">
        <x:v>CE = commercial chicken egg control; breed values retained separately. Source-group taxonomy is preserved.</x:v>
      </x:c>
    </x:row>
    <x:row r="76" ht="26.399999618530273" hidden="0" customHeight="1">
      <x:c r="A76" s="46" t="str">
        <x:v>DEY-BOIL-075</x:v>
      </x:c>
      <x:c r="B76" s="46" t="str">
        <x:v>egg:yolk_chicken</x:v>
      </x:c>
      <x:c r="C76" s="46" t="str">
        <x:v>family:egg</x:v>
      </x:c>
      <x:c r="D76" s="46" t="str">
        <x:v>yolk_carrier</x:v>
      </x:c>
      <x:c r="E76" s="46" t="str">
        <x:v>boiled_100C_15min</x:v>
      </x:c>
      <x:c r="F76" s="46" t="str">
        <x:v>SRC-EGG-YOLK-BOIL-001</x:v>
      </x:c>
      <x:c r="G76" s="46" t="str">
        <x:v>Hydrocarbon</x:v>
      </x:c>
      <x:c r="H76" s="46" t="str">
        <x:v>Alkanes</x:v>
      </x:c>
      <x:c r="I76" s="46" t="str">
        <x:v>Heptane, 2,3,4-trimethyl-</x:v>
      </x:c>
      <x:c r="J76" s="46" t="n">
        <x:v>57</x:v>
      </x:c>
      <x:c r="K76" s="46" t="n">
        <x:v>944</x:v>
      </x:c>
      <x:c r="L76" s="46" t="n">
        <x:v>0.052</x:v>
      </x:c>
      <x:c r="M76" s="46" t="n">
        <x:v>0.049</x:v>
      </x:c>
      <x:c r="N76" s="46" t="n">
        <x:v>0.028</x:v>
      </x:c>
      <x:c r="O76" s="46" t="n">
        <x:v>0.03</x:v>
      </x:c>
      <x:c r="P76" s="46" t="n">
        <x:v>0.0057</x:v>
      </x:c>
      <x:c r="Q76" s="46" t="str">
        <x:v>AU × 10^6</x:v>
      </x:c>
      <x:c r="R76" s="46" t="str">
        <x:v>HS-SPME-GC-MS; source method references prior VOC-identification procedure; LRI reported for every row</x:v>
      </x:c>
      <x:c r="S76" s="46"/>
      <x:c r="T76" s="46" t="str">
        <x:v>partial_no_numeric_match_factor</x:v>
      </x:c>
      <x:c r="U76" s="46" t="str">
        <x:v>yes</x:v>
      </x:c>
      <x:c r="V76" s="46" t="str">
        <x:v>normal_culinary_evidence</x:v>
      </x:c>
      <x:c r="W76" s="46" t="str">
        <x:v>CE = commercial chicken egg control; breed values retained separately. Source-group taxonomy is preserved.</x:v>
      </x:c>
    </x:row>
    <x:row r="77" ht="26.399999618530273" hidden="0" customHeight="1">
      <x:c r="A77" s="46" t="str">
        <x:v>DEY-BOIL-076</x:v>
      </x:c>
      <x:c r="B77" s="46" t="str">
        <x:v>egg:yolk_chicken</x:v>
      </x:c>
      <x:c r="C77" s="46" t="str">
        <x:v>family:egg</x:v>
      </x:c>
      <x:c r="D77" s="46" t="str">
        <x:v>yolk_carrier</x:v>
      </x:c>
      <x:c r="E77" s="46" t="str">
        <x:v>boiled_100C_15min</x:v>
      </x:c>
      <x:c r="F77" s="46" t="str">
        <x:v>SRC-EGG-YOLK-BOIL-001</x:v>
      </x:c>
      <x:c r="G77" s="46" t="str">
        <x:v>Hydrocarbon</x:v>
      </x:c>
      <x:c r="H77" s="46" t="str">
        <x:v>Alkanes</x:v>
      </x:c>
      <x:c r="I77" s="46" t="str">
        <x:v>Heptane, 2,5,5-trimethyl-</x:v>
      </x:c>
      <x:c r="J77" s="46" t="n">
        <x:v>57</x:v>
      </x:c>
      <x:c r="K77" s="46" t="n">
        <x:v>901</x:v>
      </x:c>
      <x:c r="L77" s="46" t="n">
        <x:v>0.013</x:v>
      </x:c>
      <x:c r="M77" s="46" t="n">
        <x:v>0.017</x:v>
      </x:c>
      <x:c r="N77" s="46" t="n">
        <x:v>0.017</x:v>
      </x:c>
      <x:c r="O77" s="46" t="n">
        <x:v>0.01</x:v>
      </x:c>
      <x:c r="P77" s="46" t="n">
        <x:v>0.0032</x:v>
      </x:c>
      <x:c r="Q77" s="46" t="str">
        <x:v>AU × 10^6</x:v>
      </x:c>
      <x:c r="R77" s="46" t="str">
        <x:v>HS-SPME-GC-MS; source method references prior VOC-identification procedure; LRI reported for every row</x:v>
      </x:c>
      <x:c r="S77" s="46"/>
      <x:c r="T77" s="46" t="str">
        <x:v>partial_no_numeric_match_factor</x:v>
      </x:c>
      <x:c r="U77" s="46" t="str">
        <x:v>yes</x:v>
      </x:c>
      <x:c r="V77" s="46" t="str">
        <x:v>normal_culinary_evidence</x:v>
      </x:c>
      <x:c r="W77" s="46" t="str">
        <x:v>CE = commercial chicken egg control; breed values retained separately. Source-group taxonomy is preserved.</x:v>
      </x:c>
    </x:row>
    <x:row r="78" ht="26.399999618530273" hidden="0" customHeight="1">
      <x:c r="A78" s="46" t="str">
        <x:v>DEY-BOIL-077</x:v>
      </x:c>
      <x:c r="B78" s="46" t="str">
        <x:v>egg:yolk_chicken</x:v>
      </x:c>
      <x:c r="C78" s="46" t="str">
        <x:v>family:egg</x:v>
      </x:c>
      <x:c r="D78" s="46" t="str">
        <x:v>yolk_carrier</x:v>
      </x:c>
      <x:c r="E78" s="46" t="str">
        <x:v>boiled_100C_15min</x:v>
      </x:c>
      <x:c r="F78" s="46" t="str">
        <x:v>SRC-EGG-YOLK-BOIL-001</x:v>
      </x:c>
      <x:c r="G78" s="46" t="str">
        <x:v>Hydrocarbon</x:v>
      </x:c>
      <x:c r="H78" s="46" t="str">
        <x:v>Alkanes</x:v>
      </x:c>
      <x:c r="I78" s="46" t="str">
        <x:v>Heptane, 3,4,5-trimethyl-</x:v>
      </x:c>
      <x:c r="J78" s="46" t="n">
        <x:v>43</x:v>
      </x:c>
      <x:c r="K78" s="46" t="n">
        <x:v>941</x:v>
      </x:c>
      <x:c r="L78" s="46" t="n">
        <x:v>0.042</x:v>
      </x:c>
      <x:c r="M78" s="46" t="n">
        <x:v>0.024</x:v>
      </x:c>
      <x:c r="N78" s="46" t="n">
        <x:v>0.033</x:v>
      </x:c>
      <x:c r="O78" s="46" t="n">
        <x:v>0.01</x:v>
      </x:c>
      <x:c r="P78" s="46" t="n">
        <x:v>0.0057</x:v>
      </x:c>
      <x:c r="Q78" s="46" t="str">
        <x:v>AU × 10^6</x:v>
      </x:c>
      <x:c r="R78" s="46" t="str">
        <x:v>HS-SPME-GC-MS; source method references prior VOC-identification procedure; LRI reported for every row</x:v>
      </x:c>
      <x:c r="S78" s="46"/>
      <x:c r="T78" s="46" t="str">
        <x:v>partial_no_numeric_match_factor</x:v>
      </x:c>
      <x:c r="U78" s="46" t="str">
        <x:v>yes</x:v>
      </x:c>
      <x:c r="V78" s="46" t="str">
        <x:v>normal_culinary_evidence</x:v>
      </x:c>
      <x:c r="W78" s="46" t="str">
        <x:v>CE = commercial chicken egg control; breed values retained separately. Source-group taxonomy is preserved.</x:v>
      </x:c>
    </x:row>
    <x:row r="79" ht="26.399999618530273" hidden="0" customHeight="1">
      <x:c r="A79" s="46" t="str">
        <x:v>DEY-BOIL-078</x:v>
      </x:c>
      <x:c r="B79" s="46" t="str">
        <x:v>egg:yolk_chicken</x:v>
      </x:c>
      <x:c r="C79" s="46" t="str">
        <x:v>family:egg</x:v>
      </x:c>
      <x:c r="D79" s="46" t="str">
        <x:v>yolk_carrier</x:v>
      </x:c>
      <x:c r="E79" s="46" t="str">
        <x:v>boiled_100C_15min</x:v>
      </x:c>
      <x:c r="F79" s="46" t="str">
        <x:v>SRC-EGG-YOLK-BOIL-001</x:v>
      </x:c>
      <x:c r="G79" s="46" t="str">
        <x:v>Hydrocarbon</x:v>
      </x:c>
      <x:c r="H79" s="46" t="str">
        <x:v>Alkanes</x:v>
      </x:c>
      <x:c r="I79" s="46" t="str">
        <x:v>Heptane, 3,4-dimethyl-</x:v>
      </x:c>
      <x:c r="J79" s="46" t="n">
        <x:v>57.1</x:v>
      </x:c>
      <x:c r="K79" s="46" t="n">
        <x:v>844</x:v>
      </x:c>
      <x:c r="L79" s="46" t="n">
        <x:v>0.022</x:v>
      </x:c>
      <x:c r="M79" s="46" t="n">
        <x:v>0.014</x:v>
      </x:c>
      <x:c r="N79" s="46" t="n">
        <x:v>0.021</x:v>
      </x:c>
      <x:c r="O79" s="46" t="n">
        <x:v>0.04</x:v>
      </x:c>
      <x:c r="P79" s="46" t="n">
        <x:v>0.0084</x:v>
      </x:c>
      <x:c r="Q79" s="46" t="str">
        <x:v>AU × 10^6</x:v>
      </x:c>
      <x:c r="R79" s="46" t="str">
        <x:v>HS-SPME-GC-MS; source method references prior VOC-identification procedure; LRI reported for every row</x:v>
      </x:c>
      <x:c r="S79" s="46"/>
      <x:c r="T79" s="46" t="str">
        <x:v>partial_no_numeric_match_factor</x:v>
      </x:c>
      <x:c r="U79" s="46" t="str">
        <x:v>yes</x:v>
      </x:c>
      <x:c r="V79" s="46" t="str">
        <x:v>normal_culinary_evidence</x:v>
      </x:c>
      <x:c r="W79" s="46" t="str">
        <x:v>CE = commercial chicken egg control; breed values retained separately. Source-group taxonomy is preserved.</x:v>
      </x:c>
    </x:row>
    <x:row r="80" ht="26.399999618530273" hidden="0" customHeight="1">
      <x:c r="A80" s="46" t="str">
        <x:v>DEY-BOIL-079</x:v>
      </x:c>
      <x:c r="B80" s="46" t="str">
        <x:v>egg:yolk_chicken</x:v>
      </x:c>
      <x:c r="C80" s="46" t="str">
        <x:v>family:egg</x:v>
      </x:c>
      <x:c r="D80" s="46" t="str">
        <x:v>yolk_carrier</x:v>
      </x:c>
      <x:c r="E80" s="46" t="str">
        <x:v>boiled_100C_15min</x:v>
      </x:c>
      <x:c r="F80" s="46" t="str">
        <x:v>SRC-EGG-YOLK-BOIL-001</x:v>
      </x:c>
      <x:c r="G80" s="46" t="str">
        <x:v>Hydrocarbon</x:v>
      </x:c>
      <x:c r="H80" s="46" t="str">
        <x:v>Alkanes</x:v>
      </x:c>
      <x:c r="I80" s="46" t="str">
        <x:v>Heptane, 4-ethyl-</x:v>
      </x:c>
      <x:c r="J80" s="46" t="n">
        <x:v>43</x:v>
      </x:c>
      <x:c r="K80" s="46" t="n">
        <x:v>844</x:v>
      </x:c>
      <x:c r="L80" s="46" t="n">
        <x:v>0.023</x:v>
      </x:c>
      <x:c r="M80" s="46" t="n">
        <x:v>0.017</x:v>
      </x:c>
      <x:c r="N80" s="46" t="n">
        <x:v>0.009</x:v>
      </x:c>
      <x:c r="O80" s="46" t="n">
        <x:v>0</x:v>
      </x:c>
      <x:c r="P80" s="46" t="n">
        <x:v>0.0052</x:v>
      </x:c>
      <x:c r="Q80" s="46" t="str">
        <x:v>AU × 10^6</x:v>
      </x:c>
      <x:c r="R80" s="46" t="str">
        <x:v>HS-SPME-GC-MS; source method references prior VOC-identification procedure; LRI reported for every row</x:v>
      </x:c>
      <x:c r="S80" s="46"/>
      <x:c r="T80" s="46" t="str">
        <x:v>partial_no_numeric_match_factor</x:v>
      </x:c>
      <x:c r="U80" s="46" t="str">
        <x:v>yes</x:v>
      </x:c>
      <x:c r="V80" s="46" t="str">
        <x:v>normal_culinary_evidence</x:v>
      </x:c>
      <x:c r="W80" s="46" t="str">
        <x:v>CE = commercial chicken egg control; breed values retained separately. Source-group taxonomy is preserved.</x:v>
      </x:c>
    </x:row>
    <x:row r="81" ht="26.399999618530273" hidden="0" customHeight="1">
      <x:c r="A81" s="46" t="str">
        <x:v>DEY-BOIL-080</x:v>
      </x:c>
      <x:c r="B81" s="46" t="str">
        <x:v>egg:yolk_chicken</x:v>
      </x:c>
      <x:c r="C81" s="46" t="str">
        <x:v>family:egg</x:v>
      </x:c>
      <x:c r="D81" s="46" t="str">
        <x:v>yolk_carrier</x:v>
      </x:c>
      <x:c r="E81" s="46" t="str">
        <x:v>boiled_100C_15min</x:v>
      </x:c>
      <x:c r="F81" s="46" t="str">
        <x:v>SRC-EGG-YOLK-BOIL-001</x:v>
      </x:c>
      <x:c r="G81" s="46" t="str">
        <x:v>Hydrocarbon</x:v>
      </x:c>
      <x:c r="H81" s="46" t="str">
        <x:v>Alkanes</x:v>
      </x:c>
      <x:c r="I81" s="46" t="str">
        <x:v>Hexadecane</x:v>
      </x:c>
      <x:c r="J81" s="46" t="n">
        <x:v>71.1</x:v>
      </x:c>
      <x:c r="K81" s="46" t="n">
        <x:v>1600</x:v>
      </x:c>
      <x:c r="L81" s="46" t="n">
        <x:v>0</x:v>
      </x:c>
      <x:c r="M81" s="46" t="n">
        <x:v>0</x:v>
      </x:c>
      <x:c r="N81" s="46" t="n">
        <x:v>0.013</x:v>
      </x:c>
      <x:c r="O81" s="46" t="n">
        <x:v>0.035</x:v>
      </x:c>
      <x:c r="P81" s="46" t="n">
        <x:v>0.0023</x:v>
      </x:c>
      <x:c r="Q81" s="46" t="str">
        <x:v>AU × 10^6</x:v>
      </x:c>
      <x:c r="R81" s="46" t="str">
        <x:v>HS-SPME-GC-MS; source method references prior VOC-identification procedure; LRI reported for every row</x:v>
      </x:c>
      <x:c r="S81" s="46"/>
      <x:c r="T81" s="46" t="str">
        <x:v>partial_no_numeric_match_factor</x:v>
      </x:c>
      <x:c r="U81" s="46" t="str">
        <x:v>no</x:v>
      </x:c>
      <x:c r="V81" s="46" t="str">
        <x:v>normal_culinary_evidence</x:v>
      </x:c>
      <x:c r="W81" s="46" t="str">
        <x:v>CE = commercial chicken egg control; breed values retained separately. Source-group taxonomy is preserved.</x:v>
      </x:c>
    </x:row>
    <x:row r="82" ht="26.399999618530273" hidden="0" customHeight="1">
      <x:c r="A82" s="46" t="str">
        <x:v>DEY-BOIL-081</x:v>
      </x:c>
      <x:c r="B82" s="46" t="str">
        <x:v>egg:yolk_chicken</x:v>
      </x:c>
      <x:c r="C82" s="46" t="str">
        <x:v>family:egg</x:v>
      </x:c>
      <x:c r="D82" s="46" t="str">
        <x:v>yolk_carrier</x:v>
      </x:c>
      <x:c r="E82" s="46" t="str">
        <x:v>boiled_100C_15min</x:v>
      </x:c>
      <x:c r="F82" s="46" t="str">
        <x:v>SRC-EGG-YOLK-BOIL-001</x:v>
      </x:c>
      <x:c r="G82" s="46" t="str">
        <x:v>Hydrocarbon</x:v>
      </x:c>
      <x:c r="H82" s="46" t="str">
        <x:v>Alkanes</x:v>
      </x:c>
      <x:c r="I82" s="46" t="str">
        <x:v>Hexane, 3,3-dimethyl-</x:v>
      </x:c>
      <x:c r="J82" s="46" t="n">
        <x:v>43</x:v>
      </x:c>
      <x:c r="K82" s="46" t="n">
        <x:v>751</x:v>
      </x:c>
      <x:c r="L82" s="46" t="n">
        <x:v>0.033</x:v>
      </x:c>
      <x:c r="M82" s="46" t="n">
        <x:v>0.04</x:v>
      </x:c>
      <x:c r="N82" s="46" t="n">
        <x:v>0.026</x:v>
      </x:c>
      <x:c r="O82" s="46" t="n">
        <x:v>0</x:v>
      </x:c>
      <x:c r="P82" s="46" t="n">
        <x:v>0.0035</x:v>
      </x:c>
      <x:c r="Q82" s="46" t="str">
        <x:v>AU × 10^6</x:v>
      </x:c>
      <x:c r="R82" s="46" t="str">
        <x:v>HS-SPME-GC-MS; source method references prior VOC-identification procedure; LRI reported for every row</x:v>
      </x:c>
      <x:c r="S82" s="46"/>
      <x:c r="T82" s="46" t="str">
        <x:v>partial_no_numeric_match_factor</x:v>
      </x:c>
      <x:c r="U82" s="46" t="str">
        <x:v>yes</x:v>
      </x:c>
      <x:c r="V82" s="46" t="str">
        <x:v>normal_culinary_evidence</x:v>
      </x:c>
      <x:c r="W82" s="46" t="str">
        <x:v>CE = commercial chicken egg control; breed values retained separately. Source-group taxonomy is preserved.</x:v>
      </x:c>
    </x:row>
    <x:row r="83" ht="26.399999618530273" hidden="0" customHeight="1">
      <x:c r="A83" s="46" t="str">
        <x:v>DEY-BOIL-082</x:v>
      </x:c>
      <x:c r="B83" s="46" t="str">
        <x:v>egg:yolk_chicken</x:v>
      </x:c>
      <x:c r="C83" s="46" t="str">
        <x:v>family:egg</x:v>
      </x:c>
      <x:c r="D83" s="46" t="str">
        <x:v>yolk_carrier</x:v>
      </x:c>
      <x:c r="E83" s="46" t="str">
        <x:v>boiled_100C_15min</x:v>
      </x:c>
      <x:c r="F83" s="46" t="str">
        <x:v>SRC-EGG-YOLK-BOIL-001</x:v>
      </x:c>
      <x:c r="G83" s="46" t="str">
        <x:v>Hydrocarbon</x:v>
      </x:c>
      <x:c r="H83" s="46" t="str">
        <x:v>Alkanes</x:v>
      </x:c>
      <x:c r="I83" s="46" t="str">
        <x:v>Hexane, 3-ethyl-</x:v>
      </x:c>
      <x:c r="J83" s="46" t="n">
        <x:v>43.1</x:v>
      </x:c>
      <x:c r="K83" s="46" t="n">
        <x:v>768</x:v>
      </x:c>
      <x:c r="L83" s="46" t="n">
        <x:v>0.681</x:v>
      </x:c>
      <x:c r="M83" s="46" t="n">
        <x:v>0.688</x:v>
      </x:c>
      <x:c r="N83" s="46" t="n">
        <x:v>0.441</x:v>
      </x:c>
      <x:c r="O83" s="46" t="n">
        <x:v>0.289</x:v>
      </x:c>
      <x:c r="P83" s="46" t="n">
        <x:v>0.0323</x:v>
      </x:c>
      <x:c r="Q83" s="46" t="str">
        <x:v>AU × 10^6</x:v>
      </x:c>
      <x:c r="R83" s="46" t="str">
        <x:v>HS-SPME-GC-MS; source method references prior VOC-identification procedure; LRI reported for every row</x:v>
      </x:c>
      <x:c r="S83" s="46"/>
      <x:c r="T83" s="46" t="str">
        <x:v>partial_no_numeric_match_factor</x:v>
      </x:c>
      <x:c r="U83" s="46" t="str">
        <x:v>yes</x:v>
      </x:c>
      <x:c r="V83" s="46" t="str">
        <x:v>normal_culinary_evidence</x:v>
      </x:c>
      <x:c r="W83" s="46" t="str">
        <x:v>CE = commercial chicken egg control; breed values retained separately. Source-group taxonomy is preserved.</x:v>
      </x:c>
    </x:row>
    <x:row r="84" ht="26.399999618530273" hidden="0" customHeight="1">
      <x:c r="A84" s="46" t="str">
        <x:v>DEY-BOIL-083</x:v>
      </x:c>
      <x:c r="B84" s="46" t="str">
        <x:v>egg:yolk_chicken</x:v>
      </x:c>
      <x:c r="C84" s="46" t="str">
        <x:v>family:egg</x:v>
      </x:c>
      <x:c r="D84" s="46" t="str">
        <x:v>yolk_carrier</x:v>
      </x:c>
      <x:c r="E84" s="46" t="str">
        <x:v>boiled_100C_15min</x:v>
      </x:c>
      <x:c r="F84" s="46" t="str">
        <x:v>SRC-EGG-YOLK-BOIL-001</x:v>
      </x:c>
      <x:c r="G84" s="46" t="str">
        <x:v>Hydrocarbon</x:v>
      </x:c>
      <x:c r="H84" s="46" t="str">
        <x:v>Alkanes</x:v>
      </x:c>
      <x:c r="I84" s="46" t="str">
        <x:v>Hexane, 3-ethyl-2,5-dimethyl-</x:v>
      </x:c>
      <x:c r="J84" s="46" t="n">
        <x:v>57.1</x:v>
      </x:c>
      <x:c r="K84" s="46" t="n">
        <x:v>887</x:v>
      </x:c>
      <x:c r="L84" s="46" t="n">
        <x:v>0.012</x:v>
      </x:c>
      <x:c r="M84" s="46" t="n">
        <x:v>0.015</x:v>
      </x:c>
      <x:c r="N84" s="46" t="n">
        <x:v>0.009</x:v>
      </x:c>
      <x:c r="O84" s="46" t="n">
        <x:v>0.004</x:v>
      </x:c>
      <x:c r="P84" s="46" t="n">
        <x:v>0.0023</x:v>
      </x:c>
      <x:c r="Q84" s="46" t="str">
        <x:v>AU × 10^6</x:v>
      </x:c>
      <x:c r="R84" s="46" t="str">
        <x:v>HS-SPME-GC-MS; source method references prior VOC-identification procedure; LRI reported for every row</x:v>
      </x:c>
      <x:c r="S84" s="46"/>
      <x:c r="T84" s="46" t="str">
        <x:v>partial_no_numeric_match_factor</x:v>
      </x:c>
      <x:c r="U84" s="46" t="str">
        <x:v>yes</x:v>
      </x:c>
      <x:c r="V84" s="46" t="str">
        <x:v>normal_culinary_evidence</x:v>
      </x:c>
      <x:c r="W84" s="46" t="str">
        <x:v>CE = commercial chicken egg control; breed values retained separately. Source-group taxonomy is preserved.</x:v>
      </x:c>
    </x:row>
    <x:row r="85" ht="26.399999618530273" hidden="0" customHeight="1">
      <x:c r="A85" s="46" t="str">
        <x:v>DEY-BOIL-084</x:v>
      </x:c>
      <x:c r="B85" s="46" t="str">
        <x:v>egg:yolk_chicken</x:v>
      </x:c>
      <x:c r="C85" s="46" t="str">
        <x:v>family:egg</x:v>
      </x:c>
      <x:c r="D85" s="46" t="str">
        <x:v>yolk_carrier</x:v>
      </x:c>
      <x:c r="E85" s="46" t="str">
        <x:v>boiled_100C_15min</x:v>
      </x:c>
      <x:c r="F85" s="46" t="str">
        <x:v>SRC-EGG-YOLK-BOIL-001</x:v>
      </x:c>
      <x:c r="G85" s="46" t="str">
        <x:v>Hydrocarbon</x:v>
      </x:c>
      <x:c r="H85" s="46" t="str">
        <x:v>Nitrogen heterocycles</x:v>
      </x:c>
      <x:c r="I85" s="46" t="str">
        <x:v>Indole</x:v>
      </x:c>
      <x:c r="J85" s="46" t="n">
        <x:v>117</x:v>
      </x:c>
      <x:c r="K85" s="46" t="n">
        <x:v>1298</x:v>
      </x:c>
      <x:c r="L85" s="46" t="n">
        <x:v>0.077</x:v>
      </x:c>
      <x:c r="M85" s="46" t="n">
        <x:v>0</x:v>
      </x:c>
      <x:c r="N85" s="46" t="n">
        <x:v>0</x:v>
      </x:c>
      <x:c r="O85" s="46" t="n">
        <x:v>0</x:v>
      </x:c>
      <x:c r="P85" s="46" t="n">
        <x:v>0.0217</x:v>
      </x:c>
      <x:c r="Q85" s="46" t="str">
        <x:v>AU × 10^6</x:v>
      </x:c>
      <x:c r="R85" s="46" t="str">
        <x:v>HS-SPME-GC-MS; source method references prior VOC-identification procedure; LRI reported for every row</x:v>
      </x:c>
      <x:c r="S85" s="46"/>
      <x:c r="T85" s="46" t="str">
        <x:v>partial_no_numeric_match_factor</x:v>
      </x:c>
      <x:c r="U85" s="46" t="str">
        <x:v>yes</x:v>
      </x:c>
      <x:c r="V85" s="46" t="str">
        <x:v>normal_culinary_evidence</x:v>
      </x:c>
      <x:c r="W85" s="46" t="str">
        <x:v>Source group Hydrocarbon.</x:v>
      </x:c>
    </x:row>
    <x:row r="86" ht="26.399999618530273" hidden="0" customHeight="1">
      <x:c r="A86" s="46" t="str">
        <x:v>DEY-BOIL-085</x:v>
      </x:c>
      <x:c r="B86" s="46" t="str">
        <x:v>egg:yolk_chicken</x:v>
      </x:c>
      <x:c r="C86" s="46" t="str">
        <x:v>family:egg</x:v>
      </x:c>
      <x:c r="D86" s="46" t="str">
        <x:v>yolk_carrier</x:v>
      </x:c>
      <x:c r="E86" s="46" t="str">
        <x:v>boiled_100C_15min</x:v>
      </x:c>
      <x:c r="F86" s="46" t="str">
        <x:v>SRC-EGG-YOLK-BOIL-001</x:v>
      </x:c>
      <x:c r="G86" s="46" t="str">
        <x:v>Hydrocarbon</x:v>
      </x:c>
      <x:c r="H86" s="46" t="str">
        <x:v>Halogenated nitrogen compounds</x:v>
      </x:c>
      <x:c r="I86" s="46" t="str">
        <x:v>Methane, dichloronitro-</x:v>
      </x:c>
      <x:c r="J86" s="46" t="n">
        <x:v>83</x:v>
      </x:c>
      <x:c r="K86" s="46" t="n">
        <x:v>557</x:v>
      </x:c>
      <x:c r="L86" s="46" t="n">
        <x:v>0.048</x:v>
      </x:c>
      <x:c r="M86" s="46" t="n">
        <x:v>0.376</x:v>
      </x:c>
      <x:c r="N86" s="46" t="n">
        <x:v>0.238</x:v>
      </x:c>
      <x:c r="O86" s="46" t="n">
        <x:v>0.155</x:v>
      </x:c>
      <x:c r="P86" s="46" t="n">
        <x:v>0.0389</x:v>
      </x:c>
      <x:c r="Q86" s="46" t="str">
        <x:v>AU × 10^6</x:v>
      </x:c>
      <x:c r="R86" s="46" t="str">
        <x:v>HS-SPME-GC-MS; source method references prior VOC-identification procedure; LRI reported for every row</x:v>
      </x:c>
      <x:c r="S86" s="46"/>
      <x:c r="T86" s="46" t="str">
        <x:v>partial_no_numeric_match_factor</x:v>
      </x:c>
      <x:c r="U86" s="46" t="str">
        <x:v>yes</x:v>
      </x:c>
      <x:c r="V86" s="46" t="str">
        <x:v>normal_culinary_evidence</x:v>
      </x:c>
      <x:c r="W86" s="46" t="str">
        <x:v>Source group Hydrocarbon.</x:v>
      </x:c>
    </x:row>
    <x:row r="87" ht="26.399999618530273" hidden="0" customHeight="1">
      <x:c r="A87" s="46" t="str">
        <x:v>DEY-BOIL-086</x:v>
      </x:c>
      <x:c r="B87" s="46" t="str">
        <x:v>egg:yolk_chicken</x:v>
      </x:c>
      <x:c r="C87" s="46" t="str">
        <x:v>family:egg</x:v>
      </x:c>
      <x:c r="D87" s="46" t="str">
        <x:v>yolk_carrier</x:v>
      </x:c>
      <x:c r="E87" s="46" t="str">
        <x:v>boiled_100C_15min</x:v>
      </x:c>
      <x:c r="F87" s="46" t="str">
        <x:v>SRC-EGG-YOLK-BOIL-001</x:v>
      </x:c>
      <x:c r="G87" s="46" t="str">
        <x:v>Hydrocarbon</x:v>
      </x:c>
      <x:c r="H87" s="46" t="str">
        <x:v>Alkanes</x:v>
      </x:c>
      <x:c r="I87" s="46" t="str">
        <x:v>Nonane</x:v>
      </x:c>
      <x:c r="J87" s="46" t="n">
        <x:v>57</x:v>
      </x:c>
      <x:c r="K87" s="46" t="n">
        <x:v>894</x:v>
      </x:c>
      <x:c r="L87" s="46" t="n">
        <x:v>0.016</x:v>
      </x:c>
      <x:c r="M87" s="46" t="n">
        <x:v>0.023</x:v>
      </x:c>
      <x:c r="N87" s="46" t="n">
        <x:v>0.007</x:v>
      </x:c>
      <x:c r="O87" s="46" t="n">
        <x:v>0.007</x:v>
      </x:c>
      <x:c r="P87" s="46" t="n">
        <x:v>0.0037</x:v>
      </x:c>
      <x:c r="Q87" s="46" t="str">
        <x:v>AU × 10^6</x:v>
      </x:c>
      <x:c r="R87" s="46" t="str">
        <x:v>HS-SPME-GC-MS; source method references prior VOC-identification procedure; LRI reported for every row</x:v>
      </x:c>
      <x:c r="S87" s="46"/>
      <x:c r="T87" s="46" t="str">
        <x:v>partial_no_numeric_match_factor</x:v>
      </x:c>
      <x:c r="U87" s="46" t="str">
        <x:v>yes</x:v>
      </x:c>
      <x:c r="V87" s="46" t="str">
        <x:v>normal_culinary_evidence</x:v>
      </x:c>
      <x:c r="W87" s="46" t="str">
        <x:v>CE = commercial chicken egg control; breed values retained separately. Source-group taxonomy is preserved.</x:v>
      </x:c>
    </x:row>
    <x:row r="88" ht="26.399999618530273" hidden="0" customHeight="1">
      <x:c r="A88" s="46" t="str">
        <x:v>DEY-BOIL-087</x:v>
      </x:c>
      <x:c r="B88" s="46" t="str">
        <x:v>egg:yolk_chicken</x:v>
      </x:c>
      <x:c r="C88" s="46" t="str">
        <x:v>family:egg</x:v>
      </x:c>
      <x:c r="D88" s="46" t="str">
        <x:v>yolk_carrier</x:v>
      </x:c>
      <x:c r="E88" s="46" t="str">
        <x:v>boiled_100C_15min</x:v>
      </x:c>
      <x:c r="F88" s="46" t="str">
        <x:v>SRC-EGG-YOLK-BOIL-001</x:v>
      </x:c>
      <x:c r="G88" s="46" t="str">
        <x:v>Hydrocarbon</x:v>
      </x:c>
      <x:c r="H88" s="46" t="str">
        <x:v>Alkanes</x:v>
      </x:c>
      <x:c r="I88" s="46" t="str">
        <x:v>Nonane, 2,3-dimethyl-</x:v>
      </x:c>
      <x:c r="J88" s="46" t="n">
        <x:v>71.1</x:v>
      </x:c>
      <x:c r="K88" s="46" t="n">
        <x:v>1065</x:v>
      </x:c>
      <x:c r="L88" s="46" t="n">
        <x:v>0.027</x:v>
      </x:c>
      <x:c r="M88" s="46" t="n">
        <x:v>0</x:v>
      </x:c>
      <x:c r="N88" s="46" t="n">
        <x:v>0</x:v>
      </x:c>
      <x:c r="O88" s="46" t="n">
        <x:v>0</x:v>
      </x:c>
      <x:c r="P88" s="46" t="n">
        <x:v>0.0056</x:v>
      </x:c>
      <x:c r="Q88" s="46" t="str">
        <x:v>AU × 10^6</x:v>
      </x:c>
      <x:c r="R88" s="46" t="str">
        <x:v>HS-SPME-GC-MS; source method references prior VOC-identification procedure; LRI reported for every row</x:v>
      </x:c>
      <x:c r="S88" s="46"/>
      <x:c r="T88" s="46" t="str">
        <x:v>partial_no_numeric_match_factor</x:v>
      </x:c>
      <x:c r="U88" s="46" t="str">
        <x:v>yes</x:v>
      </x:c>
      <x:c r="V88" s="46" t="str">
        <x:v>normal_culinary_evidence</x:v>
      </x:c>
      <x:c r="W88" s="46" t="str">
        <x:v>CE = commercial chicken egg control; breed values retained separately. Source-group taxonomy is preserved.</x:v>
      </x:c>
    </x:row>
    <x:row r="89" ht="26.399999618530273" hidden="0" customHeight="1">
      <x:c r="A89" s="46" t="str">
        <x:v>DEY-BOIL-088</x:v>
      </x:c>
      <x:c r="B89" s="46" t="str">
        <x:v>egg:yolk_chicken</x:v>
      </x:c>
      <x:c r="C89" s="46" t="str">
        <x:v>family:egg</x:v>
      </x:c>
      <x:c r="D89" s="46" t="str">
        <x:v>yolk_carrier</x:v>
      </x:c>
      <x:c r="E89" s="46" t="str">
        <x:v>boiled_100C_15min</x:v>
      </x:c>
      <x:c r="F89" s="46" t="str">
        <x:v>SRC-EGG-YOLK-BOIL-001</x:v>
      </x:c>
      <x:c r="G89" s="46" t="str">
        <x:v>Hydrocarbon</x:v>
      </x:c>
      <x:c r="H89" s="46" t="str">
        <x:v>Alkanes</x:v>
      </x:c>
      <x:c r="I89" s="46" t="str">
        <x:v>Nonane, 2,5-dimethyl-</x:v>
      </x:c>
      <x:c r="J89" s="46" t="n">
        <x:v>57</x:v>
      </x:c>
      <x:c r="K89" s="46" t="n">
        <x:v>1012</x:v>
      </x:c>
      <x:c r="L89" s="46" t="n">
        <x:v>0.113</x:v>
      </x:c>
      <x:c r="M89" s="46" t="n">
        <x:v>0.12</x:v>
      </x:c>
      <x:c r="N89" s="46" t="n">
        <x:v>0.057</x:v>
      </x:c>
      <x:c r="O89" s="46" t="n">
        <x:v>0.053</x:v>
      </x:c>
      <x:c r="P89" s="46" t="n">
        <x:v>0.0068</x:v>
      </x:c>
      <x:c r="Q89" s="46" t="str">
        <x:v>AU × 10^6</x:v>
      </x:c>
      <x:c r="R89" s="46" t="str">
        <x:v>HS-SPME-GC-MS; source method references prior VOC-identification procedure; LRI reported for every row</x:v>
      </x:c>
      <x:c r="S89" s="46"/>
      <x:c r="T89" s="46" t="str">
        <x:v>partial_no_numeric_match_factor</x:v>
      </x:c>
      <x:c r="U89" s="46" t="str">
        <x:v>yes</x:v>
      </x:c>
      <x:c r="V89" s="46" t="str">
        <x:v>normal_culinary_evidence</x:v>
      </x:c>
      <x:c r="W89" s="46" t="str">
        <x:v>CE = commercial chicken egg control; breed values retained separately. Source-group taxonomy is preserved.</x:v>
      </x:c>
    </x:row>
    <x:row r="90" ht="26.399999618530273" hidden="0" customHeight="1">
      <x:c r="A90" s="46" t="str">
        <x:v>DEY-BOIL-089</x:v>
      </x:c>
      <x:c r="B90" s="46" t="str">
        <x:v>egg:yolk_chicken</x:v>
      </x:c>
      <x:c r="C90" s="46" t="str">
        <x:v>family:egg</x:v>
      </x:c>
      <x:c r="D90" s="46" t="str">
        <x:v>yolk_carrier</x:v>
      </x:c>
      <x:c r="E90" s="46" t="str">
        <x:v>boiled_100C_15min</x:v>
      </x:c>
      <x:c r="F90" s="46" t="str">
        <x:v>SRC-EGG-YOLK-BOIL-001</x:v>
      </x:c>
      <x:c r="G90" s="46" t="str">
        <x:v>Hydrocarbon</x:v>
      </x:c>
      <x:c r="H90" s="46" t="str">
        <x:v>Alkanes</x:v>
      </x:c>
      <x:c r="I90" s="46" t="str">
        <x:v>Nonane, 2,6-dimethyl-</x:v>
      </x:c>
      <x:c r="J90" s="46" t="n">
        <x:v>71</x:v>
      </x:c>
      <x:c r="K90" s="46" t="n">
        <x:v>1022</x:v>
      </x:c>
      <x:c r="L90" s="46" t="n">
        <x:v>0.21</x:v>
      </x:c>
      <x:c r="M90" s="46" t="n">
        <x:v>0.137</x:v>
      </x:c>
      <x:c r="N90" s="46" t="n">
        <x:v>0.105</x:v>
      </x:c>
      <x:c r="O90" s="46" t="n">
        <x:v>0.085</x:v>
      </x:c>
      <x:c r="P90" s="46" t="n">
        <x:v>0.0148</x:v>
      </x:c>
      <x:c r="Q90" s="46" t="str">
        <x:v>AU × 10^6</x:v>
      </x:c>
      <x:c r="R90" s="46" t="str">
        <x:v>HS-SPME-GC-MS; source method references prior VOC-identification procedure; LRI reported for every row</x:v>
      </x:c>
      <x:c r="S90" s="46"/>
      <x:c r="T90" s="46" t="str">
        <x:v>partial_no_numeric_match_factor</x:v>
      </x:c>
      <x:c r="U90" s="46" t="str">
        <x:v>yes</x:v>
      </x:c>
      <x:c r="V90" s="46" t="str">
        <x:v>normal_culinary_evidence</x:v>
      </x:c>
      <x:c r="W90" s="46" t="str">
        <x:v>CE = commercial chicken egg control; breed values retained separately. Source-group taxonomy is preserved.</x:v>
      </x:c>
    </x:row>
    <x:row r="91" ht="26.399999618530273" hidden="0" customHeight="1">
      <x:c r="A91" s="46" t="str">
        <x:v>DEY-BOIL-090</x:v>
      </x:c>
      <x:c r="B91" s="46" t="str">
        <x:v>egg:yolk_chicken</x:v>
      </x:c>
      <x:c r="C91" s="46" t="str">
        <x:v>family:egg</x:v>
      </x:c>
      <x:c r="D91" s="46" t="str">
        <x:v>yolk_carrier</x:v>
      </x:c>
      <x:c r="E91" s="46" t="str">
        <x:v>boiled_100C_15min</x:v>
      </x:c>
      <x:c r="F91" s="46" t="str">
        <x:v>SRC-EGG-YOLK-BOIL-001</x:v>
      </x:c>
      <x:c r="G91" s="46" t="str">
        <x:v>Hydrocarbon</x:v>
      </x:c>
      <x:c r="H91" s="46" t="str">
        <x:v>Alkanes</x:v>
      </x:c>
      <x:c r="I91" s="46" t="str">
        <x:v>Nonane, 3,7-dimethyl-</x:v>
      </x:c>
      <x:c r="J91" s="46" t="n">
        <x:v>57</x:v>
      </x:c>
      <x:c r="K91" s="46" t="n">
        <x:v>1034</x:v>
      </x:c>
      <x:c r="L91" s="46" t="n">
        <x:v>0</x:v>
      </x:c>
      <x:c r="M91" s="46" t="n">
        <x:v>0.006</x:v>
      </x:c>
      <x:c r="N91" s="46" t="n">
        <x:v>0.01</x:v>
      </x:c>
      <x:c r="O91" s="46" t="n">
        <x:v>0</x:v>
      </x:c>
      <x:c r="P91" s="46" t="n">
        <x:v>0.0039</x:v>
      </x:c>
      <x:c r="Q91" s="46" t="str">
        <x:v>AU × 10^6</x:v>
      </x:c>
      <x:c r="R91" s="46" t="str">
        <x:v>HS-SPME-GC-MS; source method references prior VOC-identification procedure; LRI reported for every row</x:v>
      </x:c>
      <x:c r="S91" s="46"/>
      <x:c r="T91" s="46" t="str">
        <x:v>partial_no_numeric_match_factor</x:v>
      </x:c>
      <x:c r="U91" s="46" t="str">
        <x:v>no</x:v>
      </x:c>
      <x:c r="V91" s="46" t="str">
        <x:v>normal_culinary_evidence</x:v>
      </x:c>
      <x:c r="W91" s="46" t="str">
        <x:v>CE = commercial chicken egg control; breed values retained separately. Source-group taxonomy is preserved.</x:v>
      </x:c>
    </x:row>
    <x:row r="92" ht="26.399999618530273" hidden="0" customHeight="1">
      <x:c r="A92" s="46" t="str">
        <x:v>DEY-BOIL-091</x:v>
      </x:c>
      <x:c r="B92" s="46" t="str">
        <x:v>egg:yolk_chicken</x:v>
      </x:c>
      <x:c r="C92" s="46" t="str">
        <x:v>family:egg</x:v>
      </x:c>
      <x:c r="D92" s="46" t="str">
        <x:v>yolk_carrier</x:v>
      </x:c>
      <x:c r="E92" s="46" t="str">
        <x:v>boiled_100C_15min</x:v>
      </x:c>
      <x:c r="F92" s="46" t="str">
        <x:v>SRC-EGG-YOLK-BOIL-001</x:v>
      </x:c>
      <x:c r="G92" s="46" t="str">
        <x:v>Hydrocarbon</x:v>
      </x:c>
      <x:c r="H92" s="46" t="str">
        <x:v>Alkanes</x:v>
      </x:c>
      <x:c r="I92" s="46" t="str">
        <x:v>Nonane, 3-methyl-</x:v>
      </x:c>
      <x:c r="J92" s="46" t="n">
        <x:v>57.1</x:v>
      </x:c>
      <x:c r="K92" s="46" t="n">
        <x:v>956</x:v>
      </x:c>
      <x:c r="L92" s="46" t="n">
        <x:v>0.016</x:v>
      </x:c>
      <x:c r="M92" s="46" t="n">
        <x:v>0.009</x:v>
      </x:c>
      <x:c r="N92" s="46" t="n">
        <x:v>0.02</x:v>
      </x:c>
      <x:c r="O92" s="46" t="n">
        <x:v>0.013</x:v>
      </x:c>
      <x:c r="P92" s="46" t="n">
        <x:v>0.0062</x:v>
      </x:c>
      <x:c r="Q92" s="46" t="str">
        <x:v>AU × 10^6</x:v>
      </x:c>
      <x:c r="R92" s="46" t="str">
        <x:v>HS-SPME-GC-MS; source method references prior VOC-identification procedure; LRI reported for every row</x:v>
      </x:c>
      <x:c r="S92" s="46"/>
      <x:c r="T92" s="46" t="str">
        <x:v>partial_no_numeric_match_factor</x:v>
      </x:c>
      <x:c r="U92" s="46" t="str">
        <x:v>yes</x:v>
      </x:c>
      <x:c r="V92" s="46" t="str">
        <x:v>normal_culinary_evidence</x:v>
      </x:c>
      <x:c r="W92" s="46" t="str">
        <x:v>CE = commercial chicken egg control; breed values retained separately. Source-group taxonomy is preserved.</x:v>
      </x:c>
    </x:row>
    <x:row r="93" ht="26.399999618530273" hidden="0" customHeight="1">
      <x:c r="A93" s="46" t="str">
        <x:v>DEY-BOIL-092</x:v>
      </x:c>
      <x:c r="B93" s="46" t="str">
        <x:v>egg:yolk_chicken</x:v>
      </x:c>
      <x:c r="C93" s="46" t="str">
        <x:v>family:egg</x:v>
      </x:c>
      <x:c r="D93" s="46" t="str">
        <x:v>yolk_carrier</x:v>
      </x:c>
      <x:c r="E93" s="46" t="str">
        <x:v>boiled_100C_15min</x:v>
      </x:c>
      <x:c r="F93" s="46" t="str">
        <x:v>SRC-EGG-YOLK-BOIL-001</x:v>
      </x:c>
      <x:c r="G93" s="46" t="str">
        <x:v>Hydrocarbon</x:v>
      </x:c>
      <x:c r="H93" s="46" t="str">
        <x:v>Alkanes</x:v>
      </x:c>
      <x:c r="I93" s="46" t="str">
        <x:v>Nonane, 4-methyl-</x:v>
      </x:c>
      <x:c r="J93" s="46" t="n">
        <x:v>57</x:v>
      </x:c>
      <x:c r="K93" s="46" t="n">
        <x:v>947</x:v>
      </x:c>
      <x:c r="L93" s="46" t="n">
        <x:v>0.068</x:v>
      </x:c>
      <x:c r="M93" s="46" t="n">
        <x:v>0.062</x:v>
      </x:c>
      <x:c r="N93" s="46" t="n">
        <x:v>0.04</x:v>
      </x:c>
      <x:c r="O93" s="46" t="n">
        <x:v>0</x:v>
      </x:c>
      <x:c r="P93" s="46" t="n">
        <x:v>0.0166</x:v>
      </x:c>
      <x:c r="Q93" s="46" t="str">
        <x:v>AU × 10^6</x:v>
      </x:c>
      <x:c r="R93" s="46" t="str">
        <x:v>HS-SPME-GC-MS; source method references prior VOC-identification procedure; LRI reported for every row</x:v>
      </x:c>
      <x:c r="S93" s="46"/>
      <x:c r="T93" s="46" t="str">
        <x:v>partial_no_numeric_match_factor</x:v>
      </x:c>
      <x:c r="U93" s="46" t="str">
        <x:v>yes</x:v>
      </x:c>
      <x:c r="V93" s="46" t="str">
        <x:v>normal_culinary_evidence</x:v>
      </x:c>
      <x:c r="W93" s="46" t="str">
        <x:v>CE = commercial chicken egg control; breed values retained separately. Source-group taxonomy is preserved.</x:v>
      </x:c>
    </x:row>
    <x:row r="94" ht="26.399999618530273" hidden="0" customHeight="1">
      <x:c r="A94" s="46" t="str">
        <x:v>DEY-BOIL-093</x:v>
      </x:c>
      <x:c r="B94" s="46" t="str">
        <x:v>egg:yolk_chicken</x:v>
      </x:c>
      <x:c r="C94" s="46" t="str">
        <x:v>family:egg</x:v>
      </x:c>
      <x:c r="D94" s="46" t="str">
        <x:v>yolk_carrier</x:v>
      </x:c>
      <x:c r="E94" s="46" t="str">
        <x:v>boiled_100C_15min</x:v>
      </x:c>
      <x:c r="F94" s="46" t="str">
        <x:v>SRC-EGG-YOLK-BOIL-001</x:v>
      </x:c>
      <x:c r="G94" s="46" t="str">
        <x:v>Hydrocarbon</x:v>
      </x:c>
      <x:c r="H94" s="46" t="str">
        <x:v>Alkanes</x:v>
      </x:c>
      <x:c r="I94" s="46" t="str">
        <x:v>Octane, 2,3,6-trimethyl-</x:v>
      </x:c>
      <x:c r="J94" s="46" t="n">
        <x:v>71</x:v>
      </x:c>
      <x:c r="K94" s="46" t="n">
        <x:v>1058</x:v>
      </x:c>
      <x:c r="L94" s="46" t="n">
        <x:v>0</x:v>
      </x:c>
      <x:c r="M94" s="46" t="n">
        <x:v>0.003</x:v>
      </x:c>
      <x:c r="N94" s="46" t="n">
        <x:v>0</x:v>
      </x:c>
      <x:c r="O94" s="46" t="n">
        <x:v>0</x:v>
      </x:c>
      <x:c r="P94" s="46" t="n">
        <x:v>0.0007</x:v>
      </x:c>
      <x:c r="Q94" s="46" t="str">
        <x:v>AU × 10^6</x:v>
      </x:c>
      <x:c r="R94" s="46" t="str">
        <x:v>HS-SPME-GC-MS; source method references prior VOC-identification procedure; LRI reported for every row</x:v>
      </x:c>
      <x:c r="S94" s="46"/>
      <x:c r="T94" s="46" t="str">
        <x:v>partial_no_numeric_match_factor</x:v>
      </x:c>
      <x:c r="U94" s="46" t="str">
        <x:v>no</x:v>
      </x:c>
      <x:c r="V94" s="46" t="str">
        <x:v>normal_culinary_evidence</x:v>
      </x:c>
      <x:c r="W94" s="46" t="str">
        <x:v>CE = commercial chicken egg control; breed values retained separately. Source-group taxonomy is preserved.</x:v>
      </x:c>
    </x:row>
    <x:row r="95" ht="26.399999618530273" hidden="0" customHeight="1">
      <x:c r="A95" s="46" t="str">
        <x:v>DEY-BOIL-094</x:v>
      </x:c>
      <x:c r="B95" s="46" t="str">
        <x:v>egg:yolk_chicken</x:v>
      </x:c>
      <x:c r="C95" s="46" t="str">
        <x:v>family:egg</x:v>
      </x:c>
      <x:c r="D95" s="46" t="str">
        <x:v>yolk_carrier</x:v>
      </x:c>
      <x:c r="E95" s="46" t="str">
        <x:v>boiled_100C_15min</x:v>
      </x:c>
      <x:c r="F95" s="46" t="str">
        <x:v>SRC-EGG-YOLK-BOIL-001</x:v>
      </x:c>
      <x:c r="G95" s="46" t="str">
        <x:v>Hydrocarbon</x:v>
      </x:c>
      <x:c r="H95" s="46" t="str">
        <x:v>Alkanes</x:v>
      </x:c>
      <x:c r="I95" s="46" t="str">
        <x:v>Octane, 2,3-dimethyl-</x:v>
      </x:c>
      <x:c r="J95" s="46" t="n">
        <x:v>57.1</x:v>
      </x:c>
      <x:c r="K95" s="46" t="n">
        <x:v>948</x:v>
      </x:c>
      <x:c r="L95" s="46" t="n">
        <x:v>0</x:v>
      </x:c>
      <x:c r="M95" s="46" t="n">
        <x:v>0</x:v>
      </x:c>
      <x:c r="N95" s="46" t="n">
        <x:v>0.03</x:v>
      </x:c>
      <x:c r="O95" s="46" t="n">
        <x:v>0.013</x:v>
      </x:c>
      <x:c r="P95" s="46" t="n">
        <x:v>0.0068</x:v>
      </x:c>
      <x:c r="Q95" s="46" t="str">
        <x:v>AU × 10^6</x:v>
      </x:c>
      <x:c r="R95" s="46" t="str">
        <x:v>HS-SPME-GC-MS; source method references prior VOC-identification procedure; LRI reported for every row</x:v>
      </x:c>
      <x:c r="S95" s="46"/>
      <x:c r="T95" s="46" t="str">
        <x:v>partial_no_numeric_match_factor</x:v>
      </x:c>
      <x:c r="U95" s="46" t="str">
        <x:v>no</x:v>
      </x:c>
      <x:c r="V95" s="46" t="str">
        <x:v>normal_culinary_evidence</x:v>
      </x:c>
      <x:c r="W95" s="46" t="str">
        <x:v>CE = commercial chicken egg control; breed values retained separately. Source-group taxonomy is preserved.</x:v>
      </x:c>
    </x:row>
    <x:row r="96" ht="26.399999618530273" hidden="0" customHeight="1">
      <x:c r="A96" s="46" t="str">
        <x:v>DEY-BOIL-095</x:v>
      </x:c>
      <x:c r="B96" s="46" t="str">
        <x:v>egg:yolk_chicken</x:v>
      </x:c>
      <x:c r="C96" s="46" t="str">
        <x:v>family:egg</x:v>
      </x:c>
      <x:c r="D96" s="46" t="str">
        <x:v>yolk_carrier</x:v>
      </x:c>
      <x:c r="E96" s="46" t="str">
        <x:v>boiled_100C_15min</x:v>
      </x:c>
      <x:c r="F96" s="46" t="str">
        <x:v>SRC-EGG-YOLK-BOIL-001</x:v>
      </x:c>
      <x:c r="G96" s="46" t="str">
        <x:v>Hydrocarbon</x:v>
      </x:c>
      <x:c r="H96" s="46" t="str">
        <x:v>Alkanes</x:v>
      </x:c>
      <x:c r="I96" s="46" t="str">
        <x:v>Octane, 2,4,6-trimethyl-</x:v>
      </x:c>
      <x:c r="J96" s="46" t="n">
        <x:v>57</x:v>
      </x:c>
      <x:c r="K96" s="46" t="n">
        <x:v>964</x:v>
      </x:c>
      <x:c r="L96" s="46" t="n">
        <x:v>0.098</x:v>
      </x:c>
      <x:c r="M96" s="46" t="n">
        <x:v>0.078</x:v>
      </x:c>
      <x:c r="N96" s="46" t="n">
        <x:v>0.051</x:v>
      </x:c>
      <x:c r="O96" s="46" t="n">
        <x:v>0.058</x:v>
      </x:c>
      <x:c r="P96" s="46" t="n">
        <x:v>0.0071</x:v>
      </x:c>
      <x:c r="Q96" s="46" t="str">
        <x:v>AU × 10^6</x:v>
      </x:c>
      <x:c r="R96" s="46" t="str">
        <x:v>HS-SPME-GC-MS; source method references prior VOC-identification procedure; LRI reported for every row</x:v>
      </x:c>
      <x:c r="S96" s="46"/>
      <x:c r="T96" s="46" t="str">
        <x:v>partial_no_numeric_match_factor</x:v>
      </x:c>
      <x:c r="U96" s="46" t="str">
        <x:v>yes</x:v>
      </x:c>
      <x:c r="V96" s="46" t="str">
        <x:v>normal_culinary_evidence</x:v>
      </x:c>
      <x:c r="W96" s="46" t="str">
        <x:v>CE = commercial chicken egg control; breed values retained separately. Source-group taxonomy is preserved.</x:v>
      </x:c>
    </x:row>
    <x:row r="97" ht="26.399999618530273" hidden="0" customHeight="1">
      <x:c r="A97" s="46" t="str">
        <x:v>DEY-BOIL-096</x:v>
      </x:c>
      <x:c r="B97" s="46" t="str">
        <x:v>egg:yolk_chicken</x:v>
      </x:c>
      <x:c r="C97" s="46" t="str">
        <x:v>family:egg</x:v>
      </x:c>
      <x:c r="D97" s="46" t="str">
        <x:v>yolk_carrier</x:v>
      </x:c>
      <x:c r="E97" s="46" t="str">
        <x:v>boiled_100C_15min</x:v>
      </x:c>
      <x:c r="F97" s="46" t="str">
        <x:v>SRC-EGG-YOLK-BOIL-001</x:v>
      </x:c>
      <x:c r="G97" s="46" t="str">
        <x:v>Hydrocarbon</x:v>
      </x:c>
      <x:c r="H97" s="46" t="str">
        <x:v>Epoxides</x:v>
      </x:c>
      <x:c r="I97" s="46" t="str">
        <x:v>Oxirane, 2-methyl-3-propyl-, trans-</x:v>
      </x:c>
      <x:c r="J97" s="46" t="n">
        <x:v>43.1</x:v>
      </x:c>
      <x:c r="K97" s="46" t="n">
        <x:v>665</x:v>
      </x:c>
      <x:c r="L97" s="46" t="n">
        <x:v>1.757</x:v>
      </x:c>
      <x:c r="M97" s="46" t="n">
        <x:v>1.042</x:v>
      </x:c>
      <x:c r="N97" s="46" t="n">
        <x:v>1.399</x:v>
      </x:c>
      <x:c r="O97" s="46" t="n">
        <x:v>0.503</x:v>
      </x:c>
      <x:c r="P97" s="46" t="n">
        <x:v>0.4296</x:v>
      </x:c>
      <x:c r="Q97" s="46" t="str">
        <x:v>AU × 10^6</x:v>
      </x:c>
      <x:c r="R97" s="46" t="str">
        <x:v>HS-SPME-GC-MS; source method references prior VOC-identification procedure; LRI reported for every row</x:v>
      </x:c>
      <x:c r="S97" s="46"/>
      <x:c r="T97" s="46" t="str">
        <x:v>partial_no_numeric_match_factor</x:v>
      </x:c>
      <x:c r="U97" s="46" t="str">
        <x:v>yes</x:v>
      </x:c>
      <x:c r="V97" s="46" t="str">
        <x:v>normal_culinary_evidence</x:v>
      </x:c>
      <x:c r="W97" s="46" t="str">
        <x:v>Source group Hydrocarbon.</x:v>
      </x:c>
    </x:row>
    <x:row r="98" ht="26.399999618530273" hidden="0" customHeight="1">
      <x:c r="A98" s="46" t="str">
        <x:v>DEY-BOIL-097</x:v>
      </x:c>
      <x:c r="B98" s="46" t="str">
        <x:v>egg:yolk_chicken</x:v>
      </x:c>
      <x:c r="C98" s="46" t="str">
        <x:v>family:egg</x:v>
      </x:c>
      <x:c r="D98" s="46" t="str">
        <x:v>yolk_carrier</x:v>
      </x:c>
      <x:c r="E98" s="46" t="str">
        <x:v>boiled_100C_15min</x:v>
      </x:c>
      <x:c r="F98" s="46" t="str">
        <x:v>SRC-EGG-YOLK-BOIL-001</x:v>
      </x:c>
      <x:c r="G98" s="46" t="str">
        <x:v>Hydrocarbon</x:v>
      </x:c>
      <x:c r="H98" s="46" t="str">
        <x:v>Alkanes</x:v>
      </x:c>
      <x:c r="I98" s="46" t="str">
        <x:v>Pentadecane</x:v>
      </x:c>
      <x:c r="J98" s="46" t="n">
        <x:v>57.1</x:v>
      </x:c>
      <x:c r="K98" s="46" t="n">
        <x:v>1503</x:v>
      </x:c>
      <x:c r="L98" s="46" t="n">
        <x:v>0.01</x:v>
      </x:c>
      <x:c r="M98" s="46" t="n">
        <x:v>0.011</x:v>
      </x:c>
      <x:c r="N98" s="46" t="n">
        <x:v>0.171</x:v>
      </x:c>
      <x:c r="O98" s="46" t="n">
        <x:v>0.026</x:v>
      </x:c>
      <x:c r="P98" s="46" t="n">
        <x:v>0.0799</x:v>
      </x:c>
      <x:c r="Q98" s="46" t="str">
        <x:v>AU × 10^6</x:v>
      </x:c>
      <x:c r="R98" s="46" t="str">
        <x:v>HS-SPME-GC-MS; source method references prior VOC-identification procedure; LRI reported for every row</x:v>
      </x:c>
      <x:c r="S98" s="46"/>
      <x:c r="T98" s="46" t="str">
        <x:v>partial_no_numeric_match_factor</x:v>
      </x:c>
      <x:c r="U98" s="46" t="str">
        <x:v>yes</x:v>
      </x:c>
      <x:c r="V98" s="46" t="str">
        <x:v>normal_culinary_evidence</x:v>
      </x:c>
      <x:c r="W98" s="46" t="str">
        <x:v>CE = commercial chicken egg control; breed values retained separately. Source-group taxonomy is preserved.</x:v>
      </x:c>
    </x:row>
    <x:row r="99" ht="26.399999618530273" hidden="0" customHeight="1">
      <x:c r="A99" s="46" t="str">
        <x:v>DEY-BOIL-098</x:v>
      </x:c>
      <x:c r="B99" s="46" t="str">
        <x:v>egg:yolk_chicken</x:v>
      </x:c>
      <x:c r="C99" s="46" t="str">
        <x:v>family:egg</x:v>
      </x:c>
      <x:c r="D99" s="46" t="str">
        <x:v>yolk_carrier</x:v>
      </x:c>
      <x:c r="E99" s="46" t="str">
        <x:v>boiled_100C_15min</x:v>
      </x:c>
      <x:c r="F99" s="46" t="str">
        <x:v>SRC-EGG-YOLK-BOIL-001</x:v>
      </x:c>
      <x:c r="G99" s="46" t="str">
        <x:v>Hydrocarbon</x:v>
      </x:c>
      <x:c r="H99" s="46" t="str">
        <x:v>Alkanes</x:v>
      </x:c>
      <x:c r="I99" s="46" t="str">
        <x:v>Pentane, 2,3,3,4-tetramethyl-</x:v>
      </x:c>
      <x:c r="J99" s="46" t="n">
        <x:v>43.1</x:v>
      </x:c>
      <x:c r="K99" s="46" t="n">
        <x:v>875</x:v>
      </x:c>
      <x:c r="L99" s="46" t="n">
        <x:v>0.005</x:v>
      </x:c>
      <x:c r="M99" s="46" t="n">
        <x:v>0.007</x:v>
      </x:c>
      <x:c r="N99" s="46" t="n">
        <x:v>0.002</x:v>
      </x:c>
      <x:c r="O99" s="46" t="n">
        <x:v>0</x:v>
      </x:c>
      <x:c r="P99" s="46" t="n">
        <x:v>0.0013</x:v>
      </x:c>
      <x:c r="Q99" s="46" t="str">
        <x:v>AU × 10^6</x:v>
      </x:c>
      <x:c r="R99" s="46" t="str">
        <x:v>HS-SPME-GC-MS; source method references prior VOC-identification procedure; LRI reported for every row</x:v>
      </x:c>
      <x:c r="S99" s="46"/>
      <x:c r="T99" s="46" t="str">
        <x:v>partial_no_numeric_match_factor</x:v>
      </x:c>
      <x:c r="U99" s="46" t="str">
        <x:v>yes</x:v>
      </x:c>
      <x:c r="V99" s="46" t="str">
        <x:v>normal_culinary_evidence</x:v>
      </x:c>
      <x:c r="W99" s="46" t="str">
        <x:v>CE = commercial chicken egg control; breed values retained separately. Source-group taxonomy is preserved.</x:v>
      </x:c>
    </x:row>
    <x:row r="100" ht="26.399999618530273" hidden="0" customHeight="1">
      <x:c r="A100" s="46" t="str">
        <x:v>DEY-BOIL-099</x:v>
      </x:c>
      <x:c r="B100" s="46" t="str">
        <x:v>egg:yolk_chicken</x:v>
      </x:c>
      <x:c r="C100" s="46" t="str">
        <x:v>family:egg</x:v>
      </x:c>
      <x:c r="D100" s="46" t="str">
        <x:v>yolk_carrier</x:v>
      </x:c>
      <x:c r="E100" s="46" t="str">
        <x:v>boiled_100C_15min</x:v>
      </x:c>
      <x:c r="F100" s="46" t="str">
        <x:v>SRC-EGG-YOLK-BOIL-001</x:v>
      </x:c>
      <x:c r="G100" s="46" t="str">
        <x:v>Hydrocarbon</x:v>
      </x:c>
      <x:c r="H100" s="46" t="str">
        <x:v>Alkanes</x:v>
      </x:c>
      <x:c r="I100" s="46" t="str">
        <x:v>Pentane, 2,3-dimethyl-</x:v>
      </x:c>
      <x:c r="J100" s="46" t="n">
        <x:v>56</x:v>
      </x:c>
      <x:c r="K100" s="46" t="n">
        <x:v>664</x:v>
      </x:c>
      <x:c r="L100" s="46" t="n">
        <x:v>1.518</x:v>
      </x:c>
      <x:c r="M100" s="46" t="n">
        <x:v>0.83</x:v>
      </x:c>
      <x:c r="N100" s="46" t="n">
        <x:v>1.129</x:v>
      </x:c>
      <x:c r="O100" s="46" t="n">
        <x:v>0.832</x:v>
      </x:c>
      <x:c r="P100" s="46" t="n">
        <x:v>0.3814</x:v>
      </x:c>
      <x:c r="Q100" s="46" t="str">
        <x:v>AU × 10^6</x:v>
      </x:c>
      <x:c r="R100" s="46" t="str">
        <x:v>HS-SPME-GC-MS; source method references prior VOC-identification procedure; LRI reported for every row</x:v>
      </x:c>
      <x:c r="S100" s="46"/>
      <x:c r="T100" s="46" t="str">
        <x:v>partial_no_numeric_match_factor</x:v>
      </x:c>
      <x:c r="U100" s="46" t="str">
        <x:v>yes</x:v>
      </x:c>
      <x:c r="V100" s="46" t="str">
        <x:v>normal_culinary_evidence</x:v>
      </x:c>
      <x:c r="W100" s="46" t="str">
        <x:v>CE = commercial chicken egg control; breed values retained separately. Source-group taxonomy is preserved.</x:v>
      </x:c>
    </x:row>
    <x:row r="101" ht="26.399999618530273" hidden="0" customHeight="1">
      <x:c r="A101" s="46" t="str">
        <x:v>DEY-BOIL-100</x:v>
      </x:c>
      <x:c r="B101" s="46" t="str">
        <x:v>egg:yolk_chicken</x:v>
      </x:c>
      <x:c r="C101" s="46" t="str">
        <x:v>family:egg</x:v>
      </x:c>
      <x:c r="D101" s="46" t="str">
        <x:v>yolk_carrier</x:v>
      </x:c>
      <x:c r="E101" s="46" t="str">
        <x:v>boiled_100C_15min</x:v>
      </x:c>
      <x:c r="F101" s="46" t="str">
        <x:v>SRC-EGG-YOLK-BOIL-001</x:v>
      </x:c>
      <x:c r="G101" s="46" t="str">
        <x:v>Hydrocarbon</x:v>
      </x:c>
      <x:c r="H101" s="46" t="str">
        <x:v>Alkanes</x:v>
      </x:c>
      <x:c r="I101" s="46" t="str">
        <x:v>Pentane, 3-methyl-</x:v>
      </x:c>
      <x:c r="J101" s="46" t="n">
        <x:v>43</x:v>
      </x:c>
      <x:c r="K101" s="46" t="n">
        <x:v>585</x:v>
      </x:c>
      <x:c r="L101" s="46" t="n">
        <x:v>0.172</x:v>
      </x:c>
      <x:c r="M101" s="46" t="n">
        <x:v>1.38</x:v>
      </x:c>
      <x:c r="N101" s="46" t="n">
        <x:v>0.939</x:v>
      </x:c>
      <x:c r="O101" s="46" t="n">
        <x:v>0.048</x:v>
      </x:c>
      <x:c r="P101" s="46" t="n">
        <x:v>0.4193</x:v>
      </x:c>
      <x:c r="Q101" s="46" t="str">
        <x:v>AU × 10^6</x:v>
      </x:c>
      <x:c r="R101" s="46" t="str">
        <x:v>HS-SPME-GC-MS; source method references prior VOC-identification procedure; LRI reported for every row</x:v>
      </x:c>
      <x:c r="S101" s="46"/>
      <x:c r="T101" s="46" t="str">
        <x:v>partial_no_numeric_match_factor</x:v>
      </x:c>
      <x:c r="U101" s="46" t="str">
        <x:v>yes</x:v>
      </x:c>
      <x:c r="V101" s="46" t="str">
        <x:v>normal_culinary_evidence</x:v>
      </x:c>
      <x:c r="W101" s="46" t="str">
        <x:v>CE = commercial chicken egg control; breed values retained separately. Source-group taxonomy is preserved.</x:v>
      </x:c>
    </x:row>
    <x:row r="102" ht="26.399999618530273" hidden="0" customHeight="1">
      <x:c r="A102" s="46" t="str">
        <x:v>DEY-BOIL-101</x:v>
      </x:c>
      <x:c r="B102" s="46" t="str">
        <x:v>egg:yolk_chicken</x:v>
      </x:c>
      <x:c r="C102" s="46" t="str">
        <x:v>family:egg</x:v>
      </x:c>
      <x:c r="D102" s="46" t="str">
        <x:v>yolk_carrier</x:v>
      </x:c>
      <x:c r="E102" s="46" t="str">
        <x:v>boiled_100C_15min</x:v>
      </x:c>
      <x:c r="F102" s="46" t="str">
        <x:v>SRC-EGG-YOLK-BOIL-001</x:v>
      </x:c>
      <x:c r="G102" s="46" t="str">
        <x:v>Hydrocarbon</x:v>
      </x:c>
      <x:c r="H102" s="46" t="str">
        <x:v>Alkanes</x:v>
      </x:c>
      <x:c r="I102" s="46" t="str">
        <x:v>Tetradecane</x:v>
      </x:c>
      <x:c r="J102" s="46" t="n">
        <x:v>57</x:v>
      </x:c>
      <x:c r="K102" s="46" t="n">
        <x:v>1400</x:v>
      </x:c>
      <x:c r="L102" s="46" t="n">
        <x:v>0.032</x:v>
      </x:c>
      <x:c r="M102" s="46" t="n">
        <x:v>0.018</x:v>
      </x:c>
      <x:c r="N102" s="46" t="n">
        <x:v>0.012</x:v>
      </x:c>
      <x:c r="O102" s="46" t="n">
        <x:v>0.038</x:v>
      </x:c>
      <x:c r="P102" s="46" t="n">
        <x:v>0.0081</x:v>
      </x:c>
      <x:c r="Q102" s="46" t="str">
        <x:v>AU × 10^6</x:v>
      </x:c>
      <x:c r="R102" s="46" t="str">
        <x:v>HS-SPME-GC-MS; source method references prior VOC-identification procedure; LRI reported for every row</x:v>
      </x:c>
      <x:c r="S102" s="46"/>
      <x:c r="T102" s="46" t="str">
        <x:v>partial_no_numeric_match_factor</x:v>
      </x:c>
      <x:c r="U102" s="46" t="str">
        <x:v>yes</x:v>
      </x:c>
      <x:c r="V102" s="46" t="str">
        <x:v>normal_culinary_evidence</x:v>
      </x:c>
      <x:c r="W102" s="46" t="str">
        <x:v>CE = commercial chicken egg control; breed values retained separately. Source-group taxonomy is preserved.</x:v>
      </x:c>
    </x:row>
    <x:row r="103" ht="26.399999618530273" hidden="0" customHeight="1">
      <x:c r="A103" s="46" t="str">
        <x:v>DEY-BOIL-102</x:v>
      </x:c>
      <x:c r="B103" s="46" t="str">
        <x:v>egg:yolk_chicken</x:v>
      </x:c>
      <x:c r="C103" s="46" t="str">
        <x:v>family:egg</x:v>
      </x:c>
      <x:c r="D103" s="46" t="str">
        <x:v>yolk_carrier</x:v>
      </x:c>
      <x:c r="E103" s="46" t="str">
        <x:v>boiled_100C_15min</x:v>
      </x:c>
      <x:c r="F103" s="46" t="str">
        <x:v>SRC-EGG-YOLK-BOIL-001</x:v>
      </x:c>
      <x:c r="G103" s="46" t="str">
        <x:v>Hydrocarbon</x:v>
      </x:c>
      <x:c r="H103" s="46" t="str">
        <x:v>Alkanes</x:v>
      </x:c>
      <x:c r="I103" s="46" t="str">
        <x:v>Tridecane</x:v>
      </x:c>
      <x:c r="J103" s="46" t="n">
        <x:v>71</x:v>
      </x:c>
      <x:c r="K103" s="46" t="n">
        <x:v>1299</x:v>
      </x:c>
      <x:c r="L103" s="46" t="n">
        <x:v>0.021</x:v>
      </x:c>
      <x:c r="M103" s="46" t="n">
        <x:v>0.016</x:v>
      </x:c>
      <x:c r="N103" s="46" t="n">
        <x:v>0.014</x:v>
      </x:c>
      <x:c r="O103" s="46" t="n">
        <x:v>0.03</x:v>
      </x:c>
      <x:c r="P103" s="46" t="n">
        <x:v>0.0024</x:v>
      </x:c>
      <x:c r="Q103" s="46" t="str">
        <x:v>AU × 10^6</x:v>
      </x:c>
      <x:c r="R103" s="46" t="str">
        <x:v>HS-SPME-GC-MS; source method references prior VOC-identification procedure; LRI reported for every row</x:v>
      </x:c>
      <x:c r="S103" s="46"/>
      <x:c r="T103" s="46" t="str">
        <x:v>partial_no_numeric_match_factor</x:v>
      </x:c>
      <x:c r="U103" s="46" t="str">
        <x:v>yes</x:v>
      </x:c>
      <x:c r="V103" s="46" t="str">
        <x:v>normal_culinary_evidence</x:v>
      </x:c>
      <x:c r="W103" s="46" t="str">
        <x:v>CE = commercial chicken egg control; breed values retained separately. Source-group taxonomy is preserved.</x:v>
      </x:c>
    </x:row>
    <x:row r="104" ht="26.399999618530273" hidden="0" customHeight="1">
      <x:c r="A104" s="46" t="str">
        <x:v>DEY-BOIL-103</x:v>
      </x:c>
      <x:c r="B104" s="46" t="str">
        <x:v>egg:yolk_chicken</x:v>
      </x:c>
      <x:c r="C104" s="46" t="str">
        <x:v>family:egg</x:v>
      </x:c>
      <x:c r="D104" s="46" t="str">
        <x:v>yolk_carrier</x:v>
      </x:c>
      <x:c r="E104" s="46" t="str">
        <x:v>boiled_100C_15min</x:v>
      </x:c>
      <x:c r="F104" s="46" t="str">
        <x:v>SRC-EGG-YOLK-BOIL-001</x:v>
      </x:c>
      <x:c r="G104" s="46" t="str">
        <x:v>Hydrocarbon</x:v>
      </x:c>
      <x:c r="H104" s="46" t="str">
        <x:v>Alkanes</x:v>
      </x:c>
      <x:c r="I104" s="46" t="str">
        <x:v>Tridecane, 5-methyl-</x:v>
      </x:c>
      <x:c r="J104" s="46" t="n">
        <x:v>57.1</x:v>
      </x:c>
      <x:c r="K104" s="46" t="n">
        <x:v>1357</x:v>
      </x:c>
      <x:c r="L104" s="46" t="n">
        <x:v>0</x:v>
      </x:c>
      <x:c r="M104" s="46" t="n">
        <x:v>0</x:v>
      </x:c>
      <x:c r="N104" s="46" t="n">
        <x:v>0</x:v>
      </x:c>
      <x:c r="O104" s="46" t="n">
        <x:v>0.002</x:v>
      </x:c>
      <x:c r="P104" s="46" t="n">
        <x:v>0.0005</x:v>
      </x:c>
      <x:c r="Q104" s="46" t="str">
        <x:v>AU × 10^6</x:v>
      </x:c>
      <x:c r="R104" s="46" t="str">
        <x:v>HS-SPME-GC-MS; source method references prior VOC-identification procedure; LRI reported for every row</x:v>
      </x:c>
      <x:c r="S104" s="46"/>
      <x:c r="T104" s="46" t="str">
        <x:v>partial_no_numeric_match_factor</x:v>
      </x:c>
      <x:c r="U104" s="46" t="str">
        <x:v>no</x:v>
      </x:c>
      <x:c r="V104" s="46" t="str">
        <x:v>normal_culinary_evidence</x:v>
      </x:c>
      <x:c r="W104" s="46" t="str">
        <x:v>CE = commercial chicken egg control; breed values retained separately. Source-group taxonomy is preserved.</x:v>
      </x:c>
    </x:row>
    <x:row r="105" ht="26.399999618530273" hidden="0" customHeight="1">
      <x:c r="A105" s="46" t="str">
        <x:v>DEY-BOIL-104</x:v>
      </x:c>
      <x:c r="B105" s="46" t="str">
        <x:v>egg:yolk_chicken</x:v>
      </x:c>
      <x:c r="C105" s="46" t="str">
        <x:v>family:egg</x:v>
      </x:c>
      <x:c r="D105" s="46" t="str">
        <x:v>yolk_carrier</x:v>
      </x:c>
      <x:c r="E105" s="46" t="str">
        <x:v>boiled_100C_15min</x:v>
      </x:c>
      <x:c r="F105" s="46" t="str">
        <x:v>SRC-EGG-YOLK-BOIL-001</x:v>
      </x:c>
      <x:c r="G105" s="46" t="str">
        <x:v>Hydrocarbon</x:v>
      </x:c>
      <x:c r="H105" s="46" t="str">
        <x:v>Alkanes</x:v>
      </x:c>
      <x:c r="I105" s="46" t="str">
        <x:v>Undecane</x:v>
      </x:c>
      <x:c r="J105" s="46" t="n">
        <x:v>57</x:v>
      </x:c>
      <x:c r="K105" s="46" t="n">
        <x:v>1106</x:v>
      </x:c>
      <x:c r="L105" s="46" t="n">
        <x:v>0.012</x:v>
      </x:c>
      <x:c r="M105" s="46" t="n">
        <x:v>0.009</x:v>
      </x:c>
      <x:c r="N105" s="46" t="n">
        <x:v>0.007</x:v>
      </x:c>
      <x:c r="O105" s="46" t="n">
        <x:v>0.035</x:v>
      </x:c>
      <x:c r="P105" s="46" t="n">
        <x:v>0.0055</x:v>
      </x:c>
      <x:c r="Q105" s="46" t="str">
        <x:v>AU × 10^6</x:v>
      </x:c>
      <x:c r="R105" s="46" t="str">
        <x:v>HS-SPME-GC-MS; source method references prior VOC-identification procedure; LRI reported for every row</x:v>
      </x:c>
      <x:c r="S105" s="46"/>
      <x:c r="T105" s="46" t="str">
        <x:v>partial_no_numeric_match_factor</x:v>
      </x:c>
      <x:c r="U105" s="46" t="str">
        <x:v>yes</x:v>
      </x:c>
      <x:c r="V105" s="46" t="str">
        <x:v>normal_culinary_evidence</x:v>
      </x:c>
      <x:c r="W105" s="46" t="str">
        <x:v>CE = commercial chicken egg control; breed values retained separately. Source-group taxonomy is preserved.</x:v>
      </x:c>
    </x:row>
    <x:row r="106" ht="26.399999618530273" hidden="0" customHeight="1">
      <x:c r="A106" s="46" t="str">
        <x:v>DEY-BOIL-105</x:v>
      </x:c>
      <x:c r="B106" s="46" t="str">
        <x:v>egg:yolk_chicken</x:v>
      </x:c>
      <x:c r="C106" s="46" t="str">
        <x:v>family:egg</x:v>
      </x:c>
      <x:c r="D106" s="46" t="str">
        <x:v>yolk_carrier</x:v>
      </x:c>
      <x:c r="E106" s="46" t="str">
        <x:v>boiled_100C_15min</x:v>
      </x:c>
      <x:c r="F106" s="46" t="str">
        <x:v>SRC-EGG-YOLK-BOIL-001</x:v>
      </x:c>
      <x:c r="G106" s="46" t="str">
        <x:v>Hydrocarbon</x:v>
      </x:c>
      <x:c r="H106" s="46" t="str">
        <x:v>Alkanes</x:v>
      </x:c>
      <x:c r="I106" s="46" t="str">
        <x:v>Undecane, 2,4-dimethyl-</x:v>
      </x:c>
      <x:c r="J106" s="46" t="n">
        <x:v>85</x:v>
      </x:c>
      <x:c r="K106" s="46" t="n">
        <x:v>1212</x:v>
      </x:c>
      <x:c r="L106" s="46" t="n">
        <x:v>0.009</x:v>
      </x:c>
      <x:c r="M106" s="46" t="n">
        <x:v>0.002</x:v>
      </x:c>
      <x:c r="N106" s="46" t="n">
        <x:v>0</x:v>
      </x:c>
      <x:c r="O106" s="46" t="n">
        <x:v>0.002</x:v>
      </x:c>
      <x:c r="P106" s="46" t="n">
        <x:v>0.0021</x:v>
      </x:c>
      <x:c r="Q106" s="46" t="str">
        <x:v>AU × 10^6</x:v>
      </x:c>
      <x:c r="R106" s="46" t="str">
        <x:v>HS-SPME-GC-MS; source method references prior VOC-identification procedure; LRI reported for every row</x:v>
      </x:c>
      <x:c r="S106" s="46"/>
      <x:c r="T106" s="46" t="str">
        <x:v>partial_no_numeric_match_factor</x:v>
      </x:c>
      <x:c r="U106" s="46" t="str">
        <x:v>yes</x:v>
      </x:c>
      <x:c r="V106" s="46" t="str">
        <x:v>normal_culinary_evidence</x:v>
      </x:c>
      <x:c r="W106" s="46" t="str">
        <x:v>CE = commercial chicken egg control; breed values retained separately. Source-group taxonomy is preserved.</x:v>
      </x:c>
    </x:row>
    <x:row r="107" ht="26.399999618530273" hidden="0" customHeight="1">
      <x:c r="A107" s="46" t="str">
        <x:v>DEY-BOIL-106</x:v>
      </x:c>
      <x:c r="B107" s="46" t="str">
        <x:v>egg:yolk_chicken</x:v>
      </x:c>
      <x:c r="C107" s="46" t="str">
        <x:v>family:egg</x:v>
      </x:c>
      <x:c r="D107" s="46" t="str">
        <x:v>yolk_carrier</x:v>
      </x:c>
      <x:c r="E107" s="46" t="str">
        <x:v>boiled_100C_15min</x:v>
      </x:c>
      <x:c r="F107" s="46" t="str">
        <x:v>SRC-EGG-YOLK-BOIL-001</x:v>
      </x:c>
      <x:c r="G107" s="46" t="str">
        <x:v>Hydrocarbon</x:v>
      </x:c>
      <x:c r="H107" s="46" t="str">
        <x:v>Alkanes</x:v>
      </x:c>
      <x:c r="I107" s="46" t="str">
        <x:v>Undecane, 2,6-dimethyl-</x:v>
      </x:c>
      <x:c r="J107" s="46" t="n">
        <x:v>57</x:v>
      </x:c>
      <x:c r="K107" s="46" t="n">
        <x:v>1215</x:v>
      </x:c>
      <x:c r="L107" s="46" t="n">
        <x:v>0.025</x:v>
      </x:c>
      <x:c r="M107" s="46" t="n">
        <x:v>0.02</x:v>
      </x:c>
      <x:c r="N107" s="46" t="n">
        <x:v>0.017</x:v>
      </x:c>
      <x:c r="O107" s="46" t="n">
        <x:v>0.02</x:v>
      </x:c>
      <x:c r="P107" s="46" t="n">
        <x:v>0.0032</x:v>
      </x:c>
      <x:c r="Q107" s="46" t="str">
        <x:v>AU × 10^6</x:v>
      </x:c>
      <x:c r="R107" s="46" t="str">
        <x:v>HS-SPME-GC-MS; source method references prior VOC-identification procedure; LRI reported for every row</x:v>
      </x:c>
      <x:c r="S107" s="46"/>
      <x:c r="T107" s="46" t="str">
        <x:v>partial_no_numeric_match_factor</x:v>
      </x:c>
      <x:c r="U107" s="46" t="str">
        <x:v>yes</x:v>
      </x:c>
      <x:c r="V107" s="46" t="str">
        <x:v>normal_culinary_evidence</x:v>
      </x:c>
      <x:c r="W107" s="46" t="str">
        <x:v>CE = commercial chicken egg control; breed values retained separately. Source-group taxonomy is preserved.</x:v>
      </x:c>
    </x:row>
    <x:row r="108" ht="26.399999618530273" hidden="0" customHeight="1">
      <x:c r="A108" s="46" t="str">
        <x:v>DEY-BOIL-107</x:v>
      </x:c>
      <x:c r="B108" s="46" t="str">
        <x:v>egg:yolk_chicken</x:v>
      </x:c>
      <x:c r="C108" s="46" t="str">
        <x:v>family:egg</x:v>
      </x:c>
      <x:c r="D108" s="46" t="str">
        <x:v>yolk_carrier</x:v>
      </x:c>
      <x:c r="E108" s="46" t="str">
        <x:v>boiled_100C_15min</x:v>
      </x:c>
      <x:c r="F108" s="46" t="str">
        <x:v>SRC-EGG-YOLK-BOIL-001</x:v>
      </x:c>
      <x:c r="G108" s="46" t="str">
        <x:v>Hydrocarbon</x:v>
      </x:c>
      <x:c r="H108" s="46" t="str">
        <x:v>Alkanes</x:v>
      </x:c>
      <x:c r="I108" s="46" t="str">
        <x:v>Undecane, 2,8-dimethyl-</x:v>
      </x:c>
      <x:c r="J108" s="46" t="n">
        <x:v>71</x:v>
      </x:c>
      <x:c r="K108" s="46" t="n">
        <x:v>1224</x:v>
      </x:c>
      <x:c r="L108" s="46" t="n">
        <x:v>0.021</x:v>
      </x:c>
      <x:c r="M108" s="46" t="n">
        <x:v>0.008</x:v>
      </x:c>
      <x:c r="N108" s="46" t="n">
        <x:v>0.005</x:v>
      </x:c>
      <x:c r="O108" s="46" t="n">
        <x:v>0.006</x:v>
      </x:c>
      <x:c r="P108" s="46" t="n">
        <x:v>0.0049</x:v>
      </x:c>
      <x:c r="Q108" s="46" t="str">
        <x:v>AU × 10^6</x:v>
      </x:c>
      <x:c r="R108" s="46" t="str">
        <x:v>HS-SPME-GC-MS; source method references prior VOC-identification procedure; LRI reported for every row</x:v>
      </x:c>
      <x:c r="S108" s="46"/>
      <x:c r="T108" s="46" t="str">
        <x:v>partial_no_numeric_match_factor</x:v>
      </x:c>
      <x:c r="U108" s="46" t="str">
        <x:v>yes</x:v>
      </x:c>
      <x:c r="V108" s="46" t="str">
        <x:v>normal_culinary_evidence</x:v>
      </x:c>
      <x:c r="W108" s="46" t="str">
        <x:v>CE = commercial chicken egg control; breed values retained separately. Source-group taxonomy is preserved.</x:v>
      </x:c>
    </x:row>
    <x:row r="109" ht="26.399999618530273" hidden="0" customHeight="1">
      <x:c r="A109" s="46" t="str">
        <x:v>DEY-BOIL-108</x:v>
      </x:c>
      <x:c r="B109" s="46" t="str">
        <x:v>egg:yolk_chicken</x:v>
      </x:c>
      <x:c r="C109" s="46" t="str">
        <x:v>family:egg</x:v>
      </x:c>
      <x:c r="D109" s="46" t="str">
        <x:v>yolk_carrier</x:v>
      </x:c>
      <x:c r="E109" s="46" t="str">
        <x:v>boiled_100C_15min</x:v>
      </x:c>
      <x:c r="F109" s="46" t="str">
        <x:v>SRC-EGG-YOLK-BOIL-001</x:v>
      </x:c>
      <x:c r="G109" s="46" t="str">
        <x:v>Hydrocarbon</x:v>
      </x:c>
      <x:c r="H109" s="46" t="str">
        <x:v>Alkanes</x:v>
      </x:c>
      <x:c r="I109" s="46" t="str">
        <x:v>Undecane, 2-methyl-</x:v>
      </x:c>
      <x:c r="J109" s="46" t="n">
        <x:v>57.1</x:v>
      </x:c>
      <x:c r="K109" s="46" t="n">
        <x:v>1168</x:v>
      </x:c>
      <x:c r="L109" s="46" t="n">
        <x:v>0.013</x:v>
      </x:c>
      <x:c r="M109" s="46" t="n">
        <x:v>0.012</x:v>
      </x:c>
      <x:c r="N109" s="46" t="n">
        <x:v>0.008</x:v>
      </x:c>
      <x:c r="O109" s="46" t="n">
        <x:v>0.011</x:v>
      </x:c>
      <x:c r="P109" s="46" t="n">
        <x:v>0.0015</x:v>
      </x:c>
      <x:c r="Q109" s="46" t="str">
        <x:v>AU × 10^6</x:v>
      </x:c>
      <x:c r="R109" s="46" t="str">
        <x:v>HS-SPME-GC-MS; source method references prior VOC-identification procedure; LRI reported for every row</x:v>
      </x:c>
      <x:c r="S109" s="46"/>
      <x:c r="T109" s="46" t="str">
        <x:v>partial_no_numeric_match_factor</x:v>
      </x:c>
      <x:c r="U109" s="46" t="str">
        <x:v>yes</x:v>
      </x:c>
      <x:c r="V109" s="46" t="str">
        <x:v>normal_culinary_evidence</x:v>
      </x:c>
      <x:c r="W109" s="46" t="str">
        <x:v>CE = commercial chicken egg control; breed values retained separately. Source-group taxonomy is preserved.</x:v>
      </x:c>
    </x:row>
    <x:row r="110" ht="26.399999618530273" hidden="0" customHeight="1">
      <x:c r="A110" s="46" t="str">
        <x:v>DEY-BOIL-109</x:v>
      </x:c>
      <x:c r="B110" s="46" t="str">
        <x:v>egg:yolk_chicken</x:v>
      </x:c>
      <x:c r="C110" s="46" t="str">
        <x:v>family:egg</x:v>
      </x:c>
      <x:c r="D110" s="46" t="str">
        <x:v>yolk_carrier</x:v>
      </x:c>
      <x:c r="E110" s="46" t="str">
        <x:v>boiled_100C_15min</x:v>
      </x:c>
      <x:c r="F110" s="46" t="str">
        <x:v>SRC-EGG-YOLK-BOIL-001</x:v>
      </x:c>
      <x:c r="G110" s="46" t="str">
        <x:v>Hydrocarbon</x:v>
      </x:c>
      <x:c r="H110" s="46" t="str">
        <x:v>Alkanes</x:v>
      </x:c>
      <x:c r="I110" s="46" t="str">
        <x:v>Undecane, 3-methyl-</x:v>
      </x:c>
      <x:c r="J110" s="46" t="n">
        <x:v>57.1</x:v>
      </x:c>
      <x:c r="K110" s="46" t="n">
        <x:v>1174</x:v>
      </x:c>
      <x:c r="L110" s="46" t="n">
        <x:v>0.004</x:v>
      </x:c>
      <x:c r="M110" s="46" t="n">
        <x:v>0.006</x:v>
      </x:c>
      <x:c r="N110" s="46" t="n">
        <x:v>0.004</x:v>
      </x:c>
      <x:c r="O110" s="46" t="n">
        <x:v>0.004</x:v>
      </x:c>
      <x:c r="P110" s="46" t="n">
        <x:v>0.0011</x:v>
      </x:c>
      <x:c r="Q110" s="46" t="str">
        <x:v>AU × 10^6</x:v>
      </x:c>
      <x:c r="R110" s="46" t="str">
        <x:v>HS-SPME-GC-MS; source method references prior VOC-identification procedure; LRI reported for every row</x:v>
      </x:c>
      <x:c r="S110" s="46"/>
      <x:c r="T110" s="46" t="str">
        <x:v>partial_no_numeric_match_factor</x:v>
      </x:c>
      <x:c r="U110" s="46" t="str">
        <x:v>yes</x:v>
      </x:c>
      <x:c r="V110" s="46" t="str">
        <x:v>normal_culinary_evidence</x:v>
      </x:c>
      <x:c r="W110" s="46" t="str">
        <x:v>CE = commercial chicken egg control; breed values retained separately. Source-group taxonomy is preserved.</x:v>
      </x:c>
    </x:row>
    <x:row r="111" ht="26.399999618530273" hidden="0" customHeight="1">
      <x:c r="A111" s="46" t="str">
        <x:v>DEY-BOIL-110</x:v>
      </x:c>
      <x:c r="B111" s="46" t="str">
        <x:v>egg:yolk_chicken</x:v>
      </x:c>
      <x:c r="C111" s="46" t="str">
        <x:v>family:egg</x:v>
      </x:c>
      <x:c r="D111" s="46" t="str">
        <x:v>yolk_carrier</x:v>
      </x:c>
      <x:c r="E111" s="46" t="str">
        <x:v>boiled_100C_15min</x:v>
      </x:c>
      <x:c r="F111" s="46" t="str">
        <x:v>SRC-EGG-YOLK-BOIL-001</x:v>
      </x:c>
      <x:c r="G111" s="46" t="str">
        <x:v>Hydrocarbon</x:v>
      </x:c>
      <x:c r="H111" s="46" t="str">
        <x:v>Alkanes</x:v>
      </x:c>
      <x:c r="I111" s="46" t="str">
        <x:v>Undecane, 4,4-dimethyl-</x:v>
      </x:c>
      <x:c r="J111" s="46" t="n">
        <x:v>85.1</x:v>
      </x:c>
      <x:c r="K111" s="46" t="n">
        <x:v>1219</x:v>
      </x:c>
      <x:c r="L111" s="46" t="n">
        <x:v>0.005</x:v>
      </x:c>
      <x:c r="M111" s="46" t="n">
        <x:v>0.004</x:v>
      </x:c>
      <x:c r="N111" s="46" t="n">
        <x:v>0.001</x:v>
      </x:c>
      <x:c r="O111" s="46" t="n">
        <x:v>0</x:v>
      </x:c>
      <x:c r="P111" s="46" t="n">
        <x:v>0.0009</x:v>
      </x:c>
      <x:c r="Q111" s="46" t="str">
        <x:v>AU × 10^6</x:v>
      </x:c>
      <x:c r="R111" s="46" t="str">
        <x:v>HS-SPME-GC-MS; source method references prior VOC-identification procedure; LRI reported for every row</x:v>
      </x:c>
      <x:c r="S111" s="46"/>
      <x:c r="T111" s="46" t="str">
        <x:v>partial_no_numeric_match_factor</x:v>
      </x:c>
      <x:c r="U111" s="46" t="str">
        <x:v>yes</x:v>
      </x:c>
      <x:c r="V111" s="46" t="str">
        <x:v>normal_culinary_evidence</x:v>
      </x:c>
      <x:c r="W111" s="46" t="str">
        <x:v>CE = commercial chicken egg control; breed values retained separately. Source-group taxonomy is preserved.</x:v>
      </x:c>
    </x:row>
    <x:row r="112" ht="26.399999618530273" hidden="0" customHeight="1">
      <x:c r="A112" s="46" t="str">
        <x:v>DEY-BOIL-111</x:v>
      </x:c>
      <x:c r="B112" s="46" t="str">
        <x:v>egg:yolk_chicken</x:v>
      </x:c>
      <x:c r="C112" s="46" t="str">
        <x:v>family:egg</x:v>
      </x:c>
      <x:c r="D112" s="46" t="str">
        <x:v>yolk_carrier</x:v>
      </x:c>
      <x:c r="E112" s="46" t="str">
        <x:v>boiled_100C_15min</x:v>
      </x:c>
      <x:c r="F112" s="46" t="str">
        <x:v>SRC-EGG-YOLK-BOIL-001</x:v>
      </x:c>
      <x:c r="G112" s="46" t="str">
        <x:v>Hydrocarbon</x:v>
      </x:c>
      <x:c r="H112" s="46" t="str">
        <x:v>Alkanes</x:v>
      </x:c>
      <x:c r="I112" s="46" t="str">
        <x:v>Undecane, 4-ethyl-</x:v>
      </x:c>
      <x:c r="J112" s="46" t="n">
        <x:v>57</x:v>
      </x:c>
      <x:c r="K112" s="46" t="n">
        <x:v>1247</x:v>
      </x:c>
      <x:c r="L112" s="46" t="n">
        <x:v>0</x:v>
      </x:c>
      <x:c r="M112" s="46" t="n">
        <x:v>0.005</x:v>
      </x:c>
      <x:c r="N112" s="46" t="n">
        <x:v>0</x:v>
      </x:c>
      <x:c r="O112" s="46" t="n">
        <x:v>0</x:v>
      </x:c>
      <x:c r="P112" s="46" t="n">
        <x:v>0.0008</x:v>
      </x:c>
      <x:c r="Q112" s="46" t="str">
        <x:v>AU × 10^6</x:v>
      </x:c>
      <x:c r="R112" s="46" t="str">
        <x:v>HS-SPME-GC-MS; source method references prior VOC-identification procedure; LRI reported for every row</x:v>
      </x:c>
      <x:c r="S112" s="46"/>
      <x:c r="T112" s="46" t="str">
        <x:v>partial_no_numeric_match_factor</x:v>
      </x:c>
      <x:c r="U112" s="46" t="str">
        <x:v>no</x:v>
      </x:c>
      <x:c r="V112" s="46" t="str">
        <x:v>normal_culinary_evidence</x:v>
      </x:c>
      <x:c r="W112" s="46" t="str">
        <x:v>CE = commercial chicken egg control; breed values retained separately. Source-group taxonomy is preserved.</x:v>
      </x:c>
    </x:row>
    <x:row r="113" ht="26.399999618530273" hidden="0" customHeight="1">
      <x:c r="A113" s="46" t="str">
        <x:v>DEY-BOIL-112</x:v>
      </x:c>
      <x:c r="B113" s="46" t="str">
        <x:v>egg:yolk_chicken</x:v>
      </x:c>
      <x:c r="C113" s="46" t="str">
        <x:v>family:egg</x:v>
      </x:c>
      <x:c r="D113" s="46" t="str">
        <x:v>yolk_carrier</x:v>
      </x:c>
      <x:c r="E113" s="46" t="str">
        <x:v>boiled_100C_15min</x:v>
      </x:c>
      <x:c r="F113" s="46" t="str">
        <x:v>SRC-EGG-YOLK-BOIL-001</x:v>
      </x:c>
      <x:c r="G113" s="46" t="str">
        <x:v>Hydrocarbon</x:v>
      </x:c>
      <x:c r="H113" s="46" t="str">
        <x:v>Alkanes</x:v>
      </x:c>
      <x:c r="I113" s="46" t="str">
        <x:v>Undecane, 5-methyl-</x:v>
      </x:c>
      <x:c r="J113" s="46" t="n">
        <x:v>57</x:v>
      </x:c>
      <x:c r="K113" s="46" t="n">
        <x:v>1160</x:v>
      </x:c>
      <x:c r="L113" s="46" t="n">
        <x:v>0.012</x:v>
      </x:c>
      <x:c r="M113" s="46" t="n">
        <x:v>0.011</x:v>
      </x:c>
      <x:c r="N113" s="46" t="n">
        <x:v>0.008</x:v>
      </x:c>
      <x:c r="O113" s="46" t="n">
        <x:v>0.009</x:v>
      </x:c>
      <x:c r="P113" s="46" t="n">
        <x:v>0.0015</x:v>
      </x:c>
      <x:c r="Q113" s="46" t="str">
        <x:v>AU × 10^6</x:v>
      </x:c>
      <x:c r="R113" s="46" t="str">
        <x:v>HS-SPME-GC-MS; source method references prior VOC-identification procedure; LRI reported for every row</x:v>
      </x:c>
      <x:c r="S113" s="46"/>
      <x:c r="T113" s="46" t="str">
        <x:v>partial_no_numeric_match_factor</x:v>
      </x:c>
      <x:c r="U113" s="46" t="str">
        <x:v>yes</x:v>
      </x:c>
      <x:c r="V113" s="46" t="str">
        <x:v>normal_culinary_evidence</x:v>
      </x:c>
      <x:c r="W113" s="46" t="str">
        <x:v>CE = commercial chicken egg control; breed values retained separately. Source-group taxonomy is preserved.</x:v>
      </x:c>
    </x:row>
    <x:row r="114" ht="26.399999618530273" hidden="0" customHeight="1">
      <x:c r="A114" s="46" t="str">
        <x:v>DEY-BOIL-113</x:v>
      </x:c>
      <x:c r="B114" s="46" t="str">
        <x:v>egg:yolk_chicken</x:v>
      </x:c>
      <x:c r="C114" s="46" t="str">
        <x:v>family:egg</x:v>
      </x:c>
      <x:c r="D114" s="46" t="str">
        <x:v>yolk_carrier</x:v>
      </x:c>
      <x:c r="E114" s="46" t="str">
        <x:v>boiled_100C_15min</x:v>
      </x:c>
      <x:c r="F114" s="46" t="str">
        <x:v>SRC-EGG-YOLK-BOIL-001</x:v>
      </x:c>
      <x:c r="G114" s="46" t="str">
        <x:v>Ketone</x:v>
      </x:c>
      <x:c r="H114" s="46" t="str">
        <x:v>Ketone</x:v>
      </x:c>
      <x:c r="I114" s="46" t="str">
        <x:v>(+)-2-Bornanone</x:v>
      </x:c>
      <x:c r="J114" s="46" t="n">
        <x:v>95</x:v>
      </x:c>
      <x:c r="K114" s="46" t="n">
        <x:v>1148</x:v>
      </x:c>
      <x:c r="L114" s="46" t="n">
        <x:v>0</x:v>
      </x:c>
      <x:c r="M114" s="46" t="n">
        <x:v>0</x:v>
      </x:c>
      <x:c r="N114" s="46" t="n">
        <x:v>0</x:v>
      </x:c>
      <x:c r="O114" s="46" t="n">
        <x:v>0.003</x:v>
      </x:c>
      <x:c r="P114" s="46" t="n">
        <x:v>0.0009</x:v>
      </x:c>
      <x:c r="Q114" s="46" t="str">
        <x:v>AU × 10^6</x:v>
      </x:c>
      <x:c r="R114" s="46" t="str">
        <x:v>HS-SPME-GC-MS; source method references prior VOC-identification procedure; LRI reported for every row</x:v>
      </x:c>
      <x:c r="S114" s="46"/>
      <x:c r="T114" s="46" t="str">
        <x:v>partial_no_numeric_match_factor</x:v>
      </x:c>
      <x:c r="U114" s="46" t="str">
        <x:v>no</x:v>
      </x:c>
      <x:c r="V114" s="46" t="str">
        <x:v>normal_culinary_evidence</x:v>
      </x:c>
      <x:c r="W114" s="46" t="str">
        <x:v>CE = commercial chicken egg control; breed values retained separately. Source-group taxonomy is preserved.</x:v>
      </x:c>
    </x:row>
    <x:row r="115" ht="26.399999618530273" hidden="0" customHeight="1">
      <x:c r="A115" s="46" t="str">
        <x:v>DEY-BOIL-114</x:v>
      </x:c>
      <x:c r="B115" s="46" t="str">
        <x:v>egg:yolk_chicken</x:v>
      </x:c>
      <x:c r="C115" s="46" t="str">
        <x:v>family:egg</x:v>
      </x:c>
      <x:c r="D115" s="46" t="str">
        <x:v>yolk_carrier</x:v>
      </x:c>
      <x:c r="E115" s="46" t="str">
        <x:v>boiled_100C_15min</x:v>
      </x:c>
      <x:c r="F115" s="46" t="str">
        <x:v>SRC-EGG-YOLK-BOIL-001</x:v>
      </x:c>
      <x:c r="G115" s="46" t="str">
        <x:v>Ketone</x:v>
      </x:c>
      <x:c r="H115" s="46" t="str">
        <x:v>Ketone</x:v>
      </x:c>
      <x:c r="I115" s="46" t="str">
        <x:v>2,3-Butanedione</x:v>
      </x:c>
      <x:c r="J115" s="46" t="n">
        <x:v>43.1</x:v>
      </x:c>
      <x:c r="K115" s="46" t="n">
        <x:v>581</x:v>
      </x:c>
      <x:c r="L115" s="46" t="n">
        <x:v>0.046</x:v>
      </x:c>
      <x:c r="M115" s="46" t="n">
        <x:v>0.068</x:v>
      </x:c>
      <x:c r="N115" s="46" t="n">
        <x:v>0</x:v>
      </x:c>
      <x:c r="O115" s="46" t="n">
        <x:v>0.035</x:v>
      </x:c>
      <x:c r="P115" s="46" t="n">
        <x:v>0.0191</x:v>
      </x:c>
      <x:c r="Q115" s="46" t="str">
        <x:v>AU × 10^6</x:v>
      </x:c>
      <x:c r="R115" s="46" t="str">
        <x:v>HS-SPME-GC-MS; source method references prior VOC-identification procedure; LRI reported for every row</x:v>
      </x:c>
      <x:c r="S115" s="46"/>
      <x:c r="T115" s="46" t="str">
        <x:v>partial_no_numeric_match_factor</x:v>
      </x:c>
      <x:c r="U115" s="46" t="str">
        <x:v>yes</x:v>
      </x:c>
      <x:c r="V115" s="46" t="str">
        <x:v>normal_culinary_evidence</x:v>
      </x:c>
      <x:c r="W115" s="46" t="str">
        <x:v>CE = commercial chicken egg control; breed values retained separately. Source-group taxonomy is preserved.</x:v>
      </x:c>
    </x:row>
    <x:row r="116" ht="26.399999618530273" hidden="0" customHeight="1">
      <x:c r="A116" s="46" t="str">
        <x:v>DEY-BOIL-115</x:v>
      </x:c>
      <x:c r="B116" s="46" t="str">
        <x:v>egg:yolk_chicken</x:v>
      </x:c>
      <x:c r="C116" s="46" t="str">
        <x:v>family:egg</x:v>
      </x:c>
      <x:c r="D116" s="46" t="str">
        <x:v>yolk_carrier</x:v>
      </x:c>
      <x:c r="E116" s="46" t="str">
        <x:v>boiled_100C_15min</x:v>
      </x:c>
      <x:c r="F116" s="46" t="str">
        <x:v>SRC-EGG-YOLK-BOIL-001</x:v>
      </x:c>
      <x:c r="G116" s="46" t="str">
        <x:v>Ketone</x:v>
      </x:c>
      <x:c r="H116" s="46" t="str">
        <x:v>Ketone</x:v>
      </x:c>
      <x:c r="I116" s="46" t="str">
        <x:v>2-Octanone</x:v>
      </x:c>
      <x:c r="J116" s="46" t="n">
        <x:v>43.1</x:v>
      </x:c>
      <x:c r="K116" s="46" t="n">
        <x:v>985</x:v>
      </x:c>
      <x:c r="L116" s="46" t="n">
        <x:v>0</x:v>
      </x:c>
      <x:c r="M116" s="46" t="n">
        <x:v>0</x:v>
      </x:c>
      <x:c r="N116" s="46" t="n">
        <x:v>0.005</x:v>
      </x:c>
      <x:c r="O116" s="46" t="n">
        <x:v>0.007</x:v>
      </x:c>
      <x:c r="P116" s="46" t="n">
        <x:v>0.0018</x:v>
      </x:c>
      <x:c r="Q116" s="46" t="str">
        <x:v>AU × 10^6</x:v>
      </x:c>
      <x:c r="R116" s="46" t="str">
        <x:v>HS-SPME-GC-MS; source method references prior VOC-identification procedure; LRI reported for every row</x:v>
      </x:c>
      <x:c r="S116" s="46"/>
      <x:c r="T116" s="46" t="str">
        <x:v>partial_no_numeric_match_factor</x:v>
      </x:c>
      <x:c r="U116" s="46" t="str">
        <x:v>no</x:v>
      </x:c>
      <x:c r="V116" s="46" t="str">
        <x:v>normal_culinary_evidence</x:v>
      </x:c>
      <x:c r="W116" s="46" t="str">
        <x:v>CE = commercial chicken egg control; breed values retained separately. Source-group taxonomy is preserved.</x:v>
      </x:c>
    </x:row>
    <x:row r="117" ht="26.399999618530273" hidden="0" customHeight="1">
      <x:c r="A117" s="46" t="str">
        <x:v>DEY-BOIL-116</x:v>
      </x:c>
      <x:c r="B117" s="46" t="str">
        <x:v>egg:yolk_chicken</x:v>
      </x:c>
      <x:c r="C117" s="46" t="str">
        <x:v>family:egg</x:v>
      </x:c>
      <x:c r="D117" s="46" t="str">
        <x:v>yolk_carrier</x:v>
      </x:c>
      <x:c r="E117" s="46" t="str">
        <x:v>boiled_100C_15min</x:v>
      </x:c>
      <x:c r="F117" s="46" t="str">
        <x:v>SRC-EGG-YOLK-BOIL-001</x:v>
      </x:c>
      <x:c r="G117" s="46" t="str">
        <x:v>Sulfur compound</x:v>
      </x:c>
      <x:c r="H117" s="46" t="str">
        <x:v>Sulfur compounds</x:v>
      </x:c>
      <x:c r="I117" s="46" t="str">
        <x:v>2-Ethylthiolane, S,S-dioxide</x:v>
      </x:c>
      <x:c r="J117" s="46" t="n">
        <x:v>55</x:v>
      </x:c>
      <x:c r="K117" s="46" t="n">
        <x:v>975</x:v>
      </x:c>
      <x:c r="L117" s="46" t="n">
        <x:v>0.12</x:v>
      </x:c>
      <x:c r="M117" s="46" t="n">
        <x:v>0.135</x:v>
      </x:c>
      <x:c r="N117" s="46" t="n">
        <x:v>0.132</x:v>
      </x:c>
      <x:c r="O117" s="46" t="n">
        <x:v>0.02</x:v>
      </x:c>
      <x:c r="P117" s="46" t="n">
        <x:v>0.0278</x:v>
      </x:c>
      <x:c r="Q117" s="46" t="str">
        <x:v>AU × 10^6</x:v>
      </x:c>
      <x:c r="R117" s="46" t="str">
        <x:v>HS-SPME-GC-MS; source method references prior VOC-identification procedure; LRI reported for every row</x:v>
      </x:c>
      <x:c r="S117" s="46"/>
      <x:c r="T117" s="46" t="str">
        <x:v>partial_no_numeric_match_factor</x:v>
      </x:c>
      <x:c r="U117" s="46" t="str">
        <x:v>yes</x:v>
      </x:c>
      <x:c r="V117" s="46" t="str">
        <x:v>normal_culinary_evidence</x:v>
      </x:c>
      <x:c r="W117" s="46" t="str">
        <x:v>CE = commercial chicken egg control; breed values retained separately. Source-group taxonomy is preserved.</x:v>
      </x:c>
    </x:row>
    <x:row r="118" ht="26.399999618530273" hidden="0" customHeight="1">
      <x:c r="A118" s="46" t="str">
        <x:v>DEY-BOIL-117</x:v>
      </x:c>
      <x:c r="B118" s="46" t="str">
        <x:v>egg:yolk_chicken</x:v>
      </x:c>
      <x:c r="C118" s="46" t="str">
        <x:v>family:egg</x:v>
      </x:c>
      <x:c r="D118" s="46" t="str">
        <x:v>yolk_carrier</x:v>
      </x:c>
      <x:c r="E118" s="46" t="str">
        <x:v>boiled_100C_15min</x:v>
      </x:c>
      <x:c r="F118" s="46" t="str">
        <x:v>SRC-EGG-YOLK-BOIL-001</x:v>
      </x:c>
      <x:c r="G118" s="46" t="str">
        <x:v>Sulfur compound</x:v>
      </x:c>
      <x:c r="H118" s="46" t="str">
        <x:v>Sulfur compounds</x:v>
      </x:c>
      <x:c r="I118" s="46" t="str">
        <x:v>Carbon disulfide</x:v>
      </x:c>
      <x:c r="J118" s="46" t="n">
        <x:v>76</x:v>
      </x:c>
      <x:c r="K118" s="46" t="n">
        <x:v>546</x:v>
      </x:c>
      <x:c r="L118" s="46" t="n">
        <x:v>0.267</x:v>
      </x:c>
      <x:c r="M118" s="46" t="n">
        <x:v>0.088</x:v>
      </x:c>
      <x:c r="N118" s="46" t="n">
        <x:v>0.527</x:v>
      </x:c>
      <x:c r="O118" s="46" t="n">
        <x:v>0.192</x:v>
      </x:c>
      <x:c r="P118" s="46" t="n">
        <x:v>0.0446</x:v>
      </x:c>
      <x:c r="Q118" s="46" t="str">
        <x:v>AU × 10^6</x:v>
      </x:c>
      <x:c r="R118" s="46" t="str">
        <x:v>HS-SPME-GC-MS; source method references prior VOC-identification procedure; LRI reported for every row</x:v>
      </x:c>
      <x:c r="S118" s="46"/>
      <x:c r="T118" s="46" t="str">
        <x:v>partial_no_numeric_match_factor</x:v>
      </x:c>
      <x:c r="U118" s="46" t="str">
        <x:v>yes</x:v>
      </x:c>
      <x:c r="V118" s="46" t="str">
        <x:v>normal_culinary_evidence</x:v>
      </x:c>
      <x:c r="W118" s="46" t="str">
        <x:v>CE = commercial chicken egg control; breed values retained separately. Source-group taxonomy is preserved.</x:v>
      </x:c>
    </x:row>
    <x:row r="119" ht="26.399999618530273" hidden="0" customHeight="1">
      <x:c r="A119" s="46" t="str">
        <x:v>DEY-BOIL-118</x:v>
      </x:c>
      <x:c r="B119" s="46" t="str">
        <x:v>egg:yolk_chicken</x:v>
      </x:c>
      <x:c r="C119" s="46" t="str">
        <x:v>family:egg</x:v>
      </x:c>
      <x:c r="D119" s="46" t="str">
        <x:v>yolk_carrier</x:v>
      </x:c>
      <x:c r="E119" s="46" t="str">
        <x:v>boiled_100C_15min</x:v>
      </x:c>
      <x:c r="F119" s="46" t="str">
        <x:v>SRC-EGG-YOLK-BOIL-001</x:v>
      </x:c>
      <x:c r="G119" s="46" t="str">
        <x:v>Sulfur compound</x:v>
      </x:c>
      <x:c r="H119" s="46" t="str">
        <x:v>Sulfur compounds</x:v>
      </x:c>
      <x:c r="I119" s="46" t="str">
        <x:v>Cyclic octaatomic sulfur</x:v>
      </x:c>
      <x:c r="J119" s="46" t="n">
        <x:v>64</x:v>
      </x:c>
      <x:c r="K119" s="46" t="n">
        <x:v>2033</x:v>
      </x:c>
      <x:c r="L119" s="46" t="n">
        <x:v>0.007</x:v>
      </x:c>
      <x:c r="M119" s="46" t="n">
        <x:v>0</x:v>
      </x:c>
      <x:c r="N119" s="46" t="n">
        <x:v>0.022</x:v>
      </x:c>
      <x:c r="O119" s="46" t="n">
        <x:v>0.006</x:v>
      </x:c>
      <x:c r="P119" s="46" t="n">
        <x:v>0.0022</x:v>
      </x:c>
      <x:c r="Q119" s="46" t="str">
        <x:v>AU × 10^6</x:v>
      </x:c>
      <x:c r="R119" s="46" t="str">
        <x:v>HS-SPME-GC-MS; source method references prior VOC-identification procedure; LRI reported for every row</x:v>
      </x:c>
      <x:c r="S119" s="46"/>
      <x:c r="T119" s="46" t="str">
        <x:v>partial_no_numeric_match_factor</x:v>
      </x:c>
      <x:c r="U119" s="46" t="str">
        <x:v>yes</x:v>
      </x:c>
      <x:c r="V119" s="46" t="str">
        <x:v>normal_culinary_evidence</x:v>
      </x:c>
      <x:c r="W119" s="46" t="str">
        <x:v>CE = commercial chicken egg control; breed values retained separately. Source-group taxonomy is preserved.</x:v>
      </x:c>
    </x:row>
    <x:row r="120" ht="26.399999618530273" hidden="0" customHeight="1">
      <x:c r="A120" s="46" t="str">
        <x:v>DEY-BOIL-119</x:v>
      </x:c>
      <x:c r="B120" s="46" t="str">
        <x:v>egg:yolk_chicken</x:v>
      </x:c>
      <x:c r="C120" s="46" t="str">
        <x:v>family:egg</x:v>
      </x:c>
      <x:c r="D120" s="46" t="str">
        <x:v>yolk_carrier</x:v>
      </x:c>
      <x:c r="E120" s="46" t="str">
        <x:v>boiled_100C_15min</x:v>
      </x:c>
      <x:c r="F120" s="46" t="str">
        <x:v>SRC-EGG-YOLK-BOIL-001</x:v>
      </x:c>
      <x:c r="G120" s="46" t="str">
        <x:v>Sulfur compound</x:v>
      </x:c>
      <x:c r="H120" s="46" t="str">
        <x:v>Sulfur compounds</x:v>
      </x:c>
      <x:c r="I120" s="46" t="str">
        <x:v>Hydrogen sulfide</x:v>
      </x:c>
      <x:c r="J120" s="46" t="n">
        <x:v>34</x:v>
      </x:c>
      <x:c r="K120" s="46" t="n">
        <x:v>1099</x:v>
      </x:c>
      <x:c r="L120" s="46" t="n">
        <x:v>0.262</x:v>
      </x:c>
      <x:c r="M120" s="46" t="n">
        <x:v>0</x:v>
      </x:c>
      <x:c r="N120" s="46" t="n">
        <x:v>0.167</x:v>
      </x:c>
      <x:c r="O120" s="46" t="n">
        <x:v>0.102</x:v>
      </x:c>
      <x:c r="P120" s="46" t="n">
        <x:v>0.0202</x:v>
      </x:c>
      <x:c r="Q120" s="46" t="str">
        <x:v>AU × 10^6</x:v>
      </x:c>
      <x:c r="R120" s="46" t="str">
        <x:v>HS-SPME-GC-MS; source method references prior VOC-identification procedure; LRI reported for every row</x:v>
      </x:c>
      <x:c r="S120" s="46"/>
      <x:c r="T120" s="46" t="str">
        <x:v>partial_no_numeric_match_factor</x:v>
      </x:c>
      <x:c r="U120" s="46" t="str">
        <x:v>yes</x:v>
      </x:c>
      <x:c r="V120" s="46" t="str">
        <x:v>culinary_state_occurrence_with_quality_caution</x:v>
      </x:c>
      <x:c r="W120" s="46" t="str">
        <x:v>CE = commercial chicken egg control; breed values retained separately. Source-group taxonomy is preserved.</x:v>
      </x:c>
    </x:row>
    <x:row r="121" ht="26.399999618530273" hidden="0" customHeight="1">
      <x:c r="A121" s="46" t="str">
        <x:v>DEY-BOIL-120</x:v>
      </x:c>
      <x:c r="B121" s="46" t="str">
        <x:v>egg:yolk_chicken</x:v>
      </x:c>
      <x:c r="C121" s="46" t="str">
        <x:v>family:egg</x:v>
      </x:c>
      <x:c r="D121" s="46" t="str">
        <x:v>yolk_carrier</x:v>
      </x:c>
      <x:c r="E121" s="46" t="str">
        <x:v>boiled_100C_15min</x:v>
      </x:c>
      <x:c r="F121" s="46" t="str">
        <x:v>SRC-EGG-YOLK-BOIL-001</x:v>
      </x:c>
      <x:c r="G121" s="46" t="str">
        <x:v>Sulfur compound</x:v>
      </x:c>
      <x:c r="H121" s="46" t="str">
        <x:v>Sulfur compounds</x:v>
      </x:c>
      <x:c r="I121" s="46" t="str">
        <x:v>Sulfur dioxide</x:v>
      </x:c>
      <x:c r="J121" s="46" t="n">
        <x:v>64</x:v>
      </x:c>
      <x:c r="K121" s="46" t="n">
        <x:v>538</x:v>
      </x:c>
      <x:c r="L121" s="46" t="n">
        <x:v>0.269</x:v>
      </x:c>
      <x:c r="M121" s="46" t="n">
        <x:v>0</x:v>
      </x:c>
      <x:c r="N121" s="46" t="n">
        <x:v>0.274</x:v>
      </x:c>
      <x:c r="O121" s="46" t="n">
        <x:v>0</x:v>
      </x:c>
      <x:c r="P121" s="46" t="n">
        <x:v>0.0964</x:v>
      </x:c>
      <x:c r="Q121" s="46" t="str">
        <x:v>AU × 10^6</x:v>
      </x:c>
      <x:c r="R121" s="46" t="str">
        <x:v>HS-SPME-GC-MS; source method references prior VOC-identification procedure; LRI reported for every row</x:v>
      </x:c>
      <x:c r="S121" s="46"/>
      <x:c r="T121" s="46" t="str">
        <x:v>partial_no_numeric_match_factor</x:v>
      </x:c>
      <x:c r="U121" s="46" t="str">
        <x:v>yes</x:v>
      </x:c>
      <x:c r="V121" s="46" t="str">
        <x:v>normal_culinary_evidence</x:v>
      </x:c>
      <x:c r="W121" s="46" t="str">
        <x:v>CE = commercial chicken egg control; breed values retained separately. Source-group taxonomy is preserved.</x:v>
      </x:c>
    </x:row>
    <x:row r="122" ht="26.399999618530273" hidden="0" customHeight="1">
      <x:c r="A122" s="46" t="str">
        <x:v>DEY-BOIL-121</x:v>
      </x:c>
      <x:c r="B122" s="46" t="str">
        <x:v>egg:yolk_chicken</x:v>
      </x:c>
      <x:c r="C122" s="46" t="str">
        <x:v>family:egg</x:v>
      </x:c>
      <x:c r="D122" s="46" t="str">
        <x:v>yolk_carrier</x:v>
      </x:c>
      <x:c r="E122" s="46" t="str">
        <x:v>boiled_100C_15min</x:v>
      </x:c>
      <x:c r="F122" s="46" t="str">
        <x:v>SRC-EGG-YOLK-BOIL-001</x:v>
      </x:c>
      <x:c r="G122" s="46" t="str">
        <x:v>Others</x:v>
      </x:c>
      <x:c r="H122" s="46" t="str">
        <x:v>Furans</x:v>
      </x:c>
      <x:c r="I122" s="46" t="str">
        <x:v>2-Pentylfuran</x:v>
      </x:c>
      <x:c r="J122" s="46" t="n">
        <x:v>81</x:v>
      </x:c>
      <x:c r="K122" s="46" t="n">
        <x:v>983</x:v>
      </x:c>
      <x:c r="L122" s="46" t="n">
        <x:v>0.099</x:v>
      </x:c>
      <x:c r="M122" s="46" t="n">
        <x:v>0.087</x:v>
      </x:c>
      <x:c r="N122" s="46" t="n">
        <x:v>0.067</x:v>
      </x:c>
      <x:c r="O122" s="46" t="n">
        <x:v>0.099</x:v>
      </x:c>
      <x:c r="P122" s="46" t="n">
        <x:v>0.0069</x:v>
      </x:c>
      <x:c r="Q122" s="46" t="str">
        <x:v>AU × 10^6</x:v>
      </x:c>
      <x:c r="R122" s="46" t="str">
        <x:v>HS-SPME-GC-MS; source method references prior VOC-identification procedure; LRI reported for every row</x:v>
      </x:c>
      <x:c r="S122" s="46"/>
      <x:c r="T122" s="46" t="str">
        <x:v>partial_no_numeric_match_factor</x:v>
      </x:c>
      <x:c r="U122" s="46" t="str">
        <x:v>yes</x:v>
      </x:c>
      <x:c r="V122" s="46" t="str">
        <x:v>normal_culinary_evidence</x:v>
      </x:c>
      <x:c r="W122" s="46" t="str">
        <x:v>CE = commercial chicken egg control; breed values retained separately. Source-group taxonomy is preserved.</x:v>
      </x:c>
    </x:row>
    <x:row r="123" ht="26.399999618530273" hidden="0" customHeight="1">
      <x:c r="A123" s="46" t="str">
        <x:v>DEY-BOIL-122</x:v>
      </x:c>
      <x:c r="B123" s="46" t="str">
        <x:v>egg:yolk_chicken</x:v>
      </x:c>
      <x:c r="C123" s="46" t="str">
        <x:v>family:egg</x:v>
      </x:c>
      <x:c r="D123" s="46" t="str">
        <x:v>yolk_carrier</x:v>
      </x:c>
      <x:c r="E123" s="46" t="str">
        <x:v>boiled_100C_15min</x:v>
      </x:c>
      <x:c r="F123" s="46" t="str">
        <x:v>SRC-EGG-YOLK-BOIL-001</x:v>
      </x:c>
      <x:c r="G123" s="46" t="str">
        <x:v>Others</x:v>
      </x:c>
      <x:c r="H123" s="46" t="str">
        <x:v>Other nitrogen compounds</x:v>
      </x:c>
      <x:c r="I123" s="46" t="str">
        <x:v>Nitrous oxide</x:v>
      </x:c>
      <x:c r="J123" s="46" t="n">
        <x:v>44</x:v>
      </x:c>
      <x:c r="K123" s="46" t="n">
        <x:v>533</x:v>
      </x:c>
      <x:c r="L123" s="46" t="n">
        <x:v>0</x:v>
      </x:c>
      <x:c r="M123" s="46" t="n">
        <x:v>0</x:v>
      </x:c>
      <x:c r="N123" s="46" t="n">
        <x:v>0.739</x:v>
      </x:c>
      <x:c r="O123" s="46" t="n">
        <x:v>0</x:v>
      </x:c>
      <x:c r="P123" s="46" t="n">
        <x:v>0.1912</x:v>
      </x:c>
      <x:c r="Q123" s="46" t="str">
        <x:v>AU × 10^6</x:v>
      </x:c>
      <x:c r="R123" s="46" t="str">
        <x:v>HS-SPME-GC-MS; source method references prior VOC-identification procedure; LRI reported for every row</x:v>
      </x:c>
      <x:c r="S123" s="46"/>
      <x:c r="T123" s="46" t="str">
        <x:v>partial_no_numeric_match_factor</x:v>
      </x:c>
      <x:c r="U123" s="46" t="str">
        <x:v>no</x:v>
      </x:c>
      <x:c r="V123" s="46" t="str">
        <x:v>normal_culinary_evidence</x:v>
      </x:c>
      <x:c r="W123" s="46" t="str">
        <x:v>CE = commercial chicken egg control; breed values retained separately. Source-group taxonomy is preserved.</x:v>
      </x:c>
    </x:row>
    <x:row r="124" ht="26.399999618530273" hidden="0" customHeight="1">
      <x:c r="A124" s="46" t="str">
        <x:v>DEY-BOIL-123</x:v>
      </x:c>
      <x:c r="B124" s="46" t="str">
        <x:v>egg:yolk_chicken</x:v>
      </x:c>
      <x:c r="C124" s="46" t="str">
        <x:v>family:egg</x:v>
      </x:c>
      <x:c r="D124" s="46" t="str">
        <x:v>yolk_carrier</x:v>
      </x:c>
      <x:c r="E124" s="46" t="str">
        <x:v>boiled_100C_15min</x:v>
      </x:c>
      <x:c r="F124" s="46" t="str">
        <x:v>SRC-EGG-YOLK-BOIL-001</x:v>
      </x:c>
      <x:c r="G124" s="46" t="str">
        <x:v>Others</x:v>
      </x:c>
      <x:c r="H124" s="46" t="str">
        <x:v>Amines</x:v>
      </x:c>
      <x:c r="I124" s="46" t="str">
        <x:v>Trimethylamine</x:v>
      </x:c>
      <x:c r="J124" s="46" t="n">
        <x:v>58</x:v>
      </x:c>
      <x:c r="K124" s="46" t="n">
        <x:v>1099</x:v>
      </x:c>
      <x:c r="L124" s="46" t="n">
        <x:v>0.158</x:v>
      </x:c>
      <x:c r="M124" s="46" t="n">
        <x:v>0.137</x:v>
      </x:c>
      <x:c r="N124" s="46" t="n">
        <x:v>0.145</x:v>
      </x:c>
      <x:c r="O124" s="46" t="n">
        <x:v>0.092</x:v>
      </x:c>
      <x:c r="P124" s="46" t="n">
        <x:v>0.0379</x:v>
      </x:c>
      <x:c r="Q124" s="46" t="str">
        <x:v>AU × 10^6</x:v>
      </x:c>
      <x:c r="R124" s="46" t="str">
        <x:v>HS-SPME-GC-MS; source method references prior VOC-identification procedure; LRI reported for every row</x:v>
      </x:c>
      <x:c r="S124" s="46"/>
      <x:c r="T124" s="46" t="str">
        <x:v>partial_no_numeric_match_factor</x:v>
      </x:c>
      <x:c r="U124" s="46" t="str">
        <x:v>yes</x:v>
      </x:c>
      <x:c r="V124" s="46" t="str">
        <x:v>culinary_state_occurrence_with_quality_caution</x:v>
      </x:c>
      <x:c r="W124" s="46" t="str">
        <x:v>CE = commercial chicken egg control; breed values retained separately. Source-group taxonomy is preserved.</x:v>
      </x:c>
    </x:row>
  </x:sheetData>
  <x:pageMargins left="0.7" right="0.7" top="0.75" bottom="0.75" header="0.3" footer="0.3"/>
  <x:tableParts count="1">
    <x:tablePart xmlns:r="http://schemas.openxmlformats.org/officeDocument/2006/relationships" r:id="Re10a74f30d444637"/>
  </x:tableParts>
</x:worksheet>
</file>

<file path=xl/worksheets/sheet94.xml><?xml version="1.0" encoding="utf-8"?>
<x:worksheet xmlns:x="http://schemas.openxmlformats.org/spreadsheetml/2006/main">
  <x:sheetFormatPr defaultRowHeight="15"/>
  <x:cols>
    <x:col min="1" max="1" width="32" hidden="0" customWidth="1"/>
    <x:col min="2" max="2" width="30" hidden="0" customWidth="1"/>
    <x:col min="3" max="3" width="60" hidden="0" customWidth="1"/>
    <x:col min="4" max="4" width="20" hidden="0" customWidth="1"/>
    <x:col min="5" max="5" width="34" hidden="0" customWidth="1"/>
    <x:col min="6" max="6" width="34" hidden="0" customWidth="1"/>
    <x:col min="7" max="7" width="30" hidden="0" customWidth="1"/>
    <x:col min="8" max="8" width="48" hidden="0" customWidth="1"/>
    <x:col min="9" max="9" width="38" hidden="0" customWidth="1"/>
    <x:col min="10" max="10" width="34" hidden="0" customWidth="1"/>
    <x:col min="11" max="11" width="78" hidden="0" customWidth="1"/>
  </x:cols>
  <x:sheetData>
    <x:row r="1" ht="15" hidden="0" customHeight="1">
      <x:c r="A1" s="245" t="str">
        <x:v>source_id</x:v>
      </x:c>
      <x:c r="B1" s="245" t="str">
        <x:v>product_scope</x:v>
      </x:c>
      <x:c r="C1" s="245" t="str">
        <x:v>reported_scope</x:v>
      </x:c>
      <x:c r="D1" s="245" t="str">
        <x:v>rows_ingested_v23</x:v>
      </x:c>
      <x:c r="E1" s="245" t="str">
        <x:v>count_reconciliation</x:v>
      </x:c>
      <x:c r="F1" s="245" t="str">
        <x:v>retention_index_support</x:v>
      </x:c>
      <x:c r="G1" s="245" t="str">
        <x:v>numeric_match_factor_support</x:v>
      </x:c>
      <x:c r="H1" s="245" t="str">
        <x:v>other_identification_support</x:v>
      </x:c>
      <x:c r="I1" s="245" t="str">
        <x:v>mr09_status</x:v>
      </x:c>
      <x:c r="J1" s="245" t="str">
        <x:v>mr10_status</x:v>
      </x:c>
      <x:c r="K1" s="245" t="str">
        <x:v>notes</x:v>
      </x:c>
    </x:row>
    <x:row r="2" ht="26.399999618530273" hidden="0" customHeight="1">
      <x:c r="A2" s="46" t="str">
        <x:v>SRC-EGG-YOLK-BOIL-001</x:v>
      </x:c>
      <x:c r="B2" s="46" t="str">
        <x:v>egg:yolk_chicken</x:v>
      </x:c>
      <x:c r="C2" s="46" t="str">
        <x:v>123 VOCs in Supplementary Table S1; commercial control + 3 chicken-breed groups</x:v>
      </x:c>
      <x:c r="D2" s="46" t="n">
        <x:f>COUNTA('Detected Egg Boiled Yolk'!I2:I124)</x:f>
        <x:v>123</x:v>
      </x:c>
      <x:c r="E2" s="46" t="str">
        <x:f>IF(D2=123,"pass_123_of_123","FAIL_"&amp;D2&amp;"_of_123")</x:f>
        <x:v>pass_123_of_123</x:v>
      </x:c>
      <x:c r="F2" s="46" t="str">
        <x:v>123/123 LRI</x:v>
      </x:c>
      <x:c r="G2" s="46" t="str">
        <x:v>0/123</x:v>
      </x:c>
      <x:c r="H2" s="46" t="str">
        <x:v>specific ion for 123/123; HS-SPME-GC-MS</x:v>
      </x:c>
      <x:c r="I2" s="247" t="str">
        <x:v>partial_no_numeric_match_factor</x:v>
      </x:c>
      <x:c r="J2" s="238" t="str">
        <x:v>complete_full_table</x:v>
      </x:c>
      <x:c r="K2" s="46" t="str">
        <x:v>Commercial chicken-egg control has 90 nonzero detections; all four breed-group abundance values retained. DI-19 records a source arithmetic inconsistency: row-summed CE=37.336 vs printed total 37.471, driven mainly by sulfur rows summing to 0.925 vs printed sulfur subtotal 1.037. No row is altered to force reconciliation.</x:v>
      </x:c>
    </x:row>
    <x:row r="3" ht="26.399999618530273" hidden="0" customHeight="1">
      <x:c r="A3" s="46" t="str">
        <x:v>SRC-EGG-SALTED-YOLK-001</x:v>
      </x:c>
      <x:c r="B3" s="46" t="str">
        <x:v>egg:yolk_duck_salted</x:v>
      </x:c>
      <x:c r="C3" s="46" t="str">
        <x:v>45 full-table volatiles; 18 salted, 43 roasted-salted, 16 shared</x:v>
      </x:c>
      <x:c r="D3" s="46" t="n">
        <x:f>COUNTA('Detected Egg Salted Yolk'!H2:H46)</x:f>
        <x:v>45</x:v>
      </x:c>
      <x:c r="E3" s="46" t="str">
        <x:f>IF(D3=45,"pass_45_of_45","FAIL_"&amp;D3&amp;"_of_45")</x:f>
        <x:v>pass_45_of_45</x:v>
      </x:c>
      <x:c r="F3" s="46" t="str">
        <x:v>DB-Wax and/or HP-5 RI reported across source table</x:v>
      </x:c>
      <x:c r="G3" s="46" t="str">
        <x:v>0/45</x:v>
      </x:c>
      <x:c r="H3" s="46" t="str">
        <x:v>MS; many rows authentic-standard confirmed; GC-O flag where odor-active</x:v>
      </x:c>
      <x:c r="I3" s="247" t="str">
        <x:v>partial_no_numeric_match_factor</x:v>
      </x:c>
      <x:c r="J3" s="238" t="str">
        <x:v>complete_full_table</x:v>
      </x:c>
      <x:c r="K3" s="46" t="str">
        <x:v>Strong identification metadata but strict MR-09 cannot be numerically passed without a published match factor.</x:v>
      </x:c>
    </x:row>
    <x:row r="4" ht="26.399999618530273" hidden="0" customHeight="1">
      <x:c r="A4" s="46" t="str">
        <x:v>SRC-EGG-SCRAMBLE-SENS-001</x:v>
      </x:c>
      <x:c r="B4" s="46" t="str">
        <x:v>egg:whole_chicken</x:v>
      </x:c>
      <x:c r="C4" s="46" t="str">
        <x:v>20 AEDA odorants; 15 SIDA-quantified chicken-egg odorants plus H2S and methanethiol quantitation</x:v>
      </x:c>
      <x:c r="D4" s="46" t="n">
        <x:f>COUNTA('Egg Scrambled Sensomics'!H2:H23)</x:f>
        <x:v>22</x:v>
      </x:c>
      <x:c r="E4" s="46" t="str">
        <x:v>pass_target_set_22_rows_17_detected</x:v>
      </x:c>
      <x:c r="F4" s="46" t="str">
        <x:v>RI published for a subset</x:v>
      </x:c>
      <x:c r="G4" s="46" t="str">
        <x:v>not a library-match table</x:v>
      </x:c>
      <x:c r="H4" s="46" t="str">
        <x:v>AEDA + GC-GC-MS + SIDA + DoT + recombination/omission</x:v>
      </x:c>
      <x:c r="I4" s="247" t="str">
        <x:v>strong_sensory_not_MR09_detection_table</x:v>
      </x:c>
      <x:c r="J4" s="247" t="str">
        <x:v>sensory_quantitative_layer</x:v>
      </x:c>
      <x:c r="K4" s="46" t="str">
        <x:v>This is the whole-egg sensory anchor, not a substitute for a full detected-VOC table.</x:v>
      </x:c>
    </x:row>
    <x:row r="5" ht="39.599998474121094" hidden="0" customHeight="1">
      <x:c r="A5" s="46" t="str">
        <x:v>SRC-EGG-YOLK-THERMAL-001</x:v>
      </x:c>
      <x:c r="B5" s="46" t="str">
        <x:v>egg:yolk_chicken</x:v>
      </x:c>
      <x:c r="C5" s="46" t="str">
        <x:v>68 VOC union across raw / boiled / fried yolk</x:v>
      </x:c>
      <x:c r="D5" s="46" t="n">
        <x:v>0</x:v>
      </x:c>
      <x:c r="E5" s="46" t="str">
        <x:v>source_count_verified_full_supplement_pending</x:v>
      </x:c>
      <x:c r="F5" s="46" t="str">
        <x:v>RI used in screening; Table S2 has per-row RT</x:v>
      </x:c>
      <x:c r="G5" s="46" t="str">
        <x:v>per-row match/reverse-match in inaccessible supplement; source inclusion floor &gt;700/1000</x:v>
      </x:c>
      <x:c r="H5" s="46" t="str">
        <x:v>GC-MS + GC-O-MS; NIST14; mass characteristic ions</x:v>
      </x:c>
      <x:c r="I5" s="247" t="str">
        <x:v>partial_source_floor_below_MR09</x:v>
      </x:c>
      <x:c r="J5" s="247" t="str">
        <x:v>full_table_pending</x:v>
      </x:c>
      <x:c r="K5" s="46" t="str">
        <x:v>The source's &gt;700 score floor is below MR-09's ≥80 requirement. Do not globally pass the 68 rows without Table S2.</x:v>
      </x:c>
    </x:row>
    <x:row r="6" ht="26.399999618530273" hidden="0" customHeight="1">
      <x:c r="A6" s="46" t="str">
        <x:v>SRC-EGG-YOLK-RAW-001</x:v>
      </x:c>
      <x:c r="B6" s="46" t="str">
        <x:v>egg:yolk_chicken</x:v>
      </x:c>
      <x:c r="C6" s="46" t="str">
        <x:v>raw-yolk volatile flavor comparison across four feeding conditions</x:v>
      </x:c>
      <x:c r="D6" s="46" t="n">
        <x:v>0</x:v>
      </x:c>
      <x:c r="E6" s="46" t="str">
        <x:v>context_only_table_not_accessible</x:v>
      </x:c>
      <x:c r="F6" s="46" t="str">
        <x:v>not exposed in accessible record</x:v>
      </x:c>
      <x:c r="G6" s="46" t="str">
        <x:v>not exposed</x:v>
      </x:c>
      <x:c r="H6" s="46" t="str">
        <x:v>GC-FID + GC-MS + GC-O + sulfur-specific GC-FPD</x:v>
      </x:c>
      <x:c r="I6" s="247" t="str">
        <x:v>source_metadata_partial</x:v>
      </x:c>
      <x:c r="J6" s="247" t="str">
        <x:v>full_table_pending</x:v>
      </x:c>
      <x:c r="K6" s="46" t="str">
        <x:v>Direct raw-yolk evidence establishes member/state and feed-driven sulfur weighting; no row completion invented.</x:v>
      </x:c>
    </x:row>
    <x:row r="7" ht="26.399999618530273" hidden="0" customHeight="1">
      <x:c r="A7" s="46" t="str">
        <x:v>SRC-EGG-WHITE-COOK-001</x:v>
      </x:c>
      <x:c r="B7" s="46" t="str">
        <x:v>egg:white_chicken</x:v>
      </x:c>
      <x:c r="C7" s="46" t="str">
        <x:v>~50 raw-white volatiles; &gt;70 in steamed/roasted egg-white controls</x:v>
      </x:c>
      <x:c r="D7" s="46" t="n">
        <x:v>0</x:v>
      </x:c>
      <x:c r="E7" s="46" t="str">
        <x:v>source_count_state_only</x:v>
      </x:c>
      <x:c r="F7" s="46" t="str">
        <x:v>not exposed in accessible record</x:v>
      </x:c>
      <x:c r="G7" s="46" t="str">
        <x:v>not exposed</x:v>
      </x:c>
      <x:c r="H7" s="46" t="str">
        <x:v>SPME-GC-MS</x:v>
      </x:c>
      <x:c r="I7" s="247" t="str">
        <x:v>source_metadata_partial</x:v>
      </x:c>
      <x:c r="J7" s="247" t="str">
        <x:v>full_table_pending</x:v>
      </x:c>
      <x:c r="K7" s="46" t="str">
        <x:v>Only 0% mushroom controls are eligible for egg-white membership; mushroom-containing treatments are not inherited.</x:v>
      </x:c>
    </x:row>
    <x:row r="8" ht="26.399999618530273" hidden="0" customHeight="1">
      <x:c r="A8" s="46" t="str">
        <x:v>SRC-EGG-WHITE-PROCESS-001</x:v>
      </x:c>
      <x:c r="B8" s="46" t="str">
        <x:v>egg:white_chicken</x:v>
      </x:c>
      <x:c r="C8" s="46" t="str">
        <x:v>29 VOC union from fresh liquid white through fermentation/desugaring/spray drying</x:v>
      </x:c>
      <x:c r="D8" s="46" t="n">
        <x:v>0</x:v>
      </x:c>
      <x:c r="E8" s="46" t="str">
        <x:v>source_count_verified</x:v>
      </x:c>
      <x:c r="F8" s="46" t="str">
        <x:v>GC-IMS retention workflow</x:v>
      </x:c>
      <x:c r="G8" s="46" t="str">
        <x:v>not exposed</x:v>
      </x:c>
      <x:c r="H8" s="46" t="str">
        <x:v>GC-IMS + ROAV/OPLS-DA</x:v>
      </x:c>
      <x:c r="I8" s="247" t="str">
        <x:v>source_metadata_partial</x:v>
      </x:c>
      <x:c r="J8" s="247" t="str">
        <x:v>full_table_pending</x:v>
      </x:c>
      <x:c r="K8" s="46" t="str">
        <x:v>Fresh liquid white is a direct baseline, but process-generated powder markers cannot be promoted into fresh white without row-level state values.</x:v>
      </x:c>
    </x:row>
    <x:row r="9" ht="26.399999618530273" hidden="0" customHeight="1">
      <x:c r="A9" s="46" t="str">
        <x:v>SRC-EGG-COOKED-SPLIT-001</x:v>
      </x:c>
      <x:c r="B9" s="46" t="str">
        <x:v>whole/yolk/white chicken egg</x:v>
      </x:c>
      <x:c r="C9" s="46" t="str">
        <x:v>141 total; 87 heated whole, 75 yolk, 57 white</x:v>
      </x:c>
      <x:c r="D9" s="46" t="n">
        <x:v>0</x:v>
      </x:c>
      <x:c r="E9" s="46" t="str">
        <x:v>historical_breadth_only</x:v>
      </x:c>
      <x:c r="F9" s="46" t="str">
        <x:v>historical GC/GC-MS source</x:v>
      </x:c>
      <x:c r="G9" s="46" t="str">
        <x:v>not evaluated under MR-09</x:v>
      </x:c>
      <x:c r="H9" s="46" t="str">
        <x:v>same-study compartment comparison</x:v>
      </x:c>
      <x:c r="I9" s="247" t="str">
        <x:v>historical_pre_MR09</x:v>
      </x:c>
      <x:c r="J9" s="247" t="str">
        <x:v>row_table_not_ingested</x:v>
      </x:c>
      <x:c r="K9" s="46" t="str">
        <x:v>Heating protocol is 200°C sand bath for 1 h; useful for architecture, not modern culinary-state equivalence.</x:v>
      </x:c>
    </x:row>
    <x:row r="10" ht="26.399999618530273" hidden="0" customHeight="1">
      <x:c r="A10" s="46" t="str">
        <x:v>SRC-EGG-YOLK-WHITE-2026-001</x:v>
      </x:c>
      <x:c r="B10" s="46" t="str">
        <x:v>egg:yolk_chicken + egg:white_chicken</x:v>
      </x:c>
      <x:c r="C10" s="46" t="str">
        <x:v>cooked yolks and whites across chicken/duck/goose/quail; 37 differential yolk markers, 20 sensory-contributing</x:v>
      </x:c>
      <x:c r="D10" s="46" t="n">
        <x:v>0</x:v>
      </x:c>
      <x:c r="E10" s="46" t="str">
        <x:v>architecture_IDQA_source</x:v>
      </x:c>
      <x:c r="F10" s="46" t="str">
        <x:v>retention-index identification</x:v>
      </x:c>
      <x:c r="G10" s="46" t="str">
        <x:v>not exposed</x:v>
      </x:c>
      <x:c r="H10" s="46" t="str">
        <x:v>GC-Orbitrap HRMS + GC-O + mass spectra</x:v>
      </x:c>
      <x:c r="I10" s="247" t="str">
        <x:v>strong_architecture_IDQA</x:v>
      </x:c>
      <x:c r="J10" s="247" t="str">
        <x:v>full_table_pending</x:v>
      </x:c>
      <x:c r="K10" s="46" t="str">
        <x:v>Modern independent confirmation that yolk and white are chemically distinct and yolk-dominant.</x:v>
      </x:c>
    </x:row>
    <x:row r="11" ht="26.399999618530273" hidden="0" customHeight="1">
      <x:c r="A11" s="46" t="str">
        <x:v>SRC-EGG-SALTED-WHITE-001</x:v>
      </x:c>
      <x:c r="B11" s="46" t="str">
        <x:v>egg:white_duck_salted</x:v>
      </x:c>
      <x:c r="C11" s="46" t="str">
        <x:v>43 VOCs across salting; 20 characteristic compounds</x:v>
      </x:c>
      <x:c r="D11" s="46" t="n">
        <x:v>20</x:v>
      </x:c>
      <x:c r="E11" s="46" t="str">
        <x:v>characteristic_20_only</x:v>
      </x:c>
      <x:c r="F11" s="46" t="str">
        <x:v>GC-IMS</x:v>
      </x:c>
      <x:c r="G11" s="46" t="str">
        <x:v>not exposed</x:v>
      </x:c>
      <x:c r="H11" s="46" t="str">
        <x:v>PCA + OPLS-DA + sensory</x:v>
      </x:c>
      <x:c r="I11" s="247" t="str">
        <x:v>source_metadata_partial</x:v>
      </x:c>
      <x:c r="J11" s="247" t="str">
        <x:v>full_43_table_pending</x:v>
      </x:c>
      <x:c r="K11" s="46" t="str">
        <x:v>The 20 source-exposed characteristic compounds are governed in Egg State Evidence; they are not represented as the full detected table.</x:v>
      </x:c>
    </x:row>
    <x:row r="12" ht="15" hidden="0" customHeight="1">
      <x:c r="A12" s="46" t="str">
        <x:v>SRC-EGG-PRESERVED-YOLK-001</x:v>
      </x:c>
      <x:c r="B12" s="46" t="str">
        <x:v>egg:yolk_duck_preserved</x:v>
      </x:c>
      <x:c r="C12" s="46" t="str">
        <x:v>53 odor-active; 27 reproducible; 22 quantified; 19 OAV≥1</x:v>
      </x:c>
      <x:c r="D12" s="46" t="n">
        <x:v>0</x:v>
      </x:c>
      <x:c r="E12" s="46" t="str">
        <x:v>sensory_profile_only</x:v>
      </x:c>
      <x:c r="F12" s="46" t="str">
        <x:v>RI used</x:v>
      </x:c>
      <x:c r="G12" s="46" t="str">
        <x:v>not exposed</x:v>
      </x:c>
      <x:c r="H12" s="46" t="str">
        <x:v>odor + MS + reference compounds + AEDA + OAV</x:v>
      </x:c>
      <x:c r="I12" s="247" t="str">
        <x:v>strong_sensory_ID_layer</x:v>
      </x:c>
      <x:c r="J12" s="247" t="str">
        <x:v>not_full_detection_table</x:v>
      </x:c>
      <x:c r="K12" s="46" t="str">
        <x:v>Century/preserved-yolk product is independently governed; no inheritance to ordinary chicken yolk.</x:v>
      </x:c>
    </x:row>
    <x:row r="13" ht="26.399999618530273" hidden="0" customHeight="1">
      <x:c r="A13" s="46" t="str">
        <x:v>SRC-EGG-WHOLE-RAW-001</x:v>
      </x:c>
      <x:c r="B13" s="46" t="str">
        <x:v>egg:whole_chicken</x:v>
      </x:c>
      <x:c r="C13" s="46" t="str">
        <x:v>41 VOCs across poultry species; 15 reported in raw chicken whole egg</x:v>
      </x:c>
      <x:c r="D13" s="46" t="n">
        <x:v>0</x:v>
      </x:c>
      <x:c r="E13" s="46" t="str">
        <x:v>context_only</x:v>
      </x:c>
      <x:c r="F13" s="46" t="str">
        <x:v>not exposed</x:v>
      </x:c>
      <x:c r="G13" s="46" t="str">
        <x:v>not exposed</x:v>
      </x:c>
      <x:c r="H13" s="46" t="str">
        <x:v>SPME-GC-MS</x:v>
      </x:c>
      <x:c r="I13" s="247" t="str">
        <x:v>weak_MR09_accessible_reporting</x:v>
      </x:c>
      <x:c r="J13" s="247" t="str">
        <x:v>context_only</x:v>
      </x:c>
      <x:c r="K13" s="46" t="str">
        <x:v>Several unusual source labels make this unsuitable as the canonical raw whole-egg detection anchor without stronger identification metadata.</x:v>
      </x:c>
    </x:row>
  </x:sheetData>
  <x:pageMargins left="0.7" right="0.7" top="0.75" bottom="0.75" header="0.3" footer="0.3"/>
  <x:tableParts count="1">
    <x:tablePart xmlns:r="http://schemas.openxmlformats.org/officeDocument/2006/relationships" r:id="R7ab978e88f1846cf"/>
  </x:tableParts>
</x:worksheet>
</file>

<file path=xl/worksheets/sheet95.xml><?xml version="1.0" encoding="utf-8"?>
<x:worksheet xmlns:x="http://schemas.openxmlformats.org/spreadsheetml/2006/main">
  <x:sheetFormatPr defaultRowHeight="15"/>
  <x:cols>
    <x:col min="1" max="1" width="15" hidden="0" customWidth="1"/>
    <x:col min="2" max="2" width="28" hidden="0" customWidth="1"/>
    <x:col min="3" max="3" width="22" hidden="0" customWidth="1"/>
    <x:col min="4" max="4" width="24" hidden="0" customWidth="1"/>
    <x:col min="5" max="5" width="58" hidden="0" customWidth="1"/>
    <x:col min="6" max="6" width="84" hidden="0" customWidth="1"/>
    <x:col min="7" max="7" width="34" hidden="0" customWidth="1"/>
    <x:col min="8" max="8" width="34" hidden="0" customWidth="1"/>
    <x:col min="9" max="9" width="64" hidden="0" customWidth="1"/>
    <x:col min="10" max="10" width="72" hidden="0" customWidth="1"/>
  </x:cols>
  <x:sheetData>
    <x:row r="1" ht="15" hidden="0" customHeight="1">
      <x:c r="A1" s="245" t="str">
        <x:v>coverage_id</x:v>
      </x:c>
      <x:c r="B1" s="245" t="str">
        <x:v>product_id</x:v>
      </x:c>
      <x:c r="C1" s="245" t="str">
        <x:v>material_role</x:v>
      </x:c>
      <x:c r="D1" s="245" t="str">
        <x:v>state</x:v>
      </x:c>
      <x:c r="E1" s="245" t="str">
        <x:v>best_direct_sources</x:v>
      </x:c>
      <x:c r="F1" s="245" t="str">
        <x:v>direct_coverage</x:v>
      </x:c>
      <x:c r="G1" s="245" t="str">
        <x:v>mr10_status</x:v>
      </x:c>
      <x:c r="H1" s="245" t="str">
        <x:v>mr09_status</x:v>
      </x:c>
      <x:c r="I1" s="245" t="str">
        <x:v>culinary_use</x:v>
      </x:c>
      <x:c r="J1" s="245" t="str">
        <x:v>remaining_gap</x:v>
      </x:c>
    </x:row>
    <x:row r="2" ht="26.399999618530273" hidden="0" customHeight="1">
      <x:c r="A2" s="46" t="str">
        <x:v>EGC-001</x:v>
      </x:c>
      <x:c r="B2" s="46" t="str">
        <x:v>egg:whole_chicken</x:v>
      </x:c>
      <x:c r="C2" s="46" t="str">
        <x:v>whole_egg_composite</x:v>
      </x:c>
      <x:c r="D2" s="46" t="str">
        <x:v>raw</x:v>
      </x:c>
      <x:c r="E2" s="46" t="str">
        <x:v>SRC-EGG-WHOLE-RAW-001; SRC-EGG-SCRAMBLE-SPLIT-001</x:v>
      </x:c>
      <x:c r="F2" s="46" t="str">
        <x:v>Raw whole egg directly represented, but only 15 reported chicken VOCs in a cross-species source with weak accessible IDQA.</x:v>
      </x:c>
      <x:c r="G2" s="46" t="str">
        <x:v>thin_context</x:v>
      </x:c>
      <x:c r="H2" s="46" t="str">
        <x:v>partial</x:v>
      </x:c>
      <x:c r="I2" s="46" t="str">
        <x:v>raw whole-egg baseline for composite dishes</x:v>
      </x:c>
      <x:c r="J2" s="46" t="str">
        <x:v>A stronger MR-09-quality raw whole-egg full table would improve member completeness.</x:v>
      </x:c>
    </x:row>
    <x:row r="3" ht="15" hidden="0" customHeight="1">
      <x:c r="A3" s="46" t="str">
        <x:v>EGC-002</x:v>
      </x:c>
      <x:c r="B3" s="46" t="str">
        <x:v>egg:yolk_chicken</x:v>
      </x:c>
      <x:c r="C3" s="46" t="str">
        <x:v>yolk_carrier</x:v>
      </x:c>
      <x:c r="D3" s="46" t="str">
        <x:v>raw</x:v>
      </x:c>
      <x:c r="E3" s="46" t="str">
        <x:v>SRC-EGG-YOLK-RAW-001; SRC-EGG-YOLK-THERMAL-001</x:v>
      </x:c>
      <x:c r="F3" s="46" t="str">
        <x:v>Direct raw yolk and a raw/boiled/fried 68-VOC thermal design exist.</x:v>
      </x:c>
      <x:c r="G3" s="46" t="str">
        <x:v>full_table_pending</x:v>
      </x:c>
      <x:c r="H3" s="46" t="str">
        <x:v>partial</x:v>
      </x:c>
      <x:c r="I3" s="46" t="str">
        <x:v>emulsions, custards, aioli, fresh pasta, enrichment/fat carrier</x:v>
      </x:c>
      <x:c r="J3" s="46" t="str">
        <x:v>Plagemann full rows and/or Zhou Table S2 would deepen raw yolk.</x:v>
      </x:c>
    </x:row>
    <x:row r="4" ht="26.399999618530273" hidden="0" customHeight="1">
      <x:c r="A4" s="46" t="str">
        <x:v>EGC-003</x:v>
      </x:c>
      <x:c r="B4" s="46" t="str">
        <x:v>egg:white_chicken</x:v>
      </x:c>
      <x:c r="C4" s="46" t="str">
        <x:v>white_protein</x:v>
      </x:c>
      <x:c r="D4" s="46" t="str">
        <x:v>raw</x:v>
      </x:c>
      <x:c r="E4" s="46" t="str">
        <x:v>SRC-EGG-WHITE-COOK-001; SRC-EGG-WHITE-PROCESS-001</x:v>
      </x:c>
      <x:c r="F4" s="46" t="str">
        <x:v>~50 raw egg-white volatiles in a 0%-mushroom control study; separate 29-VOC process source begins from fresh liquid white.</x:v>
      </x:c>
      <x:c r="G4" s="46" t="str">
        <x:v>source_count_direct</x:v>
      </x:c>
      <x:c r="H4" s="46" t="str">
        <x:v>partial</x:v>
      </x:c>
      <x:c r="I4" s="46" t="str">
        <x:v>foams, binders, low-fat protein dishes</x:v>
      </x:c>
      <x:c r="J4" s="46" t="str">
        <x:v>Exact raw-white row table remains open.</x:v>
      </x:c>
    </x:row>
    <x:row r="5" ht="15" hidden="0" customHeight="1">
      <x:c r="A5" s="46" t="str">
        <x:v>EGC-004</x:v>
      </x:c>
      <x:c r="B5" s="46" t="str">
        <x:v>egg:yolk_chicken</x:v>
      </x:c>
      <x:c r="C5" s="46" t="str">
        <x:v>yolk_carrier</x:v>
      </x:c>
      <x:c r="D5" s="46" t="str">
        <x:v>boiled / hard-cooked</x:v>
      </x:c>
      <x:c r="E5" s="46" t="str">
        <x:v>SRC-EGG-YOLK-BOIL-001; SRC-EGG-YOLK-THERMAL-001</x:v>
      </x:c>
      <x:c r="F5" s="46" t="str">
        <x:v>123/123 full-table boiled-yolk VOCs with LRI and breed abundances; commercial egg has 90 nonzero detections.</x:v>
      </x:c>
      <x:c r="G5" s="46" t="str">
        <x:v>complete_full_table</x:v>
      </x:c>
      <x:c r="H5" s="46" t="str">
        <x:v>partial_no_match_factor</x:v>
      </x:c>
      <x:c r="I5" s="46" t="str">
        <x:v>hard-boiled egg, deviled egg, pureed/high-protein healthcare preparations</x:v>
      </x:c>
      <x:c r="J5" s="46" t="str">
        <x:v>No source-specific numeric spectral match factor; soft-boiled is not separately measured.</x:v>
      </x:c>
    </x:row>
    <x:row r="6" ht="15" hidden="0" customHeight="1">
      <x:c r="A6" s="46" t="str">
        <x:v>EGC-005</x:v>
      </x:c>
      <x:c r="B6" s="46" t="str">
        <x:v>egg:whole_chicken</x:v>
      </x:c>
      <x:c r="C6" s="46" t="str">
        <x:v>whole_egg_composite</x:v>
      </x:c>
      <x:c r="D6" s="46" t="str">
        <x:v>scrambled</x:v>
      </x:c>
      <x:c r="E6" s="46" t="str">
        <x:v>SRC-EGG-SCRAMBLE-SENS-001; SRC-EGG-SCRAMBLE-SPLIT-001</x:v>
      </x:c>
      <x:c r="F6" s="46" t="str">
        <x:v>22 quantitative sensory targets, 17 detected/quantified, including direct H2S and methanethiol.</x:v>
      </x:c>
      <x:c r="G6" s="46" t="str">
        <x:v>sensory_complete_not_full_detection</x:v>
      </x:c>
      <x:c r="H6" s="46" t="str">
        <x:v>strong_sensory</x:v>
      </x:c>
      <x:c r="I6" s="46" t="str">
        <x:v>scrambled egg and whole-egg cooked flavor</x:v>
      </x:c>
      <x:c r="J6" s="46" t="str">
        <x:v>A modern exhaustive detected table would add breadth, but sensory-critical layer is strong.</x:v>
      </x:c>
    </x:row>
    <x:row r="7" ht="26.399999618530273" hidden="0" customHeight="1">
      <x:c r="A7" s="46" t="str">
        <x:v>EGC-006</x:v>
      </x:c>
      <x:c r="B7" s="46" t="str">
        <x:v>egg:yolk_chicken</x:v>
      </x:c>
      <x:c r="C7" s="46" t="str">
        <x:v>yolk_carrier</x:v>
      </x:c>
      <x:c r="D7" s="46" t="str">
        <x:v>fried / high heat</x:v>
      </x:c>
      <x:c r="E7" s="46" t="str">
        <x:v>SRC-EGG-YOLK-THERMAL-001</x:v>
      </x:c>
      <x:c r="F7" s="46" t="str">
        <x:v>68-VOC raw/boiled/fried experiment; fried yolk shifts strongly toward pyrazines, aldehydes and Maillard-linked chemistry; 14 key compounds reported.</x:v>
      </x:c>
      <x:c r="G7" s="46" t="str">
        <x:v>full_68_supplement_pending</x:v>
      </x:c>
      <x:c r="H7" s="46" t="str">
        <x:v>partial_source_floor</x:v>
      </x:c>
      <x:c r="I7" s="46" t="str">
        <x:v>fried egg yolk, browned egg surfaces</x:v>
      </x:c>
      <x:c r="J7" s="46" t="str">
        <x:v>Table S2 row extraction remains open; no invented full-table completion.</x:v>
      </x:c>
    </x:row>
    <x:row r="8" ht="26.399999618530273" hidden="0" customHeight="1">
      <x:c r="A8" s="46" t="str">
        <x:v>EGC-007</x:v>
      </x:c>
      <x:c r="B8" s="46" t="str">
        <x:v>egg:white_chicken</x:v>
      </x:c>
      <x:c r="C8" s="46" t="str">
        <x:v>white_protein</x:v>
      </x:c>
      <x:c r="D8" s="46" t="str">
        <x:v>steamed / roasted</x:v>
      </x:c>
      <x:c r="E8" s="46" t="str">
        <x:v>SRC-EGG-WHITE-COOK-001</x:v>
      </x:c>
      <x:c r="F8" s="46" t="str">
        <x:v>Direct egg-white control study reports &gt;70 volatiles after steaming/roasting and higher alcohol/ketone/heterocycle/sulfur classes versus raw.</x:v>
      </x:c>
      <x:c r="G8" s="46" t="str">
        <x:v>source_count_direct</x:v>
      </x:c>
      <x:c r="H8" s="46" t="str">
        <x:v>partial</x:v>
      </x:c>
      <x:c r="I8" s="46" t="str">
        <x:v>cooked whites, egg-white entrées</x:v>
      </x:c>
      <x:c r="J8" s="46" t="str">
        <x:v>Full row table not accessible in current source surface.</x:v>
      </x:c>
    </x:row>
    <x:row r="9" ht="15" hidden="0" customHeight="1">
      <x:c r="A9" s="46" t="str">
        <x:v>EGC-008</x:v>
      </x:c>
      <x:c r="B9" s="46" t="str">
        <x:v>egg:yolk_duck_salted</x:v>
      </x:c>
      <x:c r="C9" s="46" t="str">
        <x:v>yolk_carrier</x:v>
      </x:c>
      <x:c r="D9" s="46" t="str">
        <x:v>salted / roasted-salted</x:v>
      </x:c>
      <x:c r="E9" s="46" t="str">
        <x:v>SRC-EGG-SALTED-YOLK-001</x:v>
      </x:c>
      <x:c r="F9" s="46" t="str">
        <x:v>45/45 full-table rows; 18 salted, 43 roasted-salted, 16 shared, with dual-column RI/standards/GC-O metadata.</x:v>
      </x:c>
      <x:c r="G9" s="46" t="str">
        <x:v>complete_full_table</x:v>
      </x:c>
      <x:c r="H9" s="46" t="str">
        <x:v>partial_no_match_factor</x:v>
      </x:c>
      <x:c r="I9" s="46" t="str">
        <x:v>salted yolk and high-impact preserved-egg applications</x:v>
      </x:c>
      <x:c r="J9" s="46" t="str">
        <x:v>No numeric library match factor.</x:v>
      </x:c>
    </x:row>
    <x:row r="10" ht="15" hidden="0" customHeight="1">
      <x:c r="A10" s="46" t="str">
        <x:v>EGC-009</x:v>
      </x:c>
      <x:c r="B10" s="46" t="str">
        <x:v>egg:yolk_duck_preserved</x:v>
      </x:c>
      <x:c r="C10" s="46" t="str">
        <x:v>yolk_carrier</x:v>
      </x:c>
      <x:c r="D10" s="46" t="str">
        <x:v>century / preserved</x:v>
      </x:c>
      <x:c r="E10" s="46" t="str">
        <x:v>SRC-EGG-PRESERVED-YOLK-001</x:v>
      </x:c>
      <x:c r="F10" s="46" t="str">
        <x:v>53 odor-active compounds; 19 OAV≥1 potent odorants.</x:v>
      </x:c>
      <x:c r="G10" s="46" t="str">
        <x:v>sensory_profile</x:v>
      </x:c>
      <x:c r="H10" s="46" t="str">
        <x:v>strong_sensory</x:v>
      </x:c>
      <x:c r="I10" s="46" t="str">
        <x:v>century egg</x:v>
      </x:c>
      <x:c r="J10" s="46" t="str">
        <x:v>Not an exhaustive detection table.</x:v>
      </x:c>
    </x:row>
    <x:row r="11" ht="15" hidden="0" customHeight="1">
      <x:c r="A11" s="46" t="str">
        <x:v>EGC-010</x:v>
      </x:c>
      <x:c r="B11" s="46" t="str">
        <x:v>egg:white_duck_salted</x:v>
      </x:c>
      <x:c r="C11" s="46" t="str">
        <x:v>white_protein</x:v>
      </x:c>
      <x:c r="D11" s="46" t="str">
        <x:v>salted</x:v>
      </x:c>
      <x:c r="E11" s="46" t="str">
        <x:v>SRC-EGG-SALTED-WHITE-001</x:v>
      </x:c>
      <x:c r="F11" s="46" t="str">
        <x:v>43-VOC salting time course; 20 characteristic compounds exposed and governed.</x:v>
      </x:c>
      <x:c r="G11" s="46" t="str">
        <x:v>characteristic_subset</x:v>
      </x:c>
      <x:c r="H11" s="46" t="str">
        <x:v>partial</x:v>
      </x:c>
      <x:c r="I11" s="46" t="str">
        <x:v>salted duck egg white</x:v>
      </x:c>
      <x:c r="J11" s="46" t="str">
        <x:v>Exact 43-row table remains open.</x:v>
      </x:c>
    </x:row>
  </x:sheetData>
  <x:pageMargins left="0.7" right="0.7" top="0.75" bottom="0.75" header="0.3" footer="0.3"/>
  <x:tableParts count="1">
    <x:tablePart xmlns:r="http://schemas.openxmlformats.org/officeDocument/2006/relationships" r:id="R8a693f4f416442d6"/>
  </x:tableParts>
</x:worksheet>
</file>

<file path=xl/worksheets/sheet96.xml><?xml version="1.0" encoding="utf-8"?>
<x:worksheet xmlns:x="http://schemas.openxmlformats.org/spreadsheetml/2006/main">
  <x:sheetFormatPr defaultRowHeight="15"/>
  <x:cols>
    <x:col min="1" max="1" width="36" hidden="0" customWidth="1"/>
    <x:col min="2" max="2" width="44" hidden="0" customWidth="1"/>
    <x:col min="3" max="3" width="58" hidden="0" customWidth="1"/>
    <x:col min="4" max="4" width="86" hidden="0" customWidth="1"/>
    <x:col min="5" max="5" width="78" hidden="0" customWidth="1"/>
    <x:col min="6" max="6" width="26" hidden="0" customWidth="1"/>
    <x:col min="7" max="7" width="78" hidden="0" customWidth="1"/>
  </x:cols>
  <x:sheetData>
    <x:row r="1" ht="15" hidden="0" customHeight="1">
      <x:c r="A1" s="128" t="str">
        <x:v>criterion</x:v>
      </x:c>
      <x:c r="B1" s="128" t="str">
        <x:v>status</x:v>
      </x:c>
      <x:c r="C1" s="128" t="str">
        <x:v>evidence_refs</x:v>
      </x:c>
      <x:c r="D1" s="128" t="str">
        <x:v>what_is_complete</x:v>
      </x:c>
      <x:c r="E1" s="128" t="str">
        <x:v>residual_gap</x:v>
      </x:c>
      <x:c r="F1" s="128" t="str">
        <x:v>blocks_current_egg_phase</x:v>
      </x:c>
      <x:c r="G1" s="128" t="str">
        <x:v>recommended_action</x:v>
      </x:c>
    </x:row>
    <x:row r="2" ht="39.599998474121094" hidden="0" customHeight="1">
      <x:c r="A2" s="46" t="str">
        <x:v>OVERALL — Egg foundation</x:v>
      </x:c>
      <x:c r="B2" s="119" t="str">
        <x:v>CORE_PRODUCTS_ESTABLISHED_FULL_TABLE_GAPS_VISIBLE</x:v>
      </x:c>
      <x:c r="C2" s="46" t="str">
        <x:v>Egg Product Coverage; Egg Product Architecture; Egg Identification QA</x:v>
      </x:c>
      <x:c r="D2" s="46" t="str">
        <x:v>Yolk, white and whole egg are separated from first ingestion. Boiled chicken yolk and salted/roasted duck yolk have full MR-10 tables; scrambled whole egg has a quantitative sensomics layer; raw/high-heat/white/preserved states have direct primary evidence.</x:v>
      </x:c>
      <x:c r="E2" s="46" t="str">
        <x:v>Three row-table gaps are re-mining existing held sources: raw/boiled/fried yolk Table S2, modern chicken-white row tables, and salted duck-white 43 rows. True new-collection gaps are a stronger raw whole-egg anchor and a distinct soft-boiled table. Scrambled whole egg is sensory_complete_not_full_detection; a full detected table is a high-value new-collection target.</x:v>
      </x:c>
      <x:c r="F2" s="46" t="str">
        <x:v>no</x:v>
      </x:c>
      <x:c r="G2" s="46" t="str">
        <x:v>Gate order: resolver/classifier + MR-17/MR-18 → clean regenerate → mapping/exclusion/duplicate counts → DF. Then re-mine the three held tables. For new collection, prioritize stronger raw whole egg and a full detected scrambled-egg table before more preserved-egg enrichment; soft-boiled remains product-need driven.</x:v>
      </x:c>
    </x:row>
    <x:row r="3" ht="15" hidden="0" customHeight="1">
      <x:c r="A3" s="46" t="str">
        <x:v>Yolk/white/whole product split</x:v>
      </x:c>
      <x:c r="B3" s="119" t="str">
        <x:v>met</x:v>
      </x:c>
      <x:c r="C3" s="46" t="str">
        <x:v>PAT-EGG-001 through PAT-EGG-003; SRC-EGG-YOLK-WHITE-2026-001</x:v>
      </x:c>
      <x:c r="D3" s="46" t="str">
        <x:v>MR-13 is applied from first row: yolk carrier, white protein, whole composite are distinct products/materials.</x:v>
      </x:c>
      <x:c r="E3" s="46" t="str">
        <x:v>None architecturally.</x:v>
      </x:c>
      <x:c r="F3" s="46" t="str">
        <x:v>no</x:v>
      </x:c>
      <x:c r="G3" s="46" t="str">
        <x:v>Never create a measured whole-egg profile by unioning yolk and white rows.</x:v>
      </x:c>
    </x:row>
    <x:row r="4" ht="26.399999618530273" hidden="0" customHeight="1">
      <x:c r="A4" s="46" t="str">
        <x:v>Boiled yolk MR-10</x:v>
      </x:c>
      <x:c r="B4" s="119" t="str">
        <x:v>met</x:v>
      </x:c>
      <x:c r="C4" s="46" t="str">
        <x:v>Detected Egg Boiled Yolk; SRC-EGG-YOLK-BOIL-001</x:v>
      </x:c>
      <x:c r="D4" s="46" t="str">
        <x:v>123/123 Supplementary Table S1 rows with LRI and four breed-group abundance values; commercial egg control retained.</x:v>
      </x:c>
      <x:c r="E4" s="46" t="str">
        <x:v>No published numeric match factors, so strict MR-09 remains partial.</x:v>
      </x:c>
      <x:c r="F4" s="46" t="str">
        <x:v>no</x:v>
      </x:c>
      <x:c r="G4" s="46" t="str">
        <x:v>Use as canonical hard-boiled yolk detected-table anchor.</x:v>
      </x:c>
    </x:row>
    <x:row r="5" ht="15" hidden="0" customHeight="1">
      <x:c r="A5" s="46" t="str">
        <x:v>Scrambled whole egg</x:v>
      </x:c>
      <x:c r="B5" s="119" t="str">
        <x:v>met_for_sensory_layer</x:v>
      </x:c>
      <x:c r="C5" s="46" t="str">
        <x:v>Egg Scrambled Sensomics; SRC-EGG-SCRAMBLE-SENS-001</x:v>
      </x:c>
      <x:c r="D5" s="46" t="str">
        <x:v>Direct quantitative sulfur/Maillard/lipid-oxidation odorants with DoT and recombination/omission context.</x:v>
      </x:c>
      <x:c r="E5" s="46" t="str">
        <x:v>sensory_complete_not_full_detection: direct sensory importance is strong, but an exhaustive detected-VOC table is not governed.</x:v>
      </x:c>
      <x:c r="F5" s="46" t="str">
        <x:v>no</x:v>
      </x:c>
      <x:c r="G5" s="46" t="str">
        <x:v>After the clean regenerate, a full detected scrambled whole-egg table is a high-value targeted collection candidate.</x:v>
      </x:c>
    </x:row>
    <x:row r="6" ht="15" hidden="0" customHeight="1">
      <x:c r="A6" s="46" t="str">
        <x:v>Fried yolk</x:v>
      </x:c>
      <x:c r="B6" s="130" t="str">
        <x:v>direct_source_full_table_pending</x:v>
      </x:c>
      <x:c r="C6" s="46" t="str">
        <x:v>SRC-EGG-YOLK-THERMAL-001; Egg State Evidence</x:v>
      </x:c>
      <x:c r="D6" s="46" t="str">
        <x:v>Direct 68-VOC raw/boiled/fried yolk study and 14-compound fried-yolk key set establish the transformation. The supplement explicitly contains per-row match/reverse-match scores.</x:v>
      </x:c>
      <x:c r="E6" s="46" t="str">
        <x:v>Table S2 exists but is not retrievable in the current runtime. Because its source-wide screening floor is &gt;700/1000, per-row scores are needed before MR-09 evaluation.</x:v>
      </x:c>
      <x:c r="F6" s="46" t="str">
        <x:v>no</x:v>
      </x:c>
      <x:c r="G6" s="46" t="str">
        <x:v>Re-mine the existing Table S2 after the regenerate when directly accessible; this is source-table completion, not a new literature search.</x:v>
      </x:c>
    </x:row>
    <x:row r="7" ht="26.399999618530273" hidden="0" customHeight="1">
      <x:c r="A7" s="46" t="str">
        <x:v>Egg white</x:v>
      </x:c>
      <x:c r="B7" s="130" t="str">
        <x:v>direct_state_sources_rows_pending</x:v>
      </x:c>
      <x:c r="C7" s="46" t="str">
        <x:v>SRC-EGG-WHITE-COOK-001; SRC-EGG-WHITE-PROCESS-001; SRC-EGG-YOLK-WHITE-2026-001</x:v>
      </x:c>
      <x:c r="D7" s="46" t="str">
        <x:v>Raw and cooked white are directly evidenced and chemically distinct from yolk; modern sources report ~50 raw and &gt;70 cooked white volatiles plus a 29-VOC fresh-white processing sequence.</x:v>
      </x:c>
      <x:c r="E7" s="46" t="str">
        <x:v>No complete modern chicken-white row table is exposed in the currently accessible source surfaces.</x:v>
      </x:c>
      <x:c r="F7" s="46" t="str">
        <x:v>no</x:v>
      </x:c>
      <x:c r="G7" s="46" t="str">
        <x:v>Re-mine held chicken-white source tables after the regenerate if accessible; do not treat this as new collection.</x:v>
      </x:c>
    </x:row>
    <x:row r="8" ht="26.399999618530273" hidden="0" customHeight="1">
      <x:c r="A8" s="46" t="str">
        <x:v>Preserved/cured egg</x:v>
      </x:c>
      <x:c r="B8" s="119" t="str">
        <x:v>met_for_yolk_partial_for_white</x:v>
      </x:c>
      <x:c r="C8" s="46" t="str">
        <x:v>Detected Egg Salted Yolk; SRC-EGG-PRESERVED-YOLK-001; SRC-EGG-SALTED-WHITE-001</x:v>
      </x:c>
      <x:c r="D8" s="46" t="str">
        <x:v>Salted/roasted yolk full 45-row table plus century-yolk sensory profile and salted-white state evidence.</x:v>
      </x:c>
      <x:c r="E8" s="46" t="str">
        <x:v>Salted-white 43-row table and century-yolk exhaustive detection are not fully ingested.</x:v>
      </x:c>
      <x:c r="F8" s="46" t="str">
        <x:v>no</x:v>
      </x:c>
      <x:c r="G8" s="46" t="str">
        <x:v>Re-mine the held salted-white 43-row source table after the regenerate if useful; lower priority than ordinary whole/scrambled egg.</x:v>
      </x:c>
    </x:row>
    <x:row r="9" ht="26.399999618530273" hidden="0" customHeight="1">
      <x:c r="A9" s="46" t="str">
        <x:v>Soft-boiled egg</x:v>
      </x:c>
      <x:c r="B9" s="130" t="str">
        <x:v>source_gap</x:v>
      </x:c>
      <x:c r="C9" s="46" t="str">
        <x:v>No qualifying distinct compound-resolved soft-boiled source located in current pass</x:v>
      </x:c>
      <x:c r="D9" s="46" t="str">
        <x:v>No profile fabricated.</x:v>
      </x:c>
      <x:c r="E9" s="46" t="str">
        <x:v>Soft versus hard doneness remains a culinary state without direct compound table.</x:v>
      </x:c>
      <x:c r="F9" s="46" t="str">
        <x:v>no</x:v>
      </x:c>
      <x:c r="G9" s="46" t="str">
        <x:v>Use query-time doneness/state logic without claiming a measured soft-boiled chemical profile until evidence exists.</x:v>
      </x:c>
    </x:row>
    <x:row r="10" ht="26.399999618530273" hidden="0" customHeight="1">
      <x:c r="A10" s="46" t="str">
        <x:v>Sulfur-context governance</x:v>
      </x:c>
      <x:c r="B10" s="119" t="str">
        <x:v>met</x:v>
      </x:c>
      <x:c r="C10" s="46" t="str">
        <x:v>PAT-EGG-004; Egg Scrambled Sensomics; Detected Egg Boiled Yolk</x:v>
      </x:c>
      <x:c r="D10" s="46" t="str">
        <x:v>H2S/methanethiol are retained as direct culinary cooked-egg odorants; TMA/H2S in boiled-yolk sources retain quality/off-odor caution where the source assigns it.</x:v>
      </x:c>
      <x:c r="E10" s="46" t="str">
        <x:v>Compound desirability remains state/context-dependent.</x:v>
      </x:c>
      <x:c r="F10" s="46" t="str">
        <x:v>no</x:v>
      </x:c>
      <x:c r="G10" s="46" t="str">
        <x:v>Do not use a fixed sulfur blacklist; apply MR-14 by evidence context.</x:v>
      </x:c>
    </x:row>
  </x:sheetData>
  <x:pageMargins left="0.7" right="0.7" top="0.75" bottom="0.75" header="0.3" footer="0.3"/>
  <x:tableParts count="1">
    <x:tablePart xmlns:r="http://schemas.openxmlformats.org/officeDocument/2006/relationships" r:id="Rbebf1246575e458d"/>
  </x:tableParts>
</x:worksheet>
</file>

<file path=xl/worksheets/sheet97.xml><?xml version="1.0" encoding="utf-8"?>
<x:worksheet xmlns:x="http://schemas.openxmlformats.org/spreadsheetml/2006/main">
  <x:sheetFormatPr defaultRowHeight="15"/>
  <x:cols>
    <x:col min="1" max="1" width="15" hidden="0" customWidth="1"/>
    <x:col min="2" max="2" width="27" hidden="0" customWidth="1"/>
    <x:col min="3" max="3" width="22" hidden="0" customWidth="1"/>
    <x:col min="4" max="4" width="28" hidden="0" customWidth="1"/>
    <x:col min="5" max="5" width="38" hidden="0" customWidth="1"/>
    <x:col min="6" max="6" width="29" hidden="0" customWidth="1"/>
    <x:col min="7" max="7" width="18" hidden="0" customWidth="1"/>
    <x:col min="8" max="8" width="12" hidden="0" customWidth="1"/>
    <x:col min="9" max="9" width="40" hidden="0" customWidth="1"/>
    <x:col min="10" max="10" width="15" hidden="0" customWidth="1"/>
    <x:col min="11" max="11" width="18" hidden="0" customWidth="1"/>
    <x:col min="12" max="12" width="16" hidden="0" customWidth="1"/>
    <x:col min="13" max="13" width="14" hidden="0" customWidth="1"/>
    <x:col min="14" max="14" width="13" hidden="0" customWidth="1"/>
    <x:col min="15" max="15" width="13" hidden="0" customWidth="1"/>
    <x:col min="16" max="16" width="13" hidden="0" customWidth="1"/>
    <x:col min="17" max="17" width="13" hidden="0" customWidth="1"/>
    <x:col min="18" max="18" width="22" hidden="0" customWidth="1"/>
    <x:col min="19" max="19" width="54" hidden="0" customWidth="1"/>
    <x:col min="20" max="20" width="20" hidden="0" customWidth="1"/>
    <x:col min="21" max="21" width="38" hidden="0" customWidth="1"/>
    <x:col min="22" max="22" width="38" hidden="0" customWidth="1"/>
    <x:col min="23" max="23" width="76" hidden="0" customWidth="1"/>
  </x:cols>
  <x:sheetData>
    <x:row r="1" ht="15" hidden="0" customHeight="1">
      <x:c r="A1" s="260" t="str">
        <x:v>record_id</x:v>
      </x:c>
      <x:c r="B1" s="260" t="str">
        <x:v>product_id</x:v>
      </x:c>
      <x:c r="C1" s="260" t="str">
        <x:v>family_id</x:v>
      </x:c>
      <x:c r="D1" s="260" t="str">
        <x:v>material</x:v>
      </x:c>
      <x:c r="E1" s="260" t="str">
        <x:v>state_scope</x:v>
      </x:c>
      <x:c r="F1" s="260" t="str">
        <x:v>source_id</x:v>
      </x:c>
      <x:c r="G1" s="260" t="str">
        <x:v>source_category</x:v>
      </x:c>
      <x:c r="H1" s="260" t="str">
        <x:v>source_code</x:v>
      </x:c>
      <x:c r="I1" s="260" t="str">
        <x:v>compound_name</x:v>
      </x:c>
      <x:c r="J1" s="260" t="str">
        <x:v>cas</x:v>
      </x:c>
      <x:c r="K1" s="260" t="str">
        <x:v>retention_time_s</x:v>
      </x:c>
      <x:c r="L1" s="260" t="str">
        <x:v>retention_index</x:v>
      </x:c>
      <x:c r="M1" s="260" t="str">
        <x:v>drift_time</x:v>
      </x:c>
      <x:c r="N1" s="260" t="str">
        <x:v>HW_mean</x:v>
      </x:c>
      <x:c r="O1" s="260" t="str">
        <x:v>NHW_mean</x:v>
      </x:c>
      <x:c r="P1" s="260" t="str">
        <x:v>HB_mean</x:v>
      </x:c>
      <x:c r="Q1" s="260" t="str">
        <x:v>NHB_mean</x:v>
      </x:c>
      <x:c r="R1" s="260" t="str">
        <x:v>metric</x:v>
      </x:c>
      <x:c r="S1" s="260" t="str">
        <x:v>identification_method</x:v>
      </x:c>
      <x:c r="T1" s="260" t="str">
        <x:v>numeric_match_factor</x:v>
      </x:c>
      <x:c r="U1" s="260" t="str">
        <x:v>mr09_status</x:v>
      </x:c>
      <x:c r="V1" s="260" t="str">
        <x:v>overlay_context</x:v>
      </x:c>
      <x:c r="W1" s="260" t="str">
        <x:v>notes</x:v>
      </x:c>
    </x:row>
    <x:row r="2" ht="26.399999618530273" hidden="0" customHeight="1">
      <x:c r="A2" s="46" t="str">
        <x:v>DCRAY-001</x:v>
      </x:c>
      <x:c r="B2" s="46" t="str">
        <x:v>crustacean:crayfish_tail</x:v>
      </x:c>
      <x:c r="C2" s="46" t="str">
        <x:v>family:crustacean</x:v>
      </x:c>
      <x:c r="D2" s="46" t="str">
        <x:v>Procambarus clarkii tail meat</x:v>
      </x:c>
      <x:c r="E2" s="46" t="str">
        <x:v>cooked in water/beer, with/without hepatopancreas</x:v>
      </x:c>
      <x:c r="F2" s="46" t="str">
        <x:v>SRC-CRAYFISH-TAIL-001</x:v>
      </x:c>
      <x:c r="G2" s="46" t="str">
        <x:v>Esters</x:v>
      </x:c>
      <x:c r="H2" s="46" t="str">
        <x:v>A1</x:v>
      </x:c>
      <x:c r="I2" s="46" t="str">
        <x:v>ethyl 3-methylthiopropanoate</x:v>
      </x:c>
      <x:c r="J2" s="46" t="str">
        <x:v>13327-56-5</x:v>
      </x:c>
      <x:c r="K2" s="46" t="n">
        <x:v>1649.581</x:v>
      </x:c>
      <x:c r="L2" s="46" t="n">
        <x:v>1505.5</x:v>
      </x:c>
      <x:c r="M2" s="46" t="n">
        <x:v>1.19854</x:v>
      </x:c>
      <x:c r="N2" s="46" t="n">
        <x:v>6.05</x:v>
      </x:c>
      <x:c r="O2" s="46" t="n">
        <x:v>4.68</x:v>
      </x:c>
      <x:c r="P2" s="46" t="n">
        <x:v>4.81</x:v>
      </x:c>
      <x:c r="Q2" s="46" t="n">
        <x:v>3.6</x:v>
      </x:c>
      <x:c r="R2" s="46" t="str">
        <x:v>relative content (%)</x:v>
      </x:c>
      <x:c r="S2" s="46" t="str">
        <x:v>GC-IMS; source reports CAS + RI + RT + drift time; M/D analytical features preserved</x:v>
      </x:c>
      <x:c r="T2" s="46"/>
      <x:c r="U2" s="46" t="str">
        <x:v>strong_retention_metadata_no_numeric_match_factor</x:v>
      </x:c>
      <x:c r="V2" s="46" t="str">
        <x:v>HW/HB include hepatopancreas; HB/NHB include beer</x:v>
      </x:c>
      <x:c r="W2" s="46" t="str">
        <x:v>HW=with hepatopancreas/water; NHW=no hepatopancreas/water; HB=with hepatopancreas/beer; NHB=no hepatopancreas/beer. Beer and hepatopancreas remain overlays, not intrinsic tail chemistry.</x:v>
      </x:c>
    </x:row>
    <x:row r="3" ht="26.399999618530273" hidden="0" customHeight="1">
      <x:c r="A3" s="46" t="str">
        <x:v>DCRAY-002</x:v>
      </x:c>
      <x:c r="B3" s="46" t="str">
        <x:v>crustacean:crayfish_tail</x:v>
      </x:c>
      <x:c r="C3" s="46" t="str">
        <x:v>family:crustacean</x:v>
      </x:c>
      <x:c r="D3" s="46" t="str">
        <x:v>Procambarus clarkii tail meat</x:v>
      </x:c>
      <x:c r="E3" s="46" t="str">
        <x:v>cooked in water/beer, with/without hepatopancreas</x:v>
      </x:c>
      <x:c r="F3" s="46" t="str">
        <x:v>SRC-CRAYFISH-TAIL-001</x:v>
      </x:c>
      <x:c r="G3" s="46" t="str">
        <x:v>Esters</x:v>
      </x:c>
      <x:c r="H3" s="46" t="str">
        <x:v>A2</x:v>
      </x:c>
      <x:c r="I3" s="46" t="str">
        <x:v>Ethyl 3-hydroxybutyrate</x:v>
      </x:c>
      <x:c r="J3" s="46" t="str">
        <x:v>5405-41-4</x:v>
      </x:c>
      <x:c r="K3" s="46" t="n">
        <x:v>1635.057</x:v>
      </x:c>
      <x:c r="L3" s="46" t="n">
        <x:v>1500.7</x:v>
      </x:c>
      <x:c r="M3" s="46" t="n">
        <x:v>1.64048</x:v>
      </x:c>
      <x:c r="N3" s="46" t="n">
        <x:v>0.5</x:v>
      </x:c>
      <x:c r="O3" s="46" t="n">
        <x:v>0.36</x:v>
      </x:c>
      <x:c r="P3" s="46" t="n">
        <x:v>0.44</x:v>
      </x:c>
      <x:c r="Q3" s="46" t="n">
        <x:v>0.28</x:v>
      </x:c>
      <x:c r="R3" s="46" t="str">
        <x:v>relative content (%)</x:v>
      </x:c>
      <x:c r="S3" s="46" t="str">
        <x:v>GC-IMS; source reports CAS + RI + RT + drift time; M/D analytical features preserved</x:v>
      </x:c>
      <x:c r="T3" s="46"/>
      <x:c r="U3" s="46" t="str">
        <x:v>strong_retention_metadata_no_numeric_match_factor</x:v>
      </x:c>
      <x:c r="V3" s="46" t="str">
        <x:v>HW/HB include hepatopancreas; HB/NHB include beer</x:v>
      </x:c>
      <x:c r="W3" s="46" t="str">
        <x:v>HW=with hepatopancreas/water; NHW=no hepatopancreas/water; HB=with hepatopancreas/beer; NHB=no hepatopancreas/beer. Beer and hepatopancreas remain overlays, not intrinsic tail chemistry.</x:v>
      </x:c>
    </x:row>
    <x:row r="4" ht="26.399999618530273" hidden="0" customHeight="1">
      <x:c r="A4" s="46" t="str">
        <x:v>DCRAY-003</x:v>
      </x:c>
      <x:c r="B4" s="46" t="str">
        <x:v>crustacean:crayfish_tail</x:v>
      </x:c>
      <x:c r="C4" s="46" t="str">
        <x:v>family:crustacean</x:v>
      </x:c>
      <x:c r="D4" s="46" t="str">
        <x:v>Procambarus clarkii tail meat</x:v>
      </x:c>
      <x:c r="E4" s="46" t="str">
        <x:v>cooked in water/beer, with/without hepatopancreas</x:v>
      </x:c>
      <x:c r="F4" s="46" t="str">
        <x:v>SRC-CRAYFISH-TAIL-001</x:v>
      </x:c>
      <x:c r="G4" s="46" t="str">
        <x:v>Esters</x:v>
      </x:c>
      <x:c r="H4" s="46" t="str">
        <x:v>A3</x:v>
      </x:c>
      <x:c r="I4" s="46" t="str">
        <x:v>Acetic acid hexyl ester</x:v>
      </x:c>
      <x:c r="J4" s="46" t="str">
        <x:v>142-92-7</x:v>
      </x:c>
      <x:c r="K4" s="46" t="n">
        <x:v>1011.239</x:v>
      </x:c>
      <x:c r="L4" s="46" t="n">
        <x:v>1292.8</x:v>
      </x:c>
      <x:c r="M4" s="46" t="n">
        <x:v>1.41009</x:v>
      </x:c>
      <x:c r="N4" s="46" t="n">
        <x:v>0.96</x:v>
      </x:c>
      <x:c r="O4" s="46" t="n">
        <x:v>1.18</x:v>
      </x:c>
      <x:c r="P4" s="46" t="n">
        <x:v>0.8</x:v>
      </x:c>
      <x:c r="Q4" s="46" t="n">
        <x:v>0.67</x:v>
      </x:c>
      <x:c r="R4" s="46" t="str">
        <x:v>relative content (%)</x:v>
      </x:c>
      <x:c r="S4" s="46" t="str">
        <x:v>GC-IMS; source reports CAS + RI + RT + drift time; M/D analytical features preserved</x:v>
      </x:c>
      <x:c r="T4" s="46"/>
      <x:c r="U4" s="46" t="str">
        <x:v>strong_retention_metadata_no_numeric_match_factor</x:v>
      </x:c>
      <x:c r="V4" s="46" t="str">
        <x:v>HW/HB include hepatopancreas; HB/NHB include beer</x:v>
      </x:c>
      <x:c r="W4" s="46" t="str">
        <x:v>HW=with hepatopancreas/water; NHW=no hepatopancreas/water; HB=with hepatopancreas/beer; NHB=no hepatopancreas/beer. Beer and hepatopancreas remain overlays, not intrinsic tail chemistry.</x:v>
      </x:c>
    </x:row>
    <x:row r="5" ht="26.399999618530273" hidden="0" customHeight="1">
      <x:c r="A5" s="46" t="str">
        <x:v>DCRAY-004</x:v>
      </x:c>
      <x:c r="B5" s="46" t="str">
        <x:v>crustacean:crayfish_tail</x:v>
      </x:c>
      <x:c r="C5" s="46" t="str">
        <x:v>family:crustacean</x:v>
      </x:c>
      <x:c r="D5" s="46" t="str">
        <x:v>Procambarus clarkii tail meat</x:v>
      </x:c>
      <x:c r="E5" s="46" t="str">
        <x:v>cooked in water/beer, with/without hepatopancreas</x:v>
      </x:c>
      <x:c r="F5" s="46" t="str">
        <x:v>SRC-CRAYFISH-TAIL-001</x:v>
      </x:c>
      <x:c r="G5" s="46" t="str">
        <x:v>Esters</x:v>
      </x:c>
      <x:c r="H5" s="46" t="str">
        <x:v>A4</x:v>
      </x:c>
      <x:c r="I5" s="46" t="str">
        <x:v>Isobutyl 3-methylbutyrate</x:v>
      </x:c>
      <x:c r="J5" s="46" t="str">
        <x:v>589-59-3</x:v>
      </x:c>
      <x:c r="K5" s="46" t="n">
        <x:v>717.041</x:v>
      </x:c>
      <x:c r="L5" s="46" t="n">
        <x:v>1202.4</x:v>
      </x:c>
      <x:c r="M5" s="46" t="n">
        <x:v>1.38661</x:v>
      </x:c>
      <x:c r="N5" s="46" t="n">
        <x:v>0.22</x:v>
      </x:c>
      <x:c r="O5" s="46" t="n">
        <x:v>0.21</x:v>
      </x:c>
      <x:c r="P5" s="46" t="n">
        <x:v>0.53</x:v>
      </x:c>
      <x:c r="Q5" s="46" t="n">
        <x:v>0.51</x:v>
      </x:c>
      <x:c r="R5" s="46" t="str">
        <x:v>relative content (%)</x:v>
      </x:c>
      <x:c r="S5" s="46" t="str">
        <x:v>GC-IMS; source reports CAS + RI + RT + drift time; M/D analytical features preserved</x:v>
      </x:c>
      <x:c r="T5" s="46"/>
      <x:c r="U5" s="46" t="str">
        <x:v>strong_retention_metadata_no_numeric_match_factor</x:v>
      </x:c>
      <x:c r="V5" s="46" t="str">
        <x:v>HW/HB include hepatopancreas; HB/NHB include beer</x:v>
      </x:c>
      <x:c r="W5" s="46" t="str">
        <x:v>HW=with hepatopancreas/water; NHW=no hepatopancreas/water; HB=with hepatopancreas/beer; NHB=no hepatopancreas/beer. Beer and hepatopancreas remain overlays, not intrinsic tail chemistry.</x:v>
      </x:c>
    </x:row>
    <x:row r="6" ht="26.399999618530273" hidden="0" customHeight="1">
      <x:c r="A6" s="46" t="str">
        <x:v>DCRAY-005</x:v>
      </x:c>
      <x:c r="B6" s="46" t="str">
        <x:v>crustacean:crayfish_tail</x:v>
      </x:c>
      <x:c r="C6" s="46" t="str">
        <x:v>family:crustacean</x:v>
      </x:c>
      <x:c r="D6" s="46" t="str">
        <x:v>Procambarus clarkii tail meat</x:v>
      </x:c>
      <x:c r="E6" s="46" t="str">
        <x:v>cooked in water/beer, with/without hepatopancreas</x:v>
      </x:c>
      <x:c r="F6" s="46" t="str">
        <x:v>SRC-CRAYFISH-TAIL-001</x:v>
      </x:c>
      <x:c r="G6" s="46" t="str">
        <x:v>Esters</x:v>
      </x:c>
      <x:c r="H6" s="46" t="str">
        <x:v>A5</x:v>
      </x:c>
      <x:c r="I6" s="46" t="str">
        <x:v>3-methylbutyl propanoate</x:v>
      </x:c>
      <x:c r="J6" s="46" t="str">
        <x:v>105-68-0</x:v>
      </x:c>
      <x:c r="K6" s="46" t="n">
        <x:v>667.19</x:v>
      </x:c>
      <x:c r="L6" s="46" t="n">
        <x:v>1185</x:v>
      </x:c>
      <x:c r="M6" s="46" t="n">
        <x:v>1.34532</x:v>
      </x:c>
      <x:c r="N6" s="46" t="n">
        <x:v>1.17</x:v>
      </x:c>
      <x:c r="O6" s="46" t="n">
        <x:v>1.36</x:v>
      </x:c>
      <x:c r="P6" s="46" t="n">
        <x:v>0.76</x:v>
      </x:c>
      <x:c r="Q6" s="46" t="n">
        <x:v>0.61</x:v>
      </x:c>
      <x:c r="R6" s="46" t="str">
        <x:v>relative content (%)</x:v>
      </x:c>
      <x:c r="S6" s="46" t="str">
        <x:v>GC-IMS; source reports CAS + RI + RT + drift time; M/D analytical features preserved</x:v>
      </x:c>
      <x:c r="T6" s="46"/>
      <x:c r="U6" s="46" t="str">
        <x:v>strong_retention_metadata_no_numeric_match_factor</x:v>
      </x:c>
      <x:c r="V6" s="46" t="str">
        <x:v>HW/HB include hepatopancreas; HB/NHB include beer</x:v>
      </x:c>
      <x:c r="W6" s="46" t="str">
        <x:v>HW=with hepatopancreas/water; NHW=no hepatopancreas/water; HB=with hepatopancreas/beer; NHB=no hepatopancreas/beer. Beer and hepatopancreas remain overlays, not intrinsic tail chemistry.</x:v>
      </x:c>
    </x:row>
    <x:row r="7" ht="26.399999618530273" hidden="0" customHeight="1">
      <x:c r="A7" s="46" t="str">
        <x:v>DCRAY-006</x:v>
      </x:c>
      <x:c r="B7" s="46" t="str">
        <x:v>crustacean:crayfish_tail</x:v>
      </x:c>
      <x:c r="C7" s="46" t="str">
        <x:v>family:crustacean</x:v>
      </x:c>
      <x:c r="D7" s="46" t="str">
        <x:v>Procambarus clarkii tail meat</x:v>
      </x:c>
      <x:c r="E7" s="46" t="str">
        <x:v>cooked in water/beer, with/without hepatopancreas</x:v>
      </x:c>
      <x:c r="F7" s="46" t="str">
        <x:v>SRC-CRAYFISH-TAIL-001</x:v>
      </x:c>
      <x:c r="G7" s="46" t="str">
        <x:v>Esters</x:v>
      </x:c>
      <x:c r="H7" s="46" t="str">
        <x:v>A6</x:v>
      </x:c>
      <x:c r="I7" s="46" t="str">
        <x:v>Butanoic acid propyl ester</x:v>
      </x:c>
      <x:c r="J7" s="46" t="str">
        <x:v>105-66-8</x:v>
      </x:c>
      <x:c r="K7" s="46" t="n">
        <x:v>564.572</x:v>
      </x:c>
      <x:c r="L7" s="46" t="n">
        <x:v>1140</x:v>
      </x:c>
      <x:c r="M7" s="46" t="n">
        <x:v>1.26221</x:v>
      </x:c>
      <x:c r="N7" s="46" t="n">
        <x:v>0.08</x:v>
      </x:c>
      <x:c r="O7" s="46" t="n">
        <x:v>0.13</x:v>
      </x:c>
      <x:c r="P7" s="46" t="n">
        <x:v>0.12</x:v>
      </x:c>
      <x:c r="Q7" s="46" t="n">
        <x:v>0.66</x:v>
      </x:c>
      <x:c r="R7" s="46" t="str">
        <x:v>relative content (%)</x:v>
      </x:c>
      <x:c r="S7" s="46" t="str">
        <x:v>GC-IMS; source reports CAS + RI + RT + drift time; M/D analytical features preserved</x:v>
      </x:c>
      <x:c r="T7" s="46"/>
      <x:c r="U7" s="46" t="str">
        <x:v>strong_retention_metadata_no_numeric_match_factor</x:v>
      </x:c>
      <x:c r="V7" s="46" t="str">
        <x:v>HW/HB include hepatopancreas; HB/NHB include beer</x:v>
      </x:c>
      <x:c r="W7" s="46" t="str">
        <x:v>HW=with hepatopancreas/water; NHW=no hepatopancreas/water; HB=with hepatopancreas/beer; NHB=no hepatopancreas/beer. Beer and hepatopancreas remain overlays, not intrinsic tail chemistry.</x:v>
      </x:c>
    </x:row>
    <x:row r="8" ht="26.399999618530273" hidden="0" customHeight="1">
      <x:c r="A8" s="46" t="str">
        <x:v>DCRAY-007</x:v>
      </x:c>
      <x:c r="B8" s="46" t="str">
        <x:v>crustacean:crayfish_tail</x:v>
      </x:c>
      <x:c r="C8" s="46" t="str">
        <x:v>family:crustacean</x:v>
      </x:c>
      <x:c r="D8" s="46" t="str">
        <x:v>Procambarus clarkii tail meat</x:v>
      </x:c>
      <x:c r="E8" s="46" t="str">
        <x:v>cooked in water/beer, with/without hepatopancreas</x:v>
      </x:c>
      <x:c r="F8" s="46" t="str">
        <x:v>SRC-CRAYFISH-TAIL-001</x:v>
      </x:c>
      <x:c r="G8" s="46" t="str">
        <x:v>Esters</x:v>
      </x:c>
      <x:c r="H8" s="46" t="str">
        <x:v>A7</x:v>
      </x:c>
      <x:c r="I8" s="46" t="str">
        <x:v>Butyl propanoate</x:v>
      </x:c>
      <x:c r="J8" s="46" t="str">
        <x:v>590-01-2</x:v>
      </x:c>
      <x:c r="K8" s="46" t="n">
        <x:v>545.912</x:v>
      </x:c>
      <x:c r="L8" s="46" t="n">
        <x:v>1131.8</x:v>
      </x:c>
      <x:c r="M8" s="46" t="n">
        <x:v>1.29552</x:v>
      </x:c>
      <x:c r="N8" s="46" t="n">
        <x:v>0.07</x:v>
      </x:c>
      <x:c r="O8" s="46" t="n">
        <x:v>0.08</x:v>
      </x:c>
      <x:c r="P8" s="46" t="n">
        <x:v>0.11</x:v>
      </x:c>
      <x:c r="Q8" s="46" t="n">
        <x:v>0.22</x:v>
      </x:c>
      <x:c r="R8" s="46" t="str">
        <x:v>relative content (%)</x:v>
      </x:c>
      <x:c r="S8" s="46" t="str">
        <x:v>GC-IMS; source reports CAS + RI + RT + drift time; M/D analytical features preserved</x:v>
      </x:c>
      <x:c r="T8" s="46"/>
      <x:c r="U8" s="46" t="str">
        <x:v>strong_retention_metadata_no_numeric_match_factor</x:v>
      </x:c>
      <x:c r="V8" s="46" t="str">
        <x:v>HW/HB include hepatopancreas; HB/NHB include beer</x:v>
      </x:c>
      <x:c r="W8" s="46" t="str">
        <x:v>HW=with hepatopancreas/water; NHW=no hepatopancreas/water; HB=with hepatopancreas/beer; NHB=no hepatopancreas/beer. Beer and hepatopancreas remain overlays, not intrinsic tail chemistry.</x:v>
      </x:c>
    </x:row>
    <x:row r="9" ht="26.399999618530273" hidden="0" customHeight="1">
      <x:c r="A9" s="46" t="str">
        <x:v>DCRAY-008</x:v>
      </x:c>
      <x:c r="B9" s="46" t="str">
        <x:v>crustacean:crayfish_tail</x:v>
      </x:c>
      <x:c r="C9" s="46" t="str">
        <x:v>family:crustacean</x:v>
      </x:c>
      <x:c r="D9" s="46" t="str">
        <x:v>Procambarus clarkii tail meat</x:v>
      </x:c>
      <x:c r="E9" s="46" t="str">
        <x:v>cooked in water/beer, with/without hepatopancreas</x:v>
      </x:c>
      <x:c r="F9" s="46" t="str">
        <x:v>SRC-CRAYFISH-TAIL-001</x:v>
      </x:c>
      <x:c r="G9" s="46" t="str">
        <x:v>Esters</x:v>
      </x:c>
      <x:c r="H9" s="46" t="str">
        <x:v>A8</x:v>
      </x:c>
      <x:c r="I9" s="46" t="str">
        <x:v>1-Butanol, 3-methyl-, acetate</x:v>
      </x:c>
      <x:c r="J9" s="46" t="str">
        <x:v>123-92-2</x:v>
      </x:c>
      <x:c r="K9" s="46" t="n">
        <x:v>529.885</x:v>
      </x:c>
      <x:c r="L9" s="46" t="n">
        <x:v>1124.8</x:v>
      </x:c>
      <x:c r="M9" s="46" t="n">
        <x:v>1.31868</x:v>
      </x:c>
      <x:c r="N9" s="46" t="n">
        <x:v>0.03</x:v>
      </x:c>
      <x:c r="O9" s="46" t="n">
        <x:v>0.12</x:v>
      </x:c>
      <x:c r="P9" s="46" t="n">
        <x:v>0.1</x:v>
      </x:c>
      <x:c r="Q9" s="46" t="n">
        <x:v>0.39</x:v>
      </x:c>
      <x:c r="R9" s="46" t="str">
        <x:v>relative content (%)</x:v>
      </x:c>
      <x:c r="S9" s="46" t="str">
        <x:v>GC-IMS; source reports CAS + RI + RT + drift time; M/D analytical features preserved</x:v>
      </x:c>
      <x:c r="T9" s="46"/>
      <x:c r="U9" s="46" t="str">
        <x:v>strong_retention_metadata_no_numeric_match_factor</x:v>
      </x:c>
      <x:c r="V9" s="46" t="str">
        <x:v>HW/HB include hepatopancreas; HB/NHB include beer</x:v>
      </x:c>
      <x:c r="W9" s="46" t="str">
        <x:v>HW=with hepatopancreas/water; NHW=no hepatopancreas/water; HB=with hepatopancreas/beer; NHB=no hepatopancreas/beer. Beer and hepatopancreas remain overlays, not intrinsic tail chemistry.</x:v>
      </x:c>
    </x:row>
    <x:row r="10" ht="26.399999618530273" hidden="0" customHeight="1">
      <x:c r="A10" s="46" t="str">
        <x:v>DCRAY-009</x:v>
      </x:c>
      <x:c r="B10" s="46" t="str">
        <x:v>crustacean:crayfish_tail</x:v>
      </x:c>
      <x:c r="C10" s="46" t="str">
        <x:v>family:crustacean</x:v>
      </x:c>
      <x:c r="D10" s="46" t="str">
        <x:v>Procambarus clarkii tail meat</x:v>
      </x:c>
      <x:c r="E10" s="46" t="str">
        <x:v>cooked in water/beer, with/without hepatopancreas</x:v>
      </x:c>
      <x:c r="F10" s="46" t="str">
        <x:v>SRC-CRAYFISH-TAIL-001</x:v>
      </x:c>
      <x:c r="G10" s="46" t="str">
        <x:v>Esters</x:v>
      </x:c>
      <x:c r="H10" s="46" t="str">
        <x:v>A9</x:v>
      </x:c>
      <x:c r="I10" s="46" t="str">
        <x:v>2-Methylbutyl acetate</x:v>
      </x:c>
      <x:c r="J10" s="46" t="str">
        <x:v>624-41-9</x:v>
      </x:c>
      <x:c r="K10" s="46" t="n">
        <x:v>517.756</x:v>
      </x:c>
      <x:c r="L10" s="46" t="n">
        <x:v>1119.5</x:v>
      </x:c>
      <x:c r="M10" s="46" t="n">
        <x:v>1.30407</x:v>
      </x:c>
      <x:c r="N10" s="46" t="n">
        <x:v>0.05</x:v>
      </x:c>
      <x:c r="O10" s="46" t="n">
        <x:v>0.06</x:v>
      </x:c>
      <x:c r="P10" s="46" t="n">
        <x:v>0.32</x:v>
      </x:c>
      <x:c r="Q10" s="46" t="n">
        <x:v>0.24</x:v>
      </x:c>
      <x:c r="R10" s="46" t="str">
        <x:v>relative content (%)</x:v>
      </x:c>
      <x:c r="S10" s="46" t="str">
        <x:v>GC-IMS; source reports CAS + RI + RT + drift time; M/D analytical features preserved</x:v>
      </x:c>
      <x:c r="T10" s="46"/>
      <x:c r="U10" s="46" t="str">
        <x:v>strong_retention_metadata_no_numeric_match_factor</x:v>
      </x:c>
      <x:c r="V10" s="46" t="str">
        <x:v>HW/HB include hepatopancreas; HB/NHB include beer</x:v>
      </x:c>
      <x:c r="W10" s="46" t="str">
        <x:v>HW=with hepatopancreas/water; NHW=no hepatopancreas/water; HB=with hepatopancreas/beer; NHB=no hepatopancreas/beer. Beer and hepatopancreas remain overlays, not intrinsic tail chemistry.</x:v>
      </x:c>
    </x:row>
    <x:row r="11" ht="26.399999618530273" hidden="0" customHeight="1">
      <x:c r="A11" s="46" t="str">
        <x:v>DCRAY-010</x:v>
      </x:c>
      <x:c r="B11" s="46" t="str">
        <x:v>crustacean:crayfish_tail</x:v>
      </x:c>
      <x:c r="C11" s="46" t="str">
        <x:v>family:crustacean</x:v>
      </x:c>
      <x:c r="D11" s="46" t="str">
        <x:v>Procambarus clarkii tail meat</x:v>
      </x:c>
      <x:c r="E11" s="46" t="str">
        <x:v>cooked in water/beer, with/without hepatopancreas</x:v>
      </x:c>
      <x:c r="F11" s="46" t="str">
        <x:v>SRC-CRAYFISH-TAIL-001</x:v>
      </x:c>
      <x:c r="G11" s="46" t="str">
        <x:v>Esters</x:v>
      </x:c>
      <x:c r="H11" s="46" t="str">
        <x:v>A10</x:v>
      </x:c>
      <x:c r="I11" s="46" t="str">
        <x:v>2-Methylpropyl propionate</x:v>
      </x:c>
      <x:c r="J11" s="46" t="str">
        <x:v>540-42-1</x:v>
      </x:c>
      <x:c r="K11" s="46" t="n">
        <x:v>452.612</x:v>
      </x:c>
      <x:c r="L11" s="46" t="n">
        <x:v>1085.7</x:v>
      </x:c>
      <x:c r="M11" s="46" t="n">
        <x:v>1.27699</x:v>
      </x:c>
      <x:c r="N11" s="46" t="n">
        <x:v>3.02</x:v>
      </x:c>
      <x:c r="O11" s="46" t="n">
        <x:v>3.49</x:v>
      </x:c>
      <x:c r="P11" s="46" t="n">
        <x:v>1.54</x:v>
      </x:c>
      <x:c r="Q11" s="46" t="n">
        <x:v>1.44</x:v>
      </x:c>
      <x:c r="R11" s="46" t="str">
        <x:v>relative content (%)</x:v>
      </x:c>
      <x:c r="S11" s="46" t="str">
        <x:v>GC-IMS; source reports CAS + RI + RT + drift time; M/D analytical features preserved</x:v>
      </x:c>
      <x:c r="T11" s="46"/>
      <x:c r="U11" s="46" t="str">
        <x:v>strong_retention_metadata_no_numeric_match_factor</x:v>
      </x:c>
      <x:c r="V11" s="46" t="str">
        <x:v>HW/HB include hepatopancreas; HB/NHB include beer</x:v>
      </x:c>
      <x:c r="W11" s="46" t="str">
        <x:v>HW=with hepatopancreas/water; NHW=no hepatopancreas/water; HB=with hepatopancreas/beer; NHB=no hepatopancreas/beer. Beer and hepatopancreas remain overlays, not intrinsic tail chemistry.</x:v>
      </x:c>
    </x:row>
    <x:row r="12" ht="26.399999618530273" hidden="0" customHeight="1">
      <x:c r="A12" s="46" t="str">
        <x:v>DCRAY-011</x:v>
      </x:c>
      <x:c r="B12" s="46" t="str">
        <x:v>crustacean:crayfish_tail</x:v>
      </x:c>
      <x:c r="C12" s="46" t="str">
        <x:v>family:crustacean</x:v>
      </x:c>
      <x:c r="D12" s="46" t="str">
        <x:v>Procambarus clarkii tail meat</x:v>
      </x:c>
      <x:c r="E12" s="46" t="str">
        <x:v>cooked in water/beer, with/without hepatopancreas</x:v>
      </x:c>
      <x:c r="F12" s="46" t="str">
        <x:v>SRC-CRAYFISH-TAIL-001</x:v>
      </x:c>
      <x:c r="G12" s="46" t="str">
        <x:v>Esters</x:v>
      </x:c>
      <x:c r="H12" s="46" t="str">
        <x:v>A11</x:v>
      </x:c>
      <x:c r="I12" s="46" t="str">
        <x:v>Methyl pentanoate</x:v>
      </x:c>
      <x:c r="J12" s="46" t="str">
        <x:v>624-24-8</x:v>
      </x:c>
      <x:c r="K12" s="46" t="n">
        <x:v>450.21</x:v>
      </x:c>
      <x:c r="L12" s="46" t="n">
        <x:v>1083.7</x:v>
      </x:c>
      <x:c r="M12" s="46" t="n">
        <x:v>1.56092</x:v>
      </x:c>
      <x:c r="N12" s="46" t="n">
        <x:v>1.12</x:v>
      </x:c>
      <x:c r="O12" s="46" t="n">
        <x:v>1.58</x:v>
      </x:c>
      <x:c r="P12" s="46" t="n">
        <x:v>0.6</x:v>
      </x:c>
      <x:c r="Q12" s="46" t="n">
        <x:v>0.48</x:v>
      </x:c>
      <x:c r="R12" s="46" t="str">
        <x:v>relative content (%)</x:v>
      </x:c>
      <x:c r="S12" s="46" t="str">
        <x:v>GC-IMS; source reports CAS + RI + RT + drift time; M/D analytical features preserved</x:v>
      </x:c>
      <x:c r="T12" s="46"/>
      <x:c r="U12" s="46" t="str">
        <x:v>strong_retention_metadata_no_numeric_match_factor</x:v>
      </x:c>
      <x:c r="V12" s="46" t="str">
        <x:v>HW/HB include hepatopancreas; HB/NHB include beer</x:v>
      </x:c>
      <x:c r="W12" s="46" t="str">
        <x:v>HW=with hepatopancreas/water; NHW=no hepatopancreas/water; HB=with hepatopancreas/beer; NHB=no hepatopancreas/beer. Beer and hepatopancreas remain overlays, not intrinsic tail chemistry.</x:v>
      </x:c>
    </x:row>
    <x:row r="13" ht="26.399999618530273" hidden="0" customHeight="1">
      <x:c r="A13" s="46" t="str">
        <x:v>DCRAY-012</x:v>
      </x:c>
      <x:c r="B13" s="46" t="str">
        <x:v>crustacean:crayfish_tail</x:v>
      </x:c>
      <x:c r="C13" s="46" t="str">
        <x:v>family:crustacean</x:v>
      </x:c>
      <x:c r="D13" s="46" t="str">
        <x:v>Procambarus clarkii tail meat</x:v>
      </x:c>
      <x:c r="E13" s="46" t="str">
        <x:v>cooked in water/beer, with/without hepatopancreas</x:v>
      </x:c>
      <x:c r="F13" s="46" t="str">
        <x:v>SRC-CRAYFISH-TAIL-001</x:v>
      </x:c>
      <x:c r="G13" s="46" t="str">
        <x:v>Esters</x:v>
      </x:c>
      <x:c r="H13" s="46" t="str">
        <x:v>A12</x:v>
      </x:c>
      <x:c r="I13" s="46" t="str">
        <x:v>Isovaleric acid, methyl ester</x:v>
      </x:c>
      <x:c r="J13" s="46" t="str">
        <x:v>556-24-1</x:v>
      </x:c>
      <x:c r="K13" s="46" t="n">
        <x:v>391.539</x:v>
      </x:c>
      <x:c r="L13" s="46" t="n">
        <x:v>1035.6</x:v>
      </x:c>
      <x:c r="M13" s="46" t="n">
        <x:v>1.19562</x:v>
      </x:c>
      <x:c r="N13" s="46" t="n">
        <x:v>0.24</x:v>
      </x:c>
      <x:c r="O13" s="46" t="n">
        <x:v>0.17</x:v>
      </x:c>
      <x:c r="P13" s="46" t="n">
        <x:v>1.2</x:v>
      </x:c>
      <x:c r="Q13" s="46" t="n">
        <x:v>1.07</x:v>
      </x:c>
      <x:c r="R13" s="46" t="str">
        <x:v>relative content (%)</x:v>
      </x:c>
      <x:c r="S13" s="46" t="str">
        <x:v>GC-IMS; source reports CAS + RI + RT + drift time; M/D analytical features preserved</x:v>
      </x:c>
      <x:c r="T13" s="46"/>
      <x:c r="U13" s="46" t="str">
        <x:v>strong_retention_metadata_no_numeric_match_factor</x:v>
      </x:c>
      <x:c r="V13" s="46" t="str">
        <x:v>HW/HB include hepatopancreas; HB/NHB include beer</x:v>
      </x:c>
      <x:c r="W13" s="46" t="str">
        <x:v>HW=with hepatopancreas/water; NHW=no hepatopancreas/water; HB=with hepatopancreas/beer; NHB=no hepatopancreas/beer. Beer and hepatopancreas remain overlays, not intrinsic tail chemistry.</x:v>
      </x:c>
    </x:row>
    <x:row r="14" ht="26.399999618530273" hidden="0" customHeight="1">
      <x:c r="A14" s="46" t="str">
        <x:v>DCRAY-013</x:v>
      </x:c>
      <x:c r="B14" s="46" t="str">
        <x:v>crustacean:crayfish_tail</x:v>
      </x:c>
      <x:c r="C14" s="46" t="str">
        <x:v>family:crustacean</x:v>
      </x:c>
      <x:c r="D14" s="46" t="str">
        <x:v>Procambarus clarkii tail meat</x:v>
      </x:c>
      <x:c r="E14" s="46" t="str">
        <x:v>cooked in water/beer, with/without hepatopancreas</x:v>
      </x:c>
      <x:c r="F14" s="46" t="str">
        <x:v>SRC-CRAYFISH-TAIL-001</x:v>
      </x:c>
      <x:c r="G14" s="46" t="str">
        <x:v>Esters</x:v>
      </x:c>
      <x:c r="H14" s="46" t="str">
        <x:v>A13</x:v>
      </x:c>
      <x:c r="I14" s="46" t="str">
        <x:v>Propanoic acid propyl ester</x:v>
      </x:c>
      <x:c r="J14" s="46" t="str">
        <x:v>106-36-5</x:v>
      </x:c>
      <x:c r="K14" s="46" t="n">
        <x:v>391.401</x:v>
      </x:c>
      <x:c r="L14" s="46" t="n">
        <x:v>1035.5</x:v>
      </x:c>
      <x:c r="M14" s="46" t="n">
        <x:v>1.57867</x:v>
      </x:c>
      <x:c r="N14" s="46" t="n">
        <x:v>0.05</x:v>
      </x:c>
      <x:c r="O14" s="46" t="n">
        <x:v>0.08</x:v>
      </x:c>
      <x:c r="P14" s="46" t="n">
        <x:v>0.05</x:v>
      </x:c>
      <x:c r="Q14" s="46" t="n">
        <x:v>0.05</x:v>
      </x:c>
      <x:c r="R14" s="46" t="str">
        <x:v>relative content (%)</x:v>
      </x:c>
      <x:c r="S14" s="46" t="str">
        <x:v>GC-IMS; source reports CAS + RI + RT + drift time; M/D analytical features preserved</x:v>
      </x:c>
      <x:c r="T14" s="46"/>
      <x:c r="U14" s="46" t="str">
        <x:v>strong_retention_metadata_no_numeric_match_factor</x:v>
      </x:c>
      <x:c r="V14" s="46" t="str">
        <x:v>HW/HB include hepatopancreas; HB/NHB include beer</x:v>
      </x:c>
      <x:c r="W14" s="46" t="str">
        <x:v>HW=with hepatopancreas/water; NHW=no hepatopancreas/water; HB=with hepatopancreas/beer; NHB=no hepatopancreas/beer. Beer and hepatopancreas remain overlays, not intrinsic tail chemistry.</x:v>
      </x:c>
    </x:row>
    <x:row r="15" ht="26.399999618530273" hidden="0" customHeight="1">
      <x:c r="A15" s="46" t="str">
        <x:v>DCRAY-014</x:v>
      </x:c>
      <x:c r="B15" s="46" t="str">
        <x:v>crustacean:crayfish_tail</x:v>
      </x:c>
      <x:c r="C15" s="46" t="str">
        <x:v>family:crustacean</x:v>
      </x:c>
      <x:c r="D15" s="46" t="str">
        <x:v>Procambarus clarkii tail meat</x:v>
      </x:c>
      <x:c r="E15" s="46" t="str">
        <x:v>cooked in water/beer, with/without hepatopancreas</x:v>
      </x:c>
      <x:c r="F15" s="46" t="str">
        <x:v>SRC-CRAYFISH-TAIL-001</x:v>
      </x:c>
      <x:c r="G15" s="46" t="str">
        <x:v>Esters</x:v>
      </x:c>
      <x:c r="H15" s="46" t="str">
        <x:v>A14</x:v>
      </x:c>
      <x:c r="I15" s="46" t="str">
        <x:v>2-methyl-1-propyl acetate</x:v>
      </x:c>
      <x:c r="J15" s="46" t="str">
        <x:v>110-19-0</x:v>
      </x:c>
      <x:c r="K15" s="46" t="n">
        <x:v>374.533</x:v>
      </x:c>
      <x:c r="L15" s="46" t="n">
        <x:v>1021.7</x:v>
      </x:c>
      <x:c r="M15" s="46" t="n">
        <x:v>1.23484</x:v>
      </x:c>
      <x:c r="N15" s="46" t="n">
        <x:v>0.04</x:v>
      </x:c>
      <x:c r="O15" s="46" t="n">
        <x:v>0.04</x:v>
      </x:c>
      <x:c r="P15" s="46" t="n">
        <x:v>0.07</x:v>
      </x:c>
      <x:c r="Q15" s="46" t="n">
        <x:v>0.08</x:v>
      </x:c>
      <x:c r="R15" s="46" t="str">
        <x:v>relative content (%)</x:v>
      </x:c>
      <x:c r="S15" s="46" t="str">
        <x:v>GC-IMS; source reports CAS + RI + RT + drift time; M/D analytical features preserved</x:v>
      </x:c>
      <x:c r="T15" s="46"/>
      <x:c r="U15" s="46" t="str">
        <x:v>strong_retention_metadata_no_numeric_match_factor</x:v>
      </x:c>
      <x:c r="V15" s="46" t="str">
        <x:v>HW/HB include hepatopancreas; HB/NHB include beer</x:v>
      </x:c>
      <x:c r="W15" s="46" t="str">
        <x:v>HW=with hepatopancreas/water; NHW=no hepatopancreas/water; HB=with hepatopancreas/beer; NHB=no hepatopancreas/beer. Beer and hepatopancreas remain overlays, not intrinsic tail chemistry.</x:v>
      </x:c>
    </x:row>
    <x:row r="16" ht="26.399999618530273" hidden="0" customHeight="1">
      <x:c r="A16" s="46" t="str">
        <x:v>DCRAY-015</x:v>
      </x:c>
      <x:c r="B16" s="46" t="str">
        <x:v>crustacean:crayfish_tail</x:v>
      </x:c>
      <x:c r="C16" s="46" t="str">
        <x:v>family:crustacean</x:v>
      </x:c>
      <x:c r="D16" s="46" t="str">
        <x:v>Procambarus clarkii tail meat</x:v>
      </x:c>
      <x:c r="E16" s="46" t="str">
        <x:v>cooked in water/beer, with/without hepatopancreas</x:v>
      </x:c>
      <x:c r="F16" s="46" t="str">
        <x:v>SRC-CRAYFISH-TAIL-001</x:v>
      </x:c>
      <x:c r="G16" s="46" t="str">
        <x:v>Esters</x:v>
      </x:c>
      <x:c r="H16" s="46" t="str">
        <x:v>A15</x:v>
      </x:c>
      <x:c r="I16" s="46" t="str">
        <x:v>Ethyl acrylate</x:v>
      </x:c>
      <x:c r="J16" s="46" t="str">
        <x:v>140-88-5</x:v>
      </x:c>
      <x:c r="K16" s="46" t="n">
        <x:v>358.322</x:v>
      </x:c>
      <x:c r="L16" s="46" t="n">
        <x:v>1008.4</x:v>
      </x:c>
      <x:c r="M16" s="46" t="n">
        <x:v>1.11808</x:v>
      </x:c>
      <x:c r="N16" s="46" t="n">
        <x:v>0.04</x:v>
      </x:c>
      <x:c r="O16" s="46" t="n">
        <x:v>0.04</x:v>
      </x:c>
      <x:c r="P16" s="46" t="n">
        <x:v>1.27</x:v>
      </x:c>
      <x:c r="Q16" s="46" t="n">
        <x:v>1.26</x:v>
      </x:c>
      <x:c r="R16" s="46" t="str">
        <x:v>relative content (%)</x:v>
      </x:c>
      <x:c r="S16" s="46" t="str">
        <x:v>GC-IMS; source reports CAS + RI + RT + drift time; M/D analytical features preserved</x:v>
      </x:c>
      <x:c r="T16" s="46"/>
      <x:c r="U16" s="46" t="str">
        <x:v>strong_retention_metadata_no_numeric_match_factor</x:v>
      </x:c>
      <x:c r="V16" s="46" t="str">
        <x:v>HW/HB include hepatopancreas; HB/NHB include beer</x:v>
      </x:c>
      <x:c r="W16" s="46" t="str">
        <x:v>HW=with hepatopancreas/water; NHW=no hepatopancreas/water; HB=with hepatopancreas/beer; NHB=no hepatopancreas/beer. Beer and hepatopancreas remain overlays, not intrinsic tail chemistry.</x:v>
      </x:c>
    </x:row>
    <x:row r="17" ht="26.399999618530273" hidden="0" customHeight="1">
      <x:c r="A17" s="46" t="str">
        <x:v>DCRAY-016</x:v>
      </x:c>
      <x:c r="B17" s="46" t="str">
        <x:v>crustacean:crayfish_tail</x:v>
      </x:c>
      <x:c r="C17" s="46" t="str">
        <x:v>family:crustacean</x:v>
      </x:c>
      <x:c r="D17" s="46" t="str">
        <x:v>Procambarus clarkii tail meat</x:v>
      </x:c>
      <x:c r="E17" s="46" t="str">
        <x:v>cooked in water/beer, with/without hepatopancreas</x:v>
      </x:c>
      <x:c r="F17" s="46" t="str">
        <x:v>SRC-CRAYFISH-TAIL-001</x:v>
      </x:c>
      <x:c r="G17" s="46" t="str">
        <x:v>Esters</x:v>
      </x:c>
      <x:c r="H17" s="46" t="str">
        <x:v>A16</x:v>
      </x:c>
      <x:c r="I17" s="46" t="str">
        <x:v>Acetic acid ethyl ester</x:v>
      </x:c>
      <x:c r="J17" s="46" t="str">
        <x:v>141-78-6</x:v>
      </x:c>
      <x:c r="K17" s="46" t="n">
        <x:v>284.056</x:v>
      </x:c>
      <x:c r="L17" s="46" t="n">
        <x:v>893.1</x:v>
      </x:c>
      <x:c r="M17" s="46" t="n">
        <x:v>1.32389</x:v>
      </x:c>
      <x:c r="N17" s="46" t="n">
        <x:v>0.18</x:v>
      </x:c>
      <x:c r="O17" s="46" t="n">
        <x:v>0.18</x:v>
      </x:c>
      <x:c r="P17" s="46" t="n">
        <x:v>1.12</x:v>
      </x:c>
      <x:c r="Q17" s="46" t="n">
        <x:v>1.2</x:v>
      </x:c>
      <x:c r="R17" s="46" t="str">
        <x:v>relative content (%)</x:v>
      </x:c>
      <x:c r="S17" s="46" t="str">
        <x:v>GC-IMS; source reports CAS + RI + RT + drift time; M/D analytical features preserved</x:v>
      </x:c>
      <x:c r="T17" s="46"/>
      <x:c r="U17" s="46" t="str">
        <x:v>strong_retention_metadata_no_numeric_match_factor</x:v>
      </x:c>
      <x:c r="V17" s="46" t="str">
        <x:v>HW/HB include hepatopancreas; HB/NHB include beer</x:v>
      </x:c>
      <x:c r="W17" s="46" t="str">
        <x:v>HW=with hepatopancreas/water; NHW=no hepatopancreas/water; HB=with hepatopancreas/beer; NHB=no hepatopancreas/beer. Beer and hepatopancreas remain overlays, not intrinsic tail chemistry.</x:v>
      </x:c>
    </x:row>
    <x:row r="18" ht="26.399999618530273" hidden="0" customHeight="1">
      <x:c r="A18" s="46" t="str">
        <x:v>DCRAY-017</x:v>
      </x:c>
      <x:c r="B18" s="46" t="str">
        <x:v>crustacean:crayfish_tail</x:v>
      </x:c>
      <x:c r="C18" s="46" t="str">
        <x:v>family:crustacean</x:v>
      </x:c>
      <x:c r="D18" s="46" t="str">
        <x:v>Procambarus clarkii tail meat</x:v>
      </x:c>
      <x:c r="E18" s="46" t="str">
        <x:v>cooked in water/beer, with/without hepatopancreas</x:v>
      </x:c>
      <x:c r="F18" s="46" t="str">
        <x:v>SRC-CRAYFISH-TAIL-001</x:v>
      </x:c>
      <x:c r="G18" s="46" t="str">
        <x:v>Esters</x:v>
      </x:c>
      <x:c r="H18" s="46" t="str">
        <x:v>A17</x:v>
      </x:c>
      <x:c r="I18" s="46" t="str">
        <x:v>Methyl acetate</x:v>
      </x:c>
      <x:c r="J18" s="46" t="str">
        <x:v>79-20-9</x:v>
      </x:c>
      <x:c r="K18" s="46" t="n">
        <x:v>252.485</x:v>
      </x:c>
      <x:c r="L18" s="46" t="n">
        <x:v>838.2</x:v>
      </x:c>
      <x:c r="M18" s="46" t="n">
        <x:v>1.20232</x:v>
      </x:c>
      <x:c r="N18" s="46" t="n">
        <x:v>0.62</x:v>
      </x:c>
      <x:c r="O18" s="46" t="n">
        <x:v>0.48</x:v>
      </x:c>
      <x:c r="P18" s="46" t="n">
        <x:v>0.43</x:v>
      </x:c>
      <x:c r="Q18" s="46" t="n">
        <x:v>0.45</x:v>
      </x:c>
      <x:c r="R18" s="46" t="str">
        <x:v>relative content (%)</x:v>
      </x:c>
      <x:c r="S18" s="46" t="str">
        <x:v>GC-IMS; source reports CAS + RI + RT + drift time; M/D analytical features preserved</x:v>
      </x:c>
      <x:c r="T18" s="46"/>
      <x:c r="U18" s="46" t="str">
        <x:v>strong_retention_metadata_no_numeric_match_factor</x:v>
      </x:c>
      <x:c r="V18" s="46" t="str">
        <x:v>HW/HB include hepatopancreas; HB/NHB include beer</x:v>
      </x:c>
      <x:c r="W18" s="46" t="str">
        <x:v>HW=with hepatopancreas/water; NHW=no hepatopancreas/water; HB=with hepatopancreas/beer; NHB=no hepatopancreas/beer. Beer and hepatopancreas remain overlays, not intrinsic tail chemistry.</x:v>
      </x:c>
    </x:row>
    <x:row r="19" ht="26.399999618530273" hidden="0" customHeight="1">
      <x:c r="A19" s="46" t="str">
        <x:v>DCRAY-018</x:v>
      </x:c>
      <x:c r="B19" s="46" t="str">
        <x:v>crustacean:crayfish_tail</x:v>
      </x:c>
      <x:c r="C19" s="46" t="str">
        <x:v>family:crustacean</x:v>
      </x:c>
      <x:c r="D19" s="46" t="str">
        <x:v>Procambarus clarkii tail meat</x:v>
      </x:c>
      <x:c r="E19" s="46" t="str">
        <x:v>cooked in water/beer, with/without hepatopancreas</x:v>
      </x:c>
      <x:c r="F19" s="46" t="str">
        <x:v>SRC-CRAYFISH-TAIL-001</x:v>
      </x:c>
      <x:c r="G19" s="46" t="str">
        <x:v>Esters</x:v>
      </x:c>
      <x:c r="H19" s="46" t="str">
        <x:v>A18</x:v>
      </x:c>
      <x:c r="I19" s="46" t="str">
        <x:v>Ethyl formate</x:v>
      </x:c>
      <x:c r="J19" s="46" t="str">
        <x:v>109-94-4</x:v>
      </x:c>
      <x:c r="K19" s="46" t="n">
        <x:v>236.699</x:v>
      </x:c>
      <x:c r="L19" s="46" t="n">
        <x:v>810.7</x:v>
      </x:c>
      <x:c r="M19" s="46" t="n">
        <x:v>1.08723</x:v>
      </x:c>
      <x:c r="N19" s="46" t="n">
        <x:v>0.28</x:v>
      </x:c>
      <x:c r="O19" s="46" t="n">
        <x:v>0.46</x:v>
      </x:c>
      <x:c r="P19" s="46" t="n">
        <x:v>0.39</x:v>
      </x:c>
      <x:c r="Q19" s="46" t="n">
        <x:v>0.64</x:v>
      </x:c>
      <x:c r="R19" s="46" t="str">
        <x:v>relative content (%)</x:v>
      </x:c>
      <x:c r="S19" s="46" t="str">
        <x:v>GC-IMS; source reports CAS + RI + RT + drift time; M/D analytical features preserved</x:v>
      </x:c>
      <x:c r="T19" s="46"/>
      <x:c r="U19" s="46" t="str">
        <x:v>strong_retention_metadata_no_numeric_match_factor</x:v>
      </x:c>
      <x:c r="V19" s="46" t="str">
        <x:v>HW/HB include hepatopancreas; HB/NHB include beer</x:v>
      </x:c>
      <x:c r="W19" s="46" t="str">
        <x:v>HW=with hepatopancreas/water; NHW=no hepatopancreas/water; HB=with hepatopancreas/beer; NHB=no hepatopancreas/beer. Beer and hepatopancreas remain overlays, not intrinsic tail chemistry.</x:v>
      </x:c>
    </x:row>
    <x:row r="20" ht="26.399999618530273" hidden="0" customHeight="1">
      <x:c r="A20" s="46" t="str">
        <x:v>DCRAY-019</x:v>
      </x:c>
      <x:c r="B20" s="46" t="str">
        <x:v>crustacean:crayfish_tail</x:v>
      </x:c>
      <x:c r="C20" s="46" t="str">
        <x:v>family:crustacean</x:v>
      </x:c>
      <x:c r="D20" s="46" t="str">
        <x:v>Procambarus clarkii tail meat</x:v>
      </x:c>
      <x:c r="E20" s="46" t="str">
        <x:v>cooked in water/beer, with/without hepatopancreas</x:v>
      </x:c>
      <x:c r="F20" s="46" t="str">
        <x:v>SRC-CRAYFISH-TAIL-001</x:v>
      </x:c>
      <x:c r="G20" s="46" t="str">
        <x:v>Aldehydes</x:v>
      </x:c>
      <x:c r="H20" s="46" t="str">
        <x:v>B1</x:v>
      </x:c>
      <x:c r="I20" s="46" t="str">
        <x:v>1-nonanal-M</x:v>
      </x:c>
      <x:c r="J20" s="46" t="str">
        <x:v>124-19-6</x:v>
      </x:c>
      <x:c r="K20" s="46" t="n">
        <x:v>1319.04</x:v>
      </x:c>
      <x:c r="L20" s="46" t="n">
        <x:v>1395.3</x:v>
      </x:c>
      <x:c r="M20" s="46" t="n">
        <x:v>1.48327</x:v>
      </x:c>
      <x:c r="N20" s="46" t="n">
        <x:v>1.97</x:v>
      </x:c>
      <x:c r="O20" s="46" t="n">
        <x:v>2.49</x:v>
      </x:c>
      <x:c r="P20" s="46" t="n">
        <x:v>1.81</x:v>
      </x:c>
      <x:c r="Q20" s="46" t="n">
        <x:v>1.42</x:v>
      </x:c>
      <x:c r="R20" s="46" t="str">
        <x:v>relative content (%)</x:v>
      </x:c>
      <x:c r="S20" s="46" t="str">
        <x:v>GC-IMS; source reports CAS + RI + RT + drift time; M/D analytical features preserved</x:v>
      </x:c>
      <x:c r="T20" s="46"/>
      <x:c r="U20" s="46" t="str">
        <x:v>strong_retention_metadata_no_numeric_match_factor</x:v>
      </x:c>
      <x:c r="V20" s="46" t="str">
        <x:v>HW/HB include hepatopancreas; HB/NHB include beer</x:v>
      </x:c>
      <x:c r="W20" s="46" t="str">
        <x:v>HW=with hepatopancreas/water; NHW=no hepatopancreas/water; HB=with hepatopancreas/beer; NHB=no hepatopancreas/beer. Beer and hepatopancreas remain overlays, not intrinsic tail chemistry.</x:v>
      </x:c>
    </x:row>
    <x:row r="21" ht="26.399999618530273" hidden="0" customHeight="1">
      <x:c r="A21" s="46" t="str">
        <x:v>DCRAY-020</x:v>
      </x:c>
      <x:c r="B21" s="46" t="str">
        <x:v>crustacean:crayfish_tail</x:v>
      </x:c>
      <x:c r="C21" s="46" t="str">
        <x:v>family:crustacean</x:v>
      </x:c>
      <x:c r="D21" s="46" t="str">
        <x:v>Procambarus clarkii tail meat</x:v>
      </x:c>
      <x:c r="E21" s="46" t="str">
        <x:v>cooked in water/beer, with/without hepatopancreas</x:v>
      </x:c>
      <x:c r="F21" s="46" t="str">
        <x:v>SRC-CRAYFISH-TAIL-001</x:v>
      </x:c>
      <x:c r="G21" s="46" t="str">
        <x:v>Aldehydes</x:v>
      </x:c>
      <x:c r="H21" s="46" t="str">
        <x:v>B2</x:v>
      </x:c>
      <x:c r="I21" s="46" t="str">
        <x:v>1-nonanal-D</x:v>
      </x:c>
      <x:c r="J21" s="46" t="str">
        <x:v>124-19-6</x:v>
      </x:c>
      <x:c r="K21" s="46" t="n">
        <x:v>1319.02</x:v>
      </x:c>
      <x:c r="L21" s="46" t="n">
        <x:v>1395.3</x:v>
      </x:c>
      <x:c r="M21" s="46" t="n">
        <x:v>1.93542</x:v>
      </x:c>
      <x:c r="N21" s="46" t="n">
        <x:v>0.14</x:v>
      </x:c>
      <x:c r="O21" s="46" t="n">
        <x:v>0.16</x:v>
      </x:c>
      <x:c r="P21" s="46" t="n">
        <x:v>0.11</x:v>
      </x:c>
      <x:c r="Q21" s="46" t="n">
        <x:v>0.13</x:v>
      </x:c>
      <x:c r="R21" s="46" t="str">
        <x:v>relative content (%)</x:v>
      </x:c>
      <x:c r="S21" s="46" t="str">
        <x:v>GC-IMS; source reports CAS + RI + RT + drift time; M/D analytical features preserved</x:v>
      </x:c>
      <x:c r="T21" s="46"/>
      <x:c r="U21" s="46" t="str">
        <x:v>strong_retention_metadata_no_numeric_match_factor</x:v>
      </x:c>
      <x:c r="V21" s="46" t="str">
        <x:v>HW/HB include hepatopancreas; HB/NHB include beer</x:v>
      </x:c>
      <x:c r="W21" s="46" t="str">
        <x:v>HW=with hepatopancreas/water; NHW=no hepatopancreas/water; HB=with hepatopancreas/beer; NHB=no hepatopancreas/beer. Beer and hepatopancreas remain overlays, not intrinsic tail chemistry.</x:v>
      </x:c>
    </x:row>
    <x:row r="22" ht="26.399999618530273" hidden="0" customHeight="1">
      <x:c r="A22" s="46" t="str">
        <x:v>DCRAY-021</x:v>
      </x:c>
      <x:c r="B22" s="46" t="str">
        <x:v>crustacean:crayfish_tail</x:v>
      </x:c>
      <x:c r="C22" s="46" t="str">
        <x:v>family:crustacean</x:v>
      </x:c>
      <x:c r="D22" s="46" t="str">
        <x:v>Procambarus clarkii tail meat</x:v>
      </x:c>
      <x:c r="E22" s="46" t="str">
        <x:v>cooked in water/beer, with/without hepatopancreas</x:v>
      </x:c>
      <x:c r="F22" s="46" t="str">
        <x:v>SRC-CRAYFISH-TAIL-001</x:v>
      </x:c>
      <x:c r="G22" s="46" t="str">
        <x:v>Aldehydes</x:v>
      </x:c>
      <x:c r="H22" s="46" t="str">
        <x:v>B3</x:v>
      </x:c>
      <x:c r="I22" s="46" t="str">
        <x:v>1-hexanal</x:v>
      </x:c>
      <x:c r="J22" s="46" t="str">
        <x:v>66-25-1</x:v>
      </x:c>
      <x:c r="K22" s="46" t="n">
        <x:v>464.583</x:v>
      </x:c>
      <x:c r="L22" s="46" t="n">
        <x:v>1095.5</x:v>
      </x:c>
      <x:c r="M22" s="46" t="n">
        <x:v>1.25355</x:v>
      </x:c>
      <x:c r="N22" s="46" t="n">
        <x:v>0.16</x:v>
      </x:c>
      <x:c r="O22" s="46" t="n">
        <x:v>0.19</x:v>
      </x:c>
      <x:c r="P22" s="46" t="n">
        <x:v>0.53</x:v>
      </x:c>
      <x:c r="Q22" s="46" t="n">
        <x:v>0.49</x:v>
      </x:c>
      <x:c r="R22" s="46" t="str">
        <x:v>relative content (%)</x:v>
      </x:c>
      <x:c r="S22" s="46" t="str">
        <x:v>GC-IMS; source reports CAS + RI + RT + drift time; M/D analytical features preserved</x:v>
      </x:c>
      <x:c r="T22" s="46"/>
      <x:c r="U22" s="46" t="str">
        <x:v>strong_retention_metadata_no_numeric_match_factor</x:v>
      </x:c>
      <x:c r="V22" s="46" t="str">
        <x:v>HW/HB include hepatopancreas; HB/NHB include beer</x:v>
      </x:c>
      <x:c r="W22" s="46" t="str">
        <x:v>HW=with hepatopancreas/water; NHW=no hepatopancreas/water; HB=with hepatopancreas/beer; NHB=no hepatopancreas/beer. Beer and hepatopancreas remain overlays, not intrinsic tail chemistry.</x:v>
      </x:c>
    </x:row>
    <x:row r="23" ht="26.399999618530273" hidden="0" customHeight="1">
      <x:c r="A23" s="46" t="str">
        <x:v>DCRAY-022</x:v>
      </x:c>
      <x:c r="B23" s="46" t="str">
        <x:v>crustacean:crayfish_tail</x:v>
      </x:c>
      <x:c r="C23" s="46" t="str">
        <x:v>family:crustacean</x:v>
      </x:c>
      <x:c r="D23" s="46" t="str">
        <x:v>Procambarus clarkii tail meat</x:v>
      </x:c>
      <x:c r="E23" s="46" t="str">
        <x:v>cooked in water/beer, with/without hepatopancreas</x:v>
      </x:c>
      <x:c r="F23" s="46" t="str">
        <x:v>SRC-CRAYFISH-TAIL-001</x:v>
      </x:c>
      <x:c r="G23" s="46" t="str">
        <x:v>Aldehydes</x:v>
      </x:c>
      <x:c r="H23" s="46" t="str">
        <x:v>B4</x:v>
      </x:c>
      <x:c r="I23" s="46" t="str">
        <x:v>n-Pentanal-M</x:v>
      </x:c>
      <x:c r="J23" s="46" t="str">
        <x:v>110-62-3</x:v>
      </x:c>
      <x:c r="K23" s="46" t="n">
        <x:v>341.64</x:v>
      </x:c>
      <x:c r="L23" s="46" t="n">
        <x:v>993.3</x:v>
      </x:c>
      <x:c r="M23" s="46" t="n">
        <x:v>1.19417</x:v>
      </x:c>
      <x:c r="N23" s="46" t="n">
        <x:v>2.49</x:v>
      </x:c>
      <x:c r="O23" s="46" t="n">
        <x:v>2.38</x:v>
      </x:c>
      <x:c r="P23" s="46" t="n">
        <x:v>0.82</x:v>
      </x:c>
      <x:c r="Q23" s="46" t="n">
        <x:v>0.81</x:v>
      </x:c>
      <x:c r="R23" s="46" t="str">
        <x:v>relative content (%)</x:v>
      </x:c>
      <x:c r="S23" s="46" t="str">
        <x:v>GC-IMS; source reports CAS + RI + RT + drift time; M/D analytical features preserved</x:v>
      </x:c>
      <x:c r="T23" s="46"/>
      <x:c r="U23" s="46" t="str">
        <x:v>strong_retention_metadata_no_numeric_match_factor</x:v>
      </x:c>
      <x:c r="V23" s="46" t="str">
        <x:v>HW/HB include hepatopancreas; HB/NHB include beer</x:v>
      </x:c>
      <x:c r="W23" s="46" t="str">
        <x:v>HW=with hepatopancreas/water; NHW=no hepatopancreas/water; HB=with hepatopancreas/beer; NHB=no hepatopancreas/beer. Beer and hepatopancreas remain overlays, not intrinsic tail chemistry.</x:v>
      </x:c>
    </x:row>
    <x:row r="24" ht="26.399999618530273" hidden="0" customHeight="1">
      <x:c r="A24" s="46" t="str">
        <x:v>DCRAY-023</x:v>
      </x:c>
      <x:c r="B24" s="46" t="str">
        <x:v>crustacean:crayfish_tail</x:v>
      </x:c>
      <x:c r="C24" s="46" t="str">
        <x:v>family:crustacean</x:v>
      </x:c>
      <x:c r="D24" s="46" t="str">
        <x:v>Procambarus clarkii tail meat</x:v>
      </x:c>
      <x:c r="E24" s="46" t="str">
        <x:v>cooked in water/beer, with/without hepatopancreas</x:v>
      </x:c>
      <x:c r="F24" s="46" t="str">
        <x:v>SRC-CRAYFISH-TAIL-001</x:v>
      </x:c>
      <x:c r="G24" s="46" t="str">
        <x:v>Aldehydes</x:v>
      </x:c>
      <x:c r="H24" s="46" t="str">
        <x:v>B5</x:v>
      </x:c>
      <x:c r="I24" s="46" t="str">
        <x:v>n-Pentanal-D</x:v>
      </x:c>
      <x:c r="J24" s="46" t="str">
        <x:v>110-62-3</x:v>
      </x:c>
      <x:c r="K24" s="46" t="n">
        <x:v>338.296</x:v>
      </x:c>
      <x:c r="L24" s="46" t="n">
        <x:v>987.5</x:v>
      </x:c>
      <x:c r="M24" s="46" t="n">
        <x:v>1.42022</x:v>
      </x:c>
      <x:c r="N24" s="46" t="n">
        <x:v>4.15</x:v>
      </x:c>
      <x:c r="O24" s="46" t="n">
        <x:v>3.1</x:v>
      </x:c>
      <x:c r="P24" s="46" t="n">
        <x:v>0.75</x:v>
      </x:c>
      <x:c r="Q24" s="46" t="n">
        <x:v>0.54</x:v>
      </x:c>
      <x:c r="R24" s="46" t="str">
        <x:v>relative content (%)</x:v>
      </x:c>
      <x:c r="S24" s="46" t="str">
        <x:v>GC-IMS; source reports CAS + RI + RT + drift time; M/D analytical features preserved</x:v>
      </x:c>
      <x:c r="T24" s="46"/>
      <x:c r="U24" s="46" t="str">
        <x:v>strong_retention_metadata_no_numeric_match_factor</x:v>
      </x:c>
      <x:c r="V24" s="46" t="str">
        <x:v>HW/HB include hepatopancreas; HB/NHB include beer</x:v>
      </x:c>
      <x:c r="W24" s="46" t="str">
        <x:v>HW=with hepatopancreas/water; NHW=no hepatopancreas/water; HB=with hepatopancreas/beer; NHB=no hepatopancreas/beer. Beer and hepatopancreas remain overlays, not intrinsic tail chemistry.</x:v>
      </x:c>
    </x:row>
    <x:row r="25" ht="26.399999618530273" hidden="0" customHeight="1">
      <x:c r="A25" s="46" t="str">
        <x:v>DCRAY-024</x:v>
      </x:c>
      <x:c r="B25" s="46" t="str">
        <x:v>crustacean:crayfish_tail</x:v>
      </x:c>
      <x:c r="C25" s="46" t="str">
        <x:v>family:crustacean</x:v>
      </x:c>
      <x:c r="D25" s="46" t="str">
        <x:v>Procambarus clarkii tail meat</x:v>
      </x:c>
      <x:c r="E25" s="46" t="str">
        <x:v>cooked in water/beer, with/without hepatopancreas</x:v>
      </x:c>
      <x:c r="F25" s="46" t="str">
        <x:v>SRC-CRAYFISH-TAIL-001</x:v>
      </x:c>
      <x:c r="G25" s="46" t="str">
        <x:v>Aldehydes</x:v>
      </x:c>
      <x:c r="H25" s="46" t="str">
        <x:v>B6</x:v>
      </x:c>
      <x:c r="I25" s="46" t="str">
        <x:v>2-methyl butanal</x:v>
      </x:c>
      <x:c r="J25" s="46" t="str">
        <x:v>96-17-3</x:v>
      </x:c>
      <x:c r="K25" s="46" t="n">
        <x:v>297.422</x:v>
      </x:c>
      <x:c r="L25" s="46" t="n">
        <x:v>916.4</x:v>
      </x:c>
      <x:c r="M25" s="46" t="n">
        <x:v>1.39948</x:v>
      </x:c>
      <x:c r="N25" s="46" t="n">
        <x:v>1.51</x:v>
      </x:c>
      <x:c r="O25" s="46" t="n">
        <x:v>1.14</x:v>
      </x:c>
      <x:c r="P25" s="46" t="n">
        <x:v>1</x:v>
      </x:c>
      <x:c r="Q25" s="46" t="n">
        <x:v>0.94</x:v>
      </x:c>
      <x:c r="R25" s="46" t="str">
        <x:v>relative content (%)</x:v>
      </x:c>
      <x:c r="S25" s="46" t="str">
        <x:v>GC-IMS; source reports CAS + RI + RT + drift time; M/D analytical features preserved</x:v>
      </x:c>
      <x:c r="T25" s="46"/>
      <x:c r="U25" s="46" t="str">
        <x:v>strong_retention_metadata_no_numeric_match_factor</x:v>
      </x:c>
      <x:c r="V25" s="46" t="str">
        <x:v>HW/HB include hepatopancreas; HB/NHB include beer</x:v>
      </x:c>
      <x:c r="W25" s="46" t="str">
        <x:v>HW=with hepatopancreas/water; NHW=no hepatopancreas/water; HB=with hepatopancreas/beer; NHB=no hepatopancreas/beer. Beer and hepatopancreas remain overlays, not intrinsic tail chemistry.</x:v>
      </x:c>
    </x:row>
    <x:row r="26" ht="26.399999618530273" hidden="0" customHeight="1">
      <x:c r="A26" s="46" t="str">
        <x:v>DCRAY-025</x:v>
      </x:c>
      <x:c r="B26" s="46" t="str">
        <x:v>crustacean:crayfish_tail</x:v>
      </x:c>
      <x:c r="C26" s="46" t="str">
        <x:v>family:crustacean</x:v>
      </x:c>
      <x:c r="D26" s="46" t="str">
        <x:v>Procambarus clarkii tail meat</x:v>
      </x:c>
      <x:c r="E26" s="46" t="str">
        <x:v>cooked in water/beer, with/without hepatopancreas</x:v>
      </x:c>
      <x:c r="F26" s="46" t="str">
        <x:v>SRC-CRAYFISH-TAIL-001</x:v>
      </x:c>
      <x:c r="G26" s="46" t="str">
        <x:v>Aldehydes</x:v>
      </x:c>
      <x:c r="H26" s="46" t="str">
        <x:v>B7</x:v>
      </x:c>
      <x:c r="I26" s="46" t="str">
        <x:v>Butanal-M</x:v>
      </x:c>
      <x:c r="J26" s="46" t="str">
        <x:v>123-72-8</x:v>
      </x:c>
      <x:c r="K26" s="46" t="n">
        <x:v>259.743</x:v>
      </x:c>
      <x:c r="L26" s="46" t="n">
        <x:v>850.8</x:v>
      </x:c>
      <x:c r="M26" s="46" t="n">
        <x:v>1.11672</x:v>
      </x:c>
      <x:c r="N26" s="46" t="n">
        <x:v>12.6</x:v>
      </x:c>
      <x:c r="O26" s="46" t="n">
        <x:v>12.34</x:v>
      </x:c>
      <x:c r="P26" s="46" t="n">
        <x:v>10.77</x:v>
      </x:c>
      <x:c r="Q26" s="46" t="n">
        <x:v>11.29</x:v>
      </x:c>
      <x:c r="R26" s="46" t="str">
        <x:v>relative content (%)</x:v>
      </x:c>
      <x:c r="S26" s="46" t="str">
        <x:v>GC-IMS; source reports CAS + RI + RT + drift time; M/D analytical features preserved</x:v>
      </x:c>
      <x:c r="T26" s="46"/>
      <x:c r="U26" s="46" t="str">
        <x:v>strong_retention_metadata_no_numeric_match_factor</x:v>
      </x:c>
      <x:c r="V26" s="46" t="str">
        <x:v>HW/HB include hepatopancreas; HB/NHB include beer</x:v>
      </x:c>
      <x:c r="W26" s="46" t="str">
        <x:v>HW=with hepatopancreas/water; NHW=no hepatopancreas/water; HB=with hepatopancreas/beer; NHB=no hepatopancreas/beer. Beer and hepatopancreas remain overlays, not intrinsic tail chemistry.</x:v>
      </x:c>
    </x:row>
    <x:row r="27" ht="26.399999618530273" hidden="0" customHeight="1">
      <x:c r="A27" s="46" t="str">
        <x:v>DCRAY-026</x:v>
      </x:c>
      <x:c r="B27" s="46" t="str">
        <x:v>crustacean:crayfish_tail</x:v>
      </x:c>
      <x:c r="C27" s="46" t="str">
        <x:v>family:crustacean</x:v>
      </x:c>
      <x:c r="D27" s="46" t="str">
        <x:v>Procambarus clarkii tail meat</x:v>
      </x:c>
      <x:c r="E27" s="46" t="str">
        <x:v>cooked in water/beer, with/without hepatopancreas</x:v>
      </x:c>
      <x:c r="F27" s="46" t="str">
        <x:v>SRC-CRAYFISH-TAIL-001</x:v>
      </x:c>
      <x:c r="G27" s="46" t="str">
        <x:v>Aldehydes</x:v>
      </x:c>
      <x:c r="H27" s="46" t="str">
        <x:v>B8</x:v>
      </x:c>
      <x:c r="I27" s="46" t="str">
        <x:v>Butanal-D</x:v>
      </x:c>
      <x:c r="J27" s="46" t="str">
        <x:v>123-72-8</x:v>
      </x:c>
      <x:c r="K27" s="46" t="n">
        <x:v>252.485</x:v>
      </x:c>
      <x:c r="L27" s="46" t="n">
        <x:v>838.2</x:v>
      </x:c>
      <x:c r="M27" s="46" t="n">
        <x:v>1.27857</x:v>
      </x:c>
      <x:c r="N27" s="46" t="n">
        <x:v>0.52</x:v>
      </x:c>
      <x:c r="O27" s="46" t="n">
        <x:v>0.42</x:v>
      </x:c>
      <x:c r="P27" s="46" t="n">
        <x:v>0.36</x:v>
      </x:c>
      <x:c r="Q27" s="46" t="n">
        <x:v>0.34</x:v>
      </x:c>
      <x:c r="R27" s="46" t="str">
        <x:v>relative content (%)</x:v>
      </x:c>
      <x:c r="S27" s="46" t="str">
        <x:v>GC-IMS; source reports CAS + RI + RT + drift time; M/D analytical features preserved</x:v>
      </x:c>
      <x:c r="T27" s="46"/>
      <x:c r="U27" s="46" t="str">
        <x:v>strong_retention_metadata_no_numeric_match_factor</x:v>
      </x:c>
      <x:c r="V27" s="46" t="str">
        <x:v>HW/HB include hepatopancreas; HB/NHB include beer</x:v>
      </x:c>
      <x:c r="W27" s="46" t="str">
        <x:v>HW=with hepatopancreas/water; NHW=no hepatopancreas/water; HB=with hepatopancreas/beer; NHB=no hepatopancreas/beer. Beer and hepatopancreas remain overlays, not intrinsic tail chemistry.</x:v>
      </x:c>
    </x:row>
    <x:row r="28" ht="26.399999618530273" hidden="0" customHeight="1">
      <x:c r="A28" s="46" t="str">
        <x:v>DCRAY-027</x:v>
      </x:c>
      <x:c r="B28" s="46" t="str">
        <x:v>crustacean:crayfish_tail</x:v>
      </x:c>
      <x:c r="C28" s="46" t="str">
        <x:v>family:crustacean</x:v>
      </x:c>
      <x:c r="D28" s="46" t="str">
        <x:v>Procambarus clarkii tail meat</x:v>
      </x:c>
      <x:c r="E28" s="46" t="str">
        <x:v>cooked in water/beer, with/without hepatopancreas</x:v>
      </x:c>
      <x:c r="F28" s="46" t="str">
        <x:v>SRC-CRAYFISH-TAIL-001</x:v>
      </x:c>
      <x:c r="G28" s="46" t="str">
        <x:v>Aldehydes</x:v>
      </x:c>
      <x:c r="H28" s="46" t="str">
        <x:v>B9</x:v>
      </x:c>
      <x:c r="I28" s="46" t="str">
        <x:v>Acrolein</x:v>
      </x:c>
      <x:c r="J28" s="46" t="str">
        <x:v>107-02-8</x:v>
      </x:c>
      <x:c r="K28" s="46" t="n">
        <x:v>250.126</x:v>
      </x:c>
      <x:c r="L28" s="46" t="n">
        <x:v>834.1</x:v>
      </x:c>
      <x:c r="M28" s="46" t="n">
        <x:v>1.06277</x:v>
      </x:c>
      <x:c r="N28" s="46" t="n">
        <x:v>1.38</x:v>
      </x:c>
      <x:c r="O28" s="46" t="n">
        <x:v>1.57</x:v>
      </x:c>
      <x:c r="P28" s="46" t="n">
        <x:v>1.04</x:v>
      </x:c>
      <x:c r="Q28" s="46" t="n">
        <x:v>1.09</x:v>
      </x:c>
      <x:c r="R28" s="46" t="str">
        <x:v>relative content (%)</x:v>
      </x:c>
      <x:c r="S28" s="46" t="str">
        <x:v>GC-IMS; source reports CAS + RI + RT + drift time; M/D analytical features preserved</x:v>
      </x:c>
      <x:c r="T28" s="46"/>
      <x:c r="U28" s="46" t="str">
        <x:v>strong_retention_metadata_no_numeric_match_factor</x:v>
      </x:c>
      <x:c r="V28" s="46" t="str">
        <x:v>HW/HB include hepatopancreas; HB/NHB include beer</x:v>
      </x:c>
      <x:c r="W28" s="46" t="str">
        <x:v>HW=with hepatopancreas/water; NHW=no hepatopancreas/water; HB=with hepatopancreas/beer; NHB=no hepatopancreas/beer. Beer and hepatopancreas remain overlays, not intrinsic tail chemistry.</x:v>
      </x:c>
    </x:row>
    <x:row r="29" ht="26.399999618530273" hidden="0" customHeight="1">
      <x:c r="A29" s="46" t="str">
        <x:v>DCRAY-028</x:v>
      </x:c>
      <x:c r="B29" s="46" t="str">
        <x:v>crustacean:crayfish_tail</x:v>
      </x:c>
      <x:c r="C29" s="46" t="str">
        <x:v>family:crustacean</x:v>
      </x:c>
      <x:c r="D29" s="46" t="str">
        <x:v>Procambarus clarkii tail meat</x:v>
      </x:c>
      <x:c r="E29" s="46" t="str">
        <x:v>cooked in water/beer, with/without hepatopancreas</x:v>
      </x:c>
      <x:c r="F29" s="46" t="str">
        <x:v>SRC-CRAYFISH-TAIL-001</x:v>
      </x:c>
      <x:c r="G29" s="46" t="str">
        <x:v>Alcohols</x:v>
      </x:c>
      <x:c r="H29" s="46" t="str">
        <x:v>C1</x:v>
      </x:c>
      <x:c r="I29" s="46" t="str">
        <x:v>2-hexen-1-ol</x:v>
      </x:c>
      <x:c r="J29" s="46" t="str">
        <x:v>2305-21-7</x:v>
      </x:c>
      <x:c r="K29" s="46" t="n">
        <x:v>1321.665</x:v>
      </x:c>
      <x:c r="L29" s="46" t="n">
        <x:v>1396.2</x:v>
      </x:c>
      <x:c r="M29" s="46" t="n">
        <x:v>1.51602</x:v>
      </x:c>
      <x:c r="N29" s="46" t="n">
        <x:v>0.43</x:v>
      </x:c>
      <x:c r="O29" s="46" t="n">
        <x:v>0.94</x:v>
      </x:c>
      <x:c r="P29" s="46" t="n">
        <x:v>0.86</x:v>
      </x:c>
      <x:c r="Q29" s="46" t="n">
        <x:v>0.74</x:v>
      </x:c>
      <x:c r="R29" s="46" t="str">
        <x:v>relative content (%)</x:v>
      </x:c>
      <x:c r="S29" s="46" t="str">
        <x:v>GC-IMS; source reports CAS + RI + RT + drift time; M/D analytical features preserved</x:v>
      </x:c>
      <x:c r="T29" s="46"/>
      <x:c r="U29" s="46" t="str">
        <x:v>strong_retention_metadata_no_numeric_match_factor</x:v>
      </x:c>
      <x:c r="V29" s="46" t="str">
        <x:v>HW/HB include hepatopancreas; HB/NHB include beer</x:v>
      </x:c>
      <x:c r="W29" s="46" t="str">
        <x:v>HW=with hepatopancreas/water; NHW=no hepatopancreas/water; HB=with hepatopancreas/beer; NHB=no hepatopancreas/beer. Beer and hepatopancreas remain overlays, not intrinsic tail chemistry.</x:v>
      </x:c>
    </x:row>
    <x:row r="30" ht="26.399999618530273" hidden="0" customHeight="1">
      <x:c r="A30" s="46" t="str">
        <x:v>DCRAY-029</x:v>
      </x:c>
      <x:c r="B30" s="46" t="str">
        <x:v>crustacean:crayfish_tail</x:v>
      </x:c>
      <x:c r="C30" s="46" t="str">
        <x:v>family:crustacean</x:v>
      </x:c>
      <x:c r="D30" s="46" t="str">
        <x:v>Procambarus clarkii tail meat</x:v>
      </x:c>
      <x:c r="E30" s="46" t="str">
        <x:v>cooked in water/beer, with/without hepatopancreas</x:v>
      </x:c>
      <x:c r="F30" s="46" t="str">
        <x:v>SRC-CRAYFISH-TAIL-001</x:v>
      </x:c>
      <x:c r="G30" s="46" t="str">
        <x:v>Alcohols</x:v>
      </x:c>
      <x:c r="H30" s="46" t="str">
        <x:v>C2</x:v>
      </x:c>
      <x:c r="I30" s="46" t="str">
        <x:v>1-Pentanol</x:v>
      </x:c>
      <x:c r="J30" s="46" t="str">
        <x:v>71-41-0</x:v>
      </x:c>
      <x:c r="K30" s="46" t="n">
        <x:v>891.448</x:v>
      </x:c>
      <x:c r="L30" s="46" t="n">
        <x:v>1256</x:v>
      </x:c>
      <x:c r="M30" s="46" t="n">
        <x:v>1.25698</x:v>
      </x:c>
      <x:c r="N30" s="46" t="n">
        <x:v>2.66</x:v>
      </x:c>
      <x:c r="O30" s="46" t="n">
        <x:v>2.63</x:v>
      </x:c>
      <x:c r="P30" s="46" t="n">
        <x:v>2.55</x:v>
      </x:c>
      <x:c r="Q30" s="46" t="n">
        <x:v>1.66</x:v>
      </x:c>
      <x:c r="R30" s="46" t="str">
        <x:v>relative content (%)</x:v>
      </x:c>
      <x:c r="S30" s="46" t="str">
        <x:v>GC-IMS; source reports CAS + RI + RT + drift time; M/D analytical features preserved</x:v>
      </x:c>
      <x:c r="T30" s="46"/>
      <x:c r="U30" s="46" t="str">
        <x:v>strong_retention_metadata_no_numeric_match_factor</x:v>
      </x:c>
      <x:c r="V30" s="46" t="str">
        <x:v>HW/HB include hepatopancreas; HB/NHB include beer</x:v>
      </x:c>
      <x:c r="W30" s="46" t="str">
        <x:v>HW=with hepatopancreas/water; NHW=no hepatopancreas/water; HB=with hepatopancreas/beer; NHB=no hepatopancreas/beer. Beer and hepatopancreas remain overlays, not intrinsic tail chemistry.</x:v>
      </x:c>
    </x:row>
    <x:row r="31" ht="26.399999618530273" hidden="0" customHeight="1">
      <x:c r="A31" s="46" t="str">
        <x:v>DCRAY-030</x:v>
      </x:c>
      <x:c r="B31" s="46" t="str">
        <x:v>crustacean:crayfish_tail</x:v>
      </x:c>
      <x:c r="C31" s="46" t="str">
        <x:v>family:crustacean</x:v>
      </x:c>
      <x:c r="D31" s="46" t="str">
        <x:v>Procambarus clarkii tail meat</x:v>
      </x:c>
      <x:c r="E31" s="46" t="str">
        <x:v>cooked in water/beer, with/without hepatopancreas</x:v>
      </x:c>
      <x:c r="F31" s="46" t="str">
        <x:v>SRC-CRAYFISH-TAIL-001</x:v>
      </x:c>
      <x:c r="G31" s="46" t="str">
        <x:v>Alcohols</x:v>
      </x:c>
      <x:c r="H31" s="46" t="str">
        <x:v>C3</x:v>
      </x:c>
      <x:c r="I31" s="46" t="str">
        <x:v>1-Butanol, 3-methyl-M</x:v>
      </x:c>
      <x:c r="J31" s="46" t="str">
        <x:v>123-51-3</x:v>
      </x:c>
      <x:c r="K31" s="46" t="n">
        <x:v>737.85</x:v>
      </x:c>
      <x:c r="L31" s="46" t="n">
        <x:v>1208.8</x:v>
      </x:c>
      <x:c r="M31" s="46" t="n">
        <x:v>1.2437</x:v>
      </x:c>
      <x:c r="N31" s="46" t="n">
        <x:v>0.37</x:v>
      </x:c>
      <x:c r="O31" s="46" t="n">
        <x:v>0.39</x:v>
      </x:c>
      <x:c r="P31" s="46" t="n">
        <x:v>5.51</x:v>
      </x:c>
      <x:c r="Q31" s="46" t="n">
        <x:v>5.36</x:v>
      </x:c>
      <x:c r="R31" s="46" t="str">
        <x:v>relative content (%)</x:v>
      </x:c>
      <x:c r="S31" s="46" t="str">
        <x:v>GC-IMS; source reports CAS + RI + RT + drift time; M/D analytical features preserved</x:v>
      </x:c>
      <x:c r="T31" s="46"/>
      <x:c r="U31" s="46" t="str">
        <x:v>strong_retention_metadata_no_numeric_match_factor</x:v>
      </x:c>
      <x:c r="V31" s="46" t="str">
        <x:v>HW/HB include hepatopancreas; HB/NHB include beer</x:v>
      </x:c>
      <x:c r="W31" s="46" t="str">
        <x:v>HW=with hepatopancreas/water; NHW=no hepatopancreas/water; HB=with hepatopancreas/beer; NHB=no hepatopancreas/beer. Beer and hepatopancreas remain overlays, not intrinsic tail chemistry.</x:v>
      </x:c>
    </x:row>
    <x:row r="32" ht="26.399999618530273" hidden="0" customHeight="1">
      <x:c r="A32" s="46" t="str">
        <x:v>DCRAY-031</x:v>
      </x:c>
      <x:c r="B32" s="46" t="str">
        <x:v>crustacean:crayfish_tail</x:v>
      </x:c>
      <x:c r="C32" s="46" t="str">
        <x:v>family:crustacean</x:v>
      </x:c>
      <x:c r="D32" s="46" t="str">
        <x:v>Procambarus clarkii tail meat</x:v>
      </x:c>
      <x:c r="E32" s="46" t="str">
        <x:v>cooked in water/beer, with/without hepatopancreas</x:v>
      </x:c>
      <x:c r="F32" s="46" t="str">
        <x:v>SRC-CRAYFISH-TAIL-001</x:v>
      </x:c>
      <x:c r="G32" s="46" t="str">
        <x:v>Alcohols</x:v>
      </x:c>
      <x:c r="H32" s="46" t="str">
        <x:v>C4</x:v>
      </x:c>
      <x:c r="I32" s="46" t="str">
        <x:v>1-Butanol, 3-methyl-D</x:v>
      </x:c>
      <x:c r="J32" s="46" t="str">
        <x:v>123-51-3</x:v>
      </x:c>
      <x:c r="K32" s="46" t="n">
        <x:v>735.012</x:v>
      </x:c>
      <x:c r="L32" s="46" t="n">
        <x:v>1207.9</x:v>
      </x:c>
      <x:c r="M32" s="46" t="n">
        <x:v>1.4956</x:v>
      </x:c>
      <x:c r="N32" s="46" t="n">
        <x:v>0.15</x:v>
      </x:c>
      <x:c r="O32" s="46" t="n">
        <x:v>0.16</x:v>
      </x:c>
      <x:c r="P32" s="46" t="n">
        <x:v>4.82</x:v>
      </x:c>
      <x:c r="Q32" s="46" t="n">
        <x:v>4.4</x:v>
      </x:c>
      <x:c r="R32" s="46" t="str">
        <x:v>relative content (%)</x:v>
      </x:c>
      <x:c r="S32" s="46" t="str">
        <x:v>GC-IMS; source reports CAS + RI + RT + drift time; M/D analytical features preserved</x:v>
      </x:c>
      <x:c r="T32" s="46"/>
      <x:c r="U32" s="46" t="str">
        <x:v>strong_retention_metadata_no_numeric_match_factor</x:v>
      </x:c>
      <x:c r="V32" s="46" t="str">
        <x:v>HW/HB include hepatopancreas; HB/NHB include beer</x:v>
      </x:c>
      <x:c r="W32" s="46" t="str">
        <x:v>HW=with hepatopancreas/water; NHW=no hepatopancreas/water; HB=with hepatopancreas/beer; NHB=no hepatopancreas/beer. Beer and hepatopancreas remain overlays, not intrinsic tail chemistry.</x:v>
      </x:c>
    </x:row>
    <x:row r="33" ht="26.399999618530273" hidden="0" customHeight="1">
      <x:c r="A33" s="46" t="str">
        <x:v>DCRAY-032</x:v>
      </x:c>
      <x:c r="B33" s="46" t="str">
        <x:v>crustacean:crayfish_tail</x:v>
      </x:c>
      <x:c r="C33" s="46" t="str">
        <x:v>family:crustacean</x:v>
      </x:c>
      <x:c r="D33" s="46" t="str">
        <x:v>Procambarus clarkii tail meat</x:v>
      </x:c>
      <x:c r="E33" s="46" t="str">
        <x:v>cooked in water/beer, with/without hepatopancreas</x:v>
      </x:c>
      <x:c r="F33" s="46" t="str">
        <x:v>SRC-CRAYFISH-TAIL-001</x:v>
      </x:c>
      <x:c r="G33" s="46" t="str">
        <x:v>Alcohols</x:v>
      </x:c>
      <x:c r="H33" s="46" t="str">
        <x:v>C5</x:v>
      </x:c>
      <x:c r="I33" s="46" t="str">
        <x:v>1-Penten-3-ol</x:v>
      </x:c>
      <x:c r="J33" s="46" t="str">
        <x:v>616-25-1</x:v>
      </x:c>
      <x:c r="K33" s="46" t="n">
        <x:v>603.581</x:v>
      </x:c>
      <x:c r="L33" s="46" t="n">
        <x:v>1157.1</x:v>
      </x:c>
      <x:c r="M33" s="46" t="n">
        <x:v>0.94234</x:v>
      </x:c>
      <x:c r="N33" s="46" t="n">
        <x:v>0.89</x:v>
      </x:c>
      <x:c r="O33" s="46" t="n">
        <x:v>1.03</x:v>
      </x:c>
      <x:c r="P33" s="46" t="n">
        <x:v>0.73</x:v>
      </x:c>
      <x:c r="Q33" s="46" t="n">
        <x:v>0.74</x:v>
      </x:c>
      <x:c r="R33" s="46" t="str">
        <x:v>relative content (%)</x:v>
      </x:c>
      <x:c r="S33" s="46" t="str">
        <x:v>GC-IMS; source reports CAS + RI + RT + drift time; M/D analytical features preserved</x:v>
      </x:c>
      <x:c r="T33" s="46"/>
      <x:c r="U33" s="46" t="str">
        <x:v>strong_retention_metadata_no_numeric_match_factor</x:v>
      </x:c>
      <x:c r="V33" s="46" t="str">
        <x:v>HW/HB include hepatopancreas; HB/NHB include beer</x:v>
      </x:c>
      <x:c r="W33" s="46" t="str">
        <x:v>HW=with hepatopancreas/water; NHW=no hepatopancreas/water; HB=with hepatopancreas/beer; NHB=no hepatopancreas/beer. Beer and hepatopancreas remain overlays, not intrinsic tail chemistry.</x:v>
      </x:c>
    </x:row>
    <x:row r="34" ht="26.399999618530273" hidden="0" customHeight="1">
      <x:c r="A34" s="46" t="str">
        <x:v>DCRAY-033</x:v>
      </x:c>
      <x:c r="B34" s="46" t="str">
        <x:v>crustacean:crayfish_tail</x:v>
      </x:c>
      <x:c r="C34" s="46" t="str">
        <x:v>family:crustacean</x:v>
      </x:c>
      <x:c r="D34" s="46" t="str">
        <x:v>Procambarus clarkii tail meat</x:v>
      </x:c>
      <x:c r="E34" s="46" t="str">
        <x:v>cooked in water/beer, with/without hepatopancreas</x:v>
      </x:c>
      <x:c r="F34" s="46" t="str">
        <x:v>SRC-CRAYFISH-TAIL-001</x:v>
      </x:c>
      <x:c r="G34" s="46" t="str">
        <x:v>Alcohols</x:v>
      </x:c>
      <x:c r="H34" s="46" t="str">
        <x:v>C6</x:v>
      </x:c>
      <x:c r="I34" s="46" t="str">
        <x:v>1-Butanol-D</x:v>
      </x:c>
      <x:c r="J34" s="46" t="str">
        <x:v>71-36-3</x:v>
      </x:c>
      <x:c r="K34" s="46" t="n">
        <x:v>564.119</x:v>
      </x:c>
      <x:c r="L34" s="46" t="n">
        <x:v>1139.8</x:v>
      </x:c>
      <x:c r="M34" s="46" t="n">
        <x:v>1.38298</x:v>
      </x:c>
      <x:c r="N34" s="46" t="n">
        <x:v>0.09</x:v>
      </x:c>
      <x:c r="O34" s="46" t="n">
        <x:v>0.42</x:v>
      </x:c>
      <x:c r="P34" s="46" t="n">
        <x:v>0.07</x:v>
      </x:c>
      <x:c r="Q34" s="46" t="n">
        <x:v>0.99</x:v>
      </x:c>
      <x:c r="R34" s="46" t="str">
        <x:v>relative content (%)</x:v>
      </x:c>
      <x:c r="S34" s="46" t="str">
        <x:v>GC-IMS; source reports CAS + RI + RT + drift time; M/D analytical features preserved</x:v>
      </x:c>
      <x:c r="T34" s="46"/>
      <x:c r="U34" s="46" t="str">
        <x:v>strong_retention_metadata_no_numeric_match_factor</x:v>
      </x:c>
      <x:c r="V34" s="46" t="str">
        <x:v>HW/HB include hepatopancreas; HB/NHB include beer</x:v>
      </x:c>
      <x:c r="W34" s="46" t="str">
        <x:v>HW=with hepatopancreas/water; NHW=no hepatopancreas/water; HB=with hepatopancreas/beer; NHB=no hepatopancreas/beer. Beer and hepatopancreas remain overlays, not intrinsic tail chemistry.</x:v>
      </x:c>
    </x:row>
    <x:row r="35" ht="26.399999618530273" hidden="0" customHeight="1">
      <x:c r="A35" s="46" t="str">
        <x:v>DCRAY-034</x:v>
      </x:c>
      <x:c r="B35" s="46" t="str">
        <x:v>crustacean:crayfish_tail</x:v>
      </x:c>
      <x:c r="C35" s="46" t="str">
        <x:v>family:crustacean</x:v>
      </x:c>
      <x:c r="D35" s="46" t="str">
        <x:v>Procambarus clarkii tail meat</x:v>
      </x:c>
      <x:c r="E35" s="46" t="str">
        <x:v>cooked in water/beer, with/without hepatopancreas</x:v>
      </x:c>
      <x:c r="F35" s="46" t="str">
        <x:v>SRC-CRAYFISH-TAIL-001</x:v>
      </x:c>
      <x:c r="G35" s="46" t="str">
        <x:v>Alcohols</x:v>
      </x:c>
      <x:c r="H35" s="46" t="str">
        <x:v>C7</x:v>
      </x:c>
      <x:c r="I35" s="46" t="str">
        <x:v>1-Butanol-M</x:v>
      </x:c>
      <x:c r="J35" s="46" t="str">
        <x:v>71-36-3</x:v>
      </x:c>
      <x:c r="K35" s="46" t="n">
        <x:v>563.757</x:v>
      </x:c>
      <x:c r="L35" s="46" t="n">
        <x:v>1139.7</x:v>
      </x:c>
      <x:c r="M35" s="46" t="n">
        <x:v>1.18705</x:v>
      </x:c>
      <x:c r="N35" s="46" t="n">
        <x:v>0.36</x:v>
      </x:c>
      <x:c r="O35" s="46" t="n">
        <x:v>1.29</x:v>
      </x:c>
      <x:c r="P35" s="46" t="n">
        <x:v>0.2</x:v>
      </x:c>
      <x:c r="Q35" s="46" t="n">
        <x:v>1.23</x:v>
      </x:c>
      <x:c r="R35" s="46" t="str">
        <x:v>relative content (%)</x:v>
      </x:c>
      <x:c r="S35" s="46" t="str">
        <x:v>GC-IMS; source reports CAS + RI + RT + drift time; M/D analytical features preserved</x:v>
      </x:c>
      <x:c r="T35" s="46"/>
      <x:c r="U35" s="46" t="str">
        <x:v>strong_retention_metadata_no_numeric_match_factor</x:v>
      </x:c>
      <x:c r="V35" s="46" t="str">
        <x:v>HW/HB include hepatopancreas; HB/NHB include beer</x:v>
      </x:c>
      <x:c r="W35" s="46" t="str">
        <x:v>HW=with hepatopancreas/water; NHW=no hepatopancreas/water; HB=with hepatopancreas/beer; NHB=no hepatopancreas/beer. Beer and hepatopancreas remain overlays, not intrinsic tail chemistry.</x:v>
      </x:c>
    </x:row>
    <x:row r="36" ht="26.399999618530273" hidden="0" customHeight="1">
      <x:c r="A36" s="46" t="str">
        <x:v>DCRAY-035</x:v>
      </x:c>
      <x:c r="B36" s="46" t="str">
        <x:v>crustacean:crayfish_tail</x:v>
      </x:c>
      <x:c r="C36" s="46" t="str">
        <x:v>family:crustacean</x:v>
      </x:c>
      <x:c r="D36" s="46" t="str">
        <x:v>Procambarus clarkii tail meat</x:v>
      </x:c>
      <x:c r="E36" s="46" t="str">
        <x:v>cooked in water/beer, with/without hepatopancreas</x:v>
      </x:c>
      <x:c r="F36" s="46" t="str">
        <x:v>SRC-CRAYFISH-TAIL-001</x:v>
      </x:c>
      <x:c r="G36" s="46" t="str">
        <x:v>Alcohols</x:v>
      </x:c>
      <x:c r="H36" s="46" t="str">
        <x:v>C8</x:v>
      </x:c>
      <x:c r="I36" s="46" t="str">
        <x:v>2-Pentanol</x:v>
      </x:c>
      <x:c r="J36" s="46" t="str">
        <x:v>6032-29-7</x:v>
      </x:c>
      <x:c r="K36" s="46" t="n">
        <x:v>505.005</x:v>
      </x:c>
      <x:c r="L36" s="46" t="n">
        <x:v>1113.9</x:v>
      </x:c>
      <x:c r="M36" s="46" t="n">
        <x:v>1.2138</x:v>
      </x:c>
      <x:c r="N36" s="46" t="n">
        <x:v>3.74</x:v>
      </x:c>
      <x:c r="O36" s="46" t="n">
        <x:v>3.06</x:v>
      </x:c>
      <x:c r="P36" s="46" t="n">
        <x:v>2.25</x:v>
      </x:c>
      <x:c r="Q36" s="46" t="n">
        <x:v>2.57</x:v>
      </x:c>
      <x:c r="R36" s="46" t="str">
        <x:v>relative content (%)</x:v>
      </x:c>
      <x:c r="S36" s="46" t="str">
        <x:v>GC-IMS; source reports CAS + RI + RT + drift time; M/D analytical features preserved</x:v>
      </x:c>
      <x:c r="T36" s="46"/>
      <x:c r="U36" s="46" t="str">
        <x:v>strong_retention_metadata_no_numeric_match_factor</x:v>
      </x:c>
      <x:c r="V36" s="46" t="str">
        <x:v>HW/HB include hepatopancreas; HB/NHB include beer</x:v>
      </x:c>
      <x:c r="W36" s="46" t="str">
        <x:v>HW=with hepatopancreas/water; NHW=no hepatopancreas/water; HB=with hepatopancreas/beer; NHB=no hepatopancreas/beer. Beer and hepatopancreas remain overlays, not intrinsic tail chemistry.</x:v>
      </x:c>
    </x:row>
    <x:row r="37" ht="26.399999618530273" hidden="0" customHeight="1">
      <x:c r="A37" s="46" t="str">
        <x:v>DCRAY-036</x:v>
      </x:c>
      <x:c r="B37" s="46" t="str">
        <x:v>crustacean:crayfish_tail</x:v>
      </x:c>
      <x:c r="C37" s="46" t="str">
        <x:v>family:crustacean</x:v>
      </x:c>
      <x:c r="D37" s="46" t="str">
        <x:v>Procambarus clarkii tail meat</x:v>
      </x:c>
      <x:c r="E37" s="46" t="str">
        <x:v>cooked in water/beer, with/without hepatopancreas</x:v>
      </x:c>
      <x:c r="F37" s="46" t="str">
        <x:v>SRC-CRAYFISH-TAIL-001</x:v>
      </x:c>
      <x:c r="G37" s="46" t="str">
        <x:v>Alcohols</x:v>
      </x:c>
      <x:c r="H37" s="46" t="str">
        <x:v>C9</x:v>
      </x:c>
      <x:c r="I37" s="46" t="str">
        <x:v>1-Propanol, 2-methyl-M</x:v>
      </x:c>
      <x:c r="J37" s="46" t="str">
        <x:v>78-83-1</x:v>
      </x:c>
      <x:c r="K37" s="46" t="n">
        <x:v>465.307</x:v>
      </x:c>
      <x:c r="L37" s="46" t="n">
        <x:v>1096.1</x:v>
      </x:c>
      <x:c r="M37" s="46" t="n">
        <x:v>1.1699</x:v>
      </x:c>
      <x:c r="N37" s="46" t="n">
        <x:v>0.14</x:v>
      </x:c>
      <x:c r="O37" s="46" t="n">
        <x:v>0.15</x:v>
      </x:c>
      <x:c r="P37" s="46" t="n">
        <x:v>1.24</x:v>
      </x:c>
      <x:c r="Q37" s="46" t="n">
        <x:v>1.19</x:v>
      </x:c>
      <x:c r="R37" s="46" t="str">
        <x:v>relative content (%)</x:v>
      </x:c>
      <x:c r="S37" s="46" t="str">
        <x:v>GC-IMS; source reports CAS + RI + RT + drift time; M/D analytical features preserved</x:v>
      </x:c>
      <x:c r="T37" s="46"/>
      <x:c r="U37" s="46" t="str">
        <x:v>strong_retention_metadata_no_numeric_match_factor</x:v>
      </x:c>
      <x:c r="V37" s="46" t="str">
        <x:v>HW/HB include hepatopancreas; HB/NHB include beer</x:v>
      </x:c>
      <x:c r="W37" s="46" t="str">
        <x:v>HW=with hepatopancreas/water; NHW=no hepatopancreas/water; HB=with hepatopancreas/beer; NHB=no hepatopancreas/beer. Beer and hepatopancreas remain overlays, not intrinsic tail chemistry.</x:v>
      </x:c>
    </x:row>
    <x:row r="38" ht="26.399999618530273" hidden="0" customHeight="1">
      <x:c r="A38" s="46" t="str">
        <x:v>DCRAY-037</x:v>
      </x:c>
      <x:c r="B38" s="46" t="str">
        <x:v>crustacean:crayfish_tail</x:v>
      </x:c>
      <x:c r="C38" s="46" t="str">
        <x:v>family:crustacean</x:v>
      </x:c>
      <x:c r="D38" s="46" t="str">
        <x:v>Procambarus clarkii tail meat</x:v>
      </x:c>
      <x:c r="E38" s="46" t="str">
        <x:v>cooked in water/beer, with/without hepatopancreas</x:v>
      </x:c>
      <x:c r="F38" s="46" t="str">
        <x:v>SRC-CRAYFISH-TAIL-001</x:v>
      </x:c>
      <x:c r="G38" s="46" t="str">
        <x:v>Alcohols</x:v>
      </x:c>
      <x:c r="H38" s="46" t="str">
        <x:v>C10</x:v>
      </x:c>
      <x:c r="I38" s="46" t="str">
        <x:v>1-Propanol, 2-methyl-D</x:v>
      </x:c>
      <x:c r="J38" s="46" t="str">
        <x:v>78-83-1</x:v>
      </x:c>
      <x:c r="K38" s="46" t="n">
        <x:v>464.46</x:v>
      </x:c>
      <x:c r="L38" s="46" t="n">
        <x:v>1095.4</x:v>
      </x:c>
      <x:c r="M38" s="46" t="n">
        <x:v>1.36637</x:v>
      </x:c>
      <x:c r="N38" s="46" t="n">
        <x:v>0.17</x:v>
      </x:c>
      <x:c r="O38" s="46" t="n">
        <x:v>0.22</x:v>
      </x:c>
      <x:c r="P38" s="46" t="n">
        <x:v>1.7</x:v>
      </x:c>
      <x:c r="Q38" s="46" t="n">
        <x:v>1.48</x:v>
      </x:c>
      <x:c r="R38" s="46" t="str">
        <x:v>relative content (%)</x:v>
      </x:c>
      <x:c r="S38" s="46" t="str">
        <x:v>GC-IMS; source reports CAS + RI + RT + drift time; M/D analytical features preserved</x:v>
      </x:c>
      <x:c r="T38" s="46"/>
      <x:c r="U38" s="46" t="str">
        <x:v>strong_retention_metadata_no_numeric_match_factor</x:v>
      </x:c>
      <x:c r="V38" s="46" t="str">
        <x:v>HW/HB include hepatopancreas; HB/NHB include beer</x:v>
      </x:c>
      <x:c r="W38" s="46" t="str">
        <x:v>HW=with hepatopancreas/water; NHW=no hepatopancreas/water; HB=with hepatopancreas/beer; NHB=no hepatopancreas/beer. Beer and hepatopancreas remain overlays, not intrinsic tail chemistry.</x:v>
      </x:c>
    </x:row>
    <x:row r="39" ht="26.399999618530273" hidden="0" customHeight="1">
      <x:c r="A39" s="46" t="str">
        <x:v>DCRAY-038</x:v>
      </x:c>
      <x:c r="B39" s="46" t="str">
        <x:v>crustacean:crayfish_tail</x:v>
      </x:c>
      <x:c r="C39" s="46" t="str">
        <x:v>family:crustacean</x:v>
      </x:c>
      <x:c r="D39" s="46" t="str">
        <x:v>Procambarus clarkii tail meat</x:v>
      </x:c>
      <x:c r="E39" s="46" t="str">
        <x:v>cooked in water/beer, with/without hepatopancreas</x:v>
      </x:c>
      <x:c r="F39" s="46" t="str">
        <x:v>SRC-CRAYFISH-TAIL-001</x:v>
      </x:c>
      <x:c r="G39" s="46" t="str">
        <x:v>Alcohols</x:v>
      </x:c>
      <x:c r="H39" s="46" t="str">
        <x:v>C11</x:v>
      </x:c>
      <x:c r="I39" s="46" t="str">
        <x:v>1-Propanol-M</x:v>
      </x:c>
      <x:c r="J39" s="46" t="str">
        <x:v>71-23-8</x:v>
      </x:c>
      <x:c r="K39" s="46" t="n">
        <x:v>391.52</x:v>
      </x:c>
      <x:c r="L39" s="46" t="n">
        <x:v>1035.6</x:v>
      </x:c>
      <x:c r="M39" s="46" t="n">
        <x:v>1.11409</x:v>
      </x:c>
      <x:c r="N39" s="46" t="n">
        <x:v>1.78</x:v>
      </x:c>
      <x:c r="O39" s="46" t="n">
        <x:v>0.84</x:v>
      </x:c>
      <x:c r="P39" s="46" t="n">
        <x:v>2.4</x:v>
      </x:c>
      <x:c r="Q39" s="46" t="n">
        <x:v>2.36</x:v>
      </x:c>
      <x:c r="R39" s="46" t="str">
        <x:v>relative content (%)</x:v>
      </x:c>
      <x:c r="S39" s="46" t="str">
        <x:v>GC-IMS; source reports CAS + RI + RT + drift time; M/D analytical features preserved</x:v>
      </x:c>
      <x:c r="T39" s="46"/>
      <x:c r="U39" s="46" t="str">
        <x:v>strong_retention_metadata_no_numeric_match_factor</x:v>
      </x:c>
      <x:c r="V39" s="46" t="str">
        <x:v>HW/HB include hepatopancreas; HB/NHB include beer</x:v>
      </x:c>
      <x:c r="W39" s="46" t="str">
        <x:v>HW=with hepatopancreas/water; NHW=no hepatopancreas/water; HB=with hepatopancreas/beer; NHB=no hepatopancreas/beer. Beer and hepatopancreas remain overlays, not intrinsic tail chemistry.</x:v>
      </x:c>
    </x:row>
    <x:row r="40" ht="26.399999618530273" hidden="0" customHeight="1">
      <x:c r="A40" s="46" t="str">
        <x:v>DCRAY-039</x:v>
      </x:c>
      <x:c r="B40" s="46" t="str">
        <x:v>crustacean:crayfish_tail</x:v>
      </x:c>
      <x:c r="C40" s="46" t="str">
        <x:v>family:crustacean</x:v>
      </x:c>
      <x:c r="D40" s="46" t="str">
        <x:v>Procambarus clarkii tail meat</x:v>
      </x:c>
      <x:c r="E40" s="46" t="str">
        <x:v>cooked in water/beer, with/without hepatopancreas</x:v>
      </x:c>
      <x:c r="F40" s="46" t="str">
        <x:v>SRC-CRAYFISH-TAIL-001</x:v>
      </x:c>
      <x:c r="G40" s="46" t="str">
        <x:v>Alcohols</x:v>
      </x:c>
      <x:c r="H40" s="46" t="str">
        <x:v>C12</x:v>
      </x:c>
      <x:c r="I40" s="46" t="str">
        <x:v>1-Propanol-D</x:v>
      </x:c>
      <x:c r="J40" s="46" t="str">
        <x:v>71-23-8</x:v>
      </x:c>
      <x:c r="K40" s="46" t="n">
        <x:v>390.773</x:v>
      </x:c>
      <x:c r="L40" s="46" t="n">
        <x:v>1035</x:v>
      </x:c>
      <x:c r="M40" s="46" t="n">
        <x:v>1.25904</x:v>
      </x:c>
      <x:c r="N40" s="46" t="n">
        <x:v>0.18</x:v>
      </x:c>
      <x:c r="O40" s="46" t="n">
        <x:v>0.05</x:v>
      </x:c>
      <x:c r="P40" s="46" t="n">
        <x:v>0.32</x:v>
      </x:c>
      <x:c r="Q40" s="46" t="n">
        <x:v>0.27</x:v>
      </x:c>
      <x:c r="R40" s="46" t="str">
        <x:v>relative content (%)</x:v>
      </x:c>
      <x:c r="S40" s="46" t="str">
        <x:v>GC-IMS; source reports CAS + RI + RT + drift time; M/D analytical features preserved</x:v>
      </x:c>
      <x:c r="T40" s="46"/>
      <x:c r="U40" s="46" t="str">
        <x:v>strong_retention_metadata_no_numeric_match_factor</x:v>
      </x:c>
      <x:c r="V40" s="46" t="str">
        <x:v>HW/HB include hepatopancreas; HB/NHB include beer</x:v>
      </x:c>
      <x:c r="W40" s="46" t="str">
        <x:v>HW=with hepatopancreas/water; NHW=no hepatopancreas/water; HB=with hepatopancreas/beer; NHB=no hepatopancreas/beer. Beer and hepatopancreas remain overlays, not intrinsic tail chemistry.</x:v>
      </x:c>
    </x:row>
    <x:row r="41" ht="26.399999618530273" hidden="0" customHeight="1">
      <x:c r="A41" s="46" t="str">
        <x:v>DCRAY-040</x:v>
      </x:c>
      <x:c r="B41" s="46" t="str">
        <x:v>crustacean:crayfish_tail</x:v>
      </x:c>
      <x:c r="C41" s="46" t="str">
        <x:v>family:crustacean</x:v>
      </x:c>
      <x:c r="D41" s="46" t="str">
        <x:v>Procambarus clarkii tail meat</x:v>
      </x:c>
      <x:c r="E41" s="46" t="str">
        <x:v>cooked in water/beer, with/without hepatopancreas</x:v>
      </x:c>
      <x:c r="F41" s="46" t="str">
        <x:v>SRC-CRAYFISH-TAIL-001</x:v>
      </x:c>
      <x:c r="G41" s="46" t="str">
        <x:v>Alcohols</x:v>
      </x:c>
      <x:c r="H41" s="46" t="str">
        <x:v>C13</x:v>
      </x:c>
      <x:c r="I41" s="46" t="str">
        <x:v>Ethanol</x:v>
      </x:c>
      <x:c r="J41" s="46" t="str">
        <x:v>64-17-5</x:v>
      </x:c>
      <x:c r="K41" s="46" t="n">
        <x:v>304.252</x:v>
      </x:c>
      <x:c r="L41" s="46" t="n">
        <x:v>928.3</x:v>
      </x:c>
      <x:c r="M41" s="46" t="n">
        <x:v>1.12354</x:v>
      </x:c>
      <x:c r="N41" s="46" t="n">
        <x:v>9.03</x:v>
      </x:c>
      <x:c r="O41" s="46" t="n">
        <x:v>10.48</x:v>
      </x:c>
      <x:c r="P41" s="46" t="n">
        <x:v>12.21</x:v>
      </x:c>
      <x:c r="Q41" s="46" t="n">
        <x:v>12.24</x:v>
      </x:c>
      <x:c r="R41" s="46" t="str">
        <x:v>relative content (%)</x:v>
      </x:c>
      <x:c r="S41" s="46" t="str">
        <x:v>GC-IMS; source reports CAS + RI + RT + drift time; M/D analytical features preserved</x:v>
      </x:c>
      <x:c r="T41" s="46"/>
      <x:c r="U41" s="46" t="str">
        <x:v>strong_retention_metadata_no_numeric_match_factor</x:v>
      </x:c>
      <x:c r="V41" s="46" t="str">
        <x:v>HW/HB include hepatopancreas; HB/NHB include beer</x:v>
      </x:c>
      <x:c r="W41" s="46" t="str">
        <x:v>HW=with hepatopancreas/water; NHW=no hepatopancreas/water; HB=with hepatopancreas/beer; NHB=no hepatopancreas/beer. Beer and hepatopancreas remain overlays, not intrinsic tail chemistry.</x:v>
      </x:c>
    </x:row>
    <x:row r="42" ht="26.399999618530273" hidden="0" customHeight="1">
      <x:c r="A42" s="46" t="str">
        <x:v>DCRAY-041</x:v>
      </x:c>
      <x:c r="B42" s="46" t="str">
        <x:v>crustacean:crayfish_tail</x:v>
      </x:c>
      <x:c r="C42" s="46" t="str">
        <x:v>family:crustacean</x:v>
      </x:c>
      <x:c r="D42" s="46" t="str">
        <x:v>Procambarus clarkii tail meat</x:v>
      </x:c>
      <x:c r="E42" s="46" t="str">
        <x:v>cooked in water/beer, with/without hepatopancreas</x:v>
      </x:c>
      <x:c r="F42" s="46" t="str">
        <x:v>SRC-CRAYFISH-TAIL-001</x:v>
      </x:c>
      <x:c r="G42" s="46" t="str">
        <x:v>Alcohols</x:v>
      </x:c>
      <x:c r="H42" s="46" t="str">
        <x:v>C14</x:v>
      </x:c>
      <x:c r="I42" s="46" t="str">
        <x:v>Butyl mercaptan</x:v>
      </x:c>
      <x:c r="J42" s="46" t="str">
        <x:v>109-79-5</x:v>
      </x:c>
      <x:c r="K42" s="46" t="n">
        <x:v>297.895</x:v>
      </x:c>
      <x:c r="L42" s="46" t="n">
        <x:v>917.2</x:v>
      </x:c>
      <x:c r="M42" s="46" t="n">
        <x:v>1.95077</x:v>
      </x:c>
      <x:c r="N42" s="46" t="n">
        <x:v>0.13</x:v>
      </x:c>
      <x:c r="O42" s="46" t="n">
        <x:v>0.11</x:v>
      </x:c>
      <x:c r="P42" s="46" t="n">
        <x:v>0.06</x:v>
      </x:c>
      <x:c r="Q42" s="46" t="n">
        <x:v>0.07</x:v>
      </x:c>
      <x:c r="R42" s="46" t="str">
        <x:v>relative content (%)</x:v>
      </x:c>
      <x:c r="S42" s="46" t="str">
        <x:v>GC-IMS; source reports CAS + RI + RT + drift time; M/D analytical features preserved</x:v>
      </x:c>
      <x:c r="T42" s="46"/>
      <x:c r="U42" s="46" t="str">
        <x:v>strong_retention_metadata_no_numeric_match_factor</x:v>
      </x:c>
      <x:c r="V42" s="46" t="str">
        <x:v>HW/HB include hepatopancreas; HB/NHB include beer</x:v>
      </x:c>
      <x:c r="W42" s="46" t="str">
        <x:v>HW=with hepatopancreas/water; NHW=no hepatopancreas/water; HB=with hepatopancreas/beer; NHB=no hepatopancreas/beer. Beer and hepatopancreas remain overlays, not intrinsic tail chemistry.</x:v>
      </x:c>
    </x:row>
    <x:row r="43" ht="26.399999618530273" hidden="0" customHeight="1">
      <x:c r="A43" s="46" t="str">
        <x:v>DCRAY-042</x:v>
      </x:c>
      <x:c r="B43" s="46" t="str">
        <x:v>crustacean:crayfish_tail</x:v>
      </x:c>
      <x:c r="C43" s="46" t="str">
        <x:v>family:crustacean</x:v>
      </x:c>
      <x:c r="D43" s="46" t="str">
        <x:v>Procambarus clarkii tail meat</x:v>
      </x:c>
      <x:c r="E43" s="46" t="str">
        <x:v>cooked in water/beer, with/without hepatopancreas</x:v>
      </x:c>
      <x:c r="F43" s="46" t="str">
        <x:v>SRC-CRAYFISH-TAIL-001</x:v>
      </x:c>
      <x:c r="G43" s="46" t="str">
        <x:v>Alcohols</x:v>
      </x:c>
      <x:c r="H43" s="46" t="str">
        <x:v>C15</x:v>
      </x:c>
      <x:c r="I43" s="46" t="str">
        <x:v>2-Methyl-2-propanol</x:v>
      </x:c>
      <x:c r="J43" s="46" t="str">
        <x:v>75-65-0</x:v>
      </x:c>
      <x:c r="K43" s="46" t="n">
        <x:v>297.867</x:v>
      </x:c>
      <x:c r="L43" s="46" t="n">
        <x:v>917.2</x:v>
      </x:c>
      <x:c r="M43" s="46" t="n">
        <x:v>1.32653</x:v>
      </x:c>
      <x:c r="N43" s="46" t="n">
        <x:v>1.14</x:v>
      </x:c>
      <x:c r="O43" s="46" t="n">
        <x:v>0.82</x:v>
      </x:c>
      <x:c r="P43" s="46" t="n">
        <x:v>0.72</x:v>
      </x:c>
      <x:c r="Q43" s="46" t="n">
        <x:v>0.83</x:v>
      </x:c>
      <x:c r="R43" s="46" t="str">
        <x:v>relative content (%)</x:v>
      </x:c>
      <x:c r="S43" s="46" t="str">
        <x:v>GC-IMS; source reports CAS + RI + RT + drift time; M/D analytical features preserved</x:v>
      </x:c>
      <x:c r="T43" s="46"/>
      <x:c r="U43" s="46" t="str">
        <x:v>strong_retention_metadata_no_numeric_match_factor</x:v>
      </x:c>
      <x:c r="V43" s="46" t="str">
        <x:v>HW/HB include hepatopancreas; HB/NHB include beer</x:v>
      </x:c>
      <x:c r="W43" s="46" t="str">
        <x:v>HW=with hepatopancreas/water; NHW=no hepatopancreas/water; HB=with hepatopancreas/beer; NHB=no hepatopancreas/beer. Beer and hepatopancreas remain overlays, not intrinsic tail chemistry.</x:v>
      </x:c>
    </x:row>
    <x:row r="44" ht="26.399999618530273" hidden="0" customHeight="1">
      <x:c r="A44" s="46" t="str">
        <x:v>DCRAY-043</x:v>
      </x:c>
      <x:c r="B44" s="46" t="str">
        <x:v>crustacean:crayfish_tail</x:v>
      </x:c>
      <x:c r="C44" s="46" t="str">
        <x:v>family:crustacean</x:v>
      </x:c>
      <x:c r="D44" s="46" t="str">
        <x:v>Procambarus clarkii tail meat</x:v>
      </x:c>
      <x:c r="E44" s="46" t="str">
        <x:v>cooked in water/beer, with/without hepatopancreas</x:v>
      </x:c>
      <x:c r="F44" s="46" t="str">
        <x:v>SRC-CRAYFISH-TAIL-001</x:v>
      </x:c>
      <x:c r="G44" s="46" t="str">
        <x:v>Alcohols</x:v>
      </x:c>
      <x:c r="H44" s="46" t="str">
        <x:v>C16</x:v>
      </x:c>
      <x:c r="I44" s="46" t="str">
        <x:v>Methanol</x:v>
      </x:c>
      <x:c r="J44" s="46" t="str">
        <x:v>67-56-1</x:v>
      </x:c>
      <x:c r="K44" s="46" t="n">
        <x:v>292.387</x:v>
      </x:c>
      <x:c r="L44" s="46" t="n">
        <x:v>907.6</x:v>
      </x:c>
      <x:c r="M44" s="46" t="n">
        <x:v>1.86242</x:v>
      </x:c>
      <x:c r="N44" s="46" t="n">
        <x:v>0.69</x:v>
      </x:c>
      <x:c r="O44" s="46" t="n">
        <x:v>0.6</x:v>
      </x:c>
      <x:c r="P44" s="46" t="n">
        <x:v>0.27</x:v>
      </x:c>
      <x:c r="Q44" s="46" t="n">
        <x:v>0.24</x:v>
      </x:c>
      <x:c r="R44" s="46" t="str">
        <x:v>relative content (%)</x:v>
      </x:c>
      <x:c r="S44" s="46" t="str">
        <x:v>GC-IMS; source reports CAS + RI + RT + drift time; M/D analytical features preserved</x:v>
      </x:c>
      <x:c r="T44" s="46"/>
      <x:c r="U44" s="46" t="str">
        <x:v>strong_retention_metadata_no_numeric_match_factor</x:v>
      </x:c>
      <x:c r="V44" s="46" t="str">
        <x:v>HW/HB include hepatopancreas; HB/NHB include beer</x:v>
      </x:c>
      <x:c r="W44" s="46" t="str">
        <x:v>HW=with hepatopancreas/water; NHW=no hepatopancreas/water; HB=with hepatopancreas/beer; NHB=no hepatopancreas/beer. Beer and hepatopancreas remain overlays, not intrinsic tail chemistry.</x:v>
      </x:c>
    </x:row>
    <x:row r="45" ht="26.399999618530273" hidden="0" customHeight="1">
      <x:c r="A45" s="46" t="str">
        <x:v>DCRAY-044</x:v>
      </x:c>
      <x:c r="B45" s="46" t="str">
        <x:v>crustacean:crayfish_tail</x:v>
      </x:c>
      <x:c r="C45" s="46" t="str">
        <x:v>family:crustacean</x:v>
      </x:c>
      <x:c r="D45" s="46" t="str">
        <x:v>Procambarus clarkii tail meat</x:v>
      </x:c>
      <x:c r="E45" s="46" t="str">
        <x:v>cooked in water/beer, with/without hepatopancreas</x:v>
      </x:c>
      <x:c r="F45" s="46" t="str">
        <x:v>SRC-CRAYFISH-TAIL-001</x:v>
      </x:c>
      <x:c r="G45" s="46" t="str">
        <x:v>Alcohols</x:v>
      </x:c>
      <x:c r="H45" s="46" t="str">
        <x:v>C17</x:v>
      </x:c>
      <x:c r="I45" s="46" t="str">
        <x:v>1-Propanol, 2-methyl</x:v>
      </x:c>
      <x:c r="J45" s="46" t="str">
        <x:v>78-83-1</x:v>
      </x:c>
      <x:c r="K45" s="46" t="n">
        <x:v>505.818</x:v>
      </x:c>
      <x:c r="L45" s="46" t="n">
        <x:v>1114.3</x:v>
      </x:c>
      <x:c r="M45" s="46" t="n">
        <x:v>1.17235</x:v>
      </x:c>
      <x:c r="N45" s="46" t="n">
        <x:v>0.83</x:v>
      </x:c>
      <x:c r="O45" s="46" t="n">
        <x:v>0.71</x:v>
      </x:c>
      <x:c r="P45" s="46" t="n">
        <x:v>1.18</x:v>
      </x:c>
      <x:c r="Q45" s="46" t="n">
        <x:v>1.26</x:v>
      </x:c>
      <x:c r="R45" s="46" t="str">
        <x:v>relative content (%)</x:v>
      </x:c>
      <x:c r="S45" s="46" t="str">
        <x:v>GC-IMS; source reports CAS + RI + RT + drift time; M/D analytical features preserved</x:v>
      </x:c>
      <x:c r="T45" s="46"/>
      <x:c r="U45" s="46" t="str">
        <x:v>strong_retention_metadata_no_numeric_match_factor</x:v>
      </x:c>
      <x:c r="V45" s="46" t="str">
        <x:v>HW/HB include hepatopancreas; HB/NHB include beer</x:v>
      </x:c>
      <x:c r="W45" s="46" t="str">
        <x:v>HW=with hepatopancreas/water; NHW=no hepatopancreas/water; HB=with hepatopancreas/beer; NHB=no hepatopancreas/beer. Beer and hepatopancreas remain overlays, not intrinsic tail chemistry.</x:v>
      </x:c>
    </x:row>
    <x:row r="46" ht="26.399999618530273" hidden="0" customHeight="1">
      <x:c r="A46" s="46" t="str">
        <x:v>DCRAY-045</x:v>
      </x:c>
      <x:c r="B46" s="46" t="str">
        <x:v>crustacean:crayfish_tail</x:v>
      </x:c>
      <x:c r="C46" s="46" t="str">
        <x:v>family:crustacean</x:v>
      </x:c>
      <x:c r="D46" s="46" t="str">
        <x:v>Procambarus clarkii tail meat</x:v>
      </x:c>
      <x:c r="E46" s="46" t="str">
        <x:v>cooked in water/beer, with/without hepatopancreas</x:v>
      </x:c>
      <x:c r="F46" s="46" t="str">
        <x:v>SRC-CRAYFISH-TAIL-001</x:v>
      </x:c>
      <x:c r="G46" s="46" t="str">
        <x:v>Ketones</x:v>
      </x:c>
      <x:c r="H46" s="46" t="str">
        <x:v>D1</x:v>
      </x:c>
      <x:c r="I46" s="46" t="str">
        <x:v>Cyclohexanone</x:v>
      </x:c>
      <x:c r="J46" s="46" t="str">
        <x:v>108-94-1</x:v>
      </x:c>
      <x:c r="K46" s="46" t="n">
        <x:v>1002.576</x:v>
      </x:c>
      <x:c r="L46" s="46" t="n">
        <x:v>1290.2</x:v>
      </x:c>
      <x:c r="M46" s="46" t="n">
        <x:v>1.16058</x:v>
      </x:c>
      <x:c r="N46" s="46" t="n">
        <x:v>0.16</x:v>
      </x:c>
      <x:c r="O46" s="46" t="n">
        <x:v>0.24</x:v>
      </x:c>
      <x:c r="P46" s="46" t="n">
        <x:v>0.24</x:v>
      </x:c>
      <x:c r="Q46" s="46" t="n">
        <x:v>0.36</x:v>
      </x:c>
      <x:c r="R46" s="46" t="str">
        <x:v>relative content (%)</x:v>
      </x:c>
      <x:c r="S46" s="46" t="str">
        <x:v>GC-IMS; source reports CAS + RI + RT + drift time; M/D analytical features preserved</x:v>
      </x:c>
      <x:c r="T46" s="46"/>
      <x:c r="U46" s="46" t="str">
        <x:v>strong_retention_metadata_no_numeric_match_factor</x:v>
      </x:c>
      <x:c r="V46" s="46" t="str">
        <x:v>HW/HB include hepatopancreas; HB/NHB include beer</x:v>
      </x:c>
      <x:c r="W46" s="46" t="str">
        <x:v>HW=with hepatopancreas/water; NHW=no hepatopancreas/water; HB=with hepatopancreas/beer; NHB=no hepatopancreas/beer. Beer and hepatopancreas remain overlays, not intrinsic tail chemistry.</x:v>
      </x:c>
    </x:row>
    <x:row r="47" ht="26.399999618530273" hidden="0" customHeight="1">
      <x:c r="A47" s="46" t="str">
        <x:v>DCRAY-046</x:v>
      </x:c>
      <x:c r="B47" s="46" t="str">
        <x:v>crustacean:crayfish_tail</x:v>
      </x:c>
      <x:c r="C47" s="46" t="str">
        <x:v>family:crustacean</x:v>
      </x:c>
      <x:c r="D47" s="46" t="str">
        <x:v>Procambarus clarkii tail meat</x:v>
      </x:c>
      <x:c r="E47" s="46" t="str">
        <x:v>cooked in water/beer, with/without hepatopancreas</x:v>
      </x:c>
      <x:c r="F47" s="46" t="str">
        <x:v>SRC-CRAYFISH-TAIL-001</x:v>
      </x:c>
      <x:c r="G47" s="46" t="str">
        <x:v>Ketones</x:v>
      </x:c>
      <x:c r="H47" s="46" t="str">
        <x:v>D2</x:v>
      </x:c>
      <x:c r="I47" s="46" t="str">
        <x:v>2-Butanone, 3-hydroxy</x:v>
      </x:c>
      <x:c r="J47" s="46" t="str">
        <x:v>513-86-0</x:v>
      </x:c>
      <x:c r="K47" s="46" t="n">
        <x:v>892.072</x:v>
      </x:c>
      <x:c r="L47" s="46" t="n">
        <x:v>1256.2</x:v>
      </x:c>
      <x:c r="M47" s="46" t="n">
        <x:v>1.32964</x:v>
      </x:c>
      <x:c r="N47" s="46" t="n">
        <x:v>0.14</x:v>
      </x:c>
      <x:c r="O47" s="46" t="n">
        <x:v>0.15</x:v>
      </x:c>
      <x:c r="P47" s="46" t="n">
        <x:v>0.59</x:v>
      </x:c>
      <x:c r="Q47" s="46" t="n">
        <x:v>0.39</x:v>
      </x:c>
      <x:c r="R47" s="46" t="str">
        <x:v>relative content (%)</x:v>
      </x:c>
      <x:c r="S47" s="46" t="str">
        <x:v>GC-IMS; source reports CAS + RI + RT + drift time; M/D analytical features preserved</x:v>
      </x:c>
      <x:c r="T47" s="46"/>
      <x:c r="U47" s="46" t="str">
        <x:v>strong_retention_metadata_no_numeric_match_factor</x:v>
      </x:c>
      <x:c r="V47" s="46" t="str">
        <x:v>HW/HB include hepatopancreas; HB/NHB include beer</x:v>
      </x:c>
      <x:c r="W47" s="46" t="str">
        <x:v>HW=with hepatopancreas/water; NHW=no hepatopancreas/water; HB=with hepatopancreas/beer; NHB=no hepatopancreas/beer. Beer and hepatopancreas remain overlays, not intrinsic tail chemistry.</x:v>
      </x:c>
    </x:row>
    <x:row r="48" ht="26.399999618530273" hidden="0" customHeight="1">
      <x:c r="A48" s="46" t="str">
        <x:v>DCRAY-047</x:v>
      </x:c>
      <x:c r="B48" s="46" t="str">
        <x:v>crustacean:crayfish_tail</x:v>
      </x:c>
      <x:c r="C48" s="46" t="str">
        <x:v>family:crustacean</x:v>
      </x:c>
      <x:c r="D48" s="46" t="str">
        <x:v>Procambarus clarkii tail meat</x:v>
      </x:c>
      <x:c r="E48" s="46" t="str">
        <x:v>cooked in water/beer, with/without hepatopancreas</x:v>
      </x:c>
      <x:c r="F48" s="46" t="str">
        <x:v>SRC-CRAYFISH-TAIL-001</x:v>
      </x:c>
      <x:c r="G48" s="46" t="str">
        <x:v>Ketones</x:v>
      </x:c>
      <x:c r="H48" s="46" t="str">
        <x:v>D3</x:v>
      </x:c>
      <x:c r="I48" s="46" t="str">
        <x:v>2,6-Dimethyl-4-Heptanone</x:v>
      </x:c>
      <x:c r="J48" s="46" t="str">
        <x:v>108-83-8</x:v>
      </x:c>
      <x:c r="K48" s="46" t="n">
        <x:v>737.14</x:v>
      </x:c>
      <x:c r="L48" s="46" t="n">
        <x:v>1208.6</x:v>
      </x:c>
      <x:c r="M48" s="46" t="n">
        <x:v>1.3169</x:v>
      </x:c>
      <x:c r="N48" s="46" t="n">
        <x:v>0.13</x:v>
      </x:c>
      <x:c r="O48" s="46" t="n">
        <x:v>0.13</x:v>
      </x:c>
      <x:c r="P48" s="46" t="n">
        <x:v>1.25</x:v>
      </x:c>
      <x:c r="Q48" s="46" t="n">
        <x:v>1.27</x:v>
      </x:c>
      <x:c r="R48" s="46" t="str">
        <x:v>relative content (%)</x:v>
      </x:c>
      <x:c r="S48" s="46" t="str">
        <x:v>GC-IMS; source reports CAS + RI + RT + drift time; M/D analytical features preserved</x:v>
      </x:c>
      <x:c r="T48" s="46"/>
      <x:c r="U48" s="46" t="str">
        <x:v>strong_retention_metadata_no_numeric_match_factor</x:v>
      </x:c>
      <x:c r="V48" s="46" t="str">
        <x:v>HW/HB include hepatopancreas; HB/NHB include beer</x:v>
      </x:c>
      <x:c r="W48" s="46" t="str">
        <x:v>HW=with hepatopancreas/water; NHW=no hepatopancreas/water; HB=with hepatopancreas/beer; NHB=no hepatopancreas/beer. Beer and hepatopancreas remain overlays, not intrinsic tail chemistry.</x:v>
      </x:c>
    </x:row>
    <x:row r="49" ht="26.399999618530273" hidden="0" customHeight="1">
      <x:c r="A49" s="46" t="str">
        <x:v>DCRAY-048</x:v>
      </x:c>
      <x:c r="B49" s="46" t="str">
        <x:v>crustacean:crayfish_tail</x:v>
      </x:c>
      <x:c r="C49" s="46" t="str">
        <x:v>family:crustacean</x:v>
      </x:c>
      <x:c r="D49" s="46" t="str">
        <x:v>Procambarus clarkii tail meat</x:v>
      </x:c>
      <x:c r="E49" s="46" t="str">
        <x:v>cooked in water/beer, with/without hepatopancreas</x:v>
      </x:c>
      <x:c r="F49" s="46" t="str">
        <x:v>SRC-CRAYFISH-TAIL-001</x:v>
      </x:c>
      <x:c r="G49" s="46" t="str">
        <x:v>Ketones</x:v>
      </x:c>
      <x:c r="H49" s="46" t="str">
        <x:v>D4</x:v>
      </x:c>
      <x:c r="I49" s="46" t="str">
        <x:v>3-penten-2-one, 4-methyl</x:v>
      </x:c>
      <x:c r="J49" s="46" t="str">
        <x:v>141-79-7</x:v>
      </x:c>
      <x:c r="K49" s="46" t="n">
        <x:v>532.594</x:v>
      </x:c>
      <x:c r="L49" s="46" t="n">
        <x:v>1126</x:v>
      </x:c>
      <x:c r="M49" s="46" t="n">
        <x:v>1.12332</x:v>
      </x:c>
      <x:c r="N49" s="46" t="n">
        <x:v>0.19</x:v>
      </x:c>
      <x:c r="O49" s="46" t="n">
        <x:v>0.73</x:v>
      </x:c>
      <x:c r="P49" s="46" t="n">
        <x:v>0.51</x:v>
      </x:c>
      <x:c r="Q49" s="46" t="n">
        <x:v>0.86</x:v>
      </x:c>
      <x:c r="R49" s="46" t="str">
        <x:v>relative content (%)</x:v>
      </x:c>
      <x:c r="S49" s="46" t="str">
        <x:v>GC-IMS; source reports CAS + RI + RT + drift time; M/D analytical features preserved</x:v>
      </x:c>
      <x:c r="T49" s="46"/>
      <x:c r="U49" s="46" t="str">
        <x:v>strong_retention_metadata_no_numeric_match_factor</x:v>
      </x:c>
      <x:c r="V49" s="46" t="str">
        <x:v>HW/HB include hepatopancreas; HB/NHB include beer</x:v>
      </x:c>
      <x:c r="W49" s="46" t="str">
        <x:v>HW=with hepatopancreas/water; NHW=no hepatopancreas/water; HB=with hepatopancreas/beer; NHB=no hepatopancreas/beer. Beer and hepatopancreas remain overlays, not intrinsic tail chemistry.</x:v>
      </x:c>
    </x:row>
    <x:row r="50" ht="26.399999618530273" hidden="0" customHeight="1">
      <x:c r="A50" s="46" t="str">
        <x:v>DCRAY-049</x:v>
      </x:c>
      <x:c r="B50" s="46" t="str">
        <x:v>crustacean:crayfish_tail</x:v>
      </x:c>
      <x:c r="C50" s="46" t="str">
        <x:v>family:crustacean</x:v>
      </x:c>
      <x:c r="D50" s="46" t="str">
        <x:v>Procambarus clarkii tail meat</x:v>
      </x:c>
      <x:c r="E50" s="46" t="str">
        <x:v>cooked in water/beer, with/without hepatopancreas</x:v>
      </x:c>
      <x:c r="F50" s="46" t="str">
        <x:v>SRC-CRAYFISH-TAIL-001</x:v>
      </x:c>
      <x:c r="G50" s="46" t="str">
        <x:v>Ketones</x:v>
      </x:c>
      <x:c r="H50" s="46" t="str">
        <x:v>D5</x:v>
      </x:c>
      <x:c r="I50" s="46" t="str">
        <x:v>2-Butanone-M</x:v>
      </x:c>
      <x:c r="J50" s="46" t="str">
        <x:v>78-93-3</x:v>
      </x:c>
      <x:c r="K50" s="46" t="n">
        <x:v>291.707</x:v>
      </x:c>
      <x:c r="L50" s="46" t="n">
        <x:v>906.4</x:v>
      </x:c>
      <x:c r="M50" s="46" t="n">
        <x:v>1.06324</x:v>
      </x:c>
      <x:c r="N50" s="46" t="n">
        <x:v>0.94</x:v>
      </x:c>
      <x:c r="O50" s="46" t="n">
        <x:v>0.97</x:v>
      </x:c>
      <x:c r="P50" s="46" t="n">
        <x:v>0.66</x:v>
      </x:c>
      <x:c r="Q50" s="46" t="n">
        <x:v>0.69</x:v>
      </x:c>
      <x:c r="R50" s="46" t="str">
        <x:v>relative content (%)</x:v>
      </x:c>
      <x:c r="S50" s="46" t="str">
        <x:v>GC-IMS; source reports CAS + RI + RT + drift time; M/D analytical features preserved</x:v>
      </x:c>
      <x:c r="T50" s="46"/>
      <x:c r="U50" s="46" t="str">
        <x:v>strong_retention_metadata_no_numeric_match_factor</x:v>
      </x:c>
      <x:c r="V50" s="46" t="str">
        <x:v>HW/HB include hepatopancreas; HB/NHB include beer</x:v>
      </x:c>
      <x:c r="W50" s="46" t="str">
        <x:v>HW=with hepatopancreas/water; NHW=no hepatopancreas/water; HB=with hepatopancreas/beer; NHB=no hepatopancreas/beer. Beer and hepatopancreas remain overlays, not intrinsic tail chemistry.</x:v>
      </x:c>
    </x:row>
    <x:row r="51" ht="26.399999618530273" hidden="0" customHeight="1">
      <x:c r="A51" s="46" t="str">
        <x:v>DCRAY-050</x:v>
      </x:c>
      <x:c r="B51" s="46" t="str">
        <x:v>crustacean:crayfish_tail</x:v>
      </x:c>
      <x:c r="C51" s="46" t="str">
        <x:v>family:crustacean</x:v>
      </x:c>
      <x:c r="D51" s="46" t="str">
        <x:v>Procambarus clarkii tail meat</x:v>
      </x:c>
      <x:c r="E51" s="46" t="str">
        <x:v>cooked in water/beer, with/without hepatopancreas</x:v>
      </x:c>
      <x:c r="F51" s="46" t="str">
        <x:v>SRC-CRAYFISH-TAIL-001</x:v>
      </x:c>
      <x:c r="G51" s="46" t="str">
        <x:v>Ketones</x:v>
      </x:c>
      <x:c r="H51" s="46" t="str">
        <x:v>D6</x:v>
      </x:c>
      <x:c r="I51" s="46" t="str">
        <x:v>2-Butanone-D</x:v>
      </x:c>
      <x:c r="J51" s="46" t="str">
        <x:v>78-93-3</x:v>
      </x:c>
      <x:c r="K51" s="46" t="n">
        <x:v>290.294</x:v>
      </x:c>
      <x:c r="L51" s="46" t="n">
        <x:v>904</x:v>
      </x:c>
      <x:c r="M51" s="46" t="n">
        <x:v>1.24565</x:v>
      </x:c>
      <x:c r="N51" s="46" t="n">
        <x:v>3.07</x:v>
      </x:c>
      <x:c r="O51" s="46" t="n">
        <x:v>2.06</x:v>
      </x:c>
      <x:c r="P51" s="46" t="n">
        <x:v>2.41</x:v>
      </x:c>
      <x:c r="Q51" s="46" t="n">
        <x:v>2.75</x:v>
      </x:c>
      <x:c r="R51" s="46" t="str">
        <x:v>relative content (%)</x:v>
      </x:c>
      <x:c r="S51" s="46" t="str">
        <x:v>GC-IMS; source reports CAS + RI + RT + drift time; M/D analytical features preserved</x:v>
      </x:c>
      <x:c r="T51" s="46"/>
      <x:c r="U51" s="46" t="str">
        <x:v>strong_retention_metadata_no_numeric_match_factor</x:v>
      </x:c>
      <x:c r="V51" s="46" t="str">
        <x:v>HW/HB include hepatopancreas; HB/NHB include beer</x:v>
      </x:c>
      <x:c r="W51" s="46" t="str">
        <x:v>HW=with hepatopancreas/water; NHW=no hepatopancreas/water; HB=with hepatopancreas/beer; NHB=no hepatopancreas/beer. Beer and hepatopancreas remain overlays, not intrinsic tail chemistry.</x:v>
      </x:c>
    </x:row>
    <x:row r="52" ht="26.399999618530273" hidden="0" customHeight="1">
      <x:c r="A52" s="46" t="str">
        <x:v>DCRAY-051</x:v>
      </x:c>
      <x:c r="B52" s="46" t="str">
        <x:v>crustacean:crayfish_tail</x:v>
      </x:c>
      <x:c r="C52" s="46" t="str">
        <x:v>family:crustacean</x:v>
      </x:c>
      <x:c r="D52" s="46" t="str">
        <x:v>Procambarus clarkii tail meat</x:v>
      </x:c>
      <x:c r="E52" s="46" t="str">
        <x:v>cooked in water/beer, with/without hepatopancreas</x:v>
      </x:c>
      <x:c r="F52" s="46" t="str">
        <x:v>SRC-CRAYFISH-TAIL-001</x:v>
      </x:c>
      <x:c r="G52" s="46" t="str">
        <x:v>Ketones</x:v>
      </x:c>
      <x:c r="H52" s="46" t="str">
        <x:v>D7</x:v>
      </x:c>
      <x:c r="I52" s="46" t="str">
        <x:v>2-propanone</x:v>
      </x:c>
      <x:c r="J52" s="46" t="str">
        <x:v>67-64-1</x:v>
      </x:c>
      <x:c r="K52" s="46" t="n">
        <x:v>239.239</x:v>
      </x:c>
      <x:c r="L52" s="46" t="n">
        <x:v>815.2</x:v>
      </x:c>
      <x:c r="M52" s="46" t="n">
        <x:v>1.12102</x:v>
      </x:c>
      <x:c r="N52" s="46" t="n">
        <x:v>0.05</x:v>
      </x:c>
      <x:c r="O52" s="46" t="n">
        <x:v>0.27</x:v>
      </x:c>
      <x:c r="P52" s="46" t="n">
        <x:v>0.05</x:v>
      </x:c>
      <x:c r="Q52" s="46" t="n">
        <x:v>0.19</x:v>
      </x:c>
      <x:c r="R52" s="46" t="str">
        <x:v>relative content (%)</x:v>
      </x:c>
      <x:c r="S52" s="46" t="str">
        <x:v>GC-IMS; source reports CAS + RI + RT + drift time; M/D analytical features preserved</x:v>
      </x:c>
      <x:c r="T52" s="46"/>
      <x:c r="U52" s="46" t="str">
        <x:v>strong_retention_metadata_no_numeric_match_factor</x:v>
      </x:c>
      <x:c r="V52" s="46" t="str">
        <x:v>HW/HB include hepatopancreas; HB/NHB include beer</x:v>
      </x:c>
      <x:c r="W52" s="46" t="str">
        <x:v>HW=with hepatopancreas/water; NHW=no hepatopancreas/water; HB=with hepatopancreas/beer; NHB=no hepatopancreas/beer. Beer and hepatopancreas remain overlays, not intrinsic tail chemistry.</x:v>
      </x:c>
    </x:row>
    <x:row r="53" ht="26.399999618530273" hidden="0" customHeight="1">
      <x:c r="A53" s="46" t="str">
        <x:v>DCRAY-052</x:v>
      </x:c>
      <x:c r="B53" s="46" t="str">
        <x:v>crustacean:crayfish_tail</x:v>
      </x:c>
      <x:c r="C53" s="46" t="str">
        <x:v>family:crustacean</x:v>
      </x:c>
      <x:c r="D53" s="46" t="str">
        <x:v>Procambarus clarkii tail meat</x:v>
      </x:c>
      <x:c r="E53" s="46" t="str">
        <x:v>cooked in water/beer, with/without hepatopancreas</x:v>
      </x:c>
      <x:c r="F53" s="46" t="str">
        <x:v>SRC-CRAYFISH-TAIL-001</x:v>
      </x:c>
      <x:c r="G53" s="46" t="str">
        <x:v>Acids</x:v>
      </x:c>
      <x:c r="H53" s="46" t="str">
        <x:v>E1</x:v>
      </x:c>
      <x:c r="I53" s="46" t="str">
        <x:v>Acetic acid</x:v>
      </x:c>
      <x:c r="J53" s="46" t="str">
        <x:v>64-19-7</x:v>
      </x:c>
      <x:c r="K53" s="46" t="n">
        <x:v>1647.702</x:v>
      </x:c>
      <x:c r="L53" s="46" t="n">
        <x:v>1504.9</x:v>
      </x:c>
      <x:c r="M53" s="46" t="n">
        <x:v>1.05705</x:v>
      </x:c>
      <x:c r="N53" s="46" t="n">
        <x:v>4.35</x:v>
      </x:c>
      <x:c r="O53" s="46" t="n">
        <x:v>3.29</x:v>
      </x:c>
      <x:c r="P53" s="46" t="n">
        <x:v>3.28</x:v>
      </x:c>
      <x:c r="Q53" s="46" t="n">
        <x:v>3.49</x:v>
      </x:c>
      <x:c r="R53" s="46" t="str">
        <x:v>relative content (%)</x:v>
      </x:c>
      <x:c r="S53" s="46" t="str">
        <x:v>GC-IMS; source reports CAS + RI + RT + drift time; M/D analytical features preserved</x:v>
      </x:c>
      <x:c r="T53" s="46"/>
      <x:c r="U53" s="46" t="str">
        <x:v>strong_retention_metadata_no_numeric_match_factor</x:v>
      </x:c>
      <x:c r="V53" s="46" t="str">
        <x:v>HW/HB include hepatopancreas; HB/NHB include beer</x:v>
      </x:c>
      <x:c r="W53" s="46" t="str">
        <x:v>HW=with hepatopancreas/water; NHW=no hepatopancreas/water; HB=with hepatopancreas/beer; NHB=no hepatopancreas/beer. Beer and hepatopancreas remain overlays, not intrinsic tail chemistry.</x:v>
      </x:c>
    </x:row>
    <x:row r="54" ht="26.399999618530273" hidden="0" customHeight="1">
      <x:c r="A54" s="46" t="str">
        <x:v>DCRAY-053</x:v>
      </x:c>
      <x:c r="B54" s="46" t="str">
        <x:v>crustacean:crayfish_tail</x:v>
      </x:c>
      <x:c r="C54" s="46" t="str">
        <x:v>family:crustacean</x:v>
      </x:c>
      <x:c r="D54" s="46" t="str">
        <x:v>Procambarus clarkii tail meat</x:v>
      </x:c>
      <x:c r="E54" s="46" t="str">
        <x:v>cooked in water/beer, with/without hepatopancreas</x:v>
      </x:c>
      <x:c r="F54" s="46" t="str">
        <x:v>SRC-CRAYFISH-TAIL-001</x:v>
      </x:c>
      <x:c r="G54" s="46" t="str">
        <x:v>Alkenes</x:v>
      </x:c>
      <x:c r="H54" s="46" t="str">
        <x:v>F1</x:v>
      </x:c>
      <x:c r="I54" s="46" t="str">
        <x:v>α-terpinolene-M</x:v>
      </x:c>
      <x:c r="J54" s="46" t="str">
        <x:v>586-62-9</x:v>
      </x:c>
      <x:c r="K54" s="46" t="n">
        <x:v>1002.834</x:v>
      </x:c>
      <x:c r="L54" s="46" t="n">
        <x:v>1290.2</x:v>
      </x:c>
      <x:c r="M54" s="46" t="n">
        <x:v>1.20678</x:v>
      </x:c>
      <x:c r="N54" s="46" t="n">
        <x:v>0.05</x:v>
      </x:c>
      <x:c r="O54" s="46" t="n">
        <x:v>0.05</x:v>
      </x:c>
      <x:c r="P54" s="46" t="n">
        <x:v>0.09</x:v>
      </x:c>
      <x:c r="Q54" s="46" t="n">
        <x:v>0.13</x:v>
      </x:c>
      <x:c r="R54" s="46" t="str">
        <x:v>relative content (%)</x:v>
      </x:c>
      <x:c r="S54" s="46" t="str">
        <x:v>GC-IMS; source reports CAS + RI + RT + drift time; M/D analytical features preserved</x:v>
      </x:c>
      <x:c r="T54" s="46"/>
      <x:c r="U54" s="46" t="str">
        <x:v>strong_retention_metadata_no_numeric_match_factor</x:v>
      </x:c>
      <x:c r="V54" s="46" t="str">
        <x:v>HW/HB include hepatopancreas; HB/NHB include beer</x:v>
      </x:c>
      <x:c r="W54" s="46" t="str">
        <x:v>HW=with hepatopancreas/water; NHW=no hepatopancreas/water; HB=with hepatopancreas/beer; NHB=no hepatopancreas/beer. Beer and hepatopancreas remain overlays, not intrinsic tail chemistry.</x:v>
      </x:c>
    </x:row>
    <x:row r="55" ht="26.399999618530273" hidden="0" customHeight="1">
      <x:c r="A55" s="46" t="str">
        <x:v>DCRAY-054</x:v>
      </x:c>
      <x:c r="B55" s="46" t="str">
        <x:v>crustacean:crayfish_tail</x:v>
      </x:c>
      <x:c r="C55" s="46" t="str">
        <x:v>family:crustacean</x:v>
      </x:c>
      <x:c r="D55" s="46" t="str">
        <x:v>Procambarus clarkii tail meat</x:v>
      </x:c>
      <x:c r="E55" s="46" t="str">
        <x:v>cooked in water/beer, with/without hepatopancreas</x:v>
      </x:c>
      <x:c r="F55" s="46" t="str">
        <x:v>SRC-CRAYFISH-TAIL-001</x:v>
      </x:c>
      <x:c r="G55" s="46" t="str">
        <x:v>Alkenes</x:v>
      </x:c>
      <x:c r="H55" s="46" t="str">
        <x:v>F2</x:v>
      </x:c>
      <x:c r="I55" s="46" t="str">
        <x:v>α-terpinolene-D</x:v>
      </x:c>
      <x:c r="J55" s="46" t="str">
        <x:v>586-62-9</x:v>
      </x:c>
      <x:c r="K55" s="46" t="n">
        <x:v>971.274</x:v>
      </x:c>
      <x:c r="L55" s="46" t="n">
        <x:v>1280.5</x:v>
      </x:c>
      <x:c r="M55" s="46" t="n">
        <x:v>1.20814</x:v>
      </x:c>
      <x:c r="N55" s="46" t="n">
        <x:v>0.36</x:v>
      </x:c>
      <x:c r="O55" s="46" t="n">
        <x:v>0.37</x:v>
      </x:c>
      <x:c r="P55" s="46" t="n">
        <x:v>0.18</x:v>
      </x:c>
      <x:c r="Q55" s="46" t="n">
        <x:v>0.12</x:v>
      </x:c>
      <x:c r="R55" s="46" t="str">
        <x:v>relative content (%)</x:v>
      </x:c>
      <x:c r="S55" s="46" t="str">
        <x:v>GC-IMS; source reports CAS + RI + RT + drift time; M/D analytical features preserved</x:v>
      </x:c>
      <x:c r="T55" s="46"/>
      <x:c r="U55" s="46" t="str">
        <x:v>strong_retention_metadata_no_numeric_match_factor</x:v>
      </x:c>
      <x:c r="V55" s="46" t="str">
        <x:v>HW/HB include hepatopancreas; HB/NHB include beer</x:v>
      </x:c>
      <x:c r="W55" s="46" t="str">
        <x:v>HW=with hepatopancreas/water; NHW=no hepatopancreas/water; HB=with hepatopancreas/beer; NHB=no hepatopancreas/beer. Beer and hepatopancreas remain overlays, not intrinsic tail chemistry.</x:v>
      </x:c>
    </x:row>
    <x:row r="56" ht="26.399999618530273" hidden="0" customHeight="1">
      <x:c r="A56" s="46" t="str">
        <x:v>DCRAY-055</x:v>
      </x:c>
      <x:c r="B56" s="46" t="str">
        <x:v>crustacean:crayfish_tail</x:v>
      </x:c>
      <x:c r="C56" s="46" t="str">
        <x:v>family:crustacean</x:v>
      </x:c>
      <x:c r="D56" s="46" t="str">
        <x:v>Procambarus clarkii tail meat</x:v>
      </x:c>
      <x:c r="E56" s="46" t="str">
        <x:v>cooked in water/beer, with/without hepatopancreas</x:v>
      </x:c>
      <x:c r="F56" s="46" t="str">
        <x:v>SRC-CRAYFISH-TAIL-001</x:v>
      </x:c>
      <x:c r="G56" s="46" t="str">
        <x:v>Alkenes</x:v>
      </x:c>
      <x:c r="H56" s="46" t="str">
        <x:v>F3</x:v>
      </x:c>
      <x:c r="I56" s="46" t="str">
        <x:v>ethenylbenzene</x:v>
      </x:c>
      <x:c r="J56" s="46" t="str">
        <x:v>100-42-5</x:v>
      </x:c>
      <x:c r="K56" s="46" t="n">
        <x:v>890.313</x:v>
      </x:c>
      <x:c r="L56" s="46" t="n">
        <x:v>1255.6</x:v>
      </x:c>
      <x:c r="M56" s="46" t="n">
        <x:v>1.51391</x:v>
      </x:c>
      <x:c r="N56" s="46" t="n">
        <x:v>0.27</x:v>
      </x:c>
      <x:c r="O56" s="46" t="n">
        <x:v>0.25</x:v>
      </x:c>
      <x:c r="P56" s="46" t="n">
        <x:v>0.42</x:v>
      </x:c>
      <x:c r="Q56" s="46" t="n">
        <x:v>0.18</x:v>
      </x:c>
      <x:c r="R56" s="46" t="str">
        <x:v>relative content (%)</x:v>
      </x:c>
      <x:c r="S56" s="46" t="str">
        <x:v>GC-IMS; source reports CAS + RI + RT + drift time; M/D analytical features preserved</x:v>
      </x:c>
      <x:c r="T56" s="46"/>
      <x:c r="U56" s="46" t="str">
        <x:v>strong_retention_metadata_no_numeric_match_factor</x:v>
      </x:c>
      <x:c r="V56" s="46" t="str">
        <x:v>HW/HB include hepatopancreas; HB/NHB include beer</x:v>
      </x:c>
      <x:c r="W56" s="46" t="str">
        <x:v>HW=with hepatopancreas/water; NHW=no hepatopancreas/water; HB=with hepatopancreas/beer; NHB=no hepatopancreas/beer. Beer and hepatopancreas remain overlays, not intrinsic tail chemistry.</x:v>
      </x:c>
    </x:row>
    <x:row r="57" ht="26.399999618530273" hidden="0" customHeight="1">
      <x:c r="A57" s="46" t="str">
        <x:v>DCRAY-056</x:v>
      </x:c>
      <x:c r="B57" s="46" t="str">
        <x:v>crustacean:crayfish_tail</x:v>
      </x:c>
      <x:c r="C57" s="46" t="str">
        <x:v>family:crustacean</x:v>
      </x:c>
      <x:c r="D57" s="46" t="str">
        <x:v>Procambarus clarkii tail meat</x:v>
      </x:c>
      <x:c r="E57" s="46" t="str">
        <x:v>cooked in water/beer, with/without hepatopancreas</x:v>
      </x:c>
      <x:c r="F57" s="46" t="str">
        <x:v>SRC-CRAYFISH-TAIL-001</x:v>
      </x:c>
      <x:c r="G57" s="46" t="str">
        <x:v>Alkenes</x:v>
      </x:c>
      <x:c r="H57" s="46" t="str">
        <x:v>F4</x:v>
      </x:c>
      <x:c r="I57" s="46" t="str">
        <x:v>1-octene</x:v>
      </x:c>
      <x:c r="J57" s="46" t="str">
        <x:v>111-66-0</x:v>
      </x:c>
      <x:c r="K57" s="46" t="n">
        <x:v>247.013</x:v>
      </x:c>
      <x:c r="L57" s="46" t="n">
        <x:v>828.7</x:v>
      </x:c>
      <x:c r="M57" s="46" t="n">
        <x:v>1.4537</x:v>
      </x:c>
      <x:c r="N57" s="46" t="n">
        <x:v>0.29</x:v>
      </x:c>
      <x:c r="O57" s="46" t="n">
        <x:v>0.21</x:v>
      </x:c>
      <x:c r="P57" s="46" t="n">
        <x:v>0.12</x:v>
      </x:c>
      <x:c r="Q57" s="46" t="n">
        <x:v>0.12</x:v>
      </x:c>
      <x:c r="R57" s="46" t="str">
        <x:v>relative content (%)</x:v>
      </x:c>
      <x:c r="S57" s="46" t="str">
        <x:v>GC-IMS; source reports CAS + RI + RT + drift time; M/D analytical features preserved</x:v>
      </x:c>
      <x:c r="T57" s="46"/>
      <x:c r="U57" s="46" t="str">
        <x:v>strong_retention_metadata_no_numeric_match_factor</x:v>
      </x:c>
      <x:c r="V57" s="46" t="str">
        <x:v>HW/HB include hepatopancreas; HB/NHB include beer</x:v>
      </x:c>
      <x:c r="W57" s="46" t="str">
        <x:v>HW=with hepatopancreas/water; NHW=no hepatopancreas/water; HB=with hepatopancreas/beer; NHB=no hepatopancreas/beer. Beer and hepatopancreas remain overlays, not intrinsic tail chemistry.</x:v>
      </x:c>
    </x:row>
    <x:row r="58" ht="26.399999618530273" hidden="0" customHeight="1">
      <x:c r="A58" s="46" t="str">
        <x:v>DCRAY-057</x:v>
      </x:c>
      <x:c r="B58" s="46" t="str">
        <x:v>crustacean:crayfish_tail</x:v>
      </x:c>
      <x:c r="C58" s="46" t="str">
        <x:v>family:crustacean</x:v>
      </x:c>
      <x:c r="D58" s="46" t="str">
        <x:v>Procambarus clarkii tail meat</x:v>
      </x:c>
      <x:c r="E58" s="46" t="str">
        <x:v>cooked in water/beer, with/without hepatopancreas</x:v>
      </x:c>
      <x:c r="F58" s="46" t="str">
        <x:v>SRC-CRAYFISH-TAIL-001</x:v>
      </x:c>
      <x:c r="G58" s="46" t="str">
        <x:v>Heterocycles</x:v>
      </x:c>
      <x:c r="H58" s="46" t="str">
        <x:v>G1</x:v>
      </x:c>
      <x:c r="I58" s="46" t="str">
        <x:v>2,6-Dimethylpyridine</x:v>
      </x:c>
      <x:c r="J58" s="46" t="str">
        <x:v>108-48-5</x:v>
      </x:c>
      <x:c r="K58" s="46" t="n">
        <x:v>1050.697</x:v>
      </x:c>
      <x:c r="L58" s="46" t="n">
        <x:v>1305.8</x:v>
      </x:c>
      <x:c r="M58" s="46" t="n">
        <x:v>1.0815</x:v>
      </x:c>
      <x:c r="N58" s="46" t="n">
        <x:v>0.96</x:v>
      </x:c>
      <x:c r="O58" s="46" t="n">
        <x:v>0.66</x:v>
      </x:c>
      <x:c r="P58" s="46" t="n">
        <x:v>0.89</x:v>
      </x:c>
      <x:c r="Q58" s="46" t="n">
        <x:v>0.96</x:v>
      </x:c>
      <x:c r="R58" s="46" t="str">
        <x:v>relative content (%)</x:v>
      </x:c>
      <x:c r="S58" s="46" t="str">
        <x:v>GC-IMS; source reports CAS + RI + RT + drift time; M/D analytical features preserved</x:v>
      </x:c>
      <x:c r="T58" s="46"/>
      <x:c r="U58" s="46" t="str">
        <x:v>strong_retention_metadata_no_numeric_match_factor</x:v>
      </x:c>
      <x:c r="V58" s="46" t="str">
        <x:v>HW/HB include hepatopancreas; HB/NHB include beer</x:v>
      </x:c>
      <x:c r="W58" s="46" t="str">
        <x:v>HW=with hepatopancreas/water; NHW=no hepatopancreas/water; HB=with hepatopancreas/beer; NHB=no hepatopancreas/beer. Beer and hepatopancreas remain overlays, not intrinsic tail chemistry.</x:v>
      </x:c>
    </x:row>
    <x:row r="59" ht="26.399999618530273" hidden="0" customHeight="1">
      <x:c r="A59" s="46" t="str">
        <x:v>DCRAY-058</x:v>
      </x:c>
      <x:c r="B59" s="46" t="str">
        <x:v>crustacean:crayfish_tail</x:v>
      </x:c>
      <x:c r="C59" s="46" t="str">
        <x:v>family:crustacean</x:v>
      </x:c>
      <x:c r="D59" s="46" t="str">
        <x:v>Procambarus clarkii tail meat</x:v>
      </x:c>
      <x:c r="E59" s="46" t="str">
        <x:v>cooked in water/beer, with/without hepatopancreas</x:v>
      </x:c>
      <x:c r="F59" s="46" t="str">
        <x:v>SRC-CRAYFISH-TAIL-001</x:v>
      </x:c>
      <x:c r="G59" s="46" t="str">
        <x:v>Heterocycles</x:v>
      </x:c>
      <x:c r="H59" s="46" t="str">
        <x:v>G2</x:v>
      </x:c>
      <x:c r="I59" s="46" t="str">
        <x:v>2-Methylpyrazine</x:v>
      </x:c>
      <x:c r="J59" s="46" t="str">
        <x:v>109-08-0</x:v>
      </x:c>
      <x:c r="K59" s="46" t="n">
        <x:v>1002.616</x:v>
      </x:c>
      <x:c r="L59" s="46" t="n">
        <x:v>1290.2</x:v>
      </x:c>
      <x:c r="M59" s="46" t="n">
        <x:v>1.07393</x:v>
      </x:c>
      <x:c r="N59" s="46" t="n">
        <x:v>1.49</x:v>
      </x:c>
      <x:c r="O59" s="46" t="n">
        <x:v>1.14</x:v>
      </x:c>
      <x:c r="P59" s="46" t="n">
        <x:v>1.11</x:v>
      </x:c>
      <x:c r="Q59" s="46" t="n">
        <x:v>1.34</x:v>
      </x:c>
      <x:c r="R59" s="46" t="str">
        <x:v>relative content (%)</x:v>
      </x:c>
      <x:c r="S59" s="46" t="str">
        <x:v>GC-IMS; source reports CAS + RI + RT + drift time; M/D analytical features preserved</x:v>
      </x:c>
      <x:c r="T59" s="46"/>
      <x:c r="U59" s="46" t="str">
        <x:v>strong_retention_metadata_no_numeric_match_factor</x:v>
      </x:c>
      <x:c r="V59" s="46" t="str">
        <x:v>HW/HB include hepatopancreas; HB/NHB include beer</x:v>
      </x:c>
      <x:c r="W59" s="46" t="str">
        <x:v>HW=with hepatopancreas/water; NHW=no hepatopancreas/water; HB=with hepatopancreas/beer; NHB=no hepatopancreas/beer. Beer and hepatopancreas remain overlays, not intrinsic tail chemistry.</x:v>
      </x:c>
    </x:row>
    <x:row r="60" ht="26.399999618530273" hidden="0" customHeight="1">
      <x:c r="A60" s="46" t="str">
        <x:v>DCRAY-059</x:v>
      </x:c>
      <x:c r="B60" s="46" t="str">
        <x:v>crustacean:crayfish_tail</x:v>
      </x:c>
      <x:c r="C60" s="46" t="str">
        <x:v>family:crustacean</x:v>
      </x:c>
      <x:c r="D60" s="46" t="str">
        <x:v>Procambarus clarkii tail meat</x:v>
      </x:c>
      <x:c r="E60" s="46" t="str">
        <x:v>cooked in water/beer, with/without hepatopancreas</x:v>
      </x:c>
      <x:c r="F60" s="46" t="str">
        <x:v>SRC-CRAYFISH-TAIL-001</x:v>
      </x:c>
      <x:c r="G60" s="46" t="str">
        <x:v>Heterocycles</x:v>
      </x:c>
      <x:c r="H60" s="46" t="str">
        <x:v>G3</x:v>
      </x:c>
      <x:c r="I60" s="46" t="str">
        <x:v>2-Ethylpyridine</x:v>
      </x:c>
      <x:c r="J60" s="46" t="str">
        <x:v>100-71-0</x:v>
      </x:c>
      <x:c r="K60" s="46" t="n">
        <x:v>981.169</x:v>
      </x:c>
      <x:c r="L60" s="46" t="n">
        <x:v>1283.6</x:v>
      </x:c>
      <x:c r="M60" s="46" t="n">
        <x:v>1.11158</x:v>
      </x:c>
      <x:c r="N60" s="46" t="n">
        <x:v>0.21</x:v>
      </x:c>
      <x:c r="O60" s="46" t="n">
        <x:v>0.15</x:v>
      </x:c>
      <x:c r="P60" s="46" t="n">
        <x:v>0.11</x:v>
      </x:c>
      <x:c r="Q60" s="46" t="n">
        <x:v>0.13</x:v>
      </x:c>
      <x:c r="R60" s="46" t="str">
        <x:v>relative content (%)</x:v>
      </x:c>
      <x:c r="S60" s="46" t="str">
        <x:v>GC-IMS; source reports CAS + RI + RT + drift time; M/D analytical features preserved</x:v>
      </x:c>
      <x:c r="T60" s="46"/>
      <x:c r="U60" s="46" t="str">
        <x:v>strong_retention_metadata_no_numeric_match_factor</x:v>
      </x:c>
      <x:c r="V60" s="46" t="str">
        <x:v>HW/HB include hepatopancreas; HB/NHB include beer</x:v>
      </x:c>
      <x:c r="W60" s="46" t="str">
        <x:v>HW=with hepatopancreas/water; NHW=no hepatopancreas/water; HB=with hepatopancreas/beer; NHB=no hepatopancreas/beer. Beer and hepatopancreas remain overlays, not intrinsic tail chemistry.</x:v>
      </x:c>
    </x:row>
    <x:row r="61" ht="26.399999618530273" hidden="0" customHeight="1">
      <x:c r="A61" s="46" t="str">
        <x:v>DCRAY-060</x:v>
      </x:c>
      <x:c r="B61" s="46" t="str">
        <x:v>crustacean:crayfish_tail</x:v>
      </x:c>
      <x:c r="C61" s="46" t="str">
        <x:v>family:crustacean</x:v>
      </x:c>
      <x:c r="D61" s="46" t="str">
        <x:v>Procambarus clarkii tail meat</x:v>
      </x:c>
      <x:c r="E61" s="46" t="str">
        <x:v>cooked in water/beer, with/without hepatopancreas</x:v>
      </x:c>
      <x:c r="F61" s="46" t="str">
        <x:v>SRC-CRAYFISH-TAIL-001</x:v>
      </x:c>
      <x:c r="G61" s="46" t="str">
        <x:v>Heterocycles</x:v>
      </x:c>
      <x:c r="H61" s="46" t="str">
        <x:v>G4</x:v>
      </x:c>
      <x:c r="I61" s="46" t="str">
        <x:v>Pyrrolidine</x:v>
      </x:c>
      <x:c r="J61" s="46" t="str">
        <x:v>123-75-1</x:v>
      </x:c>
      <x:c r="K61" s="46" t="n">
        <x:v>362.954</x:v>
      </x:c>
      <x:c r="L61" s="46" t="n">
        <x:v>1012.2</x:v>
      </x:c>
      <x:c r="M61" s="46" t="n">
        <x:v>1.04098</x:v>
      </x:c>
      <x:c r="N61" s="46" t="n">
        <x:v>0.44</x:v>
      </x:c>
      <x:c r="O61" s="46" t="n">
        <x:v>0.51</x:v>
      </x:c>
      <x:c r="P61" s="46" t="n">
        <x:v>1.45</x:v>
      </x:c>
      <x:c r="Q61" s="46" t="n">
        <x:v>1.57</x:v>
      </x:c>
      <x:c r="R61" s="46" t="str">
        <x:v>relative content (%)</x:v>
      </x:c>
      <x:c r="S61" s="46" t="str">
        <x:v>GC-IMS; source reports CAS + RI + RT + drift time; M/D analytical features preserved</x:v>
      </x:c>
      <x:c r="T61" s="46"/>
      <x:c r="U61" s="46" t="str">
        <x:v>strong_retention_metadata_no_numeric_match_factor</x:v>
      </x:c>
      <x:c r="V61" s="46" t="str">
        <x:v>HW/HB include hepatopancreas; HB/NHB include beer</x:v>
      </x:c>
      <x:c r="W61" s="46" t="str">
        <x:v>HW=with hepatopancreas/water; NHW=no hepatopancreas/water; HB=with hepatopancreas/beer; NHB=no hepatopancreas/beer. Beer and hepatopancreas remain overlays, not intrinsic tail chemistry.</x:v>
      </x:c>
    </x:row>
    <x:row r="62" ht="26.399999618530273" hidden="0" customHeight="1">
      <x:c r="A62" s="46" t="str">
        <x:v>DCRAY-061</x:v>
      </x:c>
      <x:c r="B62" s="46" t="str">
        <x:v>crustacean:crayfish_tail</x:v>
      </x:c>
      <x:c r="C62" s="46" t="str">
        <x:v>family:crustacean</x:v>
      </x:c>
      <x:c r="D62" s="46" t="str">
        <x:v>Procambarus clarkii tail meat</x:v>
      </x:c>
      <x:c r="E62" s="46" t="str">
        <x:v>cooked in water/beer, with/without hepatopancreas</x:v>
      </x:c>
      <x:c r="F62" s="46" t="str">
        <x:v>SRC-CRAYFISH-TAIL-001</x:v>
      </x:c>
      <x:c r="G62" s="46" t="str">
        <x:v>Heterocycles</x:v>
      </x:c>
      <x:c r="H62" s="46" t="str">
        <x:v>G5</x:v>
      </x:c>
      <x:c r="I62" s="46" t="str">
        <x:v>2-ethyl furan</x:v>
      </x:c>
      <x:c r="J62" s="46" t="str">
        <x:v>3208-16-0</x:v>
      </x:c>
      <x:c r="K62" s="46" t="n">
        <x:v>321.031</x:v>
      </x:c>
      <x:c r="L62" s="46" t="n">
        <x:v>957.4</x:v>
      </x:c>
      <x:c r="M62" s="46" t="n">
        <x:v>1.04425</x:v>
      </x:c>
      <x:c r="N62" s="46" t="n">
        <x:v>6.36</x:v>
      </x:c>
      <x:c r="O62" s="46" t="n">
        <x:v>6.42</x:v>
      </x:c>
      <x:c r="P62" s="46" t="n">
        <x:v>1.13</x:v>
      </x:c>
      <x:c r="Q62" s="46" t="n">
        <x:v>1.42</x:v>
      </x:c>
      <x:c r="R62" s="46" t="str">
        <x:v>relative content (%)</x:v>
      </x:c>
      <x:c r="S62" s="46" t="str">
        <x:v>GC-IMS; source reports CAS + RI + RT + drift time; M/D analytical features preserved</x:v>
      </x:c>
      <x:c r="T62" s="46"/>
      <x:c r="U62" s="46" t="str">
        <x:v>strong_retention_metadata_no_numeric_match_factor</x:v>
      </x:c>
      <x:c r="V62" s="46" t="str">
        <x:v>HW/HB include hepatopancreas; HB/NHB include beer</x:v>
      </x:c>
      <x:c r="W62" s="46" t="str">
        <x:v>HW=with hepatopancreas/water; NHW=no hepatopancreas/water; HB=with hepatopancreas/beer; NHB=no hepatopancreas/beer. Beer and hepatopancreas remain overlays, not intrinsic tail chemistry.</x:v>
      </x:c>
    </x:row>
    <x:row r="63" ht="26.399999618530273" hidden="0" customHeight="1">
      <x:c r="A63" s="46" t="str">
        <x:v>DCRAY-062</x:v>
      </x:c>
      <x:c r="B63" s="46" t="str">
        <x:v>crustacean:crayfish_tail</x:v>
      </x:c>
      <x:c r="C63" s="46" t="str">
        <x:v>family:crustacean</x:v>
      </x:c>
      <x:c r="D63" s="46" t="str">
        <x:v>Procambarus clarkii tail meat</x:v>
      </x:c>
      <x:c r="E63" s="46" t="str">
        <x:v>cooked in water/beer, with/without hepatopancreas</x:v>
      </x:c>
      <x:c r="F63" s="46" t="str">
        <x:v>SRC-CRAYFISH-TAIL-001</x:v>
      </x:c>
      <x:c r="G63" s="46" t="str">
        <x:v>Heterocycles</x:v>
      </x:c>
      <x:c r="H63" s="46" t="str">
        <x:v>G6</x:v>
      </x:c>
      <x:c r="I63" s="46" t="str">
        <x:v>Tetrahydrofuran</x:v>
      </x:c>
      <x:c r="J63" s="46" t="str">
        <x:v>109-99-9</x:v>
      </x:c>
      <x:c r="K63" s="46" t="n">
        <x:v>282.786</x:v>
      </x:c>
      <x:c r="L63" s="46" t="n">
        <x:v>890.9</x:v>
      </x:c>
      <x:c r="M63" s="46" t="n">
        <x:v>1.23181</x:v>
      </x:c>
      <x:c r="N63" s="46" t="n">
        <x:v>1.24</x:v>
      </x:c>
      <x:c r="O63" s="46" t="n">
        <x:v>1.65</x:v>
      </x:c>
      <x:c r="P63" s="46" t="n">
        <x:v>1.07</x:v>
      </x:c>
      <x:c r="Q63" s="46" t="n">
        <x:v>1</x:v>
      </x:c>
      <x:c r="R63" s="46" t="str">
        <x:v>relative content (%)</x:v>
      </x:c>
      <x:c r="S63" s="46" t="str">
        <x:v>GC-IMS; source reports CAS + RI + RT + drift time; M/D analytical features preserved</x:v>
      </x:c>
      <x:c r="T63" s="46"/>
      <x:c r="U63" s="46" t="str">
        <x:v>strong_retention_metadata_no_numeric_match_factor</x:v>
      </x:c>
      <x:c r="V63" s="46" t="str">
        <x:v>HW/HB include hepatopancreas; HB/NHB include beer</x:v>
      </x:c>
      <x:c r="W63" s="46" t="str">
        <x:v>HW=with hepatopancreas/water; NHW=no hepatopancreas/water; HB=with hepatopancreas/beer; NHB=no hepatopancreas/beer. Beer and hepatopancreas remain overlays, not intrinsic tail chemistry.</x:v>
      </x:c>
    </x:row>
    <x:row r="64" ht="26.399999618530273" hidden="0" customHeight="1">
      <x:c r="A64" s="46" t="str">
        <x:v>DCRAY-063</x:v>
      </x:c>
      <x:c r="B64" s="46" t="str">
        <x:v>crustacean:crayfish_tail</x:v>
      </x:c>
      <x:c r="C64" s="46" t="str">
        <x:v>family:crustacean</x:v>
      </x:c>
      <x:c r="D64" s="46" t="str">
        <x:v>Procambarus clarkii tail meat</x:v>
      </x:c>
      <x:c r="E64" s="46" t="str">
        <x:v>cooked in water/beer, with/without hepatopancreas</x:v>
      </x:c>
      <x:c r="F64" s="46" t="str">
        <x:v>SRC-CRAYFISH-TAIL-001</x:v>
      </x:c>
      <x:c r="G64" s="46" t="str">
        <x:v>Others</x:v>
      </x:c>
      <x:c r="H64" s="46" t="str">
        <x:v>H1</x:v>
      </x:c>
      <x:c r="I64" s="46" t="str">
        <x:v>Allyl sulfide</x:v>
      </x:c>
      <x:c r="J64" s="46" t="str">
        <x:v>592-88-1</x:v>
      </x:c>
      <x:c r="K64" s="46" t="n">
        <x:v>567.74</x:v>
      </x:c>
      <x:c r="L64" s="46" t="n">
        <x:v>1141.4</x:v>
      </x:c>
      <x:c r="M64" s="46" t="n">
        <x:v>1.12044</x:v>
      </x:c>
      <x:c r="N64" s="46" t="n">
        <x:v>2.89</x:v>
      </x:c>
      <x:c r="O64" s="46" t="n">
        <x:v>3.56</x:v>
      </x:c>
      <x:c r="P64" s="46" t="n">
        <x:v>3.01</x:v>
      </x:c>
      <x:c r="Q64" s="46" t="n">
        <x:v>2.7</x:v>
      </x:c>
      <x:c r="R64" s="46" t="str">
        <x:v>relative content (%)</x:v>
      </x:c>
      <x:c r="S64" s="46" t="str">
        <x:v>GC-IMS; source reports CAS + RI + RT + drift time; M/D analytical features preserved</x:v>
      </x:c>
      <x:c r="T64" s="46"/>
      <x:c r="U64" s="46" t="str">
        <x:v>strong_retention_metadata_no_numeric_match_factor</x:v>
      </x:c>
      <x:c r="V64" s="46" t="str">
        <x:v>HW/HB include hepatopancreas; HB/NHB include beer</x:v>
      </x:c>
      <x:c r="W64" s="46" t="str">
        <x:v>HW=with hepatopancreas/water; NHW=no hepatopancreas/water; HB=with hepatopancreas/beer; NHB=no hepatopancreas/beer. Beer and hepatopancreas remain overlays, not intrinsic tail chemistry.</x:v>
      </x:c>
    </x:row>
    <x:row r="65" ht="26.399999618530273" hidden="0" customHeight="1">
      <x:c r="A65" s="46" t="str">
        <x:v>DCRAY-064</x:v>
      </x:c>
      <x:c r="B65" s="46" t="str">
        <x:v>crustacean:crayfish_tail</x:v>
      </x:c>
      <x:c r="C65" s="46" t="str">
        <x:v>family:crustacean</x:v>
      </x:c>
      <x:c r="D65" s="46" t="str">
        <x:v>Procambarus clarkii tail meat</x:v>
      </x:c>
      <x:c r="E65" s="46" t="str">
        <x:v>cooked in water/beer, with/without hepatopancreas</x:v>
      </x:c>
      <x:c r="F65" s="46" t="str">
        <x:v>SRC-CRAYFISH-TAIL-001</x:v>
      </x:c>
      <x:c r="G65" s="46" t="str">
        <x:v>Others</x:v>
      </x:c>
      <x:c r="H65" s="46" t="str">
        <x:v>H2</x:v>
      </x:c>
      <x:c r="I65" s="46" t="str">
        <x:v>ethyl benzene</x:v>
      </x:c>
      <x:c r="J65" s="46" t="str">
        <x:v>100-41-4</x:v>
      </x:c>
      <x:c r="K65" s="46" t="n">
        <x:v>506.665</x:v>
      </x:c>
      <x:c r="L65" s="46" t="n">
        <x:v>1114.6</x:v>
      </x:c>
      <x:c r="M65" s="46" t="n">
        <x:v>1.08115</x:v>
      </x:c>
      <x:c r="N65" s="46" t="n">
        <x:v>6.6</x:v>
      </x:c>
      <x:c r="O65" s="46" t="n">
        <x:v>6.53</x:v>
      </x:c>
      <x:c r="P65" s="46" t="n">
        <x:v>3.48</x:v>
      </x:c>
      <x:c r="Q65" s="46" t="n">
        <x:v>3.69</x:v>
      </x:c>
      <x:c r="R65" s="46" t="str">
        <x:v>relative content (%)</x:v>
      </x:c>
      <x:c r="S65" s="46" t="str">
        <x:v>GC-IMS; source reports CAS + RI + RT + drift time; M/D analytical features preserved</x:v>
      </x:c>
      <x:c r="T65" s="46"/>
      <x:c r="U65" s="46" t="str">
        <x:v>strong_retention_metadata_no_numeric_match_factor</x:v>
      </x:c>
      <x:c r="V65" s="46" t="str">
        <x:v>HW/HB include hepatopancreas; HB/NHB include beer</x:v>
      </x:c>
      <x:c r="W65" s="46" t="str">
        <x:v>HW=with hepatopancreas/water; NHW=no hepatopancreas/water; HB=with hepatopancreas/beer; NHB=no hepatopancreas/beer. Beer and hepatopancreas remain overlays, not intrinsic tail chemistry.</x:v>
      </x:c>
    </x:row>
    <x:row r="66" ht="26.399999618530273" hidden="0" customHeight="1">
      <x:c r="A66" s="46" t="str">
        <x:v>DCRAY-065</x:v>
      </x:c>
      <x:c r="B66" s="46" t="str">
        <x:v>crustacean:crayfish_tail</x:v>
      </x:c>
      <x:c r="C66" s="46" t="str">
        <x:v>family:crustacean</x:v>
      </x:c>
      <x:c r="D66" s="46" t="str">
        <x:v>Procambarus clarkii tail meat</x:v>
      </x:c>
      <x:c r="E66" s="46" t="str">
        <x:v>cooked in water/beer, with/without hepatopancreas</x:v>
      </x:c>
      <x:c r="F66" s="46" t="str">
        <x:v>SRC-CRAYFISH-TAIL-001</x:v>
      </x:c>
      <x:c r="G66" s="46" t="str">
        <x:v>Others</x:v>
      </x:c>
      <x:c r="H66" s="46" t="str">
        <x:v>H3</x:v>
      </x:c>
      <x:c r="I66" s="46" t="str">
        <x:v>1,4-Dioxan</x:v>
      </x:c>
      <x:c r="J66" s="46" t="str">
        <x:v>123-91-1</x:v>
      </x:c>
      <x:c r="K66" s="46" t="n">
        <x:v>448.716</x:v>
      </x:c>
      <x:c r="L66" s="46" t="n">
        <x:v>1082.5</x:v>
      </x:c>
      <x:c r="M66" s="46" t="n">
        <x:v>1.33939</x:v>
      </x:c>
      <x:c r="N66" s="46" t="n">
        <x:v>0.21</x:v>
      </x:c>
      <x:c r="O66" s="46" t="n">
        <x:v>0.36</x:v>
      </x:c>
      <x:c r="P66" s="46" t="n">
        <x:v>0.34</x:v>
      </x:c>
      <x:c r="Q66" s="46" t="n">
        <x:v>0.32</x:v>
      </x:c>
      <x:c r="R66" s="46" t="str">
        <x:v>relative content (%)</x:v>
      </x:c>
      <x:c r="S66" s="46" t="str">
        <x:v>GC-IMS; source reports CAS + RI + RT + drift time; M/D analytical features preserved</x:v>
      </x:c>
      <x:c r="T66" s="46"/>
      <x:c r="U66" s="46" t="str">
        <x:v>strong_retention_metadata_no_numeric_match_factor</x:v>
      </x:c>
      <x:c r="V66" s="46" t="str">
        <x:v>HW/HB include hepatopancreas; HB/NHB include beer</x:v>
      </x:c>
      <x:c r="W66" s="46" t="str">
        <x:v>HW=with hepatopancreas/water; NHW=no hepatopancreas/water; HB=with hepatopancreas/beer; NHB=no hepatopancreas/beer. Beer and hepatopancreas remain overlays, not intrinsic tail chemistry.</x:v>
      </x:c>
    </x:row>
    <x:row r="67" ht="26.399999618530273" hidden="0" customHeight="1">
      <x:c r="A67" s="46" t="str">
        <x:v>DCRAY-066</x:v>
      </x:c>
      <x:c r="B67" s="46" t="str">
        <x:v>crustacean:crayfish_tail</x:v>
      </x:c>
      <x:c r="C67" s="46" t="str">
        <x:v>family:crustacean</x:v>
      </x:c>
      <x:c r="D67" s="46" t="str">
        <x:v>Procambarus clarkii tail meat</x:v>
      </x:c>
      <x:c r="E67" s="46" t="str">
        <x:v>cooked in water/beer, with/without hepatopancreas</x:v>
      </x:c>
      <x:c r="F67" s="46" t="str">
        <x:v>SRC-CRAYFISH-TAIL-001</x:v>
      </x:c>
      <x:c r="G67" s="46" t="str">
        <x:v>Others</x:v>
      </x:c>
      <x:c r="H67" s="46" t="str">
        <x:v>H4</x:v>
      </x:c>
      <x:c r="I67" s="46" t="str">
        <x:v>1,1-diethoxy ethane</x:v>
      </x:c>
      <x:c r="J67" s="46" t="str">
        <x:v>105-57-7</x:v>
      </x:c>
      <x:c r="K67" s="46" t="n">
        <x:v>284.056</x:v>
      </x:c>
      <x:c r="L67" s="46" t="n">
        <x:v>893.1</x:v>
      </x:c>
      <x:c r="M67" s="46" t="n">
        <x:v>1.1196</x:v>
      </x:c>
      <x:c r="N67" s="46" t="n">
        <x:v>1.36</x:v>
      </x:c>
      <x:c r="O67" s="46" t="n">
        <x:v>1.69</x:v>
      </x:c>
      <x:c r="P67" s="46" t="n">
        <x:v>1.13</x:v>
      </x:c>
      <x:c r="Q67" s="46" t="n">
        <x:v>1.08</x:v>
      </x:c>
      <x:c r="R67" s="46" t="str">
        <x:v>relative content (%)</x:v>
      </x:c>
      <x:c r="S67" s="46" t="str">
        <x:v>GC-IMS; source reports CAS + RI + RT + drift time; M/D analytical features preserved</x:v>
      </x:c>
      <x:c r="T67" s="46"/>
      <x:c r="U67" s="46" t="str">
        <x:v>strong_retention_metadata_no_numeric_match_factor</x:v>
      </x:c>
      <x:c r="V67" s="46" t="str">
        <x:v>HW/HB include hepatopancreas; HB/NHB include beer</x:v>
      </x:c>
      <x:c r="W67" s="46" t="str">
        <x:v>HW=with hepatopancreas/water; NHW=no hepatopancreas/water; HB=with hepatopancreas/beer; NHB=no hepatopancreas/beer. Beer and hepatopancreas remain overlays, not intrinsic tail chemistry.</x:v>
      </x:c>
    </x:row>
    <x:row r="68" ht="26.399999618530273" hidden="0" customHeight="1">
      <x:c r="A68" s="46" t="str">
        <x:v>DCRAY-067</x:v>
      </x:c>
      <x:c r="B68" s="46" t="str">
        <x:v>crustacean:crayfish_tail</x:v>
      </x:c>
      <x:c r="C68" s="46" t="str">
        <x:v>family:crustacean</x:v>
      </x:c>
      <x:c r="D68" s="46" t="str">
        <x:v>Procambarus clarkii tail meat</x:v>
      </x:c>
      <x:c r="E68" s="46" t="str">
        <x:v>cooked in water/beer, with/without hepatopancreas</x:v>
      </x:c>
      <x:c r="F68" s="46" t="str">
        <x:v>SRC-CRAYFISH-TAIL-001</x:v>
      </x:c>
      <x:c r="G68" s="46" t="str">
        <x:v>Others</x:v>
      </x:c>
      <x:c r="H68" s="46" t="str">
        <x:v>H5</x:v>
      </x:c>
      <x:c r="I68" s="46" t="str">
        <x:v>Propylamine</x:v>
      </x:c>
      <x:c r="J68" s="46" t="str">
        <x:v>107-10-8</x:v>
      </x:c>
      <x:c r="K68" s="46" t="n">
        <x:v>241.732</x:v>
      </x:c>
      <x:c r="L68" s="46" t="n">
        <x:v>819.5</x:v>
      </x:c>
      <x:c r="M68" s="46" t="n">
        <x:v>1.2439</x:v>
      </x:c>
      <x:c r="N68" s="46" t="n">
        <x:v>0.13</x:v>
      </x:c>
      <x:c r="O68" s="46" t="n">
        <x:v>0.1</x:v>
      </x:c>
      <x:c r="P68" s="46" t="n">
        <x:v>0.08</x:v>
      </x:c>
      <x:c r="Q68" s="46" t="n">
        <x:v>0.07</x:v>
      </x:c>
      <x:c r="R68" s="46" t="str">
        <x:v>relative content (%)</x:v>
      </x:c>
      <x:c r="S68" s="46" t="str">
        <x:v>GC-IMS; source reports CAS + RI + RT + drift time; M/D analytical features preserved</x:v>
      </x:c>
      <x:c r="T68" s="46"/>
      <x:c r="U68" s="46" t="str">
        <x:v>strong_retention_metadata_no_numeric_match_factor</x:v>
      </x:c>
      <x:c r="V68" s="46" t="str">
        <x:v>HW/HB include hepatopancreas; HB/NHB include beer</x:v>
      </x:c>
      <x:c r="W68" s="46" t="str">
        <x:v>HW=with hepatopancreas/water; NHW=no hepatopancreas/water; HB=with hepatopancreas/beer; NHB=no hepatopancreas/beer. Beer and hepatopancreas remain overlays, not intrinsic tail chemistry.</x:v>
      </x:c>
    </x:row>
    <x:row r="69" ht="26.399999618530273" hidden="0" customHeight="1">
      <x:c r="A69" s="46" t="str">
        <x:v>DCRAY-068</x:v>
      </x:c>
      <x:c r="B69" s="46" t="str">
        <x:v>crustacean:crayfish_tail</x:v>
      </x:c>
      <x:c r="C69" s="46" t="str">
        <x:v>family:crustacean</x:v>
      </x:c>
      <x:c r="D69" s="46" t="str">
        <x:v>Procambarus clarkii tail meat</x:v>
      </x:c>
      <x:c r="E69" s="46" t="str">
        <x:v>cooked in water/beer, with/without hepatopancreas</x:v>
      </x:c>
      <x:c r="F69" s="46" t="str">
        <x:v>SRC-CRAYFISH-TAIL-001</x:v>
      </x:c>
      <x:c r="G69" s="46" t="str">
        <x:v>Others</x:v>
      </x:c>
      <x:c r="H69" s="46" t="str">
        <x:v>H6</x:v>
      </x:c>
      <x:c r="I69" s="46" t="str">
        <x:v>triethylamine</x:v>
      </x:c>
      <x:c r="J69" s="46" t="str">
        <x:v>121-44-8</x:v>
      </x:c>
      <x:c r="K69" s="46" t="n">
        <x:v>228.503</x:v>
      </x:c>
      <x:c r="L69" s="46" t="n">
        <x:v>796.5</x:v>
      </x:c>
      <x:c r="M69" s="46" t="n">
        <x:v>0.95804</x:v>
      </x:c>
      <x:c r="N69" s="46" t="n">
        <x:v>0.45</x:v>
      </x:c>
      <x:c r="O69" s="46" t="n">
        <x:v>0.58</x:v>
      </x:c>
      <x:c r="P69" s="46" t="n">
        <x:v>0.42</x:v>
      </x:c>
      <x:c r="Q69" s="46" t="n">
        <x:v>0.46</x:v>
      </x:c>
      <x:c r="R69" s="46" t="str">
        <x:v>relative content (%)</x:v>
      </x:c>
      <x:c r="S69" s="46" t="str">
        <x:v>GC-IMS; source reports CAS + RI + RT + drift time; M/D analytical features preserved</x:v>
      </x:c>
      <x:c r="T69" s="46"/>
      <x:c r="U69" s="46" t="str">
        <x:v>strong_retention_metadata_no_numeric_match_factor</x:v>
      </x:c>
      <x:c r="V69" s="46" t="str">
        <x:v>HW/HB include hepatopancreas; HB/NHB include beer</x:v>
      </x:c>
      <x:c r="W69" s="46" t="str">
        <x:v>HW=with hepatopancreas/water; NHW=no hepatopancreas/water; HB=with hepatopancreas/beer; NHB=no hepatopancreas/beer. Beer and hepatopancreas remain overlays, not intrinsic tail chemistry.</x:v>
      </x:c>
    </x:row>
  </x:sheetData>
  <x:pageMargins left="0.7" right="0.7" top="0.75" bottom="0.75" header="0.3" footer="0.3"/>
  <x:tableParts count="1">
    <x:tablePart xmlns:r="http://schemas.openxmlformats.org/officeDocument/2006/relationships" r:id="R6dea4c2d5b464d92"/>
  </x:tableParts>
</x:worksheet>
</file>

<file path=xl/worksheets/sheet98.xml><?xml version="1.0" encoding="utf-8"?>
<x:worksheet xmlns:x="http://schemas.openxmlformats.org/spreadsheetml/2006/main">
  <x:sheetFormatPr defaultRowHeight="15"/>
  <x:cols>
    <x:col min="1" max="1" width="14" hidden="0" customWidth="1"/>
    <x:col min="2" max="2" width="24" hidden="0" customWidth="1"/>
    <x:col min="3" max="3" width="22" hidden="0" customWidth="1"/>
    <x:col min="4" max="4" width="28" hidden="0" customWidth="1"/>
    <x:col min="5" max="5" width="32" hidden="0" customWidth="1"/>
    <x:col min="6" max="6" width="12" hidden="0" customWidth="1"/>
    <x:col min="7" max="7" width="34" hidden="0" customWidth="1"/>
    <x:col min="8" max="8" width="40" hidden="0" customWidth="1"/>
    <x:col min="9" max="9" width="12" hidden="0" customWidth="1"/>
    <x:col min="10" max="10" width="16" hidden="0" customWidth="1"/>
    <x:col min="11" max="11" width="16" hidden="0" customWidth="1"/>
    <x:col min="12" max="12" width="16" hidden="0" customWidth="1"/>
    <x:col min="13" max="13" width="16" hidden="0" customWidth="1"/>
    <x:col min="14" max="14" width="25" hidden="0" customWidth="1"/>
    <x:col min="15" max="15" width="64" hidden="0" customWidth="1"/>
    <x:col min="16" max="16" width="20" hidden="0" customWidth="1"/>
    <x:col min="17" max="17" width="34" hidden="0" customWidth="1"/>
    <x:col min="18" max="18" width="30" hidden="0" customWidth="1"/>
    <x:col min="19" max="19" width="78" hidden="0" customWidth="1"/>
  </x:cols>
  <x:sheetData>
    <x:row r="1" ht="15" hidden="0" customHeight="1">
      <x:c r="A1" s="260" t="str">
        <x:v>record_id</x:v>
      </x:c>
      <x:c r="B1" s="260" t="str">
        <x:v>product_id</x:v>
      </x:c>
      <x:c r="C1" s="260" t="str">
        <x:v>family_id</x:v>
      </x:c>
      <x:c r="D1" s="260" t="str">
        <x:v>state</x:v>
      </x:c>
      <x:c r="E1" s="260" t="str">
        <x:v>source_id</x:v>
      </x:c>
      <x:c r="F1" s="260" t="str">
        <x:v>source_row</x:v>
      </x:c>
      <x:c r="G1" s="260" t="str">
        <x:v>odor_descriptor</x:v>
      </x:c>
      <x:c r="H1" s="260" t="str">
        <x:v>compound_name</x:v>
      </x:c>
      <x:c r="I1" s="260" t="str">
        <x:v>column</x:v>
      </x:c>
      <x:c r="J1" s="260" t="str">
        <x:v>average_RI_DB5</x:v>
      </x:c>
      <x:c r="K1" s="260" t="str">
        <x:v>average_RI_WAX</x:v>
      </x:c>
      <x:c r="L1" s="260" t="str">
        <x:v>NIST_RI_DB5</x:v>
      </x:c>
      <x:c r="M1" s="260" t="str">
        <x:v>NIST_RI_WAX</x:v>
      </x:c>
      <x:c r="N1" s="260" t="str">
        <x:v>source_presence_pattern</x:v>
      </x:c>
      <x:c r="O1" s="260" t="str">
        <x:v>identification_basis</x:v>
      </x:c>
      <x:c r="P1" s="260" t="str">
        <x:v>numeric_match_factor</x:v>
      </x:c>
      <x:c r="Q1" s="260" t="str">
        <x:v>mr09_status</x:v>
      </x:c>
      <x:c r="R1" s="260" t="str">
        <x:v>table_role</x:v>
      </x:c>
      <x:c r="S1" s="260" t="str">
        <x:v>notes</x:v>
      </x:c>
    </x:row>
    <x:row r="2" ht="26.399999618530273" hidden="0" customHeight="1">
      <x:c r="A2" s="46" t="str">
        <x:v>DBB-001</x:v>
      </x:c>
      <x:c r="B2" s="46" t="str">
        <x:v>dairy:butter_browned</x:v>
      </x:c>
      <x:c r="C2" s="46" t="str">
        <x:v>family:dairy_carrier</x:v>
      </x:c>
      <x:c r="D2" s="46" t="str">
        <x:v>brown butter / control comparison</x:v>
      </x:c>
      <x:c r="E2" s="46" t="str">
        <x:v>SRC-BUTTER-BROWN-AROMA-001</x:v>
      </x:c>
      <x:c r="F2" s="46" t="n">
        <x:v>1</x:v>
      </x:c>
      <x:c r="G2" s="46" t="str">
        <x:v>Fruity, green</x:v>
      </x:c>
      <x:c r="H2" s="46" t="str">
        <x:v>acetaldehyde</x:v>
      </x:c>
      <x:c r="I2" s="46" t="str">
        <x:v>DB-5</x:v>
      </x:c>
      <x:c r="J2" s="46" t="str">
        <x:v>&lt;600</x:v>
      </x:c>
      <x:c r="K2" s="46"/>
      <x:c r="L2" s="46" t="str">
        <x:v>&lt;400</x:v>
      </x:c>
      <x:c r="M2" s="46"/>
      <x:c r="N2" s="46" t="str">
        <x:v>single_X</x:v>
      </x:c>
      <x:c r="O2" s="46" t="str">
        <x:v>HS-SPME-GC-FID aroma-active table; GC sniff-port odor + measured RI/NIST RI; chapter also uses GC-MS/SAFE-GCO</x:v>
      </x:c>
      <x:c r="P2" s="46"/>
      <x:c r="Q2" s="46" t="str">
        <x:v>partial_no_numeric_match_factor</x:v>
      </x:c>
      <x:c r="R2" s="46" t="str">
        <x:v>complete_aroma_active_table</x:v>
      </x:c>
      <x:c r="S2" s="46" t="str">
        <x:v>For rows with only one X in the text-extracted PDF, brown-vs-control assignment is intentionally left unresolved rather than guessed.</x:v>
      </x:c>
    </x:row>
    <x:row r="3" ht="26.399999618530273" hidden="0" customHeight="1">
      <x:c r="A3" s="46" t="str">
        <x:v>DBB-002</x:v>
      </x:c>
      <x:c r="B3" s="46" t="str">
        <x:v>dairy:butter_browned</x:v>
      </x:c>
      <x:c r="C3" s="46" t="str">
        <x:v>family:dairy_carrier</x:v>
      </x:c>
      <x:c r="D3" s="46" t="str">
        <x:v>brown butter / control comparison</x:v>
      </x:c>
      <x:c r="E3" s="46" t="str">
        <x:v>SRC-BUTTER-BROWN-AROMA-001</x:v>
      </x:c>
      <x:c r="F3" s="46" t="n">
        <x:v>2</x:v>
      </x:c>
      <x:c r="G3" s="46" t="str">
        <x:v>Cooked</x:v>
      </x:c>
      <x:c r="H3" s="46" t="str">
        <x:v>carbon disulfide</x:v>
      </x:c>
      <x:c r="I3" s="46" t="str">
        <x:v>DB-5</x:v>
      </x:c>
      <x:c r="J3" s="46" t="str">
        <x:v>&lt;600</x:v>
      </x:c>
      <x:c r="K3" s="46"/>
      <x:c r="L3" s="46" t="str">
        <x:v>100</x:v>
      </x:c>
      <x:c r="M3" s="46"/>
      <x:c r="N3" s="46" t="str">
        <x:v>single_X</x:v>
      </x:c>
      <x:c r="O3" s="46" t="str">
        <x:v>HS-SPME-GC-FID aroma-active table; GC sniff-port odor + measured RI/NIST RI; chapter also uses GC-MS/SAFE-GCO</x:v>
      </x:c>
      <x:c r="P3" s="46"/>
      <x:c r="Q3" s="46" t="str">
        <x:v>partial_no_numeric_match_factor</x:v>
      </x:c>
      <x:c r="R3" s="46" t="str">
        <x:v>complete_aroma_active_table</x:v>
      </x:c>
      <x:c r="S3" s="46" t="str">
        <x:v>For rows with only one X in the text-extracted PDF, brown-vs-control assignment is intentionally left unresolved rather than guessed.</x:v>
      </x:c>
    </x:row>
    <x:row r="4" ht="26.399999618530273" hidden="0" customHeight="1">
      <x:c r="A4" s="46" t="str">
        <x:v>DBB-003</x:v>
      </x:c>
      <x:c r="B4" s="46" t="str">
        <x:v>dairy:butter_browned</x:v>
      </x:c>
      <x:c r="C4" s="46" t="str">
        <x:v>family:dairy_carrier</x:v>
      </x:c>
      <x:c r="D4" s="46" t="str">
        <x:v>brown butter / control comparison</x:v>
      </x:c>
      <x:c r="E4" s="46" t="str">
        <x:v>SRC-BUTTER-BROWN-AROMA-001</x:v>
      </x:c>
      <x:c r="F4" s="46" t="n">
        <x:v>3</x:v>
      </x:c>
      <x:c r="G4" s="46" t="str">
        <x:v>canned corn, cooked</x:v>
      </x:c>
      <x:c r="H4" s="46" t="str">
        <x:v>dimethyl sulfide</x:v>
      </x:c>
      <x:c r="I4" s="46" t="str">
        <x:v>DB-5</x:v>
      </x:c>
      <x:c r="J4" s="46" t="str">
        <x:v>&lt;600</x:v>
      </x:c>
      <x:c r="K4" s="46"/>
      <x:c r="L4" s="46" t="str">
        <x:v>120</x:v>
      </x:c>
      <x:c r="M4" s="46"/>
      <x:c r="N4" s="46" t="str">
        <x:v>single_X</x:v>
      </x:c>
      <x:c r="O4" s="46" t="str">
        <x:v>HS-SPME-GC-FID aroma-active table; GC sniff-port odor + measured RI/NIST RI; chapter also uses GC-MS/SAFE-GCO</x:v>
      </x:c>
      <x:c r="P4" s="46"/>
      <x:c r="Q4" s="46" t="str">
        <x:v>partial_no_numeric_match_factor</x:v>
      </x:c>
      <x:c r="R4" s="46" t="str">
        <x:v>complete_aroma_active_table</x:v>
      </x:c>
      <x:c r="S4" s="46" t="str">
        <x:v>For rows with only one X in the text-extracted PDF, brown-vs-control assignment is intentionally left unresolved rather than guessed.</x:v>
      </x:c>
    </x:row>
    <x:row r="5" ht="26.399999618530273" hidden="0" customHeight="1">
      <x:c r="A5" s="46" t="str">
        <x:v>DBB-004</x:v>
      </x:c>
      <x:c r="B5" s="46" t="str">
        <x:v>dairy:butter_browned</x:v>
      </x:c>
      <x:c r="C5" s="46" t="str">
        <x:v>family:dairy_carrier</x:v>
      </x:c>
      <x:c r="D5" s="46" t="str">
        <x:v>brown butter / control comparison</x:v>
      </x:c>
      <x:c r="E5" s="46" t="str">
        <x:v>SRC-BUTTER-BROWN-AROMA-001</x:v>
      </x:c>
      <x:c r="F5" s="46" t="n">
        <x:v>4</x:v>
      </x:c>
      <x:c r="G5" s="46" t="str">
        <x:v>fresh, green</x:v>
      </x:c>
      <x:c r="H5" s="46" t="str">
        <x:v>butanal</x:v>
      </x:c>
      <x:c r="I5" s="46" t="str">
        <x:v>DB-5</x:v>
      </x:c>
      <x:c r="J5" s="46" t="str">
        <x:v>&lt;600</x:v>
      </x:c>
      <x:c r="K5" s="46"/>
      <x:c r="L5" s="46" t="str">
        <x:v>353</x:v>
      </x:c>
      <x:c r="M5" s="46"/>
      <x:c r="N5" s="46" t="str">
        <x:v>single_X</x:v>
      </x:c>
      <x:c r="O5" s="46" t="str">
        <x:v>HS-SPME-GC-FID aroma-active table; GC sniff-port odor + measured RI/NIST RI; chapter also uses GC-MS/SAFE-GCO</x:v>
      </x:c>
      <x:c r="P5" s="46"/>
      <x:c r="Q5" s="46" t="str">
        <x:v>partial_no_numeric_match_factor</x:v>
      </x:c>
      <x:c r="R5" s="46" t="str">
        <x:v>complete_aroma_active_table</x:v>
      </x:c>
      <x:c r="S5" s="46" t="str">
        <x:v>For rows with only one X in the text-extracted PDF, brown-vs-control assignment is intentionally left unresolved rather than guessed.</x:v>
      </x:c>
    </x:row>
    <x:row r="6" ht="26.399999618530273" hidden="0" customHeight="1">
      <x:c r="A6" s="46" t="str">
        <x:v>DBB-005</x:v>
      </x:c>
      <x:c r="B6" s="46" t="str">
        <x:v>dairy:butter_browned</x:v>
      </x:c>
      <x:c r="C6" s="46" t="str">
        <x:v>family:dairy_carrier</x:v>
      </x:c>
      <x:c r="D6" s="46" t="str">
        <x:v>brown butter / control comparison</x:v>
      </x:c>
      <x:c r="E6" s="46" t="str">
        <x:v>SRC-BUTTER-BROWN-AROMA-001</x:v>
      </x:c>
      <x:c r="F6" s="46" t="n">
        <x:v>5</x:v>
      </x:c>
      <x:c r="G6" s="46" t="str">
        <x:v>sharp, sweet</x:v>
      </x:c>
      <x:c r="H6" s="46" t="str">
        <x:v>2-butanone</x:v>
      </x:c>
      <x:c r="I6" s="46" t="str">
        <x:v>DB-5</x:v>
      </x:c>
      <x:c r="J6" s="46" t="str">
        <x:v>&lt;600</x:v>
      </x:c>
      <x:c r="K6" s="46"/>
      <x:c r="L6" s="46" t="str">
        <x:v>343</x:v>
      </x:c>
      <x:c r="M6" s="46"/>
      <x:c r="N6" s="46" t="str">
        <x:v>single_X</x:v>
      </x:c>
      <x:c r="O6" s="46" t="str">
        <x:v>HS-SPME-GC-FID aroma-active table; GC sniff-port odor + measured RI/NIST RI; chapter also uses GC-MS/SAFE-GCO</x:v>
      </x:c>
      <x:c r="P6" s="46"/>
      <x:c r="Q6" s="46" t="str">
        <x:v>partial_no_numeric_match_factor</x:v>
      </x:c>
      <x:c r="R6" s="46" t="str">
        <x:v>complete_aroma_active_table</x:v>
      </x:c>
      <x:c r="S6" s="46" t="str">
        <x:v>For rows with only one X in the text-extracted PDF, brown-vs-control assignment is intentionally left unresolved rather than guessed.</x:v>
      </x:c>
    </x:row>
    <x:row r="7" ht="26.399999618530273" hidden="0" customHeight="1">
      <x:c r="A7" s="46" t="str">
        <x:v>DBB-006</x:v>
      </x:c>
      <x:c r="B7" s="46" t="str">
        <x:v>dairy:butter_browned</x:v>
      </x:c>
      <x:c r="C7" s="46" t="str">
        <x:v>family:dairy_carrier</x:v>
      </x:c>
      <x:c r="D7" s="46" t="str">
        <x:v>brown butter / control comparison</x:v>
      </x:c>
      <x:c r="E7" s="46" t="str">
        <x:v>SRC-BUTTER-BROWN-AROMA-001</x:v>
      </x:c>
      <x:c r="F7" s="46" t="n">
        <x:v>6</x:v>
      </x:c>
      <x:c r="G7" s="46" t="str">
        <x:v>Vinegar</x:v>
      </x:c>
      <x:c r="H7" s="46" t="str">
        <x:v>acetic acid</x:v>
      </x:c>
      <x:c r="I7" s="46" t="str">
        <x:v>Wax</x:v>
      </x:c>
      <x:c r="J7" s="46" t="n">
        <x:v>650</x:v>
      </x:c>
      <x:c r="K7" s="46" t="n">
        <x:v>1402</x:v>
      </x:c>
      <x:c r="L7" s="46" t="n">
        <x:v>645</x:v>
      </x:c>
      <x:c r="M7" s="46" t="n">
        <x:v>1452</x:v>
      </x:c>
      <x:c r="N7" s="46" t="str">
        <x:v>BB_and_control</x:v>
      </x:c>
      <x:c r="O7" s="46" t="str">
        <x:v>HS-SPME-GC-FID aroma-active table; GC sniff-port odor + measured RI/NIST RI; chapter also uses GC-MS/SAFE-GCO</x:v>
      </x:c>
      <x:c r="P7" s="46"/>
      <x:c r="Q7" s="46" t="str">
        <x:v>partial_no_numeric_match_factor</x:v>
      </x:c>
      <x:c r="R7" s="46" t="str">
        <x:v>complete_aroma_active_table</x:v>
      </x:c>
      <x:c r="S7" s="46"/>
    </x:row>
    <x:row r="8" ht="26.399999618530273" hidden="0" customHeight="1">
      <x:c r="A8" s="46" t="str">
        <x:v>DBB-007</x:v>
      </x:c>
      <x:c r="B8" s="46" t="str">
        <x:v>dairy:butter_browned</x:v>
      </x:c>
      <x:c r="C8" s="46" t="str">
        <x:v>family:dairy_carrier</x:v>
      </x:c>
      <x:c r="D8" s="46" t="str">
        <x:v>brown butter / control comparison</x:v>
      </x:c>
      <x:c r="E8" s="46" t="str">
        <x:v>SRC-BUTTER-BROWN-AROMA-001</x:v>
      </x:c>
      <x:c r="F8" s="46" t="n">
        <x:v>7</x:v>
      </x:c>
      <x:c r="G8" s="46" t="str">
        <x:v>Fresh</x:v>
      </x:c>
      <x:c r="H8" s="46" t="str">
        <x:v>1-butanol</x:v>
      </x:c>
      <x:c r="I8" s="46" t="str">
        <x:v>DB-5</x:v>
      </x:c>
      <x:c r="J8" s="46" t="n">
        <x:v>680</x:v>
      </x:c>
      <x:c r="K8" s="46"/>
      <x:c r="L8" s="46" t="n">
        <x:v>660</x:v>
      </x:c>
      <x:c r="M8" s="46"/>
      <x:c r="N8" s="46" t="str">
        <x:v>single_X</x:v>
      </x:c>
      <x:c r="O8" s="46" t="str">
        <x:v>HS-SPME-GC-FID aroma-active table; GC sniff-port odor + measured RI/NIST RI; chapter also uses GC-MS/SAFE-GCO</x:v>
      </x:c>
      <x:c r="P8" s="46"/>
      <x:c r="Q8" s="46" t="str">
        <x:v>partial_no_numeric_match_factor</x:v>
      </x:c>
      <x:c r="R8" s="46" t="str">
        <x:v>complete_aroma_active_table</x:v>
      </x:c>
      <x:c r="S8" s="46" t="str">
        <x:v>For rows with only one X in the text-extracted PDF, brown-vs-control assignment is intentionally left unresolved rather than guessed.</x:v>
      </x:c>
    </x:row>
    <x:row r="9" ht="26.399999618530273" hidden="0" customHeight="1">
      <x:c r="A9" s="46" t="str">
        <x:v>DBB-008</x:v>
      </x:c>
      <x:c r="B9" s="46" t="str">
        <x:v>dairy:butter_browned</x:v>
      </x:c>
      <x:c r="C9" s="46" t="str">
        <x:v>family:dairy_carrier</x:v>
      </x:c>
      <x:c r="D9" s="46" t="str">
        <x:v>brown butter / control comparison</x:v>
      </x:c>
      <x:c r="E9" s="46" t="str">
        <x:v>SRC-BUTTER-BROWN-AROMA-001</x:v>
      </x:c>
      <x:c r="F9" s="46" t="n">
        <x:v>8</x:v>
      </x:c>
      <x:c r="G9" s="46" t="str">
        <x:v>sweet, fruity</x:v>
      </x:c>
      <x:c r="H9" s="46" t="str">
        <x:v>2-pentanone</x:v>
      </x:c>
      <x:c r="I9" s="46" t="str">
        <x:v>DB-5</x:v>
      </x:c>
      <x:c r="J9" s="46" t="n">
        <x:v>681</x:v>
      </x:c>
      <x:c r="K9" s="46"/>
      <x:c r="L9" s="46" t="n">
        <x:v>695</x:v>
      </x:c>
      <x:c r="M9" s="46" t="n">
        <x:v>974</x:v>
      </x:c>
      <x:c r="N9" s="46" t="str">
        <x:v>BB_and_control</x:v>
      </x:c>
      <x:c r="O9" s="46" t="str">
        <x:v>HS-SPME-GC-FID aroma-active table; GC sniff-port odor + measured RI/NIST RI; chapter also uses GC-MS/SAFE-GCO</x:v>
      </x:c>
      <x:c r="P9" s="46"/>
      <x:c r="Q9" s="46" t="str">
        <x:v>partial_no_numeric_match_factor</x:v>
      </x:c>
      <x:c r="R9" s="46" t="str">
        <x:v>complete_aroma_active_table</x:v>
      </x:c>
      <x:c r="S9" s="46"/>
    </x:row>
    <x:row r="10" ht="26.399999618530273" hidden="0" customHeight="1">
      <x:c r="A10" s="46" t="str">
        <x:v>DBB-009</x:v>
      </x:c>
      <x:c r="B10" s="46" t="str">
        <x:v>dairy:butter_browned</x:v>
      </x:c>
      <x:c r="C10" s="46" t="str">
        <x:v>family:dairy_carrier</x:v>
      </x:c>
      <x:c r="D10" s="46" t="str">
        <x:v>brown butter / control comparison</x:v>
      </x:c>
      <x:c r="E10" s="46" t="str">
        <x:v>SRC-BUTTER-BROWN-AROMA-001</x:v>
      </x:c>
      <x:c r="F10" s="46" t="n">
        <x:v>9</x:v>
      </x:c>
      <x:c r="G10" s="46" t="str">
        <x:v>Buttery, fatty</x:v>
      </x:c>
      <x:c r="H10" s="46" t="str">
        <x:v>pentanal</x:v>
      </x:c>
      <x:c r="I10" s="46" t="str">
        <x:v>DB-5</x:v>
      </x:c>
      <x:c r="J10" s="46" t="n">
        <x:v>692</x:v>
      </x:c>
      <x:c r="K10" s="46"/>
      <x:c r="L10" s="46" t="n">
        <x:v>690</x:v>
      </x:c>
      <x:c r="M10" s="46"/>
      <x:c r="N10" s="46" t="str">
        <x:v>single_X</x:v>
      </x:c>
      <x:c r="O10" s="46" t="str">
        <x:v>HS-SPME-GC-FID aroma-active table; GC sniff-port odor + measured RI/NIST RI; chapter also uses GC-MS/SAFE-GCO</x:v>
      </x:c>
      <x:c r="P10" s="46"/>
      <x:c r="Q10" s="46" t="str">
        <x:v>partial_no_numeric_match_factor</x:v>
      </x:c>
      <x:c r="R10" s="46" t="str">
        <x:v>complete_aroma_active_table</x:v>
      </x:c>
      <x:c r="S10" s="46" t="str">
        <x:v>For rows with only one X in the text-extracted PDF, brown-vs-control assignment is intentionally left unresolved rather than guessed.</x:v>
      </x:c>
    </x:row>
    <x:row r="11" ht="26.399999618530273" hidden="0" customHeight="1">
      <x:c r="A11" s="46" t="str">
        <x:v>DBB-010</x:v>
      </x:c>
      <x:c r="B11" s="46" t="str">
        <x:v>dairy:butter_browned</x:v>
      </x:c>
      <x:c r="C11" s="46" t="str">
        <x:v>family:dairy_carrier</x:v>
      </x:c>
      <x:c r="D11" s="46" t="str">
        <x:v>brown butter / control comparison</x:v>
      </x:c>
      <x:c r="E11" s="46" t="str">
        <x:v>SRC-BUTTER-BROWN-AROMA-001</x:v>
      </x:c>
      <x:c r="F11" s="46" t="n">
        <x:v>10</x:v>
      </x:c>
      <x:c r="G11" s="46" t="str">
        <x:v>Solvent</x:v>
      </x:c>
      <x:c r="H11" s="46" t="str">
        <x:v>acetone</x:v>
      </x:c>
      <x:c r="I11" s="46" t="str">
        <x:v>DB-5</x:v>
      </x:c>
      <x:c r="J11" s="46" t="n">
        <x:v>699</x:v>
      </x:c>
      <x:c r="K11" s="46"/>
      <x:c r="L11" s="46" t="n">
        <x:v>690</x:v>
      </x:c>
      <x:c r="M11" s="46"/>
      <x:c r="N11" s="46" t="str">
        <x:v>BB_and_control</x:v>
      </x:c>
      <x:c r="O11" s="46" t="str">
        <x:v>HS-SPME-GC-FID aroma-active table; GC sniff-port odor + measured RI/NIST RI; chapter also uses GC-MS/SAFE-GCO</x:v>
      </x:c>
      <x:c r="P11" s="46"/>
      <x:c r="Q11" s="46" t="str">
        <x:v>partial_no_numeric_match_factor</x:v>
      </x:c>
      <x:c r="R11" s="46" t="str">
        <x:v>complete_aroma_active_table</x:v>
      </x:c>
      <x:c r="S11" s="46"/>
    </x:row>
    <x:row r="12" ht="26.399999618530273" hidden="0" customHeight="1">
      <x:c r="A12" s="46" t="str">
        <x:v>DBB-011</x:v>
      </x:c>
      <x:c r="B12" s="46" t="str">
        <x:v>dairy:butter_browned</x:v>
      </x:c>
      <x:c r="C12" s="46" t="str">
        <x:v>family:dairy_carrier</x:v>
      </x:c>
      <x:c r="D12" s="46" t="str">
        <x:v>brown butter / control comparison</x:v>
      </x:c>
      <x:c r="E12" s="46" t="str">
        <x:v>SRC-BUTTER-BROWN-AROMA-001</x:v>
      </x:c>
      <x:c r="F12" s="46" t="n">
        <x:v>11</x:v>
      </x:c>
      <x:c r="G12" s="46" t="str">
        <x:v>Malty</x:v>
      </x:c>
      <x:c r="H12" s="46" t="str">
        <x:v>3-methylbutanal</x:v>
      </x:c>
      <x:c r="I12" s="46" t="str">
        <x:v>DB-5</x:v>
      </x:c>
      <x:c r="J12" s="46" t="n">
        <x:v>703</x:v>
      </x:c>
      <x:c r="K12" s="46"/>
      <x:c r="L12" s="46" t="n">
        <x:v>686</x:v>
      </x:c>
      <x:c r="M12" s="46"/>
      <x:c r="N12" s="46" t="str">
        <x:v>BB_and_control</x:v>
      </x:c>
      <x:c r="O12" s="46" t="str">
        <x:v>HS-SPME-GC-FID aroma-active table; GC sniff-port odor + measured RI/NIST RI; chapter also uses GC-MS/SAFE-GCO</x:v>
      </x:c>
      <x:c r="P12" s="46"/>
      <x:c r="Q12" s="46" t="str">
        <x:v>partial_no_numeric_match_factor</x:v>
      </x:c>
      <x:c r="R12" s="46" t="str">
        <x:v>complete_aroma_active_table</x:v>
      </x:c>
      <x:c r="S12" s="46"/>
    </x:row>
    <x:row r="13" ht="26.399999618530273" hidden="0" customHeight="1">
      <x:c r="A13" s="46" t="str">
        <x:v>DBB-012</x:v>
      </x:c>
      <x:c r="B13" s="46" t="str">
        <x:v>dairy:butter_browned</x:v>
      </x:c>
      <x:c r="C13" s="46" t="str">
        <x:v>family:dairy_carrier</x:v>
      </x:c>
      <x:c r="D13" s="46" t="str">
        <x:v>brown butter / control comparison</x:v>
      </x:c>
      <x:c r="E13" s="46" t="str">
        <x:v>SRC-BUTTER-BROWN-AROMA-001</x:v>
      </x:c>
      <x:c r="F13" s="46" t="n">
        <x:v>12</x:v>
      </x:c>
      <x:c r="G13" s="46" t="str">
        <x:v>Acidic</x:v>
      </x:c>
      <x:c r="H13" s="46" t="str">
        <x:v>propanoic acid</x:v>
      </x:c>
      <x:c r="I13" s="46" t="str">
        <x:v>Wax</x:v>
      </x:c>
      <x:c r="J13" s="46" t="n">
        <x:v>706</x:v>
      </x:c>
      <x:c r="K13" s="46" t="n">
        <x:v>1474</x:v>
      </x:c>
      <x:c r="L13" s="46" t="n">
        <x:v>700</x:v>
      </x:c>
      <x:c r="M13" s="46" t="n">
        <x:v>1533</x:v>
      </x:c>
      <x:c r="N13" s="46" t="str">
        <x:v>BB_and_control</x:v>
      </x:c>
      <x:c r="O13" s="46" t="str">
        <x:v>HS-SPME-GC-FID aroma-active table; GC sniff-port odor + measured RI/NIST RI; chapter also uses GC-MS/SAFE-GCO</x:v>
      </x:c>
      <x:c r="P13" s="46"/>
      <x:c r="Q13" s="46" t="str">
        <x:v>partial_no_numeric_match_factor</x:v>
      </x:c>
      <x:c r="R13" s="46" t="str">
        <x:v>complete_aroma_active_table</x:v>
      </x:c>
      <x:c r="S13" s="46"/>
    </x:row>
    <x:row r="14" ht="26.399999618530273" hidden="0" customHeight="1">
      <x:c r="A14" s="46" t="str">
        <x:v>DBB-013</x:v>
      </x:c>
      <x:c r="B14" s="46" t="str">
        <x:v>dairy:butter_browned</x:v>
      </x:c>
      <x:c r="C14" s="46" t="str">
        <x:v>family:dairy_carrier</x:v>
      </x:c>
      <x:c r="D14" s="46" t="str">
        <x:v>brown butter / control comparison</x:v>
      </x:c>
      <x:c r="E14" s="46" t="str">
        <x:v>SRC-BUTTER-BROWN-AROMA-001</x:v>
      </x:c>
      <x:c r="F14" s="46" t="n">
        <x:v>13</x:v>
      </x:c>
      <x:c r="G14" s="46" t="str">
        <x:v>Sweet</x:v>
      </x:c>
      <x:c r="H14" s="46" t="str">
        <x:v>methyl butanoate</x:v>
      </x:c>
      <x:c r="I14" s="46" t="str">
        <x:v>DB-5</x:v>
      </x:c>
      <x:c r="J14" s="46" t="n">
        <x:v>709</x:v>
      </x:c>
      <x:c r="K14" s="46"/>
      <x:c r="L14" s="46"/>
      <x:c r="M14" s="46"/>
      <x:c r="N14" s="46" t="str">
        <x:v>BB_and_control</x:v>
      </x:c>
      <x:c r="O14" s="46" t="str">
        <x:v>HS-SPME-GC-FID aroma-active table; GC sniff-port odor + measured RI/NIST RI; chapter also uses GC-MS/SAFE-GCO</x:v>
      </x:c>
      <x:c r="P14" s="46"/>
      <x:c r="Q14" s="46" t="str">
        <x:v>partial_no_numeric_match_factor</x:v>
      </x:c>
      <x:c r="R14" s="46" t="str">
        <x:v>complete_aroma_active_table</x:v>
      </x:c>
      <x:c r="S14" s="46"/>
    </x:row>
    <x:row r="15" ht="26.399999618530273" hidden="0" customHeight="1">
      <x:c r="A15" s="46" t="str">
        <x:v>DBB-014</x:v>
      </x:c>
      <x:c r="B15" s="46" t="str">
        <x:v>dairy:butter_browned</x:v>
      </x:c>
      <x:c r="C15" s="46" t="str">
        <x:v>family:dairy_carrier</x:v>
      </x:c>
      <x:c r="D15" s="46" t="str">
        <x:v>brown butter / control comparison</x:v>
      </x:c>
      <x:c r="E15" s="46" t="str">
        <x:v>SRC-BUTTER-BROWN-AROMA-001</x:v>
      </x:c>
      <x:c r="F15" s="46" t="n">
        <x:v>14</x:v>
      </x:c>
      <x:c r="G15" s="46" t="str">
        <x:v>Buttery</x:v>
      </x:c>
      <x:c r="H15" s="46" t="str">
        <x:v>diacetyl</x:v>
      </x:c>
      <x:c r="I15" s="46" t="str">
        <x:v>DB-5</x:v>
      </x:c>
      <x:c r="J15" s="46" t="n">
        <x:v>712</x:v>
      </x:c>
      <x:c r="K15" s="46"/>
      <x:c r="L15" s="46" t="n">
        <x:v>606</x:v>
      </x:c>
      <x:c r="M15" s="46" t="n">
        <x:v>971</x:v>
      </x:c>
      <x:c r="N15" s="46" t="str">
        <x:v>BB_and_control</x:v>
      </x:c>
      <x:c r="O15" s="46" t="str">
        <x:v>HS-SPME-GC-FID aroma-active table; GC sniff-port odor + measured RI/NIST RI; chapter also uses GC-MS/SAFE-GCO</x:v>
      </x:c>
      <x:c r="P15" s="46"/>
      <x:c r="Q15" s="46" t="str">
        <x:v>partial_no_numeric_match_factor</x:v>
      </x:c>
      <x:c r="R15" s="46" t="str">
        <x:v>complete_aroma_active_table</x:v>
      </x:c>
      <x:c r="S15" s="46"/>
    </x:row>
    <x:row r="16" ht="26.399999618530273" hidden="0" customHeight="1">
      <x:c r="A16" s="46" t="str">
        <x:v>DBB-015</x:v>
      </x:c>
      <x:c r="B16" s="46" t="str">
        <x:v>dairy:butter_browned</x:v>
      </x:c>
      <x:c r="C16" s="46" t="str">
        <x:v>family:dairy_carrier</x:v>
      </x:c>
      <x:c r="D16" s="46" t="str">
        <x:v>brown butter / control comparison</x:v>
      </x:c>
      <x:c r="E16" s="46" t="str">
        <x:v>SRC-BUTTER-BROWN-AROMA-001</x:v>
      </x:c>
      <x:c r="F16" s="46" t="n">
        <x:v>15</x:v>
      </x:c>
      <x:c r="G16" s="46" t="str">
        <x:v>buttery, dairy</x:v>
      </x:c>
      <x:c r="H16" s="46" t="str">
        <x:v>acetoin</x:v>
      </x:c>
      <x:c r="I16" s="46" t="str">
        <x:v>DB-5</x:v>
      </x:c>
      <x:c r="J16" s="46" t="n">
        <x:v>719</x:v>
      </x:c>
      <x:c r="K16" s="46"/>
      <x:c r="L16" s="46" t="n">
        <x:v>743</x:v>
      </x:c>
      <x:c r="M16" s="46" t="n">
        <x:v>1280</x:v>
      </x:c>
      <x:c r="N16" s="46" t="str">
        <x:v>BB_and_control</x:v>
      </x:c>
      <x:c r="O16" s="46" t="str">
        <x:v>HS-SPME-GC-FID aroma-active table; GC sniff-port odor + measured RI/NIST RI; chapter also uses GC-MS/SAFE-GCO</x:v>
      </x:c>
      <x:c r="P16" s="46"/>
      <x:c r="Q16" s="46" t="str">
        <x:v>partial_no_numeric_match_factor</x:v>
      </x:c>
      <x:c r="R16" s="46" t="str">
        <x:v>complete_aroma_active_table</x:v>
      </x:c>
      <x:c r="S16" s="46"/>
    </x:row>
    <x:row r="17" ht="26.399999618530273" hidden="0" customHeight="1">
      <x:c r="A17" s="46" t="str">
        <x:v>DBB-016</x:v>
      </x:c>
      <x:c r="B17" s="46" t="str">
        <x:v>dairy:butter_browned</x:v>
      </x:c>
      <x:c r="C17" s="46" t="str">
        <x:v>family:dairy_carrier</x:v>
      </x:c>
      <x:c r="D17" s="46" t="str">
        <x:v>brown butter / control comparison</x:v>
      </x:c>
      <x:c r="E17" s="46" t="str">
        <x:v>SRC-BUTTER-BROWN-AROMA-001</x:v>
      </x:c>
      <x:c r="F17" s="46" t="n">
        <x:v>16</x:v>
      </x:c>
      <x:c r="G17" s="46" t="str">
        <x:v>sweaty, garlic</x:v>
      </x:c>
      <x:c r="H17" s="46" t="str">
        <x:v>dimethyl disulfide</x:v>
      </x:c>
      <x:c r="I17" s="46" t="str">
        <x:v>DB-5</x:v>
      </x:c>
      <x:c r="J17" s="46" t="n">
        <x:v>757</x:v>
      </x:c>
      <x:c r="K17" s="46"/>
      <x:c r="L17" s="46" t="n">
        <x:v>747</x:v>
      </x:c>
      <x:c r="M17" s="46" t="n">
        <x:v>1078</x:v>
      </x:c>
      <x:c r="N17" s="46" t="str">
        <x:v>BB_and_control</x:v>
      </x:c>
      <x:c r="O17" s="46" t="str">
        <x:v>HS-SPME-GC-FID aroma-active table; GC sniff-port odor + measured RI/NIST RI; chapter also uses GC-MS/SAFE-GCO</x:v>
      </x:c>
      <x:c r="P17" s="46"/>
      <x:c r="Q17" s="46" t="str">
        <x:v>partial_no_numeric_match_factor</x:v>
      </x:c>
      <x:c r="R17" s="46" t="str">
        <x:v>complete_aroma_active_table</x:v>
      </x:c>
      <x:c r="S17" s="46"/>
    </x:row>
    <x:row r="18" ht="26.399999618530273" hidden="0" customHeight="1">
      <x:c r="A18" s="46" t="str">
        <x:v>DBB-017</x:v>
      </x:c>
      <x:c r="B18" s="46" t="str">
        <x:v>dairy:butter_browned</x:v>
      </x:c>
      <x:c r="C18" s="46" t="str">
        <x:v>family:dairy_carrier</x:v>
      </x:c>
      <x:c r="D18" s="46" t="str">
        <x:v>brown butter / control comparison</x:v>
      </x:c>
      <x:c r="E18" s="46" t="str">
        <x:v>SRC-BUTTER-BROWN-AROMA-001</x:v>
      </x:c>
      <x:c r="F18" s="46" t="n">
        <x:v>17</x:v>
      </x:c>
      <x:c r="G18" s="46" t="str">
        <x:v>Fruity</x:v>
      </x:c>
      <x:c r="H18" s="46" t="str">
        <x:v>1-pentanol</x:v>
      </x:c>
      <x:c r="I18" s="46" t="str">
        <x:v>DB-5</x:v>
      </x:c>
      <x:c r="J18" s="46" t="n">
        <x:v>763</x:v>
      </x:c>
      <x:c r="K18" s="46"/>
      <x:c r="L18" s="46"/>
      <x:c r="M18" s="46"/>
      <x:c r="N18" s="46" t="str">
        <x:v>single_X</x:v>
      </x:c>
      <x:c r="O18" s="46" t="str">
        <x:v>HS-SPME-GC-FID aroma-active table; GC sniff-port odor + measured RI/NIST RI; chapter also uses GC-MS/SAFE-GCO</x:v>
      </x:c>
      <x:c r="P18" s="46"/>
      <x:c r="Q18" s="46" t="str">
        <x:v>partial_no_numeric_match_factor</x:v>
      </x:c>
      <x:c r="R18" s="46" t="str">
        <x:v>complete_aroma_active_table</x:v>
      </x:c>
      <x:c r="S18" s="46" t="str">
        <x:v>For rows with only one X in the text-extracted PDF, brown-vs-control assignment is intentionally left unresolved rather than guessed.</x:v>
      </x:c>
    </x:row>
    <x:row r="19" ht="26.399999618530273" hidden="0" customHeight="1">
      <x:c r="A19" s="46" t="str">
        <x:v>DBB-018</x:v>
      </x:c>
      <x:c r="B19" s="46" t="str">
        <x:v>dairy:butter_browned</x:v>
      </x:c>
      <x:c r="C19" s="46" t="str">
        <x:v>family:dairy_carrier</x:v>
      </x:c>
      <x:c r="D19" s="46" t="str">
        <x:v>brown butter / control comparison</x:v>
      </x:c>
      <x:c r="E19" s="46" t="str">
        <x:v>SRC-BUTTER-BROWN-AROMA-001</x:v>
      </x:c>
      <x:c r="F19" s="46" t="n">
        <x:v>18</x:v>
      </x:c>
      <x:c r="G19" s="46" t="str">
        <x:v>Rubbery</x:v>
      </x:c>
      <x:c r="H19" s="46" t="str">
        <x:v>1-hexen-3-one</x:v>
      </x:c>
      <x:c r="I19" s="46" t="str">
        <x:v>DB-5</x:v>
      </x:c>
      <x:c r="J19" s="46" t="n">
        <x:v>776</x:v>
      </x:c>
      <x:c r="K19" s="46" t="n">
        <x:v>1103</x:v>
      </x:c>
      <x:c r="L19" s="46" t="n">
        <x:v>777</x:v>
      </x:c>
      <x:c r="M19" s="46" t="n">
        <x:v>1096</x:v>
      </x:c>
      <x:c r="N19" s="46" t="str">
        <x:v>BB_and_control</x:v>
      </x:c>
      <x:c r="O19" s="46" t="str">
        <x:v>HS-SPME-GC-FID aroma-active table; GC sniff-port odor + measured RI/NIST RI; chapter also uses GC-MS/SAFE-GCO</x:v>
      </x:c>
      <x:c r="P19" s="46"/>
      <x:c r="Q19" s="46" t="str">
        <x:v>partial_no_numeric_match_factor</x:v>
      </x:c>
      <x:c r="R19" s="46" t="str">
        <x:v>complete_aroma_active_table</x:v>
      </x:c>
      <x:c r="S19" s="46"/>
    </x:row>
    <x:row r="20" ht="26.399999618530273" hidden="0" customHeight="1">
      <x:c r="A20" s="46" t="str">
        <x:v>DBB-019</x:v>
      </x:c>
      <x:c r="B20" s="46" t="str">
        <x:v>dairy:butter_browned</x:v>
      </x:c>
      <x:c r="C20" s="46" t="str">
        <x:v>family:dairy_carrier</x:v>
      </x:c>
      <x:c r="D20" s="46" t="str">
        <x:v>brown butter / control comparison</x:v>
      </x:c>
      <x:c r="E20" s="46" t="str">
        <x:v>SRC-BUTTER-BROWN-AROMA-001</x:v>
      </x:c>
      <x:c r="F20" s="46" t="n">
        <x:v>19</x:v>
      </x:c>
      <x:c r="G20" s="46" t="str">
        <x:v>Fruity</x:v>
      </x:c>
      <x:c r="H20" s="46" t="str">
        <x:v>2-hexanone</x:v>
      </x:c>
      <x:c r="I20" s="46" t="str">
        <x:v>DB-5</x:v>
      </x:c>
      <x:c r="J20" s="46" t="n">
        <x:v>786</x:v>
      </x:c>
      <x:c r="K20" s="46"/>
      <x:c r="L20" s="46" t="n">
        <x:v>790</x:v>
      </x:c>
      <x:c r="M20" s="46" t="n">
        <x:v>1124</x:v>
      </x:c>
      <x:c r="N20" s="46" t="str">
        <x:v>BB_and_control</x:v>
      </x:c>
      <x:c r="O20" s="46" t="str">
        <x:v>HS-SPME-GC-FID aroma-active table; GC sniff-port odor + measured RI/NIST RI; chapter also uses GC-MS/SAFE-GCO</x:v>
      </x:c>
      <x:c r="P20" s="46"/>
      <x:c r="Q20" s="46" t="str">
        <x:v>partial_no_numeric_match_factor</x:v>
      </x:c>
      <x:c r="R20" s="46" t="str">
        <x:v>complete_aroma_active_table</x:v>
      </x:c>
      <x:c r="S20" s="46"/>
    </x:row>
    <x:row r="21" ht="26.399999618530273" hidden="0" customHeight="1">
      <x:c r="A21" s="46" t="str">
        <x:v>DBB-020</x:v>
      </x:c>
      <x:c r="B21" s="46" t="str">
        <x:v>dairy:butter_browned</x:v>
      </x:c>
      <x:c r="C21" s="46" t="str">
        <x:v>family:dairy_carrier</x:v>
      </x:c>
      <x:c r="D21" s="46" t="str">
        <x:v>brown butter / control comparison</x:v>
      </x:c>
      <x:c r="E21" s="46" t="str">
        <x:v>SRC-BUTTER-BROWN-AROMA-001</x:v>
      </x:c>
      <x:c r="F21" s="46" t="n">
        <x:v>20</x:v>
      </x:c>
      <x:c r="G21" s="46" t="str">
        <x:v>green, grass</x:v>
      </x:c>
      <x:c r="H21" s="46" t="str">
        <x:v>hexanal</x:v>
      </x:c>
      <x:c r="I21" s="46" t="str">
        <x:v>DB-5</x:v>
      </x:c>
      <x:c r="J21" s="46" t="n">
        <x:v>796</x:v>
      </x:c>
      <x:c r="K21" s="46" t="n">
        <x:v>1061</x:v>
      </x:c>
      <x:c r="L21" s="46" t="n">
        <x:v>802</x:v>
      </x:c>
      <x:c r="M21" s="46" t="n">
        <x:v>1079</x:v>
      </x:c>
      <x:c r="N21" s="46" t="str">
        <x:v>BB_and_control</x:v>
      </x:c>
      <x:c r="O21" s="46" t="str">
        <x:v>HS-SPME-GC-FID aroma-active table; GC sniff-port odor + measured RI/NIST RI; chapter also uses GC-MS/SAFE-GCO</x:v>
      </x:c>
      <x:c r="P21" s="46"/>
      <x:c r="Q21" s="46" t="str">
        <x:v>partial_no_numeric_match_factor</x:v>
      </x:c>
      <x:c r="R21" s="46" t="str">
        <x:v>complete_aroma_active_table</x:v>
      </x:c>
      <x:c r="S21" s="46"/>
    </x:row>
    <x:row r="22" ht="26.399999618530273" hidden="0" customHeight="1">
      <x:c r="A22" s="46" t="str">
        <x:v>DBB-021</x:v>
      </x:c>
      <x:c r="B22" s="46" t="str">
        <x:v>dairy:butter_browned</x:v>
      </x:c>
      <x:c r="C22" s="46" t="str">
        <x:v>family:dairy_carrier</x:v>
      </x:c>
      <x:c r="D22" s="46" t="str">
        <x:v>brown butter / control comparison</x:v>
      </x:c>
      <x:c r="E22" s="46" t="str">
        <x:v>SRC-BUTTER-BROWN-AROMA-001</x:v>
      </x:c>
      <x:c r="F22" s="46" t="n">
        <x:v>21</x:v>
      </x:c>
      <x:c r="G22" s="46" t="str">
        <x:v>brown, caramel</x:v>
      </x:c>
      <x:c r="H22" s="46" t="str">
        <x:v>2-furanmethanol</x:v>
      </x:c>
      <x:c r="I22" s="46" t="str">
        <x:v>DB-5</x:v>
      </x:c>
      <x:c r="J22" s="46" t="n">
        <x:v>802</x:v>
      </x:c>
      <x:c r="K22" s="46"/>
      <x:c r="L22" s="46" t="n">
        <x:v>813</x:v>
      </x:c>
      <x:c r="M22" s="46" t="n">
        <x:v>1666</x:v>
      </x:c>
      <x:c r="N22" s="46" t="str">
        <x:v>single_X</x:v>
      </x:c>
      <x:c r="O22" s="46" t="str">
        <x:v>HS-SPME-GC-FID aroma-active table; GC sniff-port odor + measured RI/NIST RI; chapter also uses GC-MS/SAFE-GCO</x:v>
      </x:c>
      <x:c r="P22" s="46"/>
      <x:c r="Q22" s="46" t="str">
        <x:v>partial_no_numeric_match_factor</x:v>
      </x:c>
      <x:c r="R22" s="46" t="str">
        <x:v>complete_aroma_active_table</x:v>
      </x:c>
      <x:c r="S22" s="46" t="str">
        <x:v>For rows with only one X in the text-extracted PDF, brown-vs-control assignment is intentionally left unresolved rather than guessed.</x:v>
      </x:c>
    </x:row>
    <x:row r="23" ht="26.399999618530273" hidden="0" customHeight="1">
      <x:c r="A23" s="46" t="str">
        <x:v>DBB-022</x:v>
      </x:c>
      <x:c r="B23" s="46" t="str">
        <x:v>dairy:butter_browned</x:v>
      </x:c>
      <x:c r="C23" s="46" t="str">
        <x:v>family:dairy_carrier</x:v>
      </x:c>
      <x:c r="D23" s="46" t="str">
        <x:v>brown butter / control comparison</x:v>
      </x:c>
      <x:c r="E23" s="46" t="str">
        <x:v>SRC-BUTTER-BROWN-AROMA-001</x:v>
      </x:c>
      <x:c r="F23" s="46" t="n">
        <x:v>22</x:v>
      </x:c>
      <x:c r="G23" s="46" t="str">
        <x:v>nutty</x:v>
      </x:c>
      <x:c r="H23" s="46" t="str">
        <x:v>methyl pyrazine</x:v>
      </x:c>
      <x:c r="I23" s="46" t="str">
        <x:v>DB-5</x:v>
      </x:c>
      <x:c r="J23" s="46" t="n">
        <x:v>812</x:v>
      </x:c>
      <x:c r="K23" s="46"/>
      <x:c r="L23" s="46" t="n">
        <x:v>827</x:v>
      </x:c>
      <x:c r="M23" s="46" t="n">
        <x:v>1263</x:v>
      </x:c>
      <x:c r="N23" s="46" t="str">
        <x:v>single_X</x:v>
      </x:c>
      <x:c r="O23" s="46" t="str">
        <x:v>HS-SPME-GC-FID aroma-active table; GC sniff-port odor + measured RI/NIST RI; chapter also uses GC-MS/SAFE-GCO</x:v>
      </x:c>
      <x:c r="P23" s="46"/>
      <x:c r="Q23" s="46" t="str">
        <x:v>partial_no_numeric_match_factor</x:v>
      </x:c>
      <x:c r="R23" s="46" t="str">
        <x:v>complete_aroma_active_table</x:v>
      </x:c>
      <x:c r="S23" s="46" t="str">
        <x:v>For rows with only one X in the text-extracted PDF, brown-vs-control assignment is intentionally left unresolved rather than guessed.</x:v>
      </x:c>
    </x:row>
    <x:row r="24" ht="26.399999618530273" hidden="0" customHeight="1">
      <x:c r="A24" s="46" t="str">
        <x:v>DBB-023</x:v>
      </x:c>
      <x:c r="B24" s="46" t="str">
        <x:v>dairy:butter_browned</x:v>
      </x:c>
      <x:c r="C24" s="46" t="str">
        <x:v>family:dairy_carrier</x:v>
      </x:c>
      <x:c r="D24" s="46" t="str">
        <x:v>brown butter / control comparison</x:v>
      </x:c>
      <x:c r="E24" s="46" t="str">
        <x:v>SRC-BUTTER-BROWN-AROMA-001</x:v>
      </x:c>
      <x:c r="F24" s="46" t="n">
        <x:v>23</x:v>
      </x:c>
      <x:c r="G24" s="46" t="str">
        <x:v>fecal, cheesy</x:v>
      </x:c>
      <x:c r="H24" s="46" t="str">
        <x:v>butanoic acid</x:v>
      </x:c>
      <x:c r="I24" s="46" t="str">
        <x:v>Wax</x:v>
      </x:c>
      <x:c r="J24" s="46" t="n">
        <x:v>814</x:v>
      </x:c>
      <x:c r="K24" s="46" t="n">
        <x:v>1578</x:v>
      </x:c>
      <x:c r="L24" s="46" t="n">
        <x:v>844</x:v>
      </x:c>
      <x:c r="M24" s="46" t="n">
        <x:v>1628</x:v>
      </x:c>
      <x:c r="N24" s="46" t="str">
        <x:v>BB_and_control</x:v>
      </x:c>
      <x:c r="O24" s="46" t="str">
        <x:v>HS-SPME-GC-FID aroma-active table; GC sniff-port odor + measured RI/NIST RI; chapter also uses GC-MS/SAFE-GCO</x:v>
      </x:c>
      <x:c r="P24" s="46"/>
      <x:c r="Q24" s="46" t="str">
        <x:v>partial_no_numeric_match_factor</x:v>
      </x:c>
      <x:c r="R24" s="46" t="str">
        <x:v>complete_aroma_active_table</x:v>
      </x:c>
      <x:c r="S24" s="46"/>
    </x:row>
    <x:row r="25" ht="26.399999618530273" hidden="0" customHeight="1">
      <x:c r="A25" s="46" t="str">
        <x:v>DBB-024</x:v>
      </x:c>
      <x:c r="B25" s="46" t="str">
        <x:v>dairy:butter_browned</x:v>
      </x:c>
      <x:c r="C25" s="46" t="str">
        <x:v>family:dairy_carrier</x:v>
      </x:c>
      <x:c r="D25" s="46" t="str">
        <x:v>brown butter / control comparison</x:v>
      </x:c>
      <x:c r="E25" s="46" t="str">
        <x:v>SRC-BUTTER-BROWN-AROMA-001</x:v>
      </x:c>
      <x:c r="F25" s="46" t="n">
        <x:v>24</x:v>
      </x:c>
      <x:c r="G25" s="46" t="str">
        <x:v>bready</x:v>
      </x:c>
      <x:c r="H25" s="46" t="str">
        <x:v>furfural</x:v>
      </x:c>
      <x:c r="I25" s="46" t="str">
        <x:v>DB-5</x:v>
      </x:c>
      <x:c r="J25" s="46" t="n">
        <x:v>841</x:v>
      </x:c>
      <x:c r="K25" s="46"/>
      <x:c r="L25" s="46" t="n">
        <x:v>818</x:v>
      </x:c>
      <x:c r="M25" s="46" t="n">
        <x:v>1467</x:v>
      </x:c>
      <x:c r="N25" s="46" t="str">
        <x:v>single_X</x:v>
      </x:c>
      <x:c r="O25" s="46" t="str">
        <x:v>HS-SPME-GC-FID aroma-active table; GC sniff-port odor + measured RI/NIST RI; chapter also uses GC-MS/SAFE-GCO</x:v>
      </x:c>
      <x:c r="P25" s="46"/>
      <x:c r="Q25" s="46" t="str">
        <x:v>partial_no_numeric_match_factor</x:v>
      </x:c>
      <x:c r="R25" s="46" t="str">
        <x:v>complete_aroma_active_table</x:v>
      </x:c>
      <x:c r="S25" s="46" t="str">
        <x:v>For rows with only one X in the text-extracted PDF, brown-vs-control assignment is intentionally left unresolved rather than guessed.</x:v>
      </x:c>
    </x:row>
    <x:row r="26" ht="26.399999618530273" hidden="0" customHeight="1">
      <x:c r="A26" s="46" t="str">
        <x:v>DBB-025</x:v>
      </x:c>
      <x:c r="B26" s="46" t="str">
        <x:v>dairy:butter_browned</x:v>
      </x:c>
      <x:c r="C26" s="46" t="str">
        <x:v>family:dairy_carrier</x:v>
      </x:c>
      <x:c r="D26" s="46" t="str">
        <x:v>brown butter / control comparison</x:v>
      </x:c>
      <x:c r="E26" s="46" t="str">
        <x:v>SRC-BUTTER-BROWN-AROMA-001</x:v>
      </x:c>
      <x:c r="F26" s="46" t="n">
        <x:v>25</x:v>
      </x:c>
      <x:c r="G26" s="46" t="str">
        <x:v>green, leafy</x:v>
      </x:c>
      <x:c r="H26" s="46" t="str">
        <x:v>(E)-2-hexenal</x:v>
      </x:c>
      <x:c r="I26" s="46" t="str">
        <x:v>DB-5</x:v>
      </x:c>
      <x:c r="J26" s="46" t="n">
        <x:v>858</x:v>
      </x:c>
      <x:c r="K26" s="46"/>
      <x:c r="L26" s="46" t="n">
        <x:v>853</x:v>
      </x:c>
      <x:c r="M26" s="46" t="n">
        <x:v>1219</x:v>
      </x:c>
      <x:c r="N26" s="46" t="str">
        <x:v>BB_and_control</x:v>
      </x:c>
      <x:c r="O26" s="46" t="str">
        <x:v>HS-SPME-GC-FID aroma-active table; GC sniff-port odor + measured RI/NIST RI; chapter also uses GC-MS/SAFE-GCO</x:v>
      </x:c>
      <x:c r="P26" s="46"/>
      <x:c r="Q26" s="46" t="str">
        <x:v>partial_no_numeric_match_factor</x:v>
      </x:c>
      <x:c r="R26" s="46" t="str">
        <x:v>complete_aroma_active_table</x:v>
      </x:c>
      <x:c r="S26" s="46"/>
    </x:row>
    <x:row r="27" ht="26.399999618530273" hidden="0" customHeight="1">
      <x:c r="A27" s="46" t="str">
        <x:v>DBB-026</x:v>
      </x:c>
      <x:c r="B27" s="46" t="str">
        <x:v>dairy:butter_browned</x:v>
      </x:c>
      <x:c r="C27" s="46" t="str">
        <x:v>family:dairy_carrier</x:v>
      </x:c>
      <x:c r="D27" s="46" t="str">
        <x:v>brown butter / control comparison</x:v>
      </x:c>
      <x:c r="E27" s="46" t="str">
        <x:v>SRC-BUTTER-BROWN-AROMA-001</x:v>
      </x:c>
      <x:c r="F27" s="46" t="n">
        <x:v>26</x:v>
      </x:c>
      <x:c r="G27" s="46" t="str">
        <x:v>green, sour</x:v>
      </x:c>
      <x:c r="H27" s="46" t="str">
        <x:v>3-methylbutanoic acid</x:v>
      </x:c>
      <x:c r="I27" s="46" t="str">
        <x:v>Wax</x:v>
      </x:c>
      <x:c r="J27" s="46" t="n">
        <x:v>861</x:v>
      </x:c>
      <x:c r="K27" s="46" t="n">
        <x:v>1667</x:v>
      </x:c>
      <x:c r="L27" s="46" t="n">
        <x:v>873</x:v>
      </x:c>
      <x:c r="M27" s="46" t="n">
        <x:v>1680</x:v>
      </x:c>
      <x:c r="N27" s="46" t="str">
        <x:v>BB_and_control</x:v>
      </x:c>
      <x:c r="O27" s="46" t="str">
        <x:v>HS-SPME-GC-FID aroma-active table; GC sniff-port odor + measured RI/NIST RI; chapter also uses GC-MS/SAFE-GCO</x:v>
      </x:c>
      <x:c r="P27" s="46"/>
      <x:c r="Q27" s="46" t="str">
        <x:v>partial_no_numeric_match_factor</x:v>
      </x:c>
      <x:c r="R27" s="46" t="str">
        <x:v>complete_aroma_active_table</x:v>
      </x:c>
      <x:c r="S27" s="46"/>
    </x:row>
    <x:row r="28" ht="26.399999618530273" hidden="0" customHeight="1">
      <x:c r="A28" s="46" t="str">
        <x:v>DBB-027</x:v>
      </x:c>
      <x:c r="B28" s="46" t="str">
        <x:v>dairy:butter_browned</x:v>
      </x:c>
      <x:c r="C28" s="46" t="str">
        <x:v>family:dairy_carrier</x:v>
      </x:c>
      <x:c r="D28" s="46" t="str">
        <x:v>brown butter / control comparison</x:v>
      </x:c>
      <x:c r="E28" s="46" t="str">
        <x:v>SRC-BUTTER-BROWN-AROMA-001</x:v>
      </x:c>
      <x:c r="F28" s="46" t="n">
        <x:v>27</x:v>
      </x:c>
      <x:c r="G28" s="46" t="str">
        <x:v>sweat, cheesy</x:v>
      </x:c>
      <x:c r="H28" s="46" t="str">
        <x:v>2-methylbutanoic acid</x:v>
      </x:c>
      <x:c r="I28" s="46" t="str">
        <x:v>Wax</x:v>
      </x:c>
      <x:c r="J28" s="46" t="n">
        <x:v>871</x:v>
      </x:c>
      <x:c r="K28" s="46" t="n">
        <x:v>1687</x:v>
      </x:c>
      <x:c r="L28" s="46" t="n">
        <x:v>878</x:v>
      </x:c>
      <x:c r="M28" s="46" t="n">
        <x:v>1687</x:v>
      </x:c>
      <x:c r="N28" s="46" t="str">
        <x:v>BB_and_control</x:v>
      </x:c>
      <x:c r="O28" s="46" t="str">
        <x:v>HS-SPME-GC-FID aroma-active table; GC sniff-port odor + measured RI/NIST RI; chapter also uses GC-MS/SAFE-GCO</x:v>
      </x:c>
      <x:c r="P28" s="46"/>
      <x:c r="Q28" s="46" t="str">
        <x:v>partial_no_numeric_match_factor</x:v>
      </x:c>
      <x:c r="R28" s="46" t="str">
        <x:v>complete_aroma_active_table</x:v>
      </x:c>
      <x:c r="S28" s="46"/>
    </x:row>
    <x:row r="29" ht="26.399999618530273" hidden="0" customHeight="1">
      <x:c r="A29" s="46" t="str">
        <x:v>DBB-028</x:v>
      </x:c>
      <x:c r="B29" s="46" t="str">
        <x:v>dairy:butter_browned</x:v>
      </x:c>
      <x:c r="C29" s="46" t="str">
        <x:v>family:dairy_carrier</x:v>
      </x:c>
      <x:c r="D29" s="46" t="str">
        <x:v>brown butter / control comparison</x:v>
      </x:c>
      <x:c r="E29" s="46" t="str">
        <x:v>SRC-BUTTER-BROWN-AROMA-001</x:v>
      </x:c>
      <x:c r="F29" s="46" t="n">
        <x:v>28</x:v>
      </x:c>
      <x:c r="G29" s="46" t="str">
        <x:v>Sweet, solvent</x:v>
      </x:c>
      <x:c r="H29" s="46" t="str">
        <x:v>xylene</x:v>
      </x:c>
      <x:c r="I29" s="46" t="str">
        <x:v>DB-5</x:v>
      </x:c>
      <x:c r="J29" s="46" t="n">
        <x:v>871</x:v>
      </x:c>
      <x:c r="K29" s="46"/>
      <x:c r="L29" s="46"/>
      <x:c r="M29" s="46"/>
      <x:c r="N29" s="46" t="str">
        <x:v>single_X</x:v>
      </x:c>
      <x:c r="O29" s="46" t="str">
        <x:v>HS-SPME-GC-FID aroma-active table; GC sniff-port odor + measured RI/NIST RI; chapter also uses GC-MS/SAFE-GCO</x:v>
      </x:c>
      <x:c r="P29" s="46"/>
      <x:c r="Q29" s="46" t="str">
        <x:v>partial_no_numeric_match_factor</x:v>
      </x:c>
      <x:c r="R29" s="46" t="str">
        <x:v>complete_aroma_active_table</x:v>
      </x:c>
      <x:c r="S29" s="46" t="str">
        <x:v>For rows with only one X in the text-extracted PDF, brown-vs-control assignment is intentionally left unresolved rather than guessed.</x:v>
      </x:c>
    </x:row>
    <x:row r="30" ht="26.399999618530273" hidden="0" customHeight="1">
      <x:c r="A30" s="46" t="str">
        <x:v>DBB-029</x:v>
      </x:c>
      <x:c r="B30" s="46" t="str">
        <x:v>dairy:butter_browned</x:v>
      </x:c>
      <x:c r="C30" s="46" t="str">
        <x:v>family:dairy_carrier</x:v>
      </x:c>
      <x:c r="D30" s="46" t="str">
        <x:v>brown butter / control comparison</x:v>
      </x:c>
      <x:c r="E30" s="46" t="str">
        <x:v>SRC-BUTTER-BROWN-AROMA-001</x:v>
      </x:c>
      <x:c r="F30" s="46" t="n">
        <x:v>29</x:v>
      </x:c>
      <x:c r="G30" s="46" t="str">
        <x:v>meaty</x:v>
      </x:c>
      <x:c r="H30" s="46" t="str">
        <x:v>2-methyl-3-furanthiol</x:v>
      </x:c>
      <x:c r="I30" s="46" t="str">
        <x:v>DB-5</x:v>
      </x:c>
      <x:c r="J30" s="46" t="n">
        <x:v>886</x:v>
      </x:c>
      <x:c r="K30" s="46"/>
      <x:c r="L30" s="46" t="n">
        <x:v>863</x:v>
      </x:c>
      <x:c r="M30" s="46" t="n">
        <x:v>1305</x:v>
      </x:c>
      <x:c r="N30" s="46" t="str">
        <x:v>single_X</x:v>
      </x:c>
      <x:c r="O30" s="46" t="str">
        <x:v>HS-SPME-GC-FID aroma-active table; GC sniff-port odor + measured RI/NIST RI; chapter also uses GC-MS/SAFE-GCO</x:v>
      </x:c>
      <x:c r="P30" s="46"/>
      <x:c r="Q30" s="46" t="str">
        <x:v>partial_no_numeric_match_factor</x:v>
      </x:c>
      <x:c r="R30" s="46" t="str">
        <x:v>complete_aroma_active_table</x:v>
      </x:c>
      <x:c r="S30" s="46" t="str">
        <x:v>For rows with only one X in the text-extracted PDF, brown-vs-control assignment is intentionally left unresolved rather than guessed.</x:v>
      </x:c>
    </x:row>
    <x:row r="31" ht="26.399999618530273" hidden="0" customHeight="1">
      <x:c r="A31" s="46" t="str">
        <x:v>DBB-030</x:v>
      </x:c>
      <x:c r="B31" s="46" t="str">
        <x:v>dairy:butter_browned</x:v>
      </x:c>
      <x:c r="C31" s="46" t="str">
        <x:v>family:dairy_carrier</x:v>
      </x:c>
      <x:c r="D31" s="46" t="str">
        <x:v>brown butter / control comparison</x:v>
      </x:c>
      <x:c r="E31" s="46" t="str">
        <x:v>SRC-BUTTER-BROWN-AROMA-001</x:v>
      </x:c>
      <x:c r="F31" s="46" t="n">
        <x:v>30</x:v>
      </x:c>
      <x:c r="G31" s="46" t="str">
        <x:v>fatty, green</x:v>
      </x:c>
      <x:c r="H31" s="46" t="str">
        <x:v>2-heptanone</x:v>
      </x:c>
      <x:c r="I31" s="46" t="str">
        <x:v>DB-5</x:v>
      </x:c>
      <x:c r="J31" s="46" t="n">
        <x:v>889</x:v>
      </x:c>
      <x:c r="K31" s="46" t="n">
        <x:v>1182</x:v>
      </x:c>
      <x:c r="L31" s="46" t="n">
        <x:v>889</x:v>
      </x:c>
      <x:c r="M31" s="46" t="n">
        <x:v>1185</x:v>
      </x:c>
      <x:c r="N31" s="46" t="str">
        <x:v>BB_and_control</x:v>
      </x:c>
      <x:c r="O31" s="46" t="str">
        <x:v>HS-SPME-GC-FID aroma-active table; GC sniff-port odor + measured RI/NIST RI; chapter also uses GC-MS/SAFE-GCO</x:v>
      </x:c>
      <x:c r="P31" s="46"/>
      <x:c r="Q31" s="46" t="str">
        <x:v>partial_no_numeric_match_factor</x:v>
      </x:c>
      <x:c r="R31" s="46" t="str">
        <x:v>complete_aroma_active_table</x:v>
      </x:c>
      <x:c r="S31" s="46"/>
    </x:row>
    <x:row r="32" ht="26.399999618530273" hidden="0" customHeight="1">
      <x:c r="A32" s="46" t="str">
        <x:v>DBB-031</x:v>
      </x:c>
      <x:c r="B32" s="46" t="str">
        <x:v>dairy:butter_browned</x:v>
      </x:c>
      <x:c r="C32" s="46" t="str">
        <x:v>family:dairy_carrier</x:v>
      </x:c>
      <x:c r="D32" s="46" t="str">
        <x:v>brown butter / control comparison</x:v>
      </x:c>
      <x:c r="E32" s="46" t="str">
        <x:v>SRC-BUTTER-BROWN-AROMA-001</x:v>
      </x:c>
      <x:c r="F32" s="46" t="n">
        <x:v>31</x:v>
      </x:c>
      <x:c r="G32" s="46" t="str">
        <x:v>herbal, acidic</x:v>
      </x:c>
      <x:c r="H32" s="46" t="str">
        <x:v>2-heptanol</x:v>
      </x:c>
      <x:c r="I32" s="46" t="str">
        <x:v>DB-5</x:v>
      </x:c>
      <x:c r="J32" s="46" t="n">
        <x:v>890</x:v>
      </x:c>
      <x:c r="K32" s="46"/>
      <x:c r="L32" s="46" t="n">
        <x:v>900</x:v>
      </x:c>
      <x:c r="M32" s="46" t="n">
        <x:v>1321</x:v>
      </x:c>
      <x:c r="N32" s="46" t="str">
        <x:v>BB_and_control</x:v>
      </x:c>
      <x:c r="O32" s="46" t="str">
        <x:v>HS-SPME-GC-FID aroma-active table; GC sniff-port odor + measured RI/NIST RI; chapter also uses GC-MS/SAFE-GCO</x:v>
      </x:c>
      <x:c r="P32" s="46"/>
      <x:c r="Q32" s="46" t="str">
        <x:v>partial_no_numeric_match_factor</x:v>
      </x:c>
      <x:c r="R32" s="46" t="str">
        <x:v>complete_aroma_active_table</x:v>
      </x:c>
      <x:c r="S32" s="46"/>
    </x:row>
    <x:row r="33" ht="26.399999618530273" hidden="0" customHeight="1">
      <x:c r="A33" s="46" t="str">
        <x:v>DBB-032</x:v>
      </x:c>
      <x:c r="B33" s="46" t="str">
        <x:v>dairy:butter_browned</x:v>
      </x:c>
      <x:c r="C33" s="46" t="str">
        <x:v>family:dairy_carrier</x:v>
      </x:c>
      <x:c r="D33" s="46" t="str">
        <x:v>brown butter / control comparison</x:v>
      </x:c>
      <x:c r="E33" s="46" t="str">
        <x:v>SRC-BUTTER-BROWN-AROMA-001</x:v>
      </x:c>
      <x:c r="F33" s="46" t="n">
        <x:v>32</x:v>
      </x:c>
      <x:c r="G33" s="46" t="str">
        <x:v>boiled potato</x:v>
      </x:c>
      <x:c r="H33" s="46" t="str">
        <x:v>methional</x:v>
      </x:c>
      <x:c r="I33" s="46" t="str">
        <x:v>DB-5</x:v>
      </x:c>
      <x:c r="J33" s="46" t="n">
        <x:v>894</x:v>
      </x:c>
      <x:c r="K33" s="46" t="n">
        <x:v>1452</x:v>
      </x:c>
      <x:c r="L33" s="46" t="n">
        <x:v>902</x:v>
      </x:c>
      <x:c r="M33" s="46" t="n">
        <x:v>1450</x:v>
      </x:c>
      <x:c r="N33" s="46" t="str">
        <x:v>single_X</x:v>
      </x:c>
      <x:c r="O33" s="46" t="str">
        <x:v>HS-SPME-GC-FID aroma-active table; GC sniff-port odor + measured RI/NIST RI; chapter also uses GC-MS/SAFE-GCO</x:v>
      </x:c>
      <x:c r="P33" s="46"/>
      <x:c r="Q33" s="46" t="str">
        <x:v>partial_no_numeric_match_factor</x:v>
      </x:c>
      <x:c r="R33" s="46" t="str">
        <x:v>complete_aroma_active_table</x:v>
      </x:c>
      <x:c r="S33" s="46" t="str">
        <x:v>For rows with only one X in the text-extracted PDF, brown-vs-control assignment is intentionally left unresolved rather than guessed.</x:v>
      </x:c>
    </x:row>
    <x:row r="34" ht="26.399999618530273" hidden="0" customHeight="1">
      <x:c r="A34" s="46" t="str">
        <x:v>DBB-033</x:v>
      </x:c>
      <x:c r="B34" s="46" t="str">
        <x:v>dairy:butter_browned</x:v>
      </x:c>
      <x:c r="C34" s="46" t="str">
        <x:v>family:dairy_carrier</x:v>
      </x:c>
      <x:c r="D34" s="46" t="str">
        <x:v>brown butter / control comparison</x:v>
      </x:c>
      <x:c r="E34" s="46" t="str">
        <x:v>SRC-BUTTER-BROWN-AROMA-001</x:v>
      </x:c>
      <x:c r="F34" s="46" t="n">
        <x:v>33</x:v>
      </x:c>
      <x:c r="G34" s="46" t="str">
        <x:v>Green</x:v>
      </x:c>
      <x:c r="H34" s="46" t="str">
        <x:v>heptanal</x:v>
      </x:c>
      <x:c r="I34" s="46" t="str">
        <x:v>DB-5</x:v>
      </x:c>
      <x:c r="J34" s="46" t="n">
        <x:v>896</x:v>
      </x:c>
      <x:c r="K34" s="46"/>
      <x:c r="L34" s="46" t="n">
        <x:v>896</x:v>
      </x:c>
      <x:c r="M34" s="46" t="n">
        <x:v>1186</x:v>
      </x:c>
      <x:c r="N34" s="46" t="str">
        <x:v>BB_and_control</x:v>
      </x:c>
      <x:c r="O34" s="46" t="str">
        <x:v>HS-SPME-GC-FID aroma-active table; GC sniff-port odor + measured RI/NIST RI; chapter also uses GC-MS/SAFE-GCO</x:v>
      </x:c>
      <x:c r="P34" s="46"/>
      <x:c r="Q34" s="46" t="str">
        <x:v>partial_no_numeric_match_factor</x:v>
      </x:c>
      <x:c r="R34" s="46" t="str">
        <x:v>complete_aroma_active_table</x:v>
      </x:c>
      <x:c r="S34" s="46"/>
    </x:row>
    <x:row r="35" ht="26.399999618530273" hidden="0" customHeight="1">
      <x:c r="A35" s="46" t="str">
        <x:v>DBB-034</x:v>
      </x:c>
      <x:c r="B35" s="46" t="str">
        <x:v>dairy:butter_browned</x:v>
      </x:c>
      <x:c r="C35" s="46" t="str">
        <x:v>family:dairy_carrier</x:v>
      </x:c>
      <x:c r="D35" s="46" t="str">
        <x:v>brown butter / control comparison</x:v>
      </x:c>
      <x:c r="E35" s="46" t="str">
        <x:v>SRC-BUTTER-BROWN-AROMA-001</x:v>
      </x:c>
      <x:c r="F35" s="46" t="n">
        <x:v>34</x:v>
      </x:c>
      <x:c r="G35" s="46" t="str">
        <x:v>toasted, cheesy</x:v>
      </x:c>
      <x:c r="H35" s="46" t="str">
        <x:v>1-(2-furanyl)-ethanone</x:v>
      </x:c>
      <x:c r="I35" s="46" t="str">
        <x:v>DB-5</x:v>
      </x:c>
      <x:c r="J35" s="46" t="n">
        <x:v>910</x:v>
      </x:c>
      <x:c r="K35" s="46"/>
      <x:c r="L35" s="46" t="n">
        <x:v>904</x:v>
      </x:c>
      <x:c r="M35" s="46"/>
      <x:c r="N35" s="46" t="str">
        <x:v>single_X</x:v>
      </x:c>
      <x:c r="O35" s="46" t="str">
        <x:v>HS-SPME-GC-FID aroma-active table; GC sniff-port odor + measured RI/NIST RI; chapter also uses GC-MS/SAFE-GCO</x:v>
      </x:c>
      <x:c r="P35" s="46"/>
      <x:c r="Q35" s="46" t="str">
        <x:v>partial_no_numeric_match_factor</x:v>
      </x:c>
      <x:c r="R35" s="46" t="str">
        <x:v>complete_aroma_active_table</x:v>
      </x:c>
      <x:c r="S35" s="46" t="str">
        <x:v>For rows with only one X in the text-extracted PDF, brown-vs-control assignment is intentionally left unresolved rather than guessed.</x:v>
      </x:c>
    </x:row>
    <x:row r="36" ht="26.399999618530273" hidden="0" customHeight="1">
      <x:c r="A36" s="46" t="str">
        <x:v>DBB-035</x:v>
      </x:c>
      <x:c r="B36" s="46" t="str">
        <x:v>dairy:butter_browned</x:v>
      </x:c>
      <x:c r="C36" s="46" t="str">
        <x:v>family:dairy_carrier</x:v>
      </x:c>
      <x:c r="D36" s="46" t="str">
        <x:v>brown butter / control comparison</x:v>
      </x:c>
      <x:c r="E36" s="46" t="str">
        <x:v>SRC-BUTTER-BROWN-AROMA-001</x:v>
      </x:c>
      <x:c r="F36" s="46" t="n">
        <x:v>35</x:v>
      </x:c>
      <x:c r="G36" s="46" t="str">
        <x:v>creamy, sweet</x:v>
      </x:c>
      <x:c r="H36" s="46" t="str">
        <x:v>butyrolactone</x:v>
      </x:c>
      <x:c r="I36" s="46" t="str">
        <x:v>DB-5</x:v>
      </x:c>
      <x:c r="J36" s="46" t="n">
        <x:v>924</x:v>
      </x:c>
      <x:c r="K36" s="46"/>
      <x:c r="L36" s="46" t="n">
        <x:v>908</x:v>
      </x:c>
      <x:c r="M36" s="46"/>
      <x:c r="N36" s="46" t="str">
        <x:v>single_X</x:v>
      </x:c>
      <x:c r="O36" s="46" t="str">
        <x:v>HS-SPME-GC-FID aroma-active table; GC sniff-port odor + measured RI/NIST RI; chapter also uses GC-MS/SAFE-GCO</x:v>
      </x:c>
      <x:c r="P36" s="46"/>
      <x:c r="Q36" s="46" t="str">
        <x:v>partial_no_numeric_match_factor</x:v>
      </x:c>
      <x:c r="R36" s="46" t="str">
        <x:v>complete_aroma_active_table</x:v>
      </x:c>
      <x:c r="S36" s="46" t="str">
        <x:v>For rows with only one X in the text-extracted PDF, brown-vs-control assignment is intentionally left unresolved rather than guessed.</x:v>
      </x:c>
    </x:row>
    <x:row r="37" ht="26.399999618530273" hidden="0" customHeight="1">
      <x:c r="A37" s="46" t="str">
        <x:v>DBB-036</x:v>
      </x:c>
      <x:c r="B37" s="46" t="str">
        <x:v>dairy:butter_browned</x:v>
      </x:c>
      <x:c r="C37" s="46" t="str">
        <x:v>family:dairy_carrier</x:v>
      </x:c>
      <x:c r="D37" s="46" t="str">
        <x:v>brown butter / control comparison</x:v>
      </x:c>
      <x:c r="E37" s="46" t="str">
        <x:v>SRC-BUTTER-BROWN-AROMA-001</x:v>
      </x:c>
      <x:c r="F37" s="46" t="n">
        <x:v>36</x:v>
      </x:c>
      <x:c r="G37" s="46" t="str">
        <x:v>popcorn, roasted</x:v>
      </x:c>
      <x:c r="H37" s="46" t="str">
        <x:v>2-acetyl-1-pyrroline</x:v>
      </x:c>
      <x:c r="I37" s="46" t="str">
        <x:v>DB-5</x:v>
      </x:c>
      <x:c r="J37" s="46" t="n">
        <x:v>925</x:v>
      </x:c>
      <x:c r="K37" s="46" t="n">
        <x:v>1302</x:v>
      </x:c>
      <x:c r="L37" s="46" t="n">
        <x:v>929</x:v>
      </x:c>
      <x:c r="M37" s="46" t="n">
        <x:v>1317</x:v>
      </x:c>
      <x:c r="N37" s="46" t="str">
        <x:v>single_X</x:v>
      </x:c>
      <x:c r="O37" s="46" t="str">
        <x:v>HS-SPME-GC-FID aroma-active table; GC sniff-port odor + measured RI/NIST RI; chapter also uses GC-MS/SAFE-GCO</x:v>
      </x:c>
      <x:c r="P37" s="46"/>
      <x:c r="Q37" s="46" t="str">
        <x:v>partial_no_numeric_match_factor</x:v>
      </x:c>
      <x:c r="R37" s="46" t="str">
        <x:v>complete_aroma_active_table</x:v>
      </x:c>
      <x:c r="S37" s="46" t="str">
        <x:v>For rows with only one X in the text-extracted PDF, brown-vs-control assignment is intentionally left unresolved rather than guessed.</x:v>
      </x:c>
    </x:row>
    <x:row r="38" ht="26.399999618530273" hidden="0" customHeight="1">
      <x:c r="A38" s="46" t="str">
        <x:v>DBB-037</x:v>
      </x:c>
      <x:c r="B38" s="46" t="str">
        <x:v>dairy:butter_browned</x:v>
      </x:c>
      <x:c r="C38" s="46" t="str">
        <x:v>family:dairy_carrier</x:v>
      </x:c>
      <x:c r="D38" s="46" t="str">
        <x:v>brown butter / control comparison</x:v>
      </x:c>
      <x:c r="E38" s="46" t="str">
        <x:v>SRC-BUTTER-BROWN-AROMA-001</x:v>
      </x:c>
      <x:c r="F38" s="46" t="n">
        <x:v>37</x:v>
      </x:c>
      <x:c r="G38" s="46" t="str">
        <x:v>Fruity</x:v>
      </x:c>
      <x:c r="H38" s="46" t="str">
        <x:v>methyl hexanoate</x:v>
      </x:c>
      <x:c r="I38" s="46" t="str">
        <x:v>DB-5</x:v>
      </x:c>
      <x:c r="J38" s="46" t="n">
        <x:v>936</x:v>
      </x:c>
      <x:c r="K38" s="46"/>
      <x:c r="L38" s="46" t="n">
        <x:v>911</x:v>
      </x:c>
      <x:c r="M38" s="46" t="n">
        <x:v>1189</x:v>
      </x:c>
      <x:c r="N38" s="46" t="str">
        <x:v>single_X</x:v>
      </x:c>
      <x:c r="O38" s="46" t="str">
        <x:v>HS-SPME-GC-FID aroma-active table; GC sniff-port odor + measured RI/NIST RI; chapter also uses GC-MS/SAFE-GCO</x:v>
      </x:c>
      <x:c r="P38" s="46"/>
      <x:c r="Q38" s="46" t="str">
        <x:v>partial_no_numeric_match_factor</x:v>
      </x:c>
      <x:c r="R38" s="46" t="str">
        <x:v>complete_aroma_active_table</x:v>
      </x:c>
      <x:c r="S38" s="46" t="str">
        <x:v>For rows with only one X in the text-extracted PDF, brown-vs-control assignment is intentionally left unresolved rather than guessed.</x:v>
      </x:c>
    </x:row>
    <x:row r="39" ht="26.399999618530273" hidden="0" customHeight="1">
      <x:c r="A39" s="46" t="str">
        <x:v>DBB-038</x:v>
      </x:c>
      <x:c r="B39" s="46" t="str">
        <x:v>dairy:butter_browned</x:v>
      </x:c>
      <x:c r="C39" s="46" t="str">
        <x:v>family:dairy_carrier</x:v>
      </x:c>
      <x:c r="D39" s="46" t="str">
        <x:v>brown butter / control comparison</x:v>
      </x:c>
      <x:c r="E39" s="46" t="str">
        <x:v>SRC-BUTTER-BROWN-AROMA-001</x:v>
      </x:c>
      <x:c r="F39" s="46" t="n">
        <x:v>38</x:v>
      </x:c>
      <x:c r="G39" s="46" t="str">
        <x:v>Herbal</x:v>
      </x:c>
      <x:c r="H39" s="46" t="str">
        <x:v>alpha-pinene</x:v>
      </x:c>
      <x:c r="I39" s="46" t="str">
        <x:v>DB-5</x:v>
      </x:c>
      <x:c r="J39" s="46" t="n">
        <x:v>938</x:v>
      </x:c>
      <x:c r="K39" s="46"/>
      <x:c r="L39" s="46"/>
      <x:c r="M39" s="46"/>
      <x:c r="N39" s="46" t="str">
        <x:v>single_X</x:v>
      </x:c>
      <x:c r="O39" s="46" t="str">
        <x:v>HS-SPME-GC-FID aroma-active table; GC sniff-port odor + measured RI/NIST RI; chapter also uses GC-MS/SAFE-GCO</x:v>
      </x:c>
      <x:c r="P39" s="46"/>
      <x:c r="Q39" s="46" t="str">
        <x:v>partial_no_numeric_match_factor</x:v>
      </x:c>
      <x:c r="R39" s="46" t="str">
        <x:v>complete_aroma_active_table</x:v>
      </x:c>
      <x:c r="S39" s="46" t="str">
        <x:v>For rows with only one X in the text-extracted PDF, brown-vs-control assignment is intentionally left unresolved rather than guessed.</x:v>
      </x:c>
    </x:row>
    <x:row r="40" ht="26.399999618530273" hidden="0" customHeight="1">
      <x:c r="A40" s="46" t="str">
        <x:v>DBB-039</x:v>
      </x:c>
      <x:c r="B40" s="46" t="str">
        <x:v>dairy:butter_browned</x:v>
      </x:c>
      <x:c r="C40" s="46" t="str">
        <x:v>family:dairy_carrier</x:v>
      </x:c>
      <x:c r="D40" s="46" t="str">
        <x:v>brown butter / control comparison</x:v>
      </x:c>
      <x:c r="E40" s="46" t="str">
        <x:v>SRC-BUTTER-BROWN-AROMA-001</x:v>
      </x:c>
      <x:c r="F40" s="46" t="n">
        <x:v>39</x:v>
      </x:c>
      <x:c r="G40" s="46" t="str">
        <x:v>cheesy, acidic</x:v>
      </x:c>
      <x:c r="H40" s="46" t="str">
        <x:v>pentanoic acid</x:v>
      </x:c>
      <x:c r="I40" s="46" t="str">
        <x:v>Wax</x:v>
      </x:c>
      <x:c r="J40" s="46" t="n">
        <x:v>946</x:v>
      </x:c>
      <x:c r="K40" s="46" t="n">
        <x:v>1710</x:v>
      </x:c>
      <x:c r="L40" s="46" t="n">
        <x:v>933</x:v>
      </x:c>
      <x:c r="M40" s="46" t="n">
        <x:v>1744</x:v>
      </x:c>
      <x:c r="N40" s="46" t="str">
        <x:v>BB_and_control</x:v>
      </x:c>
      <x:c r="O40" s="46" t="str">
        <x:v>HS-SPME-GC-FID aroma-active table; GC sniff-port odor + measured RI/NIST RI; chapter also uses GC-MS/SAFE-GCO</x:v>
      </x:c>
      <x:c r="P40" s="46"/>
      <x:c r="Q40" s="46" t="str">
        <x:v>partial_no_numeric_match_factor</x:v>
      </x:c>
      <x:c r="R40" s="46" t="str">
        <x:v>complete_aroma_active_table</x:v>
      </x:c>
      <x:c r="S40" s="46"/>
    </x:row>
    <x:row r="41" ht="26.399999618530273" hidden="0" customHeight="1">
      <x:c r="A41" s="46" t="str">
        <x:v>DBB-040</x:v>
      </x:c>
      <x:c r="B41" s="46" t="str">
        <x:v>dairy:butter_browned</x:v>
      </x:c>
      <x:c r="C41" s="46" t="str">
        <x:v>family:dairy_carrier</x:v>
      </x:c>
      <x:c r="D41" s="46" t="str">
        <x:v>brown butter / control comparison</x:v>
      </x:c>
      <x:c r="E41" s="46" t="str">
        <x:v>SRC-BUTTER-BROWN-AROMA-001</x:v>
      </x:c>
      <x:c r="F41" s="46" t="n">
        <x:v>40</x:v>
      </x:c>
      <x:c r="G41" s="46" t="str">
        <x:v>floral, creamy</x:v>
      </x:c>
      <x:c r="H41" s="46" t="str">
        <x:v>5-methyl-2-furancarboxaldehyde</x:v>
      </x:c>
      <x:c r="I41" s="46" t="str">
        <x:v>DB-5</x:v>
      </x:c>
      <x:c r="J41" s="46" t="n">
        <x:v>951</x:v>
      </x:c>
      <x:c r="K41" s="46"/>
      <x:c r="L41" s="46" t="n">
        <x:v>957</x:v>
      </x:c>
      <x:c r="M41" s="46" t="n">
        <x:v>1582</x:v>
      </x:c>
      <x:c r="N41" s="46" t="str">
        <x:v>single_X</x:v>
      </x:c>
      <x:c r="O41" s="46" t="str">
        <x:v>HS-SPME-GC-FID aroma-active table; GC sniff-port odor + measured RI/NIST RI; chapter also uses GC-MS/SAFE-GCO</x:v>
      </x:c>
      <x:c r="P41" s="46"/>
      <x:c r="Q41" s="46" t="str">
        <x:v>partial_no_numeric_match_factor</x:v>
      </x:c>
      <x:c r="R41" s="46" t="str">
        <x:v>complete_aroma_active_table</x:v>
      </x:c>
      <x:c r="S41" s="46" t="str">
        <x:v>For rows with only one X in the text-extracted PDF, brown-vs-control assignment is intentionally left unresolved rather than guessed.</x:v>
      </x:c>
    </x:row>
    <x:row r="42" ht="26.399999618530273" hidden="0" customHeight="1">
      <x:c r="A42" s="46" t="str">
        <x:v>DBB-041</x:v>
      </x:c>
      <x:c r="B42" s="46" t="str">
        <x:v>dairy:butter_browned</x:v>
      </x:c>
      <x:c r="C42" s="46" t="str">
        <x:v>family:dairy_carrier</x:v>
      </x:c>
      <x:c r="D42" s="46" t="str">
        <x:v>brown butter / control comparison</x:v>
      </x:c>
      <x:c r="E42" s="46" t="str">
        <x:v>SRC-BUTTER-BROWN-AROMA-001</x:v>
      </x:c>
      <x:c r="F42" s="46" t="n">
        <x:v>41</x:v>
      </x:c>
      <x:c r="G42" s="46" t="str">
        <x:v>Waxy, fatty</x:v>
      </x:c>
      <x:c r="H42" s="46" t="str">
        <x:v>(Z)-4-heptenal</x:v>
      </x:c>
      <x:c r="I42" s="46" t="str">
        <x:v>DB-5</x:v>
      </x:c>
      <x:c r="J42" s="46" t="n">
        <x:v>960</x:v>
      </x:c>
      <x:c r="K42" s="46"/>
      <x:c r="L42" s="46" t="n">
        <x:v>904</x:v>
      </x:c>
      <x:c r="M42" s="46" t="n">
        <x:v>1255</x:v>
      </x:c>
      <x:c r="N42" s="46" t="str">
        <x:v>BB_and_control</x:v>
      </x:c>
      <x:c r="O42" s="46" t="str">
        <x:v>HS-SPME-GC-FID aroma-active table; GC sniff-port odor + measured RI/NIST RI; chapter also uses GC-MS/SAFE-GCO</x:v>
      </x:c>
      <x:c r="P42" s="46"/>
      <x:c r="Q42" s="46" t="str">
        <x:v>partial_no_numeric_match_factor</x:v>
      </x:c>
      <x:c r="R42" s="46" t="str">
        <x:v>complete_aroma_active_table</x:v>
      </x:c>
      <x:c r="S42" s="46"/>
    </x:row>
    <x:row r="43" ht="26.399999618530273" hidden="0" customHeight="1">
      <x:c r="A43" s="46" t="str">
        <x:v>DBB-042</x:v>
      </x:c>
      <x:c r="B43" s="46" t="str">
        <x:v>dairy:butter_browned</x:v>
      </x:c>
      <x:c r="C43" s="46" t="str">
        <x:v>family:dairy_carrier</x:v>
      </x:c>
      <x:c r="D43" s="46" t="str">
        <x:v>brown butter / control comparison</x:v>
      </x:c>
      <x:c r="E43" s="46" t="str">
        <x:v>SRC-BUTTER-BROWN-AROMA-001</x:v>
      </x:c>
      <x:c r="F43" s="46" t="n">
        <x:v>42</x:v>
      </x:c>
      <x:c r="G43" s="46" t="str">
        <x:v>floral, cherry</x:v>
      </x:c>
      <x:c r="H43" s="46" t="str">
        <x:v>benzaldehyde</x:v>
      </x:c>
      <x:c r="I43" s="46" t="str">
        <x:v>DB-5</x:v>
      </x:c>
      <x:c r="J43" s="46" t="n">
        <x:v>971</x:v>
      </x:c>
      <x:c r="K43" s="46"/>
      <x:c r="L43" s="46" t="n">
        <x:v>936</x:v>
      </x:c>
      <x:c r="M43" s="46" t="n">
        <x:v>1515</x:v>
      </x:c>
      <x:c r="N43" s="46" t="str">
        <x:v>BB_and_control</x:v>
      </x:c>
      <x:c r="O43" s="46" t="str">
        <x:v>HS-SPME-GC-FID aroma-active table; GC sniff-port odor + measured RI/NIST RI; chapter also uses GC-MS/SAFE-GCO</x:v>
      </x:c>
      <x:c r="P43" s="46"/>
      <x:c r="Q43" s="46" t="str">
        <x:v>partial_no_numeric_match_factor</x:v>
      </x:c>
      <x:c r="R43" s="46" t="str">
        <x:v>complete_aroma_active_table</x:v>
      </x:c>
      <x:c r="S43" s="46"/>
    </x:row>
    <x:row r="44" ht="26.399999618530273" hidden="0" customHeight="1">
      <x:c r="A44" s="46" t="str">
        <x:v>DBB-043</x:v>
      </x:c>
      <x:c r="B44" s="46" t="str">
        <x:v>dairy:butter_browned</x:v>
      </x:c>
      <x:c r="C44" s="46" t="str">
        <x:v>family:dairy_carrier</x:v>
      </x:c>
      <x:c r="D44" s="46" t="str">
        <x:v>brown butter / control comparison</x:v>
      </x:c>
      <x:c r="E44" s="46" t="str">
        <x:v>SRC-BUTTER-BROWN-AROMA-001</x:v>
      </x:c>
      <x:c r="F44" s="46" t="n">
        <x:v>43</x:v>
      </x:c>
      <x:c r="G44" s="46" t="str">
        <x:v>Mushroom</x:v>
      </x:c>
      <x:c r="H44" s="46" t="str">
        <x:v>1-octen-3-one</x:v>
      </x:c>
      <x:c r="I44" s="46" t="str">
        <x:v>DB-5</x:v>
      </x:c>
      <x:c r="J44" s="46" t="n">
        <x:v>978</x:v>
      </x:c>
      <x:c r="K44" s="46"/>
      <x:c r="L44" s="46" t="n">
        <x:v>980</x:v>
      </x:c>
      <x:c r="M44" s="46" t="n">
        <x:v>1317</x:v>
      </x:c>
      <x:c r="N44" s="46" t="str">
        <x:v>BB_and_control</x:v>
      </x:c>
      <x:c r="O44" s="46" t="str">
        <x:v>HS-SPME-GC-FID aroma-active table; GC sniff-port odor + measured RI/NIST RI; chapter also uses GC-MS/SAFE-GCO</x:v>
      </x:c>
      <x:c r="P44" s="46"/>
      <x:c r="Q44" s="46" t="str">
        <x:v>partial_no_numeric_match_factor</x:v>
      </x:c>
      <x:c r="R44" s="46" t="str">
        <x:v>complete_aroma_active_table</x:v>
      </x:c>
      <x:c r="S44" s="46"/>
    </x:row>
    <x:row r="45" ht="26.399999618530273" hidden="0" customHeight="1">
      <x:c r="A45" s="46" t="str">
        <x:v>DBB-044</x:v>
      </x:c>
      <x:c r="B45" s="46" t="str">
        <x:v>dairy:butter_browned</x:v>
      </x:c>
      <x:c r="C45" s="46" t="str">
        <x:v>family:dairy_carrier</x:v>
      </x:c>
      <x:c r="D45" s="46" t="str">
        <x:v>brown butter / control comparison</x:v>
      </x:c>
      <x:c r="E45" s="46" t="str">
        <x:v>SRC-BUTTER-BROWN-AROMA-001</x:v>
      </x:c>
      <x:c r="F45" s="46" t="n">
        <x:v>44</x:v>
      </x:c>
      <x:c r="G45" s="46" t="str">
        <x:v>green, mint</x:v>
      </x:c>
      <x:c r="H45" s="46" t="str">
        <x:v>2-octanone</x:v>
      </x:c>
      <x:c r="I45" s="46" t="str">
        <x:v>DB-5</x:v>
      </x:c>
      <x:c r="J45" s="46" t="n">
        <x:v>983</x:v>
      </x:c>
      <x:c r="K45" s="46"/>
      <x:c r="L45" s="46" t="n">
        <x:v>988</x:v>
      </x:c>
      <x:c r="M45" s="46" t="n">
        <x:v>1270</x:v>
      </x:c>
      <x:c r="N45" s="46" t="str">
        <x:v>single_X</x:v>
      </x:c>
      <x:c r="O45" s="46" t="str">
        <x:v>HS-SPME-GC-FID aroma-active table; GC sniff-port odor + measured RI/NIST RI; chapter also uses GC-MS/SAFE-GCO</x:v>
      </x:c>
      <x:c r="P45" s="46"/>
      <x:c r="Q45" s="46" t="str">
        <x:v>partial_no_numeric_match_factor</x:v>
      </x:c>
      <x:c r="R45" s="46" t="str">
        <x:v>complete_aroma_active_table</x:v>
      </x:c>
      <x:c r="S45" s="46" t="str">
        <x:v>For rows with only one X in the text-extracted PDF, brown-vs-control assignment is intentionally left unresolved rather than guessed.</x:v>
      </x:c>
    </x:row>
    <x:row r="46" ht="26.399999618530273" hidden="0" customHeight="1">
      <x:c r="A46" s="46" t="str">
        <x:v>DBB-045</x:v>
      </x:c>
      <x:c r="B46" s="46" t="str">
        <x:v>dairy:butter_browned</x:v>
      </x:c>
      <x:c r="C46" s="46" t="str">
        <x:v>family:dairy_carrier</x:v>
      </x:c>
      <x:c r="D46" s="46" t="str">
        <x:v>brown butter / control comparison</x:v>
      </x:c>
      <x:c r="E46" s="46" t="str">
        <x:v>SRC-BUTTER-BROWN-AROMA-001</x:v>
      </x:c>
      <x:c r="F46" s="46" t="n">
        <x:v>45</x:v>
      </x:c>
      <x:c r="G46" s="46" t="str">
        <x:v>fruity, green</x:v>
      </x:c>
      <x:c r="H46" s="46" t="str">
        <x:v>2-pentylfuran</x:v>
      </x:c>
      <x:c r="I46" s="46" t="str">
        <x:v>DB-5</x:v>
      </x:c>
      <x:c r="J46" s="46" t="n">
        <x:v>990</x:v>
      </x:c>
      <x:c r="K46" s="46"/>
      <x:c r="L46" s="46" t="n">
        <x:v>993</x:v>
      </x:c>
      <x:c r="M46" s="46" t="n">
        <x:v>1228</x:v>
      </x:c>
      <x:c r="N46" s="46" t="str">
        <x:v>BB_and_control</x:v>
      </x:c>
      <x:c r="O46" s="46" t="str">
        <x:v>HS-SPME-GC-FID aroma-active table; GC sniff-port odor + measured RI/NIST RI; chapter also uses GC-MS/SAFE-GCO</x:v>
      </x:c>
      <x:c r="P46" s="46"/>
      <x:c r="Q46" s="46" t="str">
        <x:v>partial_no_numeric_match_factor</x:v>
      </x:c>
      <x:c r="R46" s="46" t="str">
        <x:v>complete_aroma_active_table</x:v>
      </x:c>
      <x:c r="S46" s="46"/>
    </x:row>
    <x:row r="47" ht="26.399999618530273" hidden="0" customHeight="1">
      <x:c r="A47" s="46" t="str">
        <x:v>DBB-046</x:v>
      </x:c>
      <x:c r="B47" s="46" t="str">
        <x:v>dairy:butter_browned</x:v>
      </x:c>
      <x:c r="C47" s="46" t="str">
        <x:v>family:dairy_carrier</x:v>
      </x:c>
      <x:c r="D47" s="46" t="str">
        <x:v>brown butter / control comparison</x:v>
      </x:c>
      <x:c r="E47" s="46" t="str">
        <x:v>SRC-BUTTER-BROWN-AROMA-001</x:v>
      </x:c>
      <x:c r="F47" s="46" t="n">
        <x:v>46</x:v>
      </x:c>
      <x:c r="G47" s="46" t="str">
        <x:v>sulfur, garlic</x:v>
      </x:c>
      <x:c r="H47" s="46" t="str">
        <x:v>dimethyl trisulfide</x:v>
      </x:c>
      <x:c r="I47" s="46" t="str">
        <x:v>DB-5</x:v>
      </x:c>
      <x:c r="J47" s="46" t="n">
        <x:v>990</x:v>
      </x:c>
      <x:c r="K47" s="46"/>
      <x:c r="L47" s="46" t="n">
        <x:v>993</x:v>
      </x:c>
      <x:c r="M47" s="46" t="n">
        <x:v>1383</x:v>
      </x:c>
      <x:c r="N47" s="46" t="str">
        <x:v>single_X</x:v>
      </x:c>
      <x:c r="O47" s="46" t="str">
        <x:v>HS-SPME-GC-FID aroma-active table; GC sniff-port odor + measured RI/NIST RI; chapter also uses GC-MS/SAFE-GCO</x:v>
      </x:c>
      <x:c r="P47" s="46"/>
      <x:c r="Q47" s="46" t="str">
        <x:v>partial_no_numeric_match_factor</x:v>
      </x:c>
      <x:c r="R47" s="46" t="str">
        <x:v>complete_aroma_active_table</x:v>
      </x:c>
      <x:c r="S47" s="46" t="str">
        <x:v>For rows with only one X in the text-extracted PDF, brown-vs-control assignment is intentionally left unresolved rather than guessed.</x:v>
      </x:c>
    </x:row>
    <x:row r="48" ht="26.399999618530273" hidden="0" customHeight="1">
      <x:c r="A48" s="46" t="str">
        <x:v>DBB-047</x:v>
      </x:c>
      <x:c r="B48" s="46" t="str">
        <x:v>dairy:butter_browned</x:v>
      </x:c>
      <x:c r="C48" s="46" t="str">
        <x:v>family:dairy_carrier</x:v>
      </x:c>
      <x:c r="D48" s="46" t="str">
        <x:v>brown butter / control comparison</x:v>
      </x:c>
      <x:c r="E48" s="46" t="str">
        <x:v>SRC-BUTTER-BROWN-AROMA-001</x:v>
      </x:c>
      <x:c r="F48" s="46" t="n">
        <x:v>47</x:v>
      </x:c>
      <x:c r="G48" s="46" t="str">
        <x:v>green, waxy</x:v>
      </x:c>
      <x:c r="H48" s="46" t="str">
        <x:v>octanal</x:v>
      </x:c>
      <x:c r="I48" s="46" t="str">
        <x:v>DB-5</x:v>
      </x:c>
      <x:c r="J48" s="46" t="n">
        <x:v>1003</x:v>
      </x:c>
      <x:c r="K48" s="46"/>
      <x:c r="L48" s="46" t="n">
        <x:v>1006</x:v>
      </x:c>
      <x:c r="M48" s="46" t="n">
        <x:v>1287</x:v>
      </x:c>
      <x:c r="N48" s="46" t="str">
        <x:v>BB_and_control</x:v>
      </x:c>
      <x:c r="O48" s="46" t="str">
        <x:v>HS-SPME-GC-FID aroma-active table; GC sniff-port odor + measured RI/NIST RI; chapter also uses GC-MS/SAFE-GCO</x:v>
      </x:c>
      <x:c r="P48" s="46"/>
      <x:c r="Q48" s="46" t="str">
        <x:v>partial_no_numeric_match_factor</x:v>
      </x:c>
      <x:c r="R48" s="46" t="str">
        <x:v>complete_aroma_active_table</x:v>
      </x:c>
      <x:c r="S48" s="46"/>
    </x:row>
    <x:row r="49" ht="26.399999618530273" hidden="0" customHeight="1">
      <x:c r="A49" s="46" t="str">
        <x:v>DBB-048</x:v>
      </x:c>
      <x:c r="B49" s="46" t="str">
        <x:v>dairy:butter_browned</x:v>
      </x:c>
      <x:c r="C49" s="46" t="str">
        <x:v>family:dairy_carrier</x:v>
      </x:c>
      <x:c r="D49" s="46" t="str">
        <x:v>brown butter / control comparison</x:v>
      </x:c>
      <x:c r="E49" s="46" t="str">
        <x:v>SRC-BUTTER-BROWN-AROMA-001</x:v>
      </x:c>
      <x:c r="F49" s="46" t="n">
        <x:v>48</x:v>
      </x:c>
      <x:c r="G49" s="46" t="str">
        <x:v>green, fresh</x:v>
      </x:c>
      <x:c r="H49" s="46" t="str">
        <x:v>2-ethyl-1-hexanol</x:v>
      </x:c>
      <x:c r="I49" s="46" t="str">
        <x:v>DB-5</x:v>
      </x:c>
      <x:c r="J49" s="46" t="n">
        <x:v>1020</x:v>
      </x:c>
      <x:c r="K49" s="46"/>
      <x:c r="L49" s="46" t="n">
        <x:v>1030</x:v>
      </x:c>
      <x:c r="M49" s="46" t="n">
        <x:v>1484</x:v>
      </x:c>
      <x:c r="N49" s="46" t="str">
        <x:v>single_X</x:v>
      </x:c>
      <x:c r="O49" s="46" t="str">
        <x:v>HS-SPME-GC-FID aroma-active table; GC sniff-port odor + measured RI/NIST RI; chapter also uses GC-MS/SAFE-GCO</x:v>
      </x:c>
      <x:c r="P49" s="46"/>
      <x:c r="Q49" s="46" t="str">
        <x:v>partial_no_numeric_match_factor</x:v>
      </x:c>
      <x:c r="R49" s="46" t="str">
        <x:v>complete_aroma_active_table</x:v>
      </x:c>
      <x:c r="S49" s="46" t="str">
        <x:v>For rows with only one X in the text-extracted PDF, brown-vs-control assignment is intentionally left unresolved rather than guessed.</x:v>
      </x:c>
    </x:row>
    <x:row r="50" ht="26.399999618530273" hidden="0" customHeight="1">
      <x:c r="A50" s="46" t="str">
        <x:v>DBB-049</x:v>
      </x:c>
      <x:c r="B50" s="46" t="str">
        <x:v>dairy:butter_browned</x:v>
      </x:c>
      <x:c r="C50" s="46" t="str">
        <x:v>family:dairy_carrier</x:v>
      </x:c>
      <x:c r="D50" s="46" t="str">
        <x:v>brown butter / control comparison</x:v>
      </x:c>
      <x:c r="E50" s="46" t="str">
        <x:v>SRC-BUTTER-BROWN-AROMA-001</x:v>
      </x:c>
      <x:c r="F50" s="46" t="n">
        <x:v>49</x:v>
      </x:c>
      <x:c r="G50" s="46" t="str">
        <x:v>sweaty, acidic</x:v>
      </x:c>
      <x:c r="H50" s="46" t="str">
        <x:v>hexanoic acid</x:v>
      </x:c>
      <x:c r="I50" s="46" t="str">
        <x:v>Wax</x:v>
      </x:c>
      <x:c r="J50" s="46" t="n">
        <x:v>1033</x:v>
      </x:c>
      <x:c r="K50" s="46" t="n">
        <x:v>1815</x:v>
      </x:c>
      <x:c r="L50" s="46" t="n">
        <x:v>1020</x:v>
      </x:c>
      <x:c r="M50" s="46" t="n">
        <x:v>1849</x:v>
      </x:c>
      <x:c r="N50" s="46" t="str">
        <x:v>BB_and_control</x:v>
      </x:c>
      <x:c r="O50" s="46" t="str">
        <x:v>HS-SPME-GC-FID aroma-active table; GC sniff-port odor + measured RI/NIST RI; chapter also uses GC-MS/SAFE-GCO</x:v>
      </x:c>
      <x:c r="P50" s="46"/>
      <x:c r="Q50" s="46" t="str">
        <x:v>partial_no_numeric_match_factor</x:v>
      </x:c>
      <x:c r="R50" s="46" t="str">
        <x:v>complete_aroma_active_table</x:v>
      </x:c>
      <x:c r="S50" s="46"/>
    </x:row>
    <x:row r="51" ht="26.399999618530273" hidden="0" customHeight="1">
      <x:c r="A51" s="46" t="str">
        <x:v>DBB-050</x:v>
      </x:c>
      <x:c r="B51" s="46" t="str">
        <x:v>dairy:butter_browned</x:v>
      </x:c>
      <x:c r="C51" s="46" t="str">
        <x:v>family:dairy_carrier</x:v>
      </x:c>
      <x:c r="D51" s="46" t="str">
        <x:v>brown butter / control comparison</x:v>
      </x:c>
      <x:c r="E51" s="46" t="str">
        <x:v>SRC-BUTTER-BROWN-AROMA-001</x:v>
      </x:c>
      <x:c r="F51" s="46" t="n">
        <x:v>50</x:v>
      </x:c>
      <x:c r="G51" s="46" t="str">
        <x:v>tomato vines, green</x:v>
      </x:c>
      <x:c r="H51" s="46" t="str">
        <x:v>(E)-2-octenal</x:v>
      </x:c>
      <x:c r="I51" s="46" t="str">
        <x:v>DB-5</x:v>
      </x:c>
      <x:c r="J51" s="46" t="n">
        <x:v>1042</x:v>
      </x:c>
      <x:c r="K51" s="46" t="n">
        <x:v>1406</x:v>
      </x:c>
      <x:c r="L51" s="46" t="n">
        <x:v>1062</x:v>
      </x:c>
      <x:c r="M51" s="46" t="n">
        <x:v>1434</x:v>
      </x:c>
      <x:c r="N51" s="46" t="str">
        <x:v>BB_and_control</x:v>
      </x:c>
      <x:c r="O51" s="46" t="str">
        <x:v>HS-SPME-GC-FID aroma-active table; GC sniff-port odor + measured RI/NIST RI; chapter also uses GC-MS/SAFE-GCO</x:v>
      </x:c>
      <x:c r="P51" s="46"/>
      <x:c r="Q51" s="46" t="str">
        <x:v>partial_no_numeric_match_factor</x:v>
      </x:c>
      <x:c r="R51" s="46" t="str">
        <x:v>complete_aroma_active_table</x:v>
      </x:c>
      <x:c r="S51" s="46"/>
    </x:row>
    <x:row r="52" ht="26.399999618530273" hidden="0" customHeight="1">
      <x:c r="A52" s="46" t="str">
        <x:v>DBB-051</x:v>
      </x:c>
      <x:c r="B52" s="46" t="str">
        <x:v>dairy:butter_browned</x:v>
      </x:c>
      <x:c r="C52" s="46" t="str">
        <x:v>family:dairy_carrier</x:v>
      </x:c>
      <x:c r="D52" s="46" t="str">
        <x:v>brown butter / control comparison</x:v>
      </x:c>
      <x:c r="E52" s="46" t="str">
        <x:v>SRC-BUTTER-BROWN-AROMA-001</x:v>
      </x:c>
      <x:c r="F52" s="46" t="n">
        <x:v>51</x:v>
      </x:c>
      <x:c r="G52" s="46" t="str">
        <x:v>roasted, nutty</x:v>
      </x:c>
      <x:c r="H52" s="46" t="str">
        <x:v>acetophenone</x:v>
      </x:c>
      <x:c r="I52" s="46" t="str">
        <x:v>DB-5</x:v>
      </x:c>
      <x:c r="J52" s="46" t="n">
        <x:v>1062</x:v>
      </x:c>
      <x:c r="K52" s="46"/>
      <x:c r="L52" s="46" t="n">
        <x:v>1078</x:v>
      </x:c>
      <x:c r="M52" s="46" t="n">
        <x:v>1627</x:v>
      </x:c>
      <x:c r="N52" s="46" t="str">
        <x:v>BB_and_control</x:v>
      </x:c>
      <x:c r="O52" s="46" t="str">
        <x:v>HS-SPME-GC-FID aroma-active table; GC sniff-port odor + measured RI/NIST RI; chapter also uses GC-MS/SAFE-GCO</x:v>
      </x:c>
      <x:c r="P52" s="46"/>
      <x:c r="Q52" s="46" t="str">
        <x:v>partial_no_numeric_match_factor</x:v>
      </x:c>
      <x:c r="R52" s="46" t="str">
        <x:v>complete_aroma_active_table</x:v>
      </x:c>
      <x:c r="S52" s="46"/>
    </x:row>
    <x:row r="53" ht="26.399999618530273" hidden="0" customHeight="1">
      <x:c r="A53" s="46" t="str">
        <x:v>DBB-052</x:v>
      </x:c>
      <x:c r="B53" s="46" t="str">
        <x:v>dairy:butter_browned</x:v>
      </x:c>
      <x:c r="C53" s="46" t="str">
        <x:v>family:dairy_carrier</x:v>
      </x:c>
      <x:c r="D53" s="46" t="str">
        <x:v>brown butter / control comparison</x:v>
      </x:c>
      <x:c r="E53" s="46" t="str">
        <x:v>SRC-BUTTER-BROWN-AROMA-001</x:v>
      </x:c>
      <x:c r="F53" s="46" t="n">
        <x:v>52</x:v>
      </x:c>
      <x:c r="G53" s="46" t="str">
        <x:v>Sweet, caramel</x:v>
      </x:c>
      <x:c r="H53" s="46" t="str">
        <x:v>furaneol</x:v>
      </x:c>
      <x:c r="I53" s="46" t="str">
        <x:v>DB-5</x:v>
      </x:c>
      <x:c r="J53" s="46" t="n">
        <x:v>1069</x:v>
      </x:c>
      <x:c r="K53" s="46" t="n">
        <x:v>2072</x:v>
      </x:c>
      <x:c r="L53" s="46" t="n">
        <x:v>1073</x:v>
      </x:c>
      <x:c r="M53" s="46" t="n">
        <x:v>2039</x:v>
      </x:c>
      <x:c r="N53" s="46" t="str">
        <x:v>single_X</x:v>
      </x:c>
      <x:c r="O53" s="46" t="str">
        <x:v>HS-SPME-GC-FID aroma-active table; GC sniff-port odor + measured RI/NIST RI; chapter also uses GC-MS/SAFE-GCO</x:v>
      </x:c>
      <x:c r="P53" s="46"/>
      <x:c r="Q53" s="46" t="str">
        <x:v>partial_no_numeric_match_factor</x:v>
      </x:c>
      <x:c r="R53" s="46" t="str">
        <x:v>complete_aroma_active_table</x:v>
      </x:c>
      <x:c r="S53" s="46" t="str">
        <x:v>For rows with only one X in the text-extracted PDF, brown-vs-control assignment is intentionally left unresolved rather than guessed.</x:v>
      </x:c>
    </x:row>
    <x:row r="54" ht="26.399999618530273" hidden="0" customHeight="1">
      <x:c r="A54" s="46" t="str">
        <x:v>DBB-053</x:v>
      </x:c>
      <x:c r="B54" s="46" t="str">
        <x:v>dairy:butter_browned</x:v>
      </x:c>
      <x:c r="C54" s="46" t="str">
        <x:v>family:dairy_carrier</x:v>
      </x:c>
      <x:c r="D54" s="46" t="str">
        <x:v>brown butter / control comparison</x:v>
      </x:c>
      <x:c r="E54" s="46" t="str">
        <x:v>SRC-BUTTER-BROWN-AROMA-001</x:v>
      </x:c>
      <x:c r="F54" s="46" t="n">
        <x:v>53</x:v>
      </x:c>
      <x:c r="G54" s="46" t="str">
        <x:v>Candy</x:v>
      </x:c>
      <x:c r="H54" s="46" t="str">
        <x:v>delta-hexanolactone</x:v>
      </x:c>
      <x:c r="I54" s="46" t="str">
        <x:v>DB-5</x:v>
      </x:c>
      <x:c r="J54" s="46" t="n">
        <x:v>1071</x:v>
      </x:c>
      <x:c r="K54" s="46"/>
      <x:c r="L54" s="46"/>
      <x:c r="M54" s="46"/>
      <x:c r="N54" s="46" t="str">
        <x:v>single_X</x:v>
      </x:c>
      <x:c r="O54" s="46" t="str">
        <x:v>HS-SPME-GC-FID aroma-active table; GC sniff-port odor + measured RI/NIST RI; chapter also uses GC-MS/SAFE-GCO</x:v>
      </x:c>
      <x:c r="P54" s="46"/>
      <x:c r="Q54" s="46" t="str">
        <x:v>partial_no_numeric_match_factor</x:v>
      </x:c>
      <x:c r="R54" s="46" t="str">
        <x:v>complete_aroma_active_table</x:v>
      </x:c>
      <x:c r="S54" s="46" t="str">
        <x:v>For rows with only one X in the text-extracted PDF, brown-vs-control assignment is intentionally left unresolved rather than guessed.</x:v>
      </x:c>
    </x:row>
    <x:row r="55" ht="26.399999618530273" hidden="0" customHeight="1">
      <x:c r="A55" s="46" t="str">
        <x:v>DBB-054</x:v>
      </x:c>
      <x:c r="B55" s="46" t="str">
        <x:v>dairy:butter_browned</x:v>
      </x:c>
      <x:c r="C55" s="46" t="str">
        <x:v>family:dairy_carrier</x:v>
      </x:c>
      <x:c r="D55" s="46" t="str">
        <x:v>brown butter / control comparison</x:v>
      </x:c>
      <x:c r="E55" s="46" t="str">
        <x:v>SRC-BUTTER-BROWN-AROMA-001</x:v>
      </x:c>
      <x:c r="F55" s="46" t="n">
        <x:v>54</x:v>
      </x:c>
      <x:c r="G55" s="46" t="str">
        <x:v>green, rubber</x:v>
      </x:c>
      <x:c r="H55" s="46" t="str">
        <x:v>1-octanol</x:v>
      </x:c>
      <x:c r="I55" s="46" t="str">
        <x:v>DB-5</x:v>
      </x:c>
      <x:c r="J55" s="46" t="n">
        <x:v>1072</x:v>
      </x:c>
      <x:c r="K55" s="46"/>
      <x:c r="L55" s="46" t="n">
        <x:v>1078</x:v>
      </x:c>
      <x:c r="M55" s="46" t="n">
        <x:v>1564</x:v>
      </x:c>
      <x:c r="N55" s="46" t="str">
        <x:v>BB_and_control</x:v>
      </x:c>
      <x:c r="O55" s="46" t="str">
        <x:v>HS-SPME-GC-FID aroma-active table; GC sniff-port odor + measured RI/NIST RI; chapter also uses GC-MS/SAFE-GCO</x:v>
      </x:c>
      <x:c r="P55" s="46"/>
      <x:c r="Q55" s="46" t="str">
        <x:v>partial_no_numeric_match_factor</x:v>
      </x:c>
      <x:c r="R55" s="46" t="str">
        <x:v>complete_aroma_active_table</x:v>
      </x:c>
      <x:c r="S55" s="46"/>
    </x:row>
    <x:row r="56" ht="26.399999618530273" hidden="0" customHeight="1">
      <x:c r="A56" s="46" t="str">
        <x:v>DBB-055</x:v>
      </x:c>
      <x:c r="B56" s="46" t="str">
        <x:v>dairy:butter_browned</x:v>
      </x:c>
      <x:c r="C56" s="46" t="str">
        <x:v>family:dairy_carrier</x:v>
      </x:c>
      <x:c r="D56" s="46" t="str">
        <x:v>brown butter / control comparison</x:v>
      </x:c>
      <x:c r="E56" s="46" t="str">
        <x:v>SRC-BUTTER-BROWN-AROMA-001</x:v>
      </x:c>
      <x:c r="F56" s="46" t="n">
        <x:v>55</x:v>
      </x:c>
      <x:c r="G56" s="46" t="str">
        <x:v>raw, sour</x:v>
      </x:c>
      <x:c r="H56" s="46" t="str">
        <x:v>heptanoic acid</x:v>
      </x:c>
      <x:c r="I56" s="46" t="str">
        <x:v>Wax</x:v>
      </x:c>
      <x:c r="J56" s="46" t="n">
        <x:v>1074</x:v>
      </x:c>
      <x:c r="K56" s="46" t="n">
        <x:v>1960</x:v>
      </x:c>
      <x:c r="L56" s="46" t="n">
        <x:v>1076</x:v>
      </x:c>
      <x:c r="M56" s="46" t="n">
        <x:v>1950</x:v>
      </x:c>
      <x:c r="N56" s="46" t="str">
        <x:v>BB_and_control</x:v>
      </x:c>
      <x:c r="O56" s="46" t="str">
        <x:v>HS-SPME-GC-FID aroma-active table; GC sniff-port odor + measured RI/NIST RI; chapter also uses GC-MS/SAFE-GCO</x:v>
      </x:c>
      <x:c r="P56" s="46"/>
      <x:c r="Q56" s="46" t="str">
        <x:v>partial_no_numeric_match_factor</x:v>
      </x:c>
      <x:c r="R56" s="46" t="str">
        <x:v>complete_aroma_active_table</x:v>
      </x:c>
      <x:c r="S56" s="46"/>
    </x:row>
    <x:row r="57" ht="26.399999618530273" hidden="0" customHeight="1">
      <x:c r="A57" s="46" t="str">
        <x:v>DBB-056</x:v>
      </x:c>
      <x:c r="B57" s="46" t="str">
        <x:v>dairy:butter_browned</x:v>
      </x:c>
      <x:c r="C57" s="46" t="str">
        <x:v>family:dairy_carrier</x:v>
      </x:c>
      <x:c r="D57" s="46" t="str">
        <x:v>brown butter / control comparison</x:v>
      </x:c>
      <x:c r="E57" s="46" t="str">
        <x:v>SRC-BUTTER-BROWN-AROMA-001</x:v>
      </x:c>
      <x:c r="F57" s="46" t="n">
        <x:v>56</x:v>
      </x:c>
      <x:c r="G57" s="46" t="str">
        <x:v>fresh, herbal</x:v>
      </x:c>
      <x:c r="H57" s="46" t="str">
        <x:v>2-nonanone</x:v>
      </x:c>
      <x:c r="I57" s="46" t="str">
        <x:v>DB-5</x:v>
      </x:c>
      <x:c r="J57" s="46" t="n">
        <x:v>1084</x:v>
      </x:c>
      <x:c r="K57" s="46"/>
      <x:c r="L57" s="46" t="n">
        <x:v>1091</x:v>
      </x:c>
      <x:c r="M57" s="46" t="n">
        <x:v>1386</x:v>
      </x:c>
      <x:c r="N57" s="46" t="str">
        <x:v>BB_and_control</x:v>
      </x:c>
      <x:c r="O57" s="46" t="str">
        <x:v>HS-SPME-GC-FID aroma-active table; GC sniff-port odor + measured RI/NIST RI; chapter also uses GC-MS/SAFE-GCO</x:v>
      </x:c>
      <x:c r="P57" s="46"/>
      <x:c r="Q57" s="46" t="str">
        <x:v>partial_no_numeric_match_factor</x:v>
      </x:c>
      <x:c r="R57" s="46" t="str">
        <x:v>complete_aroma_active_table</x:v>
      </x:c>
      <x:c r="S57" s="46"/>
    </x:row>
    <x:row r="58" ht="26.399999618530273" hidden="0" customHeight="1">
      <x:c r="A58" s="46" t="str">
        <x:v>DBB-057</x:v>
      </x:c>
      <x:c r="B58" s="46" t="str">
        <x:v>dairy:butter_browned</x:v>
      </x:c>
      <x:c r="C58" s="46" t="str">
        <x:v>family:dairy_carrier</x:v>
      </x:c>
      <x:c r="D58" s="46" t="str">
        <x:v>brown butter / control comparison</x:v>
      </x:c>
      <x:c r="E58" s="46" t="str">
        <x:v>SRC-BUTTER-BROWN-AROMA-001</x:v>
      </x:c>
      <x:c r="F58" s="46" t="n">
        <x:v>57</x:v>
      </x:c>
      <x:c r="G58" s="46" t="str">
        <x:v>waxy, fatty</x:v>
      </x:c>
      <x:c r="H58" s="46" t="str">
        <x:v>nonanal</x:v>
      </x:c>
      <x:c r="I58" s="46" t="str">
        <x:v>DB-5</x:v>
      </x:c>
      <x:c r="J58" s="46" t="n">
        <x:v>1105</x:v>
      </x:c>
      <x:c r="K58" s="46" t="n">
        <x:v>1111</x:v>
      </x:c>
      <x:c r="L58" s="46" t="n">
        <x:v>1102</x:v>
      </x:c>
      <x:c r="M58" s="46" t="n">
        <x:v>1400</x:v>
      </x:c>
      <x:c r="N58" s="46" t="str">
        <x:v>BB_and_control</x:v>
      </x:c>
      <x:c r="O58" s="46" t="str">
        <x:v>HS-SPME-GC-FID aroma-active table; GC sniff-port odor + measured RI/NIST RI; chapter also uses GC-MS/SAFE-GCO</x:v>
      </x:c>
      <x:c r="P58" s="46"/>
      <x:c r="Q58" s="46" t="str">
        <x:v>partial_no_numeric_match_factor</x:v>
      </x:c>
      <x:c r="R58" s="46" t="str">
        <x:v>complete_aroma_active_table</x:v>
      </x:c>
      <x:c r="S58" s="46"/>
    </x:row>
    <x:row r="59" ht="26.399999618530273" hidden="0" customHeight="1">
      <x:c r="A59" s="46" t="str">
        <x:v>DBB-058</x:v>
      </x:c>
      <x:c r="B59" s="46" t="str">
        <x:v>dairy:butter_browned</x:v>
      </x:c>
      <x:c r="C59" s="46" t="str">
        <x:v>family:dairy_carrier</x:v>
      </x:c>
      <x:c r="D59" s="46" t="str">
        <x:v>brown butter / control comparison</x:v>
      </x:c>
      <x:c r="E59" s="46" t="str">
        <x:v>SRC-BUTTER-BROWN-AROMA-001</x:v>
      </x:c>
      <x:c r="F59" s="46" t="n">
        <x:v>58</x:v>
      </x:c>
      <x:c r="G59" s="46" t="str">
        <x:v>Sweet, caramel</x:v>
      </x:c>
      <x:c r="H59" s="46" t="str">
        <x:v>maltol</x:v>
      </x:c>
      <x:c r="I59" s="46" t="str">
        <x:v>Wax</x:v>
      </x:c>
      <x:c r="J59" s="46" t="n">
        <x:v>1118</x:v>
      </x:c>
      <x:c r="K59" s="46" t="n">
        <x:v>1938</x:v>
      </x:c>
      <x:c r="L59" s="46" t="n">
        <x:v>1098</x:v>
      </x:c>
      <x:c r="M59" s="46" t="n">
        <x:v>1991</x:v>
      </x:c>
      <x:c r="N59" s="46" t="str">
        <x:v>single_X</x:v>
      </x:c>
      <x:c r="O59" s="46" t="str">
        <x:v>HS-SPME-GC-FID aroma-active table; GC sniff-port odor + measured RI/NIST RI; chapter also uses GC-MS/SAFE-GCO</x:v>
      </x:c>
      <x:c r="P59" s="46"/>
      <x:c r="Q59" s="46" t="str">
        <x:v>partial_no_numeric_match_factor</x:v>
      </x:c>
      <x:c r="R59" s="46" t="str">
        <x:v>complete_aroma_active_table</x:v>
      </x:c>
      <x:c r="S59" s="46" t="str">
        <x:v>For rows with only one X in the text-extracted PDF, brown-vs-control assignment is intentionally left unresolved rather than guessed.</x:v>
      </x:c>
    </x:row>
    <x:row r="60" ht="26.399999618530273" hidden="0" customHeight="1">
      <x:c r="A60" s="46" t="str">
        <x:v>DBB-059</x:v>
      </x:c>
      <x:c r="B60" s="46" t="str">
        <x:v>dairy:butter_browned</x:v>
      </x:c>
      <x:c r="C60" s="46" t="str">
        <x:v>family:dairy_carrier</x:v>
      </x:c>
      <x:c r="D60" s="46" t="str">
        <x:v>brown butter / control comparison</x:v>
      </x:c>
      <x:c r="E60" s="46" t="str">
        <x:v>SRC-BUTTER-BROWN-AROMA-001</x:v>
      </x:c>
      <x:c r="F60" s="46" t="n">
        <x:v>59</x:v>
      </x:c>
      <x:c r="G60" s="46" t="str">
        <x:v>green, fatty</x:v>
      </x:c>
      <x:c r="H60" s="46" t="str">
        <x:v>(E,E)-2,4-octadienal</x:v>
      </x:c>
      <x:c r="I60" s="46" t="str">
        <x:v>DB-5</x:v>
      </x:c>
      <x:c r="J60" s="46" t="n">
        <x:v>1121</x:v>
      </x:c>
      <x:c r="K60" s="46"/>
      <x:c r="L60" s="46" t="n">
        <x:v>1125</x:v>
      </x:c>
      <x:c r="M60" s="46" t="n">
        <x:v>1569</x:v>
      </x:c>
      <x:c r="N60" s="46" t="str">
        <x:v>BB_and_control</x:v>
      </x:c>
      <x:c r="O60" s="46" t="str">
        <x:v>HS-SPME-GC-FID aroma-active table; GC sniff-port odor + measured RI/NIST RI; chapter also uses GC-MS/SAFE-GCO</x:v>
      </x:c>
      <x:c r="P60" s="46"/>
      <x:c r="Q60" s="46" t="str">
        <x:v>partial_no_numeric_match_factor</x:v>
      </x:c>
      <x:c r="R60" s="46" t="str">
        <x:v>complete_aroma_active_table</x:v>
      </x:c>
      <x:c r="S60" s="46"/>
    </x:row>
    <x:row r="61" ht="26.399999618530273" hidden="0" customHeight="1">
      <x:c r="A61" s="46" t="str">
        <x:v>DBB-060</x:v>
      </x:c>
      <x:c r="B61" s="46" t="str">
        <x:v>dairy:butter_browned</x:v>
      </x:c>
      <x:c r="C61" s="46" t="str">
        <x:v>family:dairy_carrier</x:v>
      </x:c>
      <x:c r="D61" s="46" t="str">
        <x:v>brown butter / control comparison</x:v>
      </x:c>
      <x:c r="E61" s="46" t="str">
        <x:v>SRC-BUTTER-BROWN-AROMA-001</x:v>
      </x:c>
      <x:c r="F61" s="46" t="n">
        <x:v>60</x:v>
      </x:c>
      <x:c r="G61" s="46" t="str">
        <x:v>rose, floral</x:v>
      </x:c>
      <x:c r="H61" s="46" t="str">
        <x:v>2-phenylethanol</x:v>
      </x:c>
      <x:c r="I61" s="46" t="str">
        <x:v>DB-5</x:v>
      </x:c>
      <x:c r="J61" s="46" t="n">
        <x:v>1121</x:v>
      </x:c>
      <x:c r="K61" s="46" t="n">
        <x:v>1900</x:v>
      </x:c>
      <x:c r="L61" s="46" t="n">
        <x:v>1117</x:v>
      </x:c>
      <x:c r="M61" s="46" t="n">
        <x:v>1919</x:v>
      </x:c>
      <x:c r="N61" s="46" t="str">
        <x:v>single_X</x:v>
      </x:c>
      <x:c r="O61" s="46" t="str">
        <x:v>HS-SPME-GC-FID aroma-active table; GC sniff-port odor + measured RI/NIST RI; chapter also uses GC-MS/SAFE-GCO</x:v>
      </x:c>
      <x:c r="P61" s="46"/>
      <x:c r="Q61" s="46" t="str">
        <x:v>partial_no_numeric_match_factor</x:v>
      </x:c>
      <x:c r="R61" s="46" t="str">
        <x:v>complete_aroma_active_table</x:v>
      </x:c>
      <x:c r="S61" s="46" t="str">
        <x:v>For rows with only one X in the text-extracted PDF, brown-vs-control assignment is intentionally left unresolved rather than guessed.</x:v>
      </x:c>
    </x:row>
    <x:row r="62" ht="26.399999618530273" hidden="0" customHeight="1">
      <x:c r="A62" s="46" t="str">
        <x:v>DBB-061</x:v>
      </x:c>
      <x:c r="B62" s="46" t="str">
        <x:v>dairy:butter_browned</x:v>
      </x:c>
      <x:c r="C62" s="46" t="str">
        <x:v>family:dairy_carrier</x:v>
      </x:c>
      <x:c r="D62" s="46" t="str">
        <x:v>brown butter / control comparison</x:v>
      </x:c>
      <x:c r="E62" s="46" t="str">
        <x:v>SRC-BUTTER-BROWN-AROMA-001</x:v>
      </x:c>
      <x:c r="F62" s="46" t="n">
        <x:v>61</x:v>
      </x:c>
      <x:c r="G62" s="46" t="str">
        <x:v>green, floral</x:v>
      </x:c>
      <x:c r="H62" s="46" t="str">
        <x:v>(E)-2-nonenal</x:v>
      </x:c>
      <x:c r="I62" s="46" t="str">
        <x:v>DB-5</x:v>
      </x:c>
      <x:c r="J62" s="46" t="n">
        <x:v>1144</x:v>
      </x:c>
      <x:c r="K62" s="46"/>
      <x:c r="L62" s="46" t="n">
        <x:v>1166</x:v>
      </x:c>
      <x:c r="M62" s="46" t="n">
        <x:v>1532</x:v>
      </x:c>
      <x:c r="N62" s="46" t="str">
        <x:v>BB_and_control</x:v>
      </x:c>
      <x:c r="O62" s="46" t="str">
        <x:v>HS-SPME-GC-FID aroma-active table; GC sniff-port odor + measured RI/NIST RI; chapter also uses GC-MS/SAFE-GCO</x:v>
      </x:c>
      <x:c r="P62" s="46"/>
      <x:c r="Q62" s="46" t="str">
        <x:v>partial_no_numeric_match_factor</x:v>
      </x:c>
      <x:c r="R62" s="46" t="str">
        <x:v>complete_aroma_active_table</x:v>
      </x:c>
      <x:c r="S62" s="46"/>
    </x:row>
    <x:row r="63" ht="26.399999618530273" hidden="0" customHeight="1">
      <x:c r="A63" s="46" t="str">
        <x:v>DBB-062</x:v>
      </x:c>
      <x:c r="B63" s="46" t="str">
        <x:v>dairy:butter_browned</x:v>
      </x:c>
      <x:c r="C63" s="46" t="str">
        <x:v>family:dairy_carrier</x:v>
      </x:c>
      <x:c r="D63" s="46" t="str">
        <x:v>brown butter / control comparison</x:v>
      </x:c>
      <x:c r="E63" s="46" t="str">
        <x:v>SRC-BUTTER-BROWN-AROMA-001</x:v>
      </x:c>
      <x:c r="F63" s="46" t="n">
        <x:v>62</x:v>
      </x:c>
      <x:c r="G63" s="46" t="str">
        <x:v>green, fatty</x:v>
      </x:c>
      <x:c r="H63" s="46" t="str">
        <x:v>(Z)-2-nonenal</x:v>
      </x:c>
      <x:c r="I63" s="46" t="str">
        <x:v>DB-5</x:v>
      </x:c>
      <x:c r="J63" s="46" t="n">
        <x:v>1152</x:v>
      </x:c>
      <x:c r="K63" s="46"/>
      <x:c r="L63" s="46" t="n">
        <x:v>1150</x:v>
      </x:c>
      <x:c r="M63" s="46"/>
      <x:c r="N63" s="46" t="str">
        <x:v>BB_and_control</x:v>
      </x:c>
      <x:c r="O63" s="46" t="str">
        <x:v>HS-SPME-GC-FID aroma-active table; GC sniff-port odor + measured RI/NIST RI; chapter also uses GC-MS/SAFE-GCO</x:v>
      </x:c>
      <x:c r="P63" s="46"/>
      <x:c r="Q63" s="46" t="str">
        <x:v>partial_no_numeric_match_factor</x:v>
      </x:c>
      <x:c r="R63" s="46" t="str">
        <x:v>complete_aroma_active_table</x:v>
      </x:c>
      <x:c r="S63" s="46"/>
    </x:row>
    <x:row r="64" ht="26.399999618530273" hidden="0" customHeight="1">
      <x:c r="A64" s="46" t="str">
        <x:v>DBB-063</x:v>
      </x:c>
      <x:c r="B64" s="46" t="str">
        <x:v>dairy:butter_browned</x:v>
      </x:c>
      <x:c r="C64" s="46" t="str">
        <x:v>family:dairy_carrier</x:v>
      </x:c>
      <x:c r="D64" s="46" t="str">
        <x:v>brown butter / control comparison</x:v>
      </x:c>
      <x:c r="E64" s="46" t="str">
        <x:v>SRC-BUTTER-BROWN-AROMA-001</x:v>
      </x:c>
      <x:c r="F64" s="46" t="n">
        <x:v>63</x:v>
      </x:c>
      <x:c r="G64" s="46" t="str">
        <x:v>Cucumber</x:v>
      </x:c>
      <x:c r="H64" s="46" t="str">
        <x:v>(E,Z)-2,6-nonadienal</x:v>
      </x:c>
      <x:c r="I64" s="46" t="str">
        <x:v>Wax</x:v>
      </x:c>
      <x:c r="J64" s="46" t="n">
        <x:v>1159</x:v>
      </x:c>
      <x:c r="K64" s="46" t="n">
        <x:v>1560</x:v>
      </x:c>
      <x:c r="L64" s="46" t="n">
        <x:v>1159</x:v>
      </x:c>
      <x:c r="M64" s="46" t="n">
        <x:v>1587</x:v>
      </x:c>
      <x:c r="N64" s="46" t="str">
        <x:v>single_X</x:v>
      </x:c>
      <x:c r="O64" s="46" t="str">
        <x:v>HS-SPME-GC-FID aroma-active table; GC sniff-port odor + measured RI/NIST RI; chapter also uses GC-MS/SAFE-GCO</x:v>
      </x:c>
      <x:c r="P64" s="46"/>
      <x:c r="Q64" s="46" t="str">
        <x:v>partial_no_numeric_match_factor</x:v>
      </x:c>
      <x:c r="R64" s="46" t="str">
        <x:v>complete_aroma_active_table</x:v>
      </x:c>
      <x:c r="S64" s="46" t="str">
        <x:v>For rows with only one X in the text-extracted PDF, brown-vs-control assignment is intentionally left unresolved rather than guessed.</x:v>
      </x:c>
    </x:row>
    <x:row r="65" ht="26.399999618530273" hidden="0" customHeight="1">
      <x:c r="A65" s="46" t="str">
        <x:v>DBB-064</x:v>
      </x:c>
      <x:c r="B65" s="46" t="str">
        <x:v>dairy:butter_browned</x:v>
      </x:c>
      <x:c r="C65" s="46" t="str">
        <x:v>family:dairy_carrier</x:v>
      </x:c>
      <x:c r="D65" s="46" t="str">
        <x:v>brown butter / control comparison</x:v>
      </x:c>
      <x:c r="E65" s="46" t="str">
        <x:v>SRC-BUTTER-BROWN-AROMA-001</x:v>
      </x:c>
      <x:c r="F65" s="46" t="n">
        <x:v>64</x:v>
      </x:c>
      <x:c r="G65" s="46" t="str">
        <x:v>waxy, sour</x:v>
      </x:c>
      <x:c r="H65" s="46" t="str">
        <x:v>octanoic acid</x:v>
      </x:c>
      <x:c r="I65" s="46" t="str">
        <x:v>Wax</x:v>
      </x:c>
      <x:c r="J65" s="46" t="n">
        <x:v>1159</x:v>
      </x:c>
      <x:c r="K65" s="46" t="n">
        <x:v>2021</x:v>
      </x:c>
      <x:c r="L65" s="46" t="n">
        <x:v>1186</x:v>
      </x:c>
      <x:c r="M65" s="46" t="n">
        <x:v>2050</x:v>
      </x:c>
      <x:c r="N65" s="46" t="str">
        <x:v>BB_and_control</x:v>
      </x:c>
      <x:c r="O65" s="46" t="str">
        <x:v>HS-SPME-GC-FID aroma-active table; GC sniff-port odor + measured RI/NIST RI; chapter also uses GC-MS/SAFE-GCO</x:v>
      </x:c>
      <x:c r="P65" s="46"/>
      <x:c r="Q65" s="46" t="str">
        <x:v>partial_no_numeric_match_factor</x:v>
      </x:c>
      <x:c r="R65" s="46" t="str">
        <x:v>complete_aroma_active_table</x:v>
      </x:c>
      <x:c r="S65" s="46"/>
    </x:row>
    <x:row r="66" ht="26.399999618530273" hidden="0" customHeight="1">
      <x:c r="A66" s="46" t="str">
        <x:v>DBB-065</x:v>
      </x:c>
      <x:c r="B66" s="46" t="str">
        <x:v>dairy:butter_browned</x:v>
      </x:c>
      <x:c r="C66" s="46" t="str">
        <x:v>family:dairy_carrier</x:v>
      </x:c>
      <x:c r="D66" s="46" t="str">
        <x:v>brown butter / control comparison</x:v>
      </x:c>
      <x:c r="E66" s="46" t="str">
        <x:v>SRC-BUTTER-BROWN-AROMA-001</x:v>
      </x:c>
      <x:c r="F66" s="46" t="n">
        <x:v>65</x:v>
      </x:c>
      <x:c r="G66" s="46" t="str">
        <x:v>fatty, soapy</x:v>
      </x:c>
      <x:c r="H66" s="46" t="str">
        <x:v>(E,E)-2,4-nonadienal</x:v>
      </x:c>
      <x:c r="I66" s="46" t="str">
        <x:v>DB-5</x:v>
      </x:c>
      <x:c r="J66" s="46" t="n">
        <x:v>1195</x:v>
      </x:c>
      <x:c r="K66" s="46" t="n">
        <x:v>1690</x:v>
      </x:c>
      <x:c r="L66" s="46" t="n">
        <x:v>1211</x:v>
      </x:c>
      <x:c r="M66" s="46" t="n">
        <x:v>1681</x:v>
      </x:c>
      <x:c r="N66" s="46" t="str">
        <x:v>BB_and_control</x:v>
      </x:c>
      <x:c r="O66" s="46" t="str">
        <x:v>HS-SPME-GC-FID aroma-active table; GC sniff-port odor + measured RI/NIST RI; chapter also uses GC-MS/SAFE-GCO</x:v>
      </x:c>
      <x:c r="P66" s="46"/>
      <x:c r="Q66" s="46" t="str">
        <x:v>partial_no_numeric_match_factor</x:v>
      </x:c>
      <x:c r="R66" s="46" t="str">
        <x:v>complete_aroma_active_table</x:v>
      </x:c>
      <x:c r="S66" s="46"/>
    </x:row>
    <x:row r="67" ht="26.399999618530273" hidden="0" customHeight="1">
      <x:c r="A67" s="46" t="str">
        <x:v>DBB-066</x:v>
      </x:c>
      <x:c r="B67" s="46" t="str">
        <x:v>dairy:butter_browned</x:v>
      </x:c>
      <x:c r="C67" s="46" t="str">
        <x:v>family:dairy_carrier</x:v>
      </x:c>
      <x:c r="D67" s="46" t="str">
        <x:v>brown butter / control comparison</x:v>
      </x:c>
      <x:c r="E67" s="46" t="str">
        <x:v>SRC-BUTTER-BROWN-AROMA-001</x:v>
      </x:c>
      <x:c r="F67" s="46" t="n">
        <x:v>66</x:v>
      </x:c>
      <x:c r="G67" s="46" t="str">
        <x:v>green, waxy</x:v>
      </x:c>
      <x:c r="H67" s="46" t="str">
        <x:v>decanal</x:v>
      </x:c>
      <x:c r="I67" s="46" t="str">
        <x:v>DB-5</x:v>
      </x:c>
      <x:c r="J67" s="46" t="n">
        <x:v>1200</x:v>
      </x:c>
      <x:c r="K67" s="46" t="n">
        <x:v>1501</x:v>
      </x:c>
      <x:c r="L67" s="46" t="n">
        <x:v>1207</x:v>
      </x:c>
      <x:c r="M67" s="46" t="n">
        <x:v>1502</x:v>
      </x:c>
      <x:c r="N67" s="46" t="str">
        <x:v>BB_and_control</x:v>
      </x:c>
      <x:c r="O67" s="46" t="str">
        <x:v>HS-SPME-GC-FID aroma-active table; GC sniff-port odor + measured RI/NIST RI; chapter also uses GC-MS/SAFE-GCO</x:v>
      </x:c>
      <x:c r="P67" s="46"/>
      <x:c r="Q67" s="46" t="str">
        <x:v>partial_no_numeric_match_factor</x:v>
      </x:c>
      <x:c r="R67" s="46" t="str">
        <x:v>complete_aroma_active_table</x:v>
      </x:c>
      <x:c r="S67" s="46"/>
    </x:row>
    <x:row r="68" ht="26.399999618530273" hidden="0" customHeight="1">
      <x:c r="A68" s="46" t="str">
        <x:v>DBB-067</x:v>
      </x:c>
      <x:c r="B68" s="46" t="str">
        <x:v>dairy:butter_browned</x:v>
      </x:c>
      <x:c r="C68" s="46" t="str">
        <x:v>family:dairy_carrier</x:v>
      </x:c>
      <x:c r="D68" s="46" t="str">
        <x:v>brown butter / control comparison</x:v>
      </x:c>
      <x:c r="E68" s="46" t="str">
        <x:v>SRC-BUTTER-BROWN-AROMA-001</x:v>
      </x:c>
      <x:c r="F68" s="46" t="n">
        <x:v>67</x:v>
      </x:c>
      <x:c r="G68" s="46" t="str">
        <x:v>cooked, toasted</x:v>
      </x:c>
      <x:c r="H68" s="46" t="str">
        <x:v>5-hydroxymethylfurfural</x:v>
      </x:c>
      <x:c r="I68" s="46" t="str">
        <x:v>DB-5</x:v>
      </x:c>
      <x:c r="J68" s="46" t="n">
        <x:v>1219</x:v>
      </x:c>
      <x:c r="K68" s="46"/>
      <x:c r="L68" s="46" t="n">
        <x:v>1224</x:v>
      </x:c>
      <x:c r="M68" s="46" t="n">
        <x:v>2485</x:v>
      </x:c>
      <x:c r="N68" s="46" t="str">
        <x:v>single_X</x:v>
      </x:c>
      <x:c r="O68" s="46" t="str">
        <x:v>HS-SPME-GC-FID aroma-active table; GC sniff-port odor + measured RI/NIST RI; chapter also uses GC-MS/SAFE-GCO</x:v>
      </x:c>
      <x:c r="P68" s="46"/>
      <x:c r="Q68" s="46" t="str">
        <x:v>partial_no_numeric_match_factor</x:v>
      </x:c>
      <x:c r="R68" s="46" t="str">
        <x:v>complete_aroma_active_table</x:v>
      </x:c>
      <x:c r="S68" s="46" t="str">
        <x:v>For rows with only one X in the text-extracted PDF, brown-vs-control assignment is intentionally left unresolved rather than guessed.</x:v>
      </x:c>
    </x:row>
    <x:row r="69" ht="26.399999618530273" hidden="0" customHeight="1">
      <x:c r="A69" s="46" t="str">
        <x:v>DBB-068</x:v>
      </x:c>
      <x:c r="B69" s="46" t="str">
        <x:v>dairy:butter_browned</x:v>
      </x:c>
      <x:c r="C69" s="46" t="str">
        <x:v>family:dairy_carrier</x:v>
      </x:c>
      <x:c r="D69" s="46" t="str">
        <x:v>brown butter / control comparison</x:v>
      </x:c>
      <x:c r="E69" s="46" t="str">
        <x:v>SRC-BUTTER-BROWN-AROMA-001</x:v>
      </x:c>
      <x:c r="F69" s="46" t="n">
        <x:v>68</x:v>
      </x:c>
      <x:c r="G69" s="46" t="str">
        <x:v>waxy, coconut</x:v>
      </x:c>
      <x:c r="H69" s="46" t="str">
        <x:v>delta-octalactone</x:v>
      </x:c>
      <x:c r="I69" s="46" t="str">
        <x:v>DB-5</x:v>
      </x:c>
      <x:c r="J69" s="46" t="n">
        <x:v>1248</x:v>
      </x:c>
      <x:c r="K69" s="46"/>
      <x:c r="L69" s="46" t="n">
        <x:v>1255</x:v>
      </x:c>
      <x:c r="M69" s="46" t="n">
        <x:v>1910</x:v>
      </x:c>
      <x:c r="N69" s="46" t="str">
        <x:v>BB_and_control</x:v>
      </x:c>
      <x:c r="O69" s="46" t="str">
        <x:v>HS-SPME-GC-FID aroma-active table; GC sniff-port odor + measured RI/NIST RI; chapter also uses GC-MS/SAFE-GCO</x:v>
      </x:c>
      <x:c r="P69" s="46"/>
      <x:c r="Q69" s="46" t="str">
        <x:v>partial_no_numeric_match_factor</x:v>
      </x:c>
      <x:c r="R69" s="46" t="str">
        <x:v>complete_aroma_active_table</x:v>
      </x:c>
      <x:c r="S69" s="46"/>
    </x:row>
    <x:row r="70" ht="26.399999618530273" hidden="0" customHeight="1">
      <x:c r="A70" s="46" t="str">
        <x:v>DBB-069</x:v>
      </x:c>
      <x:c r="B70" s="46" t="str">
        <x:v>dairy:butter_browned</x:v>
      </x:c>
      <x:c r="C70" s="46" t="str">
        <x:v>family:dairy_carrier</x:v>
      </x:c>
      <x:c r="D70" s="46" t="str">
        <x:v>brown butter / control comparison</x:v>
      </x:c>
      <x:c r="E70" s="46" t="str">
        <x:v>SRC-BUTTER-BROWN-AROMA-001</x:v>
      </x:c>
      <x:c r="F70" s="46" t="n">
        <x:v>69</x:v>
      </x:c>
      <x:c r="G70" s="46" t="str">
        <x:v>creamy, waxy</x:v>
      </x:c>
      <x:c r="H70" s="46" t="str">
        <x:v>(E)-2-decenal</x:v>
      </x:c>
      <x:c r="I70" s="46" t="str">
        <x:v>DB-5</x:v>
      </x:c>
      <x:c r="J70" s="46" t="n">
        <x:v>1261</x:v>
      </x:c>
      <x:c r="K70" s="46"/>
      <x:c r="L70" s="46" t="n">
        <x:v>1266</x:v>
      </x:c>
      <x:c r="M70" s="46" t="n">
        <x:v>1630</x:v>
      </x:c>
      <x:c r="N70" s="46" t="str">
        <x:v>BB_and_control</x:v>
      </x:c>
      <x:c r="O70" s="46" t="str">
        <x:v>HS-SPME-GC-FID aroma-active table; GC sniff-port odor + measured RI/NIST RI; chapter also uses GC-MS/SAFE-GCO</x:v>
      </x:c>
      <x:c r="P70" s="46"/>
      <x:c r="Q70" s="46" t="str">
        <x:v>partial_no_numeric_match_factor</x:v>
      </x:c>
      <x:c r="R70" s="46" t="str">
        <x:v>complete_aroma_active_table</x:v>
      </x:c>
      <x:c r="S70" s="46"/>
    </x:row>
    <x:row r="71" ht="26.399999618530273" hidden="0" customHeight="1">
      <x:c r="A71" s="46" t="str">
        <x:v>DBB-070</x:v>
      </x:c>
      <x:c r="B71" s="46" t="str">
        <x:v>dairy:butter_browned</x:v>
      </x:c>
      <x:c r="C71" s="46" t="str">
        <x:v>family:dairy_carrier</x:v>
      </x:c>
      <x:c r="D71" s="46" t="str">
        <x:v>brown butter / control comparison</x:v>
      </x:c>
      <x:c r="E71" s="46" t="str">
        <x:v>SRC-BUTTER-BROWN-AROMA-001</x:v>
      </x:c>
      <x:c r="F71" s="46" t="n">
        <x:v>70</x:v>
      </x:c>
      <x:c r="G71" s="46" t="str">
        <x:v>sweet, dairy</x:v>
      </x:c>
      <x:c r="H71" s="46" t="str">
        <x:v>2-undecanone</x:v>
      </x:c>
      <x:c r="I71" s="46" t="str">
        <x:v>DB-5</x:v>
      </x:c>
      <x:c r="J71" s="46" t="n">
        <x:v>1285</x:v>
      </x:c>
      <x:c r="K71" s="46"/>
      <x:c r="L71" s="46" t="n">
        <x:v>1274</x:v>
      </x:c>
      <x:c r="M71" s="46" t="n">
        <x:v>1610</x:v>
      </x:c>
      <x:c r="N71" s="46" t="str">
        <x:v>single_X</x:v>
      </x:c>
      <x:c r="O71" s="46" t="str">
        <x:v>HS-SPME-GC-FID aroma-active table; GC sniff-port odor + measured RI/NIST RI; chapter also uses GC-MS/SAFE-GCO</x:v>
      </x:c>
      <x:c r="P71" s="46"/>
      <x:c r="Q71" s="46" t="str">
        <x:v>partial_no_numeric_match_factor</x:v>
      </x:c>
      <x:c r="R71" s="46" t="str">
        <x:v>complete_aroma_active_table</x:v>
      </x:c>
      <x:c r="S71" s="46" t="str">
        <x:v>For rows with only one X in the text-extracted PDF, brown-vs-control assignment is intentionally left unresolved rather than guessed.</x:v>
      </x:c>
    </x:row>
    <x:row r="72" ht="26.399999618530273" hidden="0" customHeight="1">
      <x:c r="A72" s="46" t="str">
        <x:v>DBB-071</x:v>
      </x:c>
      <x:c r="B72" s="46" t="str">
        <x:v>dairy:butter_browned</x:v>
      </x:c>
      <x:c r="C72" s="46" t="str">
        <x:v>family:dairy_carrier</x:v>
      </x:c>
      <x:c r="D72" s="46" t="str">
        <x:v>brown butter / control comparison</x:v>
      </x:c>
      <x:c r="E72" s="46" t="str">
        <x:v>SRC-BUTTER-BROWN-AROMA-001</x:v>
      </x:c>
      <x:c r="F72" s="46" t="n">
        <x:v>71</x:v>
      </x:c>
      <x:c r="G72" s="46" t="str">
        <x:v>green, herbal</x:v>
      </x:c>
      <x:c r="H72" s="46" t="str">
        <x:v>nonanoic acid</x:v>
      </x:c>
      <x:c r="I72" s="46" t="str">
        <x:v>Wax</x:v>
      </x:c>
      <x:c r="J72" s="46" t="n">
        <x:v>1285</x:v>
      </x:c>
      <x:c r="K72" s="46" t="n">
        <x:v>2171</x:v>
      </x:c>
      <x:c r="L72" s="46" t="n">
        <x:v>1278</x:v>
      </x:c>
      <x:c r="M72" s="46" t="n">
        <x:v>2171</x:v>
      </x:c>
      <x:c r="N72" s="46" t="str">
        <x:v>BB_and_control</x:v>
      </x:c>
      <x:c r="O72" s="46" t="str">
        <x:v>HS-SPME-GC-FID aroma-active table; GC sniff-port odor + measured RI/NIST RI; chapter also uses GC-MS/SAFE-GCO</x:v>
      </x:c>
      <x:c r="P72" s="46"/>
      <x:c r="Q72" s="46" t="str">
        <x:v>partial_no_numeric_match_factor</x:v>
      </x:c>
      <x:c r="R72" s="46" t="str">
        <x:v>complete_aroma_active_table</x:v>
      </x:c>
      <x:c r="S72" s="46"/>
    </x:row>
    <x:row r="73" ht="26.399999618530273" hidden="0" customHeight="1">
      <x:c r="A73" s="46" t="str">
        <x:v>DBB-072</x:v>
      </x:c>
      <x:c r="B73" s="46" t="str">
        <x:v>dairy:butter_browned</x:v>
      </x:c>
      <x:c r="C73" s="46" t="str">
        <x:v>family:dairy_carrier</x:v>
      </x:c>
      <x:c r="D73" s="46" t="str">
        <x:v>brown butter / control comparison</x:v>
      </x:c>
      <x:c r="E73" s="46" t="str">
        <x:v>SRC-BUTTER-BROWN-AROMA-001</x:v>
      </x:c>
      <x:c r="F73" s="46" t="n">
        <x:v>72</x:v>
      </x:c>
      <x:c r="G73" s="46" t="str">
        <x:v>stale, fatty</x:v>
      </x:c>
      <x:c r="H73" s="46" t="str">
        <x:v>(E,E)-2,4-decadienal</x:v>
      </x:c>
      <x:c r="I73" s="46" t="str">
        <x:v>DB-5</x:v>
      </x:c>
      <x:c r="J73" s="46" t="n">
        <x:v>1314</x:v>
      </x:c>
      <x:c r="K73" s="46"/>
      <x:c r="L73" s="46" t="n">
        <x:v>1312</x:v>
      </x:c>
      <x:c r="M73" s="46" t="n">
        <x:v>1819</x:v>
      </x:c>
      <x:c r="N73" s="46" t="str">
        <x:v>BB_and_control</x:v>
      </x:c>
      <x:c r="O73" s="46" t="str">
        <x:v>HS-SPME-GC-FID aroma-active table; GC sniff-port odor + measured RI/NIST RI; chapter also uses GC-MS/SAFE-GCO</x:v>
      </x:c>
      <x:c r="P73" s="46"/>
      <x:c r="Q73" s="46" t="str">
        <x:v>partial_no_numeric_match_factor</x:v>
      </x:c>
      <x:c r="R73" s="46" t="str">
        <x:v>complete_aroma_active_table</x:v>
      </x:c>
      <x:c r="S73" s="46"/>
    </x:row>
    <x:row r="74" ht="26.399999618530273" hidden="0" customHeight="1">
      <x:c r="A74" s="46" t="str">
        <x:v>DBB-073</x:v>
      </x:c>
      <x:c r="B74" s="46" t="str">
        <x:v>dairy:butter_browned</x:v>
      </x:c>
      <x:c r="C74" s="46" t="str">
        <x:v>family:dairy_carrier</x:v>
      </x:c>
      <x:c r="D74" s="46" t="str">
        <x:v>brown butter / control comparison</x:v>
      </x:c>
      <x:c r="E74" s="46" t="str">
        <x:v>SRC-BUTTER-BROWN-AROMA-001</x:v>
      </x:c>
      <x:c r="F74" s="46" t="n">
        <x:v>73</x:v>
      </x:c>
      <x:c r="G74" s="46" t="str">
        <x:v>green, fresh</x:v>
      </x:c>
      <x:c r="H74" s="46" t="str">
        <x:v>undecanal</x:v>
      </x:c>
      <x:c r="I74" s="46" t="str">
        <x:v>DB-5</x:v>
      </x:c>
      <x:c r="J74" s="46" t="n">
        <x:v>1320</x:v>
      </x:c>
      <x:c r="K74" s="46"/>
      <x:c r="L74" s="46" t="n">
        <x:v>1310</x:v>
      </x:c>
      <x:c r="M74" s="46" t="n">
        <x:v>1609</x:v>
      </x:c>
      <x:c r="N74" s="46" t="str">
        <x:v>BB_and_control</x:v>
      </x:c>
      <x:c r="O74" s="46" t="str">
        <x:v>HS-SPME-GC-FID aroma-active table; GC sniff-port odor + measured RI/NIST RI; chapter also uses GC-MS/SAFE-GCO</x:v>
      </x:c>
      <x:c r="P74" s="46"/>
      <x:c r="Q74" s="46" t="str">
        <x:v>partial_no_numeric_match_factor</x:v>
      </x:c>
      <x:c r="R74" s="46" t="str">
        <x:v>complete_aroma_active_table</x:v>
      </x:c>
      <x:c r="S74" s="46"/>
    </x:row>
    <x:row r="75" ht="26.399999618530273" hidden="0" customHeight="1">
      <x:c r="A75" s="46" t="str">
        <x:v>DBB-074</x:v>
      </x:c>
      <x:c r="B75" s="46" t="str">
        <x:v>dairy:butter_browned</x:v>
      </x:c>
      <x:c r="C75" s="46" t="str">
        <x:v>family:dairy_carrier</x:v>
      </x:c>
      <x:c r="D75" s="46" t="str">
        <x:v>brown butter / control comparison</x:v>
      </x:c>
      <x:c r="E75" s="46" t="str">
        <x:v>SRC-BUTTER-BROWN-AROMA-001</x:v>
      </x:c>
      <x:c r="F75" s="46" t="n">
        <x:v>74</x:v>
      </x:c>
      <x:c r="G75" s="46" t="str">
        <x:v>soap</x:v>
      </x:c>
      <x:c r="H75" s="46" t="str">
        <x:v>decanoic acid</x:v>
      </x:c>
      <x:c r="I75" s="46" t="str">
        <x:v>Wax</x:v>
      </x:c>
      <x:c r="J75" s="46" t="n">
        <x:v>1370</x:v>
      </x:c>
      <x:c r="K75" s="46" t="n">
        <x:v>2279</x:v>
      </x:c>
      <x:c r="L75" s="46" t="n">
        <x:v>1387</x:v>
      </x:c>
      <x:c r="M75" s="46" t="n">
        <x:v>2279</x:v>
      </x:c>
      <x:c r="N75" s="46" t="str">
        <x:v>BB_and_control</x:v>
      </x:c>
      <x:c r="O75" s="46" t="str">
        <x:v>HS-SPME-GC-FID aroma-active table; GC sniff-port odor + measured RI/NIST RI; chapter also uses GC-MS/SAFE-GCO</x:v>
      </x:c>
      <x:c r="P75" s="46"/>
      <x:c r="Q75" s="46" t="str">
        <x:v>partial_no_numeric_match_factor</x:v>
      </x:c>
      <x:c r="R75" s="46" t="str">
        <x:v>complete_aroma_active_table</x:v>
      </x:c>
      <x:c r="S75" s="46"/>
    </x:row>
    <x:row r="76" ht="26.399999618530273" hidden="0" customHeight="1">
      <x:c r="A76" s="46" t="str">
        <x:v>DBB-075</x:v>
      </x:c>
      <x:c r="B76" s="46" t="str">
        <x:v>dairy:butter_browned</x:v>
      </x:c>
      <x:c r="C76" s="46" t="str">
        <x:v>family:dairy_carrier</x:v>
      </x:c>
      <x:c r="D76" s="46" t="str">
        <x:v>brown butter / control comparison</x:v>
      </x:c>
      <x:c r="E76" s="46" t="str">
        <x:v>SRC-BUTTER-BROWN-AROMA-001</x:v>
      </x:c>
      <x:c r="F76" s="46" t="n">
        <x:v>75</x:v>
      </x:c>
      <x:c r="G76" s="46" t="str">
        <x:v>Sweet, coconut</x:v>
      </x:c>
      <x:c r="H76" s="46" t="str">
        <x:v>gamma-nonalactone</x:v>
      </x:c>
      <x:c r="I76" s="46" t="str">
        <x:v>DB-5</x:v>
      </x:c>
      <x:c r="J76" s="46" t="n">
        <x:v>1383</x:v>
      </x:c>
      <x:c r="K76" s="46"/>
      <x:c r="L76" s="46" t="n">
        <x:v>1350</x:v>
      </x:c>
      <x:c r="M76" s="46" t="n">
        <x:v>2012</x:v>
      </x:c>
      <x:c r="N76" s="46" t="str">
        <x:v>BB_and_control</x:v>
      </x:c>
      <x:c r="O76" s="46" t="str">
        <x:v>HS-SPME-GC-FID aroma-active table; GC sniff-port odor + measured RI/NIST RI; chapter also uses GC-MS/SAFE-GCO</x:v>
      </x:c>
      <x:c r="P76" s="46"/>
      <x:c r="Q76" s="46" t="str">
        <x:v>partial_no_numeric_match_factor</x:v>
      </x:c>
      <x:c r="R76" s="46" t="str">
        <x:v>complete_aroma_active_table</x:v>
      </x:c>
      <x:c r="S76" s="46"/>
    </x:row>
    <x:row r="77" ht="26.399999618530273" hidden="0" customHeight="1">
      <x:c r="A77" s="46" t="str">
        <x:v>DBB-076</x:v>
      </x:c>
      <x:c r="B77" s="46" t="str">
        <x:v>dairy:butter_browned</x:v>
      </x:c>
      <x:c r="C77" s="46" t="str">
        <x:v>family:dairy_carrier</x:v>
      </x:c>
      <x:c r="D77" s="46" t="str">
        <x:v>brown butter / control comparison</x:v>
      </x:c>
      <x:c r="E77" s="46" t="str">
        <x:v>SRC-BUTTER-BROWN-AROMA-001</x:v>
      </x:c>
      <x:c r="F77" s="46" t="n">
        <x:v>76</x:v>
      </x:c>
      <x:c r="G77" s="46" t="str">
        <x:v>coconut</x:v>
      </x:c>
      <x:c r="H77" s="46" t="str">
        <x:v>delta-decanolactone</x:v>
      </x:c>
      <x:c r="I77" s="46" t="str">
        <x:v>DB-5</x:v>
      </x:c>
      <x:c r="J77" s="46" t="n">
        <x:v>1502</x:v>
      </x:c>
      <x:c r="K77" s="46"/>
      <x:c r="L77" s="46"/>
      <x:c r="M77" s="46"/>
      <x:c r="N77" s="46" t="str">
        <x:v>BB_and_control</x:v>
      </x:c>
      <x:c r="O77" s="46" t="str">
        <x:v>HS-SPME-GC-FID aroma-active table; GC sniff-port odor + measured RI/NIST RI; chapter also uses GC-MS/SAFE-GCO</x:v>
      </x:c>
      <x:c r="P77" s="46"/>
      <x:c r="Q77" s="46" t="str">
        <x:v>partial_no_numeric_match_factor</x:v>
      </x:c>
      <x:c r="R77" s="46" t="str">
        <x:v>complete_aroma_active_table</x:v>
      </x:c>
      <x:c r="S77" s="46"/>
    </x:row>
    <x:row r="78" ht="26.399999618530273" hidden="0" customHeight="1">
      <x:c r="A78" s="46" t="str">
        <x:v>DBB-077</x:v>
      </x:c>
      <x:c r="B78" s="46" t="str">
        <x:v>dairy:butter_browned</x:v>
      </x:c>
      <x:c r="C78" s="46" t="str">
        <x:v>family:dairy_carrier</x:v>
      </x:c>
      <x:c r="D78" s="46" t="str">
        <x:v>brown butter / control comparison</x:v>
      </x:c>
      <x:c r="E78" s="46" t="str">
        <x:v>SRC-BUTTER-BROWN-AROMA-001</x:v>
      </x:c>
      <x:c r="F78" s="46" t="n">
        <x:v>77</x:v>
      </x:c>
      <x:c r="G78" s="46" t="str">
        <x:v>soapy, waxy</x:v>
      </x:c>
      <x:c r="H78" s="46" t="str">
        <x:v>dodecanoic acid</x:v>
      </x:c>
      <x:c r="I78" s="46" t="str">
        <x:v>Wax</x:v>
      </x:c>
      <x:c r="J78" s="46"/>
      <x:c r="K78" s="46" t="n">
        <x:v>2508</x:v>
      </x:c>
      <x:c r="L78" s="46" t="n">
        <x:v>1562</x:v>
      </x:c>
      <x:c r="M78" s="46" t="n">
        <x:v>2502</x:v>
      </x:c>
      <x:c r="N78" s="46" t="str">
        <x:v>BB_and_control</x:v>
      </x:c>
      <x:c r="O78" s="46" t="str">
        <x:v>HS-SPME-GC-FID aroma-active table; GC sniff-port odor + measured RI/NIST RI; chapter also uses GC-MS/SAFE-GCO</x:v>
      </x:c>
      <x:c r="P78" s="46"/>
      <x:c r="Q78" s="46" t="str">
        <x:v>partial_no_numeric_match_factor</x:v>
      </x:c>
      <x:c r="R78" s="46" t="str">
        <x:v>complete_aroma_active_table</x:v>
      </x:c>
      <x:c r="S78" s="46"/>
    </x:row>
  </x:sheetData>
  <x:pageMargins left="0.7" right="0.7" top="0.75" bottom="0.75" header="0.3" footer="0.3"/>
  <x:tableParts count="1">
    <x:tablePart xmlns:r="http://schemas.openxmlformats.org/officeDocument/2006/relationships" r:id="R91b15d199fd049b9"/>
  </x:tableParts>
</x:worksheet>
</file>

<file path=xl/worksheets/sheet99.xml><?xml version="1.0" encoding="utf-8"?>
<x:worksheet xmlns:x="http://schemas.openxmlformats.org/spreadsheetml/2006/main">
  <x:sheetFormatPr defaultRowHeight="15"/>
  <x:cols>
    <x:col min="1" max="1" width="15" hidden="0" customWidth="1"/>
    <x:col min="2" max="2" width="23" hidden="0" customWidth="1"/>
    <x:col min="3" max="3" width="22" hidden="0" customWidth="1"/>
    <x:col min="4" max="4" width="34" hidden="0" customWidth="1"/>
    <x:col min="5" max="5" width="28" hidden="0" customWidth="1"/>
    <x:col min="6" max="6" width="31" hidden="0" customWidth="1"/>
    <x:col min="7" max="7" width="12" hidden="0" customWidth="1"/>
    <x:col min="8" max="8" width="20" hidden="0" customWidth="1"/>
    <x:col min="9" max="9" width="24" hidden="0" customWidth="1"/>
    <x:col min="10" max="10" width="32" hidden="0" customWidth="1"/>
    <x:col min="11" max="11" width="42" hidden="0" customWidth="1"/>
    <x:col min="12" max="12" width="15" hidden="0" customWidth="1"/>
    <x:col min="13" max="13" width="15" hidden="0" customWidth="1"/>
    <x:col min="14" max="14" width="17" hidden="0" customWidth="1"/>
    <x:col min="15" max="15" width="17" hidden="0" customWidth="1"/>
    <x:col min="16" max="16" width="12" hidden="0" customWidth="1"/>
    <x:col min="17" max="17" width="56" hidden="0" customWidth="1"/>
    <x:col min="18" max="18" width="18" hidden="0" customWidth="1"/>
    <x:col min="19" max="19" width="20" hidden="0" customWidth="1"/>
    <x:col min="20" max="20" width="36" hidden="0" customWidth="1"/>
    <x:col min="21" max="21" width="32" hidden="0" customWidth="1"/>
    <x:col min="22" max="22" width="78" hidden="0" customWidth="1"/>
  </x:cols>
  <x:sheetData>
    <x:row r="1" ht="15" hidden="0" customHeight="1">
      <x:c r="A1" s="275" t="str">
        <x:v>record_id</x:v>
      </x:c>
      <x:c r="B1" s="275" t="str">
        <x:v>product_id</x:v>
      </x:c>
      <x:c r="C1" s="275" t="str">
        <x:v>family_id</x:v>
      </x:c>
      <x:c r="D1" s="275" t="str">
        <x:v>material</x:v>
      </x:c>
      <x:c r="E1" s="275" t="str">
        <x:v>state_scope</x:v>
      </x:c>
      <x:c r="F1" s="275" t="str">
        <x:v>source_id</x:v>
      </x:c>
      <x:c r="G1" s="275" t="str">
        <x:v>source_code</x:v>
      </x:c>
      <x:c r="H1" s="275" t="str">
        <x:v>source_group</x:v>
      </x:c>
      <x:c r="I1" s="275" t="str">
        <x:v>normalized_group</x:v>
      </x:c>
      <x:c r="J1" s="275" t="str">
        <x:v>compound_name_source_zh</x:v>
      </x:c>
      <x:c r="K1" s="275" t="str">
        <x:v>canonical_name</x:v>
      </x:c>
      <x:c r="L1" s="275" t="str">
        <x:v>cas</x:v>
      </x:c>
      <x:c r="M1" s="275" t="str">
        <x:v>raw_RS_ng_g</x:v>
      </x:c>
      <x:c r="N1" s="275" t="str">
        <x:v>sous_vide_SV_ng_g</x:v>
      </x:c>
      <x:c r="O1" s="275" t="str">
        <x:v>steamed_ST_ng_g</x:v>
      </x:c>
      <x:c r="P1" s="275" t="str">
        <x:v>unit</x:v>
      </x:c>
      <x:c r="Q1" s="275" t="str">
        <x:v>identification_method</x:v>
      </x:c>
      <x:c r="R1" s="275" t="str">
        <x:v>retention_index</x:v>
      </x:c>
      <x:c r="S1" s="275" t="str">
        <x:v>numeric_match_factor</x:v>
      </x:c>
      <x:c r="T1" s="275" t="str">
        <x:v>mr09_status</x:v>
      </x:c>
      <x:c r="U1" s="275" t="str">
        <x:v>culinary_relevance_route</x:v>
      </x:c>
      <x:c r="V1" s="275" t="str">
        <x:v>notes</x:v>
      </x:c>
    </x:row>
    <x:row r="2" ht="26.399999618530273" hidden="0" customHeight="1">
      <x:c r="A2" s="46" t="str">
        <x:v>DSH54-001</x:v>
      </x:c>
      <x:c r="B2" s="46" t="str">
        <x:v>crustacean:shrimp</x:v>
      </x:c>
      <x:c r="C2" s="46" t="str">
        <x:v>family:crustacean</x:v>
      </x:c>
      <x:c r="D2" s="46" t="str">
        <x:v>peeled deveined tail-on Litopenaeus vannamei</x:v>
      </x:c>
      <x:c r="E2" s="46" t="str">
        <x:v>raw / sous-vide / steamed</x:v>
      </x:c>
      <x:c r="F2" s="46" t="str">
        <x:v>SRC-SHRIMP-SOUSVIDE-001</x:v>
      </x:c>
      <x:c r="G2" s="46" t="str">
        <x:v>A1</x:v>
      </x:c>
      <x:c r="H2" s="46" t="str">
        <x:v>Hydrocarbons</x:v>
      </x:c>
      <x:c r="I2" s="46" t="str">
        <x:v>Alkanes</x:v>
      </x:c>
      <x:c r="J2" s="46" t="str">
        <x:v>十一烷</x:v>
      </x:c>
      <x:c r="K2" s="46" t="str">
        <x:v>Undecane</x:v>
      </x:c>
      <x:c r="L2" s="46" t="str">
        <x:v>1120-21-4</x:v>
      </x:c>
      <x:c r="M2" s="46" t="n">
        <x:v>0.62</x:v>
      </x:c>
      <x:c r="N2" s="46" t="n">
        <x:v>3.88</x:v>
      </x:c>
      <x:c r="O2" s="46" t="n">
        <x:v>0.21</x:v>
      </x:c>
      <x:c r="P2" s="46" t="str">
        <x:v>ng/g</x:v>
      </x:c>
      <x:c r="Q2" s="46" t="str">
        <x:v>HS-SPME-GC-MS; methyl nonanoate internal standard; source Table 2 CAS + quantitative values</x:v>
      </x:c>
      <x:c r="R2" s="46"/>
      <x:c r="S2" s="46"/>
      <x:c r="T2" s="46" t="str">
        <x:v>partial_no_RI_no_numeric_match_factor</x:v>
      </x:c>
      <x:c r="U2" s="46" t="str">
        <x:v>normal_culinary_evidence</x:v>
      </x:c>
      <x:c r="V2" s="46" t="str">
        <x:v>RS=raw; SV=sous-vide; ST=conventional steaming. Source group and normalized chemical class are kept separately.</x:v>
      </x:c>
    </x:row>
    <x:row r="3" ht="26.399999618530273" hidden="0" customHeight="1">
      <x:c r="A3" s="46" t="str">
        <x:v>DSH54-002</x:v>
      </x:c>
      <x:c r="B3" s="46" t="str">
        <x:v>crustacean:shrimp</x:v>
      </x:c>
      <x:c r="C3" s="46" t="str">
        <x:v>family:crustacean</x:v>
      </x:c>
      <x:c r="D3" s="46" t="str">
        <x:v>peeled deveined tail-on Litopenaeus vannamei</x:v>
      </x:c>
      <x:c r="E3" s="46" t="str">
        <x:v>raw / sous-vide / steamed</x:v>
      </x:c>
      <x:c r="F3" s="46" t="str">
        <x:v>SRC-SHRIMP-SOUSVIDE-001</x:v>
      </x:c>
      <x:c r="G3" s="46" t="str">
        <x:v>A2</x:v>
      </x:c>
      <x:c r="H3" s="46" t="str">
        <x:v>Hydrocarbons</x:v>
      </x:c>
      <x:c r="I3" s="46" t="str">
        <x:v>Alkanes</x:v>
      </x:c>
      <x:c r="J3" s="46" t="str">
        <x:v>十二烷</x:v>
      </x:c>
      <x:c r="K3" s="46" t="str">
        <x:v>Dodecane</x:v>
      </x:c>
      <x:c r="L3" s="46" t="str">
        <x:v>112-40-3</x:v>
      </x:c>
      <x:c r="M3" s="46" t="n">
        <x:v>1.14</x:v>
      </x:c>
      <x:c r="N3" s="46" t="n">
        <x:v>0.13</x:v>
      </x:c>
      <x:c r="O3" s="46" t="n">
        <x:v>1.45</x:v>
      </x:c>
      <x:c r="P3" s="46" t="str">
        <x:v>ng/g</x:v>
      </x:c>
      <x:c r="Q3" s="46" t="str">
        <x:v>HS-SPME-GC-MS; methyl nonanoate internal standard; source Table 2 CAS + quantitative values</x:v>
      </x:c>
      <x:c r="R3" s="46"/>
      <x:c r="S3" s="46"/>
      <x:c r="T3" s="46" t="str">
        <x:v>partial_no_RI_no_numeric_match_factor</x:v>
      </x:c>
      <x:c r="U3" s="46" t="str">
        <x:v>normal_culinary_evidence</x:v>
      </x:c>
      <x:c r="V3" s="46" t="str">
        <x:v>RS=raw; SV=sous-vide; ST=conventional steaming. Source group and normalized chemical class are kept separately.</x:v>
      </x:c>
    </x:row>
    <x:row r="4" ht="26.399999618530273" hidden="0" customHeight="1">
      <x:c r="A4" s="46" t="str">
        <x:v>DSH54-003</x:v>
      </x:c>
      <x:c r="B4" s="46" t="str">
        <x:v>crustacean:shrimp</x:v>
      </x:c>
      <x:c r="C4" s="46" t="str">
        <x:v>family:crustacean</x:v>
      </x:c>
      <x:c r="D4" s="46" t="str">
        <x:v>peeled deveined tail-on Litopenaeus vannamei</x:v>
      </x:c>
      <x:c r="E4" s="46" t="str">
        <x:v>raw / sous-vide / steamed</x:v>
      </x:c>
      <x:c r="F4" s="46" t="str">
        <x:v>SRC-SHRIMP-SOUSVIDE-001</x:v>
      </x:c>
      <x:c r="G4" s="46" t="str">
        <x:v>A3</x:v>
      </x:c>
      <x:c r="H4" s="46" t="str">
        <x:v>Hydrocarbons</x:v>
      </x:c>
      <x:c r="I4" s="46" t="str">
        <x:v>Alkanes</x:v>
      </x:c>
      <x:c r="J4" s="46" t="str">
        <x:v>4-甲基十二烷</x:v>
      </x:c>
      <x:c r="K4" s="46" t="str">
        <x:v>4-Methyldodecane</x:v>
      </x:c>
      <x:c r="L4" s="46" t="str">
        <x:v>6117-97-1</x:v>
      </x:c>
      <x:c r="M4" s="46"/>
      <x:c r="N4" s="46" t="n">
        <x:v>1.08</x:v>
      </x:c>
      <x:c r="O4" s="46"/>
      <x:c r="P4" s="46" t="str">
        <x:v>ng/g</x:v>
      </x:c>
      <x:c r="Q4" s="46" t="str">
        <x:v>HS-SPME-GC-MS; methyl nonanoate internal standard; source Table 2 CAS + quantitative values</x:v>
      </x:c>
      <x:c r="R4" s="46"/>
      <x:c r="S4" s="46"/>
      <x:c r="T4" s="46" t="str">
        <x:v>partial_no_RI_no_numeric_match_factor</x:v>
      </x:c>
      <x:c r="U4" s="46" t="str">
        <x:v>normal_culinary_evidence</x:v>
      </x:c>
      <x:c r="V4" s="46" t="str">
        <x:v>RS=raw; SV=sous-vide; ST=conventional steaming. Source group and normalized chemical class are kept separately.</x:v>
      </x:c>
    </x:row>
    <x:row r="5" ht="26.399999618530273" hidden="0" customHeight="1">
      <x:c r="A5" s="46" t="str">
        <x:v>DSH54-004</x:v>
      </x:c>
      <x:c r="B5" s="46" t="str">
        <x:v>crustacean:shrimp</x:v>
      </x:c>
      <x:c r="C5" s="46" t="str">
        <x:v>family:crustacean</x:v>
      </x:c>
      <x:c r="D5" s="46" t="str">
        <x:v>peeled deveined tail-on Litopenaeus vannamei</x:v>
      </x:c>
      <x:c r="E5" s="46" t="str">
        <x:v>raw / sous-vide / steamed</x:v>
      </x:c>
      <x:c r="F5" s="46" t="str">
        <x:v>SRC-SHRIMP-SOUSVIDE-001</x:v>
      </x:c>
      <x:c r="G5" s="46" t="str">
        <x:v>A4</x:v>
      </x:c>
      <x:c r="H5" s="46" t="str">
        <x:v>Hydrocarbons</x:v>
      </x:c>
      <x:c r="I5" s="46" t="str">
        <x:v>Alkanes</x:v>
      </x:c>
      <x:c r="J5" s="46" t="str">
        <x:v>十三烷</x:v>
      </x:c>
      <x:c r="K5" s="46" t="str">
        <x:v>Tridecane</x:v>
      </x:c>
      <x:c r="L5" s="46" t="str">
        <x:v>629-50-5</x:v>
      </x:c>
      <x:c r="M5" s="46"/>
      <x:c r="N5" s="46" t="n">
        <x:v>1.19</x:v>
      </x:c>
      <x:c r="O5" s="46"/>
      <x:c r="P5" s="46" t="str">
        <x:v>ng/g</x:v>
      </x:c>
      <x:c r="Q5" s="46" t="str">
        <x:v>HS-SPME-GC-MS; methyl nonanoate internal standard; source Table 2 CAS + quantitative values</x:v>
      </x:c>
      <x:c r="R5" s="46"/>
      <x:c r="S5" s="46"/>
      <x:c r="T5" s="46" t="str">
        <x:v>partial_no_RI_no_numeric_match_factor</x:v>
      </x:c>
      <x:c r="U5" s="46" t="str">
        <x:v>normal_culinary_evidence</x:v>
      </x:c>
      <x:c r="V5" s="46" t="str">
        <x:v>RS=raw; SV=sous-vide; ST=conventional steaming. Source group and normalized chemical class are kept separately.</x:v>
      </x:c>
    </x:row>
    <x:row r="6" ht="26.399999618530273" hidden="0" customHeight="1">
      <x:c r="A6" s="46" t="str">
        <x:v>DSH54-005</x:v>
      </x:c>
      <x:c r="B6" s="46" t="str">
        <x:v>crustacean:shrimp</x:v>
      </x:c>
      <x:c r="C6" s="46" t="str">
        <x:v>family:crustacean</x:v>
      </x:c>
      <x:c r="D6" s="46" t="str">
        <x:v>peeled deveined tail-on Litopenaeus vannamei</x:v>
      </x:c>
      <x:c r="E6" s="46" t="str">
        <x:v>raw / sous-vide / steamed</x:v>
      </x:c>
      <x:c r="F6" s="46" t="str">
        <x:v>SRC-SHRIMP-SOUSVIDE-001</x:v>
      </x:c>
      <x:c r="G6" s="46" t="str">
        <x:v>A5</x:v>
      </x:c>
      <x:c r="H6" s="46" t="str">
        <x:v>Hydrocarbons</x:v>
      </x:c>
      <x:c r="I6" s="46" t="str">
        <x:v>Alkanes</x:v>
      </x:c>
      <x:c r="J6" s="46" t="str">
        <x:v>2,6,10-三甲基十三烷</x:v>
      </x:c>
      <x:c r="K6" s="46" t="str">
        <x:v>2,6,10-Trimethyltridecane</x:v>
      </x:c>
      <x:c r="L6" s="46" t="str">
        <x:v>3891-99-4</x:v>
      </x:c>
      <x:c r="M6" s="46"/>
      <x:c r="N6" s="46" t="n">
        <x:v>5.9</x:v>
      </x:c>
      <x:c r="O6" s="46"/>
      <x:c r="P6" s="46" t="str">
        <x:v>ng/g</x:v>
      </x:c>
      <x:c r="Q6" s="46" t="str">
        <x:v>HS-SPME-GC-MS; methyl nonanoate internal standard; source Table 2 CAS + quantitative values</x:v>
      </x:c>
      <x:c r="R6" s="46"/>
      <x:c r="S6" s="46"/>
      <x:c r="T6" s="46" t="str">
        <x:v>partial_no_RI_no_numeric_match_factor</x:v>
      </x:c>
      <x:c r="U6" s="46" t="str">
        <x:v>normal_culinary_evidence</x:v>
      </x:c>
      <x:c r="V6" s="46" t="str">
        <x:v>RS=raw; SV=sous-vide; ST=conventional steaming. Source group and normalized chemical class are kept separately.</x:v>
      </x:c>
    </x:row>
    <x:row r="7" ht="26.399999618530273" hidden="0" customHeight="1">
      <x:c r="A7" s="46" t="str">
        <x:v>DSH54-006</x:v>
      </x:c>
      <x:c r="B7" s="46" t="str">
        <x:v>crustacean:shrimp</x:v>
      </x:c>
      <x:c r="C7" s="46" t="str">
        <x:v>family:crustacean</x:v>
      </x:c>
      <x:c r="D7" s="46" t="str">
        <x:v>peeled deveined tail-on Litopenaeus vannamei</x:v>
      </x:c>
      <x:c r="E7" s="46" t="str">
        <x:v>raw / sous-vide / steamed</x:v>
      </x:c>
      <x:c r="F7" s="46" t="str">
        <x:v>SRC-SHRIMP-SOUSVIDE-001</x:v>
      </x:c>
      <x:c r="G7" s="46" t="str">
        <x:v>A6</x:v>
      </x:c>
      <x:c r="H7" s="46" t="str">
        <x:v>Hydrocarbons</x:v>
      </x:c>
      <x:c r="I7" s="46" t="str">
        <x:v>Alkanes</x:v>
      </x:c>
      <x:c r="J7" s="46" t="str">
        <x:v>十四烷</x:v>
      </x:c>
      <x:c r="K7" s="46" t="str">
        <x:v>Tetradecane</x:v>
      </x:c>
      <x:c r="L7" s="46" t="str">
        <x:v>629-59-4</x:v>
      </x:c>
      <x:c r="M7" s="46" t="n">
        <x:v>2.44</x:v>
      </x:c>
      <x:c r="N7" s="46" t="n">
        <x:v>2.08</x:v>
      </x:c>
      <x:c r="O7" s="46" t="n">
        <x:v>0.37</x:v>
      </x:c>
      <x:c r="P7" s="46" t="str">
        <x:v>ng/g</x:v>
      </x:c>
      <x:c r="Q7" s="46" t="str">
        <x:v>HS-SPME-GC-MS; methyl nonanoate internal standard; source Table 2 CAS + quantitative values</x:v>
      </x:c>
      <x:c r="R7" s="46"/>
      <x:c r="S7" s="46"/>
      <x:c r="T7" s="46" t="str">
        <x:v>partial_no_RI_no_numeric_match_factor</x:v>
      </x:c>
      <x:c r="U7" s="46" t="str">
        <x:v>normal_culinary_evidence</x:v>
      </x:c>
      <x:c r="V7" s="46" t="str">
        <x:v>RS=raw; SV=sous-vide; ST=conventional steaming. Source group and normalized chemical class are kept separately.</x:v>
      </x:c>
    </x:row>
    <x:row r="8" ht="26.399999618530273" hidden="0" customHeight="1">
      <x:c r="A8" s="46" t="str">
        <x:v>DSH54-007</x:v>
      </x:c>
      <x:c r="B8" s="46" t="str">
        <x:v>crustacean:shrimp</x:v>
      </x:c>
      <x:c r="C8" s="46" t="str">
        <x:v>family:crustacean</x:v>
      </x:c>
      <x:c r="D8" s="46" t="str">
        <x:v>peeled deveined tail-on Litopenaeus vannamei</x:v>
      </x:c>
      <x:c r="E8" s="46" t="str">
        <x:v>raw / sous-vide / steamed</x:v>
      </x:c>
      <x:c r="F8" s="46" t="str">
        <x:v>SRC-SHRIMP-SOUSVIDE-001</x:v>
      </x:c>
      <x:c r="G8" s="46" t="str">
        <x:v>A7</x:v>
      </x:c>
      <x:c r="H8" s="46" t="str">
        <x:v>Hydrocarbons</x:v>
      </x:c>
      <x:c r="I8" s="46" t="str">
        <x:v>Alkanes</x:v>
      </x:c>
      <x:c r="J8" s="46" t="str">
        <x:v>十六烷</x:v>
      </x:c>
      <x:c r="K8" s="46" t="str">
        <x:v>Hexadecane</x:v>
      </x:c>
      <x:c r="L8" s="46" t="str">
        <x:v>544-76-3</x:v>
      </x:c>
      <x:c r="M8" s="46"/>
      <x:c r="N8" s="46" t="n">
        <x:v>0.94</x:v>
      </x:c>
      <x:c r="O8" s="46"/>
      <x:c r="P8" s="46" t="str">
        <x:v>ng/g</x:v>
      </x:c>
      <x:c r="Q8" s="46" t="str">
        <x:v>HS-SPME-GC-MS; methyl nonanoate internal standard; source Table 2 CAS + quantitative values</x:v>
      </x:c>
      <x:c r="R8" s="46"/>
      <x:c r="S8" s="46"/>
      <x:c r="T8" s="46" t="str">
        <x:v>partial_no_RI_no_numeric_match_factor</x:v>
      </x:c>
      <x:c r="U8" s="46" t="str">
        <x:v>normal_culinary_evidence</x:v>
      </x:c>
      <x:c r="V8" s="46" t="str">
        <x:v>RS=raw; SV=sous-vide; ST=conventional steaming. Source group and normalized chemical class are kept separately.</x:v>
      </x:c>
    </x:row>
    <x:row r="9" ht="26.399999618530273" hidden="0" customHeight="1">
      <x:c r="A9" s="46" t="str">
        <x:v>DSH54-008</x:v>
      </x:c>
      <x:c r="B9" s="46" t="str">
        <x:v>crustacean:shrimp</x:v>
      </x:c>
      <x:c r="C9" s="46" t="str">
        <x:v>family:crustacean</x:v>
      </x:c>
      <x:c r="D9" s="46" t="str">
        <x:v>peeled deveined tail-on Litopenaeus vannamei</x:v>
      </x:c>
      <x:c r="E9" s="46" t="str">
        <x:v>raw / sous-vide / steamed</x:v>
      </x:c>
      <x:c r="F9" s="46" t="str">
        <x:v>SRC-SHRIMP-SOUSVIDE-001</x:v>
      </x:c>
      <x:c r="G9" s="46" t="str">
        <x:v>A8</x:v>
      </x:c>
      <x:c r="H9" s="46" t="str">
        <x:v>Hydrocarbons</x:v>
      </x:c>
      <x:c r="I9" s="46" t="str">
        <x:v>Alkanes</x:v>
      </x:c>
      <x:c r="J9" s="46" t="str">
        <x:v>十七烷</x:v>
      </x:c>
      <x:c r="K9" s="46" t="str">
        <x:v>Heptadecane</x:v>
      </x:c>
      <x:c r="L9" s="46" t="str">
        <x:v>629-78-7</x:v>
      </x:c>
      <x:c r="M9" s="46"/>
      <x:c r="N9" s="46"/>
      <x:c r="O9" s="46" t="n">
        <x:v>0.52</x:v>
      </x:c>
      <x:c r="P9" s="46" t="str">
        <x:v>ng/g</x:v>
      </x:c>
      <x:c r="Q9" s="46" t="str">
        <x:v>HS-SPME-GC-MS; methyl nonanoate internal standard; source Table 2 CAS + quantitative values</x:v>
      </x:c>
      <x:c r="R9" s="46"/>
      <x:c r="S9" s="46"/>
      <x:c r="T9" s="46" t="str">
        <x:v>partial_no_RI_no_numeric_match_factor</x:v>
      </x:c>
      <x:c r="U9" s="46" t="str">
        <x:v>normal_culinary_evidence</x:v>
      </x:c>
      <x:c r="V9" s="46" t="str">
        <x:v>RS=raw; SV=sous-vide; ST=conventional steaming. Source group and normalized chemical class are kept separately.</x:v>
      </x:c>
    </x:row>
    <x:row r="10" ht="26.399999618530273" hidden="0" customHeight="1">
      <x:c r="A10" s="46" t="str">
        <x:v>DSH54-009</x:v>
      </x:c>
      <x:c r="B10" s="46" t="str">
        <x:v>crustacean:shrimp</x:v>
      </x:c>
      <x:c r="C10" s="46" t="str">
        <x:v>family:crustacean</x:v>
      </x:c>
      <x:c r="D10" s="46" t="str">
        <x:v>peeled deveined tail-on Litopenaeus vannamei</x:v>
      </x:c>
      <x:c r="E10" s="46" t="str">
        <x:v>raw / sous-vide / steamed</x:v>
      </x:c>
      <x:c r="F10" s="46" t="str">
        <x:v>SRC-SHRIMP-SOUSVIDE-001</x:v>
      </x:c>
      <x:c r="G10" s="46" t="str">
        <x:v>A9</x:v>
      </x:c>
      <x:c r="H10" s="46" t="str">
        <x:v>Hydrocarbons</x:v>
      </x:c>
      <x:c r="I10" s="46" t="str">
        <x:v>Terpenes</x:v>
      </x:c>
      <x:c r="J10" s="46" t="str">
        <x:v>长叶烯</x:v>
      </x:c>
      <x:c r="K10" s="46" t="str">
        <x:v>Longifolene</x:v>
      </x:c>
      <x:c r="L10" s="46" t="str">
        <x:v>475-20-7</x:v>
      </x:c>
      <x:c r="M10" s="46" t="n">
        <x:v>4.61</x:v>
      </x:c>
      <x:c r="N10" s="46" t="n">
        <x:v>2.99</x:v>
      </x:c>
      <x:c r="O10" s="46" t="n">
        <x:v>2.32</x:v>
      </x:c>
      <x:c r="P10" s="46" t="str">
        <x:v>ng/g</x:v>
      </x:c>
      <x:c r="Q10" s="46" t="str">
        <x:v>HS-SPME-GC-MS; methyl nonanoate internal standard; source Table 2 CAS + quantitative values</x:v>
      </x:c>
      <x:c r="R10" s="46"/>
      <x:c r="S10" s="46"/>
      <x:c r="T10" s="46" t="str">
        <x:v>partial_no_RI_no_numeric_match_factor</x:v>
      </x:c>
      <x:c r="U10" s="46" t="str">
        <x:v>normal_culinary_evidence</x:v>
      </x:c>
      <x:c r="V10" s="46" t="str">
        <x:v>Source places under hydrocarbons; normalized as terpene.</x:v>
      </x:c>
    </x:row>
    <x:row r="11" ht="26.399999618530273" hidden="0" customHeight="1">
      <x:c r="A11" s="46" t="str">
        <x:v>DSH54-010</x:v>
      </x:c>
      <x:c r="B11" s="46" t="str">
        <x:v>crustacean:shrimp</x:v>
      </x:c>
      <x:c r="C11" s="46" t="str">
        <x:v>family:crustacean</x:v>
      </x:c>
      <x:c r="D11" s="46" t="str">
        <x:v>peeled deveined tail-on Litopenaeus vannamei</x:v>
      </x:c>
      <x:c r="E11" s="46" t="str">
        <x:v>raw / sous-vide / steamed</x:v>
      </x:c>
      <x:c r="F11" s="46" t="str">
        <x:v>SRC-SHRIMP-SOUSVIDE-001</x:v>
      </x:c>
      <x:c r="G11" s="46" t="str">
        <x:v>A10</x:v>
      </x:c>
      <x:c r="H11" s="46" t="str">
        <x:v>Hydrocarbons</x:v>
      </x:c>
      <x:c r="I11" s="46" t="str">
        <x:v>Terpenes</x:v>
      </x:c>
      <x:c r="J11" s="46" t="str">
        <x:v>α-法呢烯</x:v>
      </x:c>
      <x:c r="K11" s="46" t="str">
        <x:v>α-Farnesene</x:v>
      </x:c>
      <x:c r="L11" s="46" t="str">
        <x:v>502-61-4</x:v>
      </x:c>
      <x:c r="M11" s="46"/>
      <x:c r="N11" s="46" t="n">
        <x:v>0.44</x:v>
      </x:c>
      <x:c r="O11" s="46"/>
      <x:c r="P11" s="46" t="str">
        <x:v>ng/g</x:v>
      </x:c>
      <x:c r="Q11" s="46" t="str">
        <x:v>HS-SPME-GC-MS; methyl nonanoate internal standard; source Table 2 CAS + quantitative values</x:v>
      </x:c>
      <x:c r="R11" s="46"/>
      <x:c r="S11" s="46"/>
      <x:c r="T11" s="46" t="str">
        <x:v>partial_no_RI_no_numeric_match_factor</x:v>
      </x:c>
      <x:c r="U11" s="46" t="str">
        <x:v>normal_culinary_evidence</x:v>
      </x:c>
      <x:c r="V11" s="46" t="str">
        <x:v>Source places under hydrocarbons; normalized as terpene.</x:v>
      </x:c>
    </x:row>
    <x:row r="12" ht="26.399999618530273" hidden="0" customHeight="1">
      <x:c r="A12" s="46" t="str">
        <x:v>DSH54-011</x:v>
      </x:c>
      <x:c r="B12" s="46" t="str">
        <x:v>crustacean:shrimp</x:v>
      </x:c>
      <x:c r="C12" s="46" t="str">
        <x:v>family:crustacean</x:v>
      </x:c>
      <x:c r="D12" s="46" t="str">
        <x:v>peeled deveined tail-on Litopenaeus vannamei</x:v>
      </x:c>
      <x:c r="E12" s="46" t="str">
        <x:v>raw / sous-vide / steamed</x:v>
      </x:c>
      <x:c r="F12" s="46" t="str">
        <x:v>SRC-SHRIMP-SOUSVIDE-001</x:v>
      </x:c>
      <x:c r="G12" s="46" t="str">
        <x:v>A11</x:v>
      </x:c>
      <x:c r="H12" s="46" t="str">
        <x:v>Hydrocarbons</x:v>
      </x:c>
      <x:c r="I12" s="46" t="str">
        <x:v>Alkenes</x:v>
      </x:c>
      <x:c r="J12" s="46" t="str">
        <x:v>（2Z）-3-甲基-2-十一烯</x:v>
      </x:c>
      <x:c r="K12" s="46" t="str">
        <x:v>(2Z)-3-Methyl-2-undecene</x:v>
      </x:c>
      <x:c r="L12" s="46" t="str">
        <x:v>57024-90-5</x:v>
      </x:c>
      <x:c r="M12" s="46"/>
      <x:c r="N12" s="46"/>
      <x:c r="O12" s="46" t="n">
        <x:v>0.46</x:v>
      </x:c>
      <x:c r="P12" s="46" t="str">
        <x:v>ng/g</x:v>
      </x:c>
      <x:c r="Q12" s="46" t="str">
        <x:v>HS-SPME-GC-MS; methyl nonanoate internal standard; source Table 2 CAS + quantitative values</x:v>
      </x:c>
      <x:c r="R12" s="46"/>
      <x:c r="S12" s="46"/>
      <x:c r="T12" s="46" t="str">
        <x:v>partial_no_RI_no_numeric_match_factor</x:v>
      </x:c>
      <x:c r="U12" s="46" t="str">
        <x:v>normal_culinary_evidence</x:v>
      </x:c>
      <x:c r="V12" s="46" t="str">
        <x:v>RS=raw; SV=sous-vide; ST=conventional steaming. Source group and normalized chemical class are kept separately.</x:v>
      </x:c>
    </x:row>
    <x:row r="13" ht="26.399999618530273" hidden="0" customHeight="1">
      <x:c r="A13" s="46" t="str">
        <x:v>DSH54-012</x:v>
      </x:c>
      <x:c r="B13" s="46" t="str">
        <x:v>crustacean:shrimp</x:v>
      </x:c>
      <x:c r="C13" s="46" t="str">
        <x:v>family:crustacean</x:v>
      </x:c>
      <x:c r="D13" s="46" t="str">
        <x:v>peeled deveined tail-on Litopenaeus vannamei</x:v>
      </x:c>
      <x:c r="E13" s="46" t="str">
        <x:v>raw / sous-vide / steamed</x:v>
      </x:c>
      <x:c r="F13" s="46" t="str">
        <x:v>SRC-SHRIMP-SOUSVIDE-001</x:v>
      </x:c>
      <x:c r="G13" s="46" t="str">
        <x:v>A12</x:v>
      </x:c>
      <x:c r="H13" s="46" t="str">
        <x:v>Hydrocarbons</x:v>
      </x:c>
      <x:c r="I13" s="46" t="str">
        <x:v>Aromatic hydrocarbons</x:v>
      </x:c>
      <x:c r="J13" s="46" t="str">
        <x:v>均三甲苯</x:v>
      </x:c>
      <x:c r="K13" s="46" t="str">
        <x:v>Mesitylene (1,3,5-trimethylbenzene)</x:v>
      </x:c>
      <x:c r="L13" s="46" t="str">
        <x:v>108-67-8</x:v>
      </x:c>
      <x:c r="M13" s="46"/>
      <x:c r="N13" s="46" t="n">
        <x:v>0.45</x:v>
      </x:c>
      <x:c r="O13" s="46" t="n">
        <x:v>0.57</x:v>
      </x:c>
      <x:c r="P13" s="46" t="str">
        <x:v>ng/g</x:v>
      </x:c>
      <x:c r="Q13" s="46" t="str">
        <x:v>HS-SPME-GC-MS; methyl nonanoate internal standard; source Table 2 CAS + quantitative values</x:v>
      </x:c>
      <x:c r="R13" s="46"/>
      <x:c r="S13" s="46"/>
      <x:c r="T13" s="46" t="str">
        <x:v>partial_no_RI_no_numeric_match_factor</x:v>
      </x:c>
      <x:c r="U13" s="46" t="str">
        <x:v>normal_culinary_evidence</x:v>
      </x:c>
      <x:c r="V13" s="46" t="str">
        <x:v>RS=raw; SV=sous-vide; ST=conventional steaming. Source group and normalized chemical class are kept separately.</x:v>
      </x:c>
    </x:row>
    <x:row r="14" ht="26.399999618530273" hidden="0" customHeight="1">
      <x:c r="A14" s="46" t="str">
        <x:v>DSH54-013</x:v>
      </x:c>
      <x:c r="B14" s="46" t="str">
        <x:v>crustacean:shrimp</x:v>
      </x:c>
      <x:c r="C14" s="46" t="str">
        <x:v>family:crustacean</x:v>
      </x:c>
      <x:c r="D14" s="46" t="str">
        <x:v>peeled deveined tail-on Litopenaeus vannamei</x:v>
      </x:c>
      <x:c r="E14" s="46" t="str">
        <x:v>raw / sous-vide / steamed</x:v>
      </x:c>
      <x:c r="F14" s="46" t="str">
        <x:v>SRC-SHRIMP-SOUSVIDE-001</x:v>
      </x:c>
      <x:c r="G14" s="46" t="str">
        <x:v>A13</x:v>
      </x:c>
      <x:c r="H14" s="46" t="str">
        <x:v>Hydrocarbons</x:v>
      </x:c>
      <x:c r="I14" s="46" t="str">
        <x:v>Aromatic hydrocarbons</x:v>
      </x:c>
      <x:c r="J14" s="46" t="str">
        <x:v>邻二甲苯</x:v>
      </x:c>
      <x:c r="K14" s="46" t="str">
        <x:v>o-Xylene</x:v>
      </x:c>
      <x:c r="L14" s="46" t="str">
        <x:v>95-47-6</x:v>
      </x:c>
      <x:c r="M14" s="46"/>
      <x:c r="N14" s="46" t="n">
        <x:v>0.39</x:v>
      </x:c>
      <x:c r="O14" s="46" t="n">
        <x:v>4.1</x:v>
      </x:c>
      <x:c r="P14" s="46" t="str">
        <x:v>ng/g</x:v>
      </x:c>
      <x:c r="Q14" s="46" t="str">
        <x:v>HS-SPME-GC-MS; methyl nonanoate internal standard; source Table 2 CAS + quantitative values</x:v>
      </x:c>
      <x:c r="R14" s="46"/>
      <x:c r="S14" s="46"/>
      <x:c r="T14" s="46" t="str">
        <x:v>partial_no_RI_no_numeric_match_factor</x:v>
      </x:c>
      <x:c r="U14" s="46" t="str">
        <x:v>normal_culinary_evidence</x:v>
      </x:c>
      <x:c r="V14" s="46" t="str">
        <x:v>RS=raw; SV=sous-vide; ST=conventional steaming. Source group and normalized chemical class are kept separately.</x:v>
      </x:c>
    </x:row>
    <x:row r="15" ht="26.399999618530273" hidden="0" customHeight="1">
      <x:c r="A15" s="46" t="str">
        <x:v>DSH54-014</x:v>
      </x:c>
      <x:c r="B15" s="46" t="str">
        <x:v>crustacean:shrimp</x:v>
      </x:c>
      <x:c r="C15" s="46" t="str">
        <x:v>family:crustacean</x:v>
      </x:c>
      <x:c r="D15" s="46" t="str">
        <x:v>peeled deveined tail-on Litopenaeus vannamei</x:v>
      </x:c>
      <x:c r="E15" s="46" t="str">
        <x:v>raw / sous-vide / steamed</x:v>
      </x:c>
      <x:c r="F15" s="46" t="str">
        <x:v>SRC-SHRIMP-SOUSVIDE-001</x:v>
      </x:c>
      <x:c r="G15" s="46" t="str">
        <x:v>A14</x:v>
      </x:c>
      <x:c r="H15" s="46" t="str">
        <x:v>Hydrocarbons</x:v>
      </x:c>
      <x:c r="I15" s="46" t="str">
        <x:v>Phenols</x:v>
      </x:c>
      <x:c r="J15" s="46" t="str">
        <x:v>2,4-二叔丁基苯酚</x:v>
      </x:c>
      <x:c r="K15" s="46" t="str">
        <x:v>2,4-Di-tert-butylphenol</x:v>
      </x:c>
      <x:c r="L15" s="46" t="str">
        <x:v>96-76-4</x:v>
      </x:c>
      <x:c r="M15" s="46"/>
      <x:c r="N15" s="46" t="n">
        <x:v>1.43</x:v>
      </x:c>
      <x:c r="O15" s="46" t="n">
        <x:v>0.77</x:v>
      </x:c>
      <x:c r="P15" s="46" t="str">
        <x:v>ng/g</x:v>
      </x:c>
      <x:c r="Q15" s="46" t="str">
        <x:v>HS-SPME-GC-MS; methyl nonanoate internal standard; source Table 2 CAS + quantitative values</x:v>
      </x:c>
      <x:c r="R15" s="46"/>
      <x:c r="S15" s="46"/>
      <x:c r="T15" s="46" t="str">
        <x:v>partial_no_RI_no_numeric_match_factor</x:v>
      </x:c>
      <x:c r="U15" s="46" t="str">
        <x:v>normal_culinary_evidence</x:v>
      </x:c>
      <x:c r="V15" s="46" t="str">
        <x:v>Source places under hydrocarbons; normalized as phenol.</x:v>
      </x:c>
    </x:row>
    <x:row r="16" ht="26.399999618530273" hidden="0" customHeight="1">
      <x:c r="A16" s="46" t="str">
        <x:v>DSH54-015</x:v>
      </x:c>
      <x:c r="B16" s="46" t="str">
        <x:v>crustacean:shrimp</x:v>
      </x:c>
      <x:c r="C16" s="46" t="str">
        <x:v>family:crustacean</x:v>
      </x:c>
      <x:c r="D16" s="46" t="str">
        <x:v>peeled deveined tail-on Litopenaeus vannamei</x:v>
      </x:c>
      <x:c r="E16" s="46" t="str">
        <x:v>raw / sous-vide / steamed</x:v>
      </x:c>
      <x:c r="F16" s="46" t="str">
        <x:v>SRC-SHRIMP-SOUSVIDE-001</x:v>
      </x:c>
      <x:c r="G16" s="46" t="str">
        <x:v>A15</x:v>
      </x:c>
      <x:c r="H16" s="46" t="str">
        <x:v>Hydrocarbons</x:v>
      </x:c>
      <x:c r="I16" s="46" t="str">
        <x:v>Phenols</x:v>
      </x:c>
      <x:c r="J16" s="46" t="str">
        <x:v>2,6-二叔丁基对甲酚</x:v>
      </x:c>
      <x:c r="K16" s="46" t="str">
        <x:v>2,6-Di-tert-butyl-4-methylphenol (BHT)</x:v>
      </x:c>
      <x:c r="L16" s="46" t="str">
        <x:v>128-37-0</x:v>
      </x:c>
      <x:c r="M16" s="46"/>
      <x:c r="N16" s="46" t="n">
        <x:v>0.43</x:v>
      </x:c>
      <x:c r="O16" s="46" t="n">
        <x:v>0.32</x:v>
      </x:c>
      <x:c r="P16" s="46" t="str">
        <x:v>ng/g</x:v>
      </x:c>
      <x:c r="Q16" s="46" t="str">
        <x:v>HS-SPME-GC-MS; methyl nonanoate internal standard; source Table 2 CAS + quantitative values</x:v>
      </x:c>
      <x:c r="R16" s="46"/>
      <x:c r="S16" s="46"/>
      <x:c r="T16" s="46" t="str">
        <x:v>partial_no_RI_no_numeric_match_factor</x:v>
      </x:c>
      <x:c r="U16" s="46" t="str">
        <x:v>antioxidant_background_caution</x:v>
      </x:c>
      <x:c r="V16" s="46" t="str">
        <x:v>BHT/antioxidant identity; do not assume native shrimp flavor without independent corroboration.</x:v>
      </x:c>
    </x:row>
    <x:row r="17" ht="26.399999618530273" hidden="0" customHeight="1">
      <x:c r="A17" s="46" t="str">
        <x:v>DSH54-016</x:v>
      </x:c>
      <x:c r="B17" s="46" t="str">
        <x:v>crustacean:shrimp</x:v>
      </x:c>
      <x:c r="C17" s="46" t="str">
        <x:v>family:crustacean</x:v>
      </x:c>
      <x:c r="D17" s="46" t="str">
        <x:v>peeled deveined tail-on Litopenaeus vannamei</x:v>
      </x:c>
      <x:c r="E17" s="46" t="str">
        <x:v>raw / sous-vide / steamed</x:v>
      </x:c>
      <x:c r="F17" s="46" t="str">
        <x:v>SRC-SHRIMP-SOUSVIDE-001</x:v>
      </x:c>
      <x:c r="G17" s="46" t="str">
        <x:v>A16</x:v>
      </x:c>
      <x:c r="H17" s="46" t="str">
        <x:v>Aldehydes</x:v>
      </x:c>
      <x:c r="I17" s="46" t="str">
        <x:v>Aldehydes</x:v>
      </x:c>
      <x:c r="J17" s="46" t="str">
        <x:v>辛醛</x:v>
      </x:c>
      <x:c r="K17" s="46" t="str">
        <x:v>Octanal</x:v>
      </x:c>
      <x:c r="L17" s="46" t="str">
        <x:v>124-13-0</x:v>
      </x:c>
      <x:c r="M17" s="46"/>
      <x:c r="N17" s="46" t="n">
        <x:v>0.35</x:v>
      </x:c>
      <x:c r="O17" s="46" t="n">
        <x:v>0.32</x:v>
      </x:c>
      <x:c r="P17" s="46" t="str">
        <x:v>ng/g</x:v>
      </x:c>
      <x:c r="Q17" s="46" t="str">
        <x:v>HS-SPME-GC-MS; methyl nonanoate internal standard; source Table 2 CAS + quantitative values</x:v>
      </x:c>
      <x:c r="R17" s="46"/>
      <x:c r="S17" s="46"/>
      <x:c r="T17" s="46" t="str">
        <x:v>partial_no_RI_no_numeric_match_factor</x:v>
      </x:c>
      <x:c r="U17" s="46" t="str">
        <x:v>normal_culinary_evidence</x:v>
      </x:c>
      <x:c r="V17" s="46" t="str">
        <x:v>RS=raw; SV=sous-vide; ST=conventional steaming. Source group and normalized chemical class are kept separately.</x:v>
      </x:c>
    </x:row>
    <x:row r="18" ht="26.399999618530273" hidden="0" customHeight="1">
      <x:c r="A18" s="46" t="str">
        <x:v>DSH54-017</x:v>
      </x:c>
      <x:c r="B18" s="46" t="str">
        <x:v>crustacean:shrimp</x:v>
      </x:c>
      <x:c r="C18" s="46" t="str">
        <x:v>family:crustacean</x:v>
      </x:c>
      <x:c r="D18" s="46" t="str">
        <x:v>peeled deveined tail-on Litopenaeus vannamei</x:v>
      </x:c>
      <x:c r="E18" s="46" t="str">
        <x:v>raw / sous-vide / steamed</x:v>
      </x:c>
      <x:c r="F18" s="46" t="str">
        <x:v>SRC-SHRIMP-SOUSVIDE-001</x:v>
      </x:c>
      <x:c r="G18" s="46" t="str">
        <x:v>A17</x:v>
      </x:c>
      <x:c r="H18" s="46" t="str">
        <x:v>Aldehydes</x:v>
      </x:c>
      <x:c r="I18" s="46" t="str">
        <x:v>Aldehydes</x:v>
      </x:c>
      <x:c r="J18" s="46" t="str">
        <x:v>壬醛</x:v>
      </x:c>
      <x:c r="K18" s="46" t="str">
        <x:v>Nonanal</x:v>
      </x:c>
      <x:c r="L18" s="46" t="str">
        <x:v>124-19-6</x:v>
      </x:c>
      <x:c r="M18" s="46" t="n">
        <x:v>2.08</x:v>
      </x:c>
      <x:c r="N18" s="46" t="n">
        <x:v>4.39</x:v>
      </x:c>
      <x:c r="O18" s="46" t="n">
        <x:v>9.17</x:v>
      </x:c>
      <x:c r="P18" s="46" t="str">
        <x:v>ng/g</x:v>
      </x:c>
      <x:c r="Q18" s="46" t="str">
        <x:v>HS-SPME-GC-MS; methyl nonanoate internal standard; source Table 2 CAS + quantitative values</x:v>
      </x:c>
      <x:c r="R18" s="46"/>
      <x:c r="S18" s="46"/>
      <x:c r="T18" s="46" t="str">
        <x:v>partial_no_RI_no_numeric_match_factor</x:v>
      </x:c>
      <x:c r="U18" s="46" t="str">
        <x:v>normal_culinary_evidence</x:v>
      </x:c>
      <x:c r="V18" s="46" t="str">
        <x:v>RS=raw; SV=sous-vide; ST=conventional steaming. Source group and normalized chemical class are kept separately.</x:v>
      </x:c>
    </x:row>
    <x:row r="19" ht="26.399999618530273" hidden="0" customHeight="1">
      <x:c r="A19" s="46" t="str">
        <x:v>DSH54-018</x:v>
      </x:c>
      <x:c r="B19" s="46" t="str">
        <x:v>crustacean:shrimp</x:v>
      </x:c>
      <x:c r="C19" s="46" t="str">
        <x:v>family:crustacean</x:v>
      </x:c>
      <x:c r="D19" s="46" t="str">
        <x:v>peeled deveined tail-on Litopenaeus vannamei</x:v>
      </x:c>
      <x:c r="E19" s="46" t="str">
        <x:v>raw / sous-vide / steamed</x:v>
      </x:c>
      <x:c r="F19" s="46" t="str">
        <x:v>SRC-SHRIMP-SOUSVIDE-001</x:v>
      </x:c>
      <x:c r="G19" s="46" t="str">
        <x:v>A18</x:v>
      </x:c>
      <x:c r="H19" s="46" t="str">
        <x:v>Aldehydes</x:v>
      </x:c>
      <x:c r="I19" s="46" t="str">
        <x:v>Aldehydes</x:v>
      </x:c>
      <x:c r="J19" s="46" t="str">
        <x:v>（E）-壬烯醛</x:v>
      </x:c>
      <x:c r="K19" s="46" t="str">
        <x:v>(E)-2-Nonenal</x:v>
      </x:c>
      <x:c r="L19" s="46" t="str">
        <x:v>18829-56-6</x:v>
      </x:c>
      <x:c r="M19" s="46"/>
      <x:c r="N19" s="46"/>
      <x:c r="O19" s="46" t="n">
        <x:v>0.88</x:v>
      </x:c>
      <x:c r="P19" s="46" t="str">
        <x:v>ng/g</x:v>
      </x:c>
      <x:c r="Q19" s="46" t="str">
        <x:v>HS-SPME-GC-MS; methyl nonanoate internal standard; source Table 2 CAS + quantitative values</x:v>
      </x:c>
      <x:c r="R19" s="46"/>
      <x:c r="S19" s="46"/>
      <x:c r="T19" s="46" t="str">
        <x:v>partial_no_RI_no_numeric_match_factor</x:v>
      </x:c>
      <x:c r="U19" s="46" t="str">
        <x:v>normal_culinary_evidence</x:v>
      </x:c>
      <x:c r="V19" s="46" t="str">
        <x:v>RS=raw; SV=sous-vide; ST=conventional steaming. Source group and normalized chemical class are kept separately.</x:v>
      </x:c>
    </x:row>
    <x:row r="20" ht="26.399999618530273" hidden="0" customHeight="1">
      <x:c r="A20" s="46" t="str">
        <x:v>DSH54-019</x:v>
      </x:c>
      <x:c r="B20" s="46" t="str">
        <x:v>crustacean:shrimp</x:v>
      </x:c>
      <x:c r="C20" s="46" t="str">
        <x:v>family:crustacean</x:v>
      </x:c>
      <x:c r="D20" s="46" t="str">
        <x:v>peeled deveined tail-on Litopenaeus vannamei</x:v>
      </x:c>
      <x:c r="E20" s="46" t="str">
        <x:v>raw / sous-vide / steamed</x:v>
      </x:c>
      <x:c r="F20" s="46" t="str">
        <x:v>SRC-SHRIMP-SOUSVIDE-001</x:v>
      </x:c>
      <x:c r="G20" s="46" t="str">
        <x:v>A19</x:v>
      </x:c>
      <x:c r="H20" s="46" t="str">
        <x:v>Aldehydes</x:v>
      </x:c>
      <x:c r="I20" s="46" t="str">
        <x:v>Aldehydes</x:v>
      </x:c>
      <x:c r="J20" s="46" t="str">
        <x:v>癸醛</x:v>
      </x:c>
      <x:c r="K20" s="46" t="str">
        <x:v>Decanal</x:v>
      </x:c>
      <x:c r="L20" s="46" t="str">
        <x:v>112-31-2</x:v>
      </x:c>
      <x:c r="M20" s="46"/>
      <x:c r="N20" s="46" t="n">
        <x:v>11.11</x:v>
      </x:c>
      <x:c r="O20" s="46" t="n">
        <x:v>5.65</x:v>
      </x:c>
      <x:c r="P20" s="46" t="str">
        <x:v>ng/g</x:v>
      </x:c>
      <x:c r="Q20" s="46" t="str">
        <x:v>HS-SPME-GC-MS; methyl nonanoate internal standard; source Table 2 CAS + quantitative values</x:v>
      </x:c>
      <x:c r="R20" s="46"/>
      <x:c r="S20" s="46"/>
      <x:c r="T20" s="46" t="str">
        <x:v>partial_no_RI_no_numeric_match_factor</x:v>
      </x:c>
      <x:c r="U20" s="46" t="str">
        <x:v>normal_culinary_evidence</x:v>
      </x:c>
      <x:c r="V20" s="46" t="str">
        <x:v>RS=raw; SV=sous-vide; ST=conventional steaming. Source group and normalized chemical class are kept separately.</x:v>
      </x:c>
    </x:row>
    <x:row r="21" ht="26.399999618530273" hidden="0" customHeight="1">
      <x:c r="A21" s="46" t="str">
        <x:v>DSH54-020</x:v>
      </x:c>
      <x:c r="B21" s="46" t="str">
        <x:v>crustacean:shrimp</x:v>
      </x:c>
      <x:c r="C21" s="46" t="str">
        <x:v>family:crustacean</x:v>
      </x:c>
      <x:c r="D21" s="46" t="str">
        <x:v>peeled deveined tail-on Litopenaeus vannamei</x:v>
      </x:c>
      <x:c r="E21" s="46" t="str">
        <x:v>raw / sous-vide / steamed</x:v>
      </x:c>
      <x:c r="F21" s="46" t="str">
        <x:v>SRC-SHRIMP-SOUSVIDE-001</x:v>
      </x:c>
      <x:c r="G21" s="46" t="str">
        <x:v>A20</x:v>
      </x:c>
      <x:c r="H21" s="46" t="str">
        <x:v>Aldehydes</x:v>
      </x:c>
      <x:c r="I21" s="46" t="str">
        <x:v>Aldehydes</x:v>
      </x:c>
      <x:c r="J21" s="46" t="str">
        <x:v>十三醛</x:v>
      </x:c>
      <x:c r="K21" s="46" t="str">
        <x:v>Tridecanal</x:v>
      </x:c>
      <x:c r="L21" s="46" t="str">
        <x:v>10486-19-8</x:v>
      </x:c>
      <x:c r="M21" s="46"/>
      <x:c r="N21" s="46" t="n">
        <x:v>0.75</x:v>
      </x:c>
      <x:c r="O21" s="46"/>
      <x:c r="P21" s="46" t="str">
        <x:v>ng/g</x:v>
      </x:c>
      <x:c r="Q21" s="46" t="str">
        <x:v>HS-SPME-GC-MS; methyl nonanoate internal standard; source Table 2 CAS + quantitative values</x:v>
      </x:c>
      <x:c r="R21" s="46"/>
      <x:c r="S21" s="46"/>
      <x:c r="T21" s="46" t="str">
        <x:v>partial_no_RI_no_numeric_match_factor</x:v>
      </x:c>
      <x:c r="U21" s="46" t="str">
        <x:v>normal_culinary_evidence</x:v>
      </x:c>
      <x:c r="V21" s="46" t="str">
        <x:v>RS=raw; SV=sous-vide; ST=conventional steaming. Source group and normalized chemical class are kept separately.</x:v>
      </x:c>
    </x:row>
    <x:row r="22" ht="39.599998474121094" hidden="0" customHeight="1">
      <x:c r="A22" s="46" t="str">
        <x:v>DSH54-021</x:v>
      </x:c>
      <x:c r="B22" s="46" t="str">
        <x:v>crustacean:shrimp</x:v>
      </x:c>
      <x:c r="C22" s="46" t="str">
        <x:v>family:crustacean</x:v>
      </x:c>
      <x:c r="D22" s="46" t="str">
        <x:v>peeled deveined tail-on Litopenaeus vannamei</x:v>
      </x:c>
      <x:c r="E22" s="46" t="str">
        <x:v>raw / sous-vide / steamed</x:v>
      </x:c>
      <x:c r="F22" s="46" t="str">
        <x:v>SRC-SHRIMP-SOUSVIDE-001</x:v>
      </x:c>
      <x:c r="G22" s="46" t="str">
        <x:v>A21</x:v>
      </x:c>
      <x:c r="H22" s="46" t="str">
        <x:v>Aldehydes</x:v>
      </x:c>
      <x:c r="I22" s="46" t="str">
        <x:v>Aldehydes</x:v>
      </x:c>
      <x:c r="J22" s="46" t="str">
        <x:v>十四醛</x:v>
      </x:c>
      <x:c r="K22" s="46" t="str">
        <x:v>Tetradecanal</x:v>
      </x:c>
      <x:c r="L22" s="46" t="str">
        <x:v>104-67-6</x:v>
      </x:c>
      <x:c r="M22" s="46" t="n">
        <x:v>1.31</x:v>
      </x:c>
      <x:c r="N22" s="46" t="n">
        <x:v>0.17</x:v>
      </x:c>
      <x:c r="O22" s="46" t="n">
        <x:v>1.14</x:v>
      </x:c>
      <x:c r="P22" s="46" t="str">
        <x:v>ng/g</x:v>
      </x:c>
      <x:c r="Q22" s="46" t="str">
        <x:v>HS-SPME-GC-MS; methyl nonanoate internal standard; source Table 2 CAS + quantitative values</x:v>
      </x:c>
      <x:c r="R22" s="46"/>
      <x:c r="S22" s="46"/>
      <x:c r="T22" s="46" t="str">
        <x:v>identity_conflict_source_name_vs_CAS</x:v>
      </x:c>
      <x:c r="U22" s="46" t="str">
        <x:v>normal_culinary_evidence</x:v>
      </x:c>
      <x:c r="V22" s="46" t="str">
        <x:v>Source name/CAS conflict: CAS 104-67-6 corresponds to γ-undecalactone in standard chemical databases, not tetradecanal. Preserve source label and CAS; identity requires reconciliation before MR-09 verification.</x:v>
      </x:c>
    </x:row>
    <x:row r="23" ht="26.399999618530273" hidden="0" customHeight="1">
      <x:c r="A23" s="46" t="str">
        <x:v>DSH54-022</x:v>
      </x:c>
      <x:c r="B23" s="46" t="str">
        <x:v>crustacean:shrimp</x:v>
      </x:c>
      <x:c r="C23" s="46" t="str">
        <x:v>family:crustacean</x:v>
      </x:c>
      <x:c r="D23" s="46" t="str">
        <x:v>peeled deveined tail-on Litopenaeus vannamei</x:v>
      </x:c>
      <x:c r="E23" s="46" t="str">
        <x:v>raw / sous-vide / steamed</x:v>
      </x:c>
      <x:c r="F23" s="46" t="str">
        <x:v>SRC-SHRIMP-SOUSVIDE-001</x:v>
      </x:c>
      <x:c r="G23" s="46" t="str">
        <x:v>A22</x:v>
      </x:c>
      <x:c r="H23" s="46" t="str">
        <x:v>Aldehydes</x:v>
      </x:c>
      <x:c r="I23" s="46" t="str">
        <x:v>Aldehydes</x:v>
      </x:c>
      <x:c r="J23" s="46" t="str">
        <x:v>十五醛</x:v>
      </x:c>
      <x:c r="K23" s="46" t="str">
        <x:v>Pentadecanal</x:v>
      </x:c>
      <x:c r="L23" s="46" t="str">
        <x:v>2765-11-9</x:v>
      </x:c>
      <x:c r="M23" s="46" t="n">
        <x:v>1.69</x:v>
      </x:c>
      <x:c r="N23" s="46" t="n">
        <x:v>1.18</x:v>
      </x:c>
      <x:c r="O23" s="46" t="n">
        <x:v>0.61</x:v>
      </x:c>
      <x:c r="P23" s="46" t="str">
        <x:v>ng/g</x:v>
      </x:c>
      <x:c r="Q23" s="46" t="str">
        <x:v>HS-SPME-GC-MS; methyl nonanoate internal standard; source Table 2 CAS + quantitative values</x:v>
      </x:c>
      <x:c r="R23" s="46"/>
      <x:c r="S23" s="46"/>
      <x:c r="T23" s="46" t="str">
        <x:v>partial_no_RI_no_numeric_match_factor</x:v>
      </x:c>
      <x:c r="U23" s="46" t="str">
        <x:v>normal_culinary_evidence</x:v>
      </x:c>
      <x:c r="V23" s="46" t="str">
        <x:v>RS=raw; SV=sous-vide; ST=conventional steaming. Source group and normalized chemical class are kept separately.</x:v>
      </x:c>
    </x:row>
    <x:row r="24" ht="26.399999618530273" hidden="0" customHeight="1">
      <x:c r="A24" s="46" t="str">
        <x:v>DSH54-023</x:v>
      </x:c>
      <x:c r="B24" s="46" t="str">
        <x:v>crustacean:shrimp</x:v>
      </x:c>
      <x:c r="C24" s="46" t="str">
        <x:v>family:crustacean</x:v>
      </x:c>
      <x:c r="D24" s="46" t="str">
        <x:v>peeled deveined tail-on Litopenaeus vannamei</x:v>
      </x:c>
      <x:c r="E24" s="46" t="str">
        <x:v>raw / sous-vide / steamed</x:v>
      </x:c>
      <x:c r="F24" s="46" t="str">
        <x:v>SRC-SHRIMP-SOUSVIDE-001</x:v>
      </x:c>
      <x:c r="G24" s="46" t="str">
        <x:v>A23</x:v>
      </x:c>
      <x:c r="H24" s="46" t="str">
        <x:v>Aldehydes</x:v>
      </x:c>
      <x:c r="I24" s="46" t="str">
        <x:v>Aldehydes</x:v>
      </x:c>
      <x:c r="J24" s="46" t="str">
        <x:v>十六醛</x:v>
      </x:c>
      <x:c r="K24" s="46" t="str">
        <x:v>Hexadecanal</x:v>
      </x:c>
      <x:c r="L24" s="46" t="str">
        <x:v>629-80-1</x:v>
      </x:c>
      <x:c r="M24" s="46"/>
      <x:c r="N24" s="46" t="n">
        <x:v>0.83</x:v>
      </x:c>
      <x:c r="O24" s="46" t="n">
        <x:v>0.53</x:v>
      </x:c>
      <x:c r="P24" s="46" t="str">
        <x:v>ng/g</x:v>
      </x:c>
      <x:c r="Q24" s="46" t="str">
        <x:v>HS-SPME-GC-MS; methyl nonanoate internal standard; source Table 2 CAS + quantitative values</x:v>
      </x:c>
      <x:c r="R24" s="46"/>
      <x:c r="S24" s="46"/>
      <x:c r="T24" s="46" t="str">
        <x:v>partial_no_RI_no_numeric_match_factor</x:v>
      </x:c>
      <x:c r="U24" s="46" t="str">
        <x:v>normal_culinary_evidence</x:v>
      </x:c>
      <x:c r="V24" s="46" t="str">
        <x:v>RS=raw; SV=sous-vide; ST=conventional steaming. Source group and normalized chemical class are kept separately.</x:v>
      </x:c>
    </x:row>
    <x:row r="25" ht="26.399999618530273" hidden="0" customHeight="1">
      <x:c r="A25" s="46" t="str">
        <x:v>DSH54-024</x:v>
      </x:c>
      <x:c r="B25" s="46" t="str">
        <x:v>crustacean:shrimp</x:v>
      </x:c>
      <x:c r="C25" s="46" t="str">
        <x:v>family:crustacean</x:v>
      </x:c>
      <x:c r="D25" s="46" t="str">
        <x:v>peeled deveined tail-on Litopenaeus vannamei</x:v>
      </x:c>
      <x:c r="E25" s="46" t="str">
        <x:v>raw / sous-vide / steamed</x:v>
      </x:c>
      <x:c r="F25" s="46" t="str">
        <x:v>SRC-SHRIMP-SOUSVIDE-001</x:v>
      </x:c>
      <x:c r="G25" s="46" t="str">
        <x:v>A24</x:v>
      </x:c>
      <x:c r="H25" s="46" t="str">
        <x:v>Aldehydes</x:v>
      </x:c>
      <x:c r="I25" s="46" t="str">
        <x:v>Aldehydes</x:v>
      </x:c>
      <x:c r="J25" s="46" t="str">
        <x:v>二十醛</x:v>
      </x:c>
      <x:c r="K25" s="46" t="str">
        <x:v>Eicosanal</x:v>
      </x:c>
      <x:c r="L25" s="46" t="str">
        <x:v>2400-66-0</x:v>
      </x:c>
      <x:c r="M25" s="46"/>
      <x:c r="N25" s="46"/>
      <x:c r="O25" s="46" t="n">
        <x:v>1.08</x:v>
      </x:c>
      <x:c r="P25" s="46" t="str">
        <x:v>ng/g</x:v>
      </x:c>
      <x:c r="Q25" s="46" t="str">
        <x:v>HS-SPME-GC-MS; methyl nonanoate internal standard; source Table 2 CAS + quantitative values</x:v>
      </x:c>
      <x:c r="R25" s="46"/>
      <x:c r="S25" s="46"/>
      <x:c r="T25" s="46" t="str">
        <x:v>partial_no_RI_no_numeric_match_factor</x:v>
      </x:c>
      <x:c r="U25" s="46" t="str">
        <x:v>normal_culinary_evidence</x:v>
      </x:c>
      <x:c r="V25" s="46" t="str">
        <x:v>RS=raw; SV=sous-vide; ST=conventional steaming. Source group and normalized chemical class are kept separately.</x:v>
      </x:c>
    </x:row>
    <x:row r="26" ht="26.399999618530273" hidden="0" customHeight="1">
      <x:c r="A26" s="46" t="str">
        <x:v>DSH54-025</x:v>
      </x:c>
      <x:c r="B26" s="46" t="str">
        <x:v>crustacean:shrimp</x:v>
      </x:c>
      <x:c r="C26" s="46" t="str">
        <x:v>family:crustacean</x:v>
      </x:c>
      <x:c r="D26" s="46" t="str">
        <x:v>peeled deveined tail-on Litopenaeus vannamei</x:v>
      </x:c>
      <x:c r="E26" s="46" t="str">
        <x:v>raw / sous-vide / steamed</x:v>
      </x:c>
      <x:c r="F26" s="46" t="str">
        <x:v>SRC-SHRIMP-SOUSVIDE-001</x:v>
      </x:c>
      <x:c r="G26" s="46" t="str">
        <x:v>A25</x:v>
      </x:c>
      <x:c r="H26" s="46" t="str">
        <x:v>Ketones</x:v>
      </x:c>
      <x:c r="I26" s="46" t="str">
        <x:v>Ketones</x:v>
      </x:c>
      <x:c r="J26" s="46" t="str">
        <x:v>香叶基丙酮</x:v>
      </x:c>
      <x:c r="K26" s="46" t="str">
        <x:v>Geranyl acetone</x:v>
      </x:c>
      <x:c r="L26" s="46" t="str">
        <x:v>689-67-8</x:v>
      </x:c>
      <x:c r="M26" s="46" t="n">
        <x:v>0.58</x:v>
      </x:c>
      <x:c r="N26" s="46" t="n">
        <x:v>0.96</x:v>
      </x:c>
      <x:c r="O26" s="46" t="n">
        <x:v>0.66</x:v>
      </x:c>
      <x:c r="P26" s="46" t="str">
        <x:v>ng/g</x:v>
      </x:c>
      <x:c r="Q26" s="46" t="str">
        <x:v>HS-SPME-GC-MS; methyl nonanoate internal standard; source Table 2 CAS + quantitative values</x:v>
      </x:c>
      <x:c r="R26" s="46"/>
      <x:c r="S26" s="46"/>
      <x:c r="T26" s="46" t="str">
        <x:v>partial_no_RI_no_numeric_match_factor</x:v>
      </x:c>
      <x:c r="U26" s="46" t="str">
        <x:v>normal_culinary_evidence</x:v>
      </x:c>
      <x:c r="V26" s="46" t="str">
        <x:v>RS=raw; SV=sous-vide; ST=conventional steaming. Source group and normalized chemical class are kept separately.</x:v>
      </x:c>
    </x:row>
    <x:row r="27" ht="26.399999618530273" hidden="0" customHeight="1">
      <x:c r="A27" s="46" t="str">
        <x:v>DSH54-026</x:v>
      </x:c>
      <x:c r="B27" s="46" t="str">
        <x:v>crustacean:shrimp</x:v>
      </x:c>
      <x:c r="C27" s="46" t="str">
        <x:v>family:crustacean</x:v>
      </x:c>
      <x:c r="D27" s="46" t="str">
        <x:v>peeled deveined tail-on Litopenaeus vannamei</x:v>
      </x:c>
      <x:c r="E27" s="46" t="str">
        <x:v>raw / sous-vide / steamed</x:v>
      </x:c>
      <x:c r="F27" s="46" t="str">
        <x:v>SRC-SHRIMP-SOUSVIDE-001</x:v>
      </x:c>
      <x:c r="G27" s="46" t="str">
        <x:v>A26</x:v>
      </x:c>
      <x:c r="H27" s="46" t="str">
        <x:v>Ketones</x:v>
      </x:c>
      <x:c r="I27" s="46" t="str">
        <x:v>Ketones</x:v>
      </x:c>
      <x:c r="J27" s="46" t="str">
        <x:v>甲基庚烯酮</x:v>
      </x:c>
      <x:c r="K27" s="46" t="str">
        <x:v>6-Methyl-5-hepten-2-one</x:v>
      </x:c>
      <x:c r="L27" s="46" t="str">
        <x:v>110-93-0</x:v>
      </x:c>
      <x:c r="M27" s="46"/>
      <x:c r="N27" s="46" t="n">
        <x:v>2.04</x:v>
      </x:c>
      <x:c r="O27" s="46" t="n">
        <x:v>2.11</x:v>
      </x:c>
      <x:c r="P27" s="46" t="str">
        <x:v>ng/g</x:v>
      </x:c>
      <x:c r="Q27" s="46" t="str">
        <x:v>HS-SPME-GC-MS; methyl nonanoate internal standard; source Table 2 CAS + quantitative values</x:v>
      </x:c>
      <x:c r="R27" s="46"/>
      <x:c r="S27" s="46"/>
      <x:c r="T27" s="46" t="str">
        <x:v>partial_no_RI_no_numeric_match_factor</x:v>
      </x:c>
      <x:c r="U27" s="46" t="str">
        <x:v>normal_culinary_evidence</x:v>
      </x:c>
      <x:c r="V27" s="46" t="str">
        <x:v>RS=raw; SV=sous-vide; ST=conventional steaming. Source group and normalized chemical class are kept separately.</x:v>
      </x:c>
    </x:row>
    <x:row r="28" ht="26.399999618530273" hidden="0" customHeight="1">
      <x:c r="A28" s="46" t="str">
        <x:v>DSH54-027</x:v>
      </x:c>
      <x:c r="B28" s="46" t="str">
        <x:v>crustacean:shrimp</x:v>
      </x:c>
      <x:c r="C28" s="46" t="str">
        <x:v>family:crustacean</x:v>
      </x:c>
      <x:c r="D28" s="46" t="str">
        <x:v>peeled deveined tail-on Litopenaeus vannamei</x:v>
      </x:c>
      <x:c r="E28" s="46" t="str">
        <x:v>raw / sous-vide / steamed</x:v>
      </x:c>
      <x:c r="F28" s="46" t="str">
        <x:v>SRC-SHRIMP-SOUSVIDE-001</x:v>
      </x:c>
      <x:c r="G28" s="46" t="str">
        <x:v>A27</x:v>
      </x:c>
      <x:c r="H28" s="46" t="str">
        <x:v>Ketones</x:v>
      </x:c>
      <x:c r="I28" s="46" t="str">
        <x:v>Ketones</x:v>
      </x:c>
      <x:c r="J28" s="46" t="str">
        <x:v>2-壬酮</x:v>
      </x:c>
      <x:c r="K28" s="46" t="str">
        <x:v>2-Nonanone</x:v>
      </x:c>
      <x:c r="L28" s="46" t="str">
        <x:v>821-55-6</x:v>
      </x:c>
      <x:c r="M28" s="46"/>
      <x:c r="N28" s="46" t="n">
        <x:v>0.16</x:v>
      </x:c>
      <x:c r="O28" s="46" t="n">
        <x:v>0.24</x:v>
      </x:c>
      <x:c r="P28" s="46" t="str">
        <x:v>ng/g</x:v>
      </x:c>
      <x:c r="Q28" s="46" t="str">
        <x:v>HS-SPME-GC-MS; methyl nonanoate internal standard; source Table 2 CAS + quantitative values</x:v>
      </x:c>
      <x:c r="R28" s="46"/>
      <x:c r="S28" s="46"/>
      <x:c r="T28" s="46" t="str">
        <x:v>partial_no_RI_no_numeric_match_factor</x:v>
      </x:c>
      <x:c r="U28" s="46" t="str">
        <x:v>normal_culinary_evidence</x:v>
      </x:c>
      <x:c r="V28" s="46" t="str">
        <x:v>RS=raw; SV=sous-vide; ST=conventional steaming. Source group and normalized chemical class are kept separately.</x:v>
      </x:c>
    </x:row>
    <x:row r="29" ht="26.399999618530273" hidden="0" customHeight="1">
      <x:c r="A29" s="46" t="str">
        <x:v>DSH54-028</x:v>
      </x:c>
      <x:c r="B29" s="46" t="str">
        <x:v>crustacean:shrimp</x:v>
      </x:c>
      <x:c r="C29" s="46" t="str">
        <x:v>family:crustacean</x:v>
      </x:c>
      <x:c r="D29" s="46" t="str">
        <x:v>peeled deveined tail-on Litopenaeus vannamei</x:v>
      </x:c>
      <x:c r="E29" s="46" t="str">
        <x:v>raw / sous-vide / steamed</x:v>
      </x:c>
      <x:c r="F29" s="46" t="str">
        <x:v>SRC-SHRIMP-SOUSVIDE-001</x:v>
      </x:c>
      <x:c r="G29" s="46" t="str">
        <x:v>A28</x:v>
      </x:c>
      <x:c r="H29" s="46" t="str">
        <x:v>Ketones</x:v>
      </x:c>
      <x:c r="I29" s="46" t="str">
        <x:v>Ketones</x:v>
      </x:c>
      <x:c r="J29" s="46" t="str">
        <x:v>2-十五酮</x:v>
      </x:c>
      <x:c r="K29" s="46" t="str">
        <x:v>2-Pentadecanone</x:v>
      </x:c>
      <x:c r="L29" s="46" t="str">
        <x:v>2345-28-0</x:v>
      </x:c>
      <x:c r="M29" s="46" t="n">
        <x:v>0.65</x:v>
      </x:c>
      <x:c r="N29" s="46" t="n">
        <x:v>0.24</x:v>
      </x:c>
      <x:c r="O29" s="46" t="n">
        <x:v>0.28</x:v>
      </x:c>
      <x:c r="P29" s="46" t="str">
        <x:v>ng/g</x:v>
      </x:c>
      <x:c r="Q29" s="46" t="str">
        <x:v>HS-SPME-GC-MS; methyl nonanoate internal standard; source Table 2 CAS + quantitative values</x:v>
      </x:c>
      <x:c r="R29" s="46"/>
      <x:c r="S29" s="46"/>
      <x:c r="T29" s="46" t="str">
        <x:v>partial_no_RI_no_numeric_match_factor</x:v>
      </x:c>
      <x:c r="U29" s="46" t="str">
        <x:v>normal_culinary_evidence</x:v>
      </x:c>
      <x:c r="V29" s="46" t="str">
        <x:v>RS=raw; SV=sous-vide; ST=conventional steaming. Source group and normalized chemical class are kept separately.</x:v>
      </x:c>
    </x:row>
    <x:row r="30" ht="26.399999618530273" hidden="0" customHeight="1">
      <x:c r="A30" s="46" t="str">
        <x:v>DSH54-029</x:v>
      </x:c>
      <x:c r="B30" s="46" t="str">
        <x:v>crustacean:shrimp</x:v>
      </x:c>
      <x:c r="C30" s="46" t="str">
        <x:v>family:crustacean</x:v>
      </x:c>
      <x:c r="D30" s="46" t="str">
        <x:v>peeled deveined tail-on Litopenaeus vannamei</x:v>
      </x:c>
      <x:c r="E30" s="46" t="str">
        <x:v>raw / sous-vide / steamed</x:v>
      </x:c>
      <x:c r="F30" s="46" t="str">
        <x:v>SRC-SHRIMP-SOUSVIDE-001</x:v>
      </x:c>
      <x:c r="G30" s="46" t="str">
        <x:v>A29</x:v>
      </x:c>
      <x:c r="H30" s="46" t="str">
        <x:v>Ketones</x:v>
      </x:c>
      <x:c r="I30" s="46" t="str">
        <x:v>Ketones</x:v>
      </x:c>
      <x:c r="J30" s="46" t="str">
        <x:v>环十五酮</x:v>
      </x:c>
      <x:c r="K30" s="46" t="str">
        <x:v>Cyclopentadecanone</x:v>
      </x:c>
      <x:c r="L30" s="46" t="str">
        <x:v>502-72-7</x:v>
      </x:c>
      <x:c r="M30" s="46"/>
      <x:c r="N30" s="46" t="n">
        <x:v>0.78</x:v>
      </x:c>
      <x:c r="O30" s="46"/>
      <x:c r="P30" s="46" t="str">
        <x:v>ng/g</x:v>
      </x:c>
      <x:c r="Q30" s="46" t="str">
        <x:v>HS-SPME-GC-MS; methyl nonanoate internal standard; source Table 2 CAS + quantitative values</x:v>
      </x:c>
      <x:c r="R30" s="46"/>
      <x:c r="S30" s="46"/>
      <x:c r="T30" s="46" t="str">
        <x:v>partial_no_RI_no_numeric_match_factor</x:v>
      </x:c>
      <x:c r="U30" s="46" t="str">
        <x:v>normal_culinary_evidence</x:v>
      </x:c>
      <x:c r="V30" s="46" t="str">
        <x:v>RS=raw; SV=sous-vide; ST=conventional steaming. Source group and normalized chemical class are kept separately.</x:v>
      </x:c>
    </x:row>
    <x:row r="31" ht="26.399999618530273" hidden="0" customHeight="1">
      <x:c r="A31" s="46" t="str">
        <x:v>DSH54-030</x:v>
      </x:c>
      <x:c r="B31" s="46" t="str">
        <x:v>crustacean:shrimp</x:v>
      </x:c>
      <x:c r="C31" s="46" t="str">
        <x:v>family:crustacean</x:v>
      </x:c>
      <x:c r="D31" s="46" t="str">
        <x:v>peeled deveined tail-on Litopenaeus vannamei</x:v>
      </x:c>
      <x:c r="E31" s="46" t="str">
        <x:v>raw / sous-vide / steamed</x:v>
      </x:c>
      <x:c r="F31" s="46" t="str">
        <x:v>SRC-SHRIMP-SOUSVIDE-001</x:v>
      </x:c>
      <x:c r="G31" s="46" t="str">
        <x:v>A30</x:v>
      </x:c>
      <x:c r="H31" s="46" t="str">
        <x:v>Ketones</x:v>
      </x:c>
      <x:c r="I31" s="46" t="str">
        <x:v>Ketones</x:v>
      </x:c>
      <x:c r="J31" s="46" t="str">
        <x:v>十七酮</x:v>
      </x:c>
      <x:c r="K31" s="46" t="str">
        <x:v>Heptadecanone</x:v>
      </x:c>
      <x:c r="L31" s="46" t="str">
        <x:v>2922-51-2</x:v>
      </x:c>
      <x:c r="M31" s="46"/>
      <x:c r="N31" s="46" t="n">
        <x:v>2.02</x:v>
      </x:c>
      <x:c r="O31" s="46" t="n">
        <x:v>2.36</x:v>
      </x:c>
      <x:c r="P31" s="46" t="str">
        <x:v>ng/g</x:v>
      </x:c>
      <x:c r="Q31" s="46" t="str">
        <x:v>HS-SPME-GC-MS; methyl nonanoate internal standard; source Table 2 CAS + quantitative values</x:v>
      </x:c>
      <x:c r="R31" s="46"/>
      <x:c r="S31" s="46"/>
      <x:c r="T31" s="46" t="str">
        <x:v>partial_no_RI_no_numeric_match_factor</x:v>
      </x:c>
      <x:c r="U31" s="46" t="str">
        <x:v>normal_culinary_evidence</x:v>
      </x:c>
      <x:c r="V31" s="46" t="str">
        <x:v>Source common name is nonspecific about ketone position; preserve without adding positional isomer.</x:v>
      </x:c>
    </x:row>
    <x:row r="32" ht="26.399999618530273" hidden="0" customHeight="1">
      <x:c r="A32" s="46" t="str">
        <x:v>DSH54-031</x:v>
      </x:c>
      <x:c r="B32" s="46" t="str">
        <x:v>crustacean:shrimp</x:v>
      </x:c>
      <x:c r="C32" s="46" t="str">
        <x:v>family:crustacean</x:v>
      </x:c>
      <x:c r="D32" s="46" t="str">
        <x:v>peeled deveined tail-on Litopenaeus vannamei</x:v>
      </x:c>
      <x:c r="E32" s="46" t="str">
        <x:v>raw / sous-vide / steamed</x:v>
      </x:c>
      <x:c r="F32" s="46" t="str">
        <x:v>SRC-SHRIMP-SOUSVIDE-001</x:v>
      </x:c>
      <x:c r="G32" s="46" t="str">
        <x:v>A31</x:v>
      </x:c>
      <x:c r="H32" s="46" t="str">
        <x:v>Ketones</x:v>
      </x:c>
      <x:c r="I32" s="46" t="str">
        <x:v>Ketones</x:v>
      </x:c>
      <x:c r="J32" s="46" t="str">
        <x:v>植酮</x:v>
      </x:c>
      <x:c r="K32" s="46" t="str">
        <x:v>Phytone (6,10,14-trimethyl-2-pentadecanone)</x:v>
      </x:c>
      <x:c r="L32" s="46" t="str">
        <x:v>502-69-2</x:v>
      </x:c>
      <x:c r="M32" s="46"/>
      <x:c r="N32" s="46" t="n">
        <x:v>0.25</x:v>
      </x:c>
      <x:c r="O32" s="46"/>
      <x:c r="P32" s="46" t="str">
        <x:v>ng/g</x:v>
      </x:c>
      <x:c r="Q32" s="46" t="str">
        <x:v>HS-SPME-GC-MS; methyl nonanoate internal standard; source Table 2 CAS + quantitative values</x:v>
      </x:c>
      <x:c r="R32" s="46"/>
      <x:c r="S32" s="46"/>
      <x:c r="T32" s="46" t="str">
        <x:v>partial_no_RI_no_numeric_match_factor</x:v>
      </x:c>
      <x:c r="U32" s="46" t="str">
        <x:v>normal_culinary_evidence</x:v>
      </x:c>
      <x:c r="V32" s="46" t="str">
        <x:v>RS=raw; SV=sous-vide; ST=conventional steaming. Source group and normalized chemical class are kept separately.</x:v>
      </x:c>
    </x:row>
    <x:row r="33" ht="26.399999618530273" hidden="0" customHeight="1">
      <x:c r="A33" s="46" t="str">
        <x:v>DSH54-032</x:v>
      </x:c>
      <x:c r="B33" s="46" t="str">
        <x:v>crustacean:shrimp</x:v>
      </x:c>
      <x:c r="C33" s="46" t="str">
        <x:v>family:crustacean</x:v>
      </x:c>
      <x:c r="D33" s="46" t="str">
        <x:v>peeled deveined tail-on Litopenaeus vannamei</x:v>
      </x:c>
      <x:c r="E33" s="46" t="str">
        <x:v>raw / sous-vide / steamed</x:v>
      </x:c>
      <x:c r="F33" s="46" t="str">
        <x:v>SRC-SHRIMP-SOUSVIDE-001</x:v>
      </x:c>
      <x:c r="G33" s="46" t="str">
        <x:v>A32</x:v>
      </x:c>
      <x:c r="H33" s="46" t="str">
        <x:v>Ketones</x:v>
      </x:c>
      <x:c r="I33" s="46" t="str">
        <x:v>Ketones</x:v>
      </x:c>
      <x:c r="J33" s="46" t="str">
        <x:v>2-十九烷酮</x:v>
      </x:c>
      <x:c r="K33" s="46" t="str">
        <x:v>2-Nonadecanone</x:v>
      </x:c>
      <x:c r="L33" s="46" t="str">
        <x:v>629-66-3</x:v>
      </x:c>
      <x:c r="M33" s="46" t="n">
        <x:v>1.6</x:v>
      </x:c>
      <x:c r="N33" s="46" t="n">
        <x:v>0.53</x:v>
      </x:c>
      <x:c r="O33" s="46" t="n">
        <x:v>0.84</x:v>
      </x:c>
      <x:c r="P33" s="46" t="str">
        <x:v>ng/g</x:v>
      </x:c>
      <x:c r="Q33" s="46" t="str">
        <x:v>HS-SPME-GC-MS; methyl nonanoate internal standard; source Table 2 CAS + quantitative values</x:v>
      </x:c>
      <x:c r="R33" s="46"/>
      <x:c r="S33" s="46"/>
      <x:c r="T33" s="46" t="str">
        <x:v>partial_no_RI_no_numeric_match_factor</x:v>
      </x:c>
      <x:c r="U33" s="46" t="str">
        <x:v>normal_culinary_evidence</x:v>
      </x:c>
      <x:c r="V33" s="46" t="str">
        <x:v>RS=raw; SV=sous-vide; ST=conventional steaming. Source group and normalized chemical class are kept separately.</x:v>
      </x:c>
    </x:row>
    <x:row r="34" ht="26.399999618530273" hidden="0" customHeight="1">
      <x:c r="A34" s="46" t="str">
        <x:v>DSH54-033</x:v>
      </x:c>
      <x:c r="B34" s="46" t="str">
        <x:v>crustacean:shrimp</x:v>
      </x:c>
      <x:c r="C34" s="46" t="str">
        <x:v>family:crustacean</x:v>
      </x:c>
      <x:c r="D34" s="46" t="str">
        <x:v>peeled deveined tail-on Litopenaeus vannamei</x:v>
      </x:c>
      <x:c r="E34" s="46" t="str">
        <x:v>raw / sous-vide / steamed</x:v>
      </x:c>
      <x:c r="F34" s="46" t="str">
        <x:v>SRC-SHRIMP-SOUSVIDE-001</x:v>
      </x:c>
      <x:c r="G34" s="46" t="str">
        <x:v>A33</x:v>
      </x:c>
      <x:c r="H34" s="46" t="str">
        <x:v>Acids</x:v>
      </x:c>
      <x:c r="I34" s="46" t="str">
        <x:v>Acids</x:v>
      </x:c>
      <x:c r="J34" s="46" t="str">
        <x:v>乙酸</x:v>
      </x:c>
      <x:c r="K34" s="46" t="str">
        <x:v>Acetic acid</x:v>
      </x:c>
      <x:c r="L34" s="46" t="str">
        <x:v>64-19-7</x:v>
      </x:c>
      <x:c r="M34" s="46" t="n">
        <x:v>5.22</x:v>
      </x:c>
      <x:c r="N34" s="46" t="n">
        <x:v>1.54</x:v>
      </x:c>
      <x:c r="O34" s="46" t="n">
        <x:v>1.1</x:v>
      </x:c>
      <x:c r="P34" s="46" t="str">
        <x:v>ng/g</x:v>
      </x:c>
      <x:c r="Q34" s="46" t="str">
        <x:v>HS-SPME-GC-MS; methyl nonanoate internal standard; source Table 2 CAS + quantitative values</x:v>
      </x:c>
      <x:c r="R34" s="46"/>
      <x:c r="S34" s="46"/>
      <x:c r="T34" s="46" t="str">
        <x:v>partial_no_RI_no_numeric_match_factor</x:v>
      </x:c>
      <x:c r="U34" s="46" t="str">
        <x:v>normal_culinary_evidence</x:v>
      </x:c>
      <x:c r="V34" s="46" t="str">
        <x:v>RS=raw; SV=sous-vide; ST=conventional steaming. Source group and normalized chemical class are kept separately.</x:v>
      </x:c>
    </x:row>
    <x:row r="35" ht="26.399999618530273" hidden="0" customHeight="1">
      <x:c r="A35" s="46" t="str">
        <x:v>DSH54-034</x:v>
      </x:c>
      <x:c r="B35" s="46" t="str">
        <x:v>crustacean:shrimp</x:v>
      </x:c>
      <x:c r="C35" s="46" t="str">
        <x:v>family:crustacean</x:v>
      </x:c>
      <x:c r="D35" s="46" t="str">
        <x:v>peeled deveined tail-on Litopenaeus vannamei</x:v>
      </x:c>
      <x:c r="E35" s="46" t="str">
        <x:v>raw / sous-vide / steamed</x:v>
      </x:c>
      <x:c r="F35" s="46" t="str">
        <x:v>SRC-SHRIMP-SOUSVIDE-001</x:v>
      </x:c>
      <x:c r="G35" s="46" t="str">
        <x:v>A34</x:v>
      </x:c>
      <x:c r="H35" s="46" t="str">
        <x:v>Acids</x:v>
      </x:c>
      <x:c r="I35" s="46" t="str">
        <x:v>Acids</x:v>
      </x:c>
      <x:c r="J35" s="46" t="str">
        <x:v>丙酸</x:v>
      </x:c>
      <x:c r="K35" s="46" t="str">
        <x:v>Propionic acid</x:v>
      </x:c>
      <x:c r="L35" s="46" t="str">
        <x:v>79-09-4</x:v>
      </x:c>
      <x:c r="M35" s="46" t="n">
        <x:v>1.96</x:v>
      </x:c>
      <x:c r="N35" s="46"/>
      <x:c r="O35" s="46"/>
      <x:c r="P35" s="46" t="str">
        <x:v>ng/g</x:v>
      </x:c>
      <x:c r="Q35" s="46" t="str">
        <x:v>HS-SPME-GC-MS; methyl nonanoate internal standard; source Table 2 CAS + quantitative values</x:v>
      </x:c>
      <x:c r="R35" s="46"/>
      <x:c r="S35" s="46"/>
      <x:c r="T35" s="46" t="str">
        <x:v>partial_no_RI_no_numeric_match_factor</x:v>
      </x:c>
      <x:c r="U35" s="46" t="str">
        <x:v>normal_culinary_evidence</x:v>
      </x:c>
      <x:c r="V35" s="46" t="str">
        <x:v>RS=raw; SV=sous-vide; ST=conventional steaming. Source group and normalized chemical class are kept separately.</x:v>
      </x:c>
    </x:row>
    <x:row r="36" ht="26.399999618530273" hidden="0" customHeight="1">
      <x:c r="A36" s="46" t="str">
        <x:v>DSH54-035</x:v>
      </x:c>
      <x:c r="B36" s="46" t="str">
        <x:v>crustacean:shrimp</x:v>
      </x:c>
      <x:c r="C36" s="46" t="str">
        <x:v>family:crustacean</x:v>
      </x:c>
      <x:c r="D36" s="46" t="str">
        <x:v>peeled deveined tail-on Litopenaeus vannamei</x:v>
      </x:c>
      <x:c r="E36" s="46" t="str">
        <x:v>raw / sous-vide / steamed</x:v>
      </x:c>
      <x:c r="F36" s="46" t="str">
        <x:v>SRC-SHRIMP-SOUSVIDE-001</x:v>
      </x:c>
      <x:c r="G36" s="46" t="str">
        <x:v>A35</x:v>
      </x:c>
      <x:c r="H36" s="46" t="str">
        <x:v>Acids</x:v>
      </x:c>
      <x:c r="I36" s="46" t="str">
        <x:v>Acids</x:v>
      </x:c>
      <x:c r="J36" s="46" t="str">
        <x:v>丁酸</x:v>
      </x:c>
      <x:c r="K36" s="46" t="str">
        <x:v>Butyric acid</x:v>
      </x:c>
      <x:c r="L36" s="46" t="str">
        <x:v>107-92-6</x:v>
      </x:c>
      <x:c r="M36" s="46" t="n">
        <x:v>1.52</x:v>
      </x:c>
      <x:c r="N36" s="46" t="n">
        <x:v>5.14</x:v>
      </x:c>
      <x:c r="O36" s="46" t="n">
        <x:v>4.42</x:v>
      </x:c>
      <x:c r="P36" s="46" t="str">
        <x:v>ng/g</x:v>
      </x:c>
      <x:c r="Q36" s="46" t="str">
        <x:v>HS-SPME-GC-MS; methyl nonanoate internal standard; source Table 2 CAS + quantitative values</x:v>
      </x:c>
      <x:c r="R36" s="46"/>
      <x:c r="S36" s="46"/>
      <x:c r="T36" s="46" t="str">
        <x:v>partial_no_RI_no_numeric_match_factor</x:v>
      </x:c>
      <x:c r="U36" s="46" t="str">
        <x:v>normal_culinary_evidence</x:v>
      </x:c>
      <x:c r="V36" s="46" t="str">
        <x:v>RS=raw; SV=sous-vide; ST=conventional steaming. Source group and normalized chemical class are kept separately.</x:v>
      </x:c>
    </x:row>
    <x:row r="37" ht="26.399999618530273" hidden="0" customHeight="1">
      <x:c r="A37" s="46" t="str">
        <x:v>DSH54-036</x:v>
      </x:c>
      <x:c r="B37" s="46" t="str">
        <x:v>crustacean:shrimp</x:v>
      </x:c>
      <x:c r="C37" s="46" t="str">
        <x:v>family:crustacean</x:v>
      </x:c>
      <x:c r="D37" s="46" t="str">
        <x:v>peeled deveined tail-on Litopenaeus vannamei</x:v>
      </x:c>
      <x:c r="E37" s="46" t="str">
        <x:v>raw / sous-vide / steamed</x:v>
      </x:c>
      <x:c r="F37" s="46" t="str">
        <x:v>SRC-SHRIMP-SOUSVIDE-001</x:v>
      </x:c>
      <x:c r="G37" s="46" t="str">
        <x:v>A36</x:v>
      </x:c>
      <x:c r="H37" s="46" t="str">
        <x:v>Acids</x:v>
      </x:c>
      <x:c r="I37" s="46" t="str">
        <x:v>Acids</x:v>
      </x:c>
      <x:c r="J37" s="46" t="str">
        <x:v>己酸</x:v>
      </x:c>
      <x:c r="K37" s="46" t="str">
        <x:v>Hexanoic acid</x:v>
      </x:c>
      <x:c r="L37" s="46" t="str">
        <x:v>142-62-1</x:v>
      </x:c>
      <x:c r="M37" s="46" t="n">
        <x:v>1.22</x:v>
      </x:c>
      <x:c r="N37" s="46"/>
      <x:c r="O37" s="46"/>
      <x:c r="P37" s="46" t="str">
        <x:v>ng/g</x:v>
      </x:c>
      <x:c r="Q37" s="46" t="str">
        <x:v>HS-SPME-GC-MS; methyl nonanoate internal standard; source Table 2 CAS + quantitative values</x:v>
      </x:c>
      <x:c r="R37" s="46"/>
      <x:c r="S37" s="46"/>
      <x:c r="T37" s="46" t="str">
        <x:v>partial_no_RI_no_numeric_match_factor</x:v>
      </x:c>
      <x:c r="U37" s="46" t="str">
        <x:v>normal_culinary_evidence</x:v>
      </x:c>
      <x:c r="V37" s="46" t="str">
        <x:v>RS=raw; SV=sous-vide; ST=conventional steaming. Source group and normalized chemical class are kept separately.</x:v>
      </x:c>
    </x:row>
    <x:row r="38" ht="26.399999618530273" hidden="0" customHeight="1">
      <x:c r="A38" s="46" t="str">
        <x:v>DSH54-037</x:v>
      </x:c>
      <x:c r="B38" s="46" t="str">
        <x:v>crustacean:shrimp</x:v>
      </x:c>
      <x:c r="C38" s="46" t="str">
        <x:v>family:crustacean</x:v>
      </x:c>
      <x:c r="D38" s="46" t="str">
        <x:v>peeled deveined tail-on Litopenaeus vannamei</x:v>
      </x:c>
      <x:c r="E38" s="46" t="str">
        <x:v>raw / sous-vide / steamed</x:v>
      </x:c>
      <x:c r="F38" s="46" t="str">
        <x:v>SRC-SHRIMP-SOUSVIDE-001</x:v>
      </x:c>
      <x:c r="G38" s="46" t="str">
        <x:v>A37</x:v>
      </x:c>
      <x:c r="H38" s="46" t="str">
        <x:v>Acids</x:v>
      </x:c>
      <x:c r="I38" s="46" t="str">
        <x:v>Acids</x:v>
      </x:c>
      <x:c r="J38" s="46" t="str">
        <x:v>庚酸</x:v>
      </x:c>
      <x:c r="K38" s="46" t="str">
        <x:v>Heptanoic acid</x:v>
      </x:c>
      <x:c r="L38" s="46" t="str">
        <x:v>111-14-8</x:v>
      </x:c>
      <x:c r="M38" s="46" t="n">
        <x:v>0.99</x:v>
      </x:c>
      <x:c r="N38" s="46"/>
      <x:c r="O38" s="46"/>
      <x:c r="P38" s="46" t="str">
        <x:v>ng/g</x:v>
      </x:c>
      <x:c r="Q38" s="46" t="str">
        <x:v>HS-SPME-GC-MS; methyl nonanoate internal standard; source Table 2 CAS + quantitative values</x:v>
      </x:c>
      <x:c r="R38" s="46"/>
      <x:c r="S38" s="46"/>
      <x:c r="T38" s="46" t="str">
        <x:v>partial_no_RI_no_numeric_match_factor</x:v>
      </x:c>
      <x:c r="U38" s="46" t="str">
        <x:v>normal_culinary_evidence</x:v>
      </x:c>
      <x:c r="V38" s="46" t="str">
        <x:v>RS=raw; SV=sous-vide; ST=conventional steaming. Source group and normalized chemical class are kept separately.</x:v>
      </x:c>
    </x:row>
    <x:row r="39" ht="26.399999618530273" hidden="0" customHeight="1">
      <x:c r="A39" s="46" t="str">
        <x:v>DSH54-038</x:v>
      </x:c>
      <x:c r="B39" s="46" t="str">
        <x:v>crustacean:shrimp</x:v>
      </x:c>
      <x:c r="C39" s="46" t="str">
        <x:v>family:crustacean</x:v>
      </x:c>
      <x:c r="D39" s="46" t="str">
        <x:v>peeled deveined tail-on Litopenaeus vannamei</x:v>
      </x:c>
      <x:c r="E39" s="46" t="str">
        <x:v>raw / sous-vide / steamed</x:v>
      </x:c>
      <x:c r="F39" s="46" t="str">
        <x:v>SRC-SHRIMP-SOUSVIDE-001</x:v>
      </x:c>
      <x:c r="G39" s="46" t="str">
        <x:v>A38</x:v>
      </x:c>
      <x:c r="H39" s="46" t="str">
        <x:v>Acids</x:v>
      </x:c>
      <x:c r="I39" s="46" t="str">
        <x:v>Acids</x:v>
      </x:c>
      <x:c r="J39" s="46" t="str">
        <x:v>辛酸</x:v>
      </x:c>
      <x:c r="K39" s="46" t="str">
        <x:v>Octanoic acid</x:v>
      </x:c>
      <x:c r="L39" s="46" t="str">
        <x:v>124-07-2</x:v>
      </x:c>
      <x:c r="M39" s="46" t="n">
        <x:v>1.22</x:v>
      </x:c>
      <x:c r="N39" s="46" t="n">
        <x:v>0.38</x:v>
      </x:c>
      <x:c r="O39" s="46" t="n">
        <x:v>0.32</x:v>
      </x:c>
      <x:c r="P39" s="46" t="str">
        <x:v>ng/g</x:v>
      </x:c>
      <x:c r="Q39" s="46" t="str">
        <x:v>HS-SPME-GC-MS; methyl nonanoate internal standard; source Table 2 CAS + quantitative values</x:v>
      </x:c>
      <x:c r="R39" s="46"/>
      <x:c r="S39" s="46"/>
      <x:c r="T39" s="46" t="str">
        <x:v>partial_no_RI_no_numeric_match_factor</x:v>
      </x:c>
      <x:c r="U39" s="46" t="str">
        <x:v>normal_culinary_evidence</x:v>
      </x:c>
      <x:c r="V39" s="46" t="str">
        <x:v>RS=raw; SV=sous-vide; ST=conventional steaming. Source group and normalized chemical class are kept separately.</x:v>
      </x:c>
    </x:row>
    <x:row r="40" ht="26.399999618530273" hidden="0" customHeight="1">
      <x:c r="A40" s="46" t="str">
        <x:v>DSH54-039</x:v>
      </x:c>
      <x:c r="B40" s="46" t="str">
        <x:v>crustacean:shrimp</x:v>
      </x:c>
      <x:c r="C40" s="46" t="str">
        <x:v>family:crustacean</x:v>
      </x:c>
      <x:c r="D40" s="46" t="str">
        <x:v>peeled deveined tail-on Litopenaeus vannamei</x:v>
      </x:c>
      <x:c r="E40" s="46" t="str">
        <x:v>raw / sous-vide / steamed</x:v>
      </x:c>
      <x:c r="F40" s="46" t="str">
        <x:v>SRC-SHRIMP-SOUSVIDE-001</x:v>
      </x:c>
      <x:c r="G40" s="46" t="str">
        <x:v>A39</x:v>
      </x:c>
      <x:c r="H40" s="46" t="str">
        <x:v>Acids</x:v>
      </x:c>
      <x:c r="I40" s="46" t="str">
        <x:v>Acids</x:v>
      </x:c>
      <x:c r="J40" s="46" t="str">
        <x:v>壬酸</x:v>
      </x:c>
      <x:c r="K40" s="46" t="str">
        <x:v>Nonanoic acid</x:v>
      </x:c>
      <x:c r="L40" s="46" t="str">
        <x:v>112-05-0</x:v>
      </x:c>
      <x:c r="M40" s="46" t="n">
        <x:v>1.1</x:v>
      </x:c>
      <x:c r="N40" s="46"/>
      <x:c r="O40" s="46"/>
      <x:c r="P40" s="46" t="str">
        <x:v>ng/g</x:v>
      </x:c>
      <x:c r="Q40" s="46" t="str">
        <x:v>HS-SPME-GC-MS; methyl nonanoate internal standard; source Table 2 CAS + quantitative values</x:v>
      </x:c>
      <x:c r="R40" s="46"/>
      <x:c r="S40" s="46"/>
      <x:c r="T40" s="46" t="str">
        <x:v>partial_no_RI_no_numeric_match_factor</x:v>
      </x:c>
      <x:c r="U40" s="46" t="str">
        <x:v>normal_culinary_evidence</x:v>
      </x:c>
      <x:c r="V40" s="46" t="str">
        <x:v>RS=raw; SV=sous-vide; ST=conventional steaming. Source group and normalized chemical class are kept separately.</x:v>
      </x:c>
    </x:row>
    <x:row r="41" ht="26.399999618530273" hidden="0" customHeight="1">
      <x:c r="A41" s="46" t="str">
        <x:v>DSH54-040</x:v>
      </x:c>
      <x:c r="B41" s="46" t="str">
        <x:v>crustacean:shrimp</x:v>
      </x:c>
      <x:c r="C41" s="46" t="str">
        <x:v>family:crustacean</x:v>
      </x:c>
      <x:c r="D41" s="46" t="str">
        <x:v>peeled deveined tail-on Litopenaeus vannamei</x:v>
      </x:c>
      <x:c r="E41" s="46" t="str">
        <x:v>raw / sous-vide / steamed</x:v>
      </x:c>
      <x:c r="F41" s="46" t="str">
        <x:v>SRC-SHRIMP-SOUSVIDE-001</x:v>
      </x:c>
      <x:c r="G41" s="46" t="str">
        <x:v>A40</x:v>
      </x:c>
      <x:c r="H41" s="46" t="str">
        <x:v>Acids</x:v>
      </x:c>
      <x:c r="I41" s="46" t="str">
        <x:v>Acids</x:v>
      </x:c>
      <x:c r="J41" s="46" t="str">
        <x:v>癸酸</x:v>
      </x:c>
      <x:c r="K41" s="46" t="str">
        <x:v>Decanoic acid</x:v>
      </x:c>
      <x:c r="L41" s="46" t="str">
        <x:v>334-48-5</x:v>
      </x:c>
      <x:c r="M41" s="46"/>
      <x:c r="N41" s="46" t="n">
        <x:v>1.34</x:v>
      </x:c>
      <x:c r="O41" s="46" t="n">
        <x:v>5.65</x:v>
      </x:c>
      <x:c r="P41" s="46" t="str">
        <x:v>ng/g</x:v>
      </x:c>
      <x:c r="Q41" s="46" t="str">
        <x:v>HS-SPME-GC-MS; methyl nonanoate internal standard; source Table 2 CAS + quantitative values</x:v>
      </x:c>
      <x:c r="R41" s="46"/>
      <x:c r="S41" s="46"/>
      <x:c r="T41" s="46" t="str">
        <x:v>partial_no_RI_no_numeric_match_factor</x:v>
      </x:c>
      <x:c r="U41" s="46" t="str">
        <x:v>normal_culinary_evidence</x:v>
      </x:c>
      <x:c r="V41" s="46" t="str">
        <x:v>RS=raw; SV=sous-vide; ST=conventional steaming. Source group and normalized chemical class are kept separately.</x:v>
      </x:c>
    </x:row>
    <x:row r="42" ht="26.399999618530273" hidden="0" customHeight="1">
      <x:c r="A42" s="46" t="str">
        <x:v>DSH54-041</x:v>
      </x:c>
      <x:c r="B42" s="46" t="str">
        <x:v>crustacean:shrimp</x:v>
      </x:c>
      <x:c r="C42" s="46" t="str">
        <x:v>family:crustacean</x:v>
      </x:c>
      <x:c r="D42" s="46" t="str">
        <x:v>peeled deveined tail-on Litopenaeus vannamei</x:v>
      </x:c>
      <x:c r="E42" s="46" t="str">
        <x:v>raw / sous-vide / steamed</x:v>
      </x:c>
      <x:c r="F42" s="46" t="str">
        <x:v>SRC-SHRIMP-SOUSVIDE-001</x:v>
      </x:c>
      <x:c r="G42" s="46" t="str">
        <x:v>A41</x:v>
      </x:c>
      <x:c r="H42" s="46" t="str">
        <x:v>Acids</x:v>
      </x:c>
      <x:c r="I42" s="46" t="str">
        <x:v>Acids</x:v>
      </x:c>
      <x:c r="J42" s="46" t="str">
        <x:v>苯甲酸</x:v>
      </x:c>
      <x:c r="K42" s="46" t="str">
        <x:v>Benzoic acid</x:v>
      </x:c>
      <x:c r="L42" s="46" t="str">
        <x:v>65-85-0</x:v>
      </x:c>
      <x:c r="M42" s="46" t="n">
        <x:v>1.87</x:v>
      </x:c>
      <x:c r="N42" s="46"/>
      <x:c r="O42" s="46"/>
      <x:c r="P42" s="46" t="str">
        <x:v>ng/g</x:v>
      </x:c>
      <x:c r="Q42" s="46" t="str">
        <x:v>HS-SPME-GC-MS; methyl nonanoate internal standard; source Table 2 CAS + quantitative values</x:v>
      </x:c>
      <x:c r="R42" s="46"/>
      <x:c r="S42" s="46"/>
      <x:c r="T42" s="46" t="str">
        <x:v>partial_no_RI_no_numeric_match_factor</x:v>
      </x:c>
      <x:c r="U42" s="46" t="str">
        <x:v>normal_culinary_evidence</x:v>
      </x:c>
      <x:c r="V42" s="46" t="str">
        <x:v>RS=raw; SV=sous-vide; ST=conventional steaming. Source group and normalized chemical class are kept separately.</x:v>
      </x:c>
    </x:row>
    <x:row r="43" ht="26.399999618530273" hidden="0" customHeight="1">
      <x:c r="A43" s="46" t="str">
        <x:v>DSH54-042</x:v>
      </x:c>
      <x:c r="B43" s="46" t="str">
        <x:v>crustacean:shrimp</x:v>
      </x:c>
      <x:c r="C43" s="46" t="str">
        <x:v>family:crustacean</x:v>
      </x:c>
      <x:c r="D43" s="46" t="str">
        <x:v>peeled deveined tail-on Litopenaeus vannamei</x:v>
      </x:c>
      <x:c r="E43" s="46" t="str">
        <x:v>raw / sous-vide / steamed</x:v>
      </x:c>
      <x:c r="F43" s="46" t="str">
        <x:v>SRC-SHRIMP-SOUSVIDE-001</x:v>
      </x:c>
      <x:c r="G43" s="46" t="str">
        <x:v>A42</x:v>
      </x:c>
      <x:c r="H43" s="46" t="str">
        <x:v>Alcohols</x:v>
      </x:c>
      <x:c r="I43" s="46" t="str">
        <x:v>Alcohols</x:v>
      </x:c>
      <x:c r="J43" s="46" t="str">
        <x:v>2-丙基-1-庚醇</x:v>
      </x:c>
      <x:c r="K43" s="46" t="str">
        <x:v>2-Propyl-1-heptanol</x:v>
      </x:c>
      <x:c r="L43" s="46" t="str">
        <x:v>10042-59-8</x:v>
      </x:c>
      <x:c r="M43" s="46"/>
      <x:c r="N43" s="46" t="n">
        <x:v>1.19</x:v>
      </x:c>
      <x:c r="O43" s="46"/>
      <x:c r="P43" s="46" t="str">
        <x:v>ng/g</x:v>
      </x:c>
      <x:c r="Q43" s="46" t="str">
        <x:v>HS-SPME-GC-MS; methyl nonanoate internal standard; source Table 2 CAS + quantitative values</x:v>
      </x:c>
      <x:c r="R43" s="46"/>
      <x:c r="S43" s="46"/>
      <x:c r="T43" s="46" t="str">
        <x:v>partial_no_RI_no_numeric_match_factor</x:v>
      </x:c>
      <x:c r="U43" s="46" t="str">
        <x:v>normal_culinary_evidence</x:v>
      </x:c>
      <x:c r="V43" s="46" t="str">
        <x:v>RS=raw; SV=sous-vide; ST=conventional steaming. Source group and normalized chemical class are kept separately.</x:v>
      </x:c>
    </x:row>
    <x:row r="44" ht="26.399999618530273" hidden="0" customHeight="1">
      <x:c r="A44" s="46" t="str">
        <x:v>DSH54-043</x:v>
      </x:c>
      <x:c r="B44" s="46" t="str">
        <x:v>crustacean:shrimp</x:v>
      </x:c>
      <x:c r="C44" s="46" t="str">
        <x:v>family:crustacean</x:v>
      </x:c>
      <x:c r="D44" s="46" t="str">
        <x:v>peeled deveined tail-on Litopenaeus vannamei</x:v>
      </x:c>
      <x:c r="E44" s="46" t="str">
        <x:v>raw / sous-vide / steamed</x:v>
      </x:c>
      <x:c r="F44" s="46" t="str">
        <x:v>SRC-SHRIMP-SOUSVIDE-001</x:v>
      </x:c>
      <x:c r="G44" s="46" t="str">
        <x:v>A43</x:v>
      </x:c>
      <x:c r="H44" s="46" t="str">
        <x:v>Alcohols</x:v>
      </x:c>
      <x:c r="I44" s="46" t="str">
        <x:v>Alcohols</x:v>
      </x:c>
      <x:c r="J44" s="46" t="str">
        <x:v>1-辛烯-3-醇</x:v>
      </x:c>
      <x:c r="K44" s="46" t="str">
        <x:v>1-Octen-3-ol</x:v>
      </x:c>
      <x:c r="L44" s="46" t="str">
        <x:v>3391-86-4</x:v>
      </x:c>
      <x:c r="M44" s="46"/>
      <x:c r="N44" s="46" t="n">
        <x:v>1.66</x:v>
      </x:c>
      <x:c r="O44" s="46" t="n">
        <x:v>1.94</x:v>
      </x:c>
      <x:c r="P44" s="46" t="str">
        <x:v>ng/g</x:v>
      </x:c>
      <x:c r="Q44" s="46" t="str">
        <x:v>HS-SPME-GC-MS; methyl nonanoate internal standard; source Table 2 CAS + quantitative values</x:v>
      </x:c>
      <x:c r="R44" s="46"/>
      <x:c r="S44" s="46"/>
      <x:c r="T44" s="46" t="str">
        <x:v>partial_no_RI_no_numeric_match_factor</x:v>
      </x:c>
      <x:c r="U44" s="46" t="str">
        <x:v>normal_culinary_evidence</x:v>
      </x:c>
      <x:c r="V44" s="46" t="str">
        <x:v>RS=raw; SV=sous-vide; ST=conventional steaming. Source group and normalized chemical class are kept separately.</x:v>
      </x:c>
    </x:row>
    <x:row r="45" ht="26.399999618530273" hidden="0" customHeight="1">
      <x:c r="A45" s="46" t="str">
        <x:v>DSH54-044</x:v>
      </x:c>
      <x:c r="B45" s="46" t="str">
        <x:v>crustacean:shrimp</x:v>
      </x:c>
      <x:c r="C45" s="46" t="str">
        <x:v>family:crustacean</x:v>
      </x:c>
      <x:c r="D45" s="46" t="str">
        <x:v>peeled deveined tail-on Litopenaeus vannamei</x:v>
      </x:c>
      <x:c r="E45" s="46" t="str">
        <x:v>raw / sous-vide / steamed</x:v>
      </x:c>
      <x:c r="F45" s="46" t="str">
        <x:v>SRC-SHRIMP-SOUSVIDE-001</x:v>
      </x:c>
      <x:c r="G45" s="46" t="str">
        <x:v>A44</x:v>
      </x:c>
      <x:c r="H45" s="46" t="str">
        <x:v>Alcohols</x:v>
      </x:c>
      <x:c r="I45" s="46" t="str">
        <x:v>Alcohols</x:v>
      </x:c>
      <x:c r="J45" s="46" t="str">
        <x:v>（E）-2-己烯-1-醇</x:v>
      </x:c>
      <x:c r="K45" s="46" t="str">
        <x:v>(E)-2-Hexen-1-ol</x:v>
      </x:c>
      <x:c r="L45" s="46" t="str">
        <x:v>928-95-0</x:v>
      </x:c>
      <x:c r="M45" s="46"/>
      <x:c r="N45" s="46"/>
      <x:c r="O45" s="46" t="n">
        <x:v>2.29</x:v>
      </x:c>
      <x:c r="P45" s="46" t="str">
        <x:v>ng/g</x:v>
      </x:c>
      <x:c r="Q45" s="46" t="str">
        <x:v>HS-SPME-GC-MS; methyl nonanoate internal standard; source Table 2 CAS + quantitative values</x:v>
      </x:c>
      <x:c r="R45" s="46"/>
      <x:c r="S45" s="46"/>
      <x:c r="T45" s="46" t="str">
        <x:v>partial_no_RI_no_numeric_match_factor</x:v>
      </x:c>
      <x:c r="U45" s="46" t="str">
        <x:v>normal_culinary_evidence</x:v>
      </x:c>
      <x:c r="V45" s="46" t="str">
        <x:v>RS=raw; SV=sous-vide; ST=conventional steaming. Source group and normalized chemical class are kept separately.</x:v>
      </x:c>
    </x:row>
    <x:row r="46" ht="26.399999618530273" hidden="0" customHeight="1">
      <x:c r="A46" s="46" t="str">
        <x:v>DSH54-045</x:v>
      </x:c>
      <x:c r="B46" s="46" t="str">
        <x:v>crustacean:shrimp</x:v>
      </x:c>
      <x:c r="C46" s="46" t="str">
        <x:v>family:crustacean</x:v>
      </x:c>
      <x:c r="D46" s="46" t="str">
        <x:v>peeled deveined tail-on Litopenaeus vannamei</x:v>
      </x:c>
      <x:c r="E46" s="46" t="str">
        <x:v>raw / sous-vide / steamed</x:v>
      </x:c>
      <x:c r="F46" s="46" t="str">
        <x:v>SRC-SHRIMP-SOUSVIDE-001</x:v>
      </x:c>
      <x:c r="G46" s="46" t="str">
        <x:v>A45</x:v>
      </x:c>
      <x:c r="H46" s="46" t="str">
        <x:v>Alcohols</x:v>
      </x:c>
      <x:c r="I46" s="46" t="str">
        <x:v>Alcohols</x:v>
      </x:c>
      <x:c r="J46" s="46" t="str">
        <x:v>（E）-2-十二烯-1-醇</x:v>
      </x:c>
      <x:c r="K46" s="46" t="str">
        <x:v>(E)-2-Dodecen-1-ol</x:v>
      </x:c>
      <x:c r="L46" s="46" t="str">
        <x:v>69064-37-5</x:v>
      </x:c>
      <x:c r="M46" s="46"/>
      <x:c r="N46" s="46"/>
      <x:c r="O46" s="46" t="n">
        <x:v>1.94</x:v>
      </x:c>
      <x:c r="P46" s="46" t="str">
        <x:v>ng/g</x:v>
      </x:c>
      <x:c r="Q46" s="46" t="str">
        <x:v>HS-SPME-GC-MS; methyl nonanoate internal standard; source Table 2 CAS + quantitative values</x:v>
      </x:c>
      <x:c r="R46" s="46"/>
      <x:c r="S46" s="46"/>
      <x:c r="T46" s="46" t="str">
        <x:v>partial_no_RI_no_numeric_match_factor</x:v>
      </x:c>
      <x:c r="U46" s="46" t="str">
        <x:v>normal_culinary_evidence</x:v>
      </x:c>
      <x:c r="V46" s="46" t="str">
        <x:v>RS=raw; SV=sous-vide; ST=conventional steaming. Source group and normalized chemical class are kept separately.</x:v>
      </x:c>
    </x:row>
    <x:row r="47" ht="26.399999618530273" hidden="0" customHeight="1">
      <x:c r="A47" s="46" t="str">
        <x:v>DSH54-046</x:v>
      </x:c>
      <x:c r="B47" s="46" t="str">
        <x:v>crustacean:shrimp</x:v>
      </x:c>
      <x:c r="C47" s="46" t="str">
        <x:v>family:crustacean</x:v>
      </x:c>
      <x:c r="D47" s="46" t="str">
        <x:v>peeled deveined tail-on Litopenaeus vannamei</x:v>
      </x:c>
      <x:c r="E47" s="46" t="str">
        <x:v>raw / sous-vide / steamed</x:v>
      </x:c>
      <x:c r="F47" s="46" t="str">
        <x:v>SRC-SHRIMP-SOUSVIDE-001</x:v>
      </x:c>
      <x:c r="G47" s="46" t="str">
        <x:v>A46</x:v>
      </x:c>
      <x:c r="H47" s="46" t="str">
        <x:v>Alcohols</x:v>
      </x:c>
      <x:c r="I47" s="46" t="str">
        <x:v>Alcohols</x:v>
      </x:c>
      <x:c r="J47" s="46" t="str">
        <x:v>2-甲基丁醇</x:v>
      </x:c>
      <x:c r="K47" s="46" t="str">
        <x:v>2-Methyl-1-butanol</x:v>
      </x:c>
      <x:c r="L47" s="46" t="str">
        <x:v>137-32-6</x:v>
      </x:c>
      <x:c r="M47" s="46" t="n">
        <x:v>1.22</x:v>
      </x:c>
      <x:c r="N47" s="46"/>
      <x:c r="O47" s="46"/>
      <x:c r="P47" s="46" t="str">
        <x:v>ng/g</x:v>
      </x:c>
      <x:c r="Q47" s="46" t="str">
        <x:v>HS-SPME-GC-MS; methyl nonanoate internal standard; source Table 2 CAS + quantitative values</x:v>
      </x:c>
      <x:c r="R47" s="46"/>
      <x:c r="S47" s="46"/>
      <x:c r="T47" s="46" t="str">
        <x:v>partial_no_RI_no_numeric_match_factor</x:v>
      </x:c>
      <x:c r="U47" s="46" t="str">
        <x:v>normal_culinary_evidence</x:v>
      </x:c>
      <x:c r="V47" s="46" t="str">
        <x:v>RS=raw; SV=sous-vide; ST=conventional steaming. Source group and normalized chemical class are kept separately.</x:v>
      </x:c>
    </x:row>
    <x:row r="48" ht="26.399999618530273" hidden="0" customHeight="1">
      <x:c r="A48" s="46" t="str">
        <x:v>DSH54-047</x:v>
      </x:c>
      <x:c r="B48" s="46" t="str">
        <x:v>crustacean:shrimp</x:v>
      </x:c>
      <x:c r="C48" s="46" t="str">
        <x:v>family:crustacean</x:v>
      </x:c>
      <x:c r="D48" s="46" t="str">
        <x:v>peeled deveined tail-on Litopenaeus vannamei</x:v>
      </x:c>
      <x:c r="E48" s="46" t="str">
        <x:v>raw / sous-vide / steamed</x:v>
      </x:c>
      <x:c r="F48" s="46" t="str">
        <x:v>SRC-SHRIMP-SOUSVIDE-001</x:v>
      </x:c>
      <x:c r="G48" s="46" t="str">
        <x:v>A47</x:v>
      </x:c>
      <x:c r="H48" s="46" t="str">
        <x:v>Alcohols</x:v>
      </x:c>
      <x:c r="I48" s="46" t="str">
        <x:v>Alcohols</x:v>
      </x:c>
      <x:c r="J48" s="46" t="str">
        <x:v>3-甲基-3-丁烯-1-醇</x:v>
      </x:c>
      <x:c r="K48" s="46" t="str">
        <x:v>3-Methyl-3-buten-1-ol</x:v>
      </x:c>
      <x:c r="L48" s="46" t="str">
        <x:v>763-32-6</x:v>
      </x:c>
      <x:c r="M48" s="46" t="n">
        <x:v>0.88</x:v>
      </x:c>
      <x:c r="N48" s="46"/>
      <x:c r="O48" s="46"/>
      <x:c r="P48" s="46" t="str">
        <x:v>ng/g</x:v>
      </x:c>
      <x:c r="Q48" s="46" t="str">
        <x:v>HS-SPME-GC-MS; methyl nonanoate internal standard; source Table 2 CAS + quantitative values</x:v>
      </x:c>
      <x:c r="R48" s="46"/>
      <x:c r="S48" s="46"/>
      <x:c r="T48" s="46" t="str">
        <x:v>partial_no_RI_no_numeric_match_factor</x:v>
      </x:c>
      <x:c r="U48" s="46" t="str">
        <x:v>normal_culinary_evidence</x:v>
      </x:c>
      <x:c r="V48" s="46" t="str">
        <x:v>RS=raw; SV=sous-vide; ST=conventional steaming. Source group and normalized chemical class are kept separately.</x:v>
      </x:c>
    </x:row>
    <x:row r="49" ht="26.399999618530273" hidden="0" customHeight="1">
      <x:c r="A49" s="46" t="str">
        <x:v>DSH54-048</x:v>
      </x:c>
      <x:c r="B49" s="46" t="str">
        <x:v>crustacean:shrimp</x:v>
      </x:c>
      <x:c r="C49" s="46" t="str">
        <x:v>family:crustacean</x:v>
      </x:c>
      <x:c r="D49" s="46" t="str">
        <x:v>peeled deveined tail-on Litopenaeus vannamei</x:v>
      </x:c>
      <x:c r="E49" s="46" t="str">
        <x:v>raw / sous-vide / steamed</x:v>
      </x:c>
      <x:c r="F49" s="46" t="str">
        <x:v>SRC-SHRIMP-SOUSVIDE-001</x:v>
      </x:c>
      <x:c r="G49" s="46" t="str">
        <x:v>A48</x:v>
      </x:c>
      <x:c r="H49" s="46" t="str">
        <x:v>Esters</x:v>
      </x:c>
      <x:c r="I49" s="46" t="str">
        <x:v>Esters</x:v>
      </x:c>
      <x:c r="J49" s="46" t="str">
        <x:v>2-甲基辛酸甲酯</x:v>
      </x:c>
      <x:c r="K49" s="46" t="str">
        <x:v>Methyl 2-methyloctanoate</x:v>
      </x:c>
      <x:c r="L49" s="46" t="str">
        <x:v>2177-86-8</x:v>
      </x:c>
      <x:c r="M49" s="46"/>
      <x:c r="N49" s="46" t="n">
        <x:v>1.28</x:v>
      </x:c>
      <x:c r="O49" s="46"/>
      <x:c r="P49" s="46" t="str">
        <x:v>ng/g</x:v>
      </x:c>
      <x:c r="Q49" s="46" t="str">
        <x:v>HS-SPME-GC-MS; methyl nonanoate internal standard; source Table 2 CAS + quantitative values</x:v>
      </x:c>
      <x:c r="R49" s="46"/>
      <x:c r="S49" s="46"/>
      <x:c r="T49" s="46" t="str">
        <x:v>partial_no_RI_no_numeric_match_factor</x:v>
      </x:c>
      <x:c r="U49" s="46" t="str">
        <x:v>normal_culinary_evidence</x:v>
      </x:c>
      <x:c r="V49" s="46" t="str">
        <x:v>RS=raw; SV=sous-vide; ST=conventional steaming. Source group and normalized chemical class are kept separately.</x:v>
      </x:c>
    </x:row>
    <x:row r="50" ht="26.399999618530273" hidden="0" customHeight="1">
      <x:c r="A50" s="46" t="str">
        <x:v>DSH54-049</x:v>
      </x:c>
      <x:c r="B50" s="46" t="str">
        <x:v>crustacean:shrimp</x:v>
      </x:c>
      <x:c r="C50" s="46" t="str">
        <x:v>family:crustacean</x:v>
      </x:c>
      <x:c r="D50" s="46" t="str">
        <x:v>peeled deveined tail-on Litopenaeus vannamei</x:v>
      </x:c>
      <x:c r="E50" s="46" t="str">
        <x:v>raw / sous-vide / steamed</x:v>
      </x:c>
      <x:c r="F50" s="46" t="str">
        <x:v>SRC-SHRIMP-SOUSVIDE-001</x:v>
      </x:c>
      <x:c r="G50" s="46" t="str">
        <x:v>A49</x:v>
      </x:c>
      <x:c r="H50" s="46" t="str">
        <x:v>Esters</x:v>
      </x:c>
      <x:c r="I50" s="46" t="str">
        <x:v>Esters</x:v>
      </x:c>
      <x:c r="J50" s="46" t="str">
        <x:v>棕榈酸甲酯</x:v>
      </x:c>
      <x:c r="K50" s="46" t="str">
        <x:v>Methyl palmitate</x:v>
      </x:c>
      <x:c r="L50" s="46" t="str">
        <x:v>112-39-0</x:v>
      </x:c>
      <x:c r="M50" s="46" t="n">
        <x:v>1.72</x:v>
      </x:c>
      <x:c r="N50" s="46"/>
      <x:c r="O50" s="46"/>
      <x:c r="P50" s="46" t="str">
        <x:v>ng/g</x:v>
      </x:c>
      <x:c r="Q50" s="46" t="str">
        <x:v>HS-SPME-GC-MS; methyl nonanoate internal standard; source Table 2 CAS + quantitative values</x:v>
      </x:c>
      <x:c r="R50" s="46"/>
      <x:c r="S50" s="46"/>
      <x:c r="T50" s="46" t="str">
        <x:v>partial_no_RI_no_numeric_match_factor</x:v>
      </x:c>
      <x:c r="U50" s="46" t="str">
        <x:v>normal_culinary_evidence</x:v>
      </x:c>
      <x:c r="V50" s="46" t="str">
        <x:v>RS=raw; SV=sous-vide; ST=conventional steaming. Source group and normalized chemical class are kept separately.</x:v>
      </x:c>
    </x:row>
    <x:row r="51" ht="26.399999618530273" hidden="0" customHeight="1">
      <x:c r="A51" s="46" t="str">
        <x:v>DSH54-050</x:v>
      </x:c>
      <x:c r="B51" s="46" t="str">
        <x:v>crustacean:shrimp</x:v>
      </x:c>
      <x:c r="C51" s="46" t="str">
        <x:v>family:crustacean</x:v>
      </x:c>
      <x:c r="D51" s="46" t="str">
        <x:v>peeled deveined tail-on Litopenaeus vannamei</x:v>
      </x:c>
      <x:c r="E51" s="46" t="str">
        <x:v>raw / sous-vide / steamed</x:v>
      </x:c>
      <x:c r="F51" s="46" t="str">
        <x:v>SRC-SHRIMP-SOUSVIDE-001</x:v>
      </x:c>
      <x:c r="G51" s="46" t="str">
        <x:v>A50</x:v>
      </x:c>
      <x:c r="H51" s="46" t="str">
        <x:v>Esters</x:v>
      </x:c>
      <x:c r="I51" s="46" t="str">
        <x:v>Esters</x:v>
      </x:c>
      <x:c r="J51" s="46" t="str">
        <x:v>丙酸异丁酯</x:v>
      </x:c>
      <x:c r="K51" s="46" t="str">
        <x:v>Isobutyl propionate</x:v>
      </x:c>
      <x:c r="L51" s="46" t="str">
        <x:v>540-42-1</x:v>
      </x:c>
      <x:c r="M51" s="46"/>
      <x:c r="N51" s="46"/>
      <x:c r="O51" s="46" t="n">
        <x:v>0.54</x:v>
      </x:c>
      <x:c r="P51" s="46" t="str">
        <x:v>ng/g</x:v>
      </x:c>
      <x:c r="Q51" s="46" t="str">
        <x:v>HS-SPME-GC-MS; methyl nonanoate internal standard; source Table 2 CAS + quantitative values</x:v>
      </x:c>
      <x:c r="R51" s="46"/>
      <x:c r="S51" s="46"/>
      <x:c r="T51" s="46" t="str">
        <x:v>partial_no_RI_no_numeric_match_factor</x:v>
      </x:c>
      <x:c r="U51" s="46" t="str">
        <x:v>normal_culinary_evidence</x:v>
      </x:c>
      <x:c r="V51" s="46" t="str">
        <x:v>RS=raw; SV=sous-vide; ST=conventional steaming. Source group and normalized chemical class are kept separately.</x:v>
      </x:c>
    </x:row>
    <x:row r="52" ht="26.399999618530273" hidden="0" customHeight="1">
      <x:c r="A52" s="46" t="str">
        <x:v>DSH54-051</x:v>
      </x:c>
      <x:c r="B52" s="46" t="str">
        <x:v>crustacean:shrimp</x:v>
      </x:c>
      <x:c r="C52" s="46" t="str">
        <x:v>family:crustacean</x:v>
      </x:c>
      <x:c r="D52" s="46" t="str">
        <x:v>peeled deveined tail-on Litopenaeus vannamei</x:v>
      </x:c>
      <x:c r="E52" s="46" t="str">
        <x:v>raw / sous-vide / steamed</x:v>
      </x:c>
      <x:c r="F52" s="46" t="str">
        <x:v>SRC-SHRIMP-SOUSVIDE-001</x:v>
      </x:c>
      <x:c r="G52" s="46" t="str">
        <x:v>A51</x:v>
      </x:c>
      <x:c r="H52" s="46" t="str">
        <x:v>Esters</x:v>
      </x:c>
      <x:c r="I52" s="46" t="str">
        <x:v>Phosphate esters</x:v>
      </x:c>
      <x:c r="J52" s="46" t="str">
        <x:v>磷酸三乙酯</x:v>
      </x:c>
      <x:c r="K52" s="46" t="str">
        <x:v>Triethyl phosphate</x:v>
      </x:c>
      <x:c r="L52" s="46" t="str">
        <x:v>78-40-0</x:v>
      </x:c>
      <x:c r="M52" s="46"/>
      <x:c r="N52" s="46" t="n">
        <x:v>0.5</x:v>
      </x:c>
      <x:c r="O52" s="46"/>
      <x:c r="P52" s="46" t="str">
        <x:v>ng/g</x:v>
      </x:c>
      <x:c r="Q52" s="46" t="str">
        <x:v>HS-SPME-GC-MS; methyl nonanoate internal standard; source Table 2 CAS + quantitative values</x:v>
      </x:c>
      <x:c r="R52" s="46"/>
      <x:c r="S52" s="46"/>
      <x:c r="T52" s="46" t="str">
        <x:v>partial_no_RI_no_numeric_match_factor</x:v>
      </x:c>
      <x:c r="U52" s="46" t="str">
        <x:v>normal_culinary_evidence</x:v>
      </x:c>
      <x:c r="V52" s="46" t="str">
        <x:v>Source groups under esters; normalized as phosphate ester.</x:v>
      </x:c>
    </x:row>
    <x:row r="53" ht="26.399999618530273" hidden="0" customHeight="1">
      <x:c r="A53" s="46" t="str">
        <x:v>DSH54-052</x:v>
      </x:c>
      <x:c r="B53" s="46" t="str">
        <x:v>crustacean:shrimp</x:v>
      </x:c>
      <x:c r="C53" s="46" t="str">
        <x:v>family:crustacean</x:v>
      </x:c>
      <x:c r="D53" s="46" t="str">
        <x:v>peeled deveined tail-on Litopenaeus vannamei</x:v>
      </x:c>
      <x:c r="E53" s="46" t="str">
        <x:v>raw / sous-vide / steamed</x:v>
      </x:c>
      <x:c r="F53" s="46" t="str">
        <x:v>SRC-SHRIMP-SOUSVIDE-001</x:v>
      </x:c>
      <x:c r="G53" s="46" t="str">
        <x:v>A52</x:v>
      </x:c>
      <x:c r="H53" s="46" t="str">
        <x:v>Other</x:v>
      </x:c>
      <x:c r="I53" s="46" t="str">
        <x:v>Amines</x:v>
      </x:c>
      <x:c r="J53" s="46" t="str">
        <x:v>三甲胺</x:v>
      </x:c>
      <x:c r="K53" s="46" t="str">
        <x:v>Trimethylamine</x:v>
      </x:c>
      <x:c r="L53" s="46" t="str">
        <x:v>75-50-3</x:v>
      </x:c>
      <x:c r="M53" s="46"/>
      <x:c r="N53" s="46" t="n">
        <x:v>3.93</x:v>
      </x:c>
      <x:c r="O53" s="46" t="n">
        <x:v>4.17</x:v>
      </x:c>
      <x:c r="P53" s="46" t="str">
        <x:v>ng/g</x:v>
      </x:c>
      <x:c r="Q53" s="46" t="str">
        <x:v>HS-SPME-GC-MS; methyl nonanoate internal standard; source Table 2 CAS + quantitative values</x:v>
      </x:c>
      <x:c r="R53" s="46"/>
      <x:c r="S53" s="46"/>
      <x:c r="T53" s="46" t="str">
        <x:v>partial_no_RI_no_numeric_match_factor</x:v>
      </x:c>
      <x:c r="U53" s="46" t="str">
        <x:v>quality_offodor_context_MR14</x:v>
      </x:c>
      <x:c r="V53" s="46" t="str">
        <x:v>Direct cooked-state occurrence retained; MR-14 prevents automatic positive pairing promotion from fishy/off-odor evidence.</x:v>
      </x:c>
    </x:row>
    <x:row r="54" ht="26.399999618530273" hidden="0" customHeight="1">
      <x:c r="A54" s="46" t="str">
        <x:v>DSH54-053</x:v>
      </x:c>
      <x:c r="B54" s="46" t="str">
        <x:v>crustacean:shrimp</x:v>
      </x:c>
      <x:c r="C54" s="46" t="str">
        <x:v>family:crustacean</x:v>
      </x:c>
      <x:c r="D54" s="46" t="str">
        <x:v>peeled deveined tail-on Litopenaeus vannamei</x:v>
      </x:c>
      <x:c r="E54" s="46" t="str">
        <x:v>raw / sous-vide / steamed</x:v>
      </x:c>
      <x:c r="F54" s="46" t="str">
        <x:v>SRC-SHRIMP-SOUSVIDE-001</x:v>
      </x:c>
      <x:c r="G54" s="46" t="str">
        <x:v>A53</x:v>
      </x:c>
      <x:c r="H54" s="46" t="str">
        <x:v>Other</x:v>
      </x:c>
      <x:c r="I54" s="46" t="str">
        <x:v>Furans / heterocycles</x:v>
      </x:c>
      <x:c r="J54" s="46" t="str">
        <x:v>2,3-二氢苯并呋喃</x:v>
      </x:c>
      <x:c r="K54" s="46" t="str">
        <x:v>2,3-Dihydrobenzofuran</x:v>
      </x:c>
      <x:c r="L54" s="46" t="str">
        <x:v>496-16-2</x:v>
      </x:c>
      <x:c r="M54" s="46" t="n">
        <x:v>2.3</x:v>
      </x:c>
      <x:c r="N54" s="46" t="n">
        <x:v>0.51</x:v>
      </x:c>
      <x:c r="O54" s="46" t="n">
        <x:v>0.61</x:v>
      </x:c>
      <x:c r="P54" s="46" t="str">
        <x:v>ng/g</x:v>
      </x:c>
      <x:c r="Q54" s="46" t="str">
        <x:v>HS-SPME-GC-MS; methyl nonanoate internal standard; source Table 2 CAS + quantitative values</x:v>
      </x:c>
      <x:c r="R54" s="46"/>
      <x:c r="S54" s="46"/>
      <x:c r="T54" s="46" t="str">
        <x:v>partial_no_RI_no_numeric_match_factor</x:v>
      </x:c>
      <x:c r="U54" s="46" t="str">
        <x:v>normal_culinary_evidence</x:v>
      </x:c>
      <x:c r="V54" s="46" t="str">
        <x:v>RS=raw; SV=sous-vide; ST=conventional steaming. Source group and normalized chemical class are kept separately.</x:v>
      </x:c>
    </x:row>
    <x:row r="55" ht="26.399999618530273" hidden="0" customHeight="1">
      <x:c r="A55" s="46" t="str">
        <x:v>DSH54-054</x:v>
      </x:c>
      <x:c r="B55" s="46" t="str">
        <x:v>crustacean:shrimp</x:v>
      </x:c>
      <x:c r="C55" s="46" t="str">
        <x:v>family:crustacean</x:v>
      </x:c>
      <x:c r="D55" s="46" t="str">
        <x:v>peeled deveined tail-on Litopenaeus vannamei</x:v>
      </x:c>
      <x:c r="E55" s="46" t="str">
        <x:v>raw / sous-vide / steamed</x:v>
      </x:c>
      <x:c r="F55" s="46" t="str">
        <x:v>SRC-SHRIMP-SOUSVIDE-001</x:v>
      </x:c>
      <x:c r="G55" s="46" t="str">
        <x:v>A54</x:v>
      </x:c>
      <x:c r="H55" s="46" t="str">
        <x:v>Other</x:v>
      </x:c>
      <x:c r="I55" s="46" t="str">
        <x:v>Sulfur compounds</x:v>
      </x:c>
      <x:c r="J55" s="46" t="str">
        <x:v>二甲硫基甲烷</x:v>
      </x:c>
      <x:c r="K55" s="46" t="str">
        <x:v>Bis(methylthio)methane</x:v>
      </x:c>
      <x:c r="L55" s="46" t="str">
        <x:v>1618-26-4</x:v>
      </x:c>
      <x:c r="M55" s="46" t="n">
        <x:v>3.62</x:v>
      </x:c>
      <x:c r="N55" s="46" t="n">
        <x:v>0.88</x:v>
      </x:c>
      <x:c r="O55" s="46" t="n">
        <x:v>1.02</x:v>
      </x:c>
      <x:c r="P55" s="46" t="str">
        <x:v>ng/g</x:v>
      </x:c>
      <x:c r="Q55" s="46" t="str">
        <x:v>HS-SPME-GC-MS; methyl nonanoate internal standard; source Table 2 CAS + quantitative values</x:v>
      </x:c>
      <x:c r="R55" s="46"/>
      <x:c r="S55" s="46"/>
      <x:c r="T55" s="46" t="str">
        <x:v>partial_no_RI_no_numeric_match_factor</x:v>
      </x:c>
      <x:c r="U55" s="46" t="str">
        <x:v>normal_culinary_evidence</x:v>
      </x:c>
      <x:c r="V55" s="46" t="str">
        <x:v>RS=raw; SV=sous-vide; ST=conventional steaming. Source group and normalized chemical class are kept separately.</x:v>
      </x:c>
    </x:row>
  </x:sheetData>
  <x:pageMargins left="0.7" right="0.7" top="0.75" bottom="0.75" header="0.3" footer="0.3"/>
  <x:tableParts count="1">
    <x:tablePart xmlns:r="http://schemas.openxmlformats.org/officeDocument/2006/relationships" r:id="R5183fd13fe584a04"/>
  </x:tableParts>
</x:worksheet>
</file>

<file path=xl/worksheets/sheet100.xml><?xml version="1.0" encoding="utf-8"?>
<x:worksheet xmlns:x="http://schemas.openxmlformats.org/spreadsheetml/2006/main">
  <x:sheetFormatPr defaultRowHeight="15"/>
  <x:cols>
    <x:col min="1" max="1" width="14" hidden="0" customWidth="1"/>
    <x:col min="2" max="2" width="18" hidden="0" customWidth="1"/>
    <x:col min="3" max="3" width="32" hidden="0" customWidth="1"/>
    <x:col min="4" max="4" width="34" hidden="0" customWidth="1"/>
    <x:col min="5" max="5" width="66" hidden="0" customWidth="1"/>
    <x:col min="6" max="6" width="38" hidden="0" customWidth="1"/>
    <x:col min="7" max="7" width="72" hidden="0" customWidth="1"/>
    <x:col min="8" max="8" width="82" hidden="0" customWidth="1"/>
    <x:col min="9" max="9" width="72" hidden="0" customWidth="1"/>
    <x:col min="10" max="10" width="22" hidden="0" customWidth="1"/>
    <x:col min="11" max="11" width="76" hidden="0" customWidth="1"/>
  </x:cols>
  <x:sheetData>
    <x:row r="1" ht="15" hidden="0" customHeight="1">
      <x:c r="A1" s="128" t="str">
        <x:v>gap_id</x:v>
      </x:c>
      <x:c r="B1" s="128" t="str">
        <x:v>domain</x:v>
      </x:c>
      <x:c r="C1" s="128" t="str">
        <x:v>target</x:v>
      </x:c>
      <x:c r="D1" s="128" t="str">
        <x:v>preferred_source</x:v>
      </x:c>
      <x:c r="E1" s="128" t="str">
        <x:v>source_table_scope</x:v>
      </x:c>
      <x:c r="F1" s="128" t="str">
        <x:v>acquisition_status</x:v>
      </x:c>
      <x:c r="G1" s="128" t="str">
        <x:v>what_was_retrieved</x:v>
      </x:c>
      <x:c r="H1" s="128" t="str">
        <x:v>why_not_ingested</x:v>
      </x:c>
      <x:c r="I1" s="128" t="str">
        <x:v>current_governed_fallback</x:v>
      </x:c>
      <x:c r="J1" s="128" t="str">
        <x:v>blocks_family_use</x:v>
      </x:c>
      <x:c r="K1" s="128" t="str">
        <x:v>next_action</x:v>
      </x:c>
    </x:row>
    <x:row r="2" ht="26.399999618530273" hidden="0" customHeight="1">
      <x:c r="A2" s="46" t="str">
        <x:v>NGA-001</x:v>
      </x:c>
      <x:c r="B2" s="46" t="str">
        <x:v>dairy</x:v>
      </x:c>
      <x:c r="C2" s="46" t="str">
        <x:v>cream 46-row supplement</x:v>
      </x:c>
      <x:c r="D2" s="46" t="str">
        <x:v>SRC-CREAM-FERMENT-001</x:v>
      </x:c>
      <x:c r="E2" s="46" t="str">
        <x:v>Supplementary Table S2, 46 VOC union across unfermented and LAB-fermented whipping-cream treatments</x:v>
      </x:c>
      <x:c r="F2" s="130" t="str">
        <x:v>supplement_exists_runtime_inaccessible</x:v>
      </x:c>
      <x:c r="G2" s="46" t="str">
        <x:v>Primary article methods, 46-VOC count/class structure, &gt;80% NIST14 match floor, source-discussed named compounds/VIP markers</x:v>
      </x:c>
      <x:c r="H2" s="46" t="str">
        <x:v>The primary article exposes the supplementary DOCX attachment but the current runtime cannot retrieve the row contents safely.</x:v>
      </x:c>
      <x:c r="I2" s="46" t="str">
        <x:v>Dairy Cream Profiles + source-count/method layer + independent 32-VOC sensory/OAV fermentation study</x:v>
      </x:c>
      <x:c r="J2" s="46" t="str">
        <x:v>no</x:v>
      </x:c>
      <x:c r="K2" s="46" t="str">
        <x:v>Reattempt direct supplement acquisition in a future runtime; do not reconstruct 46 rows from narrative.</x:v>
      </x:c>
    </x:row>
    <x:row r="3" ht="26.399999618530273" hidden="0" customHeight="1">
      <x:c r="A3" s="46" t="str">
        <x:v>NGA-002</x:v>
      </x:c>
      <x:c r="B3" s="46" t="str">
        <x:v>shellfish</x:v>
      </x:c>
      <x:c r="C3" s="46" t="str">
        <x:v>shrimp full detected table</x:v>
      </x:c>
      <x:c r="D3" s="46" t="str">
        <x:v>SRC-SHRIMP-SOUSVIDE-001</x:v>
      </x:c>
      <x:c r="E3" s="46" t="str">
        <x:v>54-row GC-MS Table 2 across raw, sous-vide and steamed Litopenaeus vannamei</x:v>
      </x:c>
      <x:c r="F3" s="119" t="str">
        <x:v>CLOSED_FULL_TABLE_v25</x:v>
      </x:c>
      <x:c r="G3" s="46" t="str">
        <x:v>54/54 rows with compound, CAS and quantitative ng/g values across RS/SV/ST</x:v>
      </x:c>
      <x:c r="H3" s="46" t="str">
        <x:v>not applicable</x:v>
      </x:c>
      <x:c r="I3" s="46" t="str">
        <x:v>Detected Shellfish Shrimp 54; Duppeti 86-VOC broader processing/OAV source retained as complementary breadth</x:v>
      </x:c>
      <x:c r="J3" s="46" t="str">
        <x:v>no</x:v>
      </x:c>
      <x:c r="K3" s="46" t="str">
        <x:v>No further shrimp profile-building required unless the 86-row broader processing table becomes directly accessible.</x:v>
      </x:c>
    </x:row>
    <x:row r="4" ht="26.399999618530273" hidden="0" customHeight="1">
      <x:c r="A4" s="46" t="str">
        <x:v>NGA-003</x:v>
      </x:c>
      <x:c r="B4" s="46" t="str">
        <x:v>shellfish</x:v>
      </x:c>
      <x:c r="C4" s="46" t="str">
        <x:v>clam raw→boiled 62 rows</x:v>
      </x:c>
      <x:c r="D4" s="46" t="str">
        <x:v>SRC-CLAM-BOIL-001</x:v>
      </x:c>
      <x:c r="E4" s="46" t="str">
        <x:v>62-VOC HS-GC-IMS raw-to-boiling time-course table</x:v>
      </x:c>
      <x:c r="F4" s="130" t="str">
        <x:v>primary_full_row_table_not_exposed</x:v>
      </x:c>
      <x:c r="G4" s="46" t="str">
        <x:v>62-VOC count; class counts; raw→boiled state interpretation; QDA/PLSR sensory linkage</x:v>
      </x:c>
      <x:c r="H4" s="46" t="str">
        <x:v>Accessible primary surfaces expose study results and class/state summaries but not the exact 62-row analytical table.</x:v>
      </x:c>
      <x:c r="I4" s="46" t="str">
        <x:v>Clam source-count/state/sensory layer in Shellfish Member Coverage and Shellfish Key Compounds</x:v>
      </x:c>
      <x:c r="J4" s="46" t="str">
        <x:v>no</x:v>
      </x:c>
      <x:c r="K4" s="46" t="str">
        <x:v>Acquire exact primary table if source surface later exposes it; do not derive rows from class totals.</x:v>
      </x:c>
    </x:row>
    <x:row r="5" ht="26.399999618530273" hidden="0" customHeight="1">
      <x:c r="A5" s="46" t="str">
        <x:v>NGA-004</x:v>
      </x:c>
      <x:c r="B5" s="46" t="str">
        <x:v>shellfish</x:v>
      </x:c>
      <x:c r="C5" s="46" t="str">
        <x:v>mussel cooked 85 rows</x:v>
      </x:c>
      <x:c r="D5" s="46" t="str">
        <x:v>SRC-MUSSEL-GCO-001</x:v>
      </x:c>
      <x:c r="E5" s="46" t="str">
        <x:v>85 cooked Mytilus edulis volatiles; 33 GC-O active</x:v>
      </x:c>
      <x:c r="F5" s="130" t="str">
        <x:v>primary_full_row_table_not_exposed</x:v>
      </x:c>
      <x:c r="G5" s="46" t="str">
        <x:v>85-VOC breadth, class distribution, 33 GC-O-active odorants, strong MS+RI+standard identification description</x:v>
      </x:c>
      <x:c r="H5" s="46" t="str">
        <x:v>The primary record/abstract surfaces do not expose the complete 85-row table.</x:v>
      </x:c>
      <x:c r="I5" s="46" t="str">
        <x:v>Mussel source-count + GC-O sensory layer</x:v>
      </x:c>
      <x:c r="J5" s="46" t="str">
        <x:v>no</x:v>
      </x:c>
      <x:c r="K5" s="46" t="str">
        <x:v>Retain cooked sensory source; optionally add a modern raw-mussel full table when its supplement is directly retrievable.</x:v>
      </x:c>
    </x:row>
    <x:row r="6" ht="26.399999618530273" hidden="0" customHeight="1">
      <x:c r="A6" s="46" t="str">
        <x:v>NGA-005</x:v>
      </x:c>
      <x:c r="B6" s="46" t="str">
        <x:v>shellfish</x:v>
      </x:c>
      <x:c r="C6" s="46" t="str">
        <x:v>lobster 47 odorants</x:v>
      </x:c>
      <x:c r="D6" s="46" t="str">
        <x:v>SRC-LOBSTER-GCO-001</x:v>
      </x:c>
      <x:c r="E6" s="46" t="str">
        <x:v>47 cooked American-lobster-tail odorants across multiple isolation/headspace techniques</x:v>
      </x:c>
      <x:c r="F6" s="130" t="str">
        <x:v>paywalled_full_table_not_exposed</x:v>
      </x:c>
      <x:c r="G6" s="46" t="str">
        <x:v>47-odorant source count and predominant GC-O/AEDA odorant set</x:v>
      </x:c>
      <x:c r="H6" s="46" t="str">
        <x:v>Full 47-row table is not exposed through accessible primary surfaces.</x:v>
      </x:c>
      <x:c r="I6" s="46" t="str">
        <x:v>Lobster sensory/key layer + separate full crayfish detected-table anchor</x:v>
      </x:c>
      <x:c r="J6" s="46" t="str">
        <x:v>no</x:v>
      </x:c>
      <x:c r="K6" s="46" t="str">
        <x:v>Acquire full lobster table if legitimate primary access becomes available; never inherit crayfish rows into lobster.</x:v>
      </x:c>
    </x:row>
    <x:row r="7" ht="26.399999618530273" hidden="0" customHeight="1">
      <x:c r="A7" s="46" t="str">
        <x:v>NGA-006</x:v>
      </x:c>
      <x:c r="B7" s="46" t="str">
        <x:v>egg</x:v>
      </x:c>
      <x:c r="C7" s="46" t="str">
        <x:v>raw/boiled/fried yolk 68-row Table S2</x:v>
      </x:c>
      <x:c r="D7" s="46" t="str">
        <x:v>SRC-EGG-YOLK-THERMAL-001</x:v>
      </x:c>
      <x:c r="E7" s="46" t="str">
        <x:v>68 VOCs with per-row RT, matching score, reverse matching score, formula and detection method</x:v>
      </x:c>
      <x:c r="F7" s="130" t="str">
        <x:v>re_mining_existing_source_runtime_inaccessible</x:v>
      </x:c>
      <x:c r="G7" s="46" t="str">
        <x:v>68-VOC count; raw/boiled/fried design; key boiled/fried compounds; source screening floor &gt;700/1000; RI methodology</x:v>
      </x:c>
      <x:c r="H7" s="46" t="str">
        <x:v>Supplement exists, but exact Table S2 rows are not retrievable in this runtime. Per-row scores are required because the source-wide floor is below MR-09's ≥80 threshold.</x:v>
      </x:c>
      <x:c r="I7" s="46" t="str">
        <x:v>123-row boiled-yolk full table + direct 68-VOC thermal source-count/key layer</x:v>
      </x:c>
      <x:c r="J7" s="46" t="str">
        <x:v>no</x:v>
      </x:c>
      <x:c r="K7" s="46" t="str">
        <x:v>Re-mine the held Table S2 after the regenerate when directly readable; no new literature discovery is required.</x:v>
      </x:c>
    </x:row>
    <x:row r="8" ht="26.399999618530273" hidden="0" customHeight="1">
      <x:c r="A8" s="46" t="str">
        <x:v>NGA-007</x:v>
      </x:c>
      <x:c r="B8" s="46" t="str">
        <x:v>egg</x:v>
      </x:c>
      <x:c r="C8" s="46" t="str">
        <x:v>modern chicken egg-white row table</x:v>
      </x:c>
      <x:c r="D8" s="46" t="str">
        <x:v>SRC-EGG-WHITE-COOK-001; SRC-EGG-WHITE-PROCESS-001</x:v>
      </x:c>
      <x:c r="E8" s="46" t="str">
        <x:v>Direct raw / steamed / roasted white and fresh-liquid-white processing tables</x:v>
      </x:c>
      <x:c r="F8" s="130" t="str">
        <x:v>re_mining_existing_sources_rows_not_exposed</x:v>
      </x:c>
      <x:c r="G8" s="46" t="str">
        <x:v>~50 raw-white and &gt;70 cooked-white source counts plus 29-VOC fresh-white processing union and modern yolk/white architecture evidence</x:v>
      </x:c>
      <x:c r="H8" s="46" t="str">
        <x:v>Accessible source surfaces do not expose a complete row-level chicken-white table.</x:v>
      </x:c>
      <x:c r="I8" s="46" t="str">
        <x:v>Egg State Evidence + Egg Product Coverage + historical same-study white/yolk/whole comparison</x:v>
      </x:c>
      <x:c r="J8" s="46" t="str">
        <x:v>no</x:v>
      </x:c>
      <x:c r="K8" s="46" t="str">
        <x:v>Re-mine held chicken-white tables after the regenerate if directly accessible; no new literature discovery is required.</x:v>
      </x:c>
    </x:row>
    <x:row r="9">
      <x:c r="A9" s="23" t="str">
        <x:v>NGA-008</x:v>
      </x:c>
      <x:c r="B9" s="23" t="str">
        <x:v>egg</x:v>
      </x:c>
      <x:c r="C9" s="23" t="str">
        <x:v>salted duck-white 43-row table</x:v>
      </x:c>
      <x:c r="D9" s="23" t="str">
        <x:v>SRC-EGG-SALTED-WHITE-001</x:v>
      </x:c>
      <x:c r="E9" s="23" t="str">
        <x:v>43-VOC salted duck-white table; 20 characteristic compounds already governed</x:v>
      </x:c>
      <x:c r="F9" s="23" t="str">
        <x:v>re_mining_existing_source_rows_not_exposed</x:v>
      </x:c>
      <x:c r="G9" s="23" t="str">
        <x:v>43-VOC source count + 20 characteristic compounds + preserved-white state evidence</x:v>
      </x:c>
      <x:c r="H9" s="23" t="str">
        <x:v>Exact full row table has not yet been mined into the workbook.</x:v>
      </x:c>
      <x:c r="I9" s="23" t="str">
        <x:v>Egg State Evidence + Egg Product Coverage preserved-white layer</x:v>
      </x:c>
      <x:c r="J9" s="23" t="str">
        <x:v>no</x:v>
      </x:c>
      <x:c r="K9" s="23" t="str">
        <x:v>Re-mine the held 43-row table after the regenerate if directly accessible; no new literature discovery is required.</x:v>
      </x:c>
    </x:row>
  </x:sheetData>
  <x:pageMargins left="0.7" right="0.7" top="0.75" bottom="0.75" header="0.3" footer="0.3"/>
  <x:tableParts count="1">
    <x:tablePart xmlns:r="http://schemas.openxmlformats.org/officeDocument/2006/relationships" r:id="Rec6364296bfe491a"/>
  </x:tableParts>
</x:worksheet>
</file>

<file path=xl/worksheets/sheet101.xml><?xml version="1.0" encoding="utf-8"?>
<x:worksheet xmlns:x="http://schemas.openxmlformats.org/spreadsheetml/2006/main">
  <x:sheetFormatPr defaultRowHeight="15"/>
  <x:cols>
    <x:col min="1" max="1" width="15" hidden="0" customWidth="1"/>
    <x:col min="2" max="2" width="22" hidden="0" customWidth="1"/>
    <x:col min="3" max="3" width="20" hidden="0" customWidth="1"/>
    <x:col min="4" max="4" width="18" hidden="0" customWidth="1"/>
    <x:col min="5" max="5" width="56" hidden="0" customWidth="1"/>
    <x:col min="6" max="6" width="28" hidden="0" customWidth="1"/>
    <x:col min="7" max="7" width="18" hidden="0" customWidth="1"/>
    <x:col min="8" max="8" width="12" hidden="0" customWidth="1"/>
    <x:col min="9" max="9" width="42" hidden="0" customWidth="1"/>
    <x:col min="10" max="10" width="24" hidden="0" customWidth="1"/>
    <x:col min="11" max="11" width="22" hidden="0" customWidth="1"/>
    <x:col min="12" max="12" width="26"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2" hidden="0" customWidth="1"/>
    <x:col min="22" max="22" width="32" hidden="0" customWidth="1"/>
    <x:col min="23" max="23" width="24" hidden="0" customWidth="1"/>
    <x:col min="24" max="24" width="76" hidden="0" customWidth="1"/>
  </x:cols>
  <x:sheetData>
    <x:row r="1" ht="26.399999618530273" hidden="0" customHeight="1">
      <x:c r="A1" s="275" t="str">
        <x:v>record_id</x:v>
      </x:c>
      <x:c r="B1" s="275" t="str">
        <x:v>product_id</x:v>
      </x:c>
      <x:c r="C1" s="275" t="str">
        <x:v>family_domain</x:v>
      </x:c>
      <x:c r="D1" s="275" t="str">
        <x:v>species</x:v>
      </x:c>
      <x:c r="E1" s="275" t="str">
        <x:v>material/state</x:v>
      </x:c>
      <x:c r="F1" s="275" t="str">
        <x:v>source_id</x:v>
      </x:c>
      <x:c r="G1" s="275" t="str">
        <x:v>source_group</x:v>
      </x:c>
      <x:c r="H1" s="275" t="str">
        <x:v>source_code</x:v>
      </x:c>
      <x:c r="I1" s="275" t="str">
        <x:v>compound_name</x:v>
      </x:c>
      <x:c r="J1" s="275" t="str">
        <x:v>identification_method</x:v>
      </x:c>
      <x:c r="K1" s="275" t="str">
        <x:v>authentic_standard_confirmed</x:v>
      </x:c>
      <x:c r="L1" s="275" t="str">
        <x:v>odor_threshold_ug_kg_source</x:v>
      </x:c>
      <x:c r="M1" s="275" t="str">
        <x:v>FL_male_ug_kg</x:v>
      </x:c>
      <x:c r="N1" s="275" t="str">
        <x:v>FL_female_ug_kg</x:v>
      </x:c>
      <x:c r="O1" s="275" t="str">
        <x:v>HL_male_ug_kg</x:v>
      </x:c>
      <x:c r="P1" s="275" t="str">
        <x:v>HL_female_ug_kg</x:v>
      </x:c>
      <x:c r="Q1" s="275" t="str">
        <x:v>AB_male_ug_kg</x:v>
      </x:c>
      <x:c r="R1" s="275" t="str">
        <x:v>AB_female_ug_kg</x:v>
      </x:c>
      <x:c r="S1" s="275" t="str">
        <x:v>LD_male_ug_kg</x:v>
      </x:c>
      <x:c r="T1" s="275" t="str">
        <x:v>LD_female_ug_kg</x:v>
      </x:c>
      <x:c r="U1" s="275" t="str">
        <x:v>metric</x:v>
      </x:c>
      <x:c r="V1" s="275" t="str">
        <x:v>mr09_status</x:v>
      </x:c>
      <x:c r="W1" s="275" t="str">
        <x:v>evidence_mode</x:v>
      </x:c>
      <x:c r="X1" s="275" t="str">
        <x:v>notes</x:v>
      </x:c>
    </x:row>
    <x:row r="2" ht="26.399999618530273" hidden="0" customHeight="1">
      <x:c r="A2" s="46" t="str">
        <x:v>DGM-RAB-001</x:v>
      </x:c>
      <x:c r="B2" s="46" t="str">
        <x:v>game:rabbit_hyla</x:v>
      </x:c>
      <x:c r="C2" s="46" t="str">
        <x:v>family:game_meat</x:v>
      </x:c>
      <x:c r="D2" s="46" t="str">
        <x:v>Hyla rabbit</x:v>
      </x:c>
      <x:c r="E2" s="46" t="str">
        <x:v>foreleg / hind leg / abdomen / longissimus; 75°C SPME intended to simulate boiled aroma</x:v>
      </x:c>
      <x:c r="F2" s="46" t="str">
        <x:v>SRC-GAME-RABBIT-001</x:v>
      </x:c>
      <x:c r="G2" s="46" t="str">
        <x:v>Aldehydes</x:v>
      </x:c>
      <x:c r="H2" s="46" t="str">
        <x:v>Q1</x:v>
      </x:c>
      <x:c r="I2" s="46" t="str">
        <x:v>Pentanal</x:v>
      </x:c>
      <x:c r="J2" s="46" t="str">
        <x:v>MS,RI</x:v>
      </x:c>
      <x:c r="K2" s="46" t="str">
        <x:v>no</x:v>
      </x:c>
      <x:c r="L2" s="46" t="str">
        <x:v>9</x:v>
      </x:c>
      <x:c r="M2" s="46" t="n">
        <x:v>7.34</x:v>
      </x:c>
      <x:c r="N2" s="46" t="n">
        <x:v>9.81</x:v>
      </x:c>
      <x:c r="O2" s="46" t="n">
        <x:v>3.77</x:v>
      </x:c>
      <x:c r="P2" s="46" t="n">
        <x:v>5.24</x:v>
      </x:c>
      <x:c r="Q2" s="46" t="n">
        <x:v>7.16</x:v>
      </x:c>
      <x:c r="R2" s="46" t="n">
        <x:v>7.17</x:v>
      </x:c>
      <x:c r="S2" s="46" t="n">
        <x:v>5.21</x:v>
      </x:c>
      <x:c r="T2" s="46" t="n">
        <x:v>1.61</x:v>
      </x:c>
      <x:c r="U2" s="46" t="str">
        <x:v>μg/kg</x:v>
      </x:c>
      <x:c r="V2" s="46" t="str">
        <x:v>partial_no_numeric_match_factor</x:v>
      </x:c>
      <x:c r="W2" s="46" t="str">
        <x:v>measured_quantitative</x:v>
      </x:c>
      <x:c r="X2" s="46" t="str">
        <x:v>Source reports mean±SD; governed table stores reported mean concentration. N.D. is stored as blank.</x:v>
      </x:c>
    </x:row>
    <x:row r="3" ht="26.399999618530273" hidden="0" customHeight="1">
      <x:c r="A3" s="46" t="str">
        <x:v>DGM-RAB-002</x:v>
      </x:c>
      <x:c r="B3" s="46" t="str">
        <x:v>game:rabbit_hyla</x:v>
      </x:c>
      <x:c r="C3" s="46" t="str">
        <x:v>family:game_meat</x:v>
      </x:c>
      <x:c r="D3" s="46" t="str">
        <x:v>Hyla rabbit</x:v>
      </x:c>
      <x:c r="E3" s="46" t="str">
        <x:v>foreleg / hind leg / abdomen / longissimus; 75°C SPME intended to simulate boiled aroma</x:v>
      </x:c>
      <x:c r="F3" s="46" t="str">
        <x:v>SRC-GAME-RABBIT-001</x:v>
      </x:c>
      <x:c r="G3" s="46" t="str">
        <x:v>Aldehydes</x:v>
      </x:c>
      <x:c r="H3" s="46" t="str">
        <x:v>Q2</x:v>
      </x:c>
      <x:c r="I3" s="46" t="str">
        <x:v>2-Pentenal</x:v>
      </x:c>
      <x:c r="J3" s="46" t="str">
        <x:v>MS,RI</x:v>
      </x:c>
      <x:c r="K3" s="46" t="str">
        <x:v>no</x:v>
      </x:c>
      <x:c r="L3" s="46" t="str">
        <x:v>1500</x:v>
      </x:c>
      <x:c r="M3" s="46"/>
      <x:c r="N3" s="46"/>
      <x:c r="O3" s="46"/>
      <x:c r="P3" s="46"/>
      <x:c r="Q3" s="46"/>
      <x:c r="R3" s="46" t="n">
        <x:v>0.27</x:v>
      </x:c>
      <x:c r="S3" s="46"/>
      <x:c r="T3" s="46"/>
      <x:c r="U3" s="46" t="str">
        <x:v>μg/kg</x:v>
      </x:c>
      <x:c r="V3" s="46" t="str">
        <x:v>partial_no_numeric_match_factor</x:v>
      </x:c>
      <x:c r="W3" s="46" t="str">
        <x:v>measured_quantitative</x:v>
      </x:c>
      <x:c r="X3" s="46" t="str">
        <x:v>Source reports mean±SD; governed table stores reported mean concentration. N.D. is stored as blank.</x:v>
      </x:c>
    </x:row>
    <x:row r="4" ht="26.399999618530273" hidden="0" customHeight="1">
      <x:c r="A4" s="46" t="str">
        <x:v>DGM-RAB-003</x:v>
      </x:c>
      <x:c r="B4" s="46" t="str">
        <x:v>game:rabbit_hyla</x:v>
      </x:c>
      <x:c r="C4" s="46" t="str">
        <x:v>family:game_meat</x:v>
      </x:c>
      <x:c r="D4" s="46" t="str">
        <x:v>Hyla rabbit</x:v>
      </x:c>
      <x:c r="E4" s="46" t="str">
        <x:v>foreleg / hind leg / abdomen / longissimus; 75°C SPME intended to simulate boiled aroma</x:v>
      </x:c>
      <x:c r="F4" s="46" t="str">
        <x:v>SRC-GAME-RABBIT-001</x:v>
      </x:c>
      <x:c r="G4" s="46" t="str">
        <x:v>Aldehydes</x:v>
      </x:c>
      <x:c r="H4" s="46" t="str">
        <x:v>Q3</x:v>
      </x:c>
      <x:c r="I4" s="46" t="str">
        <x:v>Hexanal</x:v>
      </x:c>
      <x:c r="J4" s="46" t="str">
        <x:v>MS,RI,STD</x:v>
      </x:c>
      <x:c r="K4" s="46" t="str">
        <x:v>yes</x:v>
      </x:c>
      <x:c r="L4" s="46" t="str">
        <x:v>10.5</x:v>
      </x:c>
      <x:c r="M4" s="46" t="n">
        <x:v>22.14</x:v>
      </x:c>
      <x:c r="N4" s="46" t="n">
        <x:v>26.46</x:v>
      </x:c>
      <x:c r="O4" s="46" t="n">
        <x:v>27.79</x:v>
      </x:c>
      <x:c r="P4" s="46" t="n">
        <x:v>24.56</x:v>
      </x:c>
      <x:c r="Q4" s="46" t="n">
        <x:v>29.56</x:v>
      </x:c>
      <x:c r="R4" s="46" t="n">
        <x:v>31.51</x:v>
      </x:c>
      <x:c r="S4" s="46" t="n">
        <x:v>11.51</x:v>
      </x:c>
      <x:c r="T4" s="46" t="n">
        <x:v>5.46</x:v>
      </x:c>
      <x:c r="U4" s="46" t="str">
        <x:v>μg/kg</x:v>
      </x:c>
      <x:c r="V4" s="46" t="str">
        <x:v>partial_no_numeric_match_factor</x:v>
      </x:c>
      <x:c r="W4" s="46" t="str">
        <x:v>measured_quantitative</x:v>
      </x:c>
      <x:c r="X4" s="46" t="str">
        <x:v>Source reports mean±SD; governed table stores reported mean concentration. N.D. is stored as blank.</x:v>
      </x:c>
    </x:row>
    <x:row r="5" ht="26.399999618530273" hidden="0" customHeight="1">
      <x:c r="A5" s="46" t="str">
        <x:v>DGM-RAB-004</x:v>
      </x:c>
      <x:c r="B5" s="46" t="str">
        <x:v>game:rabbit_hyla</x:v>
      </x:c>
      <x:c r="C5" s="46" t="str">
        <x:v>family:game_meat</x:v>
      </x:c>
      <x:c r="D5" s="46" t="str">
        <x:v>Hyla rabbit</x:v>
      </x:c>
      <x:c r="E5" s="46" t="str">
        <x:v>foreleg / hind leg / abdomen / longissimus; 75°C SPME intended to simulate boiled aroma</x:v>
      </x:c>
      <x:c r="F5" s="46" t="str">
        <x:v>SRC-GAME-RABBIT-001</x:v>
      </x:c>
      <x:c r="G5" s="46" t="str">
        <x:v>Aldehydes</x:v>
      </x:c>
      <x:c r="H5" s="46" t="str">
        <x:v>Q4</x:v>
      </x:c>
      <x:c r="I5" s="46" t="str">
        <x:v>2-Hexenal</x:v>
      </x:c>
      <x:c r="J5" s="46" t="str">
        <x:v>MS,RI</x:v>
      </x:c>
      <x:c r="K5" s="46" t="str">
        <x:v>no</x:v>
      </x:c>
      <x:c r="L5" s="46" t="str">
        <x:v>19.2</x:v>
      </x:c>
      <x:c r="M5" s="46"/>
      <x:c r="N5" s="46" t="n">
        <x:v>0.35</x:v>
      </x:c>
      <x:c r="O5" s="46"/>
      <x:c r="P5" s="46"/>
      <x:c r="Q5" s="46"/>
      <x:c r="R5" s="46" t="n">
        <x:v>0.28</x:v>
      </x:c>
      <x:c r="S5" s="46" t="n">
        <x:v>0.57</x:v>
      </x:c>
      <x:c r="T5" s="46"/>
      <x:c r="U5" s="46" t="str">
        <x:v>μg/kg</x:v>
      </x:c>
      <x:c r="V5" s="46" t="str">
        <x:v>partial_no_numeric_match_factor</x:v>
      </x:c>
      <x:c r="W5" s="46" t="str">
        <x:v>measured_quantitative</x:v>
      </x:c>
      <x:c r="X5" s="46" t="str">
        <x:v>Source reports mean±SD; governed table stores reported mean concentration. N.D. is stored as blank.</x:v>
      </x:c>
    </x:row>
    <x:row r="6" ht="26.399999618530273" hidden="0" customHeight="1">
      <x:c r="A6" s="46" t="str">
        <x:v>DGM-RAB-005</x:v>
      </x:c>
      <x:c r="B6" s="46" t="str">
        <x:v>game:rabbit_hyla</x:v>
      </x:c>
      <x:c r="C6" s="46" t="str">
        <x:v>family:game_meat</x:v>
      </x:c>
      <x:c r="D6" s="46" t="str">
        <x:v>Hyla rabbit</x:v>
      </x:c>
      <x:c r="E6" s="46" t="str">
        <x:v>foreleg / hind leg / abdomen / longissimus; 75°C SPME intended to simulate boiled aroma</x:v>
      </x:c>
      <x:c r="F6" s="46" t="str">
        <x:v>SRC-GAME-RABBIT-001</x:v>
      </x:c>
      <x:c r="G6" s="46" t="str">
        <x:v>Aldehydes</x:v>
      </x:c>
      <x:c r="H6" s="46" t="str">
        <x:v>Q5</x:v>
      </x:c>
      <x:c r="I6" s="46" t="str">
        <x:v>Heptanal</x:v>
      </x:c>
      <x:c r="J6" s="46" t="str">
        <x:v>MS,RI,STD</x:v>
      </x:c>
      <x:c r="K6" s="46" t="str">
        <x:v>yes</x:v>
      </x:c>
      <x:c r="L6" s="46" t="str">
        <x:v>3</x:v>
      </x:c>
      <x:c r="M6" s="46" t="n">
        <x:v>1.43</x:v>
      </x:c>
      <x:c r="N6" s="46" t="n">
        <x:v>0.9</x:v>
      </x:c>
      <x:c r="O6" s="46" t="n">
        <x:v>1.84</x:v>
      </x:c>
      <x:c r="P6" s="46" t="n">
        <x:v>0.74</x:v>
      </x:c>
      <x:c r="Q6" s="46" t="n">
        <x:v>1.54</x:v>
      </x:c>
      <x:c r="R6" s="46" t="n">
        <x:v>1.7</x:v>
      </x:c>
      <x:c r="S6" s="46" t="n">
        <x:v>2.4</x:v>
      </x:c>
      <x:c r="T6" s="46" t="n">
        <x:v>0.21</x:v>
      </x:c>
      <x:c r="U6" s="46" t="str">
        <x:v>μg/kg</x:v>
      </x:c>
      <x:c r="V6" s="46" t="str">
        <x:v>partial_no_numeric_match_factor</x:v>
      </x:c>
      <x:c r="W6" s="46" t="str">
        <x:v>measured_quantitative</x:v>
      </x:c>
      <x:c r="X6" s="46" t="str">
        <x:v>Source reports mean±SD; governed table stores reported mean concentration. N.D. is stored as blank.</x:v>
      </x:c>
    </x:row>
    <x:row r="7" ht="26.399999618530273" hidden="0" customHeight="1">
      <x:c r="A7" s="46" t="str">
        <x:v>DGM-RAB-006</x:v>
      </x:c>
      <x:c r="B7" s="46" t="str">
        <x:v>game:rabbit_hyla</x:v>
      </x:c>
      <x:c r="C7" s="46" t="str">
        <x:v>family:game_meat</x:v>
      </x:c>
      <x:c r="D7" s="46" t="str">
        <x:v>Hyla rabbit</x:v>
      </x:c>
      <x:c r="E7" s="46" t="str">
        <x:v>foreleg / hind leg / abdomen / longissimus; 75°C SPME intended to simulate boiled aroma</x:v>
      </x:c>
      <x:c r="F7" s="46" t="str">
        <x:v>SRC-GAME-RABBIT-001</x:v>
      </x:c>
      <x:c r="G7" s="46" t="str">
        <x:v>Aldehydes</x:v>
      </x:c>
      <x:c r="H7" s="46" t="str">
        <x:v>Q6</x:v>
      </x:c>
      <x:c r="I7" s="46" t="str">
        <x:v>2-Heptenal</x:v>
      </x:c>
      <x:c r="J7" s="46" t="str">
        <x:v>MS,RI</x:v>
      </x:c>
      <x:c r="K7" s="46" t="str">
        <x:v>no</x:v>
      </x:c>
      <x:c r="L7" s="46" t="str">
        <x:v>13</x:v>
      </x:c>
      <x:c r="M7" s="46" t="n">
        <x:v>7.39</x:v>
      </x:c>
      <x:c r="N7" s="46" t="n">
        <x:v>4.49</x:v>
      </x:c>
      <x:c r="O7" s="46" t="n">
        <x:v>7.31</x:v>
      </x:c>
      <x:c r="P7" s="46" t="n">
        <x:v>1.45</x:v>
      </x:c>
      <x:c r="Q7" s="46" t="n">
        <x:v>6.21</x:v>
      </x:c>
      <x:c r="R7" s="46" t="n">
        <x:v>5.39</x:v>
      </x:c>
      <x:c r="S7" s="46" t="n">
        <x:v>6.28</x:v>
      </x:c>
      <x:c r="T7" s="46" t="n">
        <x:v>0.35</x:v>
      </x:c>
      <x:c r="U7" s="46" t="str">
        <x:v>μg/kg</x:v>
      </x:c>
      <x:c r="V7" s="46" t="str">
        <x:v>partial_no_numeric_match_factor</x:v>
      </x:c>
      <x:c r="W7" s="46" t="str">
        <x:v>measured_quantitative</x:v>
      </x:c>
      <x:c r="X7" s="46" t="str">
        <x:v>Source reports mean±SD; governed table stores reported mean concentration. N.D. is stored as blank.</x:v>
      </x:c>
    </x:row>
    <x:row r="8" ht="26.399999618530273" hidden="0" customHeight="1">
      <x:c r="A8" s="46" t="str">
        <x:v>DGM-RAB-007</x:v>
      </x:c>
      <x:c r="B8" s="46" t="str">
        <x:v>game:rabbit_hyla</x:v>
      </x:c>
      <x:c r="C8" s="46" t="str">
        <x:v>family:game_meat</x:v>
      </x:c>
      <x:c r="D8" s="46" t="str">
        <x:v>Hyla rabbit</x:v>
      </x:c>
      <x:c r="E8" s="46" t="str">
        <x:v>foreleg / hind leg / abdomen / longissimus; 75°C SPME intended to simulate boiled aroma</x:v>
      </x:c>
      <x:c r="F8" s="46" t="str">
        <x:v>SRC-GAME-RABBIT-001</x:v>
      </x:c>
      <x:c r="G8" s="46" t="str">
        <x:v>Aldehydes</x:v>
      </x:c>
      <x:c r="H8" s="46" t="str">
        <x:v>Q7</x:v>
      </x:c>
      <x:c r="I8" s="46" t="str">
        <x:v>2,4-Heptadienal</x:v>
      </x:c>
      <x:c r="J8" s="46" t="str">
        <x:v>MS,RI</x:v>
      </x:c>
      <x:c r="K8" s="46" t="str">
        <x:v>no</x:v>
      </x:c>
      <x:c r="L8" s="46" t="str">
        <x:v>15.4</x:v>
      </x:c>
      <x:c r="M8" s="46" t="n">
        <x:v>0.68</x:v>
      </x:c>
      <x:c r="N8" s="46"/>
      <x:c r="O8" s="46" t="n">
        <x:v>0.86</x:v>
      </x:c>
      <x:c r="P8" s="46"/>
      <x:c r="Q8" s="46" t="n">
        <x:v>0.59</x:v>
      </x:c>
      <x:c r="R8" s="46" t="n">
        <x:v>0.48</x:v>
      </x:c>
      <x:c r="S8" s="46"/>
      <x:c r="T8" s="46"/>
      <x:c r="U8" s="46" t="str">
        <x:v>μg/kg</x:v>
      </x:c>
      <x:c r="V8" s="46" t="str">
        <x:v>partial_no_numeric_match_factor</x:v>
      </x:c>
      <x:c r="W8" s="46" t="str">
        <x:v>measured_quantitative</x:v>
      </x:c>
      <x:c r="X8" s="46" t="str">
        <x:v>Source reports mean±SD; governed table stores reported mean concentration. N.D. is stored as blank.</x:v>
      </x:c>
    </x:row>
    <x:row r="9" ht="26.399999618530273" hidden="0" customHeight="1">
      <x:c r="A9" s="46" t="str">
        <x:v>DGM-RAB-008</x:v>
      </x:c>
      <x:c r="B9" s="46" t="str">
        <x:v>game:rabbit_hyla</x:v>
      </x:c>
      <x:c r="C9" s="46" t="str">
        <x:v>family:game_meat</x:v>
      </x:c>
      <x:c r="D9" s="46" t="str">
        <x:v>Hyla rabbit</x:v>
      </x:c>
      <x:c r="E9" s="46" t="str">
        <x:v>foreleg / hind leg / abdomen / longissimus; 75°C SPME intended to simulate boiled aroma</x:v>
      </x:c>
      <x:c r="F9" s="46" t="str">
        <x:v>SRC-GAME-RABBIT-001</x:v>
      </x:c>
      <x:c r="G9" s="46" t="str">
        <x:v>Aldehydes</x:v>
      </x:c>
      <x:c r="H9" s="46" t="str">
        <x:v>Q8</x:v>
      </x:c>
      <x:c r="I9" s="46" t="str">
        <x:v>Octanal</x:v>
      </x:c>
      <x:c r="J9" s="46" t="str">
        <x:v>MS,RI,STD</x:v>
      </x:c>
      <x:c r="K9" s="46" t="str">
        <x:v>yes</x:v>
      </x:c>
      <x:c r="L9" s="46" t="str">
        <x:v>0.7</x:v>
      </x:c>
      <x:c r="M9" s="46" t="n">
        <x:v>0.97</x:v>
      </x:c>
      <x:c r="N9" s="46" t="n">
        <x:v>1.06</x:v>
      </x:c>
      <x:c r="O9" s="46" t="n">
        <x:v>1.5</x:v>
      </x:c>
      <x:c r="P9" s="46" t="n">
        <x:v>1.27</x:v>
      </x:c>
      <x:c r="Q9" s="46" t="n">
        <x:v>1.5</x:v>
      </x:c>
      <x:c r="R9" s="46" t="n">
        <x:v>1.9</x:v>
      </x:c>
      <x:c r="S9" s="46" t="n">
        <x:v>1.17</x:v>
      </x:c>
      <x:c r="T9" s="46" t="n">
        <x:v>0.71</x:v>
      </x:c>
      <x:c r="U9" s="46" t="str">
        <x:v>μg/kg</x:v>
      </x:c>
      <x:c r="V9" s="46" t="str">
        <x:v>partial_no_numeric_match_factor</x:v>
      </x:c>
      <x:c r="W9" s="46" t="str">
        <x:v>measured_quantitative</x:v>
      </x:c>
      <x:c r="X9" s="46" t="str">
        <x:v>Source reports mean±SD; governed table stores reported mean concentration. N.D. is stored as blank.</x:v>
      </x:c>
    </x:row>
    <x:row r="10" ht="26.399999618530273" hidden="0" customHeight="1">
      <x:c r="A10" s="46" t="str">
        <x:v>DGM-RAB-009</x:v>
      </x:c>
      <x:c r="B10" s="46" t="str">
        <x:v>game:rabbit_hyla</x:v>
      </x:c>
      <x:c r="C10" s="46" t="str">
        <x:v>family:game_meat</x:v>
      </x:c>
      <x:c r="D10" s="46" t="str">
        <x:v>Hyla rabbit</x:v>
      </x:c>
      <x:c r="E10" s="46" t="str">
        <x:v>foreleg / hind leg / abdomen / longissimus; 75°C SPME intended to simulate boiled aroma</x:v>
      </x:c>
      <x:c r="F10" s="46" t="str">
        <x:v>SRC-GAME-RABBIT-001</x:v>
      </x:c>
      <x:c r="G10" s="46" t="str">
        <x:v>Aldehydes</x:v>
      </x:c>
      <x:c r="H10" s="46" t="str">
        <x:v>Q9</x:v>
      </x:c>
      <x:c r="I10" s="46" t="str">
        <x:v>2-Octenal</x:v>
      </x:c>
      <x:c r="J10" s="46" t="str">
        <x:v>MS,RI</x:v>
      </x:c>
      <x:c r="K10" s="46" t="str">
        <x:v>no</x:v>
      </x:c>
      <x:c r="L10" s="46" t="str">
        <x:v>3</x:v>
      </x:c>
      <x:c r="M10" s="46" t="n">
        <x:v>1.29</x:v>
      </x:c>
      <x:c r="N10" s="46" t="n">
        <x:v>0.77</x:v>
      </x:c>
      <x:c r="O10" s="46" t="n">
        <x:v>1.53</x:v>
      </x:c>
      <x:c r="P10" s="46" t="n">
        <x:v>0.47</x:v>
      </x:c>
      <x:c r="Q10" s="46" t="n">
        <x:v>1.25</x:v>
      </x:c>
      <x:c r="R10" s="46" t="n">
        <x:v>1.1</x:v>
      </x:c>
      <x:c r="S10" s="46" t="n">
        <x:v>2.65</x:v>
      </x:c>
      <x:c r="T10" s="46" t="n">
        <x:v>0.14</x:v>
      </x:c>
      <x:c r="U10" s="46" t="str">
        <x:v>μg/kg</x:v>
      </x:c>
      <x:c r="V10" s="46" t="str">
        <x:v>partial_no_numeric_match_factor</x:v>
      </x:c>
      <x:c r="W10" s="46" t="str">
        <x:v>measured_quantitative</x:v>
      </x:c>
      <x:c r="X10" s="46" t="str">
        <x:v>Source reports mean±SD; governed table stores reported mean concentration. N.D. is stored as blank.</x:v>
      </x:c>
    </x:row>
    <x:row r="11" ht="26.399999618530273" hidden="0" customHeight="1">
      <x:c r="A11" s="46" t="str">
        <x:v>DGM-RAB-010</x:v>
      </x:c>
      <x:c r="B11" s="46" t="str">
        <x:v>game:rabbit_hyla</x:v>
      </x:c>
      <x:c r="C11" s="46" t="str">
        <x:v>family:game_meat</x:v>
      </x:c>
      <x:c r="D11" s="46" t="str">
        <x:v>Hyla rabbit</x:v>
      </x:c>
      <x:c r="E11" s="46" t="str">
        <x:v>foreleg / hind leg / abdomen / longissimus; 75°C SPME intended to simulate boiled aroma</x:v>
      </x:c>
      <x:c r="F11" s="46" t="str">
        <x:v>SRC-GAME-RABBIT-001</x:v>
      </x:c>
      <x:c r="G11" s="46" t="str">
        <x:v>Aldehydes</x:v>
      </x:c>
      <x:c r="H11" s="46" t="str">
        <x:v>Q10</x:v>
      </x:c>
      <x:c r="I11" s="46" t="str">
        <x:v>Nonanal</x:v>
      </x:c>
      <x:c r="J11" s="46" t="str">
        <x:v>MS,RI,STD</x:v>
      </x:c>
      <x:c r="K11" s="46" t="str">
        <x:v>yes</x:v>
      </x:c>
      <x:c r="L11" s="46" t="str">
        <x:v>1</x:v>
      </x:c>
      <x:c r="M11" s="46" t="n">
        <x:v>1.4</x:v>
      </x:c>
      <x:c r="N11" s="46" t="n">
        <x:v>1.2</x:v>
      </x:c>
      <x:c r="O11" s="46" t="n">
        <x:v>2.16</x:v>
      </x:c>
      <x:c r="P11" s="46" t="n">
        <x:v>3.61</x:v>
      </x:c>
      <x:c r="Q11" s="46" t="n">
        <x:v>3.04</x:v>
      </x:c>
      <x:c r="R11" s="46" t="n">
        <x:v>2.64</x:v>
      </x:c>
      <x:c r="S11" s="46" t="n">
        <x:v>2.79</x:v>
      </x:c>
      <x:c r="T11" s="46" t="n">
        <x:v>2.94</x:v>
      </x:c>
      <x:c r="U11" s="46" t="str">
        <x:v>μg/kg</x:v>
      </x:c>
      <x:c r="V11" s="46" t="str">
        <x:v>partial_no_numeric_match_factor</x:v>
      </x:c>
      <x:c r="W11" s="46" t="str">
        <x:v>measured_quantitative</x:v>
      </x:c>
      <x:c r="X11" s="46" t="str">
        <x:v>Source reports mean±SD; governed table stores reported mean concentration. N.D. is stored as blank.</x:v>
      </x:c>
    </x:row>
    <x:row r="12" ht="26.399999618530273" hidden="0" customHeight="1">
      <x:c r="A12" s="46" t="str">
        <x:v>DGM-RAB-011</x:v>
      </x:c>
      <x:c r="B12" s="46" t="str">
        <x:v>game:rabbit_hyla</x:v>
      </x:c>
      <x:c r="C12" s="46" t="str">
        <x:v>family:game_meat</x:v>
      </x:c>
      <x:c r="D12" s="46" t="str">
        <x:v>Hyla rabbit</x:v>
      </x:c>
      <x:c r="E12" s="46" t="str">
        <x:v>foreleg / hind leg / abdomen / longissimus; 75°C SPME intended to simulate boiled aroma</x:v>
      </x:c>
      <x:c r="F12" s="46" t="str">
        <x:v>SRC-GAME-RABBIT-001</x:v>
      </x:c>
      <x:c r="G12" s="46" t="str">
        <x:v>Aldehydes</x:v>
      </x:c>
      <x:c r="H12" s="46" t="str">
        <x:v>Q11</x:v>
      </x:c>
      <x:c r="I12" s="46" t="str">
        <x:v>2-Nonenal</x:v>
      </x:c>
      <x:c r="J12" s="46" t="str">
        <x:v>MS,RI</x:v>
      </x:c>
      <x:c r="K12" s="46" t="str">
        <x:v>no</x:v>
      </x:c>
      <x:c r="L12" s="46" t="str">
        <x:v>0.08</x:v>
      </x:c>
      <x:c r="M12" s="46" t="n">
        <x:v>0.45</x:v>
      </x:c>
      <x:c r="N12" s="46" t="n">
        <x:v>0.18</x:v>
      </x:c>
      <x:c r="O12" s="46" t="n">
        <x:v>0.5</x:v>
      </x:c>
      <x:c r="P12" s="46" t="n">
        <x:v>0.27</x:v>
      </x:c>
      <x:c r="Q12" s="46" t="n">
        <x:v>0.68</x:v>
      </x:c>
      <x:c r="R12" s="46" t="n">
        <x:v>0.08</x:v>
      </x:c>
      <x:c r="S12" s="46" t="n">
        <x:v>1.27</x:v>
      </x:c>
      <x:c r="T12" s="46" t="n">
        <x:v>0.13</x:v>
      </x:c>
      <x:c r="U12" s="46" t="str">
        <x:v>μg/kg</x:v>
      </x:c>
      <x:c r="V12" s="46" t="str">
        <x:v>partial_no_numeric_match_factor</x:v>
      </x:c>
      <x:c r="W12" s="46" t="str">
        <x:v>measured_quantitative</x:v>
      </x:c>
      <x:c r="X12" s="46" t="str">
        <x:v>Source reports mean±SD; governed table stores reported mean concentration. N.D. is stored as blank.</x:v>
      </x:c>
    </x:row>
    <x:row r="13" ht="26.399999618530273" hidden="0" customHeight="1">
      <x:c r="A13" s="46" t="str">
        <x:v>DGM-RAB-012</x:v>
      </x:c>
      <x:c r="B13" s="46" t="str">
        <x:v>game:rabbit_hyla</x:v>
      </x:c>
      <x:c r="C13" s="46" t="str">
        <x:v>family:game_meat</x:v>
      </x:c>
      <x:c r="D13" s="46" t="str">
        <x:v>Hyla rabbit</x:v>
      </x:c>
      <x:c r="E13" s="46" t="str">
        <x:v>foreleg / hind leg / abdomen / longissimus; 75°C SPME intended to simulate boiled aroma</x:v>
      </x:c>
      <x:c r="F13" s="46" t="str">
        <x:v>SRC-GAME-RABBIT-001</x:v>
      </x:c>
      <x:c r="G13" s="46" t="str">
        <x:v>Aldehydes</x:v>
      </x:c>
      <x:c r="H13" s="46" t="str">
        <x:v>Q12</x:v>
      </x:c>
      <x:c r="I13" s="46" t="str">
        <x:v>2,4-Nonadienal</x:v>
      </x:c>
      <x:c r="J13" s="46" t="str">
        <x:v>MS,RI</x:v>
      </x:c>
      <x:c r="K13" s="46" t="str">
        <x:v>no</x:v>
      </x:c>
      <x:c r="L13" s="46" t="str">
        <x:v>0.06</x:v>
      </x:c>
      <x:c r="M13" s="46" t="n">
        <x:v>0.27</x:v>
      </x:c>
      <x:c r="N13" s="46" t="n">
        <x:v>0.14</x:v>
      </x:c>
      <x:c r="O13" s="46" t="n">
        <x:v>0.14</x:v>
      </x:c>
      <x:c r="P13" s="46" t="n">
        <x:v>0.12</x:v>
      </x:c>
      <x:c r="Q13" s="46"/>
      <x:c r="R13" s="46" t="n">
        <x:v>0.25</x:v>
      </x:c>
      <x:c r="S13" s="46"/>
      <x:c r="T13" s="46"/>
      <x:c r="U13" s="46" t="str">
        <x:v>μg/kg</x:v>
      </x:c>
      <x:c r="V13" s="46" t="str">
        <x:v>partial_no_numeric_match_factor</x:v>
      </x:c>
      <x:c r="W13" s="46" t="str">
        <x:v>measured_quantitative</x:v>
      </x:c>
      <x:c r="X13" s="46" t="str">
        <x:v>Source reports mean±SD; governed table stores reported mean concentration. N.D. is stored as blank.</x:v>
      </x:c>
    </x:row>
    <x:row r="14" ht="26.399999618530273" hidden="0" customHeight="1">
      <x:c r="A14" s="46" t="str">
        <x:v>DGM-RAB-013</x:v>
      </x:c>
      <x:c r="B14" s="46" t="str">
        <x:v>game:rabbit_hyla</x:v>
      </x:c>
      <x:c r="C14" s="46" t="str">
        <x:v>family:game_meat</x:v>
      </x:c>
      <x:c r="D14" s="46" t="str">
        <x:v>Hyla rabbit</x:v>
      </x:c>
      <x:c r="E14" s="46" t="str">
        <x:v>foreleg / hind leg / abdomen / longissimus; 75°C SPME intended to simulate boiled aroma</x:v>
      </x:c>
      <x:c r="F14" s="46" t="str">
        <x:v>SRC-GAME-RABBIT-001</x:v>
      </x:c>
      <x:c r="G14" s="46" t="str">
        <x:v>Aldehydes</x:v>
      </x:c>
      <x:c r="H14" s="46" t="str">
        <x:v>Q13</x:v>
      </x:c>
      <x:c r="I14" s="46" t="str">
        <x:v>2-Decenal</x:v>
      </x:c>
      <x:c r="J14" s="46" t="str">
        <x:v>MS,RI</x:v>
      </x:c>
      <x:c r="K14" s="46" t="str">
        <x:v>no</x:v>
      </x:c>
      <x:c r="L14" s="46" t="str">
        <x:v>0.4</x:v>
      </x:c>
      <x:c r="M14" s="46" t="n">
        <x:v>0.57</x:v>
      </x:c>
      <x:c r="N14" s="46" t="n">
        <x:v>0.3</x:v>
      </x:c>
      <x:c r="O14" s="46" t="n">
        <x:v>0.73</x:v>
      </x:c>
      <x:c r="P14" s="46" t="n">
        <x:v>0.31</x:v>
      </x:c>
      <x:c r="Q14" s="46" t="n">
        <x:v>0.75</x:v>
      </x:c>
      <x:c r="R14" s="46" t="n">
        <x:v>0.5</x:v>
      </x:c>
      <x:c r="S14" s="46" t="n">
        <x:v>2.76</x:v>
      </x:c>
      <x:c r="T14" s="46" t="n">
        <x:v>1.23</x:v>
      </x:c>
      <x:c r="U14" s="46" t="str">
        <x:v>μg/kg</x:v>
      </x:c>
      <x:c r="V14" s="46" t="str">
        <x:v>partial_no_numeric_match_factor</x:v>
      </x:c>
      <x:c r="W14" s="46" t="str">
        <x:v>measured_quantitative</x:v>
      </x:c>
      <x:c r="X14" s="46" t="str">
        <x:v>Source reports mean±SD; governed table stores reported mean concentration. N.D. is stored as blank.</x:v>
      </x:c>
    </x:row>
    <x:row r="15" ht="26.399999618530273" hidden="0" customHeight="1">
      <x:c r="A15" s="46" t="str">
        <x:v>DGM-RAB-014</x:v>
      </x:c>
      <x:c r="B15" s="46" t="str">
        <x:v>game:rabbit_hyla</x:v>
      </x:c>
      <x:c r="C15" s="46" t="str">
        <x:v>family:game_meat</x:v>
      </x:c>
      <x:c r="D15" s="46" t="str">
        <x:v>Hyla rabbit</x:v>
      </x:c>
      <x:c r="E15" s="46" t="str">
        <x:v>foreleg / hind leg / abdomen / longissimus; 75°C SPME intended to simulate boiled aroma</x:v>
      </x:c>
      <x:c r="F15" s="46" t="str">
        <x:v>SRC-GAME-RABBIT-001</x:v>
      </x:c>
      <x:c r="G15" s="46" t="str">
        <x:v>Aldehydes</x:v>
      </x:c>
      <x:c r="H15" s="46" t="str">
        <x:v>Q14</x:v>
      </x:c>
      <x:c r="I15" s="46" t="str">
        <x:v>2,4-Decadienal</x:v>
      </x:c>
      <x:c r="J15" s="46" t="str">
        <x:v>MS,RI,STD</x:v>
      </x:c>
      <x:c r="K15" s="46" t="str">
        <x:v>yes</x:v>
      </x:c>
      <x:c r="L15" s="46" t="str">
        <x:v>0.07</x:v>
      </x:c>
      <x:c r="M15" s="46" t="n">
        <x:v>0.82</x:v>
      </x:c>
      <x:c r="N15" s="46" t="n">
        <x:v>1.36</x:v>
      </x:c>
      <x:c r="O15" s="46" t="n">
        <x:v>2.23</x:v>
      </x:c>
      <x:c r="P15" s="46" t="n">
        <x:v>1.79</x:v>
      </x:c>
      <x:c r="Q15" s="46" t="n">
        <x:v>0.59</x:v>
      </x:c>
      <x:c r="R15" s="46" t="n">
        <x:v>0.75</x:v>
      </x:c>
      <x:c r="S15" s="46" t="n">
        <x:v>0.23</x:v>
      </x:c>
      <x:c r="T15" s="46" t="n">
        <x:v>0.37</x:v>
      </x:c>
      <x:c r="U15" s="46" t="str">
        <x:v>μg/kg</x:v>
      </x:c>
      <x:c r="V15" s="46" t="str">
        <x:v>partial_no_numeric_match_factor</x:v>
      </x:c>
      <x:c r="W15" s="46" t="str">
        <x:v>measured_quantitative</x:v>
      </x:c>
      <x:c r="X15" s="46" t="str">
        <x:v>Source reports mean±SD; governed table stores reported mean concentration. N.D. is stored as blank.</x:v>
      </x:c>
    </x:row>
    <x:row r="16" ht="26.399999618530273" hidden="0" customHeight="1">
      <x:c r="A16" s="46" t="str">
        <x:v>DGM-RAB-015</x:v>
      </x:c>
      <x:c r="B16" s="46" t="str">
        <x:v>game:rabbit_hyla</x:v>
      </x:c>
      <x:c r="C16" s="46" t="str">
        <x:v>family:game_meat</x:v>
      </x:c>
      <x:c r="D16" s="46" t="str">
        <x:v>Hyla rabbit</x:v>
      </x:c>
      <x:c r="E16" s="46" t="str">
        <x:v>foreleg / hind leg / abdomen / longissimus; 75°C SPME intended to simulate boiled aroma</x:v>
      </x:c>
      <x:c r="F16" s="46" t="str">
        <x:v>SRC-GAME-RABBIT-001</x:v>
      </x:c>
      <x:c r="G16" s="46" t="str">
        <x:v>Aldehydes</x:v>
      </x:c>
      <x:c r="H16" s="46" t="str">
        <x:v>Q15</x:v>
      </x:c>
      <x:c r="I16" s="46" t="str">
        <x:v>Decanal</x:v>
      </x:c>
      <x:c r="J16" s="46" t="str">
        <x:v>MS,RI</x:v>
      </x:c>
      <x:c r="K16" s="46" t="str">
        <x:v>no</x:v>
      </x:c>
      <x:c r="L16" s="46" t="str">
        <x:v>0.1</x:v>
      </x:c>
      <x:c r="M16" s="46"/>
      <x:c r="N16" s="46"/>
      <x:c r="O16" s="46"/>
      <x:c r="P16" s="46"/>
      <x:c r="Q16" s="46"/>
      <x:c r="R16" s="46" t="n">
        <x:v>0.75</x:v>
      </x:c>
      <x:c r="S16" s="46" t="n">
        <x:v>7.77</x:v>
      </x:c>
      <x:c r="T16" s="46" t="n">
        <x:v>1.11</x:v>
      </x:c>
      <x:c r="U16" s="46" t="str">
        <x:v>μg/kg</x:v>
      </x:c>
      <x:c r="V16" s="46" t="str">
        <x:v>partial_no_numeric_match_factor</x:v>
      </x:c>
      <x:c r="W16" s="46" t="str">
        <x:v>measured_quantitative</x:v>
      </x:c>
      <x:c r="X16" s="46" t="str">
        <x:v>Source reports mean±SD; governed table stores reported mean concentration. N.D. is stored as blank.</x:v>
      </x:c>
    </x:row>
    <x:row r="17" ht="26.399999618530273" hidden="0" customHeight="1">
      <x:c r="A17" s="46" t="str">
        <x:v>DGM-RAB-016</x:v>
      </x:c>
      <x:c r="B17" s="46" t="str">
        <x:v>game:rabbit_hyla</x:v>
      </x:c>
      <x:c r="C17" s="46" t="str">
        <x:v>family:game_meat</x:v>
      </x:c>
      <x:c r="D17" s="46" t="str">
        <x:v>Hyla rabbit</x:v>
      </x:c>
      <x:c r="E17" s="46" t="str">
        <x:v>foreleg / hind leg / abdomen / longissimus; 75°C SPME intended to simulate boiled aroma</x:v>
      </x:c>
      <x:c r="F17" s="46" t="str">
        <x:v>SRC-GAME-RABBIT-001</x:v>
      </x:c>
      <x:c r="G17" s="46" t="str">
        <x:v>Aldehydes</x:v>
      </x:c>
      <x:c r="H17" s="46" t="str">
        <x:v>Q16</x:v>
      </x:c>
      <x:c r="I17" s="46" t="str">
        <x:v>Undecanal</x:v>
      </x:c>
      <x:c r="J17" s="46" t="str">
        <x:v>MS,RI</x:v>
      </x:c>
      <x:c r="K17" s="46" t="str">
        <x:v>no</x:v>
      </x:c>
      <x:c r="L17" s="46" t="str">
        <x:v>5</x:v>
      </x:c>
      <x:c r="M17" s="46" t="n">
        <x:v>0.09</x:v>
      </x:c>
      <x:c r="N17" s="46" t="n">
        <x:v>0.1</x:v>
      </x:c>
      <x:c r="O17" s="46" t="n">
        <x:v>0.21</x:v>
      </x:c>
      <x:c r="P17" s="46" t="n">
        <x:v>0.27</x:v>
      </x:c>
      <x:c r="Q17" s="46" t="n">
        <x:v>0.18</x:v>
      </x:c>
      <x:c r="R17" s="46" t="n">
        <x:v>0.14</x:v>
      </x:c>
      <x:c r="S17" s="46" t="n">
        <x:v>0.91</x:v>
      </x:c>
      <x:c r="T17" s="46" t="n">
        <x:v>0.89</x:v>
      </x:c>
      <x:c r="U17" s="46" t="str">
        <x:v>μg/kg</x:v>
      </x:c>
      <x:c r="V17" s="46" t="str">
        <x:v>partial_no_numeric_match_factor</x:v>
      </x:c>
      <x:c r="W17" s="46" t="str">
        <x:v>measured_quantitative</x:v>
      </x:c>
      <x:c r="X17" s="46" t="str">
        <x:v>Source reports mean±SD; governed table stores reported mean concentration. N.D. is stored as blank.</x:v>
      </x:c>
    </x:row>
    <x:row r="18" ht="26.399999618530273" hidden="0" customHeight="1">
      <x:c r="A18" s="46" t="str">
        <x:v>DGM-RAB-017</x:v>
      </x:c>
      <x:c r="B18" s="46" t="str">
        <x:v>game:rabbit_hyla</x:v>
      </x:c>
      <x:c r="C18" s="46" t="str">
        <x:v>family:game_meat</x:v>
      </x:c>
      <x:c r="D18" s="46" t="str">
        <x:v>Hyla rabbit</x:v>
      </x:c>
      <x:c r="E18" s="46" t="str">
        <x:v>foreleg / hind leg / abdomen / longissimus; 75°C SPME intended to simulate boiled aroma</x:v>
      </x:c>
      <x:c r="F18" s="46" t="str">
        <x:v>SRC-GAME-RABBIT-001</x:v>
      </x:c>
      <x:c r="G18" s="46" t="str">
        <x:v>Aldehydes</x:v>
      </x:c>
      <x:c r="H18" s="46" t="str">
        <x:v>Q17</x:v>
      </x:c>
      <x:c r="I18" s="46" t="str">
        <x:v>2-Undecenal</x:v>
      </x:c>
      <x:c r="J18" s="46" t="str">
        <x:v>MS,RI</x:v>
      </x:c>
      <x:c r="K18" s="46" t="str">
        <x:v>no</x:v>
      </x:c>
      <x:c r="L18" s="46" t="str">
        <x:v>3.16</x:v>
      </x:c>
      <x:c r="M18" s="46" t="n">
        <x:v>0.59</x:v>
      </x:c>
      <x:c r="N18" s="46" t="n">
        <x:v>0.21</x:v>
      </x:c>
      <x:c r="O18" s="46"/>
      <x:c r="P18" s="46" t="n">
        <x:v>0.29</x:v>
      </x:c>
      <x:c r="Q18" s="46" t="n">
        <x:v>0.93</x:v>
      </x:c>
      <x:c r="R18" s="46" t="n">
        <x:v>0.44</x:v>
      </x:c>
      <x:c r="S18" s="46" t="n">
        <x:v>2.67</x:v>
      </x:c>
      <x:c r="T18" s="46"/>
      <x:c r="U18" s="46" t="str">
        <x:v>μg/kg</x:v>
      </x:c>
      <x:c r="V18" s="46" t="str">
        <x:v>partial_no_numeric_match_factor</x:v>
      </x:c>
      <x:c r="W18" s="46" t="str">
        <x:v>measured_quantitative</x:v>
      </x:c>
      <x:c r="X18" s="46" t="str">
        <x:v>Source reports mean±SD; governed table stores reported mean concentration. N.D. is stored as blank.</x:v>
      </x:c>
    </x:row>
    <x:row r="19" ht="26.399999618530273" hidden="0" customHeight="1">
      <x:c r="A19" s="46" t="str">
        <x:v>DGM-RAB-018</x:v>
      </x:c>
      <x:c r="B19" s="46" t="str">
        <x:v>game:rabbit_hyla</x:v>
      </x:c>
      <x:c r="C19" s="46" t="str">
        <x:v>family:game_meat</x:v>
      </x:c>
      <x:c r="D19" s="46" t="str">
        <x:v>Hyla rabbit</x:v>
      </x:c>
      <x:c r="E19" s="46" t="str">
        <x:v>foreleg / hind leg / abdomen / longissimus; 75°C SPME intended to simulate boiled aroma</x:v>
      </x:c>
      <x:c r="F19" s="46" t="str">
        <x:v>SRC-GAME-RABBIT-001</x:v>
      </x:c>
      <x:c r="G19" s="46" t="str">
        <x:v>Aldehydes</x:v>
      </x:c>
      <x:c r="H19" s="46" t="str">
        <x:v>Q18</x:v>
      </x:c>
      <x:c r="I19" s="46" t="str">
        <x:v>Dodecanal</x:v>
      </x:c>
      <x:c r="J19" s="46" t="str">
        <x:v>MS,RI</x:v>
      </x:c>
      <x:c r="K19" s="46" t="str">
        <x:v>no</x:v>
      </x:c>
      <x:c r="L19" s="46"/>
      <x:c r="M19" s="46" t="n">
        <x:v>0.2</x:v>
      </x:c>
      <x:c r="N19" s="46" t="n">
        <x:v>0.21</x:v>
      </x:c>
      <x:c r="O19" s="46"/>
      <x:c r="P19" s="46"/>
      <x:c r="Q19" s="46" t="n">
        <x:v>0.52</x:v>
      </x:c>
      <x:c r="R19" s="46" t="n">
        <x:v>0.12</x:v>
      </x:c>
      <x:c r="S19" s="46" t="n">
        <x:v>0.84</x:v>
      </x:c>
      <x:c r="T19" s="46" t="n">
        <x:v>0.45</x:v>
      </x:c>
      <x:c r="U19" s="46" t="str">
        <x:v>μg/kg</x:v>
      </x:c>
      <x:c r="V19" s="46" t="str">
        <x:v>partial_no_numeric_match_factor</x:v>
      </x:c>
      <x:c r="W19" s="46" t="str">
        <x:v>measured_quantitative</x:v>
      </x:c>
      <x:c r="X19" s="46" t="str">
        <x:v>Source reports mean±SD; governed table stores reported mean concentration. N.D. is stored as blank.</x:v>
      </x:c>
    </x:row>
    <x:row r="20" ht="26.399999618530273" hidden="0" customHeight="1">
      <x:c r="A20" s="46" t="str">
        <x:v>DGM-RAB-019</x:v>
      </x:c>
      <x:c r="B20" s="46" t="str">
        <x:v>game:rabbit_hyla</x:v>
      </x:c>
      <x:c r="C20" s="46" t="str">
        <x:v>family:game_meat</x:v>
      </x:c>
      <x:c r="D20" s="46" t="str">
        <x:v>Hyla rabbit</x:v>
      </x:c>
      <x:c r="E20" s="46" t="str">
        <x:v>foreleg / hind leg / abdomen / longissimus; 75°C SPME intended to simulate boiled aroma</x:v>
      </x:c>
      <x:c r="F20" s="46" t="str">
        <x:v>SRC-GAME-RABBIT-001</x:v>
      </x:c>
      <x:c r="G20" s="46" t="str">
        <x:v>Aldehydes</x:v>
      </x:c>
      <x:c r="H20" s="46" t="str">
        <x:v>Q19</x:v>
      </x:c>
      <x:c r="I20" s="46" t="str">
        <x:v>Tridecanal</x:v>
      </x:c>
      <x:c r="J20" s="46" t="str">
        <x:v>MS,RI</x:v>
      </x:c>
      <x:c r="K20" s="46" t="str">
        <x:v>no</x:v>
      </x:c>
      <x:c r="L20" s="46" t="str">
        <x:v>1.00</x:v>
      </x:c>
      <x:c r="M20" s="46"/>
      <x:c r="N20" s="46" t="n">
        <x:v>0.03</x:v>
      </x:c>
      <x:c r="O20" s="46"/>
      <x:c r="P20" s="46"/>
      <x:c r="Q20" s="46"/>
      <x:c r="R20" s="46" t="n">
        <x:v>0.04</x:v>
      </x:c>
      <x:c r="S20" s="46" t="n">
        <x:v>0.43</x:v>
      </x:c>
      <x:c r="T20" s="46"/>
      <x:c r="U20" s="46" t="str">
        <x:v>μg/kg</x:v>
      </x:c>
      <x:c r="V20" s="46" t="str">
        <x:v>partial_no_numeric_match_factor</x:v>
      </x:c>
      <x:c r="W20" s="46" t="str">
        <x:v>measured_quantitative</x:v>
      </x:c>
      <x:c r="X20" s="46" t="str">
        <x:v>Source reports mean±SD; governed table stores reported mean concentration. N.D. is stored as blank.</x:v>
      </x:c>
    </x:row>
    <x:row r="21" ht="26.399999618530273" hidden="0" customHeight="1">
      <x:c r="A21" s="46" t="str">
        <x:v>DGM-RAB-020</x:v>
      </x:c>
      <x:c r="B21" s="46" t="str">
        <x:v>game:rabbit_hyla</x:v>
      </x:c>
      <x:c r="C21" s="46" t="str">
        <x:v>family:game_meat</x:v>
      </x:c>
      <x:c r="D21" s="46" t="str">
        <x:v>Hyla rabbit</x:v>
      </x:c>
      <x:c r="E21" s="46" t="str">
        <x:v>foreleg / hind leg / abdomen / longissimus; 75°C SPME intended to simulate boiled aroma</x:v>
      </x:c>
      <x:c r="F21" s="46" t="str">
        <x:v>SRC-GAME-RABBIT-001</x:v>
      </x:c>
      <x:c r="G21" s="46" t="str">
        <x:v>Aldehydes</x:v>
      </x:c>
      <x:c r="H21" s="46" t="str">
        <x:v>Q20</x:v>
      </x:c>
      <x:c r="I21" s="46" t="str">
        <x:v>Tetradecanal</x:v>
      </x:c>
      <x:c r="J21" s="46" t="str">
        <x:v>MS,RI</x:v>
      </x:c>
      <x:c r="K21" s="46" t="str">
        <x:v>no</x:v>
      </x:c>
      <x:c r="L21" s="46" t="str">
        <x:v>0.23</x:v>
      </x:c>
      <x:c r="M21" s="46" t="n">
        <x:v>0.18</x:v>
      </x:c>
      <x:c r="N21" s="46" t="n">
        <x:v>0.02</x:v>
      </x:c>
      <x:c r="O21" s="46" t="n">
        <x:v>0.4</x:v>
      </x:c>
      <x:c r="P21" s="46" t="n">
        <x:v>0.45</x:v>
      </x:c>
      <x:c r="Q21" s="46" t="n">
        <x:v>0.43</x:v>
      </x:c>
      <x:c r="R21" s="46" t="n">
        <x:v>0.09</x:v>
      </x:c>
      <x:c r="S21" s="46" t="n">
        <x:v>1.11</x:v>
      </x:c>
      <x:c r="T21" s="46"/>
      <x:c r="U21" s="46" t="str">
        <x:v>μg/kg</x:v>
      </x:c>
      <x:c r="V21" s="46" t="str">
        <x:v>partial_no_numeric_match_factor</x:v>
      </x:c>
      <x:c r="W21" s="46" t="str">
        <x:v>measured_quantitative</x:v>
      </x:c>
      <x:c r="X21" s="46" t="str">
        <x:v>Source reports mean±SD; governed table stores reported mean concentration. N.D. is stored as blank.</x:v>
      </x:c>
    </x:row>
    <x:row r="22" ht="26.399999618530273" hidden="0" customHeight="1">
      <x:c r="A22" s="46" t="str">
        <x:v>DGM-RAB-021</x:v>
      </x:c>
      <x:c r="B22" s="46" t="str">
        <x:v>game:rabbit_hyla</x:v>
      </x:c>
      <x:c r="C22" s="46" t="str">
        <x:v>family:game_meat</x:v>
      </x:c>
      <x:c r="D22" s="46" t="str">
        <x:v>Hyla rabbit</x:v>
      </x:c>
      <x:c r="E22" s="46" t="str">
        <x:v>foreleg / hind leg / abdomen / longissimus; 75°C SPME intended to simulate boiled aroma</x:v>
      </x:c>
      <x:c r="F22" s="46" t="str">
        <x:v>SRC-GAME-RABBIT-001</x:v>
      </x:c>
      <x:c r="G22" s="46" t="str">
        <x:v>Aldehydes</x:v>
      </x:c>
      <x:c r="H22" s="46" t="str">
        <x:v>Q21</x:v>
      </x:c>
      <x:c r="I22" s="46" t="str">
        <x:v>Hexadecanal</x:v>
      </x:c>
      <x:c r="J22" s="46" t="str">
        <x:v>MS,RI</x:v>
      </x:c>
      <x:c r="K22" s="46" t="str">
        <x:v>no</x:v>
      </x:c>
      <x:c r="L22" s="46" t="str">
        <x:v>0.91</x:v>
      </x:c>
      <x:c r="M22" s="46"/>
      <x:c r="N22" s="46" t="n">
        <x:v>0.09</x:v>
      </x:c>
      <x:c r="O22" s="46" t="n">
        <x:v>0.06</x:v>
      </x:c>
      <x:c r="P22" s="46"/>
      <x:c r="Q22" s="46" t="n">
        <x:v>1.24</x:v>
      </x:c>
      <x:c r="R22" s="46"/>
      <x:c r="S22" s="46"/>
      <x:c r="T22" s="46" t="n">
        <x:v>0.54</x:v>
      </x:c>
      <x:c r="U22" s="46" t="str">
        <x:v>μg/kg</x:v>
      </x:c>
      <x:c r="V22" s="46" t="str">
        <x:v>partial_no_numeric_match_factor</x:v>
      </x:c>
      <x:c r="W22" s="46" t="str">
        <x:v>measured_quantitative</x:v>
      </x:c>
      <x:c r="X22" s="46" t="str">
        <x:v>Source reports mean±SD; governed table stores reported mean concentration. N.D. is stored as blank.</x:v>
      </x:c>
    </x:row>
    <x:row r="23" ht="26.399999618530273" hidden="0" customHeight="1">
      <x:c r="A23" s="46" t="str">
        <x:v>DGM-RAB-022</x:v>
      </x:c>
      <x:c r="B23" s="46" t="str">
        <x:v>game:rabbit_hyla</x:v>
      </x:c>
      <x:c r="C23" s="46" t="str">
        <x:v>family:game_meat</x:v>
      </x:c>
      <x:c r="D23" s="46" t="str">
        <x:v>Hyla rabbit</x:v>
      </x:c>
      <x:c r="E23" s="46" t="str">
        <x:v>foreleg / hind leg / abdomen / longissimus; 75°C SPME intended to simulate boiled aroma</x:v>
      </x:c>
      <x:c r="F23" s="46" t="str">
        <x:v>SRC-GAME-RABBIT-001</x:v>
      </x:c>
      <x:c r="G23" s="46" t="str">
        <x:v>Aldehydes</x:v>
      </x:c>
      <x:c r="H23" s="46" t="str">
        <x:v>Q22</x:v>
      </x:c>
      <x:c r="I23" s="46" t="str">
        <x:v>Octadecanal</x:v>
      </x:c>
      <x:c r="J23" s="46" t="str">
        <x:v>MS,RI</x:v>
      </x:c>
      <x:c r="K23" s="46" t="str">
        <x:v>no</x:v>
      </x:c>
      <x:c r="L23" s="46"/>
      <x:c r="M23" s="46"/>
      <x:c r="N23" s="46"/>
      <x:c r="O23" s="46" t="n">
        <x:v>1.57</x:v>
      </x:c>
      <x:c r="P23" s="46"/>
      <x:c r="Q23" s="46" t="n">
        <x:v>0.38</x:v>
      </x:c>
      <x:c r="R23" s="46" t="n">
        <x:v>0.26</x:v>
      </x:c>
      <x:c r="S23" s="46" t="n">
        <x:v>13.22</x:v>
      </x:c>
      <x:c r="T23" s="46" t="n">
        <x:v>0.07</x:v>
      </x:c>
      <x:c r="U23" s="46" t="str">
        <x:v>μg/kg</x:v>
      </x:c>
      <x:c r="V23" s="46" t="str">
        <x:v>partial_no_numeric_match_factor</x:v>
      </x:c>
      <x:c r="W23" s="46" t="str">
        <x:v>measured_quantitative</x:v>
      </x:c>
      <x:c r="X23" s="46" t="str">
        <x:v>Source reports mean±SD; governed table stores reported mean concentration. N.D. is stored as blank.</x:v>
      </x:c>
    </x:row>
    <x:row r="24" ht="26.399999618530273" hidden="0" customHeight="1">
      <x:c r="A24" s="46" t="str">
        <x:v>DGM-RAB-023</x:v>
      </x:c>
      <x:c r="B24" s="46" t="str">
        <x:v>game:rabbit_hyla</x:v>
      </x:c>
      <x:c r="C24" s="46" t="str">
        <x:v>family:game_meat</x:v>
      </x:c>
      <x:c r="D24" s="46" t="str">
        <x:v>Hyla rabbit</x:v>
      </x:c>
      <x:c r="E24" s="46" t="str">
        <x:v>foreleg / hind leg / abdomen / longissimus; 75°C SPME intended to simulate boiled aroma</x:v>
      </x:c>
      <x:c r="F24" s="46" t="str">
        <x:v>SRC-GAME-RABBIT-001</x:v>
      </x:c>
      <x:c r="G24" s="46" t="str">
        <x:v>Aldehydes</x:v>
      </x:c>
      <x:c r="H24" s="46" t="str">
        <x:v>Q23</x:v>
      </x:c>
      <x:c r="I24" s="46" t="str">
        <x:v>Benzaldehyde</x:v>
      </x:c>
      <x:c r="J24" s="46" t="str">
        <x:v>MS,RI</x:v>
      </x:c>
      <x:c r="K24" s="46" t="str">
        <x:v>no</x:v>
      </x:c>
      <x:c r="L24" s="46" t="str">
        <x:v>990</x:v>
      </x:c>
      <x:c r="M24" s="46"/>
      <x:c r="N24" s="46"/>
      <x:c r="O24" s="46"/>
      <x:c r="P24" s="46" t="n">
        <x:v>0.34</x:v>
      </x:c>
      <x:c r="Q24" s="46"/>
      <x:c r="R24" s="46" t="n">
        <x:v>0.53</x:v>
      </x:c>
      <x:c r="S24" s="46"/>
      <x:c r="T24" s="46" t="n">
        <x:v>0.22</x:v>
      </x:c>
      <x:c r="U24" s="46" t="str">
        <x:v>μg/kg</x:v>
      </x:c>
      <x:c r="V24" s="46" t="str">
        <x:v>partial_no_numeric_match_factor</x:v>
      </x:c>
      <x:c r="W24" s="46" t="str">
        <x:v>measured_quantitative</x:v>
      </x:c>
      <x:c r="X24" s="46" t="str">
        <x:v>Source reports mean±SD; governed table stores reported mean concentration. N.D. is stored as blank.</x:v>
      </x:c>
    </x:row>
    <x:row r="25" ht="26.399999618530273" hidden="0" customHeight="1">
      <x:c r="A25" s="46" t="str">
        <x:v>DGM-RAB-024</x:v>
      </x:c>
      <x:c r="B25" s="46" t="str">
        <x:v>game:rabbit_hyla</x:v>
      </x:c>
      <x:c r="C25" s="46" t="str">
        <x:v>family:game_meat</x:v>
      </x:c>
      <x:c r="D25" s="46" t="str">
        <x:v>Hyla rabbit</x:v>
      </x:c>
      <x:c r="E25" s="46" t="str">
        <x:v>foreleg / hind leg / abdomen / longissimus; 75°C SPME intended to simulate boiled aroma</x:v>
      </x:c>
      <x:c r="F25" s="46" t="str">
        <x:v>SRC-GAME-RABBIT-001</x:v>
      </x:c>
      <x:c r="G25" s="46" t="str">
        <x:v>Alcohols</x:v>
      </x:c>
      <x:c r="H25" s="46" t="str">
        <x:v>C1</x:v>
      </x:c>
      <x:c r="I25" s="46" t="str">
        <x:v>n-Tridecan-1-ol</x:v>
      </x:c>
      <x:c r="J25" s="46" t="str">
        <x:v>MS,RI</x:v>
      </x:c>
      <x:c r="K25" s="46" t="str">
        <x:v>no</x:v>
      </x:c>
      <x:c r="L25" s="46"/>
      <x:c r="M25" s="46" t="n">
        <x:v>0.29</x:v>
      </x:c>
      <x:c r="N25" s="46"/>
      <x:c r="O25" s="46" t="n">
        <x:v>0.57</x:v>
      </x:c>
      <x:c r="P25" s="46"/>
      <x:c r="Q25" s="46" t="n">
        <x:v>1.47</x:v>
      </x:c>
      <x:c r="R25" s="46"/>
      <x:c r="S25" s="46"/>
      <x:c r="T25" s="46"/>
      <x:c r="U25" s="46" t="str">
        <x:v>μg/kg</x:v>
      </x:c>
      <x:c r="V25" s="46" t="str">
        <x:v>partial_no_numeric_match_factor</x:v>
      </x:c>
      <x:c r="W25" s="46" t="str">
        <x:v>measured_quantitative</x:v>
      </x:c>
      <x:c r="X25" s="46" t="str">
        <x:v>Source reports mean±SD; governed table stores reported mean concentration. N.D. is stored as blank.</x:v>
      </x:c>
    </x:row>
    <x:row r="26" ht="26.399999618530273" hidden="0" customHeight="1">
      <x:c r="A26" s="46" t="str">
        <x:v>DGM-RAB-025</x:v>
      </x:c>
      <x:c r="B26" s="46" t="str">
        <x:v>game:rabbit_hyla</x:v>
      </x:c>
      <x:c r="C26" s="46" t="str">
        <x:v>family:game_meat</x:v>
      </x:c>
      <x:c r="D26" s="46" t="str">
        <x:v>Hyla rabbit</x:v>
      </x:c>
      <x:c r="E26" s="46" t="str">
        <x:v>foreleg / hind leg / abdomen / longissimus; 75°C SPME intended to simulate boiled aroma</x:v>
      </x:c>
      <x:c r="F26" s="46" t="str">
        <x:v>SRC-GAME-RABBIT-001</x:v>
      </x:c>
      <x:c r="G26" s="46" t="str">
        <x:v>Alcohols</x:v>
      </x:c>
      <x:c r="H26" s="46" t="str">
        <x:v>C2</x:v>
      </x:c>
      <x:c r="I26" s="46" t="str">
        <x:v>Hexadecen-1-ol</x:v>
      </x:c>
      <x:c r="J26" s="46" t="str">
        <x:v>MS,RI</x:v>
      </x:c>
      <x:c r="K26" s="46" t="str">
        <x:v>no</x:v>
      </x:c>
      <x:c r="L26" s="46"/>
      <x:c r="M26" s="46" t="n">
        <x:v>0.14</x:v>
      </x:c>
      <x:c r="N26" s="46"/>
      <x:c r="O26" s="46" t="n">
        <x:v>0.25</x:v>
      </x:c>
      <x:c r="P26" s="46"/>
      <x:c r="Q26" s="46"/>
      <x:c r="R26" s="46"/>
      <x:c r="S26" s="46"/>
      <x:c r="T26" s="46"/>
      <x:c r="U26" s="46" t="str">
        <x:v>μg/kg</x:v>
      </x:c>
      <x:c r="V26" s="46" t="str">
        <x:v>partial_no_numeric_match_factor</x:v>
      </x:c>
      <x:c r="W26" s="46" t="str">
        <x:v>measured_quantitative</x:v>
      </x:c>
      <x:c r="X26" s="46" t="str">
        <x:v>Source reports mean±SD; governed table stores reported mean concentration. N.D. is stored as blank.</x:v>
      </x:c>
    </x:row>
    <x:row r="27" ht="26.399999618530273" hidden="0" customHeight="1">
      <x:c r="A27" s="46" t="str">
        <x:v>DGM-RAB-026</x:v>
      </x:c>
      <x:c r="B27" s="46" t="str">
        <x:v>game:rabbit_hyla</x:v>
      </x:c>
      <x:c r="C27" s="46" t="str">
        <x:v>family:game_meat</x:v>
      </x:c>
      <x:c r="D27" s="46" t="str">
        <x:v>Hyla rabbit</x:v>
      </x:c>
      <x:c r="E27" s="46" t="str">
        <x:v>foreleg / hind leg / abdomen / longissimus; 75°C SPME intended to simulate boiled aroma</x:v>
      </x:c>
      <x:c r="F27" s="46" t="str">
        <x:v>SRC-GAME-RABBIT-001</x:v>
      </x:c>
      <x:c r="G27" s="46" t="str">
        <x:v>Alcohols</x:v>
      </x:c>
      <x:c r="H27" s="46" t="str">
        <x:v>C3</x:v>
      </x:c>
      <x:c r="I27" s="46" t="str">
        <x:v>1-Octanol</x:v>
      </x:c>
      <x:c r="J27" s="46" t="str">
        <x:v>MS,RI</x:v>
      </x:c>
      <x:c r="K27" s="46" t="str">
        <x:v>no</x:v>
      </x:c>
      <x:c r="L27" s="46" t="str">
        <x:v>27</x:v>
      </x:c>
      <x:c r="M27" s="46"/>
      <x:c r="N27" s="46" t="n">
        <x:v>0.53</x:v>
      </x:c>
      <x:c r="O27" s="46"/>
      <x:c r="P27" s="46"/>
      <x:c r="Q27" s="46"/>
      <x:c r="R27" s="46" t="n">
        <x:v>0.4</x:v>
      </x:c>
      <x:c r="S27" s="46"/>
      <x:c r="T27" s="46"/>
      <x:c r="U27" s="46" t="str">
        <x:v>μg/kg</x:v>
      </x:c>
      <x:c r="V27" s="46" t="str">
        <x:v>partial_no_numeric_match_factor</x:v>
      </x:c>
      <x:c r="W27" s="46" t="str">
        <x:v>measured_quantitative</x:v>
      </x:c>
      <x:c r="X27" s="46" t="str">
        <x:v>Source reports mean±SD; governed table stores reported mean concentration. N.D. is stored as blank.</x:v>
      </x:c>
    </x:row>
    <x:row r="28" ht="26.399999618530273" hidden="0" customHeight="1">
      <x:c r="A28" s="46" t="str">
        <x:v>DGM-RAB-027</x:v>
      </x:c>
      <x:c r="B28" s="46" t="str">
        <x:v>game:rabbit_hyla</x:v>
      </x:c>
      <x:c r="C28" s="46" t="str">
        <x:v>family:game_meat</x:v>
      </x:c>
      <x:c r="D28" s="46" t="str">
        <x:v>Hyla rabbit</x:v>
      </x:c>
      <x:c r="E28" s="46" t="str">
        <x:v>foreleg / hind leg / abdomen / longissimus; 75°C SPME intended to simulate boiled aroma</x:v>
      </x:c>
      <x:c r="F28" s="46" t="str">
        <x:v>SRC-GAME-RABBIT-001</x:v>
      </x:c>
      <x:c r="G28" s="46" t="str">
        <x:v>Alcohols</x:v>
      </x:c>
      <x:c r="H28" s="46" t="str">
        <x:v>C4</x:v>
      </x:c>
      <x:c r="I28" s="46" t="str">
        <x:v>3,5-Octadien-2-ol</x:v>
      </x:c>
      <x:c r="J28" s="46" t="str">
        <x:v>MS,RI</x:v>
      </x:c>
      <x:c r="K28" s="46" t="str">
        <x:v>no</x:v>
      </x:c>
      <x:c r="L28" s="46"/>
      <x:c r="M28" s="46"/>
      <x:c r="N28" s="46" t="n">
        <x:v>0.13</x:v>
      </x:c>
      <x:c r="O28" s="46"/>
      <x:c r="P28" s="46"/>
      <x:c r="Q28" s="46"/>
      <x:c r="R28" s="46" t="n">
        <x:v>0.12</x:v>
      </x:c>
      <x:c r="S28" s="46"/>
      <x:c r="T28" s="46"/>
      <x:c r="U28" s="46" t="str">
        <x:v>μg/kg</x:v>
      </x:c>
      <x:c r="V28" s="46" t="str">
        <x:v>partial_no_numeric_match_factor</x:v>
      </x:c>
      <x:c r="W28" s="46" t="str">
        <x:v>measured_quantitative</x:v>
      </x:c>
      <x:c r="X28" s="46" t="str">
        <x:v>Source reports mean±SD; governed table stores reported mean concentration. N.D. is stored as blank.</x:v>
      </x:c>
    </x:row>
    <x:row r="29" ht="26.399999618530273" hidden="0" customHeight="1">
      <x:c r="A29" s="46" t="str">
        <x:v>DGM-RAB-028</x:v>
      </x:c>
      <x:c r="B29" s="46" t="str">
        <x:v>game:rabbit_hyla</x:v>
      </x:c>
      <x:c r="C29" s="46" t="str">
        <x:v>family:game_meat</x:v>
      </x:c>
      <x:c r="D29" s="46" t="str">
        <x:v>Hyla rabbit</x:v>
      </x:c>
      <x:c r="E29" s="46" t="str">
        <x:v>foreleg / hind leg / abdomen / longissimus; 75°C SPME intended to simulate boiled aroma</x:v>
      </x:c>
      <x:c r="F29" s="46" t="str">
        <x:v>SRC-GAME-RABBIT-001</x:v>
      </x:c>
      <x:c r="G29" s="46" t="str">
        <x:v>Ketones</x:v>
      </x:c>
      <x:c r="H29" s="46" t="str">
        <x:v>T1</x:v>
      </x:c>
      <x:c r="I29" s="46" t="str">
        <x:v>2-Heptanone</x:v>
      </x:c>
      <x:c r="J29" s="46" t="str">
        <x:v>MS,RI</x:v>
      </x:c>
      <x:c r="K29" s="46" t="str">
        <x:v>no</x:v>
      </x:c>
      <x:c r="L29" s="46" t="str">
        <x:v>300</x:v>
      </x:c>
      <x:c r="M29" s="46"/>
      <x:c r="N29" s="46"/>
      <x:c r="O29" s="46"/>
      <x:c r="P29" s="46"/>
      <x:c r="Q29" s="46"/>
      <x:c r="R29" s="46" t="n">
        <x:v>0.14</x:v>
      </x:c>
      <x:c r="S29" s="46"/>
      <x:c r="T29" s="46"/>
      <x:c r="U29" s="46" t="str">
        <x:v>μg/kg</x:v>
      </x:c>
      <x:c r="V29" s="46" t="str">
        <x:v>partial_no_numeric_match_factor</x:v>
      </x:c>
      <x:c r="W29" s="46" t="str">
        <x:v>measured_quantitative</x:v>
      </x:c>
      <x:c r="X29" s="46" t="str">
        <x:v>Source reports mean±SD; governed table stores reported mean concentration. N.D. is stored as blank.</x:v>
      </x:c>
    </x:row>
    <x:row r="30" ht="26.399999618530273" hidden="0" customHeight="1">
      <x:c r="A30" s="46" t="str">
        <x:v>DGM-RAB-029</x:v>
      </x:c>
      <x:c r="B30" s="46" t="str">
        <x:v>game:rabbit_hyla</x:v>
      </x:c>
      <x:c r="C30" s="46" t="str">
        <x:v>family:game_meat</x:v>
      </x:c>
      <x:c r="D30" s="46" t="str">
        <x:v>Hyla rabbit</x:v>
      </x:c>
      <x:c r="E30" s="46" t="str">
        <x:v>foreleg / hind leg / abdomen / longissimus; 75°C SPME intended to simulate boiled aroma</x:v>
      </x:c>
      <x:c r="F30" s="46" t="str">
        <x:v>SRC-GAME-RABBIT-001</x:v>
      </x:c>
      <x:c r="G30" s="46" t="str">
        <x:v>Ketones</x:v>
      </x:c>
      <x:c r="H30" s="46" t="str">
        <x:v>T2</x:v>
      </x:c>
      <x:c r="I30" s="46" t="str">
        <x:v>1-Octen-3-one</x:v>
      </x:c>
      <x:c r="J30" s="46" t="str">
        <x:v>MS,RI</x:v>
      </x:c>
      <x:c r="K30" s="46" t="str">
        <x:v>no</x:v>
      </x:c>
      <x:c r="L30" s="46" t="str">
        <x:v>10</x:v>
      </x:c>
      <x:c r="M30" s="46" t="n">
        <x:v>0.57</x:v>
      </x:c>
      <x:c r="N30" s="46" t="n">
        <x:v>0.38</x:v>
      </x:c>
      <x:c r="O30" s="46"/>
      <x:c r="P30" s="46"/>
      <x:c r="Q30" s="46"/>
      <x:c r="R30" s="46"/>
      <x:c r="S30" s="46"/>
      <x:c r="T30" s="46"/>
      <x:c r="U30" s="46" t="str">
        <x:v>μg/kg</x:v>
      </x:c>
      <x:c r="V30" s="46" t="str">
        <x:v>partial_no_numeric_match_factor</x:v>
      </x:c>
      <x:c r="W30" s="46" t="str">
        <x:v>measured_quantitative</x:v>
      </x:c>
      <x:c r="X30" s="46" t="str">
        <x:v>Source reports mean±SD; governed table stores reported mean concentration. N.D. is stored as blank.</x:v>
      </x:c>
    </x:row>
    <x:row r="31" ht="26.399999618530273" hidden="0" customHeight="1">
      <x:c r="A31" s="46" t="str">
        <x:v>DGM-RAB-030</x:v>
      </x:c>
      <x:c r="B31" s="46" t="str">
        <x:v>game:rabbit_hyla</x:v>
      </x:c>
      <x:c r="C31" s="46" t="str">
        <x:v>family:game_meat</x:v>
      </x:c>
      <x:c r="D31" s="46" t="str">
        <x:v>Hyla rabbit</x:v>
      </x:c>
      <x:c r="E31" s="46" t="str">
        <x:v>foreleg / hind leg / abdomen / longissimus; 75°C SPME intended to simulate boiled aroma</x:v>
      </x:c>
      <x:c r="F31" s="46" t="str">
        <x:v>SRC-GAME-RABBIT-001</x:v>
      </x:c>
      <x:c r="G31" s="46" t="str">
        <x:v>Ketones</x:v>
      </x:c>
      <x:c r="H31" s="46" t="str">
        <x:v>T3</x:v>
      </x:c>
      <x:c r="I31" s="46" t="str">
        <x:v>2-Nonanone</x:v>
      </x:c>
      <x:c r="J31" s="46" t="str">
        <x:v>MS,RI</x:v>
      </x:c>
      <x:c r="K31" s="46" t="str">
        <x:v>no</x:v>
      </x:c>
      <x:c r="L31" s="46" t="str">
        <x:v>100</x:v>
      </x:c>
      <x:c r="M31" s="46"/>
      <x:c r="N31" s="46"/>
      <x:c r="O31" s="46"/>
      <x:c r="P31" s="46"/>
      <x:c r="Q31" s="46"/>
      <x:c r="R31" s="46" t="n">
        <x:v>0.04</x:v>
      </x:c>
      <x:c r="S31" s="46"/>
      <x:c r="T31" s="46"/>
      <x:c r="U31" s="46" t="str">
        <x:v>μg/kg</x:v>
      </x:c>
      <x:c r="V31" s="46" t="str">
        <x:v>partial_no_numeric_match_factor</x:v>
      </x:c>
      <x:c r="W31" s="46" t="str">
        <x:v>measured_quantitative</x:v>
      </x:c>
      <x:c r="X31" s="46" t="str">
        <x:v>Source reports mean±SD; governed table stores reported mean concentration. N.D. is stored as blank.</x:v>
      </x:c>
    </x:row>
    <x:row r="32" ht="26.399999618530273" hidden="0" customHeight="1">
      <x:c r="A32" s="46" t="str">
        <x:v>DGM-RAB-031</x:v>
      </x:c>
      <x:c r="B32" s="46" t="str">
        <x:v>game:rabbit_hyla</x:v>
      </x:c>
      <x:c r="C32" s="46" t="str">
        <x:v>family:game_meat</x:v>
      </x:c>
      <x:c r="D32" s="46" t="str">
        <x:v>Hyla rabbit</x:v>
      </x:c>
      <x:c r="E32" s="46" t="str">
        <x:v>foreleg / hind leg / abdomen / longissimus; 75°C SPME intended to simulate boiled aroma</x:v>
      </x:c>
      <x:c r="F32" s="46" t="str">
        <x:v>SRC-GAME-RABBIT-001</x:v>
      </x:c>
      <x:c r="G32" s="46" t="str">
        <x:v>Ketones</x:v>
      </x:c>
      <x:c r="H32" s="46" t="str">
        <x:v>T4</x:v>
      </x:c>
      <x:c r="I32" s="46" t="str">
        <x:v>3-Methyl-2-butanone</x:v>
      </x:c>
      <x:c r="J32" s="46" t="str">
        <x:v>MS,RI</x:v>
      </x:c>
      <x:c r="K32" s="46" t="str">
        <x:v>no</x:v>
      </x:c>
      <x:c r="L32" s="46"/>
      <x:c r="M32" s="46"/>
      <x:c r="N32" s="46"/>
      <x:c r="O32" s="46"/>
      <x:c r="P32" s="46"/>
      <x:c r="Q32" s="46"/>
      <x:c r="R32" s="46"/>
      <x:c r="S32" s="46"/>
      <x:c r="T32" s="46" t="n">
        <x:v>3.34</x:v>
      </x:c>
      <x:c r="U32" s="46" t="str">
        <x:v>μg/kg</x:v>
      </x:c>
      <x:c r="V32" s="46" t="str">
        <x:v>partial_no_numeric_match_factor</x:v>
      </x:c>
      <x:c r="W32" s="46" t="str">
        <x:v>measured_quantitative</x:v>
      </x:c>
      <x:c r="X32" s="46" t="str">
        <x:v>Source prints '3-Methl-2-butanone'; normalized spelling only.</x:v>
      </x:c>
    </x:row>
    <x:row r="33" ht="26.399999618530273" hidden="0" customHeight="1">
      <x:c r="A33" s="46" t="str">
        <x:v>DGM-RAB-032</x:v>
      </x:c>
      <x:c r="B33" s="46" t="str">
        <x:v>game:rabbit_hyla</x:v>
      </x:c>
      <x:c r="C33" s="46" t="str">
        <x:v>family:game_meat</x:v>
      </x:c>
      <x:c r="D33" s="46" t="str">
        <x:v>Hyla rabbit</x:v>
      </x:c>
      <x:c r="E33" s="46" t="str">
        <x:v>foreleg / hind leg / abdomen / longissimus; 75°C SPME intended to simulate boiled aroma</x:v>
      </x:c>
      <x:c r="F33" s="46" t="str">
        <x:v>SRC-GAME-RABBIT-001</x:v>
      </x:c>
      <x:c r="G33" s="46" t="str">
        <x:v>Ketones</x:v>
      </x:c>
      <x:c r="H33" s="46" t="str">
        <x:v>T5</x:v>
      </x:c>
      <x:c r="I33" s="46" t="str">
        <x:v>2,3-Octanedione</x:v>
      </x:c>
      <x:c r="J33" s="46" t="str">
        <x:v>MS,RI</x:v>
      </x:c>
      <x:c r="K33" s="46" t="str">
        <x:v>no</x:v>
      </x:c>
      <x:c r="L33" s="46" t="str">
        <x:v>12</x:v>
      </x:c>
      <x:c r="M33" s="46"/>
      <x:c r="N33" s="46"/>
      <x:c r="O33" s="46"/>
      <x:c r="P33" s="46"/>
      <x:c r="Q33" s="46" t="n">
        <x:v>0.48</x:v>
      </x:c>
      <x:c r="R33" s="46"/>
      <x:c r="S33" s="46"/>
      <x:c r="T33" s="46"/>
      <x:c r="U33" s="46" t="str">
        <x:v>μg/kg</x:v>
      </x:c>
      <x:c r="V33" s="46" t="str">
        <x:v>partial_no_numeric_match_factor</x:v>
      </x:c>
      <x:c r="W33" s="46" t="str">
        <x:v>measured_quantitative</x:v>
      </x:c>
      <x:c r="X33" s="46" t="str">
        <x:v>Source reports mean±SD; governed table stores reported mean concentration. N.D. is stored as blank.</x:v>
      </x:c>
    </x:row>
    <x:row r="34" ht="26.399999618530273" hidden="0" customHeight="1">
      <x:c r="A34" s="46" t="str">
        <x:v>DGM-RAB-033</x:v>
      </x:c>
      <x:c r="B34" s="46" t="str">
        <x:v>game:rabbit_hyla</x:v>
      </x:c>
      <x:c r="C34" s="46" t="str">
        <x:v>family:game_meat</x:v>
      </x:c>
      <x:c r="D34" s="46" t="str">
        <x:v>Hyla rabbit</x:v>
      </x:c>
      <x:c r="E34" s="46" t="str">
        <x:v>foreleg / hind leg / abdomen / longissimus; 75°C SPME intended to simulate boiled aroma</x:v>
      </x:c>
      <x:c r="F34" s="46" t="str">
        <x:v>SRC-GAME-RABBIT-001</x:v>
      </x:c>
      <x:c r="G34" s="46" t="str">
        <x:v>Esters</x:v>
      </x:c>
      <x:c r="H34" s="46" t="str">
        <x:v>Z1</x:v>
      </x:c>
      <x:c r="I34" s="46" t="str">
        <x:v>Decanoic acid methyl ester</x:v>
      </x:c>
      <x:c r="J34" s="46" t="str">
        <x:v>MS</x:v>
      </x:c>
      <x:c r="K34" s="46" t="str">
        <x:v>no</x:v>
      </x:c>
      <x:c r="L34" s="46"/>
      <x:c r="M34" s="46" t="n">
        <x:v>0.38</x:v>
      </x:c>
      <x:c r="N34" s="46" t="n">
        <x:v>0.64</x:v>
      </x:c>
      <x:c r="O34" s="46" t="n">
        <x:v>0.3</x:v>
      </x:c>
      <x:c r="P34" s="46" t="n">
        <x:v>0.09</x:v>
      </x:c>
      <x:c r="Q34" s="46" t="n">
        <x:v>0.11</x:v>
      </x:c>
      <x:c r="R34" s="46" t="n">
        <x:v>0.07</x:v>
      </x:c>
      <x:c r="S34" s="46"/>
      <x:c r="T34" s="46"/>
      <x:c r="U34" s="46" t="str">
        <x:v>μg/kg</x:v>
      </x:c>
      <x:c r="V34" s="46" t="str">
        <x:v>partial_no_numeric_match_factor</x:v>
      </x:c>
      <x:c r="W34" s="46" t="str">
        <x:v>measured_quantitative</x:v>
      </x:c>
      <x:c r="X34" s="46" t="str">
        <x:v>Source reports mean±SD; governed table stores reported mean concentration. N.D. is stored as blank.</x:v>
      </x:c>
    </x:row>
    <x:row r="35" ht="26.399999618530273" hidden="0" customHeight="1">
      <x:c r="A35" s="46" t="str">
        <x:v>DGM-RAB-034</x:v>
      </x:c>
      <x:c r="B35" s="46" t="str">
        <x:v>game:rabbit_hyla</x:v>
      </x:c>
      <x:c r="C35" s="46" t="str">
        <x:v>family:game_meat</x:v>
      </x:c>
      <x:c r="D35" s="46" t="str">
        <x:v>Hyla rabbit</x:v>
      </x:c>
      <x:c r="E35" s="46" t="str">
        <x:v>foreleg / hind leg / abdomen / longissimus; 75°C SPME intended to simulate boiled aroma</x:v>
      </x:c>
      <x:c r="F35" s="46" t="str">
        <x:v>SRC-GAME-RABBIT-001</x:v>
      </x:c>
      <x:c r="G35" s="46" t="str">
        <x:v>Esters</x:v>
      </x:c>
      <x:c r="H35" s="46" t="str">
        <x:v>Z2</x:v>
      </x:c>
      <x:c r="I35" s="46" t="str">
        <x:v>Tridecanoic acid methyl ester</x:v>
      </x:c>
      <x:c r="J35" s="46" t="str">
        <x:v>MS</x:v>
      </x:c>
      <x:c r="K35" s="46" t="str">
        <x:v>no</x:v>
      </x:c>
      <x:c r="L35" s="46"/>
      <x:c r="M35" s="46" t="n">
        <x:v>0.18</x:v>
      </x:c>
      <x:c r="N35" s="46"/>
      <x:c r="O35" s="46" t="n">
        <x:v>0.06</x:v>
      </x:c>
      <x:c r="P35" s="46"/>
      <x:c r="Q35" s="46" t="n">
        <x:v>0.06</x:v>
      </x:c>
      <x:c r="R35" s="46"/>
      <x:c r="S35" s="46" t="n">
        <x:v>0.13</x:v>
      </x:c>
      <x:c r="T35" s="46"/>
      <x:c r="U35" s="46" t="str">
        <x:v>μg/kg</x:v>
      </x:c>
      <x:c r="V35" s="46" t="str">
        <x:v>partial_no_numeric_match_factor</x:v>
      </x:c>
      <x:c r="W35" s="46" t="str">
        <x:v>measured_quantitative</x:v>
      </x:c>
      <x:c r="X35" s="46" t="str">
        <x:v>Source reports mean±SD; governed table stores reported mean concentration. N.D. is stored as blank.</x:v>
      </x:c>
    </x:row>
    <x:row r="36" ht="26.399999618530273" hidden="0" customHeight="1">
      <x:c r="A36" s="46" t="str">
        <x:v>DGM-RAB-035</x:v>
      </x:c>
      <x:c r="B36" s="46" t="str">
        <x:v>game:rabbit_hyla</x:v>
      </x:c>
      <x:c r="C36" s="46" t="str">
        <x:v>family:game_meat</x:v>
      </x:c>
      <x:c r="D36" s="46" t="str">
        <x:v>Hyla rabbit</x:v>
      </x:c>
      <x:c r="E36" s="46" t="str">
        <x:v>foreleg / hind leg / abdomen / longissimus; 75°C SPME intended to simulate boiled aroma</x:v>
      </x:c>
      <x:c r="F36" s="46" t="str">
        <x:v>SRC-GAME-RABBIT-001</x:v>
      </x:c>
      <x:c r="G36" s="46" t="str">
        <x:v>Esters</x:v>
      </x:c>
      <x:c r="H36" s="46" t="str">
        <x:v>Z3</x:v>
      </x:c>
      <x:c r="I36" s="46" t="str">
        <x:v>Hexadecanoic acid methyl ester</x:v>
      </x:c>
      <x:c r="J36" s="46" t="str">
        <x:v>MS</x:v>
      </x:c>
      <x:c r="K36" s="46" t="str">
        <x:v>no</x:v>
      </x:c>
      <x:c r="L36" s="46"/>
      <x:c r="M36" s="46" t="n">
        <x:v>0.88</x:v>
      </x:c>
      <x:c r="N36" s="46" t="n">
        <x:v>0.17</x:v>
      </x:c>
      <x:c r="O36" s="46" t="n">
        <x:v>0.52</x:v>
      </x:c>
      <x:c r="P36" s="46" t="n">
        <x:v>0.17</x:v>
      </x:c>
      <x:c r="Q36" s="46" t="n">
        <x:v>9.93</x:v>
      </x:c>
      <x:c r="R36" s="46" t="n">
        <x:v>0.39</x:v>
      </x:c>
      <x:c r="S36" s="46" t="n">
        <x:v>5.64</x:v>
      </x:c>
      <x:c r="T36" s="46" t="n">
        <x:v>0.3</x:v>
      </x:c>
      <x:c r="U36" s="46" t="str">
        <x:v>μg/kg</x:v>
      </x:c>
      <x:c r="V36" s="46" t="str">
        <x:v>partial_no_numeric_match_factor</x:v>
      </x:c>
      <x:c r="W36" s="46" t="str">
        <x:v>measured_quantitative</x:v>
      </x:c>
      <x:c r="X36" s="46" t="str">
        <x:v>Source reports mean±SD; governed table stores reported mean concentration. N.D. is stored as blank.</x:v>
      </x:c>
    </x:row>
    <x:row r="37" ht="26.399999618530273" hidden="0" customHeight="1">
      <x:c r="A37" s="46" t="str">
        <x:v>DGM-RAB-036</x:v>
      </x:c>
      <x:c r="B37" s="46" t="str">
        <x:v>game:rabbit_hyla</x:v>
      </x:c>
      <x:c r="C37" s="46" t="str">
        <x:v>family:game_meat</x:v>
      </x:c>
      <x:c r="D37" s="46" t="str">
        <x:v>Hyla rabbit</x:v>
      </x:c>
      <x:c r="E37" s="46" t="str">
        <x:v>foreleg / hind leg / abdomen / longissimus; 75°C SPME intended to simulate boiled aroma</x:v>
      </x:c>
      <x:c r="F37" s="46" t="str">
        <x:v>SRC-GAME-RABBIT-001</x:v>
      </x:c>
      <x:c r="G37" s="46" t="str">
        <x:v>Esters</x:v>
      </x:c>
      <x:c r="H37" s="46" t="str">
        <x:v>Z4</x:v>
      </x:c>
      <x:c r="I37" s="46" t="str">
        <x:v>Octadecanoic acid methyl ester</x:v>
      </x:c>
      <x:c r="J37" s="46" t="str">
        <x:v>MS</x:v>
      </x:c>
      <x:c r="K37" s="46" t="str">
        <x:v>no</x:v>
      </x:c>
      <x:c r="L37" s="46"/>
      <x:c r="M37" s="46" t="n">
        <x:v>1.56</x:v>
      </x:c>
      <x:c r="N37" s="46" t="n">
        <x:v>0.07</x:v>
      </x:c>
      <x:c r="O37" s="46" t="n">
        <x:v>0.19</x:v>
      </x:c>
      <x:c r="P37" s="46" t="n">
        <x:v>0.06</x:v>
      </x:c>
      <x:c r="Q37" s="46" t="n">
        <x:v>0.75</x:v>
      </x:c>
      <x:c r="R37" s="46" t="n">
        <x:v>0.21</x:v>
      </x:c>
      <x:c r="S37" s="46" t="n">
        <x:v>1.02</x:v>
      </x:c>
      <x:c r="T37" s="46" t="n">
        <x:v>0.13</x:v>
      </x:c>
      <x:c r="U37" s="46" t="str">
        <x:v>μg/kg</x:v>
      </x:c>
      <x:c r="V37" s="46" t="str">
        <x:v>partial_no_numeric_match_factor</x:v>
      </x:c>
      <x:c r="W37" s="46" t="str">
        <x:v>measured_quantitative</x:v>
      </x:c>
      <x:c r="X37" s="46" t="str">
        <x:v>Source reports mean±SD; governed table stores reported mean concentration. N.D. is stored as blank.</x:v>
      </x:c>
    </x:row>
    <x:row r="38" ht="26.399999618530273" hidden="0" customHeight="1">
      <x:c r="A38" s="46" t="str">
        <x:v>DGM-RAB-037</x:v>
      </x:c>
      <x:c r="B38" s="46" t="str">
        <x:v>game:rabbit_hyla</x:v>
      </x:c>
      <x:c r="C38" s="46" t="str">
        <x:v>family:game_meat</x:v>
      </x:c>
      <x:c r="D38" s="46" t="str">
        <x:v>Hyla rabbit</x:v>
      </x:c>
      <x:c r="E38" s="46" t="str">
        <x:v>foreleg / hind leg / abdomen / longissimus; 75°C SPME intended to simulate boiled aroma</x:v>
      </x:c>
      <x:c r="F38" s="46" t="str">
        <x:v>SRC-GAME-RABBIT-001</x:v>
      </x:c>
      <x:c r="G38" s="46" t="str">
        <x:v>Esters</x:v>
      </x:c>
      <x:c r="H38" s="46" t="str">
        <x:v>Z5</x:v>
      </x:c>
      <x:c r="I38" s="46" t="str">
        <x:v>9-Octadecenoic acid methyl ester</x:v>
      </x:c>
      <x:c r="J38" s="46" t="str">
        <x:v>MS</x:v>
      </x:c>
      <x:c r="K38" s="46" t="str">
        <x:v>no</x:v>
      </x:c>
      <x:c r="L38" s="46"/>
      <x:c r="M38" s="46" t="n">
        <x:v>5.17</x:v>
      </x:c>
      <x:c r="N38" s="46" t="n">
        <x:v>0.13</x:v>
      </x:c>
      <x:c r="O38" s="46" t="n">
        <x:v>0.41</x:v>
      </x:c>
      <x:c r="P38" s="46" t="n">
        <x:v>0.14</x:v>
      </x:c>
      <x:c r="Q38" s="46" t="n">
        <x:v>1.97</x:v>
      </x:c>
      <x:c r="R38" s="46" t="n">
        <x:v>1.23</x:v>
      </x:c>
      <x:c r="S38" s="46"/>
      <x:c r="T38" s="46"/>
      <x:c r="U38" s="46" t="str">
        <x:v>μg/kg</x:v>
      </x:c>
      <x:c r="V38" s="46" t="str">
        <x:v>partial_no_numeric_match_factor</x:v>
      </x:c>
      <x:c r="W38" s="46" t="str">
        <x:v>measured_quantitative</x:v>
      </x:c>
      <x:c r="X38" s="46" t="str">
        <x:v>Source reports mean±SD; governed table stores reported mean concentration. N.D. is stored as blank.</x:v>
      </x:c>
    </x:row>
    <x:row r="39" ht="26.399999618530273" hidden="0" customHeight="1">
      <x:c r="A39" s="46" t="str">
        <x:v>DGM-RAB-038</x:v>
      </x:c>
      <x:c r="B39" s="46" t="str">
        <x:v>game:rabbit_hyla</x:v>
      </x:c>
      <x:c r="C39" s="46" t="str">
        <x:v>family:game_meat</x:v>
      </x:c>
      <x:c r="D39" s="46" t="str">
        <x:v>Hyla rabbit</x:v>
      </x:c>
      <x:c r="E39" s="46" t="str">
        <x:v>foreleg / hind leg / abdomen / longissimus; 75°C SPME intended to simulate boiled aroma</x:v>
      </x:c>
      <x:c r="F39" s="46" t="str">
        <x:v>SRC-GAME-RABBIT-001</x:v>
      </x:c>
      <x:c r="G39" s="46" t="str">
        <x:v>Esters</x:v>
      </x:c>
      <x:c r="H39" s="46" t="str">
        <x:v>Z6</x:v>
      </x:c>
      <x:c r="I39" s="46" t="str">
        <x:v>9,12-Octadecadienoic acid methyl ester</x:v>
      </x:c>
      <x:c r="J39" s="46" t="str">
        <x:v>MS</x:v>
      </x:c>
      <x:c r="K39" s="46" t="str">
        <x:v>no</x:v>
      </x:c>
      <x:c r="L39" s="46"/>
      <x:c r="M39" s="46" t="n">
        <x:v>1.54</x:v>
      </x:c>
      <x:c r="N39" s="46" t="n">
        <x:v>0.07</x:v>
      </x:c>
      <x:c r="O39" s="46" t="n">
        <x:v>0.14</x:v>
      </x:c>
      <x:c r="P39" s="46" t="n">
        <x:v>0.09</x:v>
      </x:c>
      <x:c r="Q39" s="46" t="n">
        <x:v>0.75</x:v>
      </x:c>
      <x:c r="R39" s="46" t="n">
        <x:v>0.15</x:v>
      </x:c>
      <x:c r="S39" s="46" t="n">
        <x:v>0.48</x:v>
      </x:c>
      <x:c r="T39" s="46" t="n">
        <x:v>0.14</x:v>
      </x:c>
      <x:c r="U39" s="46" t="str">
        <x:v>μg/kg</x:v>
      </x:c>
      <x:c r="V39" s="46" t="str">
        <x:v>partial_no_numeric_match_factor</x:v>
      </x:c>
      <x:c r="W39" s="46" t="str">
        <x:v>measured_quantitative</x:v>
      </x:c>
      <x:c r="X39" s="46" t="str">
        <x:v>Source reports mean±SD; governed table stores reported mean concentration. N.D. is stored as blank.</x:v>
      </x:c>
    </x:row>
    <x:row r="40" ht="26.399999618530273" hidden="0" customHeight="1">
      <x:c r="A40" s="46" t="str">
        <x:v>DGM-RAB-039</x:v>
      </x:c>
      <x:c r="B40" s="46" t="str">
        <x:v>game:rabbit_hyla</x:v>
      </x:c>
      <x:c r="C40" s="46" t="str">
        <x:v>family:game_meat</x:v>
      </x:c>
      <x:c r="D40" s="46" t="str">
        <x:v>Hyla rabbit</x:v>
      </x:c>
      <x:c r="E40" s="46" t="str">
        <x:v>foreleg / hind leg / abdomen / longissimus; 75°C SPME intended to simulate boiled aroma</x:v>
      </x:c>
      <x:c r="F40" s="46" t="str">
        <x:v>SRC-GAME-RABBIT-001</x:v>
      </x:c>
      <x:c r="G40" s="46" t="str">
        <x:v>Esters</x:v>
      </x:c>
      <x:c r="H40" s="46" t="str">
        <x:v>Z7</x:v>
      </x:c>
      <x:c r="I40" s="46" t="str">
        <x:v>Dodecanoic acid methyl ester</x:v>
      </x:c>
      <x:c r="J40" s="46" t="str">
        <x:v>MS</x:v>
      </x:c>
      <x:c r="K40" s="46" t="str">
        <x:v>no</x:v>
      </x:c>
      <x:c r="L40" s="46"/>
      <x:c r="M40" s="46" t="n">
        <x:v>0.29</x:v>
      </x:c>
      <x:c r="N40" s="46" t="n">
        <x:v>0.06</x:v>
      </x:c>
      <x:c r="O40" s="46"/>
      <x:c r="P40" s="46"/>
      <x:c r="Q40" s="46" t="n">
        <x:v>0.36</x:v>
      </x:c>
      <x:c r="R40" s="46" t="n">
        <x:v>0.27</x:v>
      </x:c>
      <x:c r="S40" s="46"/>
      <x:c r="T40" s="46"/>
      <x:c r="U40" s="46" t="str">
        <x:v>μg/kg</x:v>
      </x:c>
      <x:c r="V40" s="46" t="str">
        <x:v>partial_no_numeric_match_factor</x:v>
      </x:c>
      <x:c r="W40" s="46" t="str">
        <x:v>measured_quantitative</x:v>
      </x:c>
      <x:c r="X40" s="46" t="str">
        <x:v>Source reports mean±SD; governed table stores reported mean concentration. N.D. is stored as blank.</x:v>
      </x:c>
    </x:row>
    <x:row r="41" ht="26.399999618530273" hidden="0" customHeight="1">
      <x:c r="A41" s="46" t="str">
        <x:v>DGM-RAB-040</x:v>
      </x:c>
      <x:c r="B41" s="46" t="str">
        <x:v>game:rabbit_hyla</x:v>
      </x:c>
      <x:c r="C41" s="46" t="str">
        <x:v>family:game_meat</x:v>
      </x:c>
      <x:c r="D41" s="46" t="str">
        <x:v>Hyla rabbit</x:v>
      </x:c>
      <x:c r="E41" s="46" t="str">
        <x:v>foreleg / hind leg / abdomen / longissimus; 75°C SPME intended to simulate boiled aroma</x:v>
      </x:c>
      <x:c r="F41" s="46" t="str">
        <x:v>SRC-GAME-RABBIT-001</x:v>
      </x:c>
      <x:c r="G41" s="46" t="str">
        <x:v>Esters</x:v>
      </x:c>
      <x:c r="H41" s="46" t="str">
        <x:v>Z8</x:v>
      </x:c>
      <x:c r="I41" s="46" t="str">
        <x:v>Pentadecanoic acid methyl ester</x:v>
      </x:c>
      <x:c r="J41" s="46" t="str">
        <x:v>MS</x:v>
      </x:c>
      <x:c r="K41" s="46" t="str">
        <x:v>no</x:v>
      </x:c>
      <x:c r="L41" s="46"/>
      <x:c r="M41" s="46" t="n">
        <x:v>4.08</x:v>
      </x:c>
      <x:c r="N41" s="46"/>
      <x:c r="O41" s="46"/>
      <x:c r="P41" s="46"/>
      <x:c r="Q41" s="46" t="n">
        <x:v>1.04</x:v>
      </x:c>
      <x:c r="R41" s="46"/>
      <x:c r="S41" s="46"/>
      <x:c r="T41" s="46"/>
      <x:c r="U41" s="46" t="str">
        <x:v>μg/kg</x:v>
      </x:c>
      <x:c r="V41" s="46" t="str">
        <x:v>partial_no_numeric_match_factor</x:v>
      </x:c>
      <x:c r="W41" s="46" t="str">
        <x:v>measured_quantitative</x:v>
      </x:c>
      <x:c r="X41" s="46" t="str">
        <x:v>Source reports mean±SD; governed table stores reported mean concentration. N.D. is stored as blank.</x:v>
      </x:c>
    </x:row>
    <x:row r="42" ht="26.399999618530273" hidden="0" customHeight="1">
      <x:c r="A42" s="46" t="str">
        <x:v>DGM-RAB-041</x:v>
      </x:c>
      <x:c r="B42" s="46" t="str">
        <x:v>game:rabbit_hyla</x:v>
      </x:c>
      <x:c r="C42" s="46" t="str">
        <x:v>family:game_meat</x:v>
      </x:c>
      <x:c r="D42" s="46" t="str">
        <x:v>Hyla rabbit</x:v>
      </x:c>
      <x:c r="E42" s="46" t="str">
        <x:v>foreleg / hind leg / abdomen / longissimus; 75°C SPME intended to simulate boiled aroma</x:v>
      </x:c>
      <x:c r="F42" s="46" t="str">
        <x:v>SRC-GAME-RABBIT-001</x:v>
      </x:c>
      <x:c r="G42" s="46" t="str">
        <x:v>Esters</x:v>
      </x:c>
      <x:c r="H42" s="46" t="str">
        <x:v>Z9</x:v>
      </x:c>
      <x:c r="I42" s="46" t="str">
        <x:v>Hexanoic acid hexyl ester</x:v>
      </x:c>
      <x:c r="J42" s="46" t="str">
        <x:v>MS</x:v>
      </x:c>
      <x:c r="K42" s="46" t="str">
        <x:v>no</x:v>
      </x:c>
      <x:c r="L42" s="46"/>
      <x:c r="M42" s="46"/>
      <x:c r="N42" s="46" t="n">
        <x:v>0.09</x:v>
      </x:c>
      <x:c r="O42" s="46"/>
      <x:c r="P42" s="46"/>
      <x:c r="Q42" s="46"/>
      <x:c r="R42" s="46" t="n">
        <x:v>0.19</x:v>
      </x:c>
      <x:c r="S42" s="46"/>
      <x:c r="T42" s="46"/>
      <x:c r="U42" s="46" t="str">
        <x:v>μg/kg</x:v>
      </x:c>
      <x:c r="V42" s="46" t="str">
        <x:v>partial_no_numeric_match_factor</x:v>
      </x:c>
      <x:c r="W42" s="46" t="str">
        <x:v>measured_quantitative</x:v>
      </x:c>
      <x:c r="X42" s="46" t="str">
        <x:v>Source reports mean±SD; governed table stores reported mean concentration. N.D. is stored as blank.</x:v>
      </x:c>
    </x:row>
    <x:row r="43" ht="26.399999618530273" hidden="0" customHeight="1">
      <x:c r="A43" s="46" t="str">
        <x:v>DGM-RAB-042</x:v>
      </x:c>
      <x:c r="B43" s="46" t="str">
        <x:v>game:rabbit_hyla</x:v>
      </x:c>
      <x:c r="C43" s="46" t="str">
        <x:v>family:game_meat</x:v>
      </x:c>
      <x:c r="D43" s="46" t="str">
        <x:v>Hyla rabbit</x:v>
      </x:c>
      <x:c r="E43" s="46" t="str">
        <x:v>foreleg / hind leg / abdomen / longissimus; 75°C SPME intended to simulate boiled aroma</x:v>
      </x:c>
      <x:c r="F43" s="46" t="str">
        <x:v>SRC-GAME-RABBIT-001</x:v>
      </x:c>
      <x:c r="G43" s="46" t="str">
        <x:v>Esters</x:v>
      </x:c>
      <x:c r="H43" s="46" t="str">
        <x:v>Z10</x:v>
      </x:c>
      <x:c r="I43" s="46" t="str">
        <x:v>Hexanoic acid pentyl ester</x:v>
      </x:c>
      <x:c r="J43" s="46" t="str">
        <x:v>MS</x:v>
      </x:c>
      <x:c r="K43" s="46" t="str">
        <x:v>no</x:v>
      </x:c>
      <x:c r="L43" s="46"/>
      <x:c r="M43" s="46"/>
      <x:c r="N43" s="46" t="n">
        <x:v>0.07</x:v>
      </x:c>
      <x:c r="O43" s="46"/>
      <x:c r="P43" s="46" t="n">
        <x:v>0.08</x:v>
      </x:c>
      <x:c r="Q43" s="46"/>
      <x:c r="R43" s="46" t="n">
        <x:v>0.07</x:v>
      </x:c>
      <x:c r="S43" s="46"/>
      <x:c r="T43" s="46"/>
      <x:c r="U43" s="46" t="str">
        <x:v>μg/kg</x:v>
      </x:c>
      <x:c r="V43" s="46" t="str">
        <x:v>partial_no_numeric_match_factor</x:v>
      </x:c>
      <x:c r="W43" s="46" t="str">
        <x:v>measured_quantitative</x:v>
      </x:c>
      <x:c r="X43" s="46" t="str">
        <x:v>Source reports mean±SD; governed table stores reported mean concentration. N.D. is stored as blank.</x:v>
      </x:c>
    </x:row>
    <x:row r="44" ht="26.399999618530273" hidden="0" customHeight="1">
      <x:c r="A44" s="46" t="str">
        <x:v>DGM-RAB-043</x:v>
      </x:c>
      <x:c r="B44" s="46" t="str">
        <x:v>game:rabbit_hyla</x:v>
      </x:c>
      <x:c r="C44" s="46" t="str">
        <x:v>family:game_meat</x:v>
      </x:c>
      <x:c r="D44" s="46" t="str">
        <x:v>Hyla rabbit</x:v>
      </x:c>
      <x:c r="E44" s="46" t="str">
        <x:v>foreleg / hind leg / abdomen / longissimus; 75°C SPME intended to simulate boiled aroma</x:v>
      </x:c>
      <x:c r="F44" s="46" t="str">
        <x:v>SRC-GAME-RABBIT-001</x:v>
      </x:c>
      <x:c r="G44" s="46" t="str">
        <x:v>Esters</x:v>
      </x:c>
      <x:c r="H44" s="46" t="str">
        <x:v>Z11</x:v>
      </x:c>
      <x:c r="I44" s="46" t="str">
        <x:v>Hexanoic acid octyl ester</x:v>
      </x:c>
      <x:c r="J44" s="46" t="str">
        <x:v>MS</x:v>
      </x:c>
      <x:c r="K44" s="46" t="str">
        <x:v>no</x:v>
      </x:c>
      <x:c r="L44" s="46"/>
      <x:c r="M44" s="46"/>
      <x:c r="N44" s="46" t="n">
        <x:v>0.03</x:v>
      </x:c>
      <x:c r="O44" s="46"/>
      <x:c r="P44" s="46" t="n">
        <x:v>0.09</x:v>
      </x:c>
      <x:c r="Q44" s="46"/>
      <x:c r="R44" s="46"/>
      <x:c r="S44" s="46"/>
      <x:c r="T44" s="46" t="n">
        <x:v>0.16</x:v>
      </x:c>
      <x:c r="U44" s="46" t="str">
        <x:v>μg/kg</x:v>
      </x:c>
      <x:c r="V44" s="46" t="str">
        <x:v>partial_no_numeric_match_factor</x:v>
      </x:c>
      <x:c r="W44" s="46" t="str">
        <x:v>measured_quantitative</x:v>
      </x:c>
      <x:c r="X44" s="46" t="str">
        <x:v>Source reports mean±SD; governed table stores reported mean concentration. N.D. is stored as blank.</x:v>
      </x:c>
    </x:row>
    <x:row r="45" ht="26.399999618530273" hidden="0" customHeight="1">
      <x:c r="A45" s="46" t="str">
        <x:v>DGM-RAB-044</x:v>
      </x:c>
      <x:c r="B45" s="46" t="str">
        <x:v>game:rabbit_hyla</x:v>
      </x:c>
      <x:c r="C45" s="46" t="str">
        <x:v>family:game_meat</x:v>
      </x:c>
      <x:c r="D45" s="46" t="str">
        <x:v>Hyla rabbit</x:v>
      </x:c>
      <x:c r="E45" s="46" t="str">
        <x:v>foreleg / hind leg / abdomen / longissimus; 75°C SPME intended to simulate boiled aroma</x:v>
      </x:c>
      <x:c r="F45" s="46" t="str">
        <x:v>SRC-GAME-RABBIT-001</x:v>
      </x:c>
      <x:c r="G45" s="46" t="str">
        <x:v>Aromatics</x:v>
      </x:c>
      <x:c r="H45" s="46" t="str">
        <x:v>F1</x:v>
      </x:c>
      <x:c r="I45" s="46" t="str">
        <x:v>Naphthalene</x:v>
      </x:c>
      <x:c r="J45" s="46" t="str">
        <x:v>MS,RI</x:v>
      </x:c>
      <x:c r="K45" s="46" t="str">
        <x:v>no</x:v>
      </x:c>
      <x:c r="L45" s="46" t="str">
        <x:v>60</x:v>
      </x:c>
      <x:c r="M45" s="46" t="n">
        <x:v>0.18</x:v>
      </x:c>
      <x:c r="N45" s="46"/>
      <x:c r="O45" s="46" t="n">
        <x:v>0.2</x:v>
      </x:c>
      <x:c r="P45" s="46"/>
      <x:c r="Q45" s="46" t="n">
        <x:v>0.27</x:v>
      </x:c>
      <x:c r="R45" s="46"/>
      <x:c r="S45" s="46" t="n">
        <x:v>0.23</x:v>
      </x:c>
      <x:c r="T45" s="46"/>
      <x:c r="U45" s="46" t="str">
        <x:v>μg/kg</x:v>
      </x:c>
      <x:c r="V45" s="46" t="str">
        <x:v>partial_no_numeric_match_factor</x:v>
      </x:c>
      <x:c r="W45" s="46" t="str">
        <x:v>measured_quantitative</x:v>
      </x:c>
      <x:c r="X45" s="46" t="str">
        <x:v>Source reports mean±SD; governed table stores reported mean concentration. N.D. is stored as blank.</x:v>
      </x:c>
    </x:row>
    <x:row r="46" ht="26.399999618530273" hidden="0" customHeight="1">
      <x:c r="A46" s="46" t="str">
        <x:v>DGM-RAB-045</x:v>
      </x:c>
      <x:c r="B46" s="46" t="str">
        <x:v>game:rabbit_hyla</x:v>
      </x:c>
      <x:c r="C46" s="46" t="str">
        <x:v>family:game_meat</x:v>
      </x:c>
      <x:c r="D46" s="46" t="str">
        <x:v>Hyla rabbit</x:v>
      </x:c>
      <x:c r="E46" s="46" t="str">
        <x:v>foreleg / hind leg / abdomen / longissimus; 75°C SPME intended to simulate boiled aroma</x:v>
      </x:c>
      <x:c r="F46" s="46" t="str">
        <x:v>SRC-GAME-RABBIT-001</x:v>
      </x:c>
      <x:c r="G46" s="46" t="str">
        <x:v>Aromatics</x:v>
      </x:c>
      <x:c r="H46" s="46" t="str">
        <x:v>F2</x:v>
      </x:c>
      <x:c r="I46" s="46" t="str">
        <x:v>Pentylbenzene</x:v>
      </x:c>
      <x:c r="J46" s="46" t="str">
        <x:v>MS,RI</x:v>
      </x:c>
      <x:c r="K46" s="46" t="str">
        <x:v>no</x:v>
      </x:c>
      <x:c r="L46" s="46"/>
      <x:c r="M46" s="46"/>
      <x:c r="N46" s="46"/>
      <x:c r="O46" s="46"/>
      <x:c r="P46" s="46"/>
      <x:c r="Q46" s="46" t="n">
        <x:v>0.11</x:v>
      </x:c>
      <x:c r="R46" s="46" t="n">
        <x:v>0.05</x:v>
      </x:c>
      <x:c r="S46" s="46"/>
      <x:c r="T46" s="46"/>
      <x:c r="U46" s="46" t="str">
        <x:v>μg/kg</x:v>
      </x:c>
      <x:c r="V46" s="46" t="str">
        <x:v>partial_no_numeric_match_factor</x:v>
      </x:c>
      <x:c r="W46" s="46" t="str">
        <x:v>measured_quantitative</x:v>
      </x:c>
      <x:c r="X46" s="46" t="str">
        <x:v>Source prints 'Benzene pentyl'; normalized to pentylbenzene.</x:v>
      </x:c>
    </x:row>
    <x:row r="47" ht="26.399999618530273" hidden="0" customHeight="1">
      <x:c r="A47" s="46" t="str">
        <x:v>DGM-RAB-046</x:v>
      </x:c>
      <x:c r="B47" s="46" t="str">
        <x:v>game:rabbit_hyla</x:v>
      </x:c>
      <x:c r="C47" s="46" t="str">
        <x:v>family:game_meat</x:v>
      </x:c>
      <x:c r="D47" s="46" t="str">
        <x:v>Hyla rabbit</x:v>
      </x:c>
      <x:c r="E47" s="46" t="str">
        <x:v>foreleg / hind leg / abdomen / longissimus; 75°C SPME intended to simulate boiled aroma</x:v>
      </x:c>
      <x:c r="F47" s="46" t="str">
        <x:v>SRC-GAME-RABBIT-001</x:v>
      </x:c>
      <x:c r="G47" s="46" t="str">
        <x:v>Aromatics</x:v>
      </x:c>
      <x:c r="H47" s="46" t="str">
        <x:v>F3</x:v>
      </x:c>
      <x:c r="I47" s="46" t="str">
        <x:v>Styrene</x:v>
      </x:c>
      <x:c r="J47" s="46" t="str">
        <x:v>MS,RI</x:v>
      </x:c>
      <x:c r="K47" s="46" t="str">
        <x:v>no</x:v>
      </x:c>
      <x:c r="L47" s="46" t="str">
        <x:v>65</x:v>
      </x:c>
      <x:c r="M47" s="46" t="n">
        <x:v>1.19</x:v>
      </x:c>
      <x:c r="N47" s="46" t="n">
        <x:v>0.59</x:v>
      </x:c>
      <x:c r="O47" s="46" t="n">
        <x:v>1.52</x:v>
      </x:c>
      <x:c r="P47" s="46" t="n">
        <x:v>0.57</x:v>
      </x:c>
      <x:c r="Q47" s="46" t="n">
        <x:v>1.47</x:v>
      </x:c>
      <x:c r="R47" s="46" t="n">
        <x:v>0.64</x:v>
      </x:c>
      <x:c r="S47" s="46"/>
      <x:c r="T47" s="46"/>
      <x:c r="U47" s="46" t="str">
        <x:v>μg/kg</x:v>
      </x:c>
      <x:c r="V47" s="46" t="str">
        <x:v>partial_no_numeric_match_factor</x:v>
      </x:c>
      <x:c r="W47" s="46" t="str">
        <x:v>measured_quantitative</x:v>
      </x:c>
      <x:c r="X47" s="46" t="str">
        <x:v>Source reports mean±SD; governed table stores reported mean concentration. N.D. is stored as blank.</x:v>
      </x:c>
    </x:row>
    <x:row r="48" ht="26.399999618530273" hidden="0" customHeight="1">
      <x:c r="A48" s="46" t="str">
        <x:v>DGM-RAB-047</x:v>
      </x:c>
      <x:c r="B48" s="46" t="str">
        <x:v>game:rabbit_hyla</x:v>
      </x:c>
      <x:c r="C48" s="46" t="str">
        <x:v>family:game_meat</x:v>
      </x:c>
      <x:c r="D48" s="46" t="str">
        <x:v>Hyla rabbit</x:v>
      </x:c>
      <x:c r="E48" s="46" t="str">
        <x:v>foreleg / hind leg / abdomen / longissimus; 75°C SPME intended to simulate boiled aroma</x:v>
      </x:c>
      <x:c r="F48" s="46" t="str">
        <x:v>SRC-GAME-RABBIT-001</x:v>
      </x:c>
      <x:c r="G48" s="46" t="str">
        <x:v>Aromatics</x:v>
      </x:c>
      <x:c r="H48" s="46" t="str">
        <x:v>F4</x:v>
      </x:c>
      <x:c r="I48" s="46" t="str">
        <x:v>Toluene</x:v>
      </x:c>
      <x:c r="J48" s="46" t="str">
        <x:v>MS,RI</x:v>
      </x:c>
      <x:c r="K48" s="46" t="str">
        <x:v>no</x:v>
      </x:c>
      <x:c r="L48" s="46" t="str">
        <x:v>1550</x:v>
      </x:c>
      <x:c r="M48" s="46"/>
      <x:c r="N48" s="46"/>
      <x:c r="O48" s="46"/>
      <x:c r="P48" s="46"/>
      <x:c r="Q48" s="46" t="n">
        <x:v>0.45</x:v>
      </x:c>
      <x:c r="R48" s="46" t="n">
        <x:v>0.34</x:v>
      </x:c>
      <x:c r="S48" s="46"/>
      <x:c r="T48" s="46"/>
      <x:c r="U48" s="46" t="str">
        <x:v>μg/kg</x:v>
      </x:c>
      <x:c r="V48" s="46" t="str">
        <x:v>partial_no_numeric_match_factor</x:v>
      </x:c>
      <x:c r="W48" s="46" t="str">
        <x:v>measured_quantitative</x:v>
      </x:c>
      <x:c r="X48" s="46" t="str">
        <x:v>Source reports mean±SD; governed table stores reported mean concentration. N.D. is stored as blank.</x:v>
      </x:c>
    </x:row>
    <x:row r="49" ht="26.399999618530273" hidden="0" customHeight="1">
      <x:c r="A49" s="46" t="str">
        <x:v>DGM-RAB-048</x:v>
      </x:c>
      <x:c r="B49" s="46" t="str">
        <x:v>game:rabbit_hyla</x:v>
      </x:c>
      <x:c r="C49" s="46" t="str">
        <x:v>family:game_meat</x:v>
      </x:c>
      <x:c r="D49" s="46" t="str">
        <x:v>Hyla rabbit</x:v>
      </x:c>
      <x:c r="E49" s="46" t="str">
        <x:v>foreleg / hind leg / abdomen / longissimus; 75°C SPME intended to simulate boiled aroma</x:v>
      </x:c>
      <x:c r="F49" s="46" t="str">
        <x:v>SRC-GAME-RABBIT-001</x:v>
      </x:c>
      <x:c r="G49" s="46" t="str">
        <x:v>Aromatics</x:v>
      </x:c>
      <x:c r="H49" s="46" t="str">
        <x:v>F5</x:v>
      </x:c>
      <x:c r="I49" s="46" t="str">
        <x:v>Ethylbenzene</x:v>
      </x:c>
      <x:c r="J49" s="46" t="str">
        <x:v>MS,RI</x:v>
      </x:c>
      <x:c r="K49" s="46" t="str">
        <x:v>no</x:v>
      </x:c>
      <x:c r="L49" s="46" t="str">
        <x:v>2205</x:v>
      </x:c>
      <x:c r="M49" s="46"/>
      <x:c r="N49" s="46"/>
      <x:c r="O49" s="46"/>
      <x:c r="P49" s="46"/>
      <x:c r="Q49" s="46" t="n">
        <x:v>0.46</x:v>
      </x:c>
      <x:c r="R49" s="46" t="n">
        <x:v>0.26</x:v>
      </x:c>
      <x:c r="S49" s="46"/>
      <x:c r="T49" s="46"/>
      <x:c r="U49" s="46" t="str">
        <x:v>μg/kg</x:v>
      </x:c>
      <x:c r="V49" s="46" t="str">
        <x:v>partial_no_numeric_match_factor</x:v>
      </x:c>
      <x:c r="W49" s="46" t="str">
        <x:v>measured_quantitative</x:v>
      </x:c>
      <x:c r="X49" s="46" t="str">
        <x:v>Source reports mean±SD; governed table stores reported mean concentration. N.D. is stored as blank.</x:v>
      </x:c>
    </x:row>
    <x:row r="50" ht="26.399999618530273" hidden="0" customHeight="1">
      <x:c r="A50" s="46" t="str">
        <x:v>DGM-RAB-049</x:v>
      </x:c>
      <x:c r="B50" s="46" t="str">
        <x:v>game:rabbit_hyla</x:v>
      </x:c>
      <x:c r="C50" s="46" t="str">
        <x:v>family:game_meat</x:v>
      </x:c>
      <x:c r="D50" s="46" t="str">
        <x:v>Hyla rabbit</x:v>
      </x:c>
      <x:c r="E50" s="46" t="str">
        <x:v>foreleg / hind leg / abdomen / longissimus; 75°C SPME intended to simulate boiled aroma</x:v>
      </x:c>
      <x:c r="F50" s="46" t="str">
        <x:v>SRC-GAME-RABBIT-001</x:v>
      </x:c>
      <x:c r="G50" s="46" t="str">
        <x:v>Acids</x:v>
      </x:c>
      <x:c r="H50" s="46" t="str">
        <x:v>A1</x:v>
      </x:c>
      <x:c r="I50" s="46" t="str">
        <x:v>Decanoic acid</x:v>
      </x:c>
      <x:c r="J50" s="46" t="str">
        <x:v>MS,RI</x:v>
      </x:c>
      <x:c r="K50" s="46" t="str">
        <x:v>no</x:v>
      </x:c>
      <x:c r="L50" s="46" t="str">
        <x:v>2800</x:v>
      </x:c>
      <x:c r="M50" s="46" t="n">
        <x:v>0.75</x:v>
      </x:c>
      <x:c r="N50" s="46" t="n">
        <x:v>0.76</x:v>
      </x:c>
      <x:c r="O50" s="46" t="n">
        <x:v>0.81</x:v>
      </x:c>
      <x:c r="P50" s="46" t="n">
        <x:v>0.82</x:v>
      </x:c>
      <x:c r="Q50" s="46" t="n">
        <x:v>0.98</x:v>
      </x:c>
      <x:c r="R50" s="46" t="n">
        <x:v>0.95</x:v>
      </x:c>
      <x:c r="S50" s="46" t="n">
        <x:v>0.78</x:v>
      </x:c>
      <x:c r="T50" s="46" t="n">
        <x:v>0.77</x:v>
      </x:c>
      <x:c r="U50" s="46" t="str">
        <x:v>μg/kg</x:v>
      </x:c>
      <x:c r="V50" s="46" t="str">
        <x:v>partial_no_numeric_match_factor</x:v>
      </x:c>
      <x:c r="W50" s="46" t="str">
        <x:v>measured_quantitative</x:v>
      </x:c>
      <x:c r="X50" s="46" t="str">
        <x:v>Source reports mean±SD; governed table stores reported mean concentration. N.D. is stored as blank.</x:v>
      </x:c>
    </x:row>
    <x:row r="51" ht="26.399999618530273" hidden="0" customHeight="1">
      <x:c r="A51" s="46" t="str">
        <x:v>DGM-RAB-050</x:v>
      </x:c>
      <x:c r="B51" s="46" t="str">
        <x:v>game:rabbit_hyla</x:v>
      </x:c>
      <x:c r="C51" s="46" t="str">
        <x:v>family:game_meat</x:v>
      </x:c>
      <x:c r="D51" s="46" t="str">
        <x:v>Hyla rabbit</x:v>
      </x:c>
      <x:c r="E51" s="46" t="str">
        <x:v>foreleg / hind leg / abdomen / longissimus; 75°C SPME intended to simulate boiled aroma</x:v>
      </x:c>
      <x:c r="F51" s="46" t="str">
        <x:v>SRC-GAME-RABBIT-001</x:v>
      </x:c>
      <x:c r="G51" s="46" t="str">
        <x:v>Acids</x:v>
      </x:c>
      <x:c r="H51" s="46" t="str">
        <x:v>A2</x:v>
      </x:c>
      <x:c r="I51" s="46" t="str">
        <x:v>Butanoic acid</x:v>
      </x:c>
      <x:c r="J51" s="46" t="str">
        <x:v>MS,RI</x:v>
      </x:c>
      <x:c r="K51" s="46" t="str">
        <x:v>no</x:v>
      </x:c>
      <x:c r="L51" s="46" t="str">
        <x:v>240</x:v>
      </x:c>
      <x:c r="M51" s="46" t="n">
        <x:v>1.23</x:v>
      </x:c>
      <x:c r="N51" s="46" t="n">
        <x:v>1.21</x:v>
      </x:c>
      <x:c r="O51" s="46" t="n">
        <x:v>1.45</x:v>
      </x:c>
      <x:c r="P51" s="46" t="n">
        <x:v>1.41</x:v>
      </x:c>
      <x:c r="Q51" s="46" t="n">
        <x:v>0.98</x:v>
      </x:c>
      <x:c r="R51" s="46" t="n">
        <x:v>0.95</x:v>
      </x:c>
      <x:c r="S51" s="46" t="n">
        <x:v>1.79</x:v>
      </x:c>
      <x:c r="T51" s="46" t="n">
        <x:v>1.68</x:v>
      </x:c>
      <x:c r="U51" s="46" t="str">
        <x:v>μg/kg</x:v>
      </x:c>
      <x:c r="V51" s="46" t="str">
        <x:v>partial_no_numeric_match_factor</x:v>
      </x:c>
      <x:c r="W51" s="46" t="str">
        <x:v>measured_quantitative</x:v>
      </x:c>
      <x:c r="X51" s="46" t="str">
        <x:v>Source reports mean±SD; governed table stores reported mean concentration. N.D. is stored as blank.</x:v>
      </x:c>
    </x:row>
    <x:row r="52" ht="26.399999618530273" hidden="0" customHeight="1">
      <x:c r="A52" s="46" t="str">
        <x:v>DGM-RAB-051</x:v>
      </x:c>
      <x:c r="B52" s="46" t="str">
        <x:v>game:rabbit_hyla</x:v>
      </x:c>
      <x:c r="C52" s="46" t="str">
        <x:v>family:game_meat</x:v>
      </x:c>
      <x:c r="D52" s="46" t="str">
        <x:v>Hyla rabbit</x:v>
      </x:c>
      <x:c r="E52" s="46" t="str">
        <x:v>foreleg / hind leg / abdomen / longissimus; 75°C SPME intended to simulate boiled aroma</x:v>
      </x:c>
      <x:c r="F52" s="46" t="str">
        <x:v>SRC-GAME-RABBIT-001</x:v>
      </x:c>
      <x:c r="G52" s="46" t="str">
        <x:v>Acids</x:v>
      </x:c>
      <x:c r="H52" s="46" t="str">
        <x:v>A3</x:v>
      </x:c>
      <x:c r="I52" s="46" t="str">
        <x:v>Tetradecanoic acid</x:v>
      </x:c>
      <x:c r="J52" s="46" t="str">
        <x:v>MS,RI</x:v>
      </x:c>
      <x:c r="K52" s="46" t="str">
        <x:v>no</x:v>
      </x:c>
      <x:c r="L52" s="46"/>
      <x:c r="M52" s="46"/>
      <x:c r="N52" s="46" t="n">
        <x:v>0.26</x:v>
      </x:c>
      <x:c r="O52" s="46"/>
      <x:c r="P52" s="46" t="n">
        <x:v>0.17</x:v>
      </x:c>
      <x:c r="Q52" s="46"/>
      <x:c r="R52" s="46" t="n">
        <x:v>0.26</x:v>
      </x:c>
      <x:c r="S52" s="46"/>
      <x:c r="T52" s="46" t="n">
        <x:v>0.63</x:v>
      </x:c>
      <x:c r="U52" s="46" t="str">
        <x:v>μg/kg</x:v>
      </x:c>
      <x:c r="V52" s="46" t="str">
        <x:v>partial_no_numeric_match_factor</x:v>
      </x:c>
      <x:c r="W52" s="46" t="str">
        <x:v>measured_quantitative</x:v>
      </x:c>
      <x:c r="X52" s="46" t="str">
        <x:v>Source reports mean±SD; governed table stores reported mean concentration. N.D. is stored as blank.</x:v>
      </x:c>
    </x:row>
    <x:row r="53" ht="26.399999618530273" hidden="0" customHeight="1">
      <x:c r="A53" s="46" t="str">
        <x:v>DGM-RAB-052</x:v>
      </x:c>
      <x:c r="B53" s="46" t="str">
        <x:v>game:rabbit_hyla</x:v>
      </x:c>
      <x:c r="C53" s="46" t="str">
        <x:v>family:game_meat</x:v>
      </x:c>
      <x:c r="D53" s="46" t="str">
        <x:v>Hyla rabbit</x:v>
      </x:c>
      <x:c r="E53" s="46" t="str">
        <x:v>foreleg / hind leg / abdomen / longissimus; 75°C SPME intended to simulate boiled aroma</x:v>
      </x:c>
      <x:c r="F53" s="46" t="str">
        <x:v>SRC-GAME-RABBIT-001</x:v>
      </x:c>
      <x:c r="G53" s="46" t="str">
        <x:v>Acids</x:v>
      </x:c>
      <x:c r="H53" s="46" t="str">
        <x:v>A4</x:v>
      </x:c>
      <x:c r="I53" s="46" t="str">
        <x:v>Hexadecanoic acid</x:v>
      </x:c>
      <x:c r="J53" s="46" t="str">
        <x:v>MS,RI</x:v>
      </x:c>
      <x:c r="K53" s="46" t="str">
        <x:v>no</x:v>
      </x:c>
      <x:c r="L53" s="46"/>
      <x:c r="M53" s="46"/>
      <x:c r="N53" s="46" t="n">
        <x:v>1.84</x:v>
      </x:c>
      <x:c r="O53" s="46"/>
      <x:c r="P53" s="46" t="n">
        <x:v>3.31</x:v>
      </x:c>
      <x:c r="Q53" s="46"/>
      <x:c r="R53" s="46" t="n">
        <x:v>2.66</x:v>
      </x:c>
      <x:c r="S53" s="46"/>
      <x:c r="T53" s="46" t="n">
        <x:v>5.47</x:v>
      </x:c>
      <x:c r="U53" s="46" t="str">
        <x:v>μg/kg</x:v>
      </x:c>
      <x:c r="V53" s="46" t="str">
        <x:v>partial_no_numeric_match_factor</x:v>
      </x:c>
      <x:c r="W53" s="46" t="str">
        <x:v>measured_quantitative</x:v>
      </x:c>
      <x:c r="X53" s="46" t="str">
        <x:v>Source reports mean±SD; governed table stores reported mean concentration. N.D. is stored as blank.</x:v>
      </x:c>
    </x:row>
    <x:row r="54" ht="26.399999618530273" hidden="0" customHeight="1">
      <x:c r="A54" s="46" t="str">
        <x:v>DGM-RAB-053</x:v>
      </x:c>
      <x:c r="B54" s="46" t="str">
        <x:v>game:rabbit_hyla</x:v>
      </x:c>
      <x:c r="C54" s="46" t="str">
        <x:v>family:game_meat</x:v>
      </x:c>
      <x:c r="D54" s="46" t="str">
        <x:v>Hyla rabbit</x:v>
      </x:c>
      <x:c r="E54" s="46" t="str">
        <x:v>foreleg / hind leg / abdomen / longissimus; 75°C SPME intended to simulate boiled aroma</x:v>
      </x:c>
      <x:c r="F54" s="46" t="str">
        <x:v>SRC-GAME-RABBIT-001</x:v>
      </x:c>
      <x:c r="G54" s="46" t="str">
        <x:v>Acids</x:v>
      </x:c>
      <x:c r="H54" s="46" t="str">
        <x:v>A5</x:v>
      </x:c>
      <x:c r="I54" s="46" t="str">
        <x:v>Octadecanoic acid</x:v>
      </x:c>
      <x:c r="J54" s="46" t="str">
        <x:v>MS,RI</x:v>
      </x:c>
      <x:c r="K54" s="46" t="str">
        <x:v>no</x:v>
      </x:c>
      <x:c r="L54" s="46"/>
      <x:c r="M54" s="46"/>
      <x:c r="N54" s="46" t="n">
        <x:v>1.31</x:v>
      </x:c>
      <x:c r="O54" s="46"/>
      <x:c r="P54" s="46" t="n">
        <x:v>2.43</x:v>
      </x:c>
      <x:c r="Q54" s="46"/>
      <x:c r="R54" s="46" t="n">
        <x:v>1.91</x:v>
      </x:c>
      <x:c r="S54" s="46"/>
      <x:c r="T54" s="46" t="n">
        <x:v>0.04</x:v>
      </x:c>
      <x:c r="U54" s="46" t="str">
        <x:v>μg/kg</x:v>
      </x:c>
      <x:c r="V54" s="46" t="str">
        <x:v>partial_no_numeric_match_factor</x:v>
      </x:c>
      <x:c r="W54" s="46" t="str">
        <x:v>measured_quantitative</x:v>
      </x:c>
      <x:c r="X54" s="46" t="str">
        <x:v>Source reports mean±SD; governed table stores reported mean concentration. N.D. is stored as blank.</x:v>
      </x:c>
    </x:row>
    <x:row r="55" ht="26.399999618530273" hidden="0" customHeight="1">
      <x:c r="A55" s="46" t="str">
        <x:v>DGM-RAB-054</x:v>
      </x:c>
      <x:c r="B55" s="46" t="str">
        <x:v>game:rabbit_hyla</x:v>
      </x:c>
      <x:c r="C55" s="46" t="str">
        <x:v>family:game_meat</x:v>
      </x:c>
      <x:c r="D55" s="46" t="str">
        <x:v>Hyla rabbit</x:v>
      </x:c>
      <x:c r="E55" s="46" t="str">
        <x:v>foreleg / hind leg / abdomen / longissimus; 75°C SPME intended to simulate boiled aroma</x:v>
      </x:c>
      <x:c r="F55" s="46" t="str">
        <x:v>SRC-GAME-RABBIT-001</x:v>
      </x:c>
      <x:c r="G55" s="46" t="str">
        <x:v>Acids</x:v>
      </x:c>
      <x:c r="H55" s="46" t="str">
        <x:v>A6</x:v>
      </x:c>
      <x:c r="I55" s="46" t="str">
        <x:v>Oleic acid</x:v>
      </x:c>
      <x:c r="J55" s="46" t="str">
        <x:v>MS,RI</x:v>
      </x:c>
      <x:c r="K55" s="46" t="str">
        <x:v>no</x:v>
      </x:c>
      <x:c r="L55" s="46"/>
      <x:c r="M55" s="46"/>
      <x:c r="N55" s="46" t="n">
        <x:v>2.42</x:v>
      </x:c>
      <x:c r="O55" s="46"/>
      <x:c r="P55" s="46" t="n">
        <x:v>4.81</x:v>
      </x:c>
      <x:c r="Q55" s="46"/>
      <x:c r="R55" s="46" t="n">
        <x:v>3.87</x:v>
      </x:c>
      <x:c r="S55" s="46"/>
      <x:c r="T55" s="46" t="n">
        <x:v>7.52</x:v>
      </x:c>
      <x:c r="U55" s="46" t="str">
        <x:v>μg/kg</x:v>
      </x:c>
      <x:c r="V55" s="46" t="str">
        <x:v>partial_no_numeric_match_factor</x:v>
      </x:c>
      <x:c r="W55" s="46" t="str">
        <x:v>measured_quantitative</x:v>
      </x:c>
      <x:c r="X55" s="46" t="str">
        <x:v>Source reports mean±SD; governed table stores reported mean concentration. N.D. is stored as blank.</x:v>
      </x:c>
    </x:row>
    <x:row r="56" ht="26.399999618530273" hidden="0" customHeight="1">
      <x:c r="A56" s="46" t="str">
        <x:v>DGM-RAB-055</x:v>
      </x:c>
      <x:c r="B56" s="46" t="str">
        <x:v>game:rabbit_hyla</x:v>
      </x:c>
      <x:c r="C56" s="46" t="str">
        <x:v>family:game_meat</x:v>
      </x:c>
      <x:c r="D56" s="46" t="str">
        <x:v>Hyla rabbit</x:v>
      </x:c>
      <x:c r="E56" s="46" t="str">
        <x:v>foreleg / hind leg / abdomen / longissimus; 75°C SPME intended to simulate boiled aroma</x:v>
      </x:c>
      <x:c r="F56" s="46" t="str">
        <x:v>SRC-GAME-RABBIT-001</x:v>
      </x:c>
      <x:c r="G56" s="46" t="str">
        <x:v>Acids</x:v>
      </x:c>
      <x:c r="H56" s="46" t="str">
        <x:v>A7</x:v>
      </x:c>
      <x:c r="I56" s="46" t="str">
        <x:v>Dodecanoic acid</x:v>
      </x:c>
      <x:c r="J56" s="46" t="str">
        <x:v>MS,RI</x:v>
      </x:c>
      <x:c r="K56" s="46" t="str">
        <x:v>no</x:v>
      </x:c>
      <x:c r="L56" s="46" t="str">
        <x:v>source threshold print ambiguous</x:v>
      </x:c>
      <x:c r="M56" s="46" t="n">
        <x:v>0.41</x:v>
      </x:c>
      <x:c r="N56" s="46" t="n">
        <x:v>0.42</x:v>
      </x:c>
      <x:c r="O56" s="46" t="n">
        <x:v>0.35</x:v>
      </x:c>
      <x:c r="P56" s="46" t="n">
        <x:v>0.33</x:v>
      </x:c>
      <x:c r="Q56" s="46" t="n">
        <x:v>0.78</x:v>
      </x:c>
      <x:c r="R56" s="46" t="n">
        <x:v>0.74</x:v>
      </x:c>
      <x:c r="S56" s="46" t="n">
        <x:v>0.28</x:v>
      </x:c>
      <x:c r="T56" s="46" t="n">
        <x:v>0.27</x:v>
      </x:c>
      <x:c r="U56" s="46" t="str">
        <x:v>μg/kg</x:v>
      </x:c>
      <x:c r="V56" s="46" t="str">
        <x:v>partial_no_numeric_match_factor</x:v>
      </x:c>
      <x:c r="W56" s="46" t="str">
        <x:v>measured_quantitative</x:v>
      </x:c>
      <x:c r="X56" s="46" t="str">
        <x:v>Source reports mean±SD; governed table stores reported mean concentration. N.D. is stored as blank.</x:v>
      </x:c>
    </x:row>
    <x:row r="57" ht="26.399999618530273" hidden="0" customHeight="1">
      <x:c r="A57" s="46" t="str">
        <x:v>DGM-RAB-056</x:v>
      </x:c>
      <x:c r="B57" s="46" t="str">
        <x:v>game:rabbit_hyla</x:v>
      </x:c>
      <x:c r="C57" s="46" t="str">
        <x:v>family:game_meat</x:v>
      </x:c>
      <x:c r="D57" s="46" t="str">
        <x:v>Hyla rabbit</x:v>
      </x:c>
      <x:c r="E57" s="46" t="str">
        <x:v>foreleg / hind leg / abdomen / longissimus; 75°C SPME intended to simulate boiled aroma</x:v>
      </x:c>
      <x:c r="F57" s="46" t="str">
        <x:v>SRC-GAME-RABBIT-001</x:v>
      </x:c>
      <x:c r="G57" s="46" t="str">
        <x:v>Acids</x:v>
      </x:c>
      <x:c r="H57" s="46" t="str">
        <x:v>A8</x:v>
      </x:c>
      <x:c r="I57" s="46" t="str">
        <x:v>Heptadecanoic acid</x:v>
      </x:c>
      <x:c r="J57" s="46" t="str">
        <x:v>MS,RI</x:v>
      </x:c>
      <x:c r="K57" s="46" t="str">
        <x:v>no</x:v>
      </x:c>
      <x:c r="L57" s="46"/>
      <x:c r="M57" s="46"/>
      <x:c r="N57" s="46" t="n">
        <x:v>0.02</x:v>
      </x:c>
      <x:c r="O57" s="46"/>
      <x:c r="P57" s="46" t="n">
        <x:v>0.12</x:v>
      </x:c>
      <x:c r="Q57" s="46"/>
      <x:c r="R57" s="46" t="n">
        <x:v>0.05</x:v>
      </x:c>
      <x:c r="S57" s="46"/>
      <x:c r="T57" s="46" t="n">
        <x:v>0.11</x:v>
      </x:c>
      <x:c r="U57" s="46" t="str">
        <x:v>μg/kg</x:v>
      </x:c>
      <x:c r="V57" s="46" t="str">
        <x:v>partial_no_numeric_match_factor</x:v>
      </x:c>
      <x:c r="W57" s="46" t="str">
        <x:v>measured_quantitative</x:v>
      </x:c>
      <x:c r="X57" s="46" t="str">
        <x:v>Source reports mean±SD; governed table stores reported mean concentration. N.D. is stored as blank.</x:v>
      </x:c>
    </x:row>
    <x:row r="58" ht="26.399999618530273" hidden="0" customHeight="1">
      <x:c r="A58" s="46" t="str">
        <x:v>DGM-RAB-057</x:v>
      </x:c>
      <x:c r="B58" s="46" t="str">
        <x:v>game:rabbit_hyla</x:v>
      </x:c>
      <x:c r="C58" s="46" t="str">
        <x:v>family:game_meat</x:v>
      </x:c>
      <x:c r="D58" s="46" t="str">
        <x:v>Hyla rabbit</x:v>
      </x:c>
      <x:c r="E58" s="46" t="str">
        <x:v>foreleg / hind leg / abdomen / longissimus; 75°C SPME intended to simulate boiled aroma</x:v>
      </x:c>
      <x:c r="F58" s="46" t="str">
        <x:v>SRC-GAME-RABBIT-001</x:v>
      </x:c>
      <x:c r="G58" s="46" t="str">
        <x:v>Hydrocarbons</x:v>
      </x:c>
      <x:c r="H58" s="46" t="str">
        <x:v>H1</x:v>
      </x:c>
      <x:c r="I58" s="46" t="str">
        <x:v>Dodecane</x:v>
      </x:c>
      <x:c r="J58" s="46" t="str">
        <x:v>MS,RI</x:v>
      </x:c>
      <x:c r="K58" s="46" t="str">
        <x:v>no</x:v>
      </x:c>
      <x:c r="L58" s="46" t="str">
        <x:v>2040</x:v>
      </x:c>
      <x:c r="M58" s="46" t="n">
        <x:v>0.15</x:v>
      </x:c>
      <x:c r="N58" s="46" t="n">
        <x:v>0.12</x:v>
      </x:c>
      <x:c r="O58" s="46" t="n">
        <x:v>0.09</x:v>
      </x:c>
      <x:c r="P58" s="46" t="n">
        <x:v>0.07</x:v>
      </x:c>
      <x:c r="Q58" s="46"/>
      <x:c r="R58" s="46"/>
      <x:c r="S58" s="46"/>
      <x:c r="T58" s="46"/>
      <x:c r="U58" s="46" t="str">
        <x:v>μg/kg</x:v>
      </x:c>
      <x:c r="V58" s="46" t="str">
        <x:v>partial_no_numeric_match_factor</x:v>
      </x:c>
      <x:c r="W58" s="46" t="str">
        <x:v>measured_quantitative</x:v>
      </x:c>
      <x:c r="X58" s="46" t="str">
        <x:v>Source reports mean±SD; governed table stores reported mean concentration. N.D. is stored as blank.</x:v>
      </x:c>
    </x:row>
    <x:row r="59" ht="26.399999618530273" hidden="0" customHeight="1">
      <x:c r="A59" s="46" t="str">
        <x:v>DGM-RAB-058</x:v>
      </x:c>
      <x:c r="B59" s="46" t="str">
        <x:v>game:rabbit_hyla</x:v>
      </x:c>
      <x:c r="C59" s="46" t="str">
        <x:v>family:game_meat</x:v>
      </x:c>
      <x:c r="D59" s="46" t="str">
        <x:v>Hyla rabbit</x:v>
      </x:c>
      <x:c r="E59" s="46" t="str">
        <x:v>foreleg / hind leg / abdomen / longissimus; 75°C SPME intended to simulate boiled aroma</x:v>
      </x:c>
      <x:c r="F59" s="46" t="str">
        <x:v>SRC-GAME-RABBIT-001</x:v>
      </x:c>
      <x:c r="G59" s="46" t="str">
        <x:v>Hydrocarbons</x:v>
      </x:c>
      <x:c r="H59" s="46" t="str">
        <x:v>H2</x:v>
      </x:c>
      <x:c r="I59" s="46" t="str">
        <x:v>Tridecane</x:v>
      </x:c>
      <x:c r="J59" s="46" t="str">
        <x:v>MS,RI</x:v>
      </x:c>
      <x:c r="K59" s="46" t="str">
        <x:v>no</x:v>
      </x:c>
      <x:c r="L59" s="46" t="str">
        <x:v>2140</x:v>
      </x:c>
      <x:c r="M59" s="46"/>
      <x:c r="N59" s="46"/>
      <x:c r="O59" s="46" t="n">
        <x:v>1.13</x:v>
      </x:c>
      <x:c r="P59" s="46" t="n">
        <x:v>0.91</x:v>
      </x:c>
      <x:c r="Q59" s="46"/>
      <x:c r="R59" s="46"/>
      <x:c r="S59" s="46" t="n">
        <x:v>0.14</x:v>
      </x:c>
      <x:c r="T59" s="46" t="n">
        <x:v>0.12</x:v>
      </x:c>
      <x:c r="U59" s="46" t="str">
        <x:v>μg/kg</x:v>
      </x:c>
      <x:c r="V59" s="46" t="str">
        <x:v>partial_no_numeric_match_factor</x:v>
      </x:c>
      <x:c r="W59" s="46" t="str">
        <x:v>measured_quantitative</x:v>
      </x:c>
      <x:c r="X59" s="46" t="str">
        <x:v>Source reports mean±SD; governed table stores reported mean concentration. N.D. is stored as blank.</x:v>
      </x:c>
    </x:row>
    <x:row r="60" ht="26.399999618530273" hidden="0" customHeight="1">
      <x:c r="A60" s="46" t="str">
        <x:v>DGM-RAB-059</x:v>
      </x:c>
      <x:c r="B60" s="46" t="str">
        <x:v>game:rabbit_hyla</x:v>
      </x:c>
      <x:c r="C60" s="46" t="str">
        <x:v>family:game_meat</x:v>
      </x:c>
      <x:c r="D60" s="46" t="str">
        <x:v>Hyla rabbit</x:v>
      </x:c>
      <x:c r="E60" s="46" t="str">
        <x:v>foreleg / hind leg / abdomen / longissimus; 75°C SPME intended to simulate boiled aroma</x:v>
      </x:c>
      <x:c r="F60" s="46" t="str">
        <x:v>SRC-GAME-RABBIT-001</x:v>
      </x:c>
      <x:c r="G60" s="46" t="str">
        <x:v>Hydrocarbons</x:v>
      </x:c>
      <x:c r="H60" s="46" t="str">
        <x:v>H3</x:v>
      </x:c>
      <x:c r="I60" s="46" t="str">
        <x:v>Tetradecane</x:v>
      </x:c>
      <x:c r="J60" s="46" t="str">
        <x:v>MS,RI</x:v>
      </x:c>
      <x:c r="K60" s="46" t="str">
        <x:v>no</x:v>
      </x:c>
      <x:c r="L60" s="46"/>
      <x:c r="M60" s="46"/>
      <x:c r="N60" s="46"/>
      <x:c r="O60" s="46" t="n">
        <x:v>0.24</x:v>
      </x:c>
      <x:c r="P60" s="46" t="n">
        <x:v>1.26</x:v>
      </x:c>
      <x:c r="Q60" s="46" t="n">
        <x:v>0.38</x:v>
      </x:c>
      <x:c r="R60" s="46"/>
      <x:c r="S60" s="46" t="n">
        <x:v>0.23</x:v>
      </x:c>
      <x:c r="T60" s="46" t="n">
        <x:v>0.73</x:v>
      </x:c>
      <x:c r="U60" s="46" t="str">
        <x:v>μg/kg</x:v>
      </x:c>
      <x:c r="V60" s="46" t="str">
        <x:v>partial_no_numeric_match_factor</x:v>
      </x:c>
      <x:c r="W60" s="46" t="str">
        <x:v>measured_quantitative</x:v>
      </x:c>
      <x:c r="X60" s="46" t="str">
        <x:v>Source reports mean±SD; governed table stores reported mean concentration. N.D. is stored as blank.</x:v>
      </x:c>
    </x:row>
    <x:row r="61" ht="26.399999618530273" hidden="0" customHeight="1">
      <x:c r="A61" s="46" t="str">
        <x:v>DGM-RAB-060</x:v>
      </x:c>
      <x:c r="B61" s="46" t="str">
        <x:v>game:rabbit_hyla</x:v>
      </x:c>
      <x:c r="C61" s="46" t="str">
        <x:v>family:game_meat</x:v>
      </x:c>
      <x:c r="D61" s="46" t="str">
        <x:v>Hyla rabbit</x:v>
      </x:c>
      <x:c r="E61" s="46" t="str">
        <x:v>foreleg / hind leg / abdomen / longissimus; 75°C SPME intended to simulate boiled aroma</x:v>
      </x:c>
      <x:c r="F61" s="46" t="str">
        <x:v>SRC-GAME-RABBIT-001</x:v>
      </x:c>
      <x:c r="G61" s="46" t="str">
        <x:v>Hydrocarbons</x:v>
      </x:c>
      <x:c r="H61" s="46" t="str">
        <x:v>H4</x:v>
      </x:c>
      <x:c r="I61" s="46" t="str">
        <x:v>Pentadecane</x:v>
      </x:c>
      <x:c r="J61" s="46" t="str">
        <x:v>MS,RI</x:v>
      </x:c>
      <x:c r="K61" s="46" t="str">
        <x:v>no</x:v>
      </x:c>
      <x:c r="L61" s="46"/>
      <x:c r="M61" s="46" t="n">
        <x:v>0.35</x:v>
      </x:c>
      <x:c r="N61" s="46" t="n">
        <x:v>0.29</x:v>
      </x:c>
      <x:c r="O61" s="46" t="n">
        <x:v>0.51</x:v>
      </x:c>
      <x:c r="P61" s="46" t="n">
        <x:v>0.99</x:v>
      </x:c>
      <x:c r="Q61" s="46" t="n">
        <x:v>1.2</x:v>
      </x:c>
      <x:c r="R61" s="46" t="n">
        <x:v>0.14</x:v>
      </x:c>
      <x:c r="S61" s="46" t="n">
        <x:v>0.52</x:v>
      </x:c>
      <x:c r="T61" s="46" t="n">
        <x:v>0.72</x:v>
      </x:c>
      <x:c r="U61" s="46" t="str">
        <x:v>μg/kg</x:v>
      </x:c>
      <x:c r="V61" s="46" t="str">
        <x:v>partial_no_numeric_match_factor</x:v>
      </x:c>
      <x:c r="W61" s="46" t="str">
        <x:v>measured_quantitative</x:v>
      </x:c>
      <x:c r="X61" s="46" t="str">
        <x:v>Source reports mean±SD; governed table stores reported mean concentration. N.D. is stored as blank.</x:v>
      </x:c>
    </x:row>
    <x:row r="62" ht="26.399999618530273" hidden="0" customHeight="1">
      <x:c r="A62" s="46" t="str">
        <x:v>DGM-RAB-061</x:v>
      </x:c>
      <x:c r="B62" s="46" t="str">
        <x:v>game:rabbit_hyla</x:v>
      </x:c>
      <x:c r="C62" s="46" t="str">
        <x:v>family:game_meat</x:v>
      </x:c>
      <x:c r="D62" s="46" t="str">
        <x:v>Hyla rabbit</x:v>
      </x:c>
      <x:c r="E62" s="46" t="str">
        <x:v>foreleg / hind leg / abdomen / longissimus; 75°C SPME intended to simulate boiled aroma</x:v>
      </x:c>
      <x:c r="F62" s="46" t="str">
        <x:v>SRC-GAME-RABBIT-001</x:v>
      </x:c>
      <x:c r="G62" s="46" t="str">
        <x:v>Hydrocarbons</x:v>
      </x:c>
      <x:c r="H62" s="46" t="str">
        <x:v>H5</x:v>
      </x:c>
      <x:c r="I62" s="46" t="str">
        <x:v>Hexadecane</x:v>
      </x:c>
      <x:c r="J62" s="46" t="str">
        <x:v>MS,RI</x:v>
      </x:c>
      <x:c r="K62" s="46" t="str">
        <x:v>no</x:v>
      </x:c>
      <x:c r="L62" s="46"/>
      <x:c r="M62" s="46" t="n">
        <x:v>4.81</x:v>
      </x:c>
      <x:c r="N62" s="46" t="n">
        <x:v>0.46</x:v>
      </x:c>
      <x:c r="O62" s="46" t="n">
        <x:v>3.41</x:v>
      </x:c>
      <x:c r="P62" s="46" t="n">
        <x:v>0.16</x:v>
      </x:c>
      <x:c r="Q62" s="46" t="n">
        <x:v>6.18</x:v>
      </x:c>
      <x:c r="R62" s="46" t="n">
        <x:v>0.19</x:v>
      </x:c>
      <x:c r="S62" s="46" t="n">
        <x:v>2.03</x:v>
      </x:c>
      <x:c r="T62" s="46" t="n">
        <x:v>0.44</x:v>
      </x:c>
      <x:c r="U62" s="46" t="str">
        <x:v>μg/kg</x:v>
      </x:c>
      <x:c r="V62" s="46" t="str">
        <x:v>partial_no_numeric_match_factor</x:v>
      </x:c>
      <x:c r="W62" s="46" t="str">
        <x:v>measured_quantitative</x:v>
      </x:c>
      <x:c r="X62" s="46" t="str">
        <x:v>Source reports mean±SD; governed table stores reported mean concentration. N.D. is stored as blank.</x:v>
      </x:c>
    </x:row>
    <x:row r="63" ht="26.399999618530273" hidden="0" customHeight="1">
      <x:c r="A63" s="46" t="str">
        <x:v>DGM-RAB-062</x:v>
      </x:c>
      <x:c r="B63" s="46" t="str">
        <x:v>game:rabbit_hyla</x:v>
      </x:c>
      <x:c r="C63" s="46" t="str">
        <x:v>family:game_meat</x:v>
      </x:c>
      <x:c r="D63" s="46" t="str">
        <x:v>Hyla rabbit</x:v>
      </x:c>
      <x:c r="E63" s="46" t="str">
        <x:v>foreleg / hind leg / abdomen / longissimus; 75°C SPME intended to simulate boiled aroma</x:v>
      </x:c>
      <x:c r="F63" s="46" t="str">
        <x:v>SRC-GAME-RABBIT-001</x:v>
      </x:c>
      <x:c r="G63" s="46" t="str">
        <x:v>Hydrocarbons</x:v>
      </x:c>
      <x:c r="H63" s="46" t="str">
        <x:v>H6</x:v>
      </x:c>
      <x:c r="I63" s="46" t="str">
        <x:v>Octadecane</x:v>
      </x:c>
      <x:c r="J63" s="46" t="str">
        <x:v>MS,RI</x:v>
      </x:c>
      <x:c r="K63" s="46" t="str">
        <x:v>no</x:v>
      </x:c>
      <x:c r="L63" s="46"/>
      <x:c r="M63" s="46"/>
      <x:c r="N63" s="46"/>
      <x:c r="O63" s="46" t="n">
        <x:v>0.62</x:v>
      </x:c>
      <x:c r="P63" s="46" t="n">
        <x:v>0.45</x:v>
      </x:c>
      <x:c r="Q63" s="46"/>
      <x:c r="R63" s="46"/>
      <x:c r="S63" s="46"/>
      <x:c r="T63" s="46"/>
      <x:c r="U63" s="46" t="str">
        <x:v>μg/kg</x:v>
      </x:c>
      <x:c r="V63" s="46" t="str">
        <x:v>partial_no_numeric_match_factor</x:v>
      </x:c>
      <x:c r="W63" s="46" t="str">
        <x:v>measured_quantitative</x:v>
      </x:c>
      <x:c r="X63" s="46" t="str">
        <x:v>Source reports mean±SD; governed table stores reported mean concentration. N.D. is stored as blank.</x:v>
      </x:c>
    </x:row>
    <x:row r="64" ht="26.399999618530273" hidden="0" customHeight="1">
      <x:c r="A64" s="46" t="str">
        <x:v>DGM-RAB-063</x:v>
      </x:c>
      <x:c r="B64" s="46" t="str">
        <x:v>game:rabbit_hyla</x:v>
      </x:c>
      <x:c r="C64" s="46" t="str">
        <x:v>family:game_meat</x:v>
      </x:c>
      <x:c r="D64" s="46" t="str">
        <x:v>Hyla rabbit</x:v>
      </x:c>
      <x:c r="E64" s="46" t="str">
        <x:v>foreleg / hind leg / abdomen / longissimus; 75°C SPME intended to simulate boiled aroma</x:v>
      </x:c>
      <x:c r="F64" s="46" t="str">
        <x:v>SRC-GAME-RABBIT-001</x:v>
      </x:c>
      <x:c r="G64" s="46" t="str">
        <x:v>Hydrocarbons</x:v>
      </x:c>
      <x:c r="H64" s="46" t="str">
        <x:v>H7</x:v>
      </x:c>
      <x:c r="I64" s="46" t="str">
        <x:v>Nonadecane</x:v>
      </x:c>
      <x:c r="J64" s="46" t="str">
        <x:v>MS,RI</x:v>
      </x:c>
      <x:c r="K64" s="46" t="str">
        <x:v>no</x:v>
      </x:c>
      <x:c r="L64" s="46"/>
      <x:c r="M64" s="46"/>
      <x:c r="N64" s="46" t="n">
        <x:v>0.02</x:v>
      </x:c>
      <x:c r="O64" s="46"/>
      <x:c r="P64" s="46" t="n">
        <x:v>0.09</x:v>
      </x:c>
      <x:c r="Q64" s="46"/>
      <x:c r="R64" s="46" t="n">
        <x:v>0.07</x:v>
      </x:c>
      <x:c r="S64" s="46"/>
      <x:c r="T64" s="46" t="n">
        <x:v>1.03</x:v>
      </x:c>
      <x:c r="U64" s="46" t="str">
        <x:v>μg/kg</x:v>
      </x:c>
      <x:c r="V64" s="46" t="str">
        <x:v>partial_no_numeric_match_factor</x:v>
      </x:c>
      <x:c r="W64" s="46" t="str">
        <x:v>measured_quantitative</x:v>
      </x:c>
      <x:c r="X64" s="46" t="str">
        <x:v>Source reports mean±SD; governed table stores reported mean concentration. N.D. is stored as blank.</x:v>
      </x:c>
    </x:row>
  </x:sheetData>
  <x:pageMargins left="0.7" right="0.7" top="0.75" bottom="0.75" header="0.3" footer="0.3"/>
  <x:tableParts count="1">
    <x:tablePart xmlns:r="http://schemas.openxmlformats.org/officeDocument/2006/relationships" r:id="Rcb2e1c6864df4e6a"/>
  </x:tableParts>
</x:worksheet>
</file>

<file path=xl/worksheets/sheet102.xml><?xml version="1.0" encoding="utf-8"?>
<x:worksheet xmlns:x="http://schemas.openxmlformats.org/spreadsheetml/2006/main">
  <x:sheetFormatPr defaultRowHeight="15"/>
  <x:cols>
    <x:col min="1" max="1" width="32" hidden="0" customWidth="1"/>
    <x:col min="2" max="2" width="18" hidden="0" customWidth="1"/>
    <x:col min="3" max="3" width="58" hidden="0" customWidth="1"/>
    <x:col min="4" max="4" width="20" hidden="0" customWidth="1"/>
    <x:col min="5" max="5" width="38" hidden="0" customWidth="1"/>
    <x:col min="6" max="6" width="36" hidden="0" customWidth="1"/>
    <x:col min="7" max="7" width="24" hidden="0" customWidth="1"/>
    <x:col min="8" max="8" width="48" hidden="0" customWidth="1"/>
    <x:col min="9" max="9" width="38" hidden="0" customWidth="1"/>
    <x:col min="10" max="10" width="34" hidden="0" customWidth="1"/>
    <x:col min="11" max="11" width="80" hidden="0" customWidth="1"/>
  </x:cols>
  <x:sheetData>
    <x:row r="1" ht="15" hidden="0" customHeight="1">
      <x:c r="A1" s="275" t="str">
        <x:v>source_id</x:v>
      </x:c>
      <x:c r="B1" s="275" t="str">
        <x:v>member</x:v>
      </x:c>
      <x:c r="C1" s="275" t="str">
        <x:v>reported_scope</x:v>
      </x:c>
      <x:c r="D1" s="275" t="str">
        <x:v>rows_ingested_v26</x:v>
      </x:c>
      <x:c r="E1" s="275" t="str">
        <x:v>count_reconciliation</x:v>
      </x:c>
      <x:c r="F1" s="275" t="str">
        <x:v>retention_index_support</x:v>
      </x:c>
      <x:c r="G1" s="275" t="str">
        <x:v>numeric_match_factor</x:v>
      </x:c>
      <x:c r="H1" s="275" t="str">
        <x:v>standard_or_library_support</x:v>
      </x:c>
      <x:c r="I1" s="275" t="str">
        <x:v>mr09_status</x:v>
      </x:c>
      <x:c r="J1" s="275" t="str">
        <x:v>mr10_status</x:v>
      </x:c>
      <x:c r="K1" s="275" t="str">
        <x:v>notes</x:v>
      </x:c>
    </x:row>
    <x:row r="2" ht="39.599998474121094" hidden="0" customHeight="1">
      <x:c r="A2" s="46" t="str">
        <x:v>SRC-GAME-RABBIT-001</x:v>
      </x:c>
      <x:c r="B2" s="46" t="str">
        <x:v>rabbit</x:v>
      </x:c>
      <x:c r="C2" s="46" t="str">
        <x:v>63 volatile compounds across foreleg, hind leg, abdomen and longissimus dorsi; male/female</x:v>
      </x:c>
      <x:c r="D2" s="46" t="n">
        <x:f>COUNTA('Detected Game Rabbit'!I2:I64)</x:f>
        <x:v>63</x:v>
      </x:c>
      <x:c r="E2" s="46" t="str">
        <x:f>IF(D2=63,"pass_full_63_rows_DI21_source_prose_count_mismatch","FAIL_"&amp;D2&amp;"_of_63")</x:f>
        <x:v>pass_full_63_rows_DI21_source_prose_count_mismatch</x:v>
      </x:c>
      <x:c r="F2" s="46" t="str">
        <x:v>RI used for most named rows; source table reports identification mode row-by-row</x:v>
      </x:c>
      <x:c r="G2" s="46" t="str">
        <x:v>0/63 numeric match factors</x:v>
      </x:c>
      <x:c r="H2" s="46" t="str">
        <x:v>NIST11 mass spectra + RI; selected authentic standards; internal-standard semiquantitation</x:v>
      </x:c>
      <x:c r="I2" s="281" t="str">
        <x:v>partial_no_numeric_match_factor</x:v>
      </x:c>
      <x:c r="J2" s="279" t="str">
        <x:v>complete_full_table</x:v>
      </x:c>
      <x:c r="K2" s="46" t="str">
        <x:v>Full Table 2 ingested. DI-21 preserves the paper's prose-vs-table detection-count mismatch. SPME extraction at 75°C was chosen to simulate boiled aroma, so this is a thermally simulated cooked headspace profile rather than literal raw meat.</x:v>
      </x:c>
    </x:row>
    <x:row r="3" ht="26.399999618530273" hidden="0" customHeight="1">
      <x:c r="A3" s="46" t="str">
        <x:v>SRC-GAME-RABBIT-RAW-001</x:v>
      </x:c>
      <x:c r="B3" s="46" t="str">
        <x:v>rabbit</x:v>
      </x:c>
      <x:c r="C3" s="46" t="str">
        <x:v>140 raw longissimus-dorsi VOCs; 31 OAV≥1; Supplementary Table S3 carries RT/CAS/absolute content</x:v>
      </x:c>
      <x:c r="D3" s="46" t="n">
        <x:v>0</x:v>
      </x:c>
      <x:c r="E3" s="46" t="str">
        <x:v>source_count_supplement_pending</x:v>
      </x:c>
      <x:c r="F3" s="46" t="str">
        <x:v>supplement reports retention time</x:v>
      </x:c>
      <x:c r="G3" s="46" t="str">
        <x:v>not exposed</x:v>
      </x:c>
      <x:c r="H3" s="46" t="str">
        <x:v>SPME-GC-MS; OAV analysis</x:v>
      </x:c>
      <x:c r="I3" s="281" t="str">
        <x:v>source_metadata_partial</x:v>
      </x:c>
      <x:c r="J3" s="281" t="str">
        <x:v>full_table_pending</x:v>
      </x:c>
      <x:c r="K3" s="46" t="str">
        <x:v>Provides direct raw-rabbit breadth and a much larger modern profile; exact Supplementary Table S3 is not ingested because the row file is not available in the current runtime.</x:v>
      </x:c>
    </x:row>
    <x:row r="4" ht="15" hidden="0" customHeight="1">
      <x:c r="A4" s="46" t="str">
        <x:v>SRC-GAME-RABBIT-COOK-001</x:v>
      </x:c>
      <x:c r="B4" s="46" t="str">
        <x:v>rabbit</x:v>
      </x:c>
      <x:c r="C4" s="46" t="str">
        <x:v>45 VOCs across boiled / roasted / fried rabbit; 14 differential VOCs</x:v>
      </x:c>
      <x:c r="D4" s="46" t="n">
        <x:v>0</x:v>
      </x:c>
      <x:c r="E4" s="46" t="str">
        <x:v>source_count_state_only</x:v>
      </x:c>
      <x:c r="F4" s="46" t="str">
        <x:v>GC-IMS retention workflow</x:v>
      </x:c>
      <x:c r="G4" s="46" t="str">
        <x:v>not exposed</x:v>
      </x:c>
      <x:c r="H4" s="46" t="str">
        <x:v>GC-IMS + metabolomics</x:v>
      </x:c>
      <x:c r="I4" s="281" t="str">
        <x:v>source_metadata_partial</x:v>
      </x:c>
      <x:c r="J4" s="281" t="str">
        <x:v>full_table_pending</x:v>
      </x:c>
      <x:c r="K4" s="46" t="str">
        <x:v>Direct modern state comparison. Full row table not exposed in the current primary surface.</x:v>
      </x:c>
    </x:row>
    <x:row r="5" ht="39.599998474121094" hidden="0" customHeight="1">
      <x:c r="A5" s="46" t="str">
        <x:v>SRC-GAME-DEER-COOK-001</x:v>
      </x:c>
      <x:c r="B5" s="46" t="str">
        <x:v>red deer</x:v>
      </x:c>
      <x:c r="C5" s="46" t="str">
        <x:v>55 VOCs in cooked wild Iberian red-deer loin</x:v>
      </x:c>
      <x:c r="D5" s="46" t="n">
        <x:v>0</x:v>
      </x:c>
      <x:c r="E5" s="46" t="str">
        <x:v>source_count_and_key_table_fragments</x:v>
      </x:c>
      <x:c r="F5" s="46" t="str">
        <x:v>LRI reported in published Table 1</x:v>
      </x:c>
      <x:c r="G5" s="46" t="str">
        <x:v>not reported</x:v>
      </x:c>
      <x:c r="H5" s="46" t="str">
        <x:v>SPME-GC-MS + odour-impact ratio</x:v>
      </x:c>
      <x:c r="I5" s="281" t="str">
        <x:v>strong_source_ID_partial_row_access</x:v>
      </x:c>
      <x:c r="J5" s="281" t="str">
        <x:v>full_55_table_acquisition_pending</x:v>
      </x:c>
      <x:c r="K5" s="46" t="str">
        <x:v>Species-specific deer anchor: aldehydes 84% of relative abundance; high-impact odorants include dimethyl trisulfide, (E,E)-2,4-decadienal, decanal and dodecanal. Open paper exists, but the full 55-row Table 1 cannot be safely recovered in the current runtime without reconstructing from search fragments.</x:v>
      </x:c>
    </x:row>
    <x:row r="6" ht="26.399999618530273" hidden="0" customHeight="1">
      <x:c r="A6" s="46" t="str">
        <x:v>SRC-GAME-DEER-STATE-001</x:v>
      </x:c>
      <x:c r="B6" s="46" t="str">
        <x:v>red deer</x:v>
      </x:c>
      <x:c r="C6" s="46" t="str">
        <x:v>stewed / grilled; minced / steak analytical-method comparison</x:v>
      </x:c>
      <x:c r="D6" s="46" t="n">
        <x:v>0</x:v>
      </x:c>
      <x:c r="E6" s="46" t="str">
        <x:v>state_method_context</x:v>
      </x:c>
      <x:c r="F6" s="46" t="str">
        <x:v>SPME-GC-MS</x:v>
      </x:c>
      <x:c r="G6" s="46" t="str">
        <x:v>not exposed</x:v>
      </x:c>
      <x:c r="H6" s="46" t="str">
        <x:v>controlled state/method comparison</x:v>
      </x:c>
      <x:c r="I6" s="281" t="str">
        <x:v>context_source</x:v>
      </x:c>
      <x:c r="J6" s="281" t="str">
        <x:v>not_full_detection_table</x:v>
      </x:c>
      <x:c r="K6" s="46" t="str">
        <x:v>Supports preparation/state interpretation only. Extraction temperature/time had a larger effect than presentation/cooking variables under the tested analytical conditions.</x:v>
      </x:c>
    </x:row>
  </x:sheetData>
  <x:pageMargins left="0.7" right="0.7" top="0.75" bottom="0.75" header="0.3" footer="0.3"/>
  <x:tableParts count="1">
    <x:tablePart xmlns:r="http://schemas.openxmlformats.org/officeDocument/2006/relationships" r:id="R536fb5dfa96b459d"/>
  </x:tableParts>
</x:worksheet>
</file>

<file path=xl/worksheets/sheet103.xml><?xml version="1.0" encoding="utf-8"?>
<x:worksheet xmlns:x="http://schemas.openxmlformats.org/spreadsheetml/2006/main">
  <x:sheetFormatPr defaultRowHeight="15"/>
  <x:cols>
    <x:col min="1" max="1" width="15" hidden="0" customWidth="1"/>
    <x:col min="2" max="2" width="25" hidden="0" customWidth="1"/>
    <x:col min="3" max="3" width="22" hidden="0" customWidth="1"/>
    <x:col min="4" max="4" width="30" hidden="0" customWidth="1"/>
    <x:col min="5" max="5" width="24" hidden="0" customWidth="1"/>
    <x:col min="6" max="6" width="30" hidden="0" customWidth="1"/>
    <x:col min="7" max="7" width="24" hidden="0" customWidth="1"/>
    <x:col min="8" max="8" width="50" hidden="0" customWidth="1"/>
    <x:col min="9" max="9" width="84" hidden="0" customWidth="1"/>
    <x:col min="10" max="10" width="78" hidden="0" customWidth="1"/>
    <x:col min="11" max="11" width="78" hidden="0" customWidth="1"/>
  </x:cols>
  <x:sheetData>
    <x:row r="1" ht="15" hidden="0" customHeight="1">
      <x:c r="A1" s="275" t="str">
        <x:v>evidence_id</x:v>
      </x:c>
      <x:c r="B1" s="275" t="str">
        <x:v>product_id</x:v>
      </x:c>
      <x:c r="C1" s="275" t="str">
        <x:v>family_id</x:v>
      </x:c>
      <x:c r="D1" s="275" t="str">
        <x:v>species</x:v>
      </x:c>
      <x:c r="E1" s="275" t="str">
        <x:v>state</x:v>
      </x:c>
      <x:c r="F1" s="275" t="str">
        <x:v>source_id</x:v>
      </x:c>
      <x:c r="G1" s="275" t="str">
        <x:v>evidence_layer</x:v>
      </x:c>
      <x:c r="H1" s="275" t="str">
        <x:v>compound_or_class</x:v>
      </x:c>
      <x:c r="I1" s="275" t="str">
        <x:v>direct_source_result</x:v>
      </x:c>
      <x:c r="J1" s="275" t="str">
        <x:v>culinary_interpretation</x:v>
      </x:c>
      <x:c r="K1" s="275" t="str">
        <x:v>boundary</x:v>
      </x:c>
    </x:row>
    <x:row r="2" ht="26.399999618530273" hidden="0" customHeight="1">
      <x:c r="A2" s="46" t="str">
        <x:v>GDE-001</x:v>
      </x:c>
      <x:c r="B2" s="46" t="str">
        <x:v>game:red_deer_iberian</x:v>
      </x:c>
      <x:c r="C2" s="46" t="str">
        <x:v>family:game_meat</x:v>
      </x:c>
      <x:c r="D2" s="46" t="str">
        <x:v>Cervus elaphus hispanicus</x:v>
      </x:c>
      <x:c r="E2" s="46" t="str">
        <x:v>cooked loin</x:v>
      </x:c>
      <x:c r="F2" s="46" t="str">
        <x:v>SRC-GAME-DEER-COOK-001</x:v>
      </x:c>
      <x:c r="G2" s="46" t="str">
        <x:v>source_count/class</x:v>
      </x:c>
      <x:c r="H2" s="46" t="str">
        <x:v>55 VOCs / class distribution</x:v>
      </x:c>
      <x:c r="I2" s="46" t="str">
        <x:v>55 compounds detected; aldehydes account for ~84% of relative abundance, followed by alcohols ~11%, hydrocarbons ~2.4%, ketones ~1.7%, furans ~0.34% and sulfur compounds ~0.18%.</x:v>
      </x:c>
      <x:c r="J2" s="46" t="str">
        <x:v>Cooked red deer is strongly carbonyl/lipid-oxidation weighted, but its long-chain and pasture-linked compounds make the species profile more than a generic lean-meat clone.</x:v>
      </x:c>
      <x:c r="K2" s="46" t="str">
        <x:v>Class percentages are source-level summaries, not row-level inheritance weights.</x:v>
      </x:c>
    </x:row>
    <x:row r="3" ht="26.399999618530273" hidden="0" customHeight="1">
      <x:c r="A3" s="46" t="str">
        <x:v>GDE-002</x:v>
      </x:c>
      <x:c r="B3" s="46" t="str">
        <x:v>game:red_deer_iberian</x:v>
      </x:c>
      <x:c r="C3" s="46" t="str">
        <x:v>family:game_meat</x:v>
      </x:c>
      <x:c r="D3" s="46" t="str">
        <x:v>Cervus elaphus hispanicus</x:v>
      </x:c>
      <x:c r="E3" s="46" t="str">
        <x:v>cooked loin</x:v>
      </x:c>
      <x:c r="F3" s="46" t="str">
        <x:v>SRC-GAME-DEER-COOK-001</x:v>
      </x:c>
      <x:c r="G3" s="46" t="str">
        <x:v>major abundance</x:v>
      </x:c>
      <x:c r="H3" s="46" t="str">
        <x:v>Hexadecanal; (E)-2-tetradecen-1-ol; 2-pentadecanone</x:v>
      </x:c>
      <x:c r="I3" s="46" t="str">
        <x:v>Hexadecanal is the major compound; long-chain (E)-2-tetradecen-1-ol and 2-pentadecanone are also reported at considerable abundance.</x:v>
      </x:c>
      <x:c r="J3" s="46" t="str">
        <x:v>Long-chain lipid-derived chemistry is a distinctive part of this red-deer source profile.</x:v>
      </x:c>
      <x:c r="K3" s="46" t="str">
        <x:v>Do not generalize these abundance rankings to all venison species or diets.</x:v>
      </x:c>
    </x:row>
    <x:row r="4" ht="15" hidden="0" customHeight="1">
      <x:c r="A4" s="46" t="str">
        <x:v>GDE-003</x:v>
      </x:c>
      <x:c r="B4" s="46" t="str">
        <x:v>game:red_deer_iberian</x:v>
      </x:c>
      <x:c r="C4" s="46" t="str">
        <x:v>family:game_meat</x:v>
      </x:c>
      <x:c r="D4" s="46" t="str">
        <x:v>Cervus elaphus hispanicus</x:v>
      </x:c>
      <x:c r="E4" s="46" t="str">
        <x:v>cooked loin</x:v>
      </x:c>
      <x:c r="F4" s="46" t="str">
        <x:v>SRC-GAME-DEER-COOK-001</x:v>
      </x:c>
      <x:c r="G4" s="46" t="str">
        <x:v>odour-impact</x:v>
      </x:c>
      <x:c r="H4" s="46" t="str">
        <x:v>Dimethyl trisulfide; (E,E)-2,4-decadienal; decanal; dodecanal</x:v>
      </x:c>
      <x:c r="I4" s="46" t="str">
        <x:v>These compounds have the strongest reported odour-impact ratios affecting cooked-deer flavor.</x:v>
      </x:c>
      <x:c r="J4" s="46" t="str">
        <x:v>The flavor signal combines sulfur intensity with fatty/aldehydic meat chemistry.</x:v>
      </x:c>
      <x:c r="K4" s="46" t="str">
        <x:v>Odour-impact ranking belongs to this cooked red-deer source and is not a universal game-meat ranking.</x:v>
      </x:c>
    </x:row>
    <x:row r="5" ht="26.399999618530273" hidden="0" customHeight="1">
      <x:c r="A5" s="46" t="str">
        <x:v>GDE-004</x:v>
      </x:c>
      <x:c r="B5" s="46" t="str">
        <x:v>game:red_deer_iberian</x:v>
      </x:c>
      <x:c r="C5" s="46" t="str">
        <x:v>family:game_meat</x:v>
      </x:c>
      <x:c r="D5" s="46" t="str">
        <x:v>Cervus elaphus hispanicus</x:v>
      </x:c>
      <x:c r="E5" s="46" t="str">
        <x:v>cooked loin</x:v>
      </x:c>
      <x:c r="F5" s="46" t="str">
        <x:v>SRC-GAME-DEER-COOK-001</x:v>
      </x:c>
      <x:c r="G5" s="46" t="str">
        <x:v>diet/pasture markers</x:v>
      </x:c>
      <x:c r="H5" s="46" t="str">
        <x:v>2,3-Octanedione; hexadecane; 1-pentadecanol</x:v>
      </x:c>
      <x:c r="I5" s="46" t="str">
        <x:v>The source identifies these as compounds related to grass-based diets/pasture exposure.</x:v>
      </x:c>
      <x:c r="J5" s="46" t="str">
        <x:v>Diet can create a meaningful game-meat delta independent of species identity.</x:v>
      </x:c>
      <x:c r="K5" s="46" t="str">
        <x:v>Pasture-marker interpretation is contextual; presence is not proof of a specific feeding history in another sample.</x:v>
      </x:c>
    </x:row>
    <x:row r="6" ht="26.399999618530273" hidden="0" customHeight="1">
      <x:c r="A6" s="46" t="str">
        <x:v>GDE-005</x:v>
      </x:c>
      <x:c r="B6" s="46" t="str">
        <x:v>game:red_deer_iberian</x:v>
      </x:c>
      <x:c r="C6" s="46" t="str">
        <x:v>family:game_meat</x:v>
      </x:c>
      <x:c r="D6" s="46" t="str">
        <x:v>Cervus elaphus hispanicus</x:v>
      </x:c>
      <x:c r="E6" s="46" t="str">
        <x:v>stewed / grilled; minced / steak</x:v>
      </x:c>
      <x:c r="F6" s="46" t="str">
        <x:v>SRC-GAME-DEER-STATE-001</x:v>
      </x:c>
      <x:c r="G6" s="46" t="str">
        <x:v>state/method context</x:v>
      </x:c>
      <x:c r="H6" s="46" t="str">
        <x:v>preparation versus analytical extraction effects</x:v>
      </x:c>
      <x:c r="I6" s="46" t="str">
        <x:v>Under the controlled study, SPME extraction temperature/time affected the measured profile more strongly than meat presentation and cooking method.</x:v>
      </x:c>
      <x:c r="J6" s="46" t="str">
        <x:v>Technique comparisons must retain analytical-method context rather than over-reading small stew/grill differences.</x:v>
      </x:c>
      <x:c r="K6" s="46" t="str">
        <x:v>This is a method/state study, not a 55-row replacement profile.</x:v>
      </x:c>
    </x:row>
  </x:sheetData>
  <x:pageMargins left="0.7" right="0.7" top="0.75" bottom="0.75" header="0.3" footer="0.3"/>
  <x:tableParts count="1">
    <x:tablePart xmlns:r="http://schemas.openxmlformats.org/officeDocument/2006/relationships" r:id="R51cb1593d4ef4fe8"/>
  </x:tableParts>
</x:worksheet>
</file>

<file path=xl/worksheets/sheet104.xml><?xml version="1.0" encoding="utf-8"?>
<x:worksheet xmlns:x="http://schemas.openxmlformats.org/spreadsheetml/2006/main">
  <x:sheetFormatPr defaultRowHeight="15"/>
  <x:cols>
    <x:col min="1" max="1" width="15" hidden="0" customWidth="1"/>
    <x:col min="2" max="2" width="25" hidden="0" customWidth="1"/>
    <x:col min="3" max="3" width="28" hidden="0" customWidth="1"/>
    <x:col min="4" max="4" width="42" hidden="0" customWidth="1"/>
    <x:col min="5" max="5" width="58" hidden="0" customWidth="1"/>
    <x:col min="6" max="6" width="84" hidden="0" customWidth="1"/>
    <x:col min="7" max="7" width="38" hidden="0" customWidth="1"/>
    <x:col min="8" max="8" width="38" hidden="0" customWidth="1"/>
    <x:col min="9" max="9" width="82" hidden="0" customWidth="1"/>
    <x:col min="10" max="10" width="78" hidden="0" customWidth="1"/>
    <x:col min="11" max="11" width="34" hidden="0" customWidth="1"/>
  </x:cols>
  <x:sheetData>
    <x:row r="1" ht="15" hidden="0" customHeight="1">
      <x:c r="A1" s="275" t="str">
        <x:v>coverage_id</x:v>
      </x:c>
      <x:c r="B1" s="275" t="str">
        <x:v>product_id</x:v>
      </x:c>
      <x:c r="C1" s="275" t="str">
        <x:v>species</x:v>
      </x:c>
      <x:c r="D1" s="275" t="str">
        <x:v>state_or_material</x:v>
      </x:c>
      <x:c r="E1" s="275" t="str">
        <x:v>primary_sources</x:v>
      </x:c>
      <x:c r="F1" s="275" t="str">
        <x:v>direct_coverage</x:v>
      </x:c>
      <x:c r="G1" s="275" t="str">
        <x:v>mr10_status</x:v>
      </x:c>
      <x:c r="H1" s="275" t="str">
        <x:v>mr09_status</x:v>
      </x:c>
      <x:c r="I1" s="275" t="str">
        <x:v>legacy_scope_relationship</x:v>
      </x:c>
      <x:c r="J1" s="275" t="str">
        <x:v>remaining_gap</x:v>
      </x:c>
      <x:c r="K1" s="275" t="str">
        <x:v>current_status</x:v>
      </x:c>
    </x:row>
    <x:row r="2" ht="26.399999618530273" hidden="0" customHeight="1">
      <x:c r="A2" s="46" t="str">
        <x:v>GMC-001</x:v>
      </x:c>
      <x:c r="B2" s="46" t="str">
        <x:v>game:rabbit_hyla</x:v>
      </x:c>
      <x:c r="C2" s="46" t="str">
        <x:v>Hyla rabbit</x:v>
      </x:c>
      <x:c r="D2" s="46" t="str">
        <x:v>foreleg / hind leg / abdomen / longissimus; thermally simulated cooked headspace</x:v>
      </x:c>
      <x:c r="E2" s="46" t="str">
        <x:v>SRC-GAME-RABBIT-001</x:v>
      </x:c>
      <x:c r="F2" s="46" t="str">
        <x:v>63/63 quantitative Table-2 rows across four edible parts and both sexes, with row-level identification mode, thresholds and selected standards.</x:v>
      </x:c>
      <x:c r="G2" s="46" t="str">
        <x:v>complete_full_table</x:v>
      </x:c>
      <x:c r="H2" s="46" t="str">
        <x:v>partial_no_numeric_match_factor</x:v>
      </x:c>
      <x:c r="I2" s="46" t="str">
        <x:v>Independent species evidence; no compound membership inherited from the general Venison/Vension legacy pool.</x:v>
      </x:c>
      <x:c r="J2" s="46" t="str">
        <x:v>Source condition simulates boiled aroma rather than supplying a conventional raw profile.</x:v>
      </x:c>
      <x:c r="K2" s="46" t="str">
        <x:v>full_member_anchor</x:v>
      </x:c>
    </x:row>
    <x:row r="3" ht="26.399999618530273" hidden="0" customHeight="1">
      <x:c r="A3" s="46" t="str">
        <x:v>GMC-002</x:v>
      </x:c>
      <x:c r="B3" s="46" t="str">
        <x:v>game:rabbit_hyla</x:v>
      </x:c>
      <x:c r="C3" s="46" t="str">
        <x:v>Hyla / Rex rabbit</x:v>
      </x:c>
      <x:c r="D3" s="46" t="str">
        <x:v>raw longissimus + boiled / roasted / fried</x:v>
      </x:c>
      <x:c r="E3" s="46" t="str">
        <x:v>SRC-GAME-RABBIT-RAW-001; SRC-GAME-RABBIT-COOK-001</x:v>
      </x:c>
      <x:c r="F3" s="46" t="str">
        <x:v>Modern raw source reports 140 VOCs and 31 OAV≥1; modern cooking source reports 45 VOCs across boiling/roasting/frying.</x:v>
      </x:c>
      <x:c r="G3" s="46" t="str">
        <x:v>source_count_state_enrichment</x:v>
      </x:c>
      <x:c r="H3" s="46" t="str">
        <x:v>partial_source_metadata</x:v>
      </x:c>
      <x:c r="I3" s="46" t="str">
        <x:v>Independent rabbit evidence; general-game legacy rows remain search seeds only.</x:v>
      </x:c>
      <x:c r="J3" s="46" t="str">
        <x:v>Exact 140-row raw supplement and 45-row cooking table are not ingested.</x:v>
      </x:c>
      <x:c r="K3" s="46" t="str">
        <x:v>state_enrichment_direct</x:v>
      </x:c>
    </x:row>
    <x:row r="4" ht="26.399999618530273" hidden="0" customHeight="1">
      <x:c r="A4" s="46" t="str">
        <x:v>GMC-003</x:v>
      </x:c>
      <x:c r="B4" s="46" t="str">
        <x:v>game:red_deer_iberian</x:v>
      </x:c>
      <x:c r="C4" s="46" t="str">
        <x:v>Wild Iberian red deer</x:v>
      </x:c>
      <x:c r="D4" s="46" t="str">
        <x:v>cooked loin</x:v>
      </x:c>
      <x:c r="E4" s="46" t="str">
        <x:v>SRC-GAME-DEER-COOK-001</x:v>
      </x:c>
      <x:c r="F4" s="46" t="str">
        <x:v>Species-specific cooked loin study reports 55 VOCs, class distribution and odour-impact ranking.</x:v>
      </x:c>
      <x:c r="G4" s="46" t="str">
        <x:v>full_source_exists_row_acquisition_pending</x:v>
      </x:c>
      <x:c r="H4" s="46" t="str">
        <x:v>strong_source_ID_partial_row_access</x:v>
      </x:c>
      <x:c r="I4" s="46" t="str">
        <x:v>This is the first deer-specific governed profile. Existing 'game meat (general)' legacy rows are not retagged to deer.</x:v>
      </x:c>
      <x:c r="J4" s="46" t="str">
        <x:v>Full 55-row Table 1 is open-access but not reliably extractable in the current runtime without reconstructing from fragments.</x:v>
      </x:c>
      <x:c r="K4" s="46" t="str">
        <x:v>species_anchor_source_count_key</x:v>
      </x:c>
    </x:row>
    <x:row r="5" ht="15" hidden="0" customHeight="1">
      <x:c r="A5" s="46" t="str">
        <x:v>GMC-004</x:v>
      </x:c>
      <x:c r="B5" s="46" t="str">
        <x:v>game:red_deer_iberian</x:v>
      </x:c>
      <x:c r="C5" s="46" t="str">
        <x:v>Wild Iberian red deer</x:v>
      </x:c>
      <x:c r="D5" s="46" t="str">
        <x:v>stewed / grilled</x:v>
      </x:c>
      <x:c r="E5" s="46" t="str">
        <x:v>SRC-GAME-DEER-STATE-001</x:v>
      </x:c>
      <x:c r="F5" s="46" t="str">
        <x:v>Direct preparation/method comparison confirms state context and analytical sensitivity.</x:v>
      </x:c>
      <x:c r="G5" s="46" t="str">
        <x:v>context_only</x:v>
      </x:c>
      <x:c r="H5" s="46" t="str">
        <x:v>context_source</x:v>
      </x:c>
      <x:c r="I5" s="46" t="str">
        <x:v>No general-game legacy inheritance.</x:v>
      </x:c>
      <x:c r="J5" s="46" t="str">
        <x:v>Not an exhaustive state detected table.</x:v>
      </x:c>
      <x:c r="K5" s="46" t="str">
        <x:v>state_context</x:v>
      </x:c>
    </x:row>
  </x:sheetData>
  <x:pageMargins left="0.7" right="0.7" top="0.75" bottom="0.75" header="0.3" footer="0.3"/>
  <x:tableParts count="1">
    <x:tablePart xmlns:r="http://schemas.openxmlformats.org/officeDocument/2006/relationships" r:id="R8c87bf53922346b2"/>
  </x:tableParts>
</x:worksheet>
</file>

<file path=xl/worksheets/sheet105.xml><?xml version="1.0" encoding="utf-8"?>
<x:worksheet xmlns:x="http://schemas.openxmlformats.org/spreadsheetml/2006/main">
  <x:sheetFormatPr defaultRowHeight="15"/>
  <x:cols>
    <x:col min="1" max="1" width="17" hidden="0" customWidth="1"/>
    <x:col min="2" max="2" width="28" hidden="0" customWidth="1"/>
    <x:col min="3" max="3" width="82" hidden="0" customWidth="1"/>
    <x:col min="4" max="4" width="68" hidden="0" customWidth="1"/>
    <x:col min="5" max="5" width="28" hidden="0" customWidth="1"/>
    <x:col min="6" max="6" width="82" hidden="0" customWidth="1"/>
    <x:col min="7" max="7" width="82" hidden="0" customWidth="1"/>
    <x:col min="8" max="8" width="76" hidden="0" customWidth="1"/>
    <x:col min="9" max="9" width="32" hidden="0" customWidth="1"/>
  </x:cols>
  <x:sheetData>
    <x:row r="1" ht="15" hidden="0" customHeight="1">
      <x:c r="A1" s="275" t="str">
        <x:v>pattern_id</x:v>
      </x:c>
      <x:c r="B1" s="275" t="str">
        <x:v>domain</x:v>
      </x:c>
      <x:c r="C1" s="275" t="str">
        <x:v>proposed_pattern</x:v>
      </x:c>
      <x:c r="D1" s="275" t="str">
        <x:v>evidence_refs</x:v>
      </x:c>
      <x:c r="E1" s="275" t="str">
        <x:v>support</x:v>
      </x:c>
      <x:c r="F1" s="275" t="str">
        <x:v>direct_evidence</x:v>
      </x:c>
      <x:c r="G1" s="275" t="str">
        <x:v>inference_boundary</x:v>
      </x:c>
      <x:c r="H1" s="275" t="str">
        <x:v>runtime_value</x:v>
      </x:c>
      <x:c r="I1" s="275" t="str">
        <x:v>status</x:v>
      </x:c>
    </x:row>
    <x:row r="2" ht="26.399999618530273" hidden="0" customHeight="1">
      <x:c r="A2" s="46" t="str">
        <x:v>PAT-GAME-001</x:v>
      </x:c>
      <x:c r="B2" s="46" t="str">
        <x:v>species scope</x:v>
      </x:c>
      <x:c r="C2" s="46" t="str">
        <x:v>Game meat must remain species-specific at the compound-membership layer; the representative Venison/Vension legacy pool is not a deer profile.</x:v>
      </x:c>
      <x:c r="D2" s="46" t="str">
        <x:v>MR-03; SRC-GAME-RABBIT-001; SRC-GAME-DEER-COOK-001</x:v>
      </x:c>
      <x:c r="E2" s="46" t="str">
        <x:v>strong_governance</x:v>
      </x:c>
      <x:c r="F2" s="46" t="str">
        <x:v>Rabbit and red deer now have independent primary evidence with materially different study profiles and diet/state sensitivities.</x:v>
      </x:c>
      <x:c r="G2" s="46" t="str">
        <x:v>Shared meat chemistry may support descriptors/mechanisms, but no compound row cascades from 'game meat (general)' into rabbit or deer.</x:v>
      </x:c>
      <x:c r="H2" s="46" t="str">
        <x:v>Prevents a legacy category label from becoming false species evidence.</x:v>
      </x:c>
      <x:c r="I2" s="46" t="str">
        <x:v>governed_boundary</x:v>
      </x:c>
    </x:row>
    <x:row r="3" ht="26.399999618530273" hidden="0" customHeight="1">
      <x:c r="A3" s="46" t="str">
        <x:v>PAT-GAME-002</x:v>
      </x:c>
      <x:c r="B3" s="46" t="str">
        <x:v>shared mechanism</x:v>
      </x:c>
      <x:c r="C3" s="46" t="str">
        <x:v>Rabbit and red deer can share a general cooked-game mechanism dominated by lipid oxidation/carbonyl chemistry, while species/cut/diet deltas remain first-class.</x:v>
      </x:c>
      <x:c r="D3" s="46" t="str">
        <x:v>SRC-GAME-RABBIT-001; SRC-GAME-DEER-COOK-001</x:v>
      </x:c>
      <x:c r="E3" s="46" t="str">
        <x:v>strong_directional</x:v>
      </x:c>
      <x:c r="F3" s="46" t="str">
        <x:v>Rabbit Table 2 contains 23 aldehydes and aldehydes are major key odorants; cooked red deer is ~84% aldehydes by relative abundance.</x:v>
      </x:c>
      <x:c r="G3" s="46" t="str">
        <x:v>Do not convert this mechanism-level similarity into automatic compound membership or common abundance weights.</x:v>
      </x:c>
      <x:c r="H3" s="46" t="str">
        <x:v>Explains a broad 'game/meaty' lens while preserving species specificity.</x:v>
      </x:c>
      <x:c r="I3" s="46" t="str">
        <x:v>evidence_supported</x:v>
      </x:c>
    </x:row>
    <x:row r="4" ht="26.399999618530273" hidden="0" customHeight="1">
      <x:c r="A4" s="46" t="str">
        <x:v>PAT-GAME-003</x:v>
      </x:c>
      <x:c r="B4" s="46" t="str">
        <x:v>rabbit anatomy/sex</x:v>
      </x:c>
      <x:c r="C4" s="46" t="str">
        <x:v>Rabbit cut and sex primarily alter occurrence/abundance within a shared species profile rather than requiring eight separate chemical families.</x:v>
      </x:c>
      <x:c r="D4" s="46" t="str">
        <x:v>SRC-GAME-RABBIT-001</x:v>
      </x:c>
      <x:c r="E4" s="46" t="str">
        <x:v>strong_same_method</x:v>
      </x:c>
      <x:c r="F4" s="46" t="str">
        <x:v>The same 63-compound table spans four edible parts and both sexes, with substantial quantitative and detection differences.</x:v>
      </x:c>
      <x:c r="G4" s="46" t="str">
        <x:v>A query may weight by cut/sex only where the source measured it; no universal sex multiplier.</x:v>
      </x:c>
      <x:c r="H4" s="46" t="str">
        <x:v>Supports cut-aware rabbit reasoning without duplicating species identity.</x:v>
      </x:c>
      <x:c r="I4" s="46" t="str">
        <x:v>evidence_supported</x:v>
      </x:c>
    </x:row>
    <x:row r="5" ht="26.399999618530273" hidden="0" customHeight="1">
      <x:c r="A5" s="46" t="str">
        <x:v>PAT-GAME-004</x:v>
      </x:c>
      <x:c r="B5" s="46" t="str">
        <x:v>diet/pasture</x:v>
      </x:c>
      <x:c r="C5" s="46" t="str">
        <x:v>Diet/pasture exposure is a potentially important game-meat flavor axis distinct from species and cooking state.</x:v>
      </x:c>
      <x:c r="D5" s="46" t="str">
        <x:v>SRC-GAME-DEER-COOK-001; SRC-GAME-RABBIT-RAW-001</x:v>
      </x:c>
      <x:c r="E5" s="46" t="str">
        <x:v>moderate_cross_species</x:v>
      </x:c>
      <x:c r="F5" s="46" t="str">
        <x:v>Red-deer source highlights pasture-linked 2,3-octanedione, hexadecane and 1-pentadecanol; raw-rabbit literature links lipid composition and VOC/OAV differences across breeds/diets.</x:v>
      </x:c>
      <x:c r="G5" s="46" t="str">
        <x:v>Diet markers are contextual and cannot be used to infer an animal's feeding history from one compound alone.</x:v>
      </x:c>
      <x:c r="H5" s="46" t="str">
        <x:v>Adds an explanatory layer for game flavor that domestic-protein families may express less strongly.</x:v>
      </x:c>
      <x:c r="I5" s="46" t="str">
        <x:v>evidence_supported</x:v>
      </x:c>
    </x:row>
  </x:sheetData>
  <x:pageMargins left="0.7" right="0.7" top="0.75" bottom="0.75" header="0.3" footer="0.3"/>
  <x:tableParts count="1">
    <x:tablePart xmlns:r="http://schemas.openxmlformats.org/officeDocument/2006/relationships" r:id="R857af0baacc840e3"/>
  </x:tableParts>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30" hidden="0" customWidth="1"/>
    <x:col min="5" max="5" width="66" hidden="0" customWidth="1"/>
    <x:col min="6" max="6" width="36" hidden="0" customWidth="1"/>
    <x:col min="7" max="7" width="76" hidden="0" customWidth="1"/>
    <x:col min="8" max="8" width="78" hidden="0" customWidth="1"/>
    <x:col min="9" max="9" width="24" hidden="0" customWidth="1"/>
    <x:col min="10" max="10" width="76" hidden="0" customWidth="1"/>
  </x:cols>
  <x:sheetData>
    <x:row r="1" ht="15" hidden="0" customHeight="1">
      <x:c r="A1" s="275" t="str">
        <x:v>gap_id</x:v>
      </x:c>
      <x:c r="B1" s="275" t="str">
        <x:v>member</x:v>
      </x:c>
      <x:c r="C1" s="275" t="str">
        <x:v>target</x:v>
      </x:c>
      <x:c r="D1" s="275" t="str">
        <x:v>source_id</x:v>
      </x:c>
      <x:c r="E1" s="275" t="str">
        <x:v>published_scope</x:v>
      </x:c>
      <x:c r="F1" s="275" t="str">
        <x:v>acquisition_status</x:v>
      </x:c>
      <x:c r="G1" s="275" t="str">
        <x:v>governed_now</x:v>
      </x:c>
      <x:c r="H1" s="275" t="str">
        <x:v>remaining_boundary</x:v>
      </x:c>
      <x:c r="I1" s="275" t="str">
        <x:v>blocks_game_phase</x:v>
      </x:c>
      <x:c r="J1" s="275" t="str">
        <x:v>next_action</x:v>
      </x:c>
    </x:row>
    <x:row r="2" ht="15" hidden="0" customHeight="1">
      <x:c r="A2" s="46" t="str">
        <x:v>GGA-001</x:v>
      </x:c>
      <x:c r="B2" s="46" t="str">
        <x:v>rabbit</x:v>
      </x:c>
      <x:c r="C2" s="46" t="str">
        <x:v>Hyla rabbit full quantitative table</x:v>
      </x:c>
      <x:c r="D2" s="46" t="str">
        <x:v>SRC-GAME-RABBIT-001</x:v>
      </x:c>
      <x:c r="E2" s="46" t="str">
        <x:v>63 VOCs × four edible parts × male/female</x:v>
      </x:c>
      <x:c r="F2" s="279" t="str">
        <x:v>CLOSED_FULL_TABLE_v26</x:v>
      </x:c>
      <x:c r="G2" s="46" t="str">
        <x:v>63/63 rows ingested with concentration, threshold, identification mode and standard flags.</x:v>
      </x:c>
      <x:c r="H2" s="46" t="str">
        <x:v>DI-21 records prose/table occurrence-count mismatch; no numeric spectral match factors.</x:v>
      </x:c>
      <x:c r="I2" s="46" t="str">
        <x:v>no</x:v>
      </x:c>
      <x:c r="J2" s="46" t="str">
        <x:v>Use as canonical rabbit species anchor.</x:v>
      </x:c>
    </x:row>
    <x:row r="3" ht="15" hidden="0" customHeight="1">
      <x:c r="A3" s="46" t="str">
        <x:v>GGA-002</x:v>
      </x:c>
      <x:c r="B3" s="46" t="str">
        <x:v>rabbit</x:v>
      </x:c>
      <x:c r="C3" s="46" t="str">
        <x:v>raw longissimus 140-row supplement</x:v>
      </x:c>
      <x:c r="D3" s="46" t="str">
        <x:v>SRC-GAME-RABBIT-RAW-001</x:v>
      </x:c>
      <x:c r="E3" s="46" t="str">
        <x:v>140 raw VOCs; Supplementary Table S3 with RT/CAS/absolute content; 31 OAV≥1</x:v>
      </x:c>
      <x:c r="F3" s="281" t="str">
        <x:v>supplement_pending</x:v>
      </x:c>
      <x:c r="G3" s="46" t="str">
        <x:v>Source count, classes and sensory breadth governed.</x:v>
      </x:c>
      <x:c r="H3" s="46" t="str">
        <x:v>Exact 140 rows not retrievable in current runtime.</x:v>
      </x:c>
      <x:c r="I3" s="46" t="str">
        <x:v>no</x:v>
      </x:c>
      <x:c r="J3" s="46" t="str">
        <x:v>Reattempt supplement acquisition only if raw-rabbit runtime depth proves insufficient.</x:v>
      </x:c>
    </x:row>
    <x:row r="4" ht="15" hidden="0" customHeight="1">
      <x:c r="A4" s="46" t="str">
        <x:v>GGA-003</x:v>
      </x:c>
      <x:c r="B4" s="46" t="str">
        <x:v>rabbit</x:v>
      </x:c>
      <x:c r="C4" s="46" t="str">
        <x:v>45-row boiled/roasted/fried table</x:v>
      </x:c>
      <x:c r="D4" s="46" t="str">
        <x:v>SRC-GAME-RABBIT-COOK-001</x:v>
      </x:c>
      <x:c r="E4" s="46" t="str">
        <x:v>45 VOCs across three cooking methods; 14 differential VOCs</x:v>
      </x:c>
      <x:c r="F4" s="281" t="str">
        <x:v>primary_row_table_not_exposed</x:v>
      </x:c>
      <x:c r="G4" s="46" t="str">
        <x:v>State breadth and directionality governed.</x:v>
      </x:c>
      <x:c r="H4" s="46" t="str">
        <x:v>Exact 45 rows not ingested.</x:v>
      </x:c>
      <x:c r="I4" s="46" t="str">
        <x:v>no</x:v>
      </x:c>
      <x:c r="J4" s="46" t="str">
        <x:v>Use for state context; row extraction is nonblocking enrichment.</x:v>
      </x:c>
    </x:row>
    <x:row r="5" ht="26.399999618530273" hidden="0" customHeight="1">
      <x:c r="A5" s="46" t="str">
        <x:v>GGA-004</x:v>
      </x:c>
      <x:c r="B5" s="46" t="str">
        <x:v>red deer</x:v>
      </x:c>
      <x:c r="C5" s="46" t="str">
        <x:v>55-row cooked-loin Table 1</x:v>
      </x:c>
      <x:c r="D5" s="46" t="str">
        <x:v>SRC-GAME-DEER-COOK-001</x:v>
      </x:c>
      <x:c r="E5" s="46" t="str">
        <x:v>55 VOCs with LRI/abundance in cooked wild Iberian red deer</x:v>
      </x:c>
      <x:c r="F5" s="281" t="str">
        <x:v>open_access_table_runtime_partial</x:v>
      </x:c>
      <x:c r="G5" s="46" t="str">
        <x:v>Species-specific count, class distribution, high-impact odorants and diet-marker layer governed.</x:v>
      </x:c>
      <x:c r="H5" s="46" t="str">
        <x:v>The complete 55-row table cannot be safely recovered in this runtime without reconstructing from indexed fragments.</x:v>
      </x:c>
      <x:c r="I5" s="46" t="str">
        <x:v>no</x:v>
      </x:c>
      <x:c r="J5" s="46" t="str">
        <x:v>Acquire full Table 1 when direct PDF table extraction is reliable; never substitute general-game legacy rows.</x:v>
      </x:c>
    </x:row>
    <x:row r="6" ht="15" hidden="0" customHeight="1">
      <x:c r="A6" s="46" t="str">
        <x:v>GGA-005</x:v>
      </x:c>
      <x:c r="B6" s="46" t="str">
        <x:v>red deer</x:v>
      </x:c>
      <x:c r="C6" s="46" t="str">
        <x:v>raw species-specific detected table</x:v>
      </x:c>
      <x:c r="D6" s="46" t="str">
        <x:v>none</x:v>
      </x:c>
      <x:c r="E6" s="46" t="str">
        <x:v>No qualifying full raw red-deer table ingested in v26</x:v>
      </x:c>
      <x:c r="F6" s="281" t="str">
        <x:v>research_gap</x:v>
      </x:c>
      <x:c r="G6" s="46" t="str">
        <x:v>Cooked species anchor prevents scope ambiguity.</x:v>
      </x:c>
      <x:c r="H6" s="46" t="str">
        <x:v>Raw-state member table remains open.</x:v>
      </x:c>
      <x:c r="I6" s="46" t="str">
        <x:v>no</x:v>
      </x:c>
      <x:c r="J6" s="46" t="str">
        <x:v>Add only if game-meat runtime use justifies more state depth.</x:v>
      </x:c>
    </x:row>
  </x:sheetData>
  <x:pageMargins left="0.7" right="0.7" top="0.75" bottom="0.75" header="0.3" footer="0.3"/>
  <x:tableParts count="1">
    <x:tablePart xmlns:r="http://schemas.openxmlformats.org/officeDocument/2006/relationships" r:id="R905095848fb34ca8"/>
  </x:tableParts>
</x:worksheet>
</file>

<file path=xl/worksheets/sheet107.xml><?xml version="1.0" encoding="utf-8"?>
<x:worksheet xmlns:x="http://schemas.openxmlformats.org/spreadsheetml/2006/main">
  <x:sheetFormatPr defaultRowHeight="15"/>
  <x:cols>
    <x:col min="1" max="1" width="38" hidden="0" customWidth="1"/>
    <x:col min="2" max="2" width="42" hidden="0" customWidth="1"/>
    <x:col min="3" max="3" width="62" hidden="0" customWidth="1"/>
    <x:col min="4" max="4" width="88" hidden="0" customWidth="1"/>
    <x:col min="5" max="5" width="78" hidden="0" customWidth="1"/>
    <x:col min="6" max="6" width="25" hidden="0" customWidth="1"/>
    <x:col min="7" max="7" width="78" hidden="0" customWidth="1"/>
  </x:cols>
  <x:sheetData>
    <x:row r="1" ht="15" hidden="0" customHeight="1">
      <x:c r="A1" s="275" t="str">
        <x:v>criterion</x:v>
      </x:c>
      <x:c r="B1" s="275" t="str">
        <x:v>status</x:v>
      </x:c>
      <x:c r="C1" s="275" t="str">
        <x:v>evidence_refs</x:v>
      </x:c>
      <x:c r="D1" s="275" t="str">
        <x:v>what_is_complete</x:v>
      </x:c>
      <x:c r="E1" s="275" t="str">
        <x:v>residual_gap</x:v>
      </x:c>
      <x:c r="F1" s="275" t="str">
        <x:v>blocks_current_phase</x:v>
      </x:c>
      <x:c r="G1" s="275" t="str">
        <x:v>recommended_action</x:v>
      </x:c>
    </x:row>
    <x:row r="2" ht="39.599998474121094" hidden="0" customHeight="1">
      <x:c r="A2" s="46" t="str">
        <x:v>OVERALL — species-specific game meat</x:v>
      </x:c>
      <x:c r="B2" s="279" t="str">
        <x:v>COMPLETE_FOR_CURRENT_PHASE_WITH_DEER_ROW_ENRICHMENT_GAP</x:v>
      </x:c>
      <x:c r="C2" s="46" t="str">
        <x:v>Detected Game Rabbit; Game Deer Evidence; Game Product Coverage; Game Pattern Evidence; Legacy Scope Preflight</x:v>
      </x:c>
      <x:c r="D2" s="46" t="str">
        <x:v>Rabbit and red deer are now independently governed species. Rabbit has a full 63-row quantitative anchor; red deer has a direct 55-VOC cooked species anchor plus preparation/method evidence. Generic game legacy rows remain separate.</x:v>
      </x:c>
      <x:c r="E2" s="46" t="str">
        <x:v>Full red-deer 55-row Table 1, raw-rabbit 140 supplement, rabbit 45-row cooking table and a raw-red-deer full table remain enrichment.</x:v>
      </x:c>
      <x:c r="F2" s="46" t="str">
        <x:v>no</x:v>
      </x:c>
      <x:c r="G2" s="46" t="str">
        <x:v>Do not broaden game collection species-by-species now. Test rabbit/red-deer usefulness in the lens before adding more game mammals.</x:v>
      </x:c>
    </x:row>
    <x:row r="3" ht="15" hidden="0" customHeight="1">
      <x:c r="A3" s="46" t="str">
        <x:v>Legacy general-game scope</x:v>
      </x:c>
      <x:c r="B3" s="279" t="str">
        <x:v>met</x:v>
      </x:c>
      <x:c r="C3" s="46" t="str">
        <x:v>MR-03; Legacy Scope Preflight PF-002</x:v>
      </x:c>
      <x:c r="D3" s="46" t="str">
        <x:v>Venison/Vension legacy rows remain game meat (general), not deer or rabbit evidence.</x:v>
      </x:c>
      <x:c r="E3" s="46" t="str">
        <x:v>Legacy rows themselves remain unverified.</x:v>
      </x:c>
      <x:c r="F3" s="46" t="str">
        <x:v>no</x:v>
      </x:c>
      <x:c r="G3" s="46" t="str">
        <x:v>Use only as search/regression seeds.</x:v>
      </x:c>
    </x:row>
    <x:row r="4" ht="26.399999618530273" hidden="0" customHeight="1">
      <x:c r="A4" s="46" t="str">
        <x:v>Rabbit full species anchor</x:v>
      </x:c>
      <x:c r="B4" s="279" t="str">
        <x:v>met_full_table</x:v>
      </x:c>
      <x:c r="C4" s="46" t="str">
        <x:v>SRC-GAME-RABBIT-001; Detected Game Rabbit</x:v>
      </x:c>
      <x:c r="D4" s="46" t="str">
        <x:v>63/63 quantitative rows across four cuts and both sexes, with odor thresholds, identification mode and selected authentic-standard flags.</x:v>
      </x:c>
      <x:c r="E4" s="46" t="str">
        <x:v>No numeric library match factor; DI-21 prose/table count mismatch.</x:v>
      </x:c>
      <x:c r="F4" s="46" t="str">
        <x:v>no</x:v>
      </x:c>
      <x:c r="G4" s="46" t="str">
        <x:v>Use as canonical rabbit profile; preserve cut/sex values rather than flattening to one abundance vector.</x:v>
      </x:c>
    </x:row>
    <x:row r="5" ht="15" hidden="0" customHeight="1">
      <x:c r="A5" s="46" t="str">
        <x:v>Rabbit raw/state enrichment</x:v>
      </x:c>
      <x:c r="B5" s="281" t="str">
        <x:v>direct_sources_rows_pending</x:v>
      </x:c>
      <x:c r="C5" s="46" t="str">
        <x:v>SRC-GAME-RABBIT-RAW-001; SRC-GAME-RABBIT-COOK-001</x:v>
      </x:c>
      <x:c r="D5" s="46" t="str">
        <x:v>140-VOC raw source and 45-VOC boiled/roasted/fried source establish modern breadth and state behavior.</x:v>
      </x:c>
      <x:c r="E5" s="46" t="str">
        <x:v>Exact supplementary/full rows not ingested.</x:v>
      </x:c>
      <x:c r="F5" s="46" t="str">
        <x:v>no</x:v>
      </x:c>
      <x:c r="G5" s="46" t="str">
        <x:v>Acquire only if runtime needs more state-specific depth.</x:v>
      </x:c>
    </x:row>
    <x:row r="6" ht="26.399999618530273" hidden="0" customHeight="1">
      <x:c r="A6" s="46" t="str">
        <x:v>Red-deer species anchor</x:v>
      </x:c>
      <x:c r="B6" s="281" t="str">
        <x:v>met_source_level_row_table_pending</x:v>
      </x:c>
      <x:c r="C6" s="46" t="str">
        <x:v>SRC-GAME-DEER-COOK-001; Game Deer Evidence</x:v>
      </x:c>
      <x:c r="D6" s="46" t="str">
        <x:v>55-VOC cooked wild Iberian red-deer profile, class distribution, high-impact odorants and pasture/diet markers are directly governed.</x:v>
      </x:c>
      <x:c r="E6" s="46" t="str">
        <x:v>Full 55-row Table 1 remains acquisition-pending.</x:v>
      </x:c>
      <x:c r="F6" s="46" t="str">
        <x:v>no</x:v>
      </x:c>
      <x:c r="G6" s="46" t="str">
        <x:v>Keep species-specific source-count/key layer until exact table can be extracted safely.</x:v>
      </x:c>
    </x:row>
    <x:row r="7" ht="15" hidden="0" customHeight="1">
      <x:c r="A7" s="46" t="str">
        <x:v>Game family inheritance</x:v>
      </x:c>
      <x:c r="B7" s="279" t="str">
        <x:v>not_authorized</x:v>
      </x:c>
      <x:c r="C7" s="46" t="str">
        <x:v>PAT-GAME-001 through PAT-GAME-004</x:v>
      </x:c>
      <x:c r="D7" s="46" t="str">
        <x:v>Shared cooked-meat mechanisms are governed as interpretation only.</x:v>
      </x:c>
      <x:c r="E7" s="46" t="str">
        <x:v>No evidence supports automatic rabbit↔deer or general-game compound-row inheritance.</x:v>
      </x:c>
      <x:c r="F7" s="46" t="str">
        <x:v>no</x:v>
      </x:c>
      <x:c r="G7" s="46" t="str">
        <x:v>Keep document-frequency and measured membership species-specific under MR-11/MR-16.</x:v>
      </x:c>
    </x:row>
  </x:sheetData>
  <x:pageMargins left="0.7" right="0.7" top="0.75" bottom="0.75" header="0.3" footer="0.3"/>
  <x:tableParts count="1">
    <x:tablePart xmlns:r="http://schemas.openxmlformats.org/officeDocument/2006/relationships" r:id="R7206efeeb8b04940"/>
  </x:tableParts>
</x:worksheet>
</file>

<file path=xl/worksheets/sheet108.xml><?xml version="1.0" encoding="utf-8"?>
<x:worksheet xmlns:x="http://schemas.openxmlformats.org/spreadsheetml/2006/main">
  <x:sheetFormatPr defaultRowHeight="15"/>
  <x:cols>
    <x:col min="1" max="1" width="18" hidden="0" customWidth="1"/>
    <x:col min="2" max="2" width="24" hidden="0" customWidth="1"/>
    <x:col min="3" max="3" width="38" hidden="0" customWidth="1"/>
    <x:col min="4" max="4" width="42" hidden="0" customWidth="1"/>
    <x:col min="5" max="5" width="32" hidden="0" customWidth="1"/>
    <x:col min="6" max="6" width="28" hidden="0" customWidth="1"/>
    <x:col min="7" max="7" width="16" hidden="0" customWidth="1"/>
    <x:col min="8" max="8" width="14" hidden="0" customWidth="1"/>
    <x:col min="9" max="9" width="14" hidden="0" customWidth="1"/>
    <x:col min="10" max="10" width="14" hidden="0" customWidth="1"/>
  </x:cols>
  <x:sheetData>
    <x:row r="1" ht="28" customHeight="1">
      <x:c r="A1" s="310" t="str">
        <x:v>Egg Pre-Ingestion Audit — v29</x:v>
      </x:c>
      <x:c r="B1" s="310"/>
      <x:c r="C1" s="310"/>
      <x:c r="D1" s="310"/>
      <x:c r="E1" s="310"/>
      <x:c r="F1" s="310"/>
      <x:c r="G1" s="305"/>
      <x:c r="H1" s="305"/>
      <x:c r="I1" s="305"/>
      <x:c r="J1" s="305"/>
    </x:row>
    <x:row r="2">
      <x:c r="A2" s="294" t="str">
        <x:v>Status</x:v>
      </x:c>
      <x:c r="B2" s="294" t="str">
        <x:v>READY FOR CLEAN REGENERATE</x:v>
      </x:c>
      <x:c r="C2" s="294" t="str">
        <x:v>Decision</x:v>
      </x:c>
      <x:c r="D2" s="294" t="str">
        <x:v>No further egg literature collection before regenerate</x:v>
      </x:c>
      <x:c r="E2" s="294" t="str">
        <x:v>Basis</x:v>
      </x:c>
      <x:c r="F2" s="294" t="str">
        <x:v>v26 egg evidence + post-beef resolver/classifier lesson</x:v>
      </x:c>
      <x:c r="G2" s="294"/>
      <x:c r="H2" s="294"/>
      <x:c r="I2" s="294"/>
      <x:c r="J2" s="294"/>
    </x:row>
    <x:row r="3" ht="34" customHeight="1">
      <x:c r="A3" s="306" t="str">
        <x:v>Purpose: freeze the source evidence, apply corrected resolver/classifier behavior before egg ingestion, and prevent contaminants/unmapped labels from being misread as biological distinctiveness.</x:v>
      </x:c>
      <x:c r="B3" s="306"/>
      <x:c r="C3" s="306"/>
      <x:c r="D3" s="306"/>
      <x:c r="E3" s="306"/>
      <x:c r="F3" s="306"/>
      <x:c r="G3" s="306"/>
      <x:c r="H3" s="306"/>
      <x:c r="I3" s="306"/>
      <x:c r="J3" s="306"/>
    </x:row>
    <x:row r="4">
      <x:c r="A4" s="23"/>
      <x:c r="B4" s="23"/>
      <x:c r="C4" s="23"/>
      <x:c r="D4" s="23"/>
      <x:c r="E4" s="23"/>
      <x:c r="F4" s="23"/>
      <x:c r="G4" s="23"/>
      <x:c r="H4" s="23"/>
      <x:c r="I4" s="23"/>
      <x:c r="J4" s="23"/>
    </x:row>
    <x:row r="5">
      <x:c r="A5" s="301" t="str">
        <x:v>Metric</x:v>
      </x:c>
      <x:c r="B5" s="301" t="str">
        <x:v>Result</x:v>
      </x:c>
      <x:c r="C5" s="301" t="str">
        <x:v>Interpretation</x:v>
      </x:c>
      <x:c r="D5" s="301" t="str">
        <x:v>Source</x:v>
      </x:c>
      <x:c r="E5" s="23"/>
      <x:c r="F5" s="23"/>
      <x:c r="G5" s="23"/>
      <x:c r="H5" s="23"/>
      <x:c r="I5" s="23"/>
      <x:c r="J5" s="23"/>
    </x:row>
    <x:row r="6">
      <x:c r="A6" s="23" t="str">
        <x:v>Boiled-yolk source rows</x:v>
      </x:c>
      <x:c r="B6" s="23" t="str">
        <x:v>123/123</x:v>
      </x:c>
      <x:c r="C6" s="23" t="str">
        <x:v>Full analytical table is already captured; preserve every source row in provenance.</x:v>
      </x:c>
      <x:c r="D6" s="23" t="str">
        <x:v>Detected Egg Boiled Yolk / SRC-EGG-YOLK-BOIL-001</x:v>
      </x:c>
      <x:c r="E6" s="23"/>
      <x:c r="F6" s="23"/>
      <x:c r="G6" s="23"/>
      <x:c r="H6" s="23"/>
      <x:c r="I6" s="23"/>
      <x:c r="J6" s="23"/>
    </x:row>
    <x:row r="7">
      <x:c r="A7" s="23" t="str">
        <x:v>Commercial chicken-egg detections</x:v>
      </x:c>
      <x:c r="B7" s="23" t="str">
        <x:v>90</x:v>
      </x:c>
      <x:c r="C7" s="23" t="str">
        <x:v>This is the pre-resolver detected set, not automatically the DF/scoring set.</x:v>
      </x:c>
      <x:c r="D7" s="23" t="str">
        <x:v>Detected Egg Boiled Yolk</x:v>
      </x:c>
      <x:c r="E7" s="23"/>
      <x:c r="F7" s="23"/>
      <x:c r="G7" s="23"/>
      <x:c r="H7" s="23"/>
      <x:c r="I7" s="23"/>
      <x:c r="J7" s="23"/>
    </x:row>
    <x:row r="8">
      <x:c r="A8" s="23" t="str">
        <x:v>Alkane rows</x:v>
      </x:c>
      <x:c r="B8" s="23" t="str">
        <x:v>48 total / 42 commercial-egg detected</x:v>
      </x:c>
      <x:c r="C8" s="23" t="str">
        <x:v>MR-15 classification is already pointing the right way; these are hydrocarbons/alkanes, not terpenes.</x:v>
      </x:c>
      <x:c r="D8" s="23" t="str">
        <x:v>Detected Egg Boiled Yolk</x:v>
      </x:c>
      <x:c r="E8" s="23"/>
      <x:c r="F8" s="23"/>
      <x:c r="G8" s="23"/>
      <x:c r="H8" s="23"/>
      <x:c r="I8" s="23"/>
      <x:c r="J8" s="23"/>
    </x:row>
    <x:row r="9">
      <x:c r="A9" s="23" t="str">
        <x:v>Terpene rows</x:v>
      </x:c>
      <x:c r="B9" s="23" t="str">
        <x:v>1 total: D-Limonene / not detected in commercial egg</x:v>
      </x:c>
      <x:c r="C9" s="23" t="str">
        <x:v>No evidence of the beef MR-15 error simply recurring in egg.</x:v>
      </x:c>
      <x:c r="D9" s="23" t="str">
        <x:v>Detected Egg Boiled Yolk</x:v>
      </x:c>
      <x:c r="E9" s="23"/>
      <x:c r="F9" s="23"/>
      <x:c r="G9" s="23"/>
      <x:c r="H9" s="23"/>
      <x:c r="I9" s="23"/>
      <x:c r="J9" s="23"/>
    </x:row>
    <x:row r="10">
      <x:c r="A10" s="23" t="str">
        <x:v>Exact duplicate source labels within 123-row table</x:v>
      </x:c>
      <x:c r="B10" s="23" t="str">
        <x:v>0</x:v>
      </x:c>
      <x:c r="C10" s="23" t="str">
        <x:v>Canonical synonym/tautomer collapse still belongs to the resolver; source labels themselves are not duplicated.</x:v>
      </x:c>
      <x:c r="D10" s="23" t="str">
        <x:v>Detected Egg Boiled Yolk</x:v>
      </x:c>
      <x:c r="E10" s="23"/>
      <x:c r="F10" s="23"/>
      <x:c r="G10" s="23"/>
      <x:c r="H10" s="23"/>
      <x:c r="I10" s="23"/>
      <x:c r="J10" s="23"/>
    </x:row>
    <x:row r="11">
      <x:c r="A11" s="23" t="str">
        <x:v>Analytical background</x:v>
      </x:c>
      <x:c r="B11" s="23" t="str">
        <x:v>1: Cyclotetrasiloxane, octamethyl-</x:v>
      </x:c>
      <x:c r="C11" s="23" t="str">
        <x:v>Method artifact; suppress corpus-wide after classification while preserving raw provenance.</x:v>
      </x:c>
      <x:c r="D11" s="23" t="str">
        <x:v>Detected Egg Boiled Yolk / ER-006</x:v>
      </x:c>
      <x:c r="E11" s="23"/>
      <x:c r="F11" s="23"/>
      <x:c r="G11" s="23"/>
      <x:c r="H11" s="23"/>
      <x:c r="I11" s="23"/>
      <x:c r="J11" s="23"/>
    </x:row>
    <x:row r="12">
      <x:c r="A12" s="23" t="str">
        <x:v>Present, not flavor-relevant</x:v>
      </x:c>
      <x:c r="B12" s="23" t="str">
        <x:v>2 sample occurrences: Dibutyl phthalate (boiled chicken yolk; roasted-salted duck yolk)</x:v>
      </x:c>
      <x:c r="C12" s="23" t="str">
        <x:v>Genuine sample constituent, including authentic-standard confirmation in salted yolk; retain per sample but exclude from flavor profiles/DF.</x:v>
      </x:c>
      <x:c r="D12" s="23" t="str">
        <x:v>ER-007; ER-008</x:v>
      </x:c>
      <x:c r="E12" s="23"/>
      <x:c r="F12" s="23"/>
      <x:c r="G12" s="23"/>
      <x:c r="H12" s="23"/>
      <x:c r="I12" s="23"/>
      <x:c r="J12" s="23"/>
    </x:row>
    <x:row r="13">
      <x:c r="A13" s="301" t="str">
        <x:v>check_id</x:v>
      </x:c>
      <x:c r="B13" s="301" t="str">
        <x:v>precondition</x:v>
      </x:c>
      <x:c r="C13" s="301" t="str">
        <x:v>v26 evidence</x:v>
      </x:c>
      <x:c r="D13" s="301" t="str">
        <x:v>required behavior before ingest</x:v>
      </x:c>
      <x:c r="E13" s="301" t="str">
        <x:v>pass criterion</x:v>
      </x:c>
      <x:c r="F13" s="301" t="str">
        <x:v>collection implication</x:v>
      </x:c>
      <x:c r="G13" s="301" t="str">
        <x:v>status</x:v>
      </x:c>
      <x:c r="H13" s="23"/>
      <x:c r="I13" s="23"/>
      <x:c r="J13" s="23"/>
    </x:row>
    <x:row r="14">
      <x:c r="A14" s="23" t="str">
        <x:v>EGP-01</x:v>
      </x:c>
      <x:c r="B14" s="23" t="str">
        <x:v>Source-row preservation</x:v>
      </x:c>
      <x:c r="C14" s="23" t="str">
        <x:v>123/123 boiled-yolk rows; DI-19 preserves source arithmetic rather than altering rows.</x:v>
      </x:c>
      <x:c r="D14" s="23" t="str">
        <x:v>Keep all analytical source rows intact in raw/provenance even when resolver routing changes scoring eligibility.</x:v>
      </x:c>
      <x:c r="E14" s="23" t="str">
        <x:v>123 source rows remain traceable after regenerate; no row deleted to improve chemistry.</x:v>
      </x:c>
      <x:c r="F14" s="23" t="str">
        <x:v>None.</x:v>
      </x:c>
      <x:c r="G14" s="23" t="str">
        <x:v>required</x:v>
      </x:c>
      <x:c r="H14" s="23"/>
      <x:c r="I14" s="23"/>
      <x:c r="J14" s="23"/>
    </x:row>
    <x:row r="15">
      <x:c r="A15" s="23" t="str">
        <x:v>EGP-02</x:v>
      </x:c>
      <x:c r="B15" s="23" t="str">
        <x:v>MR-15 alkane/terpene classification</x:v>
      </x:c>
      <x:c r="C15" s="23" t="str">
        <x:v>48 rows normalize to Alkanes; 42 occur in commercial egg. D-Limonene is the only Terpenes row and is not detected in commercial egg.</x:v>
      </x:c>
      <x:c r="D15" s="23" t="str">
        <x:v>Classification must be correct before ingestion; straight/branched alkanes cannot enter terpene reasoning.</x:v>
      </x:c>
      <x:c r="E15" s="23" t="str">
        <x:v>No alkane enters terpene class; D-Limonene remains terpene by identity.</x:v>
      </x:c>
      <x:c r="F15" s="23" t="str">
        <x:v>None; do not recollect because of alkane abundance.</x:v>
      </x:c>
      <x:c r="G15" s="23" t="str">
        <x:v>required</x:v>
      </x:c>
      <x:c r="H15" s="23"/>
      <x:c r="I15" s="23"/>
      <x:c r="J15" s="23"/>
    </x:row>
    <x:row r="16">
      <x:c r="A16" s="23" t="str">
        <x:v>EGP-03</x:v>
      </x:c>
      <x:c r="B16" s="23" t="str">
        <x:v>MR-17 three-state routing</x:v>
      </x:c>
      <x:c r="C16" s="23" t="str">
        <x:v>Octamethylcyclotetrasiloxane is analytical background; dibutyl phthalate is independently present in two egg sources.</x:v>
      </x:c>
      <x:c r="D16" s="23" t="str">
        <x:v>Route analytical_background corpus-wide; present_not_flavor_relevant per sample; unresolved to neither profile nor DF. Preserve provenance in all cases.</x:v>
      </x:c>
      <x:c r="E16" s="23" t="str">
        <x:v>Counts for all three states are reported before DF; none can inflate df=1.</x:v>
      </x:c>
      <x:c r="F16" s="23" t="str">
        <x:v>None; this is ingestion/routing, not evidence depth.</x:v>
      </x:c>
      <x:c r="G16" s="23" t="str">
        <x:v>required</x:v>
      </x:c>
      <x:c r="H16" s="23"/>
      <x:c r="I16" s="23"/>
      <x:c r="J16" s="23"/>
    </x:row>
    <x:row r="17">
      <x:c r="A17" s="23" t="str">
        <x:v>EGP-04</x:v>
      </x:c>
      <x:c r="B17" s="23" t="str">
        <x:v>Identity resolution ≠ flavor relevance</x:v>
      </x:c>
      <x:c r="C17" s="23" t="str">
        <x:v>Dibutyl phthalate occurs in boiled chicken yolk and independently in roasted-salted duck yolk; the latter is authentic-standard-confirmed.</x:v>
      </x:c>
      <x:c r="D17" s="23" t="str">
        <x:v>Resolve one canonical identity, then apply per-sample MR-17 route. Do not use a chemical-class blacklist or mistake confirmed presence for flavor relevance.</x:v>
      </x:c>
      <x:c r="E17" s="23" t="str">
        <x:v>Canonical identity converges; both sample records remain, both excluded from flavor profiles/DF.</x:v>
      </x:c>
      <x:c r="F17" s="23" t="str">
        <x:v>None.</x:v>
      </x:c>
      <x:c r="G17" s="23" t="str">
        <x:v>required</x:v>
      </x:c>
      <x:c r="H17" s="23"/>
      <x:c r="I17" s="23"/>
      <x:c r="J17" s="23"/>
    </x:row>
    <x:row r="18">
      <x:c r="A18" s="23" t="str">
        <x:v>EGP-05</x:v>
      </x:c>
      <x:c r="B18" s="23" t="str">
        <x:v>Unusual-label resolver review</x:v>
      </x:c>
      <x:c r="C18" s="23" t="str">
        <x:v>CE-detected labels include 1H-Tetrazol-5-amine, Butane, 1-isocyano-, Methane, dichloronitro-, and trans-2-methyl-3-propyloxirane.</x:v>
      </x:c>
      <x:c r="D18" s="23" t="str">
        <x:v>Send unusual labels through the corrected identity resolver; do not manually promote or delete them from staging.</x:v>
      </x:c>
      <x:c r="E18" s="23" t="str">
        <x:v>Each row ends mapped, background/context-routed, or unresolved with reason; no silent fallback label enters DF.</x:v>
      </x:c>
      <x:c r="F18" s="23" t="str">
        <x:v>None until post-regenerate behavior proves a gap.</x:v>
      </x:c>
      <x:c r="G18" s="23" t="str">
        <x:v>required</x:v>
      </x:c>
      <x:c r="H18" s="23"/>
      <x:c r="I18" s="23"/>
      <x:c r="J18" s="23"/>
    </x:row>
    <x:row r="19">
      <x:c r="A19" s="23" t="str">
        <x:v>EGP-06</x:v>
      </x:c>
      <x:c r="B19" s="23" t="str">
        <x:v>Canonical convergence across independent egg sources</x:v>
      </x:c>
      <x:c r="C19" s="23" t="str">
        <x:v>Exact identities recur across boiled yolk, scrambled whole egg and salted yolk (see regression anchors below).</x:v>
      </x:c>
      <x:c r="D19" s="23" t="str">
        <x:v>The resolver must map repeated identities to the same canonical compound ID without merging products/states.</x:v>
      </x:c>
      <x:c r="E19" s="23" t="str">
        <x:v>Regression anchors converge on canonical identity while source/product/state provenance remains distinct.</x:v>
      </x:c>
      <x:c r="F19" s="23" t="str">
        <x:v>None.</x:v>
      </x:c>
      <x:c r="G19" s="23" t="str">
        <x:v>required</x:v>
      </x:c>
      <x:c r="H19" s="23"/>
      <x:c r="I19" s="23"/>
      <x:c r="J19" s="23"/>
    </x:row>
    <x:row r="20">
      <x:c r="A20" s="23" t="str">
        <x:v>EGP-07</x:v>
      </x:c>
      <x:c r="B20" s="23" t="str">
        <x:v>MR-14 contextual sulfur/amine routing</x:v>
      </x:c>
      <x:c r="C20" s="23" t="str">
        <x:v>Hydrogen sulfide is directly measured in boiled yolk and scrambled whole egg; methanethiol is direct scrambled-egg evidence; trimethylamine is boiled-yolk occurrence with quality caution.</x:v>
      </x:c>
      <x:c r="D20" s="23" t="str">
        <x:v>Do not route cooked-egg H2S/methanethiol to spoilage-only. TMA/H2S quality cautions remain state/source contextual.</x:v>
      </x:c>
      <x:c r="E20" s="23" t="str">
        <x:v>Culinary sensomics evidence survives; quality/spoilage evidence does not become positive pairing evidence by itself.</x:v>
      </x:c>
      <x:c r="F20" s="23" t="str">
        <x:v>None.</x:v>
      </x:c>
      <x:c r="G20" s="23" t="str">
        <x:v>required</x:v>
      </x:c>
      <x:c r="H20" s="23"/>
      <x:c r="I20" s="23"/>
      <x:c r="J20" s="23"/>
    </x:row>
    <x:row r="21">
      <x:c r="A21" s="23" t="str">
        <x:v>EGP-08</x:v>
      </x:c>
      <x:c r="B21" s="23" t="str">
        <x:v>MR-13 product boundaries</x:v>
      </x:c>
      <x:c r="C21" s="23" t="str">
        <x:v>Yolk, white and whole egg are separate from first ingestion; preserved duck yolk/white are separate products.</x:v>
      </x:c>
      <x:c r="D21" s="23" t="str">
        <x:v>Regenerate by product/material/state. Never union yolk+white into a measured whole-egg profile; no preserved-product leakage into ordinary egg.</x:v>
      </x:c>
      <x:c r="E21" s="23" t="str">
        <x:v>Canonical identity may converge; product membership and measurement provenance do not.</x:v>
      </x:c>
      <x:c r="F21" s="23" t="str">
        <x:v>None.</x:v>
      </x:c>
      <x:c r="G21" s="23" t="str">
        <x:v>required</x:v>
      </x:c>
      <x:c r="H21" s="23"/>
      <x:c r="I21" s="23"/>
      <x:c r="J21" s="23"/>
    </x:row>
    <x:row r="22">
      <x:c r="A22" s="23" t="str">
        <x:v>EGP-09</x:v>
      </x:c>
      <x:c r="B22" s="23" t="str">
        <x:v>Duplicate handling after resolution</x:v>
      </x:c>
      <x:c r="C22" s="23" t="str">
        <x:v>No exact duplicate source labels are present in the 123-row table, but canonical synonym/tautomer equivalence may still exist.</x:v>
      </x:c>
      <x:c r="D22" s="23" t="str">
        <x:v>Deduplicate only after resolver identity/CAS reconciliation; preserve each source row in raw provenance.</x:v>
      </x:c>
      <x:c r="E22" s="23" t="str">
        <x:v>No duplicate canonical occurrence is double-counted within a measured product/state.</x:v>
      </x:c>
      <x:c r="F22" s="23" t="str">
        <x:v>None.</x:v>
      </x:c>
      <x:c r="G22" s="23" t="str">
        <x:v>required</x:v>
      </x:c>
      <x:c r="H22" s="23"/>
      <x:c r="I22" s="23"/>
      <x:c r="J22" s="23"/>
    </x:row>
    <x:row r="23">
      <x:c r="A23" s="23" t="str">
        <x:v>EGP-10</x:v>
      </x:c>
      <x:c r="B23" s="23" t="str">
        <x:v>DF diagnostic comes last</x:v>
      </x:c>
      <x:c r="C23" s="23" t="str">
        <x:v>Beef showed apparent distinctiveness can collapse after contaminants/unmapped rows are removed from the denominator.</x:v>
      </x:c>
      <x:c r="D23" s="23" t="str">
        <x:v>Only compute egg df=1 / IDF behavior after EGP-01 through EGP-09 pass. Report mapped, background, unresolved and duplicate-collapsed counts first.</x:v>
      </x:c>
      <x:c r="E23" s="23" t="str">
        <x:v>No biological interpretation is made from pre-resolver raw-tier percentages.</x:v>
      </x:c>
      <x:c r="F23" s="23" t="str">
        <x:v>Targeted collection reopens only if clean runtime coverage is genuinely thin.</x:v>
      </x:c>
      <x:c r="G23" s="23" t="str">
        <x:v>required</x:v>
      </x:c>
      <x:c r="H23" s="23"/>
      <x:c r="I23" s="23"/>
      <x:c r="J23" s="23"/>
    </x:row>
    <x:row r="24">
      <x:c r="A24" s="23"/>
      <x:c r="B24" s="23"/>
      <x:c r="C24" s="23"/>
      <x:c r="D24" s="23"/>
      <x:c r="E24" s="23"/>
      <x:c r="F24" s="23"/>
      <x:c r="G24" s="23"/>
      <x:c r="H24" s="23"/>
      <x:c r="I24" s="23"/>
      <x:c r="J24" s="23"/>
    </x:row>
    <x:row r="25">
      <x:c r="A25" s="23"/>
      <x:c r="B25" s="23"/>
      <x:c r="C25" s="23"/>
      <x:c r="D25" s="23"/>
      <x:c r="E25" s="23"/>
      <x:c r="F25" s="23"/>
      <x:c r="G25" s="23"/>
      <x:c r="H25" s="23"/>
      <x:c r="I25" s="23"/>
      <x:c r="J25" s="23"/>
    </x:row>
    <x:row r="26">
      <x:c r="A26" s="301" t="str">
        <x:v>Regression anchor</x:v>
      </x:c>
      <x:c r="B26" s="301" t="str">
        <x:v>Independent egg evidence</x:v>
      </x:c>
      <x:c r="C26" s="301" t="str">
        <x:v>Why useful</x:v>
      </x:c>
      <x:c r="D26" s="301" t="str">
        <x:v>Required resolver result</x:v>
      </x:c>
      <x:c r="E26" s="301" t="str">
        <x:v>Product/state boundary</x:v>
      </x:c>
      <x:c r="F26" s="301" t="str">
        <x:v>Status</x:v>
      </x:c>
      <x:c r="G26" s="23"/>
      <x:c r="H26" s="23"/>
      <x:c r="I26" s="23"/>
      <x:c r="J26" s="23"/>
    </x:row>
    <x:row r="27">
      <x:c r="A27" s="23" t="str">
        <x:v>Hydrogen sulfide</x:v>
      </x:c>
      <x:c r="B27" s="23" t="str">
        <x:v>Boiled chicken yolk + scrambled whole chicken egg</x:v>
      </x:c>
      <x:c r="C27" s="23" t="str">
        <x:v>Directly tests MR-14 and identity convergence.</x:v>
      </x:c>
      <x:c r="D27" s="23" t="str">
        <x:v>One canonical H2S identity.</x:v>
      </x:c>
      <x:c r="E27" s="23" t="str">
        <x:v>Keep yolk vs whole/scrambled measurements separate.</x:v>
      </x:c>
      <x:c r="F27" s="23" t="str">
        <x:v>anchor</x:v>
      </x:c>
      <x:c r="G27" s="23"/>
      <x:c r="H27" s="23"/>
      <x:c r="I27" s="23"/>
      <x:c r="J27" s="23"/>
    </x:row>
    <x:row r="28">
      <x:c r="A28" s="23" t="str">
        <x:v>2,3-Butanedione</x:v>
      </x:c>
      <x:c r="B28" s="23" t="str">
        <x:v>Boiled chicken yolk + scrambled whole chicken egg</x:v>
      </x:c>
      <x:c r="C28" s="23" t="str">
        <x:v>Common synonym risk (diacetyl elsewhere in corpus).</x:v>
      </x:c>
      <x:c r="D28" s="23" t="str">
        <x:v>Resolve to same canonical 2,3-butanedione/diacetyl identity.</x:v>
      </x:c>
      <x:c r="E28" s="23" t="str">
        <x:v>Keep source/state rows separate.</x:v>
      </x:c>
      <x:c r="F28" s="23" t="str">
        <x:v>anchor</x:v>
      </x:c>
      <x:c r="G28" s="23"/>
      <x:c r="H28" s="23"/>
      <x:c r="I28" s="23"/>
      <x:c r="J28" s="23"/>
    </x:row>
    <x:row r="29">
      <x:c r="A29" s="23" t="str">
        <x:v>Octanal</x:v>
      </x:c>
      <x:c r="B29" s="23" t="str">
        <x:v>Boiled chicken yolk + scrambled whole chicken egg</x:v>
      </x:c>
      <x:c r="C29" s="23" t="str">
        <x:v>Simple exact-name convergence control.</x:v>
      </x:c>
      <x:c r="D29" s="23" t="str">
        <x:v>One canonical octanal identity.</x:v>
      </x:c>
      <x:c r="E29" s="23" t="str">
        <x:v>Keep source/state rows separate.</x:v>
      </x:c>
      <x:c r="F29" s="23" t="str">
        <x:v>anchor</x:v>
      </x:c>
      <x:c r="G29" s="23"/>
      <x:c r="H29" s="23"/>
      <x:c r="I29" s="23"/>
      <x:c r="J29" s="23"/>
    </x:row>
    <x:row r="30">
      <x:c r="A30" s="23" t="str">
        <x:v>1-Octen-3-ol</x:v>
      </x:c>
      <x:c r="B30" s="23" t="str">
        <x:v>Boiled chicken yolk + salted/roasted duck yolk</x:v>
      </x:c>
      <x:c r="C30" s="23" t="str">
        <x:v>Cross-species/product convergence without membership inheritance.</x:v>
      </x:c>
      <x:c r="D30" s="23" t="str">
        <x:v>One canonical identity.</x:v>
      </x:c>
      <x:c r="E30" s="23" t="str">
        <x:v>Chicken yolk and preserved duck yolk remain separate products.</x:v>
      </x:c>
      <x:c r="F30" s="23" t="str">
        <x:v>anchor</x:v>
      </x:c>
      <x:c r="G30" s="23"/>
      <x:c r="H30" s="23"/>
      <x:c r="I30" s="23"/>
      <x:c r="J30" s="23"/>
    </x:row>
    <x:row r="31">
      <x:c r="A31" s="23" t="str">
        <x:v>2-Pentylfuran</x:v>
      </x:c>
      <x:c r="B31" s="23" t="str">
        <x:v>Boiled chicken yolk + salted/roasted duck yolk</x:v>
      </x:c>
      <x:c r="C31" s="23" t="str">
        <x:v>Cross-source exact identity.</x:v>
      </x:c>
      <x:c r="D31" s="23" t="str">
        <x:v>One canonical identity.</x:v>
      </x:c>
      <x:c r="E31" s="23" t="str">
        <x:v>No preserved→ordinary inheritance.</x:v>
      </x:c>
      <x:c r="F31" s="23" t="str">
        <x:v>anchor</x:v>
      </x:c>
      <x:c r="G31" s="23"/>
      <x:c r="H31" s="23"/>
      <x:c r="I31" s="23"/>
      <x:c r="J31" s="23"/>
    </x:row>
    <x:row r="32">
      <x:c r="A32" s="23" t="str">
        <x:v>Nonanal</x:v>
      </x:c>
      <x:c r="B32" s="23" t="str">
        <x:v>Boiled chicken yolk + salted/roasted duck yolk</x:v>
      </x:c>
      <x:c r="C32" s="23" t="str">
        <x:v>Cross-source exact identity.</x:v>
      </x:c>
      <x:c r="D32" s="23" t="str">
        <x:v>One canonical identity.</x:v>
      </x:c>
      <x:c r="E32" s="23" t="str">
        <x:v>State/product provenance remains independent.</x:v>
      </x:c>
      <x:c r="F32" s="23" t="str">
        <x:v>anchor</x:v>
      </x:c>
      <x:c r="G32" s="23"/>
      <x:c r="H32" s="23"/>
      <x:c r="I32" s="23"/>
      <x:c r="J32" s="23"/>
    </x:row>
    <x:row r="33">
      <x:c r="A33" s="23" t="str">
        <x:v>Hexanal</x:v>
      </x:c>
      <x:c r="B33" s="23" t="str">
        <x:v>Salted/roasted duck yolk + scrambled whole chicken egg</x:v>
      </x:c>
      <x:c r="C33" s="23" t="str">
        <x:v>Tests identity convergence across very different states.</x:v>
      </x:c>
      <x:c r="D33" s="23" t="str">
        <x:v>One canonical identity.</x:v>
      </x:c>
      <x:c r="E33" s="23" t="str">
        <x:v>No state inheritance.</x:v>
      </x:c>
      <x:c r="F33" s="23" t="str">
        <x:v>anchor</x:v>
      </x:c>
      <x:c r="G33" s="23"/>
      <x:c r="H33" s="23"/>
      <x:c r="I33" s="23"/>
      <x:c r="J33" s="23"/>
    </x:row>
    <x:row r="34">
      <x:c r="A34" s="23" t="str">
        <x:v>2-Ethyl-3,6-dimethylpyrazine</x:v>
      </x:c>
      <x:c r="B34" s="23" t="str">
        <x:v>Salted/roasted duck yolk + scrambled whole chicken egg</x:v>
      </x:c>
      <x:c r="C34" s="23" t="str">
        <x:v>High-heat/Maillard anchor.</x:v>
      </x:c>
      <x:c r="D34" s="23" t="str">
        <x:v>One canonical identity.</x:v>
      </x:c>
      <x:c r="E34" s="23" t="str">
        <x:v>Preserved/high-heat evidence does not create ordinary-yolk membership.</x:v>
      </x:c>
      <x:c r="F34" s="23" t="str">
        <x:v>anchor</x:v>
      </x:c>
      <x:c r="G34" s="23"/>
      <x:c r="H34" s="23"/>
      <x:c r="I34" s="23"/>
      <x:c r="J34" s="23"/>
    </x:row>
    <x:row r="35">
      <x:c r="A35" s="23" t="str">
        <x:v>Acetic acid</x:v>
      </x:c>
      <x:c r="B35" s="23" t="str">
        <x:v>Salted/roasted duck yolk + scrambled whole chicken egg</x:v>
      </x:c>
      <x:c r="C35" s="23" t="str">
        <x:v>Simple acid identity control.</x:v>
      </x:c>
      <x:c r="D35" s="23" t="str">
        <x:v>One canonical identity.</x:v>
      </x:c>
      <x:c r="E35" s="23" t="str">
        <x:v>Keep independent measurements.</x:v>
      </x:c>
      <x:c r="F35" s="23" t="str">
        <x:v>anchor</x:v>
      </x:c>
      <x:c r="G35" s="23"/>
      <x:c r="H35" s="23"/>
      <x:c r="I35" s="23"/>
      <x:c r="J35" s="23"/>
    </x:row>
    <x:row r="36">
      <x:c r="A36" s="23" t="str">
        <x:v>Dibutyl phthalate</x:v>
      </x:c>
      <x:c r="B36" s="23" t="str">
        <x:v>Boiled chicken yolk + roasted-salted duck yolk (standard-confirmed in salted-yolk source)</x:v>
      </x:c>
      <x:c r="C36" s="23" t="str">
        <x:v>Forces identity resolution to remain separate from background/context routing.</x:v>
      </x:c>
      <x:c r="D36" s="23" t="str">
        <x:v>One canonical identity; routing decision explicit rather than name/class deletion.</x:v>
      </x:c>
      <x:c r="E36" s="23" t="str">
        <x:v>No cross-product membership inheritance.</x:v>
      </x:c>
      <x:c r="F36" s="23" t="str">
        <x:v>review_anchor</x:v>
      </x:c>
      <x:c r="G36" s="23"/>
      <x:c r="H36" s="23"/>
      <x:c r="I36" s="23"/>
      <x:c r="J36" s="23"/>
    </x:row>
    <x:row r="37">
      <x:c r="A37" s="23"/>
      <x:c r="B37" s="23"/>
      <x:c r="C37" s="23"/>
      <x:c r="D37" s="23"/>
      <x:c r="E37" s="23"/>
      <x:c r="F37" s="23"/>
      <x:c r="G37" s="23"/>
      <x:c r="H37" s="23"/>
      <x:c r="I37" s="23"/>
      <x:c r="J37" s="23"/>
    </x:row>
    <x:row r="38">
      <x:c r="A38" s="23"/>
      <x:c r="B38" s="23"/>
      <x:c r="C38" s="23"/>
      <x:c r="D38" s="23"/>
      <x:c r="E38" s="23"/>
      <x:c r="F38" s="23"/>
      <x:c r="G38" s="23"/>
      <x:c r="H38" s="23"/>
      <x:c r="I38" s="23"/>
      <x:c r="J38" s="23"/>
    </x:row>
    <x:row r="39">
      <x:c r="A39" s="301" t="str">
        <x:v>Current gap</x:v>
      </x:c>
      <x:c r="B39" s="301" t="str">
        <x:v>v27 status</x:v>
      </x:c>
      <x:c r="C39" s="301" t="str">
        <x:v>work_type</x:v>
      </x:c>
      <x:c r="D39" s="301" t="str">
        <x:v>Action before regenerate</x:v>
      </x:c>
      <x:c r="E39" s="301" t="str">
        <x:v>post-regenerate trigger / priority</x:v>
      </x:c>
      <x:c r="F39" s="23" t="str">
        <x:v>v28 decision</x:v>
      </x:c>
      <x:c r="G39" s="23"/>
      <x:c r="H39" s="23"/>
      <x:c r="I39" s="23"/>
      <x:c r="J39" s="23"/>
    </x:row>
    <x:row r="40">
      <x:c r="A40" s="23" t="str">
        <x:v>Raw/boiled/fried yolk 68-row Table S2</x:v>
      </x:c>
      <x:c r="B40" s="23" t="str">
        <x:v>Direct source held; supplement/full table not yet mined.</x:v>
      </x:c>
      <x:c r="C40" s="23" t="str">
        <x:v>re_mining_existing_source</x:v>
      </x:c>
      <x:c r="D40" s="23" t="str">
        <x:v>None.</x:v>
      </x:c>
      <x:c r="E40" s="23" t="str">
        <x:v>Cheap re-mining once gates pass; per-row scores required for MR-09.</x:v>
      </x:c>
      <x:c r="F40" s="23" t="str">
        <x:v>Defer until after regenerate; does not reopen literature collection.</x:v>
      </x:c>
      <x:c r="G40" s="23"/>
      <x:c r="H40" s="23"/>
      <x:c r="I40" s="23"/>
      <x:c r="J40" s="23"/>
    </x:row>
    <x:row r="41">
      <x:c r="A41" s="23" t="str">
        <x:v>Modern raw/cooked chicken-white row tables</x:v>
      </x:c>
      <x:c r="B41" s="23" t="str">
        <x:v>Direct sources held; counts/architecture known; exact rows not yet mined.</x:v>
      </x:c>
      <x:c r="C41" s="23" t="str">
        <x:v>re_mining_existing_source</x:v>
      </x:c>
      <x:c r="D41" s="23" t="str">
        <x:v>None.</x:v>
      </x:c>
      <x:c r="E41" s="23" t="str">
        <x:v>Cheap re-mining after regenerate, especially if white-only retrieval is thin.</x:v>
      </x:c>
      <x:c r="F41" s="23" t="str">
        <x:v>Defer until after regenerate.</x:v>
      </x:c>
      <x:c r="G41" s="23"/>
      <x:c r="H41" s="23"/>
      <x:c r="I41" s="23"/>
      <x:c r="J41" s="23"/>
    </x:row>
    <x:row r="42">
      <x:c r="A42" s="23" t="str">
        <x:v>Salted duck-white 43-row table</x:v>
      </x:c>
      <x:c r="B42" s="23" t="str">
        <x:v>Source held; 20 characteristic compounds governed; exact 43 rows not yet mined.</x:v>
      </x:c>
      <x:c r="C42" s="23" t="str">
        <x:v>re_mining_existing_source</x:v>
      </x:c>
      <x:c r="D42" s="23" t="str">
        <x:v>None.</x:v>
      </x:c>
      <x:c r="E42" s="23" t="str">
        <x:v>Cheap re-mining after regenerate; lower value than ordinary-egg states.</x:v>
      </x:c>
      <x:c r="F42" s="23" t="str">
        <x:v>Defer; do not call this new collection.</x:v>
      </x:c>
      <x:c r="G42" s="23"/>
      <x:c r="H42" s="23"/>
      <x:c r="I42" s="23"/>
      <x:c r="J42" s="23"/>
    </x:row>
    <x:row r="43">
      <x:c r="A43" s="23" t="str">
        <x:v>Stronger raw whole-egg anchor</x:v>
      </x:c>
      <x:c r="B43" s="23" t="str">
        <x:v>Current 15-compound source is thin with weak MR-09 support.</x:v>
      </x:c>
      <x:c r="C43" s="23" t="str">
        <x:v>new_collection</x:v>
      </x:c>
      <x:c r="D43" s="23" t="str">
        <x:v>None.</x:v>
      </x:c>
      <x:c r="E43" s="23" t="str">
        <x:v>High priority if raw composite retrieval is thin; raw whole egg is a common chef-facing product.</x:v>
      </x:c>
      <x:c r="F43" s="23" t="str">
        <x:v>Targeted collection after regenerate if needed.</x:v>
      </x:c>
      <x:c r="G43" s="23"/>
      <x:c r="H43" s="23"/>
      <x:c r="I43" s="23"/>
      <x:c r="J43" s="23"/>
    </x:row>
    <x:row r="44">
      <x:c r="A44" s="23" t="str">
        <x:v>Soft-boiled distinct compound table</x:v>
      </x:c>
      <x:c r="B44" s="23" t="str">
        <x:v>No qualifying direct compound-resolved source located.</x:v>
      </x:c>
      <x:c r="C44" s="23" t="str">
        <x:v>new_collection</x:v>
      </x:c>
      <x:c r="D44" s="23" t="str">
        <x:v>None.</x:v>
      </x:c>
      <x:c r="E44" s="23" t="str">
        <x:v>Product-need driven; lower priority than strengthening common whole/scrambled states.</x:v>
      </x:c>
      <x:c r="F44" s="23" t="str">
        <x:v>Targeted collection only when material.</x:v>
      </x:c>
      <x:c r="G44" s="23"/>
      <x:c r="H44" s="23"/>
      <x:c r="I44" s="23"/>
      <x:c r="J44" s="23"/>
    </x:row>
    <x:row r="45">
      <x:c r="A45" s="23" t="str">
        <x:v>Full detected scrambled whole-egg table</x:v>
      </x:c>
      <x:c r="B45" s="23" t="str">
        <x:v>EGC-005 is sensory_complete_not_full_detection: 22 quantitative sensory targets / 17 detected.</x:v>
      </x:c>
      <x:c r="C45" s="23" t="str">
        <x:v>new_collection</x:v>
      </x:c>
      <x:c r="D45" s="23" t="str">
        <x:v>None.</x:v>
      </x:c>
      <x:c r="E45" s="23" t="str">
        <x:v>High-value target: scrambled is a common cooked whole-egg state; prioritize ahead of more preserved-duck-egg enrichment.</x:v>
      </x:c>
      <x:c r="F45" s="23" t="str">
        <x:v>Targeted collection priority after regenerate.</x:v>
      </x:c>
      <x:c r="G45" s="23"/>
      <x:c r="H45" s="23"/>
      <x:c r="I45" s="23"/>
      <x:c r="J45" s="23"/>
    </x:row>
    <x:row r="46">
      <x:c r="A46" s="23"/>
      <x:c r="B46" s="23"/>
      <x:c r="C46" s="23"/>
      <x:c r="D46" s="23"/>
      <x:c r="E46" s="23"/>
      <x:c r="F46" s="23"/>
      <x:c r="G46" s="23"/>
      <x:c r="H46" s="23"/>
      <x:c r="I46" s="23"/>
      <x:c r="J46" s="23"/>
    </x:row>
    <x:row r="47" ht="30" customHeight="1">
      <x:c r="A47" s="304" t="str">
        <x:v>DECISION — Egg evidence collection is closed for the current phase. Next action is a clean egg regenerate through the corrected resolver/classifier, followed by post-regenerate mapping/DF diagnostics.</x:v>
      </x:c>
      <x:c r="B47" s="304"/>
      <x:c r="C47" s="304"/>
      <x:c r="D47" s="304"/>
      <x:c r="E47" s="304"/>
      <x:c r="F47" s="304"/>
      <x:c r="G47" s="304"/>
      <x:c r="H47" s="304"/>
      <x:c r="I47" s="304"/>
      <x:c r="J47" s="304"/>
    </x:row>
    <x:row r="48">
      <x:c r="A48" s="23" t="str">
        <x:v>DECISION — Workbook-side MR-17/MR-18 prerequisites are explicit and the beef routing audit is complete. Next gate is code/runtime: corrected resolver + classifier + GROUP_MAP validation → clean egg regenerate → mapped / analytical-background / present-not-flavor / unresolved / duplicate-collapsed counts → DF.</x:v>
      </x:c>
      <x:c r="B48" s="23"/>
      <x:c r="C48" s="23"/>
      <x:c r="D48" s="23"/>
      <x:c r="E48" s="23"/>
      <x:c r="F48" s="23"/>
    </x:row>
    <x:row r="49">
      <x:c r="A49" s="23"/>
      <x:c r="B49" s="23"/>
      <x:c r="C49" s="23"/>
      <x:c r="D49" s="23"/>
      <x:c r="E49" s="23"/>
      <x:c r="F49" s="23"/>
    </x:row>
    <x:row r="50">
      <x:c r="A50" s="23"/>
      <x:c r="B50" s="23"/>
      <x:c r="C50" s="23"/>
      <x:c r="D50" s="23"/>
      <x:c r="E50" s="23"/>
      <x:c r="F50" s="23"/>
    </x:row>
  </x:sheetData>
  <x:mergeCells>
    <x:mergeCell ref="A1:G1"/>
    <x:mergeCell ref="A3:G3"/>
    <x:mergeCell ref="A47:G47"/>
  </x:mergeCells>
  <x:pageMargins left="0.7" right="0.7" top="0.75" bottom="0.75" header="0.3" footer="0.3"/>
</x:worksheet>
</file>

<file path=xl/worksheets/sheet109.xml><?xml version="1.0" encoding="utf-8"?>
<x:worksheet xmlns:x="http://schemas.openxmlformats.org/spreadsheetml/2006/main">
  <x:sheetFormatPr defaultRowHeight="15"/>
  <x:cols>
    <x:col min="1" max="1" width="10" hidden="0" customWidth="1"/>
    <x:col min="2" max="2" width="10" hidden="0" customWidth="1"/>
    <x:col min="3" max="3" width="14" hidden="0" customWidth="1"/>
    <x:col min="4" max="4" width="19" hidden="0" customWidth="1"/>
    <x:col min="5" max="5" width="24" hidden="0" customWidth="1"/>
    <x:col min="6" max="6" width="34" hidden="0" customWidth="1"/>
    <x:col min="7" max="7" width="34" hidden="0" customWidth="1"/>
    <x:col min="8" max="8" width="28" hidden="0" customWidth="1"/>
    <x:col min="9" max="9" width="48" hidden="0" customWidth="1"/>
    <x:col min="10" max="10" width="34" hidden="0" customWidth="1"/>
    <x:col min="11" max="11" width="38" hidden="0" customWidth="1"/>
    <x:col min="12" max="12" width="25" hidden="0" customWidth="1"/>
    <x:col min="13" max="13" width="48" hidden="0" customWidth="1"/>
  </x:cols>
  <x:sheetData>
    <x:row r="1">
      <x:c r="A1" s="314" t="str">
        <x:v>Exclusion Routing Audit — v29</x:v>
      </x:c>
      <x:c r="B1" s="314"/>
      <x:c r="C1" s="314"/>
      <x:c r="D1" s="314"/>
      <x:c r="E1" s="314"/>
      <x:c r="F1" s="314"/>
      <x:c r="G1" s="314"/>
      <x:c r="H1" s="314"/>
      <x:c r="I1" s="314"/>
      <x:c r="J1" s="314"/>
      <x:c r="K1" s="314"/>
      <x:c r="L1" s="314"/>
      <x:c r="M1" s="314"/>
    </x:row>
    <x:row r="2">
      <x:c r="A2" s="319" t="str">
        <x:v>route_id</x:v>
      </x:c>
      <x:c r="B2" s="319" t="str">
        <x:v>family</x:v>
      </x:c>
      <x:c r="C2" s="319" t="str">
        <x:v>record_id</x:v>
      </x:c>
      <x:c r="D2" s="319" t="str">
        <x:v>product_id</x:v>
      </x:c>
      <x:c r="E2" s="319" t="str">
        <x:v>source_id</x:v>
      </x:c>
      <x:c r="F2" s="319" t="str">
        <x:v>compound_name</x:v>
      </x:c>
      <x:c r="G2" s="319" t="str">
        <x:v>resolved_identity</x:v>
      </x:c>
      <x:c r="H2" s="319" t="str">
        <x:v>mr17_state</x:v>
      </x:c>
      <x:c r="I2" s="319" t="str">
        <x:v>meaning</x:v>
      </x:c>
      <x:c r="J2" s="319" t="str">
        <x:v>corpus_behavior</x:v>
      </x:c>
      <x:c r="K2" s="319" t="str">
        <x:v>sample_record_behavior</x:v>
      </x:c>
      <x:c r="L2" s="319" t="str">
        <x:v>authority</x:v>
      </x:c>
      <x:c r="M2" s="319" t="str">
        <x:v>source_url</x:v>
      </x:c>
    </x:row>
    <x:row r="3">
      <x:c r="A3" s="320" t="str">
        <x:v>ER-001</x:v>
      </x:c>
      <x:c r="B3" s="320" t="str">
        <x:v>beef</x:v>
      </x:c>
      <x:c r="C3" s="320" t="str">
        <x:v>BDA-018</x:v>
      </x:c>
      <x:c r="D3" s="320" t="str">
        <x:v>beef:muscle</x:v>
      </x:c>
      <x:c r="E3" s="320" t="str">
        <x:v>SRC-BEEF-AGE-001</x:v>
      </x:c>
      <x:c r="F3" s="320" t="str">
        <x:v>2,2-Dichloropropane</x:v>
      </x:c>
      <x:c r="G3" s="320" t="str">
        <x:v>2,2-Dichloropropane</x:v>
      </x:c>
      <x:c r="H3" s="320" t="str">
        <x:v>present_not_flavor_relevant</x:v>
      </x:c>
      <x:c r="I3" s="320" t="str">
        <x:v>Genuinely reported in the sample; treated as residue/contaminant rather than flavor chemistry.</x:v>
      </x:c>
      <x:c r="J3" s="320" t="str">
        <x:v>Exclude from flavor profiles and DF/IDF.</x:v>
      </x:c>
      <x:c r="K3" s="320" t="str">
        <x:v>Retain the source/sample occurrence and identification provenance.</x:v>
      </x:c>
      <x:c r="L3" s="320" t="str">
        <x:v>Founder correction — v28</x:v>
      </x:c>
      <x:c r="M3" s="320"/>
    </x:row>
    <x:row r="4">
      <x:c r="A4" s="320" t="str">
        <x:v>ER-002</x:v>
      </x:c>
      <x:c r="B4" s="320" t="str">
        <x:v>beef</x:v>
      </x:c>
      <x:c r="C4" s="320" t="str">
        <x:v>BDA-031</x:v>
      </x:c>
      <x:c r="D4" s="320" t="str">
        <x:v>beef:muscle</x:v>
      </x:c>
      <x:c r="E4" s="320" t="str">
        <x:v>SRC-BEEF-AGE-001</x:v>
      </x:c>
      <x:c r="F4" s="320" t="str">
        <x:v>1,2,4-Thiadiazole,5-ethoxy-3-(trichloromethyl)-</x:v>
      </x:c>
      <x:c r="G4" s="320" t="str">
        <x:v>Etridiazole (5-ethoxy-3-(trichloromethyl)-1,2,4-thiadiazole)</x:v>
      </x:c>
      <x:c r="H4" s="320" t="str">
        <x:v>present_not_flavor_relevant</x:v>
      </x:c>
      <x:c r="I4" s="320" t="str">
        <x:v>EPA identifies this compound as the fungicide etridiazole; its presence is a sample residue fact, not flavor chemistry.</x:v>
      </x:c>
      <x:c r="J4" s="320" t="str">
        <x:v>Exclude from flavor profiles and DF/IDF.</x:v>
      </x:c>
      <x:c r="K4" s="320" t="str">
        <x:v>Retain the source/sample occurrence and identification provenance.</x:v>
      </x:c>
      <x:c r="L4" s="320" t="str">
        <x:v>EPA identity/use verification + MR-17</x:v>
      </x:c>
      <x:c r="M4" s="320" t="str">
        <x:v>https://www3.epa.gov/pesticides/chem_search/reg_actions/reregistration/red_PC-084701_1-Sep-00.pdf</x:v>
      </x:c>
    </x:row>
    <x:row r="5">
      <x:c r="A5" s="320" t="str">
        <x:v>ER-003</x:v>
      </x:c>
      <x:c r="B5" s="320" t="str">
        <x:v>beef</x:v>
      </x:c>
      <x:c r="C5" s="320" t="str">
        <x:v>BDA-032</x:v>
      </x:c>
      <x:c r="D5" s="320" t="str">
        <x:v>beef:muscle</x:v>
      </x:c>
      <x:c r="E5" s="320" t="str">
        <x:v>SRC-BEEF-AGE-001</x:v>
      </x:c>
      <x:c r="F5" s="320" t="str">
        <x:v>Demeton-O</x:v>
      </x:c>
      <x:c r="G5" s="320" t="str">
        <x:v>Demeton-O</x:v>
      </x:c>
      <x:c r="H5" s="320" t="str">
        <x:v>present_not_flavor_relevant</x:v>
      </x:c>
      <x:c r="I5" s="320" t="str">
        <x:v>Genuinely reported in the sample; treated as residue/contaminant rather than flavor chemistry.</x:v>
      </x:c>
      <x:c r="J5" s="320" t="str">
        <x:v>Exclude from flavor profiles and DF/IDF.</x:v>
      </x:c>
      <x:c r="K5" s="320" t="str">
        <x:v>Retain the source/sample occurrence and identification provenance.</x:v>
      </x:c>
      <x:c r="L5" s="320" t="str">
        <x:v>Founder correction — v28</x:v>
      </x:c>
      <x:c r="M5" s="320"/>
    </x:row>
    <x:row r="6">
      <x:c r="A6" s="320" t="str">
        <x:v>ER-004</x:v>
      </x:c>
      <x:c r="B6" s="320" t="str">
        <x:v>beef</x:v>
      </x:c>
      <x:c r="C6" s="320" t="str">
        <x:v>BDA-034</x:v>
      </x:c>
      <x:c r="D6" s="320" t="str">
        <x:v>beef:muscle</x:v>
      </x:c>
      <x:c r="E6" s="320" t="str">
        <x:v>SRC-BEEF-AGE-001</x:v>
      </x:c>
      <x:c r="F6" s="320" t="str">
        <x:v>Ethyl chloride</x:v>
      </x:c>
      <x:c r="G6" s="320" t="str">
        <x:v>Ethyl chloride</x:v>
      </x:c>
      <x:c r="H6" s="320" t="str">
        <x:v>unresolved</x:v>
      </x:c>
      <x:c r="I6" s="320" t="str">
        <x:v>Could be analytical background or a genuine sample contaminant; current evidence is insufficient to choose.</x:v>
      </x:c>
      <x:c r="J6" s="320" t="str">
        <x:v>Held out of flavor profiles and DF/IDF.</x:v>
      </x:c>
      <x:c r="K6" s="320" t="str">
        <x:v>Retain the source row pending evidence sufficient to route it.</x:v>
      </x:c>
      <x:c r="L6" s="320" t="str">
        <x:v>Founder correction — v28</x:v>
      </x:c>
      <x:c r="M6" s="320"/>
    </x:row>
    <x:row r="7">
      <x:c r="A7" s="320" t="str">
        <x:v>ER-005</x:v>
      </x:c>
      <x:c r="B7" s="320" t="str">
        <x:v>beef</x:v>
      </x:c>
      <x:c r="C7" s="320" t="str">
        <x:v>BDA-037</x:v>
      </x:c>
      <x:c r="D7" s="320" t="str">
        <x:v>beef:muscle</x:v>
      </x:c>
      <x:c r="E7" s="320" t="str">
        <x:v>SRC-BEEF-AGE-001</x:v>
      </x:c>
      <x:c r="F7" s="320" t="str">
        <x:v>Perfluorononane</x:v>
      </x:c>
      <x:c r="G7" s="320" t="str">
        <x:v>Perfluorononane</x:v>
      </x:c>
      <x:c r="H7" s="320" t="str">
        <x:v>unresolved</x:v>
      </x:c>
      <x:c r="I7" s="320" t="str">
        <x:v>Could be analytical background or a genuine sample contaminant; current evidence is insufficient to choose.</x:v>
      </x:c>
      <x:c r="J7" s="320" t="str">
        <x:v>Held out of flavor profiles and DF/IDF.</x:v>
      </x:c>
      <x:c r="K7" s="320" t="str">
        <x:v>Retain the source row pending evidence sufficient to route it.</x:v>
      </x:c>
      <x:c r="L7" s="320" t="str">
        <x:v>Founder correction — v28</x:v>
      </x:c>
      <x:c r="M7" s="320"/>
    </x:row>
    <x:row r="8">
      <x:c r="A8" s="320" t="str">
        <x:v>ER-006</x:v>
      </x:c>
      <x:c r="B8" s="320" t="str">
        <x:v>egg</x:v>
      </x:c>
      <x:c r="C8" s="320" t="str">
        <x:v>DEY-BOIL-061</x:v>
      </x:c>
      <x:c r="D8" s="320" t="str">
        <x:v>egg:yolk_chicken</x:v>
      </x:c>
      <x:c r="E8" s="320" t="str">
        <x:v>SRC-EGG-YOLK-BOIL-001</x:v>
      </x:c>
      <x:c r="F8" s="320" t="str">
        <x:v>Cyclotetrasiloxane, octamethyl-</x:v>
      </x:c>
      <x:c r="G8" s="320" t="str">
        <x:v>Octamethylcyclotetrasiloxane</x:v>
      </x:c>
      <x:c r="H8" s="320" t="str">
        <x:v>analytical_background</x:v>
      </x:c>
      <x:c r="I8" s="320" t="str">
        <x:v>Method/column artifact rather than a food constituent.</x:v>
      </x:c>
      <x:c r="J8" s="320" t="str">
        <x:v>Suppress corpus-wide from flavor profiles and DF/IDF.</x:v>
      </x:c>
      <x:c r="K8" s="320" t="str">
        <x:v>Retain the raw analytical row and source provenance.</x:v>
      </x:c>
      <x:c r="L8" s="320" t="str">
        <x:v>MR-17 classification — v28</x:v>
      </x:c>
      <x:c r="M8" s="320"/>
    </x:row>
    <x:row r="9">
      <x:c r="A9" s="320" t="str">
        <x:v>ER-007</x:v>
      </x:c>
      <x:c r="B9" s="320" t="str">
        <x:v>egg</x:v>
      </x:c>
      <x:c r="C9" s="320" t="str">
        <x:v>DEY-BOIL-040</x:v>
      </x:c>
      <x:c r="D9" s="320" t="str">
        <x:v>egg:yolk_chicken</x:v>
      </x:c>
      <x:c r="E9" s="320" t="str">
        <x:v>SRC-EGG-YOLK-BOIL-001</x:v>
      </x:c>
      <x:c r="F9" s="320" t="str">
        <x:v>Dibutyl phthalate</x:v>
      </x:c>
      <x:c r="G9" s="320" t="str">
        <x:v>Dibutyl phthalate</x:v>
      </x:c>
      <x:c r="H9" s="320" t="str">
        <x:v>present_not_flavor_relevant</x:v>
      </x:c>
      <x:c r="I9" s="320" t="str">
        <x:v>Confirmed sample constituent consistent with plasticizer migration; presence does not make it flavor chemistry.</x:v>
      </x:c>
      <x:c r="J9" s="320" t="str">
        <x:v>Exclude from flavor profiles and DF/IDF.</x:v>
      </x:c>
      <x:c r="K9" s="320" t="str">
        <x:v>Retain the commercial-egg sample occurrence and source provenance.</x:v>
      </x:c>
      <x:c r="L9" s="320" t="str">
        <x:v>Founder correction — v28</x:v>
      </x:c>
      <x:c r="M9" s="320"/>
    </x:row>
    <x:row r="10">
      <x:c r="A10" s="321" t="str">
        <x:v>ER-008</x:v>
      </x:c>
      <x:c r="B10" s="321" t="str">
        <x:v>egg</x:v>
      </x:c>
      <x:c r="C10" s="321" t="str">
        <x:v>DEY-SALT-040</x:v>
      </x:c>
      <x:c r="D10" s="321" t="str">
        <x:v>egg:yolk_duck_salted</x:v>
      </x:c>
      <x:c r="E10" s="321" t="str">
        <x:v>SRC-EGG-SALTED-YOLK-001</x:v>
      </x:c>
      <x:c r="F10" s="321" t="str">
        <x:v>Dibutyl phthalate</x:v>
      </x:c>
      <x:c r="G10" s="321" t="str">
        <x:v>Dibutyl phthalate</x:v>
      </x:c>
      <x:c r="H10" s="321" t="str">
        <x:v>present_not_flavor_relevant</x:v>
      </x:c>
      <x:c r="I10" s="321" t="str">
        <x:v>Authentic-standard-confirmed sample constituent consistent with plasticizer migration; not flavor chemistry.</x:v>
      </x:c>
      <x:c r="J10" s="321" t="str">
        <x:v>Exclude from flavor profiles and DF/IDF.</x:v>
      </x:c>
      <x:c r="K10" s="321" t="str">
        <x:v>Retain the roasted-salted duck-yolk occurrence and standard-confirmed provenance.</x:v>
      </x:c>
      <x:c r="L10" s="321" t="str">
        <x:v>Founder correction — v28</x:v>
      </x:c>
      <x:c r="M10" s="321"/>
    </x:row>
    <x:row r="11">
      <x:c r="A11" s="320" t="str">
        <x:v>ER-009</x:v>
      </x:c>
      <x:c r="B11" s="320" t="str">
        <x:v>beef</x:v>
      </x:c>
      <x:c r="C11" s="320" t="str">
        <x:v>BDA-033</x:v>
      </x:c>
      <x:c r="D11" s="320" t="str">
        <x:v>beef:muscle</x:v>
      </x:c>
      <x:c r="E11" s="320" t="str">
        <x:v>SRC-BEEF-AGE-001</x:v>
      </x:c>
      <x:c r="F11" s="320" t="str">
        <x:v>Diisopropyl ether</x:v>
      </x:c>
      <x:c r="G11" s="320" t="str">
        <x:v>Diisopropyl ether</x:v>
      </x:c>
      <x:c r="H11" s="320" t="str">
        <x:v>unresolved</x:v>
      </x:c>
      <x:c r="I11" s="320" t="str">
        <x:v>The source reports the identity in aged beef, but current evidence does not distinguish genuine sample residue from analytical/method background. Industrial-solvent identity alone is not enough to choose between those routes.</x:v>
      </x:c>
      <x:c r="J11" s="320" t="str">
        <x:v>Hold out of flavor profiles and DF/IDF.</x:v>
      </x:c>
      <x:c r="K11" s="320" t="str">
        <x:v>Retain the source/sample occurrence and identification provenance.</x:v>
      </x:c>
      <x:c r="L11" s="320" t="str">
        <x:v>MR-17 conservative routing — v29</x:v>
      </x:c>
      <x:c r="M11" s="320" t="str">
        <x:v>https://pmc.ncbi.nlm.nih.gov/articles/PMC7828147/</x:v>
      </x:c>
    </x:row>
    <x:row r="12">
      <x:c r="A12" s="320" t="str">
        <x:v>ER-010</x:v>
      </x:c>
      <x:c r="B12" s="320" t="str">
        <x:v>beef</x:v>
      </x:c>
      <x:c r="C12" s="320" t="str">
        <x:v>BDM-IDQ-045</x:v>
      </x:c>
      <x:c r="D12" s="320" t="str">
        <x:v>beef:muscle</x:v>
      </x:c>
      <x:c r="E12" s="320" t="str">
        <x:v>SRC-BEEF-IDQA-001</x:v>
      </x:c>
      <x:c r="F12" s="320" t="str">
        <x:v>2-Ethylhexyl acrylate</x:v>
      </x:c>
      <x:c r="G12" s="320" t="str">
        <x:v>2-Ethylhexyl acrylate</x:v>
      </x:c>
      <x:c r="H12" s="320" t="str">
        <x:v>present_not_flavor_relevant</x:v>
      </x:c>
      <x:c r="I12" s="320" t="str">
        <x:v>Authentically identified industrial acrylate monomer / adhesive component; its measured occurrence is retained as a sample fact but it has no culinary-flavor basis.</x:v>
      </x:c>
      <x:c r="J12" s="320" t="str">
        <x:v>Exclude from flavor profiles and DF/IDF.</x:v>
      </x:c>
      <x:c r="K12" s="320" t="str">
        <x:v>Retain the cooked-beef sample occurrence and identification provenance.</x:v>
      </x:c>
      <x:c r="L12" s="320" t="str">
        <x:v>MR-17 + IARC/ECHA use verification — v29</x:v>
      </x:c>
      <x:c r="M12" s="320" t="str">
        <x:v>https://www.ncbi.nlm.nih.gov/books/NBK507491/</x:v>
      </x:c>
    </x:row>
    <x:row r="13">
      <x:c r="A13" s="320" t="str">
        <x:v>ER-011</x:v>
      </x:c>
      <x:c r="B13" s="320" t="str">
        <x:v>beef</x:v>
      </x:c>
      <x:c r="C13" s="320" t="str">
        <x:v>BDA-007</x:v>
      </x:c>
      <x:c r="D13" s="320" t="str">
        <x:v>beef:muscle</x:v>
      </x:c>
      <x:c r="E13" s="320" t="str">
        <x:v>SRC-BEEF-AGE-001</x:v>
      </x:c>
      <x:c r="F13" s="320" t="str">
        <x:v>1-Butanamine</x:v>
      </x:c>
      <x:c r="G13" s="320" t="str">
        <x:v>1-Butanamine</x:v>
      </x:c>
      <x:c r="H13" s="320" t="str">
        <x:v>unresolved</x:v>
      </x:c>
      <x:c r="I13" s="320" t="str">
        <x:v>Source-reported aged-beef volatile, but current governed evidence is insufficient to classify the row confidently for positive flavor use under the corrected resolver/classifier.</x:v>
      </x:c>
      <x:c r="J13" s="320" t="str">
        <x:v>Hold out of flavor profiles and DF/IDF.</x:v>
      </x:c>
      <x:c r="K13" s="320" t="str">
        <x:v>Retain the source/sample occurrence and source-context provenance.</x:v>
      </x:c>
      <x:c r="L13" s="320" t="str">
        <x:v>Carry-forward unresolved from beef correction — v29</x:v>
      </x:c>
      <x:c r="M13" s="320" t="str">
        <x:v>https://pmc.ncbi.nlm.nih.gov/articles/PMC7828147/</x:v>
      </x:c>
    </x:row>
    <x:row r="14">
      <x:c r="A14" s="320" t="str">
        <x:v>ER-012</x:v>
      </x:c>
      <x:c r="B14" s="320" t="str">
        <x:v>beef</x:v>
      </x:c>
      <x:c r="C14" s="320" t="str">
        <x:v>BDM-IDQ-044</x:v>
      </x:c>
      <x:c r="D14" s="320" t="str">
        <x:v>beef:muscle</x:v>
      </x:c>
      <x:c r="E14" s="320" t="str">
        <x:v>SRC-BEEF-IDQA-001</x:v>
      </x:c>
      <x:c r="F14" s="320" t="str">
        <x:v>1-Formylpyrrolidine</x:v>
      </x:c>
      <x:c r="G14" s="320" t="str">
        <x:v>1-Formylpyrrolidine</x:v>
      </x:c>
      <x:c r="H14" s="320" t="str">
        <x:v>unresolved</x:v>
      </x:c>
      <x:c r="I14" s="320" t="str">
        <x:v>The cooked-beef authentication source reports the row, but current evidence is insufficient to establish a culinary-flavor role rather than a non-flavor sample constituent.</x:v>
      </x:c>
      <x:c r="J14" s="320" t="str">
        <x:v>Hold out of flavor profiles and DF/IDF.</x:v>
      </x:c>
      <x:c r="K14" s="320" t="str">
        <x:v>Retain the cooked-beef sample occurrence and identification provenance.</x:v>
      </x:c>
      <x:c r="L14" s="320" t="str">
        <x:v>Carry-forward unresolved from beef correction — v29</x:v>
      </x:c>
      <x:c r="M14" s="320" t="str">
        <x:v>https://pmc.ncbi.nlm.nih.gov/articles/PMC11222689/</x:v>
      </x:c>
    </x:row>
    <x:row r="15">
      <x:c r="A15" s="325" t="str">
        <x:v>ER-013</x:v>
      </x:c>
      <x:c r="B15" s="325" t="str">
        <x:v>beef</x:v>
      </x:c>
      <x:c r="C15" s="325" t="str">
        <x:v>BDA-022</x:v>
      </x:c>
      <x:c r="D15" s="325" t="str">
        <x:v>beef:muscle</x:v>
      </x:c>
      <x:c r="E15" s="325" t="str">
        <x:v>SRC-BEEF-AGE-001</x:v>
      </x:c>
      <x:c r="F15" s="325" t="str">
        <x:v>Ethylcyclopentane</x:v>
      </x:c>
      <x:c r="G15" s="325" t="str">
        <x:v>Ethylcyclopentane</x:v>
      </x:c>
      <x:c r="H15" s="325" t="str">
        <x:v>unresolved</x:v>
      </x:c>
      <x:c r="I15" s="325" t="str">
        <x:v>Source-reported aged-beef hydrocarbon; current evidence is insufficient to distinguish positive flavor relevance from incidental/non-flavor occurrence.</x:v>
      </x:c>
      <x:c r="J15" s="325" t="str">
        <x:v>Hold out of flavor profiles and DF/IDF.</x:v>
      </x:c>
      <x:c r="K15" s="325" t="str">
        <x:v>Retain the source/sample occurrence and identification provenance.</x:v>
      </x:c>
      <x:c r="L15" s="325" t="str">
        <x:v>Carry-forward unresolved from beef correction — v29</x:v>
      </x:c>
      <x:c r="M15" s="325" t="str">
        <x:v>https://pmc.ncbi.nlm.nih.gov/articles/PMC7828147/</x:v>
      </x:c>
    </x:row>
    <x:row r="16">
      <x:c r="A16" t="str">
        <x:v>ER-014</x:v>
      </x:c>
      <x:c r="B16" t="str">
        <x:v>beef</x:v>
      </x:c>
      <x:c r="C16" t="str">
        <x:v>BDA-011</x:v>
      </x:c>
      <x:c r="D16" t="str">
        <x:v>beef:muscle</x:v>
      </x:c>
      <x:c r="E16" t="str">
        <x:v>SRC-BEEF-AGE-001</x:v>
      </x:c>
      <x:c r="F16" t="str">
        <x:v>2-Methyl-2-propanethiol</x:v>
      </x:c>
      <x:c r="G16" t="str">
        <x:v>2-Methyl-2-propanethiol</x:v>
      </x:c>
      <x:c r="H16" t="str">
        <x:v>unresolved</x:v>
      </x:c>
      <x:c r="I16" t="str">
        <x:v>The source reports the identity in aged beef, but current evidence is insufficient to distinguish culinary sulfur chemistry from an industrial or analytical origin.</x:v>
      </x:c>
      <x:c r="J16" t="str">
        <x:v>Hold out of flavor profiles and DF/IDF.</x:v>
      </x:c>
      <x:c r="K16" t="str">
        <x:v>Retain the source/sample occurrence and identification provenance.</x:v>
      </x:c>
      <x:c r="L16" t="str">
        <x:v>No classification basis found. Thiol identity alone is insufficient to distinguish culinary sulfur chemistry from an industrial or analytical origin — the same evidentiary standard applied to Diisopropyl ether (ER-009).</x:v>
      </x:c>
      <x:c r="M16" t="str">
        <x:v>https://pmc.ncbi.nlm.nih.gov/articles/PMC7828147/</x:v>
      </x:c>
    </x:row>
  </x:sheetData>
  <x:mergeCells>
    <x:mergeCell ref="A1:M1"/>
  </x:mergeCells>
  <x:pageMargins left="0.7" right="0.7" top="0.75" bottom="0.75" header="0.3" footer="0.3"/>
</x:worksheet>
</file>